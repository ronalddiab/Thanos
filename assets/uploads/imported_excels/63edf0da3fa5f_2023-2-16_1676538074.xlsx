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6226FBF0-9775-4BB5-AE60-E7234EE9C979}" xr6:coauthVersionLast="47" xr6:coauthVersionMax="47" xr10:uidLastSave="{00000000-0000-0000-0000-000000000000}"/>
  <bookViews>
    <workbookView xWindow="-120" yWindow="-120" windowWidth="29040" windowHeight="15840" tabRatio="764" activeTab="1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" l="1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G32" i="21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E17" i="21" s="1"/>
  <c r="L26" i="2"/>
  <c r="L27" i="2"/>
  <c r="L28" i="2"/>
  <c r="L29" i="2"/>
  <c r="E21" i="21" s="1"/>
  <c r="L30" i="2"/>
  <c r="L31" i="2"/>
  <c r="L32" i="2"/>
  <c r="L33" i="2"/>
  <c r="L34" i="2"/>
  <c r="E26" i="21" s="1"/>
  <c r="L35" i="2"/>
  <c r="L36" i="2"/>
  <c r="L37" i="2"/>
  <c r="L38" i="2"/>
  <c r="L39" i="2"/>
  <c r="L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F32" i="21" s="1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11" i="6"/>
  <c r="E12" i="6"/>
  <c r="E13" i="6"/>
  <c r="E14" i="6"/>
  <c r="E15" i="6"/>
  <c r="E16" i="6"/>
  <c r="E17" i="6"/>
  <c r="E18" i="6"/>
  <c r="F19" i="2" s="1"/>
  <c r="E19" i="6"/>
  <c r="E20" i="6"/>
  <c r="E21" i="6"/>
  <c r="E22" i="6"/>
  <c r="F23" i="2" s="1"/>
  <c r="E23" i="6"/>
  <c r="E24" i="6"/>
  <c r="F25" i="2" s="1"/>
  <c r="E25" i="6"/>
  <c r="E26" i="6"/>
  <c r="F27" i="2" s="1"/>
  <c r="E27" i="6"/>
  <c r="E28" i="6"/>
  <c r="E29" i="6"/>
  <c r="E30" i="6"/>
  <c r="F31" i="2" s="1"/>
  <c r="E31" i="6"/>
  <c r="E32" i="6"/>
  <c r="F33" i="2" s="1"/>
  <c r="E33" i="6"/>
  <c r="E34" i="6"/>
  <c r="F35" i="2" s="1"/>
  <c r="E35" i="6"/>
  <c r="E36" i="6"/>
  <c r="E37" i="6"/>
  <c r="E38" i="6"/>
  <c r="F39" i="2" s="1"/>
  <c r="E39" i="6"/>
  <c r="E40" i="6"/>
  <c r="F20" i="2"/>
  <c r="F21" i="2"/>
  <c r="F22" i="2"/>
  <c r="F24" i="2"/>
  <c r="F26" i="2"/>
  <c r="F28" i="2"/>
  <c r="F29" i="2"/>
  <c r="F30" i="2"/>
  <c r="F32" i="2"/>
  <c r="F34" i="2"/>
  <c r="F36" i="2"/>
  <c r="F37" i="2"/>
  <c r="F38" i="2"/>
  <c r="F40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B32" i="22"/>
  <c r="I32" i="21"/>
  <c r="H32" i="21"/>
  <c r="B32" i="21"/>
  <c r="F3" i="21"/>
  <c r="E14" i="21"/>
  <c r="E15" i="21"/>
  <c r="E16" i="21"/>
  <c r="E25" i="21"/>
  <c r="E32" i="21"/>
  <c r="E28" i="21"/>
  <c r="E22" i="21"/>
  <c r="E23" i="21"/>
  <c r="E24" i="21"/>
  <c r="E29" i="21"/>
  <c r="E30" i="21"/>
  <c r="E3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3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E32" i="22" l="1"/>
  <c r="E3" i="21"/>
  <c r="E3" i="22" s="1"/>
  <c r="E20" i="21"/>
  <c r="E27" i="21"/>
  <c r="E19" i="21"/>
  <c r="E18" i="21"/>
  <c r="M48" i="4" l="1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4" i="4"/>
  <c r="C40" i="6"/>
  <c r="C39" i="6"/>
  <c r="G31" i="21"/>
  <c r="C38" i="6"/>
  <c r="G30" i="21"/>
  <c r="C37" i="6"/>
  <c r="G29" i="21"/>
  <c r="Q37" i="2"/>
  <c r="C36" i="6"/>
  <c r="G28" i="21"/>
  <c r="C35" i="6"/>
  <c r="G27" i="21"/>
  <c r="C34" i="6"/>
  <c r="Q39" i="2"/>
  <c r="G26" i="21"/>
  <c r="C33" i="6"/>
  <c r="G23" i="21"/>
  <c r="G24" i="21"/>
  <c r="G25" i="21"/>
  <c r="C32" i="6"/>
  <c r="C30" i="6"/>
  <c r="C31" i="6"/>
  <c r="G22" i="21"/>
  <c r="C29" i="6"/>
  <c r="G21" i="21"/>
  <c r="C28" i="6"/>
  <c r="G20" i="21"/>
  <c r="C27" i="6"/>
  <c r="G19" i="21"/>
  <c r="C26" i="6"/>
  <c r="G18" i="21"/>
  <c r="C25" i="6"/>
  <c r="G17" i="21"/>
  <c r="C24" i="6"/>
  <c r="G16" i="21"/>
  <c r="C23" i="6"/>
  <c r="G15" i="21"/>
  <c r="C22" i="6"/>
  <c r="G14" i="21"/>
  <c r="C21" i="6"/>
  <c r="V16" i="2"/>
  <c r="V17" i="2"/>
  <c r="V18" i="2"/>
  <c r="G13" i="21"/>
  <c r="F13" i="21"/>
  <c r="C20" i="6"/>
  <c r="G12" i="21"/>
  <c r="F12" i="21"/>
  <c r="C19" i="6"/>
  <c r="G11" i="21"/>
  <c r="F11" i="21"/>
  <c r="C18" i="6"/>
  <c r="G10" i="21"/>
  <c r="F10" i="21"/>
  <c r="F18" i="2"/>
  <c r="C17" i="6"/>
  <c r="G9" i="21"/>
  <c r="F9" i="21"/>
  <c r="F17" i="2"/>
  <c r="C16" i="6"/>
  <c r="V11" i="2"/>
  <c r="V12" i="2"/>
  <c r="V13" i="2"/>
  <c r="V14" i="2"/>
  <c r="V15" i="2"/>
  <c r="V10" i="2"/>
  <c r="G8" i="21"/>
  <c r="F8" i="21"/>
  <c r="F16" i="2"/>
  <c r="C15" i="6"/>
  <c r="C11" i="6"/>
  <c r="C12" i="6"/>
  <c r="C13" i="6"/>
  <c r="C14" i="6"/>
  <c r="C10" i="6"/>
  <c r="G4" i="21"/>
  <c r="G5" i="21"/>
  <c r="G6" i="21"/>
  <c r="G7" i="21"/>
  <c r="K10" i="6"/>
  <c r="F4" i="21"/>
  <c r="F5" i="21"/>
  <c r="F6" i="21"/>
  <c r="F7" i="21"/>
  <c r="I10" i="6"/>
  <c r="G10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H39" i="2"/>
  <c r="X38" i="2"/>
  <c r="X37" i="2"/>
  <c r="X35" i="2"/>
  <c r="X36" i="2"/>
  <c r="X34" i="2"/>
  <c r="X33" i="2"/>
  <c r="X30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7" i="4"/>
  <c r="P38" i="4"/>
  <c r="P39" i="4"/>
  <c r="P40" i="4"/>
  <c r="X10" i="2"/>
  <c r="C35" i="4"/>
  <c r="D29" i="10"/>
  <c r="Q10" i="2"/>
  <c r="H37" i="2"/>
  <c r="H36" i="2"/>
  <c r="G21" i="4"/>
  <c r="E21" i="4"/>
  <c r="C21" i="4"/>
  <c r="M4" i="4"/>
  <c r="M5" i="4"/>
  <c r="M6" i="4"/>
  <c r="M7" i="4"/>
  <c r="G17" i="4"/>
  <c r="P42" i="4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Q33" i="2"/>
  <c r="H35" i="2"/>
  <c r="H38" i="2"/>
  <c r="H34" i="2"/>
  <c r="Q32" i="2"/>
  <c r="H31" i="2"/>
  <c r="H30" i="2"/>
  <c r="H26" i="2"/>
  <c r="H25" i="2"/>
  <c r="Q23" i="2"/>
  <c r="H21" i="2"/>
  <c r="H20" i="2"/>
  <c r="H17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H24" i="2"/>
  <c r="Q25" i="2"/>
  <c r="I19" i="10"/>
  <c r="E20" i="10"/>
  <c r="D25" i="10"/>
  <c r="F25" i="10"/>
  <c r="F32" i="10"/>
  <c r="H25" i="10"/>
  <c r="I25" i="10"/>
  <c r="I32" i="10"/>
  <c r="F18" i="10"/>
  <c r="Q38" i="2"/>
  <c r="H15" i="2"/>
  <c r="Q17" i="2"/>
  <c r="H29" i="2"/>
  <c r="Q35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J2" i="21"/>
  <c r="Q11" i="2"/>
  <c r="O7" i="4"/>
  <c r="J3" i="21"/>
  <c r="H10" i="2"/>
  <c r="E2" i="22"/>
  <c r="Q44" i="4"/>
  <c r="AC44" i="4"/>
  <c r="K48" i="4" s="1"/>
  <c r="L48" i="4" s="1"/>
  <c r="L9" i="4"/>
  <c r="N9" i="4"/>
  <c r="AC43" i="4"/>
  <c r="I9" i="4"/>
  <c r="O9" i="4"/>
  <c r="Q27" i="2" l="1"/>
  <c r="Q31" i="2"/>
  <c r="Q28" i="2"/>
  <c r="Q21" i="2"/>
  <c r="Q36" i="2"/>
  <c r="N41" i="2"/>
  <c r="I46" i="2" s="1"/>
  <c r="L46" i="2" s="1"/>
  <c r="Q16" i="2"/>
  <c r="Q30" i="2"/>
  <c r="Q22" i="2"/>
  <c r="Q34" i="2"/>
  <c r="F21" i="21"/>
  <c r="F28" i="21"/>
  <c r="E28" i="22" s="1"/>
  <c r="F18" i="21"/>
  <c r="Q29" i="2"/>
  <c r="Q19" i="2"/>
  <c r="F20" i="21"/>
  <c r="F30" i="21"/>
  <c r="E30" i="22" s="1"/>
  <c r="F31" i="21"/>
  <c r="E31" i="22" s="1"/>
  <c r="Q20" i="2"/>
  <c r="F15" i="21"/>
  <c r="E15" i="22" s="1"/>
  <c r="F17" i="21"/>
  <c r="F27" i="21"/>
  <c r="E27" i="22" s="1"/>
  <c r="M41" i="2"/>
  <c r="I45" i="2" s="1"/>
  <c r="L45" i="2" s="1"/>
  <c r="F22" i="21"/>
  <c r="F25" i="21"/>
  <c r="E25" i="22" s="1"/>
  <c r="F26" i="21"/>
  <c r="E26" i="22" s="1"/>
  <c r="F14" i="21"/>
  <c r="E14" i="22" s="1"/>
  <c r="F19" i="21"/>
  <c r="F24" i="21"/>
  <c r="E24" i="22" s="1"/>
  <c r="F29" i="21"/>
  <c r="E29" i="22" s="1"/>
  <c r="Q26" i="2"/>
  <c r="Q18" i="2"/>
  <c r="F16" i="21"/>
  <c r="F23" i="21"/>
  <c r="E23" i="22" s="1"/>
  <c r="E13" i="21"/>
  <c r="E8" i="21"/>
  <c r="E10" i="21"/>
  <c r="E10" i="22" s="1"/>
  <c r="E12" i="21"/>
  <c r="E12" i="22" s="1"/>
  <c r="E11" i="21"/>
  <c r="E11" i="22" s="1"/>
  <c r="E7" i="21"/>
  <c r="E7" i="22" s="1"/>
  <c r="E9" i="21"/>
  <c r="E5" i="21"/>
  <c r="E5" i="22" s="1"/>
  <c r="E4" i="21"/>
  <c r="E4" i="22" s="1"/>
  <c r="E6" i="21"/>
  <c r="E6" i="22" s="1"/>
  <c r="C31" i="4"/>
  <c r="G31" i="4"/>
  <c r="E31" i="4"/>
  <c r="X31" i="2"/>
  <c r="X32" i="2"/>
  <c r="Q40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L8" i="4"/>
  <c r="N8" i="4" s="1"/>
  <c r="O8" i="4" s="1"/>
  <c r="I4" i="4"/>
  <c r="L4" i="4"/>
  <c r="N4" i="4" s="1"/>
  <c r="J18" i="21" l="1"/>
  <c r="E18" i="22"/>
  <c r="M18" i="22" s="1"/>
  <c r="J22" i="21"/>
  <c r="E22" i="22"/>
  <c r="J17" i="21"/>
  <c r="E17" i="22"/>
  <c r="M17" i="22" s="1"/>
  <c r="J16" i="21"/>
  <c r="E16" i="22"/>
  <c r="M16" i="22" s="1"/>
  <c r="J19" i="21"/>
  <c r="E19" i="22"/>
  <c r="M19" i="22" s="1"/>
  <c r="J20" i="21"/>
  <c r="E20" i="22"/>
  <c r="J21" i="21"/>
  <c r="E21" i="22"/>
  <c r="J8" i="21"/>
  <c r="E8" i="22"/>
  <c r="M8" i="22" s="1"/>
  <c r="J13" i="21"/>
  <c r="E13" i="22"/>
  <c r="M13" i="22" s="1"/>
  <c r="J9" i="21"/>
  <c r="E9" i="22"/>
  <c r="M9" i="22" s="1"/>
  <c r="J14" i="21"/>
  <c r="M25" i="22"/>
  <c r="J25" i="21"/>
  <c r="J15" i="21"/>
  <c r="M15" i="22"/>
  <c r="J24" i="21"/>
  <c r="M26" i="22"/>
  <c r="J26" i="21"/>
  <c r="J23" i="21"/>
  <c r="M23" i="22"/>
  <c r="M21" i="22"/>
  <c r="M22" i="22"/>
  <c r="M12" i="22"/>
  <c r="J12" i="21"/>
  <c r="M11" i="22"/>
  <c r="J11" i="21"/>
  <c r="M10" i="22"/>
  <c r="J10" i="21"/>
  <c r="X29" i="2"/>
  <c r="X22" i="2"/>
  <c r="H40" i="2"/>
  <c r="F41" i="2"/>
  <c r="Q41" i="2"/>
  <c r="M20" i="22"/>
  <c r="M14" i="22"/>
  <c r="Q15" i="2"/>
  <c r="Q13" i="2"/>
  <c r="Q12" i="2"/>
  <c r="O41" i="2"/>
  <c r="H16" i="2"/>
  <c r="H14" i="2"/>
  <c r="H13" i="2"/>
  <c r="H12" i="2"/>
  <c r="H11" i="2"/>
  <c r="H41" i="2" s="1"/>
  <c r="O4" i="4"/>
  <c r="N43" i="4"/>
  <c r="M3" i="22"/>
  <c r="M24" i="22" l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<sst xmlns="http://schemas.openxmlformats.org/spreadsheetml/2006/main" count="485" uniqueCount="187">
  <si>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</si>
  <si>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</si>
  <si>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</si>
  <si>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</si>
  <si>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</si>
  <si>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</si>
  <si>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</si>
  <si>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</si>
  <si>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</si>
  <si>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</si>
  <si>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</si>
  <si>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</si>
  <si>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</si>
  <si>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</si>
  <si>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</si>
  <si>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</si>
  <si>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</si>
  <si>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</si>
  <si>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</si>
  <si>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</si>
  <si>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</si>
  <si>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</si>
  <si>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</si>
  <si>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</si>
  <si>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</si>
  <si>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</si>
  <si>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</si>
  <si>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</si>
  <si>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</si>
  <si>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</si>
  <si>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</si>
  <si>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</si>
  <si>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</si>
  <si>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</si>
  <si>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</si>
  <si>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</si>
  <si>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</si>
  <si>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</si>
  <si>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</si>
  <si>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</si>
  <si>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</si>
  <si>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</si>
  <si>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</si>
  <si>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</si>
  <si>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</si>
  <si>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</si>
  <si>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</si>
  <si>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</si>
  <si>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</si>
  <si>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</si>
  <si>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</si>
  <si>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</si>
  <si>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</si>
  <si>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</si>
  <si>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</si>
  <si>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</si>
  <si>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</si>
  <si>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</si>
  <si>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</si>
  <si>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</si>
  <si>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</si>
  <si>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</si>
  <si>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</si>
  <si>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</si>
  <si>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</si>
  <si>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</si>
  <si>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</si>
  <si>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</si>
  <si>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</si>
  <si>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</si>
  <si>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</si>
  <si>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</si>
  <si>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</si>
  <si>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</si>
  <si>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</si>
  <si>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</si>
  <si>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</si>
  <si>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</si>
  <si>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</si>
  <si>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</si>
  <si>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</si>
  <si>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</si>
  <si>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</si>
  <si>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</si>
  <si>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</si>
  <si>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</si>
  <si>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</si>
  <si>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</si>
  <si>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</si>
  <si>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</si>
  <si>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</si>
  <si>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</si>
  <si>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</si>
  <si>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</si>
  <si>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</si>
  <si>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</si>
  <si>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</si>
  <si>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31/10/2022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</si>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</sst>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  <c:pt idx="20">
                  <c:v>141.20000000001164</c:v>
                </c:pt>
                <c:pt idx="21">
                  <c:v>139</c:v>
                </c:pt>
                <c:pt idx="22">
                  <c:v>140</c:v>
                </c:pt>
                <c:pt idx="23">
                  <c:v>138</c:v>
                </c:pt>
                <c:pt idx="24">
                  <c:v>184.10000000000582</c:v>
                </c:pt>
                <c:pt idx="25">
                  <c:v>103.89999999999418</c:v>
                </c:pt>
                <c:pt idx="26">
                  <c:v>137</c:v>
                </c:pt>
                <c:pt idx="27">
                  <c:v>151.89999999999418</c:v>
                </c:pt>
                <c:pt idx="28">
                  <c:v>165.60000000000582</c:v>
                </c:pt>
                <c:pt idx="29">
                  <c:v>151.5</c:v>
                </c:pt>
                <c:pt idx="30">
                  <c:v>159</c:v>
                </c:pt>
                <c:pt idx="3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  <c:pt idx="20">
                  <c:v>5337</c:v>
                </c:pt>
                <c:pt idx="21">
                  <c:v>4940</c:v>
                </c:pt>
                <c:pt idx="22">
                  <c:v>4932</c:v>
                </c:pt>
                <c:pt idx="23">
                  <c:v>4862</c:v>
                </c:pt>
                <c:pt idx="24">
                  <c:v>4727</c:v>
                </c:pt>
                <c:pt idx="25">
                  <c:v>4874</c:v>
                </c:pt>
                <c:pt idx="26">
                  <c:v>4664</c:v>
                </c:pt>
                <c:pt idx="27">
                  <c:v>5421</c:v>
                </c:pt>
                <c:pt idx="28">
                  <c:v>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  <c:pt idx="20">
                  <c:v>8484</c:v>
                </c:pt>
                <c:pt idx="21">
                  <c:v>7519</c:v>
                </c:pt>
                <c:pt idx="22">
                  <c:v>8397</c:v>
                </c:pt>
                <c:pt idx="23">
                  <c:v>7702</c:v>
                </c:pt>
                <c:pt idx="24">
                  <c:v>7499</c:v>
                </c:pt>
                <c:pt idx="25">
                  <c:v>7554</c:v>
                </c:pt>
                <c:pt idx="26">
                  <c:v>7585</c:v>
                </c:pt>
                <c:pt idx="27">
                  <c:v>7403</c:v>
                </c:pt>
                <c:pt idx="28">
                  <c:v>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  <c:pt idx="20">
                  <c:v>4221</c:v>
                </c:pt>
                <c:pt idx="21">
                  <c:v>3668</c:v>
                </c:pt>
                <c:pt idx="22">
                  <c:v>3987</c:v>
                </c:pt>
                <c:pt idx="23">
                  <c:v>3721</c:v>
                </c:pt>
                <c:pt idx="24">
                  <c:v>3635</c:v>
                </c:pt>
                <c:pt idx="25">
                  <c:v>3817</c:v>
                </c:pt>
                <c:pt idx="26">
                  <c:v>3819</c:v>
                </c:pt>
                <c:pt idx="27">
                  <c:v>3728</c:v>
                </c:pt>
                <c:pt idx="28">
                  <c:v>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479.98815000000002</c:v>
                </c:pt>
                <c:pt idx="20">
                  <c:v>223.99447000000001</c:v>
                </c:pt>
                <c:pt idx="21">
                  <c:v>351.99131</c:v>
                </c:pt>
                <c:pt idx="22">
                  <c:v>319.99209999999999</c:v>
                </c:pt>
                <c:pt idx="23">
                  <c:v>863.97867000000008</c:v>
                </c:pt>
                <c:pt idx="24">
                  <c:v>319.99209999999999</c:v>
                </c:pt>
                <c:pt idx="25">
                  <c:v>319.99209999999999</c:v>
                </c:pt>
                <c:pt idx="26">
                  <c:v>319.99209999999999</c:v>
                </c:pt>
                <c:pt idx="27">
                  <c:v>511.98736000000002</c:v>
                </c:pt>
                <c:pt idx="28">
                  <c:v>127.99684000000001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R27" sqref="R2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12.24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19366</v>
      </c>
      <c r="F3" s="134">
        <v>1.05</v>
      </c>
      <c r="G3" s="134">
        <f>'Consommation mensuel énergie'!V11</f>
        <v>447.98894000000001</v>
      </c>
      <c r="H3" s="134">
        <v>12.24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12.24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12.24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12.24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12.24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12.24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12.24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12.24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12.24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12.24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12.24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12.24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12.24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12.24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12.24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12.24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12.24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12.24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479.98815000000002</v>
      </c>
      <c r="H21" s="134">
        <v>12.24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166</v>
      </c>
      <c r="L21" s="137">
        <f>'Consommation mensuel énergie'!E29</f>
        <v>260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18042</v>
      </c>
      <c r="F22" s="134">
        <v>1.05</v>
      </c>
      <c r="G22" s="134">
        <f>'Consommation mensuel énergie'!V30</f>
        <v>223.99447000000001</v>
      </c>
      <c r="H22" s="134">
        <v>12.24</v>
      </c>
      <c r="I22" s="134">
        <f>'Consommation mensuel énergie'!F30</f>
        <v>141.20000000001164</v>
      </c>
      <c r="J22" s="134">
        <v>11.4</v>
      </c>
      <c r="K22" s="137">
        <f>'Consommation mensuel énergie'!D30</f>
        <v>143</v>
      </c>
      <c r="L22" s="137">
        <f>'Consommation mensuel énergie'!E30</f>
        <v>233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16127</v>
      </c>
      <c r="F23" s="134">
        <v>1.05</v>
      </c>
      <c r="G23" s="134">
        <f>'Consommation mensuel énergie'!V31</f>
        <v>351.99131</v>
      </c>
      <c r="H23" s="134">
        <v>12.24</v>
      </c>
      <c r="I23" s="134">
        <f>'Consommation mensuel énergie'!F31</f>
        <v>139</v>
      </c>
      <c r="J23" s="134">
        <v>11.4</v>
      </c>
      <c r="K23" s="137">
        <f>'Consommation mensuel énergie'!D31</f>
        <v>147</v>
      </c>
      <c r="L23" s="137">
        <f>'Consommation mensuel énergie'!E31</f>
        <v>253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17316</v>
      </c>
      <c r="F24" s="134">
        <v>1.05</v>
      </c>
      <c r="G24" s="134">
        <f>'Consommation mensuel énergie'!V32</f>
        <v>319.99209999999999</v>
      </c>
      <c r="H24" s="134">
        <v>12.24</v>
      </c>
      <c r="I24" s="134">
        <f>'Consommation mensuel énergie'!F32</f>
        <v>140</v>
      </c>
      <c r="J24" s="134">
        <v>11.4</v>
      </c>
      <c r="K24" s="137">
        <f>'Consommation mensuel énergie'!D32</f>
        <v>133</v>
      </c>
      <c r="L24" s="137">
        <f>'Consommation mensuel énergie'!E32</f>
        <v>216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16285</v>
      </c>
      <c r="F25" s="134">
        <v>1.05</v>
      </c>
      <c r="G25" s="134">
        <f>'Consommation mensuel énergie'!V33</f>
        <v>863.97867000000008</v>
      </c>
      <c r="H25" s="134">
        <v>12.24</v>
      </c>
      <c r="I25" s="134">
        <f>'Consommation mensuel énergie'!F33</f>
        <v>138</v>
      </c>
      <c r="J25" s="134">
        <v>11.4</v>
      </c>
      <c r="K25" s="137">
        <f>'Consommation mensuel énergie'!D33</f>
        <v>152</v>
      </c>
      <c r="L25" s="137">
        <f>'Consommation mensuel énergie'!E33</f>
        <v>229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15861</v>
      </c>
      <c r="F26" s="134">
        <v>1.05</v>
      </c>
      <c r="G26" s="134">
        <f>'Consommation mensuel énergie'!V34</f>
        <v>319.99209999999999</v>
      </c>
      <c r="H26" s="134">
        <v>12.24</v>
      </c>
      <c r="I26" s="134">
        <f>'Consommation mensuel énergie'!F34</f>
        <v>184.10000000000582</v>
      </c>
      <c r="J26" s="134">
        <v>11.4</v>
      </c>
      <c r="K26" s="137">
        <f>'Consommation mensuel énergie'!D34</f>
        <v>116</v>
      </c>
      <c r="L26" s="137">
        <f>'Consommation mensuel énergie'!E34</f>
        <v>173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submetering!E27+submetering!F27+submetering!G27</f>
        <v>16245</v>
      </c>
      <c r="F27" s="134">
        <v>1.05</v>
      </c>
      <c r="G27" s="134">
        <f>'Consommation mensuel énergie'!V35</f>
        <v>319.99209999999999</v>
      </c>
      <c r="H27" s="134">
        <v>12.24</v>
      </c>
      <c r="I27" s="134">
        <f>'Consommation mensuel énergie'!F35</f>
        <v>103.89999999999418</v>
      </c>
      <c r="J27" s="134">
        <v>11.4</v>
      </c>
      <c r="K27" s="137">
        <f>'Consommation mensuel énergie'!D35</f>
        <v>139</v>
      </c>
      <c r="L27" s="137">
        <f>'Consommation mensuel énergie'!E35</f>
        <v>201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16068</v>
      </c>
      <c r="F28" s="134">
        <v>1.05</v>
      </c>
      <c r="G28" s="134">
        <f>'Consommation mensuel énergie'!V36</f>
        <v>319.99209999999999</v>
      </c>
      <c r="H28" s="134">
        <v>12.24</v>
      </c>
      <c r="I28" s="134">
        <f>'Consommation mensuel énergie'!F36</f>
        <v>137</v>
      </c>
      <c r="J28" s="134">
        <v>11.4</v>
      </c>
      <c r="K28" s="137">
        <f>'Consommation mensuel énergie'!D36</f>
        <v>142</v>
      </c>
      <c r="L28" s="137">
        <f>'Consommation mensuel énergie'!E36</f>
        <v>212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16552</v>
      </c>
      <c r="F29" s="134">
        <v>1.05</v>
      </c>
      <c r="G29" s="134">
        <f>'Consommation mensuel énergie'!V37</f>
        <v>511.98736000000002</v>
      </c>
      <c r="H29" s="134">
        <v>12.24</v>
      </c>
      <c r="I29" s="134">
        <f>'Consommation mensuel énergie'!F37</f>
        <v>151.89999999999418</v>
      </c>
      <c r="J29" s="134">
        <v>11.4</v>
      </c>
      <c r="K29" s="137">
        <f>'Consommation mensuel énergie'!D37</f>
        <v>113</v>
      </c>
      <c r="L29" s="137">
        <f>'Consommation mensuel énergie'!E37</f>
        <v>191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16949</v>
      </c>
      <c r="F30" s="134">
        <v>1.05</v>
      </c>
      <c r="G30" s="134">
        <f>'Consommation mensuel énergie'!V38</f>
        <v>127.99684000000001</v>
      </c>
      <c r="H30" s="134">
        <v>12.24</v>
      </c>
      <c r="I30" s="134">
        <f>'Consommation mensuel énergie'!F38</f>
        <v>165.60000000000582</v>
      </c>
      <c r="J30" s="134">
        <v>11.4</v>
      </c>
      <c r="K30" s="137">
        <f>'Consommation mensuel énergie'!D38</f>
        <v>153</v>
      </c>
      <c r="L30" s="137">
        <f>'Consommation mensuel énergie'!E38</f>
        <v>256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16232</v>
      </c>
      <c r="F31" s="134">
        <v>1.05</v>
      </c>
      <c r="G31" s="134">
        <f>'Consommation mensuel énergie'!V39</f>
        <v>287.99288999999999</v>
      </c>
      <c r="H31" s="134">
        <v>12.24</v>
      </c>
      <c r="I31" s="134">
        <f>'Consommation mensuel énergie'!F39</f>
        <v>151.5</v>
      </c>
      <c r="J31" s="134">
        <v>11.4</v>
      </c>
      <c r="K31" s="137">
        <f>'Consommation mensuel énergie'!D39</f>
        <v>135</v>
      </c>
      <c r="L31" s="137">
        <f>'Consommation mensuel énergie'!E39</f>
        <v>221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submetering!E32+submetering!F32+submetering!G32</f>
        <v>16569</v>
      </c>
      <c r="F32" s="134">
        <v>1.05</v>
      </c>
      <c r="G32" s="134">
        <f>'Consommation mensuel énergie'!V40</f>
        <v>447.98894000000001</v>
      </c>
      <c r="H32" s="134">
        <v>12.24</v>
      </c>
      <c r="I32" s="134">
        <f>'Consommation mensuel énergie'!F40</f>
        <v>159</v>
      </c>
      <c r="J32" s="134">
        <v>11.4</v>
      </c>
      <c r="K32" s="137">
        <f>'Consommation mensuel énergie'!D40</f>
        <v>135</v>
      </c>
      <c r="L32" s="137">
        <f>'Consommation mensuel énergie'!E40</f>
        <v>214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abSelected="1" workbookViewId="0">
      <selection activeCell="Z31" sqref="Z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énergie'!N11</f>
        <v>4373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166</v>
      </c>
      <c r="I21" s="137">
        <f>'Consommation mensuel énergie'!E29</f>
        <v>260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5337</v>
      </c>
      <c r="F22" s="137">
        <f>'Consommation mensuel énergie'!M30</f>
        <v>8484</v>
      </c>
      <c r="G22" s="137">
        <f>'Consommation mensuel énergie'!N30</f>
        <v>4221</v>
      </c>
      <c r="H22" s="137">
        <f>'Consommation mensuel énergie'!D30</f>
        <v>143</v>
      </c>
      <c r="I22" s="137">
        <f>'Consommation mensuel énergie'!E30</f>
        <v>233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4940</v>
      </c>
      <c r="F23" s="137">
        <f>'Consommation mensuel énergie'!M31</f>
        <v>7519</v>
      </c>
      <c r="G23" s="137">
        <f>'Consommation mensuel énergie'!N31</f>
        <v>3668</v>
      </c>
      <c r="H23" s="137">
        <f>'Consommation mensuel énergie'!D31</f>
        <v>147</v>
      </c>
      <c r="I23" s="137">
        <f>'Consommation mensuel énergie'!E31</f>
        <v>253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4932</v>
      </c>
      <c r="F24" s="137">
        <f>'Consommation mensuel énergie'!M32</f>
        <v>8397</v>
      </c>
      <c r="G24" s="137">
        <f>'Consommation mensuel énergie'!N32</f>
        <v>3987</v>
      </c>
      <c r="H24" s="137">
        <f>'Consommation mensuel énergie'!D32</f>
        <v>133</v>
      </c>
      <c r="I24" s="137">
        <f>'Consommation mensuel énergie'!E32</f>
        <v>216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4862</v>
      </c>
      <c r="F25" s="137">
        <f>'Consommation mensuel énergie'!M33</f>
        <v>7702</v>
      </c>
      <c r="G25" s="137">
        <f>'Consommation mensuel énergie'!N33</f>
        <v>3721</v>
      </c>
      <c r="H25" s="137">
        <f>'Consommation mensuel énergie'!D33</f>
        <v>152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4727</v>
      </c>
      <c r="F26" s="137">
        <f>'Consommation mensuel énergie'!M34</f>
        <v>7499</v>
      </c>
      <c r="G26" s="137">
        <f>'Consommation mensuel énergie'!N34</f>
        <v>3635</v>
      </c>
      <c r="H26" s="137">
        <f>'Consommation mensuel énergie'!D34</f>
        <v>116</v>
      </c>
      <c r="I26" s="137">
        <f>'Consommation mensuel énergie'!E34</f>
        <v>173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'Consommation mensuel énergie'!L35</f>
        <v>4874</v>
      </c>
      <c r="F27" s="137">
        <f>'Consommation mensuel énergie'!M35</f>
        <v>7554</v>
      </c>
      <c r="G27" s="137">
        <f>'Consommation mensuel énergie'!N35</f>
        <v>3817</v>
      </c>
      <c r="H27" s="137">
        <f>'Consommation mensuel énergie'!D35</f>
        <v>139</v>
      </c>
      <c r="I27" s="137">
        <f>'Consommation mensuel énergie'!E35</f>
        <v>201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4664</v>
      </c>
      <c r="F28" s="137">
        <f>'Consommation mensuel énergie'!M36</f>
        <v>7585</v>
      </c>
      <c r="G28" s="137">
        <f>'Consommation mensuel énergie'!N36</f>
        <v>3819</v>
      </c>
      <c r="H28" s="137">
        <f>'Consommation mensuel énergie'!D36</f>
        <v>142</v>
      </c>
      <c r="I28" s="137">
        <f>'Consommation mensuel énergie'!E36</f>
        <v>212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5421</v>
      </c>
      <c r="F29" s="137">
        <f>'Consommation mensuel énergie'!M37</f>
        <v>7403</v>
      </c>
      <c r="G29" s="137">
        <f>'Consommation mensuel énergie'!N37</f>
        <v>3728</v>
      </c>
      <c r="H29" s="137">
        <f>'Consommation mensuel énergie'!D37</f>
        <v>113</v>
      </c>
      <c r="I29" s="137">
        <f>'Consommation mensuel énergie'!E37</f>
        <v>191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5751</v>
      </c>
      <c r="F30" s="137">
        <f>'Consommation mensuel énergie'!M38</f>
        <v>7361</v>
      </c>
      <c r="G30" s="137">
        <f>'Consommation mensuel énergie'!N38</f>
        <v>3837</v>
      </c>
      <c r="H30" s="137">
        <f>'Consommation mensuel énergie'!D38</f>
        <v>153</v>
      </c>
      <c r="I30" s="137">
        <f>'Consommation mensuel énergie'!E38</f>
        <v>256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énergie'!L39</f>
        <v>4749</v>
      </c>
      <c r="F31" s="137">
        <f>'Consommation mensuel énergie'!M39</f>
        <v>7718</v>
      </c>
      <c r="G31" s="137">
        <f>'Consommation mensuel énergie'!N39</f>
        <v>3765</v>
      </c>
      <c r="H31" s="137">
        <f>'Consommation mensuel énergie'!D39</f>
        <v>135</v>
      </c>
      <c r="I31" s="137">
        <f>'Consommation mensuel énergie'!E39</f>
        <v>221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'Consommation mensuel énergie'!L40</f>
        <v>4807</v>
      </c>
      <c r="F32" s="137">
        <f>'Consommation mensuel énergie'!M40</f>
        <v>7909</v>
      </c>
      <c r="G32" s="137">
        <f>'Consommation mensuel énergie'!N40</f>
        <v>3853</v>
      </c>
      <c r="H32" s="137">
        <f>'Consommation mensuel énergie'!D40</f>
        <v>135</v>
      </c>
      <c r="I32" s="137">
        <f>'Consommation mensuel énergie'!E40</f>
        <v>214</v>
      </c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AC34" sqref="AC34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 x14ac:dyDescent="0.25"/>
    <row r="4" spans="1:24" ht="39" hidden="1" customHeight="1" thickBot="1" x14ac:dyDescent="0.25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 x14ac:dyDescent="0.25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 x14ac:dyDescent="0.25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 x14ac:dyDescent="0.25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 x14ac:dyDescent="0.25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 x14ac:dyDescent="0.2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 x14ac:dyDescent="0.2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 t="shared" ref="O11:O40" si="1"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2">V11*12.74</f>
        <v>5707.3790956000003</v>
      </c>
    </row>
    <row r="12" spans="1:24" ht="32.25" customHeight="1" x14ac:dyDescent="0.2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 t="shared" si="1"/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2"/>
        <v>4892.0392247999998</v>
      </c>
    </row>
    <row r="13" spans="1:24" ht="32.25" customHeight="1" x14ac:dyDescent="0.2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si="1"/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2"/>
        <v>4901.2869360000004</v>
      </c>
    </row>
    <row r="14" spans="1:24" ht="32.25" customHeight="1" x14ac:dyDescent="0.2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1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2"/>
        <v>4892.0392247999998</v>
      </c>
    </row>
    <row r="15" spans="1:24" ht="32.25" customHeight="1" x14ac:dyDescent="0.2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1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2"/>
        <v>3261.3594832000003</v>
      </c>
    </row>
    <row r="16" spans="1:24" ht="32.25" customHeight="1" x14ac:dyDescent="0.2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1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2"/>
        <v>5299.7091602</v>
      </c>
    </row>
    <row r="17" spans="1:24" s="5" customFormat="1" ht="32.25" customHeight="1" x14ac:dyDescent="0.2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1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2"/>
        <v>4484.3692893999996</v>
      </c>
    </row>
    <row r="18" spans="1:24" ht="32.25" customHeight="1" x14ac:dyDescent="0.2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1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2"/>
        <v>4484.3692893999996</v>
      </c>
    </row>
    <row r="19" spans="1:24" ht="32.25" customHeight="1" x14ac:dyDescent="0.2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1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2"/>
        <v>5299.7091602</v>
      </c>
    </row>
    <row r="20" spans="1:24" ht="32.25" customHeight="1" x14ac:dyDescent="0.2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1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2"/>
        <v>2853.6895478000001</v>
      </c>
    </row>
    <row r="21" spans="1:24" ht="32.25" customHeight="1" x14ac:dyDescent="0.2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 t="shared" si="1"/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2"/>
        <v>2853.6895478000001</v>
      </c>
    </row>
    <row r="22" spans="1:24" ht="32.25" customHeight="1" x14ac:dyDescent="0.2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1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2"/>
        <v>3261.3594832000003</v>
      </c>
    </row>
    <row r="23" spans="1:24" ht="32.25" customHeight="1" x14ac:dyDescent="0.2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 t="shared" si="1"/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2"/>
        <v>5707.3790956000003</v>
      </c>
    </row>
    <row r="24" spans="1:24" ht="32.25" customHeight="1" x14ac:dyDescent="0.2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 t="shared" si="1"/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2"/>
        <v>4892.0392247999998</v>
      </c>
    </row>
    <row r="25" spans="1:24" ht="32.25" customHeight="1" x14ac:dyDescent="0.2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 t="shared" si="1"/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2"/>
        <v>3669.0294186000001</v>
      </c>
    </row>
    <row r="26" spans="1:24" ht="32.25" customHeight="1" x14ac:dyDescent="0.2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 t="shared" si="1"/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2"/>
        <v>3261.3594832000003</v>
      </c>
    </row>
    <row r="27" spans="1:24" ht="32.25" customHeight="1" x14ac:dyDescent="0.2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1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2"/>
        <v>6522.7189664000007</v>
      </c>
    </row>
    <row r="28" spans="1:24" ht="32.25" customHeight="1" x14ac:dyDescent="0.2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1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2"/>
        <v>5299.7091602</v>
      </c>
    </row>
    <row r="29" spans="1:24" ht="32.25" customHeight="1" x14ac:dyDescent="0.2">
      <c r="A29" s="2"/>
      <c r="B29" s="6">
        <v>44854</v>
      </c>
      <c r="C29" s="7"/>
      <c r="D29" s="143">
        <v>166</v>
      </c>
      <c r="E29" s="143">
        <v>260</v>
      </c>
      <c r="F29" s="13">
        <f>'Suivi EAU-ELEC'!E28</f>
        <v>145.39999999999418</v>
      </c>
      <c r="G29" s="11"/>
      <c r="H29" s="168">
        <f t="shared" si="4"/>
        <v>1278.0659999999486</v>
      </c>
      <c r="I29" s="169"/>
      <c r="J29" s="169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 t="shared" si="1"/>
        <v>19465</v>
      </c>
      <c r="P29" s="11"/>
      <c r="Q29" s="34">
        <f t="shared" si="3"/>
        <v>18460.793799999999</v>
      </c>
      <c r="R29" s="11"/>
      <c r="S29" s="28"/>
      <c r="T29" s="11"/>
      <c r="U29" s="28"/>
      <c r="V29" s="146">
        <f>'Suvi Gaz'!O23</f>
        <v>479.98815000000002</v>
      </c>
      <c r="W29" s="11"/>
      <c r="X29" s="34">
        <f t="shared" si="2"/>
        <v>6115.0490310000005</v>
      </c>
    </row>
    <row r="30" spans="1:24" ht="32.25" customHeight="1" x14ac:dyDescent="0.2">
      <c r="A30" s="2"/>
      <c r="B30" s="6">
        <v>44855</v>
      </c>
      <c r="C30" s="7"/>
      <c r="D30" s="143">
        <v>143</v>
      </c>
      <c r="E30" s="143">
        <v>233</v>
      </c>
      <c r="F30" s="13">
        <f>'Suivi EAU-ELEC'!E29</f>
        <v>141.20000000001164</v>
      </c>
      <c r="G30" s="11"/>
      <c r="H30" s="168">
        <f t="shared" si="4"/>
        <v>1241.1480000001022</v>
      </c>
      <c r="I30" s="169"/>
      <c r="J30" s="169"/>
      <c r="K30" s="60">
        <v>42298</v>
      </c>
      <c r="L30" s="90">
        <f>'Suivi EAU-ELEC'!G29</f>
        <v>5337</v>
      </c>
      <c r="M30" s="91">
        <f>'Suivi EAU-ELEC'!I29</f>
        <v>8484</v>
      </c>
      <c r="N30" s="91">
        <f>'Suivi EAU-ELEC'!K29</f>
        <v>4221</v>
      </c>
      <c r="O30" s="91">
        <f t="shared" si="1"/>
        <v>18042</v>
      </c>
      <c r="P30" s="11"/>
      <c r="Q30" s="34">
        <f>L30*0.6985+M30*0.9514+N30*1.3304</f>
        <v>17415.190500000001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2"/>
        <v>2853.6895478000001</v>
      </c>
    </row>
    <row r="31" spans="1:24" ht="27.75" customHeight="1" x14ac:dyDescent="0.2">
      <c r="A31" s="2"/>
      <c r="B31" s="6">
        <v>44856</v>
      </c>
      <c r="C31" s="7"/>
      <c r="D31" s="143">
        <v>147</v>
      </c>
      <c r="E31" s="143">
        <v>253</v>
      </c>
      <c r="F31" s="13">
        <f>'Suivi EAU-ELEC'!E30</f>
        <v>139</v>
      </c>
      <c r="G31" s="11"/>
      <c r="H31" s="168">
        <f t="shared" si="4"/>
        <v>1221.81</v>
      </c>
      <c r="I31" s="169"/>
      <c r="J31" s="169"/>
      <c r="K31" s="60">
        <v>42299</v>
      </c>
      <c r="L31" s="90">
        <f>'Suivi EAU-ELEC'!G30</f>
        <v>4940</v>
      </c>
      <c r="M31" s="91">
        <f>'Suivi EAU-ELEC'!I30</f>
        <v>7519</v>
      </c>
      <c r="N31" s="91">
        <f>'Suivi EAU-ELEC'!K30</f>
        <v>3668</v>
      </c>
      <c r="O31" s="91">
        <f t="shared" si="1"/>
        <v>16127</v>
      </c>
      <c r="P31" s="11"/>
      <c r="Q31" s="34">
        <f>L31*0.6985+M31*0.9514+N31*1.3304</f>
        <v>15484.0738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2"/>
        <v>4484.3692893999996</v>
      </c>
    </row>
    <row r="32" spans="1:24" ht="37.5" customHeight="1" x14ac:dyDescent="0.2">
      <c r="A32" s="2"/>
      <c r="B32" s="6">
        <v>44857</v>
      </c>
      <c r="C32" s="7"/>
      <c r="D32" s="143">
        <v>133</v>
      </c>
      <c r="E32" s="143">
        <v>216</v>
      </c>
      <c r="F32" s="13">
        <f>'Suivi EAU-ELEC'!E31</f>
        <v>140</v>
      </c>
      <c r="G32" s="11"/>
      <c r="H32" s="168">
        <f t="shared" si="4"/>
        <v>1230.5999999999999</v>
      </c>
      <c r="I32" s="169"/>
      <c r="J32" s="169"/>
      <c r="K32" s="60">
        <v>42300</v>
      </c>
      <c r="L32" s="90">
        <f>'Suivi EAU-ELEC'!G31</f>
        <v>4932</v>
      </c>
      <c r="M32" s="91">
        <f>'Suivi EAU-ELEC'!I31</f>
        <v>8397</v>
      </c>
      <c r="N32" s="91">
        <f>'Suivi EAU-ELEC'!K31</f>
        <v>3987</v>
      </c>
      <c r="O32" s="91">
        <f t="shared" si="1"/>
        <v>17316</v>
      </c>
      <c r="P32" s="11"/>
      <c r="Q32" s="34">
        <f t="shared" si="3"/>
        <v>16738.212599999999</v>
      </c>
      <c r="R32" s="11"/>
      <c r="S32" s="28"/>
      <c r="T32" s="11"/>
      <c r="U32" s="28"/>
      <c r="V32" s="146">
        <f>'Suvi Gaz'!O26</f>
        <v>319.99209999999999</v>
      </c>
      <c r="W32" s="11"/>
      <c r="X32" s="34">
        <f t="shared" si="2"/>
        <v>4076.6993539999999</v>
      </c>
    </row>
    <row r="33" spans="1:24" ht="37.5" customHeight="1" x14ac:dyDescent="0.2">
      <c r="A33" s="2"/>
      <c r="B33" s="6">
        <v>44858</v>
      </c>
      <c r="C33" s="7"/>
      <c r="D33" s="143">
        <v>152</v>
      </c>
      <c r="E33" s="143">
        <v>229</v>
      </c>
      <c r="F33" s="13">
        <f>'Suivi EAU-ELEC'!E32</f>
        <v>138</v>
      </c>
      <c r="G33" s="11"/>
      <c r="H33" s="168">
        <f t="shared" si="4"/>
        <v>1213.02</v>
      </c>
      <c r="I33" s="169"/>
      <c r="J33" s="169"/>
      <c r="K33" s="60">
        <v>42301</v>
      </c>
      <c r="L33" s="90">
        <f>'Suivi EAU-ELEC'!G32</f>
        <v>4862</v>
      </c>
      <c r="M33" s="91">
        <f>'Suivi EAU-ELEC'!I32</f>
        <v>7702</v>
      </c>
      <c r="N33" s="91">
        <f>'Suivi EAU-ELEC'!K32</f>
        <v>3721</v>
      </c>
      <c r="O33" s="91">
        <f t="shared" si="1"/>
        <v>16285</v>
      </c>
      <c r="P33" s="11"/>
      <c r="Q33" s="34">
        <f t="shared" si="3"/>
        <v>15674.208200000001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2"/>
        <v>11007.088255800001</v>
      </c>
    </row>
    <row r="34" spans="1:24" ht="37.5" customHeight="1" x14ac:dyDescent="0.2">
      <c r="A34" s="2"/>
      <c r="B34" s="6">
        <v>44859</v>
      </c>
      <c r="C34" s="7"/>
      <c r="D34" s="143">
        <v>116</v>
      </c>
      <c r="E34" s="143">
        <v>173</v>
      </c>
      <c r="F34" s="13">
        <f>'Suivi EAU-ELEC'!E33</f>
        <v>184.10000000000582</v>
      </c>
      <c r="G34" s="11"/>
      <c r="H34" s="168">
        <f t="shared" si="4"/>
        <v>1618.239000000051</v>
      </c>
      <c r="I34" s="169"/>
      <c r="J34" s="169"/>
      <c r="K34" s="60">
        <v>42302</v>
      </c>
      <c r="L34" s="90">
        <f>'Suivi EAU-ELEC'!G33</f>
        <v>4727</v>
      </c>
      <c r="M34" s="91">
        <f>'Suivi EAU-ELEC'!I33</f>
        <v>7499</v>
      </c>
      <c r="N34" s="91">
        <f>'Suivi EAU-ELEC'!K33</f>
        <v>3635</v>
      </c>
      <c r="O34" s="91">
        <f t="shared" si="1"/>
        <v>15861</v>
      </c>
      <c r="P34" s="11"/>
      <c r="Q34" s="34">
        <f t="shared" si="3"/>
        <v>15272.362099999998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2"/>
        <v>4076.6993539999999</v>
      </c>
    </row>
    <row r="35" spans="1:24" ht="33.75" customHeight="1" x14ac:dyDescent="0.2">
      <c r="A35" s="2"/>
      <c r="B35" s="6">
        <v>44860</v>
      </c>
      <c r="C35" s="7"/>
      <c r="D35" s="143">
        <v>139</v>
      </c>
      <c r="E35" s="143">
        <v>201</v>
      </c>
      <c r="F35" s="13">
        <f>'Suivi EAU-ELEC'!E34</f>
        <v>103.89999999999418</v>
      </c>
      <c r="G35" s="11"/>
      <c r="H35" s="168">
        <f t="shared" si="4"/>
        <v>913.28099999994879</v>
      </c>
      <c r="I35" s="169"/>
      <c r="J35" s="169"/>
      <c r="K35" s="60">
        <v>42303</v>
      </c>
      <c r="L35" s="90">
        <f>'Suivi EAU-ELEC'!G34</f>
        <v>4874</v>
      </c>
      <c r="M35" s="91">
        <f>'Suivi EAU-ELEC'!I34</f>
        <v>7554</v>
      </c>
      <c r="N35" s="91">
        <f>'Suivi EAU-ELEC'!K34</f>
        <v>3817</v>
      </c>
      <c r="O35" s="91">
        <f t="shared" si="1"/>
        <v>16245</v>
      </c>
      <c r="P35" s="11"/>
      <c r="Q35" s="34">
        <f t="shared" si="3"/>
        <v>15669.501400000001</v>
      </c>
      <c r="R35" s="11"/>
      <c r="S35" s="28"/>
      <c r="T35" s="11"/>
      <c r="U35" s="28"/>
      <c r="V35" s="146">
        <f>'Suvi Gaz'!O29</f>
        <v>319.99209999999999</v>
      </c>
      <c r="W35" s="11"/>
      <c r="X35" s="34">
        <f t="shared" si="2"/>
        <v>4076.6993539999999</v>
      </c>
    </row>
    <row r="36" spans="1:24" ht="33.75" customHeight="1" x14ac:dyDescent="0.2">
      <c r="A36" s="2"/>
      <c r="B36" s="6">
        <v>44861</v>
      </c>
      <c r="C36" s="7"/>
      <c r="D36" s="143">
        <v>142</v>
      </c>
      <c r="E36" s="143">
        <v>212</v>
      </c>
      <c r="F36" s="13">
        <f>'Suivi EAU-ELEC'!E35</f>
        <v>137</v>
      </c>
      <c r="G36" s="11"/>
      <c r="H36" s="168">
        <f t="shared" ref="H36:H37" si="5">F36*8.79</f>
        <v>1204.2299999999998</v>
      </c>
      <c r="I36" s="169"/>
      <c r="J36" s="169"/>
      <c r="K36" s="60"/>
      <c r="L36" s="90">
        <f>'Suivi EAU-ELEC'!G35</f>
        <v>4664</v>
      </c>
      <c r="M36" s="91">
        <f>'Suivi EAU-ELEC'!I35</f>
        <v>7585</v>
      </c>
      <c r="N36" s="91">
        <f>'Suivi EAU-ELEC'!K35</f>
        <v>3819</v>
      </c>
      <c r="O36" s="91">
        <f t="shared" si="1"/>
        <v>16068</v>
      </c>
      <c r="P36" s="11"/>
      <c r="Q36" s="34">
        <f t="shared" si="3"/>
        <v>15554.970600000001</v>
      </c>
      <c r="R36" s="11"/>
      <c r="S36" s="28"/>
      <c r="T36" s="11"/>
      <c r="U36" s="28"/>
      <c r="V36" s="146">
        <f>'Suvi Gaz'!O30</f>
        <v>319.99209999999999</v>
      </c>
      <c r="W36" s="11"/>
      <c r="X36" s="34">
        <f t="shared" si="2"/>
        <v>4076.6993539999999</v>
      </c>
    </row>
    <row r="37" spans="1:24" ht="33.75" customHeight="1" x14ac:dyDescent="0.2">
      <c r="A37" s="2"/>
      <c r="B37" s="6">
        <v>44862</v>
      </c>
      <c r="C37" s="7"/>
      <c r="D37" s="143">
        <v>113</v>
      </c>
      <c r="E37" s="143">
        <v>191</v>
      </c>
      <c r="F37" s="13">
        <f>'Suivi EAU-ELEC'!E36</f>
        <v>151.89999999999418</v>
      </c>
      <c r="G37" s="11"/>
      <c r="H37" s="168">
        <f t="shared" si="5"/>
        <v>1335.2009999999486</v>
      </c>
      <c r="I37" s="169"/>
      <c r="J37" s="169"/>
      <c r="K37" s="60"/>
      <c r="L37" s="90">
        <f>'Suivi EAU-ELEC'!G36</f>
        <v>5421</v>
      </c>
      <c r="M37" s="91">
        <f>'Suivi EAU-ELEC'!I36</f>
        <v>7403</v>
      </c>
      <c r="N37" s="91">
        <f>'Suivi EAU-ELEC'!K36</f>
        <v>3728</v>
      </c>
      <c r="O37" s="91">
        <f t="shared" si="1"/>
        <v>16552</v>
      </c>
      <c r="P37" s="11"/>
      <c r="Q37" s="34">
        <f>L37*0.6985+M37*0.9514+N37*1.3304</f>
        <v>15789.5139</v>
      </c>
      <c r="R37" s="11"/>
      <c r="S37" s="28"/>
      <c r="T37" s="11"/>
      <c r="U37" s="28"/>
      <c r="V37" s="146">
        <f>'Suvi Gaz'!O31</f>
        <v>511.98736000000002</v>
      </c>
      <c r="W37" s="11"/>
      <c r="X37" s="34">
        <f t="shared" si="2"/>
        <v>6522.7189664000007</v>
      </c>
    </row>
    <row r="38" spans="1:24" ht="33.75" customHeight="1" x14ac:dyDescent="0.2">
      <c r="A38" s="2"/>
      <c r="B38" s="6">
        <v>44863</v>
      </c>
      <c r="C38" s="7"/>
      <c r="D38" s="143">
        <v>153</v>
      </c>
      <c r="E38" s="143">
        <v>256</v>
      </c>
      <c r="F38" s="13">
        <f>'Suivi EAU-ELEC'!E37</f>
        <v>165.60000000000582</v>
      </c>
      <c r="G38" s="11"/>
      <c r="H38" s="168">
        <f>F38*8.79</f>
        <v>1455.624000000051</v>
      </c>
      <c r="I38" s="169"/>
      <c r="J38" s="169"/>
      <c r="K38" s="60">
        <v>42304</v>
      </c>
      <c r="L38" s="90">
        <f>'Suivi EAU-ELEC'!G37</f>
        <v>5751</v>
      </c>
      <c r="M38" s="91">
        <f>'Suivi EAU-ELEC'!I37</f>
        <v>7361</v>
      </c>
      <c r="N38" s="91">
        <f>'Suivi EAU-ELEC'!K37</f>
        <v>3837</v>
      </c>
      <c r="O38" s="91">
        <f t="shared" si="1"/>
        <v>16949</v>
      </c>
      <c r="P38" s="11"/>
      <c r="Q38" s="34">
        <f>L38*0.6985+M38*0.9514+N38*1.3304</f>
        <v>16125.073700000001</v>
      </c>
      <c r="R38" s="11"/>
      <c r="S38" s="28"/>
      <c r="T38" s="11"/>
      <c r="U38" s="28"/>
      <c r="V38" s="146">
        <f>'Suvi Gaz'!O32</f>
        <v>127.99684000000001</v>
      </c>
      <c r="W38" s="11"/>
      <c r="X38" s="34">
        <f t="shared" si="2"/>
        <v>1630.6797416000002</v>
      </c>
    </row>
    <row r="39" spans="1:24" ht="33.75" customHeight="1" x14ac:dyDescent="0.2">
      <c r="A39" s="2"/>
      <c r="B39" s="6">
        <v>44864</v>
      </c>
      <c r="C39" s="7"/>
      <c r="D39" s="143">
        <v>135</v>
      </c>
      <c r="E39" s="143">
        <v>221</v>
      </c>
      <c r="F39" s="13">
        <f>'Suivi EAU-ELEC'!E38</f>
        <v>151.5</v>
      </c>
      <c r="G39" s="11"/>
      <c r="H39" s="168">
        <f>F39*8.79</f>
        <v>1331.6849999999999</v>
      </c>
      <c r="I39" s="169"/>
      <c r="J39" s="169"/>
      <c r="K39" s="60"/>
      <c r="L39" s="90">
        <f>'Suivi EAU-ELEC'!G38</f>
        <v>4749</v>
      </c>
      <c r="M39" s="91">
        <f>'Suivi EAU-ELEC'!I38</f>
        <v>7718</v>
      </c>
      <c r="N39" s="91">
        <f>'Suivi EAU-ELEC'!K38</f>
        <v>3765</v>
      </c>
      <c r="O39" s="91">
        <f t="shared" si="1"/>
        <v>16232</v>
      </c>
      <c r="P39" s="11"/>
      <c r="Q39" s="34">
        <f>L39*0.6985+M39*0.9514+N39*1.3304</f>
        <v>15669.037700000001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2"/>
        <v>3669.0294186000001</v>
      </c>
    </row>
    <row r="40" spans="1:24" ht="33.75" customHeight="1" x14ac:dyDescent="0.2">
      <c r="A40" s="2"/>
      <c r="B40" s="6">
        <v>44865</v>
      </c>
      <c r="C40" s="7"/>
      <c r="D40" s="143">
        <v>135</v>
      </c>
      <c r="E40" s="143">
        <v>214</v>
      </c>
      <c r="F40" s="13">
        <f>'Suivi EAU-ELEC'!E39</f>
        <v>159</v>
      </c>
      <c r="G40" s="11"/>
      <c r="H40" s="168">
        <f>F40*8.79</f>
        <v>1397.61</v>
      </c>
      <c r="I40" s="169"/>
      <c r="J40" s="169"/>
      <c r="K40" s="60"/>
      <c r="L40" s="90">
        <f>'Suivi EAU-ELEC'!G39</f>
        <v>4807</v>
      </c>
      <c r="M40" s="91">
        <f>'Suivi EAU-ELEC'!I39</f>
        <v>7909</v>
      </c>
      <c r="N40" s="91">
        <f>'Suivi EAU-ELEC'!K39</f>
        <v>3853</v>
      </c>
      <c r="O40" s="91">
        <f t="shared" si="1"/>
        <v>16569</v>
      </c>
      <c r="P40" s="11"/>
      <c r="Q40" s="34">
        <f t="shared" ref="Q40" si="6">L40*0.6985+M40*0.9514+N40*1.3304</f>
        <v>16008.3433</v>
      </c>
      <c r="R40" s="11"/>
      <c r="S40" s="28"/>
      <c r="T40" s="11"/>
      <c r="U40" s="28"/>
      <c r="V40" s="146">
        <f>'Suvi Gaz'!O34</f>
        <v>447.98894000000001</v>
      </c>
      <c r="W40" s="11"/>
      <c r="X40" s="34">
        <f t="shared" si="2"/>
        <v>5707.3790956000003</v>
      </c>
    </row>
    <row r="41" spans="1:24" ht="42.75" customHeight="1" x14ac:dyDescent="0.2">
      <c r="A41" s="2"/>
      <c r="B41" s="10"/>
      <c r="C41" s="10"/>
      <c r="D41" s="8">
        <f>SUM(D10:D40)</f>
        <v>4199</v>
      </c>
      <c r="E41" s="8">
        <f>SUM(E10:E40)</f>
        <v>6495</v>
      </c>
      <c r="F41" s="152">
        <f>SUM(F10:F40)</f>
        <v>4407.2999999999884</v>
      </c>
      <c r="G41" s="1"/>
      <c r="H41" s="249">
        <f>SUM(H10:H40)</f>
        <v>38740.166999999899</v>
      </c>
      <c r="I41" s="250"/>
      <c r="J41" s="251"/>
      <c r="K41" s="1"/>
      <c r="L41" s="53">
        <f>SUM(L10:L40)</f>
        <v>164369</v>
      </c>
      <c r="M41" s="53">
        <f>SUM(M10:M40)</f>
        <v>251102</v>
      </c>
      <c r="N41" s="54">
        <f>SUM(N10:N40)</f>
        <v>122649</v>
      </c>
      <c r="O41" s="55">
        <f>SUM(O10:O40)</f>
        <v>538120</v>
      </c>
      <c r="P41" s="31"/>
      <c r="Q41" s="34">
        <f t="shared" ref="Q41" si="7">L41*0.6985+M41*0.9514+N41*1.3304</f>
        <v>516882.41890000005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11456.443059999996</v>
      </c>
      <c r="W41" s="31"/>
      <c r="X41" s="32">
        <f>SUM(X10:X40)</f>
        <v>145955.08458439997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 x14ac:dyDescent="0.25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164369</v>
      </c>
      <c r="J44" s="210"/>
      <c r="K44" s="211"/>
      <c r="L44" s="170">
        <f>I44*H44</f>
        <v>114811.74650000001</v>
      </c>
      <c r="M44" s="171"/>
      <c r="N44" s="227">
        <f>L44+L45+L46</f>
        <v>516882.41890000005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 x14ac:dyDescent="0.25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251102</v>
      </c>
      <c r="J45" s="210"/>
      <c r="K45" s="211"/>
      <c r="L45" s="170">
        <f>I45*H45</f>
        <v>238898.44280000002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 x14ac:dyDescent="0.25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122649</v>
      </c>
      <c r="J46" s="241"/>
      <c r="K46" s="242"/>
      <c r="L46" s="170">
        <f>I46*H46</f>
        <v>163172.22959999999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671947.14457000012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 x14ac:dyDescent="0.25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4407.2999999999884</v>
      </c>
      <c r="J48" s="202"/>
      <c r="K48" s="203"/>
      <c r="L48" s="207">
        <f>I48*H48</f>
        <v>38740.166999999892</v>
      </c>
      <c r="M48" s="208"/>
      <c r="N48" s="224">
        <f>L48</f>
        <v>38740.166999999892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 x14ac:dyDescent="0.2">
      <c r="A49" s="236" t="s">
        <v>40</v>
      </c>
      <c r="B49" s="237"/>
      <c r="C49" s="237"/>
      <c r="D49" s="237"/>
      <c r="E49" s="237"/>
      <c r="F49" s="238"/>
      <c r="G49" s="24"/>
      <c r="H49" s="25">
        <v>12.24</v>
      </c>
      <c r="I49" s="199">
        <f>V41</f>
        <v>11456.443059999996</v>
      </c>
      <c r="J49" s="239"/>
      <c r="K49" s="200"/>
      <c r="L49" s="199">
        <f>I49*H49</f>
        <v>140226.86305439996</v>
      </c>
      <c r="M49" s="200"/>
      <c r="N49" s="221">
        <f>L49</f>
        <v>140226.86305439996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33" sqref="N33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 x14ac:dyDescent="0.3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 x14ac:dyDescent="0.3">
      <c r="A11" s="59">
        <v>44837</v>
      </c>
      <c r="B11" s="116">
        <v>2560</v>
      </c>
      <c r="C11" s="115">
        <f t="shared" ref="C11:C38" si="0">B11-B10</f>
        <v>0</v>
      </c>
      <c r="D11" s="57">
        <v>168386</v>
      </c>
      <c r="E11" s="50">
        <f t="shared" ref="E11:E40" si="1">D11-D10</f>
        <v>134</v>
      </c>
      <c r="F11" s="51">
        <v>12482017</v>
      </c>
      <c r="G11" s="50">
        <f t="shared" ref="G11:G40" si="2">F11-F10</f>
        <v>5388</v>
      </c>
      <c r="H11" s="51">
        <v>21377728</v>
      </c>
      <c r="I11" s="50">
        <f t="shared" ref="I11:I40" si="3">H11-H10</f>
        <v>7402</v>
      </c>
      <c r="J11" s="51">
        <v>9350842</v>
      </c>
      <c r="K11" s="50">
        <f t="shared" ref="K11:K40" si="4">J11-J10</f>
        <v>3620</v>
      </c>
    </row>
    <row r="12" spans="1:12" ht="19.5" x14ac:dyDescent="0.3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 x14ac:dyDescent="0.3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 x14ac:dyDescent="0.3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 x14ac:dyDescent="0.3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 x14ac:dyDescent="0.3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 x14ac:dyDescent="0.3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 x14ac:dyDescent="0.3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 x14ac:dyDescent="0.3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 x14ac:dyDescent="0.3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 x14ac:dyDescent="0.3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 x14ac:dyDescent="0.3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 x14ac:dyDescent="0.3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 x14ac:dyDescent="0.3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 x14ac:dyDescent="0.3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 x14ac:dyDescent="0.3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 x14ac:dyDescent="0.3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 x14ac:dyDescent="0.3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 x14ac:dyDescent="0.3">
      <c r="A29" s="59">
        <v>44855</v>
      </c>
      <c r="B29" s="116">
        <v>2569</v>
      </c>
      <c r="C29" s="115">
        <f t="shared" si="0"/>
        <v>0</v>
      </c>
      <c r="D29" s="57">
        <v>170930</v>
      </c>
      <c r="E29" s="50">
        <f t="shared" si="1"/>
        <v>141.20000000001164</v>
      </c>
      <c r="F29" s="51">
        <v>12580043</v>
      </c>
      <c r="G29" s="50">
        <f t="shared" si="2"/>
        <v>5337</v>
      </c>
      <c r="H29" s="51">
        <v>21528148</v>
      </c>
      <c r="I29" s="50">
        <f t="shared" si="3"/>
        <v>8484</v>
      </c>
      <c r="J29" s="51">
        <v>9424032</v>
      </c>
      <c r="K29" s="50">
        <f t="shared" si="4"/>
        <v>4221</v>
      </c>
    </row>
    <row r="30" spans="1:29" ht="19.5" x14ac:dyDescent="0.3">
      <c r="A30" s="59">
        <v>44856</v>
      </c>
      <c r="B30" s="116">
        <v>2569</v>
      </c>
      <c r="C30" s="115">
        <f t="shared" si="0"/>
        <v>0</v>
      </c>
      <c r="D30" s="57">
        <v>171069</v>
      </c>
      <c r="E30" s="50">
        <f t="shared" si="1"/>
        <v>139</v>
      </c>
      <c r="F30" s="51">
        <v>12584983</v>
      </c>
      <c r="G30" s="50">
        <f t="shared" si="2"/>
        <v>4940</v>
      </c>
      <c r="H30" s="51">
        <v>21535667</v>
      </c>
      <c r="I30" s="50">
        <f t="shared" si="3"/>
        <v>7519</v>
      </c>
      <c r="J30" s="51">
        <v>9427700</v>
      </c>
      <c r="K30" s="50">
        <f t="shared" si="4"/>
        <v>3668</v>
      </c>
    </row>
    <row r="31" spans="1:29" ht="19.5" x14ac:dyDescent="0.3">
      <c r="A31" s="59">
        <v>44857</v>
      </c>
      <c r="B31" s="116">
        <v>2569</v>
      </c>
      <c r="C31" s="115">
        <f t="shared" si="0"/>
        <v>0</v>
      </c>
      <c r="D31" s="57">
        <v>171209</v>
      </c>
      <c r="E31" s="50">
        <f t="shared" si="1"/>
        <v>140</v>
      </c>
      <c r="F31" s="51">
        <v>12589915</v>
      </c>
      <c r="G31" s="50">
        <f t="shared" si="2"/>
        <v>4932</v>
      </c>
      <c r="H31" s="51">
        <v>21544064</v>
      </c>
      <c r="I31" s="50">
        <f t="shared" si="3"/>
        <v>8397</v>
      </c>
      <c r="J31" s="51">
        <v>9431687</v>
      </c>
      <c r="K31" s="50">
        <f t="shared" si="4"/>
        <v>3987</v>
      </c>
    </row>
    <row r="32" spans="1:29" ht="19.5" x14ac:dyDescent="0.3">
      <c r="A32" s="59">
        <v>44858</v>
      </c>
      <c r="B32" s="116">
        <v>2569</v>
      </c>
      <c r="C32" s="115">
        <f t="shared" si="0"/>
        <v>0</v>
      </c>
      <c r="D32" s="57">
        <v>171347</v>
      </c>
      <c r="E32" s="50">
        <f t="shared" si="1"/>
        <v>138</v>
      </c>
      <c r="F32" s="51">
        <v>12594777</v>
      </c>
      <c r="G32" s="50">
        <f t="shared" si="2"/>
        <v>4862</v>
      </c>
      <c r="H32" s="51">
        <v>21551766</v>
      </c>
      <c r="I32" s="50">
        <f t="shared" si="3"/>
        <v>7702</v>
      </c>
      <c r="J32" s="51">
        <v>9435408</v>
      </c>
      <c r="K32" s="50">
        <f t="shared" si="4"/>
        <v>3721</v>
      </c>
    </row>
    <row r="33" spans="1:11" ht="19.5" x14ac:dyDescent="0.3">
      <c r="A33" s="59">
        <v>44859</v>
      </c>
      <c r="B33" s="116">
        <v>2569</v>
      </c>
      <c r="C33" s="115">
        <f t="shared" si="0"/>
        <v>0</v>
      </c>
      <c r="D33" s="57">
        <v>171531.1</v>
      </c>
      <c r="E33" s="50">
        <f t="shared" si="1"/>
        <v>184.10000000000582</v>
      </c>
      <c r="F33" s="51">
        <v>12599504</v>
      </c>
      <c r="G33" s="50">
        <f t="shared" si="2"/>
        <v>4727</v>
      </c>
      <c r="H33" s="51">
        <v>21559265</v>
      </c>
      <c r="I33" s="50">
        <f t="shared" si="3"/>
        <v>7499</v>
      </c>
      <c r="J33" s="51">
        <v>9439043</v>
      </c>
      <c r="K33" s="50">
        <f t="shared" si="4"/>
        <v>3635</v>
      </c>
    </row>
    <row r="34" spans="1:11" ht="19.5" x14ac:dyDescent="0.3">
      <c r="A34" s="59">
        <v>44860</v>
      </c>
      <c r="B34" s="116">
        <v>2569</v>
      </c>
      <c r="C34" s="115">
        <f t="shared" si="0"/>
        <v>0</v>
      </c>
      <c r="D34" s="57">
        <v>171635</v>
      </c>
      <c r="E34" s="50">
        <f t="shared" si="1"/>
        <v>103.89999999999418</v>
      </c>
      <c r="F34" s="51">
        <v>12604378</v>
      </c>
      <c r="G34" s="50">
        <f t="shared" si="2"/>
        <v>4874</v>
      </c>
      <c r="H34" s="51">
        <v>21566819</v>
      </c>
      <c r="I34" s="50">
        <f t="shared" si="3"/>
        <v>7554</v>
      </c>
      <c r="J34" s="51">
        <v>9442860</v>
      </c>
      <c r="K34" s="50">
        <f t="shared" si="4"/>
        <v>3817</v>
      </c>
    </row>
    <row r="35" spans="1:11" ht="19.5" x14ac:dyDescent="0.3">
      <c r="A35" s="59">
        <v>44861</v>
      </c>
      <c r="B35" s="116">
        <v>2569</v>
      </c>
      <c r="C35" s="115">
        <f t="shared" si="0"/>
        <v>0</v>
      </c>
      <c r="D35" s="57">
        <v>171772</v>
      </c>
      <c r="E35" s="50">
        <f t="shared" si="1"/>
        <v>137</v>
      </c>
      <c r="F35" s="51">
        <v>12609042</v>
      </c>
      <c r="G35" s="50">
        <f t="shared" si="2"/>
        <v>4664</v>
      </c>
      <c r="H35" s="51">
        <v>21574404</v>
      </c>
      <c r="I35" s="50">
        <f t="shared" si="3"/>
        <v>7585</v>
      </c>
      <c r="J35" s="51">
        <v>9446679</v>
      </c>
      <c r="K35" s="50">
        <f t="shared" si="4"/>
        <v>3819</v>
      </c>
    </row>
    <row r="36" spans="1:11" ht="19.5" x14ac:dyDescent="0.3">
      <c r="A36" s="59">
        <v>44862</v>
      </c>
      <c r="B36" s="116">
        <v>2569</v>
      </c>
      <c r="C36" s="115">
        <f t="shared" si="0"/>
        <v>0</v>
      </c>
      <c r="D36" s="57">
        <v>171923.9</v>
      </c>
      <c r="E36" s="50">
        <f t="shared" si="1"/>
        <v>151.89999999999418</v>
      </c>
      <c r="F36" s="51">
        <v>12614463</v>
      </c>
      <c r="G36" s="50">
        <f t="shared" si="2"/>
        <v>5421</v>
      </c>
      <c r="H36" s="51">
        <v>21581807</v>
      </c>
      <c r="I36" s="50">
        <f t="shared" si="3"/>
        <v>7403</v>
      </c>
      <c r="J36" s="51">
        <v>9450407</v>
      </c>
      <c r="K36" s="50">
        <f t="shared" si="4"/>
        <v>3728</v>
      </c>
    </row>
    <row r="37" spans="1:11" ht="19.5" x14ac:dyDescent="0.3">
      <c r="A37" s="59">
        <v>44863</v>
      </c>
      <c r="B37" s="116">
        <v>2569</v>
      </c>
      <c r="C37" s="115">
        <f t="shared" si="0"/>
        <v>0</v>
      </c>
      <c r="D37" s="57">
        <v>172089.5</v>
      </c>
      <c r="E37" s="50">
        <f t="shared" si="1"/>
        <v>165.60000000000582</v>
      </c>
      <c r="F37" s="51">
        <v>12620214</v>
      </c>
      <c r="G37" s="50">
        <f t="shared" si="2"/>
        <v>5751</v>
      </c>
      <c r="H37" s="51">
        <v>21589168</v>
      </c>
      <c r="I37" s="50">
        <f t="shared" si="3"/>
        <v>7361</v>
      </c>
      <c r="J37" s="51">
        <v>9454244</v>
      </c>
      <c r="K37" s="50">
        <f t="shared" si="4"/>
        <v>3837</v>
      </c>
    </row>
    <row r="38" spans="1:11" ht="19.5" x14ac:dyDescent="0.3">
      <c r="A38" s="59">
        <v>44864</v>
      </c>
      <c r="B38" s="116">
        <v>2569</v>
      </c>
      <c r="C38" s="115">
        <f t="shared" si="0"/>
        <v>0</v>
      </c>
      <c r="D38" s="57">
        <v>172241</v>
      </c>
      <c r="E38" s="50">
        <f t="shared" si="1"/>
        <v>151.5</v>
      </c>
      <c r="F38" s="51">
        <v>12624963</v>
      </c>
      <c r="G38" s="50">
        <f t="shared" si="2"/>
        <v>4749</v>
      </c>
      <c r="H38" s="51">
        <v>21596886</v>
      </c>
      <c r="I38" s="50">
        <f t="shared" si="3"/>
        <v>7718</v>
      </c>
      <c r="J38" s="51">
        <v>9458009</v>
      </c>
      <c r="K38" s="50">
        <f t="shared" si="4"/>
        <v>3765</v>
      </c>
    </row>
    <row r="39" spans="1:11" ht="19.5" x14ac:dyDescent="0.3">
      <c r="A39" s="59">
        <v>44865</v>
      </c>
      <c r="B39" s="116">
        <v>2569</v>
      </c>
      <c r="C39" s="115">
        <f>B39-B37</f>
        <v>0</v>
      </c>
      <c r="D39" s="57">
        <v>172400</v>
      </c>
      <c r="E39" s="50">
        <f t="shared" si="1"/>
        <v>159</v>
      </c>
      <c r="F39" s="51">
        <v>12629770</v>
      </c>
      <c r="G39" s="50">
        <f t="shared" si="2"/>
        <v>4807</v>
      </c>
      <c r="H39" s="51">
        <v>21604795</v>
      </c>
      <c r="I39" s="50">
        <f t="shared" si="3"/>
        <v>7909</v>
      </c>
      <c r="J39" s="51">
        <v>9461862</v>
      </c>
      <c r="K39" s="50">
        <f t="shared" si="4"/>
        <v>3853</v>
      </c>
    </row>
    <row r="40" spans="1:11" ht="19.5" x14ac:dyDescent="0.3">
      <c r="A40" s="59">
        <v>44866</v>
      </c>
      <c r="B40" s="116">
        <v>2569</v>
      </c>
      <c r="C40" s="115">
        <f>B40-B38</f>
        <v>0</v>
      </c>
      <c r="D40" s="57">
        <v>172580</v>
      </c>
      <c r="E40" s="50">
        <f t="shared" si="1"/>
        <v>180</v>
      </c>
      <c r="F40" s="51">
        <v>12634618</v>
      </c>
      <c r="G40" s="50">
        <f t="shared" si="2"/>
        <v>4848</v>
      </c>
      <c r="H40" s="51">
        <v>21612801</v>
      </c>
      <c r="I40" s="50">
        <f t="shared" si="3"/>
        <v>8006</v>
      </c>
      <c r="J40" s="51">
        <v>9466063</v>
      </c>
      <c r="K40" s="50">
        <f t="shared" si="4"/>
        <v>4201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B35" sqref="B35:H35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O4*12.24</f>
        <v>5875.0549559999999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44836</v>
      </c>
      <c r="B5" s="41">
        <v>80</v>
      </c>
      <c r="C5" s="39">
        <f t="shared" ref="C5:C35" si="7">IF(AC5&gt;0,((B5-R5)+(S5-B6)),IF(B6=0, ,(B5-B6)))</f>
        <v>4</v>
      </c>
      <c r="D5" s="41">
        <v>76</v>
      </c>
      <c r="E5" s="39">
        <f t="shared" ref="E5:E35" si="8">IF(AC5&gt;0,((D5-U5)+(V5-D6)),IF(D6=0, ,(D5-D6)))</f>
        <v>3</v>
      </c>
      <c r="F5" s="41">
        <v>79</v>
      </c>
      <c r="G5" s="39">
        <f t="shared" ref="G5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6" si="10">O5*12.24</f>
        <v>5483.3846256000006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4700.0439648000001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4708.9287360000008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4700.0439648000001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3133.3626432000001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5091.7142952000004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4308.3736343999999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4308.3736343999999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5091.7142952000004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 x14ac:dyDescent="0.3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2741.6923128000003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2741.6923128000003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3133.3626432000001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5483.3846256000006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4700.0439648000001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3525.0329735999999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3133.3626432000001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6266.7252864000002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1"/>
        <v>4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5091.7142952000004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44854</v>
      </c>
      <c r="B23" s="41">
        <v>60</v>
      </c>
      <c r="C23" s="39">
        <f t="shared" si="7"/>
        <v>3</v>
      </c>
      <c r="D23" s="41">
        <v>60</v>
      </c>
      <c r="E23" s="39">
        <f t="shared" si="8"/>
        <v>3</v>
      </c>
      <c r="F23" s="41">
        <v>62</v>
      </c>
      <c r="G23" s="39">
        <f t="shared" si="9"/>
        <v>4</v>
      </c>
      <c r="H23" s="41">
        <v>61</v>
      </c>
      <c r="I23" s="39">
        <f t="shared" si="11"/>
        <v>5</v>
      </c>
      <c r="J23" s="39">
        <f t="shared" si="12"/>
        <v>243</v>
      </c>
      <c r="K23" s="39">
        <f t="shared" si="13"/>
        <v>60.75</v>
      </c>
      <c r="L23" s="39">
        <f t="shared" si="18"/>
        <v>3.75</v>
      </c>
      <c r="M23" s="149">
        <f t="shared" si="17"/>
        <v>24196</v>
      </c>
      <c r="N23" s="39">
        <f t="shared" si="15"/>
        <v>907.35</v>
      </c>
      <c r="O23" s="39">
        <f t="shared" si="16"/>
        <v>479.98815000000002</v>
      </c>
      <c r="P23" s="42">
        <f t="shared" si="10"/>
        <v>5875.0549559999999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44855</v>
      </c>
      <c r="B24" s="41">
        <v>57</v>
      </c>
      <c r="C24" s="39">
        <f t="shared" si="7"/>
        <v>2</v>
      </c>
      <c r="D24" s="41">
        <v>57</v>
      </c>
      <c r="E24" s="39">
        <f t="shared" si="8"/>
        <v>2</v>
      </c>
      <c r="F24" s="41">
        <v>58</v>
      </c>
      <c r="G24" s="39">
        <f t="shared" si="9"/>
        <v>2</v>
      </c>
      <c r="H24" s="41">
        <v>56</v>
      </c>
      <c r="I24" s="39">
        <f t="shared" si="11"/>
        <v>1</v>
      </c>
      <c r="J24" s="39">
        <f t="shared" si="12"/>
        <v>228</v>
      </c>
      <c r="K24" s="39">
        <f t="shared" si="13"/>
        <v>57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2741.6923128000003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44856</v>
      </c>
      <c r="B25" s="41">
        <v>55</v>
      </c>
      <c r="C25" s="39">
        <f t="shared" si="7"/>
        <v>5</v>
      </c>
      <c r="D25" s="41">
        <v>55</v>
      </c>
      <c r="E25" s="39">
        <f t="shared" si="8"/>
        <v>2</v>
      </c>
      <c r="F25" s="41">
        <v>56</v>
      </c>
      <c r="G25" s="39">
        <f t="shared" si="9"/>
        <v>1</v>
      </c>
      <c r="H25" s="41">
        <v>55</v>
      </c>
      <c r="I25" s="39">
        <f t="shared" si="11"/>
        <v>3</v>
      </c>
      <c r="J25" s="39">
        <f t="shared" si="12"/>
        <v>221</v>
      </c>
      <c r="K25" s="39">
        <f t="shared" si="13"/>
        <v>55.25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4308.3736343999999</v>
      </c>
      <c r="Q25" s="39">
        <v>2876</v>
      </c>
      <c r="R25" s="39">
        <v>50</v>
      </c>
      <c r="S25" s="39">
        <v>85</v>
      </c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2876</v>
      </c>
      <c r="AD25" s="38">
        <f t="shared" ref="AD25:AD42" si="19">(R25+U25+X25+AA25)/4</f>
        <v>12.5</v>
      </c>
      <c r="AE25" s="38">
        <f>(S25+V25+Y25+AB25)/4</f>
        <v>21.25</v>
      </c>
    </row>
    <row r="26" spans="1:31" ht="32.25" customHeight="1" x14ac:dyDescent="0.3">
      <c r="A26" s="40">
        <v>44857</v>
      </c>
      <c r="B26" s="41">
        <v>85</v>
      </c>
      <c r="C26" s="39">
        <f t="shared" si="7"/>
        <v>5</v>
      </c>
      <c r="D26" s="41">
        <v>53</v>
      </c>
      <c r="E26" s="39">
        <f t="shared" si="8"/>
        <v>3</v>
      </c>
      <c r="F26" s="41">
        <v>55</v>
      </c>
      <c r="G26" s="39">
        <f t="shared" si="9"/>
        <v>1</v>
      </c>
      <c r="H26" s="41">
        <v>52</v>
      </c>
      <c r="I26" s="39">
        <f t="shared" si="11"/>
        <v>1</v>
      </c>
      <c r="J26" s="39">
        <f t="shared" si="12"/>
        <v>245</v>
      </c>
      <c r="K26" s="39">
        <f t="shared" si="13"/>
        <v>61.25</v>
      </c>
      <c r="L26" s="39">
        <f t="shared" si="18"/>
        <v>2.5</v>
      </c>
      <c r="M26" s="149">
        <f t="shared" si="17"/>
        <v>24196</v>
      </c>
      <c r="N26" s="39">
        <f t="shared" si="15"/>
        <v>604.9</v>
      </c>
      <c r="O26" s="39">
        <f t="shared" si="16"/>
        <v>319.99209999999999</v>
      </c>
      <c r="P26" s="42">
        <f t="shared" si="10"/>
        <v>3916.7033040000001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44858</v>
      </c>
      <c r="B27" s="41">
        <v>80</v>
      </c>
      <c r="C27" s="39">
        <f t="shared" ref="C27" si="21">IF(AC27&gt;0,((B27-R27)+(S27-B28)),IF(B28=0, ,(B27-B28)))</f>
        <v>2</v>
      </c>
      <c r="D27" s="41">
        <v>50</v>
      </c>
      <c r="E27" s="39">
        <f t="shared" ref="E27" si="22">IF(AC27&gt;0,((D27-U27)+(V27-D28)),IF(D28=0, ,(D27-D28)))</f>
        <v>0</v>
      </c>
      <c r="F27" s="41">
        <v>54</v>
      </c>
      <c r="G27" s="39">
        <f t="shared" ref="G27" si="23">IF(AC27&gt;0,((F27-X27)+(Y27-F28)),IF(F28=0, ,(F27-F28)))</f>
        <v>14</v>
      </c>
      <c r="H27" s="41">
        <v>51</v>
      </c>
      <c r="I27" s="39">
        <f t="shared" si="11"/>
        <v>11</v>
      </c>
      <c r="J27" s="39">
        <f t="shared" si="12"/>
        <v>235</v>
      </c>
      <c r="K27" s="39">
        <f t="shared" si="13"/>
        <v>58.75</v>
      </c>
      <c r="L27" s="39">
        <f t="shared" si="18"/>
        <v>6.75</v>
      </c>
      <c r="M27" s="149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0"/>
        <v>10575.098920800001</v>
      </c>
      <c r="Q27" s="39"/>
      <c r="R27" s="39"/>
      <c r="S27" s="39"/>
      <c r="T27" s="39">
        <v>2334</v>
      </c>
      <c r="U27" s="39">
        <v>50</v>
      </c>
      <c r="V27" s="39">
        <v>75</v>
      </c>
      <c r="W27" s="39">
        <v>2334</v>
      </c>
      <c r="X27" s="39">
        <v>50</v>
      </c>
      <c r="Y27" s="39">
        <v>75</v>
      </c>
      <c r="Z27" s="39">
        <v>2334</v>
      </c>
      <c r="AA27" s="39">
        <v>50</v>
      </c>
      <c r="AB27" s="39">
        <v>75</v>
      </c>
      <c r="AC27" s="39">
        <f t="shared" si="20"/>
        <v>7002</v>
      </c>
      <c r="AD27" s="38">
        <f t="shared" si="19"/>
        <v>37.5</v>
      </c>
      <c r="AE27" s="38">
        <f>(S27+V27+Y27+AB27)/4</f>
        <v>56.25</v>
      </c>
    </row>
    <row r="28" spans="1:31" ht="32.25" customHeight="1" x14ac:dyDescent="0.3">
      <c r="A28" s="40">
        <v>44859</v>
      </c>
      <c r="B28" s="41">
        <v>78</v>
      </c>
      <c r="C28" s="39">
        <f t="shared" si="7"/>
        <v>3</v>
      </c>
      <c r="D28" s="41">
        <v>75</v>
      </c>
      <c r="E28" s="39">
        <f t="shared" si="8"/>
        <v>5</v>
      </c>
      <c r="F28" s="41">
        <v>65</v>
      </c>
      <c r="G28" s="39">
        <f t="shared" si="9"/>
        <v>1</v>
      </c>
      <c r="H28" s="41">
        <v>65</v>
      </c>
      <c r="I28" s="39">
        <f>IF(AC28&gt;0,((H28-AA28)+(AB28-H29)),IF(H29=0, ,(H28-H29)))</f>
        <v>1</v>
      </c>
      <c r="J28" s="39">
        <f t="shared" si="12"/>
        <v>283</v>
      </c>
      <c r="K28" s="39">
        <f t="shared" si="13"/>
        <v>70.75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3916.7033040000001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44860</v>
      </c>
      <c r="B29" s="41">
        <v>75</v>
      </c>
      <c r="C29" s="39">
        <f t="shared" si="7"/>
        <v>3</v>
      </c>
      <c r="D29" s="41">
        <v>70</v>
      </c>
      <c r="E29" s="39">
        <f t="shared" si="8"/>
        <v>3</v>
      </c>
      <c r="F29" s="41">
        <v>64</v>
      </c>
      <c r="G29" s="39">
        <f t="shared" si="9"/>
        <v>2</v>
      </c>
      <c r="H29" s="41">
        <v>64</v>
      </c>
      <c r="I29" s="39">
        <f t="shared" si="11"/>
        <v>2</v>
      </c>
      <c r="J29" s="39">
        <f t="shared" si="12"/>
        <v>273</v>
      </c>
      <c r="K29" s="39">
        <f t="shared" si="13"/>
        <v>68.25</v>
      </c>
      <c r="L29" s="39">
        <f t="shared" si="18"/>
        <v>2.5</v>
      </c>
      <c r="M29" s="149">
        <f t="shared" si="17"/>
        <v>24196</v>
      </c>
      <c r="N29" s="39">
        <f t="shared" si="15"/>
        <v>604.9</v>
      </c>
      <c r="O29" s="39">
        <f t="shared" si="16"/>
        <v>319.99209999999999</v>
      </c>
      <c r="P29" s="42">
        <f t="shared" si="10"/>
        <v>3916.7033040000001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44861</v>
      </c>
      <c r="B30" s="41">
        <v>72</v>
      </c>
      <c r="C30" s="39">
        <f t="shared" si="7"/>
        <v>2</v>
      </c>
      <c r="D30" s="41">
        <v>67</v>
      </c>
      <c r="E30" s="39">
        <f t="shared" si="8"/>
        <v>3</v>
      </c>
      <c r="F30" s="41">
        <v>62</v>
      </c>
      <c r="G30" s="39">
        <f t="shared" si="9"/>
        <v>3</v>
      </c>
      <c r="H30" s="41">
        <v>62</v>
      </c>
      <c r="I30" s="39">
        <f t="shared" si="11"/>
        <v>2</v>
      </c>
      <c r="J30" s="39">
        <f t="shared" si="12"/>
        <v>263</v>
      </c>
      <c r="K30" s="39">
        <f t="shared" si="13"/>
        <v>65.75</v>
      </c>
      <c r="L30" s="39">
        <f t="shared" si="18"/>
        <v>2.5</v>
      </c>
      <c r="M30" s="149">
        <f t="shared" si="17"/>
        <v>24196</v>
      </c>
      <c r="N30" s="39">
        <f t="shared" si="15"/>
        <v>604.9</v>
      </c>
      <c r="O30" s="39">
        <f t="shared" si="16"/>
        <v>319.99209999999999</v>
      </c>
      <c r="P30" s="42">
        <f t="shared" si="10"/>
        <v>3916.7033040000001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44862</v>
      </c>
      <c r="B31" s="41">
        <v>70</v>
      </c>
      <c r="C31" s="39">
        <f t="shared" si="7"/>
        <v>4</v>
      </c>
      <c r="D31" s="41">
        <v>64</v>
      </c>
      <c r="E31" s="39">
        <f t="shared" si="8"/>
        <v>4</v>
      </c>
      <c r="F31" s="41">
        <v>59</v>
      </c>
      <c r="G31" s="39">
        <f t="shared" si="9"/>
        <v>4</v>
      </c>
      <c r="H31" s="41">
        <v>60</v>
      </c>
      <c r="I31" s="39">
        <f t="shared" si="11"/>
        <v>4</v>
      </c>
      <c r="J31" s="39">
        <f t="shared" si="12"/>
        <v>253</v>
      </c>
      <c r="K31" s="39">
        <f t="shared" si="13"/>
        <v>63.25</v>
      </c>
      <c r="L31" s="39">
        <f t="shared" si="18"/>
        <v>4</v>
      </c>
      <c r="M31" s="149">
        <f t="shared" si="17"/>
        <v>24196</v>
      </c>
      <c r="N31" s="39">
        <f t="shared" si="15"/>
        <v>967.84</v>
      </c>
      <c r="O31" s="39">
        <f t="shared" si="16"/>
        <v>511.98736000000002</v>
      </c>
      <c r="P31" s="42">
        <f t="shared" si="10"/>
        <v>6266.7252864000002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44863</v>
      </c>
      <c r="B32" s="41">
        <v>66</v>
      </c>
      <c r="C32" s="39">
        <f t="shared" si="7"/>
        <v>2</v>
      </c>
      <c r="D32" s="41">
        <v>60</v>
      </c>
      <c r="E32" s="39">
        <f t="shared" si="8"/>
        <v>0</v>
      </c>
      <c r="F32" s="41">
        <v>55</v>
      </c>
      <c r="G32" s="39">
        <f t="shared" si="9"/>
        <v>1</v>
      </c>
      <c r="H32" s="41">
        <v>56</v>
      </c>
      <c r="I32" s="39">
        <f t="shared" si="11"/>
        <v>1</v>
      </c>
      <c r="J32" s="39">
        <f t="shared" si="12"/>
        <v>237</v>
      </c>
      <c r="K32" s="39">
        <f t="shared" si="13"/>
        <v>59.25</v>
      </c>
      <c r="L32" s="39">
        <f t="shared" si="18"/>
        <v>1</v>
      </c>
      <c r="M32" s="149">
        <f t="shared" si="17"/>
        <v>24196</v>
      </c>
      <c r="N32" s="39">
        <f t="shared" si="15"/>
        <v>241.96</v>
      </c>
      <c r="O32" s="149">
        <f t="shared" si="16"/>
        <v>127.99684000000001</v>
      </c>
      <c r="P32" s="42">
        <f t="shared" si="10"/>
        <v>1566.6813216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44864</v>
      </c>
      <c r="B33" s="41">
        <v>64</v>
      </c>
      <c r="C33" s="39">
        <f t="shared" si="7"/>
        <v>3</v>
      </c>
      <c r="D33" s="41">
        <v>60</v>
      </c>
      <c r="E33" s="39">
        <f t="shared" si="8"/>
        <v>4</v>
      </c>
      <c r="F33" s="41">
        <v>54</v>
      </c>
      <c r="G33" s="39">
        <f t="shared" si="9"/>
        <v>1</v>
      </c>
      <c r="H33" s="41">
        <v>55</v>
      </c>
      <c r="I33" s="39">
        <f t="shared" si="11"/>
        <v>1</v>
      </c>
      <c r="J33" s="39">
        <f t="shared" si="12"/>
        <v>233</v>
      </c>
      <c r="K33" s="39">
        <f t="shared" si="13"/>
        <v>58.25</v>
      </c>
      <c r="L33" s="39">
        <f t="shared" si="18"/>
        <v>2.25</v>
      </c>
      <c r="M33" s="149">
        <f t="shared" si="17"/>
        <v>24196</v>
      </c>
      <c r="N33" s="39">
        <f t="shared" si="15"/>
        <v>544.41</v>
      </c>
      <c r="O33" s="39">
        <f t="shared" si="16"/>
        <v>287.99288999999999</v>
      </c>
      <c r="P33" s="42">
        <f t="shared" si="10"/>
        <v>3525.0329735999999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44865</v>
      </c>
      <c r="B34" s="41">
        <v>61</v>
      </c>
      <c r="C34" s="39">
        <f t="shared" si="7"/>
        <v>8</v>
      </c>
      <c r="D34" s="41">
        <v>56</v>
      </c>
      <c r="E34" s="39">
        <f t="shared" si="8"/>
        <v>0</v>
      </c>
      <c r="F34" s="41">
        <v>53</v>
      </c>
      <c r="G34" s="39">
        <f t="shared" si="9"/>
        <v>3</v>
      </c>
      <c r="H34" s="41">
        <v>54</v>
      </c>
      <c r="I34" s="39">
        <f t="shared" si="11"/>
        <v>3</v>
      </c>
      <c r="J34" s="39">
        <f>B34+D34+F34+H34</f>
        <v>224</v>
      </c>
      <c r="K34" s="39">
        <f>J34/4</f>
        <v>56</v>
      </c>
      <c r="L34" s="39">
        <f>IF(AC34&gt;0,((K34-AD34)+(AE34-K35)),IF(K35=0, ,(K34-K35)))</f>
        <v>3.5</v>
      </c>
      <c r="M34" s="149">
        <f t="shared" si="17"/>
        <v>24196</v>
      </c>
      <c r="N34" s="39">
        <f>L34*M34/100</f>
        <v>846.86</v>
      </c>
      <c r="O34" s="39">
        <f>N34*0.529</f>
        <v>447.98894000000001</v>
      </c>
      <c r="P34" s="42">
        <f t="shared" si="10"/>
        <v>5483.3846256000006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44866</v>
      </c>
      <c r="B35" s="41">
        <v>53</v>
      </c>
      <c r="C35" s="39">
        <f t="shared" si="7"/>
        <v>0</v>
      </c>
      <c r="D35" s="41">
        <v>56</v>
      </c>
      <c r="E35" s="39">
        <f t="shared" si="8"/>
        <v>0</v>
      </c>
      <c r="F35" s="41">
        <v>50</v>
      </c>
      <c r="G35" s="39">
        <f t="shared" si="9"/>
        <v>0</v>
      </c>
      <c r="H35" s="41">
        <v>51</v>
      </c>
      <c r="I35" s="39">
        <f t="shared" si="11"/>
        <v>0</v>
      </c>
      <c r="J35" s="39">
        <f>B35+D35+F35+H35</f>
        <v>210</v>
      </c>
      <c r="K35" s="39">
        <f>J35/4</f>
        <v>52.5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41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21655.420000000006</v>
      </c>
      <c r="O43" s="39">
        <f>N43*0.529</f>
        <v>11455.717180000003</v>
      </c>
      <c r="P43" s="42">
        <f>O43*12.24</f>
        <v>140217.97828320003</v>
      </c>
      <c r="Q43" s="286">
        <f>SUM(Q4:Q42)</f>
        <v>5692</v>
      </c>
      <c r="R43" s="287"/>
      <c r="S43" s="288"/>
      <c r="T43" s="289">
        <f>SUM(T4:T42)</f>
        <v>4990</v>
      </c>
      <c r="U43" s="287"/>
      <c r="V43" s="288"/>
      <c r="W43" s="289">
        <f>SUM(W4:W42)</f>
        <v>4882</v>
      </c>
      <c r="X43" s="287"/>
      <c r="Y43" s="288"/>
      <c r="Z43" s="289">
        <f>SUM(Z4:Z42)</f>
        <v>4851</v>
      </c>
      <c r="AA43" s="287"/>
      <c r="AB43" s="288"/>
      <c r="AC43" s="39">
        <f t="shared" si="20"/>
        <v>20415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20415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21655.420000000006</v>
      </c>
      <c r="L47" s="46">
        <f>O43</f>
        <v>11455.717180000003</v>
      </c>
      <c r="M47" s="46">
        <f>P43</f>
        <v>140217.97828320003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20415</v>
      </c>
      <c r="L48" s="44">
        <f>K48*0.529</f>
        <v>10799.535</v>
      </c>
      <c r="M48" s="44">
        <f>L48*12.24</f>
        <v>132186.30840000001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9">
        <v>95670781</v>
      </c>
      <c r="B8" s="349"/>
      <c r="C8" s="350" t="s">
        <v>97</v>
      </c>
      <c r="D8" s="351"/>
      <c r="E8" s="113">
        <v>44572</v>
      </c>
      <c r="F8" s="163" t="s">
        <v>98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37" t="s">
        <v>99</v>
      </c>
      <c r="B11" s="337"/>
      <c r="C11" s="354" t="s">
        <v>100</v>
      </c>
      <c r="D11" s="355"/>
      <c r="E11" s="337" t="s">
        <v>101</v>
      </c>
      <c r="F11" s="337"/>
      <c r="G11" s="354" t="s">
        <v>102</v>
      </c>
      <c r="H11" s="355"/>
      <c r="I11" s="356" t="s">
        <v>103</v>
      </c>
      <c r="J11" s="356"/>
    </row>
    <row r="12" spans="1:10" x14ac:dyDescent="0.2">
      <c r="A12" s="349" t="s">
        <v>104</v>
      </c>
      <c r="B12" s="349"/>
      <c r="C12" s="349">
        <v>3750</v>
      </c>
      <c r="D12" s="349"/>
      <c r="E12" s="349">
        <v>1000</v>
      </c>
      <c r="F12" s="349"/>
      <c r="G12" s="357">
        <v>1319</v>
      </c>
      <c r="H12" s="357"/>
      <c r="I12" s="358"/>
      <c r="J12" s="358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37" t="s">
        <v>105</v>
      </c>
      <c r="B16" s="337"/>
      <c r="C16" s="63" t="s">
        <v>106</v>
      </c>
      <c r="D16" s="64" t="s">
        <v>107</v>
      </c>
      <c r="E16" s="64" t="s">
        <v>48</v>
      </c>
      <c r="F16" s="64" t="s">
        <v>108</v>
      </c>
      <c r="G16" s="344" t="s">
        <v>109</v>
      </c>
      <c r="H16" s="344"/>
      <c r="I16" s="345" t="s">
        <v>110</v>
      </c>
      <c r="J16" s="346"/>
    </row>
    <row r="17" spans="1:10" x14ac:dyDescent="0.2">
      <c r="A17" s="327" t="s">
        <v>111</v>
      </c>
      <c r="B17" s="328"/>
      <c r="C17" s="66">
        <v>21612801</v>
      </c>
      <c r="D17" s="66">
        <v>21604795</v>
      </c>
      <c r="E17" s="67">
        <f>MIN(C17-D17)</f>
        <v>8006</v>
      </c>
      <c r="F17" s="67">
        <f>+E17</f>
        <v>8006</v>
      </c>
      <c r="G17" s="329"/>
      <c r="H17" s="330"/>
      <c r="I17" s="329">
        <f>+E17</f>
        <v>8006</v>
      </c>
      <c r="J17" s="330"/>
    </row>
    <row r="18" spans="1:10" x14ac:dyDescent="0.2">
      <c r="A18" s="327" t="s">
        <v>112</v>
      </c>
      <c r="B18" s="328"/>
      <c r="C18" s="66">
        <v>12634618</v>
      </c>
      <c r="D18" s="66">
        <v>12629770</v>
      </c>
      <c r="E18" s="67">
        <f>MIN(C18-D18)</f>
        <v>4848</v>
      </c>
      <c r="F18" s="67">
        <f>+E18</f>
        <v>4848</v>
      </c>
      <c r="G18" s="329"/>
      <c r="H18" s="330"/>
      <c r="I18" s="329">
        <f>+E18</f>
        <v>4848</v>
      </c>
      <c r="J18" s="330"/>
    </row>
    <row r="19" spans="1:10" x14ac:dyDescent="0.2">
      <c r="A19" s="327" t="s">
        <v>113</v>
      </c>
      <c r="B19" s="328"/>
      <c r="C19" s="66">
        <v>9466063</v>
      </c>
      <c r="D19" s="66">
        <v>9461862</v>
      </c>
      <c r="E19" s="67">
        <f>AVERAGE(C19-D19)</f>
        <v>4201</v>
      </c>
      <c r="F19" s="67">
        <f>+E19</f>
        <v>4201</v>
      </c>
      <c r="G19" s="329"/>
      <c r="H19" s="330"/>
      <c r="I19" s="329">
        <f>+E19</f>
        <v>4201</v>
      </c>
      <c r="J19" s="330"/>
    </row>
    <row r="20" spans="1:10" ht="15" x14ac:dyDescent="0.25">
      <c r="A20" s="342" t="s">
        <v>114</v>
      </c>
      <c r="B20" s="343"/>
      <c r="C20" s="68"/>
      <c r="D20" s="69"/>
      <c r="E20" s="68">
        <f>SUM(E17:E19)</f>
        <v>17055</v>
      </c>
      <c r="F20" s="70"/>
      <c r="G20" s="319"/>
      <c r="H20" s="320"/>
      <c r="I20" s="319"/>
      <c r="J20" s="320"/>
    </row>
    <row r="21" spans="1:10" x14ac:dyDescent="0.2">
      <c r="C21" s="110" t="s">
        <v>18</v>
      </c>
      <c r="D21" t="s">
        <v>115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31" t="s">
        <v>116</v>
      </c>
      <c r="B23" s="332"/>
      <c r="C23" s="333"/>
      <c r="D23" s="337" t="s">
        <v>117</v>
      </c>
      <c r="E23" s="337" t="s">
        <v>118</v>
      </c>
      <c r="F23" s="339" t="s">
        <v>119</v>
      </c>
      <c r="G23" s="341" t="s">
        <v>120</v>
      </c>
      <c r="H23" s="341"/>
      <c r="I23" s="323" t="s">
        <v>121</v>
      </c>
      <c r="J23" s="323"/>
    </row>
    <row r="24" spans="1:10" x14ac:dyDescent="0.2">
      <c r="A24" s="334"/>
      <c r="B24" s="335"/>
      <c r="C24" s="336"/>
      <c r="D24" s="338"/>
      <c r="E24" s="338"/>
      <c r="F24" s="340"/>
      <c r="G24" s="164" t="s">
        <v>122</v>
      </c>
      <c r="H24" s="71" t="s">
        <v>123</v>
      </c>
      <c r="I24" s="323"/>
      <c r="J24" s="323"/>
    </row>
    <row r="25" spans="1:10" ht="15" x14ac:dyDescent="0.25">
      <c r="A25" s="324" t="s">
        <v>124</v>
      </c>
      <c r="B25" s="325"/>
      <c r="C25" s="326"/>
      <c r="D25" s="67">
        <f>+E17</f>
        <v>8006</v>
      </c>
      <c r="E25" s="72">
        <v>0.95140000000000002</v>
      </c>
      <c r="F25" s="73">
        <f>PRODUCT(D25*E25)</f>
        <v>7616.9084000000003</v>
      </c>
      <c r="G25" s="151">
        <v>14</v>
      </c>
      <c r="H25" s="65">
        <f>PRODUCT(0.14,F25)</f>
        <v>1066.3671760000002</v>
      </c>
      <c r="I25" s="304">
        <f>SUM(H25,F25)</f>
        <v>8683.275576</v>
      </c>
      <c r="J25" s="305"/>
    </row>
    <row r="26" spans="1:10" ht="15" x14ac:dyDescent="0.25">
      <c r="A26" s="301" t="s">
        <v>125</v>
      </c>
      <c r="B26" s="302"/>
      <c r="C26" s="303"/>
      <c r="D26" s="67">
        <f>+E18</f>
        <v>4848</v>
      </c>
      <c r="E26" s="74">
        <v>0.69850000000000001</v>
      </c>
      <c r="F26" s="73">
        <f>PRODUCT(D26*E26)</f>
        <v>3386.328</v>
      </c>
      <c r="G26">
        <v>14</v>
      </c>
      <c r="H26" s="67">
        <f>PRODUCT(0.14,F26)</f>
        <v>474.08592000000004</v>
      </c>
      <c r="I26" s="304">
        <f t="shared" ref="I26:I31" si="0">SUM(H26,F26)</f>
        <v>3860.41392</v>
      </c>
      <c r="J26" s="305"/>
    </row>
    <row r="27" spans="1:10" ht="15" x14ac:dyDescent="0.25">
      <c r="A27" s="301" t="s">
        <v>126</v>
      </c>
      <c r="B27" s="302"/>
      <c r="C27" s="303"/>
      <c r="D27" s="67">
        <f>+E19</f>
        <v>4201</v>
      </c>
      <c r="E27" s="74">
        <v>1.3304</v>
      </c>
      <c r="F27" s="73">
        <f>PRODUCT(D27*E27)</f>
        <v>5589.0104000000001</v>
      </c>
      <c r="G27">
        <v>14</v>
      </c>
      <c r="H27" s="67">
        <f>PRODUCT(0.14,F27)</f>
        <v>782.46145600000011</v>
      </c>
      <c r="I27" s="304">
        <f>SUM(H27,F27)</f>
        <v>6371.4718560000001</v>
      </c>
      <c r="J27" s="305"/>
    </row>
    <row r="28" spans="1:10" ht="15" x14ac:dyDescent="0.25">
      <c r="A28" s="301" t="s">
        <v>127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128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 x14ac:dyDescent="0.25">
      <c r="A30" s="301" t="s">
        <v>129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130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131</v>
      </c>
      <c r="B32" s="310"/>
      <c r="C32" s="310"/>
      <c r="D32" s="310"/>
      <c r="E32" s="310"/>
      <c r="F32" s="84">
        <f>SUM(F25:F31)</f>
        <v>62806.916799999999</v>
      </c>
      <c r="G32" s="85"/>
      <c r="H32" s="86"/>
      <c r="I32" s="313">
        <f>SUM(I25:J31)</f>
        <v>71545.905151999992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1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9">
        <v>95670781</v>
      </c>
      <c r="B8" s="349"/>
      <c r="C8" s="350">
        <v>44467</v>
      </c>
      <c r="D8" s="351"/>
      <c r="E8" s="113">
        <v>44862</v>
      </c>
      <c r="F8" s="163" t="s">
        <v>132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37" t="s">
        <v>99</v>
      </c>
      <c r="B11" s="337"/>
      <c r="C11" s="354" t="s">
        <v>100</v>
      </c>
      <c r="D11" s="355"/>
      <c r="E11" s="337" t="s">
        <v>101</v>
      </c>
      <c r="F11" s="337"/>
      <c r="G11" s="354" t="s">
        <v>102</v>
      </c>
      <c r="H11" s="355"/>
      <c r="I11" s="356" t="s">
        <v>103</v>
      </c>
      <c r="J11" s="356"/>
    </row>
    <row r="12" spans="1:10" x14ac:dyDescent="0.2">
      <c r="A12" s="349" t="s">
        <v>104</v>
      </c>
      <c r="B12" s="349"/>
      <c r="C12" s="349">
        <v>3750</v>
      </c>
      <c r="D12" s="349"/>
      <c r="E12" s="349">
        <v>1000</v>
      </c>
      <c r="F12" s="349"/>
      <c r="G12" s="357">
        <v>1046</v>
      </c>
      <c r="H12" s="357"/>
      <c r="I12" s="358"/>
      <c r="J12" s="358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37" t="s">
        <v>105</v>
      </c>
      <c r="B16" s="337"/>
      <c r="C16" s="63" t="s">
        <v>106</v>
      </c>
      <c r="D16" s="64" t="s">
        <v>107</v>
      </c>
      <c r="E16" s="64" t="s">
        <v>48</v>
      </c>
      <c r="F16" s="64" t="s">
        <v>108</v>
      </c>
      <c r="G16" s="344" t="s">
        <v>109</v>
      </c>
      <c r="H16" s="344"/>
      <c r="I16" s="345" t="s">
        <v>110</v>
      </c>
      <c r="J16" s="346"/>
    </row>
    <row r="17" spans="1:10" x14ac:dyDescent="0.2">
      <c r="A17" s="327" t="s">
        <v>111</v>
      </c>
      <c r="B17" s="328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29"/>
      <c r="H17" s="330"/>
      <c r="I17" s="329">
        <f>+E17</f>
        <v>244745</v>
      </c>
      <c r="J17" s="330"/>
    </row>
    <row r="18" spans="1:10" x14ac:dyDescent="0.2">
      <c r="A18" s="327" t="s">
        <v>112</v>
      </c>
      <c r="B18" s="328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29"/>
      <c r="H18" s="330"/>
      <c r="I18" s="329">
        <f>+E18</f>
        <v>159595</v>
      </c>
      <c r="J18" s="330"/>
    </row>
    <row r="19" spans="1:10" x14ac:dyDescent="0.2">
      <c r="A19" s="327" t="s">
        <v>113</v>
      </c>
      <c r="B19" s="328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29"/>
      <c r="H19" s="330"/>
      <c r="I19" s="329">
        <f>+E19</f>
        <v>118312</v>
      </c>
      <c r="J19" s="330"/>
    </row>
    <row r="20" spans="1:10" ht="15" x14ac:dyDescent="0.25">
      <c r="A20" s="342" t="s">
        <v>114</v>
      </c>
      <c r="B20" s="343"/>
      <c r="C20" s="68"/>
      <c r="D20" s="69"/>
      <c r="E20" s="68">
        <f>SUM(E17:E19)</f>
        <v>522652</v>
      </c>
      <c r="F20" s="70"/>
      <c r="G20" s="319"/>
      <c r="H20" s="320"/>
      <c r="I20" s="319"/>
      <c r="J20" s="320"/>
    </row>
    <row r="21" spans="1:10" x14ac:dyDescent="0.2">
      <c r="C21" s="110" t="s">
        <v>18</v>
      </c>
      <c r="D21" t="s">
        <v>115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31" t="s">
        <v>116</v>
      </c>
      <c r="B23" s="332"/>
      <c r="C23" s="333"/>
      <c r="D23" s="337" t="s">
        <v>117</v>
      </c>
      <c r="E23" s="337" t="s">
        <v>118</v>
      </c>
      <c r="F23" s="339" t="s">
        <v>119</v>
      </c>
      <c r="G23" s="341" t="s">
        <v>120</v>
      </c>
      <c r="H23" s="341"/>
      <c r="I23" s="323" t="s">
        <v>121</v>
      </c>
      <c r="J23" s="323"/>
    </row>
    <row r="24" spans="1:10" x14ac:dyDescent="0.2">
      <c r="A24" s="334"/>
      <c r="B24" s="335"/>
      <c r="C24" s="336"/>
      <c r="D24" s="338"/>
      <c r="E24" s="338"/>
      <c r="F24" s="340"/>
      <c r="G24" s="164" t="s">
        <v>122</v>
      </c>
      <c r="H24" s="71" t="s">
        <v>123</v>
      </c>
      <c r="I24" s="323"/>
      <c r="J24" s="323"/>
    </row>
    <row r="25" spans="1:10" ht="15" x14ac:dyDescent="0.25">
      <c r="A25" s="324" t="s">
        <v>124</v>
      </c>
      <c r="B25" s="325"/>
      <c r="C25" s="32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04">
        <f>SUM(H25,F25)</f>
        <v>265449.44802000001</v>
      </c>
      <c r="J25" s="305"/>
    </row>
    <row r="26" spans="1:10" ht="15" x14ac:dyDescent="0.25">
      <c r="A26" s="301" t="s">
        <v>125</v>
      </c>
      <c r="B26" s="302"/>
      <c r="C26" s="303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04">
        <f t="shared" ref="I26:I31" si="0">SUM(H26,F26)</f>
        <v>127083.90255</v>
      </c>
      <c r="J26" s="305"/>
    </row>
    <row r="27" spans="1:10" ht="15" x14ac:dyDescent="0.25">
      <c r="A27" s="301" t="s">
        <v>126</v>
      </c>
      <c r="B27" s="302"/>
      <c r="C27" s="303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04">
        <f>SUM(H27,F27)</f>
        <v>179438.60467199999</v>
      </c>
      <c r="J27" s="305"/>
    </row>
    <row r="28" spans="1:10" ht="15" x14ac:dyDescent="0.25">
      <c r="A28" s="301" t="s">
        <v>127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128</v>
      </c>
      <c r="B29" s="315"/>
      <c r="C29" s="316"/>
      <c r="D29" s="75">
        <f>G12-D28</f>
        <v>46</v>
      </c>
      <c r="E29" s="76">
        <f>E28*1.5</f>
        <v>65.822505000000007</v>
      </c>
      <c r="F29" s="77">
        <f>PRODUCT(D29,E29)</f>
        <v>3027.8352300000001</v>
      </c>
      <c r="G29" s="78">
        <v>14</v>
      </c>
      <c r="H29" s="75">
        <f>PRODUCT(0.14,F29)</f>
        <v>423.89693220000004</v>
      </c>
      <c r="I29" s="317">
        <f t="shared" si="0"/>
        <v>3451.7321621999999</v>
      </c>
      <c r="J29" s="318"/>
    </row>
    <row r="30" spans="1:10" ht="15" x14ac:dyDescent="0.25">
      <c r="A30" s="301" t="s">
        <v>129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130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131</v>
      </c>
      <c r="B32" s="310"/>
      <c r="C32" s="310"/>
      <c r="D32" s="310"/>
      <c r="E32" s="310"/>
      <c r="F32" s="84">
        <f>SUM(F25:F31)</f>
        <v>550972.29053</v>
      </c>
      <c r="G32" s="85"/>
      <c r="H32" s="86"/>
      <c r="I32" s="313">
        <f>SUM(I25:J31)</f>
        <v>628054.43120420002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133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117</v>
      </c>
      <c r="C10" s="395"/>
      <c r="D10" s="396" t="s">
        <v>139</v>
      </c>
      <c r="E10" s="396"/>
      <c r="F10" s="394" t="s">
        <v>140</v>
      </c>
      <c r="G10" s="397"/>
      <c r="H10" s="395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143</v>
      </c>
      <c r="B13" s="398">
        <f>G8</f>
        <v>3767.6000000000058</v>
      </c>
      <c r="C13" s="398"/>
      <c r="D13" s="398">
        <v>8.7899999999999991</v>
      </c>
      <c r="E13" s="398"/>
      <c r="F13" s="400">
        <f>PRODUCT(D13,B13)</f>
        <v>33117.204000000049</v>
      </c>
      <c r="G13" s="400"/>
      <c r="H13" s="400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146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147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148</v>
      </c>
      <c r="B19" s="398">
        <f>G8</f>
        <v>3767.6000000000058</v>
      </c>
      <c r="C19" s="398"/>
      <c r="D19" s="398">
        <v>2.61</v>
      </c>
      <c r="E19" s="398"/>
      <c r="F19" s="398">
        <f>PRODUCT(D19,B19)</f>
        <v>9833.4360000000142</v>
      </c>
      <c r="G19" s="398"/>
      <c r="H19" s="398"/>
    </row>
    <row r="20" spans="1:8" ht="18.75" x14ac:dyDescent="0.3">
      <c r="A20" s="414" t="s">
        <v>149</v>
      </c>
      <c r="B20" s="415"/>
      <c r="C20" s="415"/>
      <c r="D20" s="415"/>
      <c r="E20" s="416"/>
      <c r="F20" s="417">
        <f>SUM(F11+F13+F16+F17+F18+F19)</f>
        <v>42973.640000000065</v>
      </c>
      <c r="G20" s="417"/>
      <c r="H20" s="417"/>
    </row>
    <row r="21" spans="1:8" ht="15" x14ac:dyDescent="0.25">
      <c r="A21" s="403" t="s">
        <v>150</v>
      </c>
      <c r="B21" s="404"/>
      <c r="C21" s="404"/>
      <c r="D21" s="404"/>
      <c r="E21" s="405"/>
      <c r="F21" s="398">
        <f>PRODUCT(F20,0.07)</f>
        <v>3008.1548000000048</v>
      </c>
      <c r="G21" s="398"/>
      <c r="H21" s="398"/>
    </row>
    <row r="22" spans="1:8" ht="15" x14ac:dyDescent="0.25">
      <c r="A22" s="418" t="s">
        <v>151</v>
      </c>
      <c r="B22" s="419"/>
      <c r="C22" s="419"/>
      <c r="D22" s="419"/>
      <c r="E22" s="420"/>
      <c r="F22" s="398">
        <v>208.26</v>
      </c>
      <c r="G22" s="398"/>
      <c r="H22" s="398"/>
    </row>
    <row r="23" spans="1:8" ht="15.75" x14ac:dyDescent="0.25">
      <c r="A23" s="403" t="s">
        <v>152</v>
      </c>
      <c r="B23" s="404"/>
      <c r="C23" s="404"/>
      <c r="D23" s="404"/>
      <c r="E23" s="405"/>
      <c r="F23" s="406">
        <f>SUM(F21:H22)</f>
        <v>3216.414800000005</v>
      </c>
      <c r="G23" s="406"/>
      <c r="H23" s="406"/>
    </row>
    <row r="24" spans="1:8" x14ac:dyDescent="0.2">
      <c r="A24" s="407" t="s">
        <v>153</v>
      </c>
      <c r="B24" s="408"/>
      <c r="C24" s="408"/>
      <c r="D24" s="408"/>
      <c r="E24" s="409"/>
      <c r="F24" s="413">
        <f>SUM(F20,F23)</f>
        <v>46190.054800000071</v>
      </c>
      <c r="G24" s="413"/>
      <c r="H24" s="413"/>
    </row>
    <row r="25" spans="1:8" x14ac:dyDescent="0.2">
      <c r="A25" s="410"/>
      <c r="B25" s="411"/>
      <c r="C25" s="411"/>
      <c r="D25" s="411"/>
      <c r="E25" s="412"/>
      <c r="F25" s="413"/>
      <c r="G25" s="413"/>
      <c r="H25" s="41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133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117</v>
      </c>
      <c r="C10" s="395"/>
      <c r="D10" s="396" t="s">
        <v>139</v>
      </c>
      <c r="E10" s="396"/>
      <c r="F10" s="394" t="s">
        <v>140</v>
      </c>
      <c r="G10" s="397"/>
      <c r="H10" s="395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143</v>
      </c>
      <c r="B13" s="398">
        <f>G8</f>
        <v>180</v>
      </c>
      <c r="C13" s="398"/>
      <c r="D13" s="398">
        <v>8.5</v>
      </c>
      <c r="E13" s="398"/>
      <c r="F13" s="400">
        <f>PRODUCT(D13,B13)</f>
        <v>1530</v>
      </c>
      <c r="G13" s="400"/>
      <c r="H13" s="400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146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147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148</v>
      </c>
      <c r="B19" s="398">
        <v>0</v>
      </c>
      <c r="C19" s="398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154</v>
      </c>
      <c r="B20" s="398">
        <f>G8</f>
        <v>180</v>
      </c>
      <c r="C20" s="398"/>
      <c r="D20" s="398">
        <v>2.54</v>
      </c>
      <c r="E20" s="398"/>
      <c r="F20" s="398">
        <f>PRODUCT(D20,B20)</f>
        <v>457.2</v>
      </c>
      <c r="G20" s="398"/>
      <c r="H20" s="398"/>
    </row>
    <row r="21" spans="1:8" ht="18.75" x14ac:dyDescent="0.3">
      <c r="A21" s="414" t="s">
        <v>149</v>
      </c>
      <c r="B21" s="415"/>
      <c r="C21" s="415"/>
      <c r="D21" s="415"/>
      <c r="E21" s="416"/>
      <c r="F21" s="417">
        <f>SUM(F11+F13+F16+F17+F18+F20)</f>
        <v>2010.2</v>
      </c>
      <c r="G21" s="417"/>
      <c r="H21" s="417"/>
    </row>
    <row r="22" spans="1:8" ht="15" x14ac:dyDescent="0.25">
      <c r="A22" s="403" t="s">
        <v>150</v>
      </c>
      <c r="B22" s="404"/>
      <c r="C22" s="404"/>
      <c r="D22" s="404"/>
      <c r="E22" s="405"/>
      <c r="F22" s="398">
        <f>PRODUCT(F21,0.07)</f>
        <v>140.71400000000003</v>
      </c>
      <c r="G22" s="398"/>
      <c r="H22" s="398"/>
    </row>
    <row r="23" spans="1:8" ht="15" x14ac:dyDescent="0.25">
      <c r="A23" s="418" t="s">
        <v>151</v>
      </c>
      <c r="B23" s="419"/>
      <c r="C23" s="419"/>
      <c r="D23" s="419"/>
      <c r="E23" s="420"/>
      <c r="F23" s="398">
        <v>208.26</v>
      </c>
      <c r="G23" s="398"/>
      <c r="H23" s="398"/>
    </row>
    <row r="24" spans="1:8" ht="15.75" x14ac:dyDescent="0.25">
      <c r="A24" s="403" t="s">
        <v>152</v>
      </c>
      <c r="B24" s="404"/>
      <c r="C24" s="404"/>
      <c r="D24" s="404"/>
      <c r="E24" s="405"/>
      <c r="F24" s="406">
        <f>SUM(F22:H23)</f>
        <v>348.97400000000005</v>
      </c>
      <c r="G24" s="406"/>
      <c r="H24" s="406"/>
    </row>
    <row r="25" spans="1:8" x14ac:dyDescent="0.2">
      <c r="A25" s="407" t="s">
        <v>153</v>
      </c>
      <c r="B25" s="408"/>
      <c r="C25" s="408"/>
      <c r="D25" s="408"/>
      <c r="E25" s="409"/>
      <c r="F25" s="413">
        <f>SUM(F21,F24)</f>
        <v>2359.174</v>
      </c>
      <c r="G25" s="413"/>
      <c r="H25" s="413"/>
    </row>
    <row r="26" spans="1:8" x14ac:dyDescent="0.2">
      <c r="A26" s="410"/>
      <c r="B26" s="411"/>
      <c r="C26" s="411"/>
      <c r="D26" s="411"/>
      <c r="E26" s="412"/>
      <c r="F26" s="413"/>
      <c r="G26" s="413"/>
      <c r="H26" s="41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155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117</v>
      </c>
      <c r="C10" s="395"/>
      <c r="D10" s="396" t="s">
        <v>139</v>
      </c>
      <c r="E10" s="396"/>
      <c r="F10" s="394" t="s">
        <v>140</v>
      </c>
      <c r="G10" s="397"/>
      <c r="H10" s="395"/>
    </row>
    <row r="11" spans="1:8" ht="15" x14ac:dyDescent="0.25">
      <c r="A11" s="102" t="s">
        <v>141</v>
      </c>
      <c r="B11" s="398"/>
      <c r="C11" s="398"/>
      <c r="D11" s="398"/>
      <c r="E11" s="398"/>
      <c r="F11" s="398">
        <v>15</v>
      </c>
      <c r="G11" s="398"/>
      <c r="H11" s="398"/>
    </row>
    <row r="12" spans="1:8" ht="21" x14ac:dyDescent="0.35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156</v>
      </c>
      <c r="B13" s="398">
        <f>G8</f>
        <v>9</v>
      </c>
      <c r="C13" s="398"/>
      <c r="D13" s="398">
        <v>16.48</v>
      </c>
      <c r="E13" s="398"/>
      <c r="F13" s="400">
        <f>PRODUCT(D13,B13)</f>
        <v>148.32</v>
      </c>
      <c r="G13" s="400"/>
      <c r="H13" s="400"/>
    </row>
    <row r="14" spans="1:8" ht="15" x14ac:dyDescent="0.25">
      <c r="A14" s="102" t="s">
        <v>157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158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159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160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144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145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 x14ac:dyDescent="0.25">
      <c r="A21" s="103" t="s">
        <v>146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 x14ac:dyDescent="0.25">
      <c r="A22" s="103" t="s">
        <v>147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 x14ac:dyDescent="0.25">
      <c r="A23" s="103" t="s">
        <v>148</v>
      </c>
      <c r="B23" s="398">
        <f>G8</f>
        <v>9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 x14ac:dyDescent="0.25">
      <c r="A24" s="103" t="s">
        <v>154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414" t="s">
        <v>149</v>
      </c>
      <c r="B25" s="415"/>
      <c r="C25" s="415"/>
      <c r="D25" s="415"/>
      <c r="E25" s="416"/>
      <c r="F25" s="423">
        <f>SUM(F11+F13+F20+F21+F22+F23)</f>
        <v>163.32</v>
      </c>
      <c r="G25" s="417"/>
      <c r="H25" s="417"/>
    </row>
    <row r="26" spans="1:8" ht="15" x14ac:dyDescent="0.25">
      <c r="A26" s="403" t="s">
        <v>150</v>
      </c>
      <c r="B26" s="404"/>
      <c r="C26" s="404"/>
      <c r="D26" s="404"/>
      <c r="E26" s="405"/>
      <c r="F26" s="398">
        <v>63.63</v>
      </c>
      <c r="G26" s="398"/>
      <c r="H26" s="398"/>
    </row>
    <row r="27" spans="1:8" ht="15" x14ac:dyDescent="0.25">
      <c r="A27" s="418" t="s">
        <v>151</v>
      </c>
      <c r="B27" s="419"/>
      <c r="C27" s="419"/>
      <c r="D27" s="419"/>
      <c r="E27" s="420"/>
      <c r="F27" s="398">
        <v>2.4300000000000002</v>
      </c>
      <c r="G27" s="398"/>
      <c r="H27" s="398"/>
    </row>
    <row r="28" spans="1:8" ht="15.75" x14ac:dyDescent="0.25">
      <c r="A28" s="403" t="s">
        <v>152</v>
      </c>
      <c r="B28" s="404"/>
      <c r="C28" s="404"/>
      <c r="D28" s="404"/>
      <c r="E28" s="405"/>
      <c r="F28" s="406">
        <f>SUM(F26:H27)</f>
        <v>66.06</v>
      </c>
      <c r="G28" s="406"/>
      <c r="H28" s="406"/>
    </row>
    <row r="29" spans="1:8" x14ac:dyDescent="0.2">
      <c r="A29" s="407" t="s">
        <v>153</v>
      </c>
      <c r="B29" s="408"/>
      <c r="C29" s="408"/>
      <c r="D29" s="408"/>
      <c r="E29" s="409"/>
      <c r="F29" s="413">
        <f>SUM(F25,F28)</f>
        <v>229.38</v>
      </c>
      <c r="G29" s="413"/>
      <c r="H29" s="413"/>
    </row>
    <row r="30" spans="1:8" x14ac:dyDescent="0.2">
      <c r="A30" s="410"/>
      <c r="B30" s="411"/>
      <c r="C30" s="411"/>
      <c r="D30" s="411"/>
      <c r="E30" s="412"/>
      <c r="F30" s="413"/>
      <c r="G30" s="413"/>
      <c r="H30" s="41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161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 x14ac:dyDescent="0.35">
      <c r="C16" s="427" t="s">
        <v>182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183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 x14ac:dyDescent="0.35">
      <c r="C16" s="427" t="s">
        <v>184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185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 x14ac:dyDescent="0.35">
      <c r="C16" s="427" t="s">
        <v>186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2023-02-16T08:59:46Z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