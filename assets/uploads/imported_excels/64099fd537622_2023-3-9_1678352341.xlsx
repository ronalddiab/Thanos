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 " sheetId="60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36" l="1"/>
  <c r="H22" i="36"/>
  <c r="H23" i="36"/>
  <c r="H24" i="36" s="1"/>
  <c r="H25" i="36" s="1"/>
  <c r="H26" i="36" s="1"/>
  <c r="H27" i="36" s="1"/>
  <c r="H28" i="36" s="1"/>
  <c r="H29" i="36" s="1"/>
  <c r="H30" i="36" s="1"/>
  <c r="H31" i="36" s="1"/>
  <c r="H32" i="36" s="1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2" i="60"/>
  <c r="P33" i="60"/>
  <c r="P34" i="60"/>
  <c r="P35" i="60"/>
  <c r="P5" i="60"/>
  <c r="I6" i="60"/>
  <c r="I7" i="60"/>
  <c r="I8" i="60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22" i="60"/>
  <c r="I23" i="60"/>
  <c r="I24" i="60"/>
  <c r="I25" i="60"/>
  <c r="I26" i="60"/>
  <c r="I27" i="60"/>
  <c r="I28" i="60"/>
  <c r="I29" i="60"/>
  <c r="I30" i="60"/>
  <c r="I31" i="60"/>
  <c r="I32" i="60"/>
  <c r="I33" i="60"/>
  <c r="I34" i="60"/>
  <c r="I35" i="60"/>
  <c r="I5" i="60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R37" i="60"/>
  <c r="K37" i="60"/>
  <c r="Q35" i="60"/>
  <c r="S35" i="60" s="1"/>
  <c r="T35" i="60" s="1"/>
  <c r="O35" i="60"/>
  <c r="N35" i="60"/>
  <c r="M35" i="60"/>
  <c r="L35" i="60"/>
  <c r="J35" i="60"/>
  <c r="G35" i="60"/>
  <c r="H35" i="60" s="1"/>
  <c r="F35" i="60"/>
  <c r="E35" i="60"/>
  <c r="S34" i="60"/>
  <c r="T34" i="60" s="1"/>
  <c r="Q34" i="60"/>
  <c r="O34" i="60"/>
  <c r="N34" i="60"/>
  <c r="M34" i="60"/>
  <c r="L34" i="60"/>
  <c r="J34" i="60"/>
  <c r="G34" i="60"/>
  <c r="H34" i="60" s="1"/>
  <c r="F34" i="60"/>
  <c r="E34" i="60"/>
  <c r="Q33" i="60"/>
  <c r="S33" i="60" s="1"/>
  <c r="T33" i="60" s="1"/>
  <c r="M33" i="60"/>
  <c r="N33" i="60" s="1"/>
  <c r="L33" i="60"/>
  <c r="O33" i="60" s="1"/>
  <c r="J33" i="60"/>
  <c r="G33" i="60"/>
  <c r="F33" i="60"/>
  <c r="H33" i="60" s="1"/>
  <c r="E33" i="60"/>
  <c r="T32" i="60"/>
  <c r="S32" i="60"/>
  <c r="Q32" i="60"/>
  <c r="M32" i="60"/>
  <c r="N32" i="60" s="1"/>
  <c r="L32" i="60"/>
  <c r="O32" i="60" s="1"/>
  <c r="J32" i="60"/>
  <c r="G32" i="60"/>
  <c r="H32" i="60" s="1"/>
  <c r="U32" i="60" s="1"/>
  <c r="F32" i="60"/>
  <c r="E32" i="60"/>
  <c r="S31" i="60"/>
  <c r="T31" i="60" s="1"/>
  <c r="Q31" i="60"/>
  <c r="M31" i="60"/>
  <c r="N31" i="60" s="1"/>
  <c r="L31" i="60"/>
  <c r="O31" i="60" s="1"/>
  <c r="J31" i="60"/>
  <c r="G31" i="60"/>
  <c r="F31" i="60"/>
  <c r="H31" i="60" s="1"/>
  <c r="E31" i="60"/>
  <c r="Q30" i="60"/>
  <c r="S30" i="60" s="1"/>
  <c r="T30" i="60" s="1"/>
  <c r="N30" i="60"/>
  <c r="M30" i="60"/>
  <c r="L30" i="60"/>
  <c r="O30" i="60" s="1"/>
  <c r="J30" i="60"/>
  <c r="H30" i="60"/>
  <c r="G30" i="60"/>
  <c r="F30" i="60"/>
  <c r="E30" i="60"/>
  <c r="Q29" i="60"/>
  <c r="S29" i="60" s="1"/>
  <c r="T29" i="60" s="1"/>
  <c r="M29" i="60"/>
  <c r="N29" i="60" s="1"/>
  <c r="L29" i="60"/>
  <c r="O29" i="60" s="1"/>
  <c r="J29" i="60"/>
  <c r="G29" i="60"/>
  <c r="H29" i="60" s="1"/>
  <c r="F29" i="60"/>
  <c r="E29" i="60"/>
  <c r="Q28" i="60"/>
  <c r="S28" i="60" s="1"/>
  <c r="T28" i="60" s="1"/>
  <c r="O28" i="60"/>
  <c r="M28" i="60"/>
  <c r="N28" i="60" s="1"/>
  <c r="L28" i="60"/>
  <c r="J28" i="60"/>
  <c r="G28" i="60"/>
  <c r="H28" i="60" s="1"/>
  <c r="F28" i="60"/>
  <c r="E28" i="60"/>
  <c r="Q27" i="60"/>
  <c r="S27" i="60" s="1"/>
  <c r="T27" i="60" s="1"/>
  <c r="O27" i="60"/>
  <c r="N27" i="60"/>
  <c r="M27" i="60"/>
  <c r="L27" i="60"/>
  <c r="J27" i="60"/>
  <c r="G27" i="60"/>
  <c r="H27" i="60" s="1"/>
  <c r="F27" i="60"/>
  <c r="E27" i="60"/>
  <c r="S26" i="60"/>
  <c r="T26" i="60" s="1"/>
  <c r="Q26" i="60"/>
  <c r="O26" i="60"/>
  <c r="M26" i="60"/>
  <c r="N26" i="60" s="1"/>
  <c r="L26" i="60"/>
  <c r="J26" i="60"/>
  <c r="G26" i="60"/>
  <c r="H26" i="60" s="1"/>
  <c r="F26" i="60"/>
  <c r="E26" i="60"/>
  <c r="Q25" i="60"/>
  <c r="S25" i="60" s="1"/>
  <c r="T25" i="60" s="1"/>
  <c r="M25" i="60"/>
  <c r="N25" i="60" s="1"/>
  <c r="L25" i="60"/>
  <c r="O25" i="60" s="1"/>
  <c r="J25" i="60"/>
  <c r="G25" i="60"/>
  <c r="F25" i="60"/>
  <c r="H25" i="60" s="1"/>
  <c r="E25" i="60"/>
  <c r="Q24" i="60"/>
  <c r="S24" i="60" s="1"/>
  <c r="T24" i="60" s="1"/>
  <c r="M24" i="60"/>
  <c r="N24" i="60" s="1"/>
  <c r="L24" i="60"/>
  <c r="O24" i="60" s="1"/>
  <c r="J24" i="60"/>
  <c r="G24" i="60"/>
  <c r="H24" i="60" s="1"/>
  <c r="F24" i="60"/>
  <c r="E24" i="60"/>
  <c r="S23" i="60"/>
  <c r="T23" i="60" s="1"/>
  <c r="Q23" i="60"/>
  <c r="M23" i="60"/>
  <c r="N23" i="60" s="1"/>
  <c r="L23" i="60"/>
  <c r="O23" i="60" s="1"/>
  <c r="J23" i="60"/>
  <c r="G23" i="60"/>
  <c r="H23" i="60" s="1"/>
  <c r="F23" i="60"/>
  <c r="E23" i="60"/>
  <c r="Q22" i="60"/>
  <c r="S22" i="60" s="1"/>
  <c r="T22" i="60" s="1"/>
  <c r="N22" i="60"/>
  <c r="M22" i="60"/>
  <c r="L22" i="60"/>
  <c r="O22" i="60" s="1"/>
  <c r="J22" i="60"/>
  <c r="H22" i="60"/>
  <c r="G22" i="60"/>
  <c r="F22" i="60"/>
  <c r="E22" i="60"/>
  <c r="Q21" i="60"/>
  <c r="S21" i="60" s="1"/>
  <c r="T21" i="60" s="1"/>
  <c r="M21" i="60"/>
  <c r="N21" i="60" s="1"/>
  <c r="L21" i="60"/>
  <c r="O21" i="60" s="1"/>
  <c r="J21" i="60"/>
  <c r="G21" i="60"/>
  <c r="H21" i="60" s="1"/>
  <c r="F21" i="60"/>
  <c r="E21" i="60"/>
  <c r="Q20" i="60"/>
  <c r="S20" i="60" s="1"/>
  <c r="T20" i="60" s="1"/>
  <c r="O20" i="60"/>
  <c r="M20" i="60"/>
  <c r="N20" i="60" s="1"/>
  <c r="L20" i="60"/>
  <c r="J20" i="60"/>
  <c r="G20" i="60"/>
  <c r="H20" i="60" s="1"/>
  <c r="F20" i="60"/>
  <c r="E20" i="60"/>
  <c r="Q19" i="60"/>
  <c r="S19" i="60" s="1"/>
  <c r="T19" i="60" s="1"/>
  <c r="O19" i="60"/>
  <c r="N19" i="60"/>
  <c r="M19" i="60"/>
  <c r="L19" i="60"/>
  <c r="J19" i="60"/>
  <c r="G19" i="60"/>
  <c r="H19" i="60" s="1"/>
  <c r="F19" i="60"/>
  <c r="E19" i="60"/>
  <c r="S18" i="60"/>
  <c r="T18" i="60" s="1"/>
  <c r="Q18" i="60"/>
  <c r="O18" i="60"/>
  <c r="M18" i="60"/>
  <c r="N18" i="60" s="1"/>
  <c r="L18" i="60"/>
  <c r="J18" i="60"/>
  <c r="G18" i="60"/>
  <c r="H18" i="60" s="1"/>
  <c r="F18" i="60"/>
  <c r="E18" i="60"/>
  <c r="Q17" i="60"/>
  <c r="S17" i="60" s="1"/>
  <c r="T17" i="60" s="1"/>
  <c r="M17" i="60"/>
  <c r="N17" i="60" s="1"/>
  <c r="L17" i="60"/>
  <c r="O17" i="60" s="1"/>
  <c r="J17" i="60"/>
  <c r="G17" i="60"/>
  <c r="F17" i="60"/>
  <c r="H17" i="60" s="1"/>
  <c r="E17" i="60"/>
  <c r="Q16" i="60"/>
  <c r="S16" i="60" s="1"/>
  <c r="T16" i="60" s="1"/>
  <c r="M16" i="60"/>
  <c r="N16" i="60" s="1"/>
  <c r="L16" i="60"/>
  <c r="O16" i="60" s="1"/>
  <c r="J16" i="60"/>
  <c r="G16" i="60"/>
  <c r="H16" i="60" s="1"/>
  <c r="F16" i="60"/>
  <c r="E16" i="60"/>
  <c r="S15" i="60"/>
  <c r="T15" i="60" s="1"/>
  <c r="Q15" i="60"/>
  <c r="M15" i="60"/>
  <c r="N15" i="60" s="1"/>
  <c r="L15" i="60"/>
  <c r="O15" i="60" s="1"/>
  <c r="J15" i="60"/>
  <c r="G15" i="60"/>
  <c r="H15" i="60" s="1"/>
  <c r="F15" i="60"/>
  <c r="E15" i="60"/>
  <c r="Q14" i="60"/>
  <c r="S14" i="60" s="1"/>
  <c r="T14" i="60" s="1"/>
  <c r="N14" i="60"/>
  <c r="M14" i="60"/>
  <c r="L14" i="60"/>
  <c r="O14" i="60" s="1"/>
  <c r="J14" i="60"/>
  <c r="H14" i="60"/>
  <c r="G14" i="60"/>
  <c r="F14" i="60"/>
  <c r="E14" i="60"/>
  <c r="Q13" i="60"/>
  <c r="S13" i="60" s="1"/>
  <c r="T13" i="60" s="1"/>
  <c r="M13" i="60"/>
  <c r="N13" i="60" s="1"/>
  <c r="L13" i="60"/>
  <c r="O13" i="60" s="1"/>
  <c r="J13" i="60"/>
  <c r="G13" i="60"/>
  <c r="H13" i="60" s="1"/>
  <c r="F13" i="60"/>
  <c r="E13" i="60"/>
  <c r="Q12" i="60"/>
  <c r="S12" i="60" s="1"/>
  <c r="T12" i="60" s="1"/>
  <c r="O12" i="60"/>
  <c r="M12" i="60"/>
  <c r="N12" i="60" s="1"/>
  <c r="L12" i="60"/>
  <c r="J12" i="60"/>
  <c r="G12" i="60"/>
  <c r="H12" i="60" s="1"/>
  <c r="F12" i="60"/>
  <c r="E12" i="60"/>
  <c r="Q11" i="60"/>
  <c r="S11" i="60" s="1"/>
  <c r="T11" i="60" s="1"/>
  <c r="O11" i="60"/>
  <c r="N11" i="60"/>
  <c r="M11" i="60"/>
  <c r="L11" i="60"/>
  <c r="J11" i="60"/>
  <c r="G11" i="60"/>
  <c r="H11" i="60" s="1"/>
  <c r="F11" i="60"/>
  <c r="F37" i="60" s="1"/>
  <c r="E11" i="60"/>
  <c r="S10" i="60"/>
  <c r="T10" i="60" s="1"/>
  <c r="Q10" i="60"/>
  <c r="O10" i="60"/>
  <c r="M10" i="60"/>
  <c r="N10" i="60" s="1"/>
  <c r="L10" i="60"/>
  <c r="J10" i="60"/>
  <c r="G10" i="60"/>
  <c r="H10" i="60" s="1"/>
  <c r="F10" i="60"/>
  <c r="E10" i="60"/>
  <c r="Q9" i="60"/>
  <c r="S9" i="60" s="1"/>
  <c r="T9" i="60" s="1"/>
  <c r="M9" i="60"/>
  <c r="N9" i="60" s="1"/>
  <c r="L9" i="60"/>
  <c r="O9" i="60" s="1"/>
  <c r="J9" i="60"/>
  <c r="G9" i="60"/>
  <c r="F9" i="60"/>
  <c r="H9" i="60" s="1"/>
  <c r="E9" i="60"/>
  <c r="Q8" i="60"/>
  <c r="S8" i="60" s="1"/>
  <c r="T8" i="60" s="1"/>
  <c r="M8" i="60"/>
  <c r="N8" i="60" s="1"/>
  <c r="L8" i="60"/>
  <c r="O8" i="60" s="1"/>
  <c r="J8" i="60"/>
  <c r="G8" i="60"/>
  <c r="H8" i="60" s="1"/>
  <c r="F8" i="60"/>
  <c r="E8" i="60"/>
  <c r="S7" i="60"/>
  <c r="T7" i="60" s="1"/>
  <c r="Q7" i="60"/>
  <c r="M7" i="60"/>
  <c r="N7" i="60" s="1"/>
  <c r="L7" i="60"/>
  <c r="O7" i="60" s="1"/>
  <c r="J7" i="60"/>
  <c r="G7" i="60"/>
  <c r="H7" i="60" s="1"/>
  <c r="F7" i="60"/>
  <c r="E7" i="60"/>
  <c r="Q6" i="60"/>
  <c r="S6" i="60" s="1"/>
  <c r="T6" i="60" s="1"/>
  <c r="N6" i="60"/>
  <c r="M6" i="60"/>
  <c r="L6" i="60"/>
  <c r="O6" i="60" s="1"/>
  <c r="J6" i="60"/>
  <c r="H6" i="60"/>
  <c r="G6" i="60"/>
  <c r="F6" i="60"/>
  <c r="E6" i="60"/>
  <c r="Q5" i="60"/>
  <c r="S5" i="60" s="1"/>
  <c r="M5" i="60"/>
  <c r="M37" i="60" s="1"/>
  <c r="L5" i="60"/>
  <c r="O5" i="60" s="1"/>
  <c r="J5" i="60"/>
  <c r="J37" i="60" s="1"/>
  <c r="G5" i="60"/>
  <c r="G37" i="60" s="1"/>
  <c r="F5" i="60"/>
  <c r="E5" i="60"/>
  <c r="E37" i="60" s="1"/>
  <c r="U9" i="60" l="1"/>
  <c r="U10" i="60"/>
  <c r="U17" i="60"/>
  <c r="U18" i="60"/>
  <c r="U25" i="60"/>
  <c r="U26" i="60"/>
  <c r="U11" i="60"/>
  <c r="U19" i="60"/>
  <c r="U27" i="60"/>
  <c r="U31" i="60"/>
  <c r="U8" i="60"/>
  <c r="U13" i="60"/>
  <c r="U16" i="60"/>
  <c r="U20" i="60"/>
  <c r="U21" i="60"/>
  <c r="U22" i="60"/>
  <c r="U24" i="60"/>
  <c r="U28" i="60"/>
  <c r="U29" i="60"/>
  <c r="U30" i="60"/>
  <c r="U33" i="60"/>
  <c r="U34" i="60"/>
  <c r="U7" i="60"/>
  <c r="U14" i="60"/>
  <c r="U23" i="60"/>
  <c r="T5" i="60"/>
  <c r="T37" i="60" s="1"/>
  <c r="S37" i="60"/>
  <c r="U6" i="60"/>
  <c r="U12" i="60"/>
  <c r="U15" i="60"/>
  <c r="P37" i="60"/>
  <c r="O37" i="60"/>
  <c r="U35" i="60"/>
  <c r="Q37" i="60"/>
  <c r="H5" i="60"/>
  <c r="N5" i="60"/>
  <c r="N37" i="60" s="1"/>
  <c r="L37" i="60"/>
  <c r="H37" i="60" l="1"/>
  <c r="B32" i="36"/>
  <c r="U5" i="60" l="1"/>
  <c r="U37" i="60" s="1"/>
  <c r="I37" i="60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O5" i="36"/>
  <c r="O4" i="36"/>
  <c r="O6" i="36" l="1"/>
  <c r="O7" i="36" l="1"/>
  <c r="O8" i="36" l="1"/>
  <c r="O9" i="36" l="1"/>
  <c r="O10" i="36" l="1"/>
  <c r="O11" i="36" l="1"/>
  <c r="O12" i="36" l="1"/>
  <c r="O13" i="36" l="1"/>
  <c r="O14" i="36" l="1"/>
  <c r="O15" i="36" l="1"/>
  <c r="O16" i="36" l="1"/>
  <c r="O17" i="36" l="1"/>
  <c r="O18" i="36" l="1"/>
  <c r="O19" i="36" l="1"/>
  <c r="O20" i="36" l="1"/>
  <c r="O21" i="36" l="1"/>
  <c r="O22" i="36" l="1"/>
  <c r="O23" i="36" l="1"/>
  <c r="O24" i="36" l="1"/>
  <c r="O25" i="36" l="1"/>
  <c r="O26" i="36" l="1"/>
  <c r="O27" i="36" l="1"/>
  <c r="O28" i="36" l="1"/>
  <c r="O29" i="36" l="1"/>
</calcChain>
</file>

<file path=xl/sharedStrings.xml><?xml version="1.0" encoding="utf-8"?>
<sst xmlns="http://schemas.openxmlformats.org/spreadsheetml/2006/main" count="113" uniqueCount="77">
  <si>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</si>
  <si>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</si>
  <si>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</si>
  <si>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</si>
  <si>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</si>
  <si>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</si>
  <si>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</si>
  <si>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</si>
  <si>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</si>
  <si>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</si>
  <si>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</si>
  <si>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</si>
  <si>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</si>
  <si>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</si>
  <si>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</si>
  <si>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</si>
  <si>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</si>
  <si>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</si>
  <si>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</si>
  <si>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</si>
  <si>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</si>
  <si>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</si>
  <si>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</si>
  <si>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</si>
  <si>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</si>
  <si>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</si>
  <si>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</si>
  <si>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</si>
  <si>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</si>
  <si>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</si>
  <si>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</si>
  <si>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</si>
  <si>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</si>
  <si>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</si>
  <si>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</si>
  <si>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</si>
  <si>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</si>
  <si>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</si>
  <si>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</si>
  <si>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</si>
  <si>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</si>
  <si>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</si>
  <si>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</si>
  <si>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</si>
  <si>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r>
      <t xml:space="preserve">总用水 </t>
    </r>
    <r>
      <rPr>
        <b/>
        <sz val="9"/>
        <rFont val="仿宋"/>
        <family val="3"/>
        <charset val="134"/>
      </rPr>
      <t>RMB*4.7592</t>
    </r>
    <r>
      <rPr>
        <b/>
        <sz val="9"/>
        <rFont val="仿宋"/>
        <family val="3"/>
        <charset val="134"/>
      </rPr>
      <t xml:space="preserve">     </t>
    </r>
  </si>
  <si>
    <t>11\21</t>
    <phoneticPr fontId="2" type="noConversion"/>
  </si>
  <si>
    <t>10\19</t>
    <phoneticPr fontId="2" type="noConversion"/>
  </si>
  <si>
    <t>9\17</t>
    <phoneticPr fontId="2" type="noConversion"/>
  </si>
  <si>
    <r>
      <t xml:space="preserve">UTILITIES CONSUMPTION REPORT(2023-1)    </t>
    </r>
    <r>
      <rPr>
        <b/>
        <sz val="10"/>
        <rFont val="仿宋"/>
        <family val="3"/>
        <charset val="134"/>
      </rPr>
      <t>电费从2022年8月1号开始改为0.6963/Kwh，天然气从2023年1月20号开始改为4.6/m³</t>
    </r>
  </si>
  <si>
    <r>
      <t>General Gas               总天然气               (RMB4.6</t>
    </r>
    <r>
      <rPr>
        <b/>
        <sz val="9"/>
        <rFont val="仿宋"/>
        <family val="3"/>
        <charset val="134"/>
      </rPr>
      <t>/m³)</t>
    </r>
  </si>
  <si>
    <t>12\19</t>
    <phoneticPr fontId="2" type="noConversion"/>
  </si>
  <si>
    <t>12\20</t>
    <phoneticPr fontId="2" type="noConversion"/>
  </si>
  <si>
    <t>13\18</t>
    <phoneticPr fontId="2" type="noConversion"/>
  </si>
  <si>
    <t>12\22</t>
    <phoneticPr fontId="2" type="noConversion"/>
  </si>
  <si>
    <t>14\22</t>
    <phoneticPr fontId="2" type="noConversion"/>
  </si>
  <si>
    <t>14\17</t>
    <phoneticPr fontId="2" type="noConversion"/>
  </si>
  <si>
    <t>14\18</t>
  </si>
  <si>
    <t>15\18</t>
    <phoneticPr fontId="2" type="noConversion"/>
  </si>
  <si>
    <t>16\20</t>
    <phoneticPr fontId="2" type="noConversion"/>
  </si>
  <si>
    <t>19\26</t>
    <phoneticPr fontId="2" type="noConversion"/>
  </si>
  <si>
    <t>19/26</t>
    <phoneticPr fontId="2" type="noConversion"/>
  </si>
  <si>
    <t>18/27</t>
    <phoneticPr fontId="2" type="noConversion"/>
  </si>
  <si>
    <t>6/13</t>
  </si>
  <si>
    <t>6/14</t>
  </si>
  <si>
    <t>6/15</t>
  </si>
  <si>
    <t>7/19</t>
  </si>
  <si>
    <t>8\20</t>
    <phoneticPr fontId="2" type="noConversion"/>
  </si>
  <si>
    <t>14/23</t>
    <phoneticPr fontId="2" type="noConversion"/>
  </si>
  <si>
    <t>11\23</t>
    <phoneticPr fontId="2" type="noConversion"/>
  </si>
  <si>
    <t>6\14</t>
    <phoneticPr fontId="2" type="noConversion"/>
  </si>
  <si>
    <t>6\15</t>
  </si>
  <si>
    <t>5\15</t>
    <phoneticPr fontId="2" type="noConversion"/>
  </si>
  <si>
    <t>5\17</t>
    <phoneticPr fontId="2" type="noConversion"/>
  </si>
  <si>
    <t>5\20</t>
    <phoneticPr fontId="2" type="noConversion"/>
  </si>
  <si>
    <t>9\22</t>
    <phoneticPr fontId="2" type="noConversion"/>
  </si>
  <si>
    <t>15/22</t>
    <phoneticPr fontId="2" type="noConversion"/>
  </si>
  <si>
    <t>General electricity总电量       (RMB0.7182/Kwh)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</si>
</sst>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3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112">
    <xf numFmtId="0" fontId="0" fillId="0" borderId="0" xfId="0"/>
    <xf numFmtId="0" fontId="12" fillId="0" borderId="3" xfId="1" applyFont="1" applyBorder="1" applyAlignment="1">
      <alignment horizontal="center"/>
    </xf>
    <xf numFmtId="0" fontId="13" fillId="0" borderId="3" xfId="1" applyFont="1" applyBorder="1" applyAlignment="1">
      <alignment horizontal="center"/>
    </xf>
    <xf numFmtId="1" fontId="13" fillId="0" borderId="3" xfId="1" applyNumberFormat="1" applyFont="1" applyBorder="1" applyAlignment="1">
      <alignment horizontal="center"/>
    </xf>
    <xf numFmtId="1" fontId="12" fillId="0" borderId="3" xfId="1" applyNumberFormat="1" applyFont="1" applyBorder="1" applyAlignment="1">
      <alignment horizontal="center" wrapText="1"/>
    </xf>
    <xf numFmtId="0" fontId="12" fillId="0" borderId="3" xfId="1" applyFont="1" applyBorder="1" applyAlignment="1">
      <alignment horizontal="center" wrapText="1"/>
    </xf>
    <xf numFmtId="0" fontId="12" fillId="0" borderId="0" xfId="1" applyFont="1" applyAlignment="1">
      <alignment wrapText="1"/>
    </xf>
    <xf numFmtId="0" fontId="12" fillId="0" borderId="0" xfId="1" applyFont="1"/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1" fontId="15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3" fillId="0" borderId="3" xfId="1" applyFont="1" applyBorder="1" applyAlignment="1">
      <alignment horizontal="center" wrapText="1"/>
    </xf>
    <xf numFmtId="2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1" fontId="12" fillId="4" borderId="3" xfId="1" applyNumberFormat="1" applyFont="1" applyFill="1" applyBorder="1" applyAlignment="1">
      <alignment horizontal="center" wrapText="1"/>
    </xf>
    <xf numFmtId="0" fontId="12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19" fillId="0" borderId="5" xfId="0" applyFont="1" applyBorder="1" applyAlignment="1" applyProtection="1">
      <alignment horizontal="center" vertical="center" wrapText="1"/>
      <protection locked="0"/>
    </xf>
    <xf numFmtId="0" fontId="19" fillId="0" borderId="17" xfId="0" applyFont="1" applyBorder="1" applyAlignment="1" applyProtection="1">
      <alignment horizontal="center" vertical="center" wrapText="1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19" xfId="0" applyNumberFormat="1" applyFont="1" applyBorder="1" applyAlignment="1" applyProtection="1">
      <alignment horizontal="center" vertical="center"/>
      <protection locked="0"/>
    </xf>
    <xf numFmtId="168" fontId="9" fillId="0" borderId="20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0" xfId="0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4" fontId="7" fillId="0" borderId="22" xfId="0" applyNumberFormat="1" applyFont="1" applyBorder="1" applyAlignment="1" applyProtection="1">
      <alignment horizontal="center" vertical="center"/>
      <protection locked="0"/>
    </xf>
    <xf numFmtId="167" fontId="7" fillId="0" borderId="23" xfId="0" applyNumberFormat="1" applyFont="1" applyBorder="1" applyAlignment="1" applyProtection="1">
      <alignment horizontal="center" vertical="center"/>
      <protection locked="0"/>
    </xf>
    <xf numFmtId="164" fontId="21" fillId="0" borderId="21" xfId="0" applyNumberFormat="1" applyFont="1" applyBorder="1" applyAlignment="1" applyProtection="1">
      <alignment horizontal="center" vertical="center"/>
      <protection locked="0"/>
    </xf>
    <xf numFmtId="164" fontId="21" fillId="0" borderId="22" xfId="0" applyNumberFormat="1" applyFont="1" applyBorder="1" applyAlignment="1" applyProtection="1">
      <alignment horizontal="center" vertical="center"/>
      <protection locked="0"/>
    </xf>
    <xf numFmtId="164" fontId="7" fillId="4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3" borderId="28" xfId="0" applyNumberFormat="1" applyFont="1" applyFill="1" applyBorder="1" applyAlignment="1" applyProtection="1">
      <alignment horizontal="center" vertical="center"/>
      <protection locked="0"/>
    </xf>
    <xf numFmtId="164" fontId="7" fillId="3" borderId="29" xfId="0" applyNumberFormat="1" applyFont="1" applyFill="1" applyBorder="1" applyAlignment="1" applyProtection="1">
      <alignment horizontal="center" vertical="center"/>
      <protection locked="0"/>
    </xf>
    <xf numFmtId="167" fontId="7" fillId="3" borderId="29" xfId="0" applyNumberFormat="1" applyFont="1" applyFill="1" applyBorder="1" applyAlignment="1" applyProtection="1">
      <alignment horizontal="center" vertical="center"/>
      <protection locked="0"/>
    </xf>
    <xf numFmtId="167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29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28" xfId="0" applyNumberFormat="1" applyFont="1" applyFill="1" applyBorder="1" applyAlignment="1" applyProtection="1">
      <alignment horizontal="center" vertical="center"/>
      <protection locked="0"/>
    </xf>
    <xf numFmtId="168" fontId="7" fillId="3" borderId="13" xfId="0" applyNumberFormat="1" applyFont="1" applyFill="1" applyBorder="1" applyAlignment="1" applyProtection="1">
      <alignment horizontal="center" vertical="center"/>
      <protection locked="0"/>
    </xf>
    <xf numFmtId="38" fontId="7" fillId="0" borderId="22" xfId="0" applyNumberFormat="1" applyFont="1" applyBorder="1" applyAlignment="1" applyProtection="1">
      <alignment horizontal="center" vertical="center"/>
      <protection locked="0"/>
    </xf>
    <xf numFmtId="0" fontId="7" fillId="5" borderId="32" xfId="0" applyFont="1" applyFill="1" applyBorder="1" applyAlignment="1" applyProtection="1">
      <alignment horizontal="center" vertical="center"/>
      <protection locked="0"/>
    </xf>
    <xf numFmtId="0" fontId="7" fillId="5" borderId="33" xfId="0" applyFont="1" applyFill="1" applyBorder="1" applyAlignment="1" applyProtection="1">
      <alignment horizontal="center" vertical="center"/>
      <protection locked="0"/>
    </xf>
    <xf numFmtId="1" fontId="22" fillId="0" borderId="0" xfId="1" applyNumberFormat="1" applyFont="1" applyAlignment="1">
      <alignment horizontal="center"/>
    </xf>
    <xf numFmtId="38" fontId="7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7" xfId="0" applyNumberFormat="1" applyFont="1" applyBorder="1" applyAlignment="1" applyProtection="1">
      <alignment horizontal="center" vertical="center"/>
      <protection locked="0"/>
    </xf>
    <xf numFmtId="168" fontId="7" fillId="0" borderId="23" xfId="0" applyNumberFormat="1" applyFont="1" applyBorder="1" applyAlignment="1" applyProtection="1">
      <alignment horizontal="center" vertical="center"/>
      <protection locked="0"/>
    </xf>
    <xf numFmtId="168" fontId="7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6" xfId="0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 applyProtection="1">
      <alignment horizont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18" fillId="2" borderId="11" xfId="0" applyFont="1" applyFill="1" applyBorder="1" applyAlignment="1" applyProtection="1">
      <alignment horizontal="center" vertical="center" wrapText="1"/>
      <protection locked="0"/>
    </xf>
    <xf numFmtId="0" fontId="18" fillId="2" borderId="12" xfId="0" applyFont="1" applyFill="1" applyBorder="1" applyAlignment="1" applyProtection="1">
      <alignment horizontal="center" vertical="center" wrapText="1"/>
      <protection locked="0"/>
    </xf>
    <xf numFmtId="0" fontId="18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166" fontId="6" fillId="2" borderId="14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3&#33021;&#32791;&#25253;&#34920;\2023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 refreshError="1"/>
      <sheetData sheetId="1">
        <row r="7">
          <cell r="F7">
            <v>24100.000000003092</v>
          </cell>
        </row>
        <row r="8">
          <cell r="F8">
            <v>24300.000000000637</v>
          </cell>
        </row>
        <row r="9">
          <cell r="F9">
            <v>21699.99999999618</v>
          </cell>
        </row>
        <row r="10">
          <cell r="F10">
            <v>21900.000000000546</v>
          </cell>
        </row>
        <row r="11">
          <cell r="F11">
            <v>26500.000000000909</v>
          </cell>
        </row>
        <row r="12">
          <cell r="F12">
            <v>25900.000000001455</v>
          </cell>
        </row>
        <row r="13">
          <cell r="F13">
            <v>26799.999999998363</v>
          </cell>
        </row>
        <row r="14">
          <cell r="F14">
            <v>27200.000000002547</v>
          </cell>
        </row>
        <row r="15">
          <cell r="F15">
            <v>26799.999999998363</v>
          </cell>
        </row>
        <row r="16">
          <cell r="F16">
            <v>25900.000000001455</v>
          </cell>
        </row>
        <row r="17">
          <cell r="F17">
            <v>26599.999999998545</v>
          </cell>
        </row>
        <row r="18">
          <cell r="F18">
            <v>27399.999999997817</v>
          </cell>
        </row>
        <row r="19">
          <cell r="F19">
            <v>29000.000000000909</v>
          </cell>
        </row>
        <row r="20">
          <cell r="F20">
            <v>28900.000000003274</v>
          </cell>
        </row>
        <row r="21">
          <cell r="F21">
            <v>25699.99999999709</v>
          </cell>
        </row>
        <row r="22">
          <cell r="F22">
            <v>23600.000000001273</v>
          </cell>
        </row>
        <row r="23">
          <cell r="F23">
            <v>24900.000000002365</v>
          </cell>
        </row>
        <row r="24">
          <cell r="F24">
            <v>26099.999999996726</v>
          </cell>
        </row>
        <row r="25">
          <cell r="F25">
            <v>26199.999999998909</v>
          </cell>
        </row>
        <row r="26">
          <cell r="F26">
            <v>27600.000000002183</v>
          </cell>
        </row>
        <row r="27">
          <cell r="F27">
            <v>27699.999999995271</v>
          </cell>
        </row>
        <row r="28">
          <cell r="F28">
            <v>27900.000000004184</v>
          </cell>
        </row>
        <row r="29">
          <cell r="F29">
            <v>27300.000000000182</v>
          </cell>
        </row>
        <row r="30">
          <cell r="F30">
            <v>28099.999999999454</v>
          </cell>
        </row>
        <row r="31">
          <cell r="F31">
            <v>26100.000000001273</v>
          </cell>
        </row>
        <row r="32">
          <cell r="F32">
            <v>25799.999999999272</v>
          </cell>
        </row>
        <row r="33">
          <cell r="F33">
            <v>25599.999999999454</v>
          </cell>
        </row>
        <row r="34">
          <cell r="F34">
            <v>27400.000000002365</v>
          </cell>
        </row>
        <row r="35">
          <cell r="F35">
            <v>27399.999999997817</v>
          </cell>
        </row>
        <row r="36">
          <cell r="F36">
            <v>26900.000000000546</v>
          </cell>
        </row>
        <row r="37">
          <cell r="F37">
            <v>27200.000000002547</v>
          </cell>
        </row>
      </sheetData>
      <sheetData sheetId="2" refreshError="1"/>
      <sheetData sheetId="3">
        <row r="7">
          <cell r="C7">
            <v>403</v>
          </cell>
        </row>
        <row r="8">
          <cell r="C8">
            <v>319</v>
          </cell>
        </row>
        <row r="9">
          <cell r="C9">
            <v>494</v>
          </cell>
        </row>
        <row r="10">
          <cell r="C10">
            <v>460</v>
          </cell>
        </row>
        <row r="11">
          <cell r="C11">
            <v>435</v>
          </cell>
        </row>
        <row r="12">
          <cell r="C12">
            <v>528</v>
          </cell>
        </row>
        <row r="13">
          <cell r="C13">
            <v>505</v>
          </cell>
        </row>
        <row r="14">
          <cell r="C14">
            <v>696</v>
          </cell>
        </row>
        <row r="15">
          <cell r="C15">
            <v>524</v>
          </cell>
        </row>
        <row r="16">
          <cell r="C16">
            <v>516</v>
          </cell>
        </row>
        <row r="17">
          <cell r="C17">
            <v>616</v>
          </cell>
        </row>
        <row r="18">
          <cell r="C18">
            <v>631</v>
          </cell>
        </row>
        <row r="19">
          <cell r="C19">
            <v>643</v>
          </cell>
        </row>
        <row r="20">
          <cell r="C20">
            <v>570</v>
          </cell>
        </row>
        <row r="21">
          <cell r="C21">
            <v>603</v>
          </cell>
        </row>
        <row r="22">
          <cell r="C22">
            <v>555</v>
          </cell>
        </row>
        <row r="23">
          <cell r="C23">
            <v>620</v>
          </cell>
        </row>
        <row r="24">
          <cell r="C24">
            <v>539</v>
          </cell>
        </row>
        <row r="25">
          <cell r="C25">
            <v>631</v>
          </cell>
        </row>
        <row r="26">
          <cell r="C26">
            <v>607</v>
          </cell>
        </row>
        <row r="27">
          <cell r="C27">
            <v>587</v>
          </cell>
        </row>
        <row r="28">
          <cell r="C28">
            <v>498</v>
          </cell>
        </row>
        <row r="29">
          <cell r="C29">
            <v>549</v>
          </cell>
        </row>
        <row r="30">
          <cell r="C30">
            <v>568</v>
          </cell>
        </row>
        <row r="31">
          <cell r="C31">
            <v>528</v>
          </cell>
        </row>
        <row r="32">
          <cell r="C32">
            <v>601</v>
          </cell>
        </row>
        <row r="33">
          <cell r="C33">
            <v>724</v>
          </cell>
        </row>
        <row r="34">
          <cell r="C34">
            <v>588</v>
          </cell>
        </row>
        <row r="35">
          <cell r="C35">
            <v>734</v>
          </cell>
        </row>
        <row r="36">
          <cell r="C36">
            <v>622</v>
          </cell>
        </row>
        <row r="37">
          <cell r="C37">
            <v>417</v>
          </cell>
        </row>
      </sheetData>
      <sheetData sheetId="4" refreshError="1"/>
      <sheetData sheetId="5">
        <row r="7">
          <cell r="C7">
            <v>1033</v>
          </cell>
          <cell r="H7">
            <v>813</v>
          </cell>
        </row>
        <row r="8">
          <cell r="C8">
            <v>940</v>
          </cell>
          <cell r="H8">
            <v>791</v>
          </cell>
        </row>
        <row r="9">
          <cell r="C9">
            <v>981</v>
          </cell>
          <cell r="H9">
            <v>835</v>
          </cell>
        </row>
        <row r="10">
          <cell r="C10">
            <v>987</v>
          </cell>
          <cell r="H10">
            <v>603</v>
          </cell>
        </row>
        <row r="11">
          <cell r="C11">
            <v>976</v>
          </cell>
          <cell r="H11">
            <v>503</v>
          </cell>
        </row>
        <row r="12">
          <cell r="C12">
            <v>955</v>
          </cell>
          <cell r="H12">
            <v>515</v>
          </cell>
        </row>
        <row r="13">
          <cell r="C13">
            <v>1077</v>
          </cell>
          <cell r="H13">
            <v>294</v>
          </cell>
        </row>
        <row r="14">
          <cell r="C14">
            <v>1081</v>
          </cell>
          <cell r="H14">
            <v>597</v>
          </cell>
        </row>
        <row r="15">
          <cell r="C15">
            <v>1093</v>
          </cell>
          <cell r="H15">
            <v>360</v>
          </cell>
        </row>
        <row r="16">
          <cell r="C16">
            <v>1265</v>
          </cell>
          <cell r="H16">
            <v>379</v>
          </cell>
        </row>
        <row r="17">
          <cell r="C17">
            <v>1248</v>
          </cell>
          <cell r="H17">
            <v>517</v>
          </cell>
        </row>
        <row r="18">
          <cell r="C18">
            <v>1345</v>
          </cell>
          <cell r="H18">
            <v>474</v>
          </cell>
        </row>
        <row r="19">
          <cell r="C19">
            <v>1384</v>
          </cell>
          <cell r="H19">
            <v>482</v>
          </cell>
        </row>
        <row r="20">
          <cell r="C20">
            <v>1363</v>
          </cell>
          <cell r="H20">
            <v>0</v>
          </cell>
        </row>
        <row r="21">
          <cell r="C21">
            <v>1380</v>
          </cell>
          <cell r="H21">
            <v>345</v>
          </cell>
        </row>
        <row r="22">
          <cell r="C22">
            <v>1608</v>
          </cell>
          <cell r="H22">
            <v>963</v>
          </cell>
        </row>
        <row r="23">
          <cell r="C23">
            <v>1383</v>
          </cell>
          <cell r="H23">
            <v>868</v>
          </cell>
        </row>
        <row r="24">
          <cell r="C24">
            <v>1371</v>
          </cell>
          <cell r="H24">
            <v>969</v>
          </cell>
        </row>
        <row r="25">
          <cell r="C25">
            <v>1395</v>
          </cell>
          <cell r="H25">
            <v>811</v>
          </cell>
        </row>
        <row r="26">
          <cell r="C26">
            <v>1410</v>
          </cell>
          <cell r="H26">
            <v>469</v>
          </cell>
        </row>
        <row r="27">
          <cell r="C27">
            <v>927</v>
          </cell>
          <cell r="H27">
            <v>249</v>
          </cell>
        </row>
        <row r="28">
          <cell r="C28">
            <v>1398</v>
          </cell>
          <cell r="H28">
            <v>553</v>
          </cell>
        </row>
        <row r="29">
          <cell r="C29">
            <v>1406</v>
          </cell>
          <cell r="H29">
            <v>420</v>
          </cell>
        </row>
        <row r="30">
          <cell r="C30">
            <v>1417</v>
          </cell>
          <cell r="H30">
            <v>515</v>
          </cell>
        </row>
        <row r="31">
          <cell r="C31">
            <v>1436</v>
          </cell>
          <cell r="H31">
            <v>896</v>
          </cell>
        </row>
        <row r="32">
          <cell r="C32">
            <v>1456</v>
          </cell>
          <cell r="H32">
            <v>896</v>
          </cell>
        </row>
        <row r="33">
          <cell r="C33">
            <v>1442</v>
          </cell>
          <cell r="H33">
            <v>840</v>
          </cell>
        </row>
        <row r="34">
          <cell r="C34">
            <v>1581</v>
          </cell>
          <cell r="H34">
            <v>958</v>
          </cell>
        </row>
        <row r="35">
          <cell r="C35">
            <v>1428</v>
          </cell>
          <cell r="H35">
            <v>871</v>
          </cell>
        </row>
        <row r="36">
          <cell r="C36">
            <v>1430</v>
          </cell>
          <cell r="H36">
            <v>855</v>
          </cell>
        </row>
        <row r="37">
          <cell r="C37">
            <v>1499</v>
          </cell>
          <cell r="H37">
            <v>898</v>
          </cell>
        </row>
      </sheetData>
      <sheetData sheetId="6" refreshError="1"/>
      <sheetData sheetId="7">
        <row r="7">
          <cell r="BH7">
            <v>403</v>
          </cell>
        </row>
        <row r="8">
          <cell r="BH8">
            <v>247</v>
          </cell>
        </row>
        <row r="9">
          <cell r="BH9">
            <v>282</v>
          </cell>
        </row>
        <row r="10">
          <cell r="BH10">
            <v>415</v>
          </cell>
        </row>
        <row r="11">
          <cell r="BH11">
            <v>570</v>
          </cell>
        </row>
        <row r="12">
          <cell r="BH12">
            <v>567</v>
          </cell>
        </row>
        <row r="13">
          <cell r="BH13">
            <v>555</v>
          </cell>
        </row>
        <row r="14">
          <cell r="BH14">
            <v>573</v>
          </cell>
        </row>
        <row r="15">
          <cell r="BH15">
            <v>549</v>
          </cell>
        </row>
        <row r="16">
          <cell r="BH16">
            <v>543</v>
          </cell>
        </row>
        <row r="17">
          <cell r="BH17">
            <v>715</v>
          </cell>
        </row>
        <row r="18">
          <cell r="BH18">
            <v>656</v>
          </cell>
        </row>
        <row r="19">
          <cell r="BH19">
            <v>589</v>
          </cell>
        </row>
        <row r="20">
          <cell r="BH20">
            <v>533</v>
          </cell>
        </row>
        <row r="21">
          <cell r="BH21">
            <v>625</v>
          </cell>
        </row>
        <row r="22">
          <cell r="BH22">
            <v>556</v>
          </cell>
        </row>
        <row r="23">
          <cell r="BH23">
            <v>488</v>
          </cell>
        </row>
        <row r="24">
          <cell r="BH24">
            <v>564</v>
          </cell>
        </row>
        <row r="25">
          <cell r="BH25">
            <v>571</v>
          </cell>
        </row>
        <row r="26">
          <cell r="BH26">
            <v>488</v>
          </cell>
        </row>
        <row r="27">
          <cell r="BH27">
            <v>547</v>
          </cell>
        </row>
        <row r="28">
          <cell r="BH28">
            <v>509</v>
          </cell>
        </row>
        <row r="29">
          <cell r="BH29">
            <v>484</v>
          </cell>
        </row>
        <row r="30">
          <cell r="BH30">
            <v>506</v>
          </cell>
        </row>
        <row r="31">
          <cell r="BH31">
            <v>515</v>
          </cell>
        </row>
        <row r="32">
          <cell r="BH32">
            <v>525</v>
          </cell>
        </row>
        <row r="33">
          <cell r="BH33">
            <v>502</v>
          </cell>
        </row>
        <row r="34">
          <cell r="BH34">
            <v>474</v>
          </cell>
        </row>
        <row r="35">
          <cell r="BH35">
            <v>500</v>
          </cell>
        </row>
        <row r="36">
          <cell r="BH36">
            <v>509</v>
          </cell>
        </row>
        <row r="37">
          <cell r="BH37">
            <v>512</v>
          </cell>
        </row>
      </sheetData>
      <sheetData sheetId="8">
        <row r="4">
          <cell r="V4">
            <v>2441</v>
          </cell>
        </row>
        <row r="5">
          <cell r="V5">
            <v>2223</v>
          </cell>
        </row>
        <row r="6">
          <cell r="V6">
            <v>2663</v>
          </cell>
        </row>
        <row r="7">
          <cell r="V7">
            <v>2180</v>
          </cell>
        </row>
        <row r="8">
          <cell r="V8">
            <v>3940</v>
          </cell>
        </row>
        <row r="9">
          <cell r="V9">
            <v>3429</v>
          </cell>
        </row>
        <row r="10">
          <cell r="V10">
            <v>3883</v>
          </cell>
        </row>
        <row r="11">
          <cell r="V11">
            <v>3358</v>
          </cell>
        </row>
        <row r="12">
          <cell r="V12">
            <v>3267</v>
          </cell>
        </row>
        <row r="13">
          <cell r="V13">
            <v>2503</v>
          </cell>
        </row>
        <row r="14">
          <cell r="V14">
            <v>2672</v>
          </cell>
        </row>
        <row r="15">
          <cell r="V15">
            <v>3528</v>
          </cell>
        </row>
        <row r="16">
          <cell r="V16">
            <v>4373</v>
          </cell>
        </row>
        <row r="17">
          <cell r="V17">
            <v>4446</v>
          </cell>
        </row>
        <row r="18">
          <cell r="V18">
            <v>1768</v>
          </cell>
        </row>
        <row r="19">
          <cell r="V19">
            <v>786</v>
          </cell>
        </row>
        <row r="20">
          <cell r="V20">
            <v>1672</v>
          </cell>
        </row>
        <row r="21">
          <cell r="V21">
            <v>2335</v>
          </cell>
        </row>
        <row r="22">
          <cell r="V22">
            <v>3133</v>
          </cell>
        </row>
        <row r="23">
          <cell r="V23">
            <v>3262</v>
          </cell>
        </row>
        <row r="24">
          <cell r="V24">
            <v>3614</v>
          </cell>
        </row>
        <row r="25">
          <cell r="V25">
            <v>4174</v>
          </cell>
        </row>
        <row r="26">
          <cell r="V26">
            <v>3503</v>
          </cell>
        </row>
        <row r="27">
          <cell r="V27">
            <v>3151</v>
          </cell>
        </row>
        <row r="28">
          <cell r="V28">
            <v>1952</v>
          </cell>
        </row>
        <row r="29">
          <cell r="V29">
            <v>2091</v>
          </cell>
        </row>
        <row r="30">
          <cell r="V30">
            <v>2186</v>
          </cell>
        </row>
        <row r="31">
          <cell r="V31">
            <v>2489</v>
          </cell>
        </row>
        <row r="32">
          <cell r="V32">
            <v>2670</v>
          </cell>
        </row>
        <row r="33">
          <cell r="V33">
            <v>2813</v>
          </cell>
        </row>
        <row r="34">
          <cell r="V34">
            <v>3209</v>
          </cell>
        </row>
      </sheetData>
      <sheetData sheetId="9">
        <row r="4">
          <cell r="L4">
            <v>4</v>
          </cell>
        </row>
        <row r="5">
          <cell r="L5">
            <v>4</v>
          </cell>
        </row>
        <row r="6">
          <cell r="L6">
            <v>5</v>
          </cell>
        </row>
        <row r="7">
          <cell r="L7">
            <v>6</v>
          </cell>
        </row>
        <row r="8">
          <cell r="L8">
            <v>6</v>
          </cell>
        </row>
        <row r="9">
          <cell r="L9">
            <v>7</v>
          </cell>
        </row>
        <row r="10">
          <cell r="L10">
            <v>7</v>
          </cell>
        </row>
        <row r="11">
          <cell r="L11">
            <v>8</v>
          </cell>
        </row>
        <row r="12">
          <cell r="L12">
            <v>8</v>
          </cell>
        </row>
        <row r="13">
          <cell r="L13">
            <v>9</v>
          </cell>
        </row>
        <row r="14">
          <cell r="L14">
            <v>9</v>
          </cell>
        </row>
        <row r="15">
          <cell r="L15">
            <v>9</v>
          </cell>
        </row>
        <row r="16">
          <cell r="L16">
            <v>11</v>
          </cell>
        </row>
        <row r="17">
          <cell r="L17">
            <v>12</v>
          </cell>
        </row>
        <row r="18">
          <cell r="L18">
            <v>10</v>
          </cell>
        </row>
        <row r="19">
          <cell r="L19">
            <v>5</v>
          </cell>
        </row>
        <row r="20">
          <cell r="L20">
            <v>4</v>
          </cell>
        </row>
        <row r="21">
          <cell r="L21">
            <v>4</v>
          </cell>
        </row>
        <row r="22">
          <cell r="L22">
            <v>5</v>
          </cell>
        </row>
        <row r="23">
          <cell r="L23">
            <v>6</v>
          </cell>
        </row>
        <row r="24">
          <cell r="L24">
            <v>4</v>
          </cell>
        </row>
        <row r="25">
          <cell r="L25">
            <v>7</v>
          </cell>
        </row>
        <row r="26">
          <cell r="L26">
            <v>5</v>
          </cell>
        </row>
        <row r="27">
          <cell r="L27">
            <v>4</v>
          </cell>
        </row>
        <row r="28">
          <cell r="L28">
            <v>3</v>
          </cell>
        </row>
        <row r="29">
          <cell r="L29">
            <v>3</v>
          </cell>
        </row>
        <row r="30">
          <cell r="L30">
            <v>4</v>
          </cell>
        </row>
        <row r="31">
          <cell r="L31">
            <v>3</v>
          </cell>
        </row>
        <row r="32">
          <cell r="L32">
            <v>3</v>
          </cell>
        </row>
        <row r="33">
          <cell r="L33">
            <v>3</v>
          </cell>
        </row>
        <row r="34">
          <cell r="L34">
            <v>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A2" zoomScale="85" zoomScaleNormal="85" workbookViewId="0">
      <selection activeCell="H34" sqref="H34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1</v>
      </c>
      <c r="D2" s="10">
        <v>2023</v>
      </c>
      <c r="E2" s="11">
        <f>'总计 '!O5</f>
        <v>34624.000000003092</v>
      </c>
      <c r="F2" s="16">
        <v>0.71819999999999995</v>
      </c>
      <c r="G2" s="11">
        <f>'总计 '!H5</f>
        <v>2249</v>
      </c>
      <c r="H2" s="16">
        <v>3.62</v>
      </c>
      <c r="I2" s="11">
        <f>'总计 '!S5</f>
        <v>447</v>
      </c>
      <c r="J2" s="16">
        <v>4.8600000000000003</v>
      </c>
      <c r="K2" s="62">
        <f>'总计 '!M5*1000</f>
        <v>4000</v>
      </c>
      <c r="L2" s="16">
        <v>0.42</v>
      </c>
      <c r="M2" s="11">
        <f>('总计 '!D5/100)*344</f>
        <v>258.99759999999998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1</v>
      </c>
      <c r="D3" s="10">
        <v>2023</v>
      </c>
      <c r="E3" s="11">
        <f>'总计 '!O6</f>
        <v>34824.00000000064</v>
      </c>
      <c r="F3" s="16">
        <v>0.71819999999999995</v>
      </c>
      <c r="G3" s="11">
        <f>'总计 '!H6</f>
        <v>1978</v>
      </c>
      <c r="H3" s="16">
        <f>H2</f>
        <v>3.62</v>
      </c>
      <c r="I3" s="11">
        <f>'总计 '!S6</f>
        <v>363</v>
      </c>
      <c r="J3" s="16">
        <f>J2</f>
        <v>4.8600000000000003</v>
      </c>
      <c r="K3" s="62">
        <f>'总计 '!M6*1000</f>
        <v>4000</v>
      </c>
      <c r="L3" s="16">
        <v>0.42</v>
      </c>
      <c r="M3" s="11">
        <f>('总计 '!D6/100)*344</f>
        <v>218.99039999999999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32" si="0">B3+1</f>
        <v>3</v>
      </c>
      <c r="C4" s="9">
        <v>1</v>
      </c>
      <c r="D4" s="10">
        <v>2023</v>
      </c>
      <c r="E4" s="11">
        <f>'总计 '!O7</f>
        <v>32223.99999999618</v>
      </c>
      <c r="F4" s="16">
        <v>0.71819999999999995</v>
      </c>
      <c r="G4" s="11">
        <f>'总计 '!H7</f>
        <v>2098</v>
      </c>
      <c r="H4" s="16">
        <f t="shared" ref="H4:H32" si="1">H3</f>
        <v>3.62</v>
      </c>
      <c r="I4" s="11">
        <f>'总计 '!S7</f>
        <v>538</v>
      </c>
      <c r="J4" s="16">
        <f t="shared" ref="J4:J32" si="2">J3</f>
        <v>4.8600000000000003</v>
      </c>
      <c r="K4" s="62">
        <f>'总计 '!M7*1000</f>
        <v>5000</v>
      </c>
      <c r="L4" s="16">
        <v>0.42</v>
      </c>
      <c r="M4" s="11">
        <f>('总计 '!D7/100)*344</f>
        <v>181.0128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1</v>
      </c>
      <c r="D5" s="10">
        <v>2023</v>
      </c>
      <c r="E5" s="11">
        <f>'总计 '!O8</f>
        <v>32424.000000000546</v>
      </c>
      <c r="F5" s="16">
        <v>0.71819999999999995</v>
      </c>
      <c r="G5" s="11">
        <f>'总计 '!H8</f>
        <v>2005</v>
      </c>
      <c r="H5" s="16">
        <f t="shared" si="1"/>
        <v>3.62</v>
      </c>
      <c r="I5" s="11">
        <f>'总计 '!S8</f>
        <v>504</v>
      </c>
      <c r="J5" s="16">
        <f t="shared" si="2"/>
        <v>4.8600000000000003</v>
      </c>
      <c r="K5" s="62">
        <f>'总计 '!M8*1000</f>
        <v>6000</v>
      </c>
      <c r="L5" s="16">
        <v>0.42</v>
      </c>
      <c r="M5" s="11">
        <f>('总计 '!D8/100)*344</f>
        <v>229.9984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1</v>
      </c>
      <c r="D6" s="10">
        <v>2023</v>
      </c>
      <c r="E6" s="11">
        <f>'总计 '!O9</f>
        <v>37024.000000000909</v>
      </c>
      <c r="F6" s="16">
        <v>0.71819999999999995</v>
      </c>
      <c r="G6" s="11">
        <f>'总计 '!H9</f>
        <v>2049</v>
      </c>
      <c r="H6" s="16">
        <f t="shared" si="1"/>
        <v>3.62</v>
      </c>
      <c r="I6" s="11">
        <f>'总计 '!S9</f>
        <v>479</v>
      </c>
      <c r="J6" s="16">
        <f t="shared" si="2"/>
        <v>4.8600000000000003</v>
      </c>
      <c r="K6" s="62">
        <f>'总计 '!M9*1000</f>
        <v>6000</v>
      </c>
      <c r="L6" s="16">
        <v>0.42</v>
      </c>
      <c r="M6" s="11">
        <f>('总计 '!D9/100)*344</f>
        <v>239.01120000000003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1</v>
      </c>
      <c r="D7" s="10">
        <v>2023</v>
      </c>
      <c r="E7" s="11">
        <f>'总计 '!O10</f>
        <v>36424.000000001455</v>
      </c>
      <c r="F7" s="16">
        <v>0.71819999999999995</v>
      </c>
      <c r="G7" s="11">
        <f>'总计 '!H10</f>
        <v>2037</v>
      </c>
      <c r="H7" s="16">
        <f t="shared" si="1"/>
        <v>3.62</v>
      </c>
      <c r="I7" s="11">
        <f>'总计 '!S10</f>
        <v>572</v>
      </c>
      <c r="J7" s="16">
        <f t="shared" si="2"/>
        <v>4.8600000000000003</v>
      </c>
      <c r="K7" s="62">
        <f>'总计 '!M10*1000</f>
        <v>7000</v>
      </c>
      <c r="L7" s="16">
        <v>0.42</v>
      </c>
      <c r="M7" s="11">
        <f>('总计 '!D10/100)*344</f>
        <v>258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1</v>
      </c>
      <c r="D8" s="10">
        <v>2023</v>
      </c>
      <c r="E8" s="11">
        <f>'总计 '!O11</f>
        <v>37323.999999998363</v>
      </c>
      <c r="F8" s="16">
        <v>0.71819999999999995</v>
      </c>
      <c r="G8" s="11">
        <f>'总计 '!H11</f>
        <v>1926</v>
      </c>
      <c r="H8" s="16">
        <f t="shared" si="1"/>
        <v>3.62</v>
      </c>
      <c r="I8" s="11">
        <f>'总计 '!S11</f>
        <v>549</v>
      </c>
      <c r="J8" s="16">
        <f t="shared" si="2"/>
        <v>4.8600000000000003</v>
      </c>
      <c r="K8" s="62">
        <f>'总计 '!M11*1000</f>
        <v>7000</v>
      </c>
      <c r="L8" s="16">
        <v>0.42</v>
      </c>
      <c r="M8" s="11">
        <f>('总计 '!D11/100)*344</f>
        <v>320.9864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1</v>
      </c>
      <c r="D9" s="10">
        <v>2023</v>
      </c>
      <c r="E9" s="11">
        <f>'总计 '!O12</f>
        <v>37724.000000002547</v>
      </c>
      <c r="F9" s="16">
        <v>0.71819999999999995</v>
      </c>
      <c r="G9" s="11">
        <f>'总计 '!H12</f>
        <v>2251</v>
      </c>
      <c r="H9" s="16">
        <f t="shared" si="1"/>
        <v>3.62</v>
      </c>
      <c r="I9" s="11">
        <f>'总计 '!S12</f>
        <v>740</v>
      </c>
      <c r="J9" s="16">
        <f t="shared" si="2"/>
        <v>4.8600000000000003</v>
      </c>
      <c r="K9" s="62">
        <f>'总计 '!M12*1000</f>
        <v>8000</v>
      </c>
      <c r="L9" s="16">
        <v>0.42</v>
      </c>
      <c r="M9" s="11">
        <f>('总计 '!D12/100)*344</f>
        <v>244.99679999999998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1</v>
      </c>
      <c r="D10" s="10">
        <v>2023</v>
      </c>
      <c r="E10" s="11">
        <f>'总计 '!O13</f>
        <v>37323.999999998363</v>
      </c>
      <c r="F10" s="16">
        <v>0.71819999999999995</v>
      </c>
      <c r="G10" s="11">
        <f>'总计 '!H13</f>
        <v>2002</v>
      </c>
      <c r="H10" s="16">
        <f t="shared" si="1"/>
        <v>3.62</v>
      </c>
      <c r="I10" s="11">
        <f>'总计 '!S13</f>
        <v>568</v>
      </c>
      <c r="J10" s="16">
        <f t="shared" si="2"/>
        <v>4.8600000000000003</v>
      </c>
      <c r="K10" s="62">
        <f>'总计 '!M13*1000</f>
        <v>8000</v>
      </c>
      <c r="L10" s="16">
        <v>0.42</v>
      </c>
      <c r="M10" s="11">
        <f>('总计 '!D13/100)*344</f>
        <v>252.01440000000002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1</v>
      </c>
      <c r="D11" s="10">
        <v>2023</v>
      </c>
      <c r="E11" s="11">
        <f>'总计 '!O14</f>
        <v>36424.000000001455</v>
      </c>
      <c r="F11" s="16">
        <v>0.71819999999999995</v>
      </c>
      <c r="G11" s="11">
        <f>'总计 '!H14</f>
        <v>2187</v>
      </c>
      <c r="H11" s="16">
        <f t="shared" si="1"/>
        <v>3.62</v>
      </c>
      <c r="I11" s="11">
        <f>'总计 '!S14</f>
        <v>560</v>
      </c>
      <c r="J11" s="16">
        <f t="shared" si="2"/>
        <v>4.8600000000000003</v>
      </c>
      <c r="K11" s="62">
        <f>'总计 '!M14*1000</f>
        <v>9000</v>
      </c>
      <c r="L11" s="16">
        <v>0.42</v>
      </c>
      <c r="M11" s="11">
        <f>('总计 '!D14/100)*344</f>
        <v>277.9864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1</v>
      </c>
      <c r="D12" s="10">
        <v>2023</v>
      </c>
      <c r="E12" s="11">
        <f>'总计 '!O15</f>
        <v>37123.999999998545</v>
      </c>
      <c r="F12" s="16">
        <v>0.71819999999999995</v>
      </c>
      <c r="G12" s="11">
        <f>'总计 '!H15</f>
        <v>2480</v>
      </c>
      <c r="H12" s="16">
        <f t="shared" si="1"/>
        <v>3.62</v>
      </c>
      <c r="I12" s="11">
        <f>'总计 '!S15</f>
        <v>660</v>
      </c>
      <c r="J12" s="16">
        <f t="shared" si="2"/>
        <v>4.8600000000000003</v>
      </c>
      <c r="K12" s="62">
        <f>'总计 '!M15*1000</f>
        <v>9000</v>
      </c>
      <c r="L12" s="16">
        <v>0.42</v>
      </c>
      <c r="M12" s="11">
        <f>('总计 '!D15/100)*344</f>
        <v>295.01440000000002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1</v>
      </c>
      <c r="D13" s="10">
        <v>2023</v>
      </c>
      <c r="E13" s="11">
        <f>'总计 '!O16</f>
        <v>37923.999999997817</v>
      </c>
      <c r="F13" s="16">
        <v>0.71819999999999995</v>
      </c>
      <c r="G13" s="11">
        <f>'总计 '!H16</f>
        <v>2475</v>
      </c>
      <c r="H13" s="16">
        <f t="shared" si="1"/>
        <v>3.62</v>
      </c>
      <c r="I13" s="11">
        <f>'总计 '!S16</f>
        <v>675</v>
      </c>
      <c r="J13" s="16">
        <f t="shared" si="2"/>
        <v>4.8600000000000003</v>
      </c>
      <c r="K13" s="62">
        <f>'总计 '!M16*1000</f>
        <v>9000</v>
      </c>
      <c r="L13" s="16">
        <v>0.42</v>
      </c>
      <c r="M13" s="11">
        <f>('总计 '!D16/100)*344</f>
        <v>294.42959999999999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1</v>
      </c>
      <c r="D14" s="10">
        <v>2023</v>
      </c>
      <c r="E14" s="11">
        <f>'总计 '!O17</f>
        <v>39524.000000000909</v>
      </c>
      <c r="F14" s="16">
        <v>0.71819999999999995</v>
      </c>
      <c r="G14" s="11">
        <f>'总计 '!H17</f>
        <v>2455</v>
      </c>
      <c r="H14" s="16">
        <f t="shared" si="1"/>
        <v>3.62</v>
      </c>
      <c r="I14" s="11">
        <f>'总计 '!S17</f>
        <v>687</v>
      </c>
      <c r="J14" s="16">
        <f t="shared" si="2"/>
        <v>4.8600000000000003</v>
      </c>
      <c r="K14" s="62">
        <f>'总计 '!M17*1000</f>
        <v>11000</v>
      </c>
      <c r="L14" s="16">
        <v>0.42</v>
      </c>
      <c r="M14" s="11">
        <f>('总计 '!D17/100)*344</f>
        <v>293.26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1</v>
      </c>
      <c r="D15" s="10">
        <v>2023</v>
      </c>
      <c r="E15" s="11">
        <f>'总计 '!O18</f>
        <v>39424.000000003274</v>
      </c>
      <c r="F15" s="16">
        <v>0.71819999999999995</v>
      </c>
      <c r="G15" s="11">
        <f>'总计 '!H18</f>
        <v>1896</v>
      </c>
      <c r="H15" s="16">
        <f t="shared" si="1"/>
        <v>3.62</v>
      </c>
      <c r="I15" s="11">
        <f>'总计 '!S18</f>
        <v>614</v>
      </c>
      <c r="J15" s="16">
        <f t="shared" si="2"/>
        <v>4.8600000000000003</v>
      </c>
      <c r="K15" s="62">
        <f>'总计 '!M18*1000</f>
        <v>12000</v>
      </c>
      <c r="L15" s="16">
        <v>0.42</v>
      </c>
      <c r="M15" s="11">
        <f>('总计 '!D18/100)*344</f>
        <v>314.93200000000002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1</v>
      </c>
      <c r="D16" s="10">
        <v>2023</v>
      </c>
      <c r="E16" s="11">
        <f>'总计 '!O19</f>
        <v>36223.99999999709</v>
      </c>
      <c r="F16" s="16">
        <v>0.71819999999999995</v>
      </c>
      <c r="G16" s="11">
        <f>'总计 '!H19</f>
        <v>2350</v>
      </c>
      <c r="H16" s="16">
        <f t="shared" si="1"/>
        <v>3.62</v>
      </c>
      <c r="I16" s="11">
        <f>'总计 '!S19</f>
        <v>647</v>
      </c>
      <c r="J16" s="16">
        <f t="shared" si="2"/>
        <v>4.8600000000000003</v>
      </c>
      <c r="K16" s="62">
        <f>'总计 '!M19*1000</f>
        <v>10000</v>
      </c>
      <c r="L16" s="16">
        <v>0.42</v>
      </c>
      <c r="M16" s="11">
        <f>('总计 '!D19/100)*344</f>
        <v>296.87200000000001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1</v>
      </c>
      <c r="D17" s="10">
        <v>2023</v>
      </c>
      <c r="E17" s="11">
        <f>'总计 '!O20</f>
        <v>34124.000000001273</v>
      </c>
      <c r="F17" s="16">
        <v>0.71819999999999995</v>
      </c>
      <c r="G17" s="11">
        <f>'总计 '!H20</f>
        <v>3127</v>
      </c>
      <c r="H17" s="16">
        <f t="shared" si="1"/>
        <v>3.62</v>
      </c>
      <c r="I17" s="11">
        <f>'总计 '!S20</f>
        <v>599</v>
      </c>
      <c r="J17" s="16">
        <f t="shared" si="2"/>
        <v>4.8600000000000003</v>
      </c>
      <c r="K17" s="62">
        <f>'总计 '!M20*1000</f>
        <v>5000</v>
      </c>
      <c r="L17" s="16">
        <v>0.42</v>
      </c>
      <c r="M17" s="11">
        <f>('总计 '!D20/100)*344</f>
        <v>283.83440000000002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1</v>
      </c>
      <c r="D18" s="10">
        <v>2023</v>
      </c>
      <c r="E18" s="11">
        <f>'总计 '!O21</f>
        <v>35424.000000002365</v>
      </c>
      <c r="F18" s="16">
        <v>0.71819999999999995</v>
      </c>
      <c r="G18" s="11">
        <f>'总计 '!H21</f>
        <v>2739</v>
      </c>
      <c r="H18" s="16">
        <f t="shared" si="1"/>
        <v>3.62</v>
      </c>
      <c r="I18" s="11">
        <f>'总计 '!S21</f>
        <v>664</v>
      </c>
      <c r="J18" s="16">
        <f t="shared" si="2"/>
        <v>4.8600000000000003</v>
      </c>
      <c r="K18" s="62">
        <f>'总计 '!M21*1000</f>
        <v>4000</v>
      </c>
      <c r="L18" s="16">
        <v>0.42</v>
      </c>
      <c r="M18" s="11">
        <f>('总计 '!D21/100)*344</f>
        <v>284.00639999999999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1</v>
      </c>
      <c r="D19" s="10">
        <v>2023</v>
      </c>
      <c r="E19" s="11">
        <f>'总计 '!O22</f>
        <v>36623.999999996726</v>
      </c>
      <c r="F19" s="16">
        <v>0.71819999999999995</v>
      </c>
      <c r="G19" s="11">
        <f>'总计 '!H22</f>
        <v>2904</v>
      </c>
      <c r="H19" s="16">
        <f t="shared" si="1"/>
        <v>3.62</v>
      </c>
      <c r="I19" s="11">
        <f>'总计 '!S22</f>
        <v>583</v>
      </c>
      <c r="J19" s="16">
        <f t="shared" si="2"/>
        <v>4.8600000000000003</v>
      </c>
      <c r="K19" s="62">
        <f>'总计 '!M22*1000</f>
        <v>4000</v>
      </c>
      <c r="L19" s="16">
        <v>0.42</v>
      </c>
      <c r="M19" s="11">
        <f>('总计 '!D22/100)*344</f>
        <v>288.99440000000004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1</v>
      </c>
      <c r="D20" s="10">
        <v>2023</v>
      </c>
      <c r="E20" s="11">
        <f>'总计 '!O23</f>
        <v>36723.999999998909</v>
      </c>
      <c r="F20" s="16">
        <v>0.71819999999999995</v>
      </c>
      <c r="G20" s="11">
        <f>'总计 '!H23</f>
        <v>2777</v>
      </c>
      <c r="H20" s="16">
        <f t="shared" si="1"/>
        <v>3.62</v>
      </c>
      <c r="I20" s="11">
        <f>'总计 '!S23</f>
        <v>675</v>
      </c>
      <c r="J20" s="16">
        <f t="shared" si="2"/>
        <v>4.8600000000000003</v>
      </c>
      <c r="K20" s="62">
        <f>'总计 '!M23*1000</f>
        <v>5000</v>
      </c>
      <c r="L20" s="16">
        <v>0.42</v>
      </c>
      <c r="M20" s="11">
        <f>('总计 '!D23/100)*344</f>
        <v>269.00800000000004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1</v>
      </c>
      <c r="D21" s="10">
        <v>2023</v>
      </c>
      <c r="E21" s="11">
        <f>'总计 '!O24</f>
        <v>38124.000000002183</v>
      </c>
      <c r="F21" s="16">
        <v>0.71819999999999995</v>
      </c>
      <c r="G21" s="11">
        <f>'总计 '!H24</f>
        <v>2367</v>
      </c>
      <c r="H21" s="16">
        <f t="shared" si="1"/>
        <v>3.62</v>
      </c>
      <c r="I21" s="11">
        <f>'总计 '!S24</f>
        <v>651</v>
      </c>
      <c r="J21" s="16">
        <f t="shared" si="2"/>
        <v>4.8600000000000003</v>
      </c>
      <c r="K21" s="62">
        <f>'总计 '!M24*1000</f>
        <v>6000</v>
      </c>
      <c r="L21" s="16">
        <v>0.42</v>
      </c>
      <c r="M21" s="11">
        <f>('总计 '!D24/100)*344</f>
        <v>269.00800000000004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1</v>
      </c>
      <c r="D22" s="10">
        <v>2023</v>
      </c>
      <c r="E22" s="11">
        <f>'总计 '!O25</f>
        <v>38223.999999995271</v>
      </c>
      <c r="F22" s="16">
        <v>0.71819999999999995</v>
      </c>
      <c r="G22" s="11">
        <f>'总计 '!H25</f>
        <v>1723</v>
      </c>
      <c r="H22" s="16">
        <f t="shared" si="1"/>
        <v>3.62</v>
      </c>
      <c r="I22" s="11">
        <f>'总计 '!S25</f>
        <v>631</v>
      </c>
      <c r="J22" s="16">
        <f t="shared" si="2"/>
        <v>4.8600000000000003</v>
      </c>
      <c r="K22" s="62">
        <f>'总计 '!M25*1000</f>
        <v>4000</v>
      </c>
      <c r="L22" s="16">
        <v>0.42</v>
      </c>
      <c r="M22" s="11">
        <f>('总计 '!D25/100)*344</f>
        <v>309.35920000000004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1</v>
      </c>
      <c r="D23" s="10">
        <v>2023</v>
      </c>
      <c r="E23" s="11">
        <f>'总计 '!O26</f>
        <v>38424.000000004184</v>
      </c>
      <c r="F23" s="16">
        <v>0.71819999999999995</v>
      </c>
      <c r="G23" s="11">
        <f>'总计 '!H26</f>
        <v>2460</v>
      </c>
      <c r="H23" s="16">
        <f t="shared" si="1"/>
        <v>3.62</v>
      </c>
      <c r="I23" s="11">
        <f>'总计 '!S26</f>
        <v>542</v>
      </c>
      <c r="J23" s="16">
        <f t="shared" si="2"/>
        <v>4.8600000000000003</v>
      </c>
      <c r="K23" s="62">
        <f>'总计 '!M26*1000</f>
        <v>7000</v>
      </c>
      <c r="L23" s="16">
        <v>0.42</v>
      </c>
      <c r="M23" s="11">
        <f>('总计 '!D26/100)*344</f>
        <v>299.00479999999999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1</v>
      </c>
      <c r="D24" s="10">
        <v>2023</v>
      </c>
      <c r="E24" s="11">
        <f>'总计 '!O27</f>
        <v>37824.000000000182</v>
      </c>
      <c r="F24" s="16">
        <v>0.71819999999999995</v>
      </c>
      <c r="G24" s="11">
        <f>'总计 '!H27</f>
        <v>2310</v>
      </c>
      <c r="H24" s="16">
        <f t="shared" si="1"/>
        <v>3.62</v>
      </c>
      <c r="I24" s="11">
        <f>'总计 '!S27</f>
        <v>593</v>
      </c>
      <c r="J24" s="16">
        <f t="shared" si="2"/>
        <v>4.8600000000000003</v>
      </c>
      <c r="K24" s="62">
        <f>'总计 '!M27*1000</f>
        <v>5000</v>
      </c>
      <c r="L24" s="16">
        <v>0.42</v>
      </c>
      <c r="M24" s="11">
        <f>('总计 '!D27/100)*344</f>
        <v>335.98480000000001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1</v>
      </c>
      <c r="D25" s="10">
        <v>2023</v>
      </c>
      <c r="E25" s="11">
        <f>'总计 '!O28</f>
        <v>38623.999999999454</v>
      </c>
      <c r="F25" s="16">
        <v>0.71819999999999995</v>
      </c>
      <c r="G25" s="11">
        <f>'总计 '!H28</f>
        <v>2438</v>
      </c>
      <c r="H25" s="16">
        <f t="shared" si="1"/>
        <v>3.62</v>
      </c>
      <c r="I25" s="11">
        <f>'总计 '!S28</f>
        <v>612</v>
      </c>
      <c r="J25" s="16">
        <f t="shared" si="2"/>
        <v>4.8600000000000003</v>
      </c>
      <c r="K25" s="62">
        <f>'总计 '!M28*1000</f>
        <v>4000</v>
      </c>
      <c r="L25" s="16">
        <v>0.42</v>
      </c>
      <c r="M25" s="11">
        <f>('总计 '!D28/100)*344</f>
        <v>344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1</v>
      </c>
      <c r="D26" s="10">
        <v>2023</v>
      </c>
      <c r="E26" s="11">
        <f>'总计 '!O29</f>
        <v>36624.000000001273</v>
      </c>
      <c r="F26" s="16">
        <v>0.71819999999999995</v>
      </c>
      <c r="G26" s="11">
        <f>'总计 '!H29</f>
        <v>2847</v>
      </c>
      <c r="H26" s="16">
        <f t="shared" si="1"/>
        <v>3.62</v>
      </c>
      <c r="I26" s="11">
        <f>'总计 '!S29</f>
        <v>573</v>
      </c>
      <c r="J26" s="16">
        <f t="shared" si="2"/>
        <v>4.8600000000000003</v>
      </c>
      <c r="K26" s="62">
        <f>'总计 '!M29*1000</f>
        <v>3000</v>
      </c>
      <c r="L26" s="16">
        <v>0.42</v>
      </c>
      <c r="M26" s="11">
        <f>('总计 '!D29/100)*344</f>
        <v>343.00240000000002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1</v>
      </c>
      <c r="D27" s="10">
        <v>2023</v>
      </c>
      <c r="E27" s="11">
        <f>'总计 '!O30</f>
        <v>36323.999999999272</v>
      </c>
      <c r="F27" s="16">
        <v>0.71819999999999995</v>
      </c>
      <c r="G27" s="11">
        <f>'总计 '!H30</f>
        <v>2877</v>
      </c>
      <c r="H27" s="16">
        <f t="shared" si="1"/>
        <v>3.62</v>
      </c>
      <c r="I27" s="11">
        <f>'总计 '!S30</f>
        <v>646</v>
      </c>
      <c r="J27" s="16">
        <f t="shared" si="2"/>
        <v>4.8600000000000003</v>
      </c>
      <c r="K27" s="62">
        <f>'总计 '!M30*1000</f>
        <v>3000</v>
      </c>
      <c r="L27" s="16">
        <v>0.42</v>
      </c>
      <c r="M27" s="11">
        <f>('总计 '!D30/100)*344</f>
        <v>332.99199999999996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1</v>
      </c>
      <c r="D28" s="10">
        <v>2023</v>
      </c>
      <c r="E28" s="11">
        <f>'总计 '!O31</f>
        <v>36123.999999999454</v>
      </c>
      <c r="F28" s="16">
        <v>0.71819999999999995</v>
      </c>
      <c r="G28" s="11">
        <f>'总计 '!H31</f>
        <v>2784</v>
      </c>
      <c r="H28" s="16">
        <f t="shared" si="1"/>
        <v>3.62</v>
      </c>
      <c r="I28" s="11">
        <f>'总计 '!S31</f>
        <v>769</v>
      </c>
      <c r="J28" s="16">
        <f t="shared" si="2"/>
        <v>4.8600000000000003</v>
      </c>
      <c r="K28" s="62">
        <f>'总计 '!M31*1000</f>
        <v>4000</v>
      </c>
      <c r="L28" s="16">
        <v>0.42</v>
      </c>
      <c r="M28" s="11">
        <f>('总计 '!D31/100)*344</f>
        <v>329.99920000000003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1</v>
      </c>
      <c r="D29" s="10">
        <v>2023</v>
      </c>
      <c r="E29" s="11">
        <f>'总计 '!O32</f>
        <v>37928.000000002365</v>
      </c>
      <c r="F29" s="16">
        <v>0.71819999999999995</v>
      </c>
      <c r="G29" s="11">
        <f>'总计 '!H32</f>
        <v>3013</v>
      </c>
      <c r="H29" s="16">
        <f t="shared" si="1"/>
        <v>3.62</v>
      </c>
      <c r="I29" s="11">
        <f>'总计 '!S32</f>
        <v>633</v>
      </c>
      <c r="J29" s="16">
        <f t="shared" si="2"/>
        <v>4.8600000000000003</v>
      </c>
      <c r="K29" s="62">
        <f>'总计 '!M32*1000</f>
        <v>3000</v>
      </c>
      <c r="L29" s="16">
        <v>0.42</v>
      </c>
      <c r="M29" s="11">
        <f>('总计 '!D32/100)*344</f>
        <v>323.01600000000002</v>
      </c>
      <c r="N29" s="11">
        <f>'[1]Consommation mensuel énergie'!E37</f>
        <v>0</v>
      </c>
      <c r="O29" s="12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1</v>
      </c>
      <c r="D30" s="10">
        <v>2023</v>
      </c>
      <c r="E30" s="11">
        <f>'总计 '!O33</f>
        <v>37923.999999997817</v>
      </c>
      <c r="F30" s="16">
        <v>0.71819999999999995</v>
      </c>
      <c r="G30" s="11">
        <f>'总计 '!H33</f>
        <v>2799</v>
      </c>
      <c r="H30" s="16">
        <f t="shared" si="1"/>
        <v>3.62</v>
      </c>
      <c r="I30" s="11">
        <f>'总计 '!S33</f>
        <v>779</v>
      </c>
      <c r="J30" s="16">
        <f t="shared" si="2"/>
        <v>4.8600000000000003</v>
      </c>
      <c r="K30" s="62">
        <f>'总计 '!M33*1000</f>
        <v>3000</v>
      </c>
      <c r="L30" s="16">
        <v>0.42</v>
      </c>
      <c r="M30" s="11">
        <f>('总计 '!D33/100)*344</f>
        <v>341.00720000000001</v>
      </c>
      <c r="N30" s="11">
        <v>0</v>
      </c>
      <c r="O30" s="12"/>
    </row>
    <row r="31" spans="1:15" x14ac:dyDescent="0.25">
      <c r="A31" s="8" t="s">
        <v>15</v>
      </c>
      <c r="B31" s="9">
        <f t="shared" si="0"/>
        <v>30</v>
      </c>
      <c r="C31" s="9">
        <v>1</v>
      </c>
      <c r="D31" s="10">
        <v>2023</v>
      </c>
      <c r="E31" s="11">
        <f>'总计 '!O34</f>
        <v>37424.000000000546</v>
      </c>
      <c r="F31" s="16">
        <v>0.71819999999999995</v>
      </c>
      <c r="G31" s="11">
        <f>'总计 '!H34</f>
        <v>2794</v>
      </c>
      <c r="H31" s="16">
        <f t="shared" si="1"/>
        <v>3.62</v>
      </c>
      <c r="I31" s="11">
        <f>'总计 '!S34</f>
        <v>667</v>
      </c>
      <c r="J31" s="16">
        <f t="shared" si="2"/>
        <v>4.8600000000000003</v>
      </c>
      <c r="K31" s="62">
        <f>'总计 '!M34*1000</f>
        <v>3000</v>
      </c>
      <c r="L31" s="16">
        <v>0.42</v>
      </c>
      <c r="M31" s="11">
        <f>('总计 '!D34/100)*344</f>
        <v>332.95760000000001</v>
      </c>
      <c r="N31" s="11">
        <v>0</v>
      </c>
      <c r="O31" s="12"/>
    </row>
    <row r="32" spans="1:15" x14ac:dyDescent="0.25">
      <c r="A32" s="8" t="s">
        <v>15</v>
      </c>
      <c r="B32" s="9">
        <f t="shared" si="0"/>
        <v>31</v>
      </c>
      <c r="C32" s="9">
        <v>1</v>
      </c>
      <c r="D32" s="10">
        <v>2023</v>
      </c>
      <c r="E32" s="11">
        <f>'总计 '!O35</f>
        <v>37724.000000002547</v>
      </c>
      <c r="F32" s="16">
        <v>0.71819999999999995</v>
      </c>
      <c r="G32" s="11">
        <f>'总计 '!H35</f>
        <v>2909</v>
      </c>
      <c r="H32" s="16">
        <f t="shared" si="1"/>
        <v>3.62</v>
      </c>
      <c r="I32" s="11">
        <f>'总计 '!S35</f>
        <v>462</v>
      </c>
      <c r="J32" s="16">
        <f t="shared" si="2"/>
        <v>4.8600000000000003</v>
      </c>
      <c r="K32" s="62">
        <f>'总计 '!M35*1000</f>
        <v>4000</v>
      </c>
      <c r="L32" s="16">
        <v>1.42</v>
      </c>
      <c r="M32" s="11">
        <f>('总计 '!D35/100)*344</f>
        <v>290.9896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70" zoomScaleNormal="70" workbookViewId="0">
      <pane ySplit="4" topLeftCell="A13" activePane="bottomLeft" state="frozen"/>
      <selection pane="bottomLeft" activeCell="O15" sqref="O15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46" customWidth="1"/>
    <col min="7" max="8" width="8.625" style="20" customWidth="1"/>
    <col min="9" max="9" width="12.625" style="20" customWidth="1"/>
    <col min="10" max="10" width="10" style="20" customWidth="1"/>
    <col min="11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47" customWidth="1"/>
    <col min="20" max="20" width="10.625" style="47" customWidth="1"/>
    <col min="21" max="21" width="16.625" style="45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6" width="10" style="20" customWidth="1"/>
    <col min="267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2" width="10" style="20" customWidth="1"/>
    <col min="523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8" width="10" style="20" customWidth="1"/>
    <col min="779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4" width="10" style="20" customWidth="1"/>
    <col min="1035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0" width="10" style="20" customWidth="1"/>
    <col min="1291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6" width="10" style="20" customWidth="1"/>
    <col min="1547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2" width="10" style="20" customWidth="1"/>
    <col min="1803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8" width="10" style="20" customWidth="1"/>
    <col min="2059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4" width="10" style="20" customWidth="1"/>
    <col min="2315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0" width="10" style="20" customWidth="1"/>
    <col min="2571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6" width="10" style="20" customWidth="1"/>
    <col min="2827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2" width="10" style="20" customWidth="1"/>
    <col min="3083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8" width="10" style="20" customWidth="1"/>
    <col min="3339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4" width="10" style="20" customWidth="1"/>
    <col min="3595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0" width="10" style="20" customWidth="1"/>
    <col min="3851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6" width="10" style="20" customWidth="1"/>
    <col min="4107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2" width="10" style="20" customWidth="1"/>
    <col min="4363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8" width="10" style="20" customWidth="1"/>
    <col min="4619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4" width="10" style="20" customWidth="1"/>
    <col min="4875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0" width="10" style="20" customWidth="1"/>
    <col min="5131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6" width="10" style="20" customWidth="1"/>
    <col min="5387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2" width="10" style="20" customWidth="1"/>
    <col min="5643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8" width="10" style="20" customWidth="1"/>
    <col min="5899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4" width="10" style="20" customWidth="1"/>
    <col min="6155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0" width="10" style="20" customWidth="1"/>
    <col min="6411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6" width="10" style="20" customWidth="1"/>
    <col min="6667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2" width="10" style="20" customWidth="1"/>
    <col min="6923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8" width="10" style="20" customWidth="1"/>
    <col min="7179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4" width="10" style="20" customWidth="1"/>
    <col min="7435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0" width="10" style="20" customWidth="1"/>
    <col min="7691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6" width="10" style="20" customWidth="1"/>
    <col min="7947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2" width="10" style="20" customWidth="1"/>
    <col min="8203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8" width="10" style="20" customWidth="1"/>
    <col min="8459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4" width="10" style="20" customWidth="1"/>
    <col min="8715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0" width="10" style="20" customWidth="1"/>
    <col min="8971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6" width="10" style="20" customWidth="1"/>
    <col min="9227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2" width="10" style="20" customWidth="1"/>
    <col min="9483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8" width="10" style="20" customWidth="1"/>
    <col min="9739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4" width="10" style="20" customWidth="1"/>
    <col min="9995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0" width="10" style="20" customWidth="1"/>
    <col min="10251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6" width="10" style="20" customWidth="1"/>
    <col min="10507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2" width="10" style="20" customWidth="1"/>
    <col min="10763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8" width="10" style="20" customWidth="1"/>
    <col min="11019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4" width="10" style="20" customWidth="1"/>
    <col min="11275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0" width="10" style="20" customWidth="1"/>
    <col min="11531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6" width="10" style="20" customWidth="1"/>
    <col min="11787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2" width="10" style="20" customWidth="1"/>
    <col min="12043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8" width="10" style="20" customWidth="1"/>
    <col min="12299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4" width="10" style="20" customWidth="1"/>
    <col min="12555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0" width="10" style="20" customWidth="1"/>
    <col min="12811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6" width="10" style="20" customWidth="1"/>
    <col min="13067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2" width="10" style="20" customWidth="1"/>
    <col min="13323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8" width="10" style="20" customWidth="1"/>
    <col min="13579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4" width="10" style="20" customWidth="1"/>
    <col min="13835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0" width="10" style="20" customWidth="1"/>
    <col min="14091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6" width="10" style="20" customWidth="1"/>
    <col min="14347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2" width="10" style="20" customWidth="1"/>
    <col min="14603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8" width="10" style="20" customWidth="1"/>
    <col min="14859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4" width="10" style="20" customWidth="1"/>
    <col min="15115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0" width="10" style="20" customWidth="1"/>
    <col min="15371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6" width="10" style="20" customWidth="1"/>
    <col min="15627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2" width="10" style="20" customWidth="1"/>
    <col min="15883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8" width="10" style="20" customWidth="1"/>
    <col min="16139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83" t="s">
        <v>48</v>
      </c>
      <c r="B1" s="83"/>
      <c r="C1" s="83"/>
      <c r="D1" s="83"/>
      <c r="E1" s="83"/>
      <c r="F1" s="84"/>
      <c r="G1" s="83"/>
      <c r="H1" s="83"/>
      <c r="I1" s="83"/>
      <c r="J1" s="83"/>
      <c r="K1" s="83"/>
      <c r="L1" s="85"/>
      <c r="M1" s="85"/>
      <c r="N1" s="85"/>
      <c r="O1" s="85"/>
      <c r="P1" s="85"/>
      <c r="Q1" s="85"/>
      <c r="R1" s="85"/>
      <c r="S1" s="85"/>
      <c r="T1" s="85"/>
      <c r="U1" s="85"/>
    </row>
    <row r="2" spans="1:21" s="21" customFormat="1" ht="21.6" customHeight="1" x14ac:dyDescent="0.15">
      <c r="A2" s="86" t="s">
        <v>16</v>
      </c>
      <c r="B2" s="89" t="s">
        <v>26</v>
      </c>
      <c r="C2" s="92" t="s">
        <v>17</v>
      </c>
      <c r="D2" s="86" t="s">
        <v>18</v>
      </c>
      <c r="E2" s="95" t="s">
        <v>27</v>
      </c>
      <c r="F2" s="97" t="s">
        <v>28</v>
      </c>
      <c r="G2" s="86" t="s">
        <v>29</v>
      </c>
      <c r="H2" s="97" t="s">
        <v>49</v>
      </c>
      <c r="I2" s="100"/>
      <c r="J2" s="75" t="s">
        <v>30</v>
      </c>
      <c r="K2" s="75" t="s">
        <v>42</v>
      </c>
      <c r="L2" s="77" t="s">
        <v>40</v>
      </c>
      <c r="M2" s="79" t="s">
        <v>43</v>
      </c>
      <c r="N2" s="80"/>
      <c r="O2" s="103" t="s">
        <v>76</v>
      </c>
      <c r="P2" s="110"/>
      <c r="Q2" s="103" t="s">
        <v>31</v>
      </c>
      <c r="R2" s="75" t="s">
        <v>41</v>
      </c>
      <c r="S2" s="103" t="s">
        <v>44</v>
      </c>
      <c r="T2" s="104"/>
      <c r="U2" s="107" t="s">
        <v>19</v>
      </c>
    </row>
    <row r="3" spans="1:21" s="22" customFormat="1" ht="21" customHeight="1" thickBot="1" x14ac:dyDescent="0.2">
      <c r="A3" s="87"/>
      <c r="B3" s="90"/>
      <c r="C3" s="93"/>
      <c r="D3" s="87"/>
      <c r="E3" s="96"/>
      <c r="F3" s="98"/>
      <c r="G3" s="99"/>
      <c r="H3" s="101"/>
      <c r="I3" s="102"/>
      <c r="J3" s="76"/>
      <c r="K3" s="76"/>
      <c r="L3" s="78"/>
      <c r="M3" s="81"/>
      <c r="N3" s="82"/>
      <c r="O3" s="105"/>
      <c r="P3" s="111"/>
      <c r="Q3" s="105"/>
      <c r="R3" s="76"/>
      <c r="S3" s="105"/>
      <c r="T3" s="106"/>
      <c r="U3" s="108"/>
    </row>
    <row r="4" spans="1:21" s="21" customFormat="1" ht="21" customHeight="1" thickBot="1" x14ac:dyDescent="0.2">
      <c r="A4" s="88"/>
      <c r="B4" s="91"/>
      <c r="C4" s="94"/>
      <c r="D4" s="88"/>
      <c r="E4" s="23" t="s">
        <v>32</v>
      </c>
      <c r="F4" s="24" t="s">
        <v>32</v>
      </c>
      <c r="G4" s="23" t="s">
        <v>33</v>
      </c>
      <c r="H4" s="23" t="s">
        <v>32</v>
      </c>
      <c r="I4" s="23" t="s">
        <v>21</v>
      </c>
      <c r="J4" s="24" t="s">
        <v>34</v>
      </c>
      <c r="K4" s="23" t="s">
        <v>35</v>
      </c>
      <c r="L4" s="25" t="s">
        <v>36</v>
      </c>
      <c r="M4" s="26" t="s">
        <v>23</v>
      </c>
      <c r="N4" s="23" t="s">
        <v>20</v>
      </c>
      <c r="O4" s="23" t="s">
        <v>22</v>
      </c>
      <c r="P4" s="26" t="s">
        <v>20</v>
      </c>
      <c r="Q4" s="27" t="s">
        <v>37</v>
      </c>
      <c r="R4" s="23" t="s">
        <v>38</v>
      </c>
      <c r="S4" s="25" t="s">
        <v>39</v>
      </c>
      <c r="T4" s="23" t="s">
        <v>20</v>
      </c>
      <c r="U4" s="109"/>
    </row>
    <row r="5" spans="1:21" s="34" customFormat="1" ht="21.6" customHeight="1" thickBot="1" x14ac:dyDescent="0.2">
      <c r="A5" s="28">
        <v>1</v>
      </c>
      <c r="B5" s="68" t="s">
        <v>46</v>
      </c>
      <c r="C5" s="29">
        <v>250</v>
      </c>
      <c r="D5" s="30">
        <v>75.290000000000006</v>
      </c>
      <c r="E5" s="31">
        <f>SUM([2]厨房燃气!BH7)</f>
        <v>403</v>
      </c>
      <c r="F5" s="32">
        <f>SUM('[2]B1 &amp; 102F 锅炉房'!C7)</f>
        <v>1033</v>
      </c>
      <c r="G5" s="37">
        <f>SUM('[2]B1 &amp; 102F 锅炉房'!H7)</f>
        <v>813</v>
      </c>
      <c r="H5" s="32">
        <f t="shared" ref="H5:H20" si="0">SUM(G5+F5+E5)</f>
        <v>2249</v>
      </c>
      <c r="I5" s="38">
        <f>IF(H5&gt;0,H5*3.62,0)</f>
        <v>8141.38</v>
      </c>
      <c r="J5" s="31">
        <f>SUM([2]主塔楼空调用电量!V4)</f>
        <v>2441</v>
      </c>
      <c r="K5" s="37">
        <v>10524</v>
      </c>
      <c r="L5" s="32">
        <f>SUM('[2]68F 高压F13&amp;F30'!F7)</f>
        <v>24100.000000003092</v>
      </c>
      <c r="M5" s="64">
        <f>SUM([2]裙楼空调用量!L4)</f>
        <v>4</v>
      </c>
      <c r="N5" s="66">
        <f>IF(M5*417&gt;0,M5*275.066+1655)</f>
        <v>2755.2640000000001</v>
      </c>
      <c r="O5" s="63">
        <f>K5+L5</f>
        <v>34624.000000003092</v>
      </c>
      <c r="P5" s="65">
        <f>O5*0.7182</f>
        <v>24866.956800002219</v>
      </c>
      <c r="Q5" s="31">
        <f>SUM('[2]B4 水表'!C7)</f>
        <v>403</v>
      </c>
      <c r="R5" s="64">
        <v>44</v>
      </c>
      <c r="S5" s="32">
        <f>Q5+R5</f>
        <v>447</v>
      </c>
      <c r="T5" s="67">
        <f>S5*4.86</f>
        <v>2172.42</v>
      </c>
      <c r="U5" s="33">
        <f>SUM(I5+N5+P5+T5)</f>
        <v>37936.020800002218</v>
      </c>
    </row>
    <row r="6" spans="1:21" s="34" customFormat="1" ht="21.6" customHeight="1" thickBot="1" x14ac:dyDescent="0.2">
      <c r="A6" s="35">
        <v>2</v>
      </c>
      <c r="B6" s="68" t="s">
        <v>50</v>
      </c>
      <c r="C6" s="29">
        <v>185</v>
      </c>
      <c r="D6" s="30">
        <v>63.66</v>
      </c>
      <c r="E6" s="36">
        <f>SUM([2]厨房燃气!BH8)</f>
        <v>247</v>
      </c>
      <c r="F6" s="37">
        <f>SUM('[2]B1 &amp; 102F 锅炉房'!C8)</f>
        <v>940</v>
      </c>
      <c r="G6" s="37">
        <f>SUM('[2]B1 &amp; 102F 锅炉房'!H8)</f>
        <v>791</v>
      </c>
      <c r="H6" s="37">
        <f t="shared" si="0"/>
        <v>1978</v>
      </c>
      <c r="I6" s="38">
        <f t="shared" ref="I6:I35" si="1">IF(H6&gt;0,H6*3.62,0)</f>
        <v>7160.3600000000006</v>
      </c>
      <c r="J6" s="36">
        <f>SUM([2]主塔楼空调用电量!V5)</f>
        <v>2223</v>
      </c>
      <c r="K6" s="37">
        <v>10524</v>
      </c>
      <c r="L6" s="37">
        <f>SUM('[2]68F 高压F13&amp;F30'!F8)</f>
        <v>24300.000000000637</v>
      </c>
      <c r="M6" s="37">
        <f>SUM([2]裙楼空调用量!L5)</f>
        <v>4</v>
      </c>
      <c r="N6" s="66">
        <f t="shared" ref="N6:N34" si="2">IF(M6*417&gt;0,M6*275.066+1655)</f>
        <v>2755.2640000000001</v>
      </c>
      <c r="O6" s="59">
        <f t="shared" ref="O6:O34" si="3">K6+L6</f>
        <v>34824.00000000064</v>
      </c>
      <c r="P6" s="65">
        <f t="shared" ref="P6:P35" si="4">O6*0.7182</f>
        <v>25010.596800000458</v>
      </c>
      <c r="Q6" s="36">
        <f>SUM('[2]B4 水表'!C8)</f>
        <v>319</v>
      </c>
      <c r="R6" s="64">
        <v>44</v>
      </c>
      <c r="S6" s="37">
        <f t="shared" ref="S6:S33" si="5">Q6+R6</f>
        <v>363</v>
      </c>
      <c r="T6" s="69">
        <f t="shared" ref="T6:T34" si="6">S6*4.7592</f>
        <v>1727.5896</v>
      </c>
      <c r="U6" s="33">
        <f t="shared" ref="U6:U34" si="7">SUM(I6+N6+P6+T6)</f>
        <v>36653.810400000461</v>
      </c>
    </row>
    <row r="7" spans="1:21" s="34" customFormat="1" ht="21.6" customHeight="1" thickBot="1" x14ac:dyDescent="0.2">
      <c r="A7" s="35">
        <v>3</v>
      </c>
      <c r="B7" s="68" t="s">
        <v>51</v>
      </c>
      <c r="C7" s="29">
        <v>0</v>
      </c>
      <c r="D7" s="30">
        <v>52.62</v>
      </c>
      <c r="E7" s="36">
        <f>SUM([2]厨房燃气!BH9)</f>
        <v>282</v>
      </c>
      <c r="F7" s="37">
        <f>SUM('[2]B1 &amp; 102F 锅炉房'!C9)</f>
        <v>981</v>
      </c>
      <c r="G7" s="37">
        <f>SUM('[2]B1 &amp; 102F 锅炉房'!H9)</f>
        <v>835</v>
      </c>
      <c r="H7" s="37">
        <f t="shared" si="0"/>
        <v>2098</v>
      </c>
      <c r="I7" s="38">
        <f t="shared" si="1"/>
        <v>7594.76</v>
      </c>
      <c r="J7" s="36">
        <f>SUM([2]主塔楼空调用电量!V6)</f>
        <v>2663</v>
      </c>
      <c r="K7" s="37">
        <v>10524</v>
      </c>
      <c r="L7" s="37">
        <f>SUM('[2]68F 高压F13&amp;F30'!F9)</f>
        <v>21699.99999999618</v>
      </c>
      <c r="M7" s="37">
        <f>SUM([2]裙楼空调用量!L6)</f>
        <v>5</v>
      </c>
      <c r="N7" s="66">
        <f t="shared" si="2"/>
        <v>3030.33</v>
      </c>
      <c r="O7" s="59">
        <f t="shared" si="3"/>
        <v>32223.99999999618</v>
      </c>
      <c r="P7" s="65">
        <f t="shared" si="4"/>
        <v>23143.276799997257</v>
      </c>
      <c r="Q7" s="36">
        <f>SUM('[2]B4 水表'!C9)</f>
        <v>494</v>
      </c>
      <c r="R7" s="64">
        <v>44</v>
      </c>
      <c r="S7" s="37">
        <f t="shared" si="5"/>
        <v>538</v>
      </c>
      <c r="T7" s="69">
        <f t="shared" si="6"/>
        <v>2560.4495999999999</v>
      </c>
      <c r="U7" s="33">
        <f t="shared" si="7"/>
        <v>36328.816399997253</v>
      </c>
    </row>
    <row r="8" spans="1:21" s="34" customFormat="1" ht="21.6" customHeight="1" thickBot="1" x14ac:dyDescent="0.2">
      <c r="A8" s="35">
        <v>4</v>
      </c>
      <c r="B8" s="68" t="s">
        <v>52</v>
      </c>
      <c r="C8" s="29">
        <v>217</v>
      </c>
      <c r="D8" s="30">
        <v>66.86</v>
      </c>
      <c r="E8" s="36">
        <f>SUM([2]厨房燃气!BH10)</f>
        <v>415</v>
      </c>
      <c r="F8" s="37">
        <f>SUM('[2]B1 &amp; 102F 锅炉房'!C10)</f>
        <v>987</v>
      </c>
      <c r="G8" s="37">
        <f>SUM('[2]B1 &amp; 102F 锅炉房'!H10)</f>
        <v>603</v>
      </c>
      <c r="H8" s="37">
        <f t="shared" si="0"/>
        <v>2005</v>
      </c>
      <c r="I8" s="38">
        <f t="shared" si="1"/>
        <v>7258.1</v>
      </c>
      <c r="J8" s="36">
        <f>SUM([2]主塔楼空调用电量!V7)</f>
        <v>2180</v>
      </c>
      <c r="K8" s="37">
        <v>10524</v>
      </c>
      <c r="L8" s="37">
        <f>SUM('[2]68F 高压F13&amp;F30'!F10)</f>
        <v>21900.000000000546</v>
      </c>
      <c r="M8" s="37">
        <f>SUM([2]裙楼空调用量!L7)</f>
        <v>6</v>
      </c>
      <c r="N8" s="66">
        <f t="shared" si="2"/>
        <v>3305.3959999999997</v>
      </c>
      <c r="O8" s="59">
        <f t="shared" si="3"/>
        <v>32424.000000000546</v>
      </c>
      <c r="P8" s="65">
        <f t="shared" si="4"/>
        <v>23286.916800000392</v>
      </c>
      <c r="Q8" s="36">
        <f>SUM('[2]B4 水表'!C10)</f>
        <v>460</v>
      </c>
      <c r="R8" s="64">
        <v>44</v>
      </c>
      <c r="S8" s="37">
        <f t="shared" si="5"/>
        <v>504</v>
      </c>
      <c r="T8" s="69">
        <f t="shared" si="6"/>
        <v>2398.6367999999998</v>
      </c>
      <c r="U8" s="33">
        <f t="shared" si="7"/>
        <v>36249.049600000391</v>
      </c>
    </row>
    <row r="9" spans="1:21" s="34" customFormat="1" ht="21.6" customHeight="1" thickBot="1" x14ac:dyDescent="0.2">
      <c r="A9" s="35">
        <v>5</v>
      </c>
      <c r="B9" s="68" t="s">
        <v>53</v>
      </c>
      <c r="C9" s="29">
        <v>186</v>
      </c>
      <c r="D9" s="30">
        <v>69.48</v>
      </c>
      <c r="E9" s="36">
        <f>SUM([2]厨房燃气!BH11)</f>
        <v>570</v>
      </c>
      <c r="F9" s="37">
        <f>SUM('[2]B1 &amp; 102F 锅炉房'!C11)</f>
        <v>976</v>
      </c>
      <c r="G9" s="37">
        <f>SUM('[2]B1 &amp; 102F 锅炉房'!H11)</f>
        <v>503</v>
      </c>
      <c r="H9" s="37">
        <f t="shared" si="0"/>
        <v>2049</v>
      </c>
      <c r="I9" s="38">
        <f t="shared" si="1"/>
        <v>7417.38</v>
      </c>
      <c r="J9" s="36">
        <f>SUM([2]主塔楼空调用电量!V8)</f>
        <v>3940</v>
      </c>
      <c r="K9" s="37">
        <v>10524</v>
      </c>
      <c r="L9" s="37">
        <f>SUM('[2]68F 高压F13&amp;F30'!F11)</f>
        <v>26500.000000000909</v>
      </c>
      <c r="M9" s="37">
        <f>SUM([2]裙楼空调用量!L8)</f>
        <v>6</v>
      </c>
      <c r="N9" s="66">
        <f t="shared" si="2"/>
        <v>3305.3959999999997</v>
      </c>
      <c r="O9" s="59">
        <f t="shared" si="3"/>
        <v>37024.000000000909</v>
      </c>
      <c r="P9" s="65">
        <f t="shared" si="4"/>
        <v>26590.636800000651</v>
      </c>
      <c r="Q9" s="36">
        <f>SUM('[2]B4 水表'!C11)</f>
        <v>435</v>
      </c>
      <c r="R9" s="64">
        <v>44</v>
      </c>
      <c r="S9" s="37">
        <f t="shared" si="5"/>
        <v>479</v>
      </c>
      <c r="T9" s="69">
        <f t="shared" si="6"/>
        <v>2279.6567999999997</v>
      </c>
      <c r="U9" s="33">
        <f t="shared" si="7"/>
        <v>39593.06960000065</v>
      </c>
    </row>
    <row r="10" spans="1:21" s="34" customFormat="1" ht="21.6" customHeight="1" thickBot="1" x14ac:dyDescent="0.2">
      <c r="A10" s="35">
        <v>6</v>
      </c>
      <c r="B10" s="68" t="s">
        <v>53</v>
      </c>
      <c r="C10" s="29">
        <v>172</v>
      </c>
      <c r="D10" s="30">
        <v>75</v>
      </c>
      <c r="E10" s="36">
        <f>SUM([2]厨房燃气!BH12)</f>
        <v>567</v>
      </c>
      <c r="F10" s="37">
        <f>SUM('[2]B1 &amp; 102F 锅炉房'!C12)</f>
        <v>955</v>
      </c>
      <c r="G10" s="37">
        <f>SUM('[2]B1 &amp; 102F 锅炉房'!H12)</f>
        <v>515</v>
      </c>
      <c r="H10" s="37">
        <f t="shared" si="0"/>
        <v>2037</v>
      </c>
      <c r="I10" s="38">
        <f t="shared" si="1"/>
        <v>7373.9400000000005</v>
      </c>
      <c r="J10" s="36">
        <f>SUM([2]主塔楼空调用电量!V9)</f>
        <v>3429</v>
      </c>
      <c r="K10" s="37">
        <v>10524</v>
      </c>
      <c r="L10" s="37">
        <f>SUM('[2]68F 高压F13&amp;F30'!F12)</f>
        <v>25900.000000001455</v>
      </c>
      <c r="M10" s="37">
        <f>SUM([2]裙楼空调用量!L9)</f>
        <v>7</v>
      </c>
      <c r="N10" s="66">
        <f t="shared" si="2"/>
        <v>3580.4619999999995</v>
      </c>
      <c r="O10" s="59">
        <f t="shared" si="3"/>
        <v>36424.000000001455</v>
      </c>
      <c r="P10" s="65">
        <f t="shared" si="4"/>
        <v>26159.716800001042</v>
      </c>
      <c r="Q10" s="36">
        <f>SUM('[2]B4 水表'!C12)</f>
        <v>528</v>
      </c>
      <c r="R10" s="64">
        <v>44</v>
      </c>
      <c r="S10" s="37">
        <f t="shared" si="5"/>
        <v>572</v>
      </c>
      <c r="T10" s="69">
        <f t="shared" si="6"/>
        <v>2722.2624000000001</v>
      </c>
      <c r="U10" s="33">
        <f t="shared" si="7"/>
        <v>39836.381200001044</v>
      </c>
    </row>
    <row r="11" spans="1:21" s="34" customFormat="1" ht="21.6" customHeight="1" thickBot="1" x14ac:dyDescent="0.2">
      <c r="A11" s="35">
        <v>7</v>
      </c>
      <c r="B11" s="68" t="s">
        <v>54</v>
      </c>
      <c r="C11" s="29">
        <v>377</v>
      </c>
      <c r="D11" s="30">
        <v>93.31</v>
      </c>
      <c r="E11" s="36">
        <f>SUM([2]厨房燃气!BH13)</f>
        <v>555</v>
      </c>
      <c r="F11" s="37">
        <f>SUM('[2]B1 &amp; 102F 锅炉房'!C13)</f>
        <v>1077</v>
      </c>
      <c r="G11" s="37">
        <f>SUM('[2]B1 &amp; 102F 锅炉房'!H13)</f>
        <v>294</v>
      </c>
      <c r="H11" s="37">
        <f t="shared" si="0"/>
        <v>1926</v>
      </c>
      <c r="I11" s="38">
        <f t="shared" si="1"/>
        <v>6972.12</v>
      </c>
      <c r="J11" s="36">
        <f>SUM([2]主塔楼空调用电量!V10)</f>
        <v>3883</v>
      </c>
      <c r="K11" s="37">
        <v>10524</v>
      </c>
      <c r="L11" s="37">
        <f>SUM('[2]68F 高压F13&amp;F30'!F13)</f>
        <v>26799.999999998363</v>
      </c>
      <c r="M11" s="37">
        <f>SUM([2]裙楼空调用量!L10)</f>
        <v>7</v>
      </c>
      <c r="N11" s="66">
        <f t="shared" si="2"/>
        <v>3580.4619999999995</v>
      </c>
      <c r="O11" s="59">
        <f t="shared" si="3"/>
        <v>37323.999999998363</v>
      </c>
      <c r="P11" s="65">
        <f t="shared" si="4"/>
        <v>26806.096799998821</v>
      </c>
      <c r="Q11" s="36">
        <f>SUM('[2]B4 水表'!C13)</f>
        <v>505</v>
      </c>
      <c r="R11" s="64">
        <v>44</v>
      </c>
      <c r="S11" s="37">
        <f t="shared" si="5"/>
        <v>549</v>
      </c>
      <c r="T11" s="69">
        <f t="shared" si="6"/>
        <v>2612.8008</v>
      </c>
      <c r="U11" s="33">
        <f t="shared" si="7"/>
        <v>39971.479599998813</v>
      </c>
    </row>
    <row r="12" spans="1:21" s="34" customFormat="1" ht="21.6" customHeight="1" thickBot="1" x14ac:dyDescent="0.2">
      <c r="A12" s="35">
        <v>8</v>
      </c>
      <c r="B12" s="68" t="s">
        <v>55</v>
      </c>
      <c r="C12" s="29">
        <v>0</v>
      </c>
      <c r="D12" s="30">
        <v>71.22</v>
      </c>
      <c r="E12" s="36">
        <f>SUM([2]厨房燃气!BH14)</f>
        <v>573</v>
      </c>
      <c r="F12" s="37">
        <f>SUM('[2]B1 &amp; 102F 锅炉房'!C14)</f>
        <v>1081</v>
      </c>
      <c r="G12" s="37">
        <f>SUM('[2]B1 &amp; 102F 锅炉房'!H14)</f>
        <v>597</v>
      </c>
      <c r="H12" s="37">
        <f t="shared" si="0"/>
        <v>2251</v>
      </c>
      <c r="I12" s="38">
        <f t="shared" si="1"/>
        <v>8148.62</v>
      </c>
      <c r="J12" s="36">
        <f>SUM([2]主塔楼空调用电量!V11)</f>
        <v>3358</v>
      </c>
      <c r="K12" s="37">
        <v>10524</v>
      </c>
      <c r="L12" s="37">
        <f>SUM('[2]68F 高压F13&amp;F30'!F14)</f>
        <v>27200.000000002547</v>
      </c>
      <c r="M12" s="37">
        <f>SUM([2]裙楼空调用量!L11)</f>
        <v>8</v>
      </c>
      <c r="N12" s="66">
        <f t="shared" si="2"/>
        <v>3855.5279999999998</v>
      </c>
      <c r="O12" s="59">
        <f t="shared" si="3"/>
        <v>37724.000000002547</v>
      </c>
      <c r="P12" s="65">
        <f t="shared" si="4"/>
        <v>27093.376800001828</v>
      </c>
      <c r="Q12" s="36">
        <f>SUM('[2]B4 水表'!C14)</f>
        <v>696</v>
      </c>
      <c r="R12" s="64">
        <v>44</v>
      </c>
      <c r="S12" s="37">
        <f t="shared" si="5"/>
        <v>740</v>
      </c>
      <c r="T12" s="69">
        <f t="shared" si="6"/>
        <v>3521.808</v>
      </c>
      <c r="U12" s="33">
        <f t="shared" si="7"/>
        <v>42619.332800001823</v>
      </c>
    </row>
    <row r="13" spans="1:21" s="34" customFormat="1" ht="21.6" customHeight="1" thickBot="1" x14ac:dyDescent="0.2">
      <c r="A13" s="35">
        <v>9</v>
      </c>
      <c r="B13" s="68" t="s">
        <v>56</v>
      </c>
      <c r="C13" s="29">
        <v>135</v>
      </c>
      <c r="D13" s="30">
        <v>73.260000000000005</v>
      </c>
      <c r="E13" s="36">
        <f>SUM([2]厨房燃气!BH15)</f>
        <v>549</v>
      </c>
      <c r="F13" s="37">
        <f>SUM('[2]B1 &amp; 102F 锅炉房'!C15)</f>
        <v>1093</v>
      </c>
      <c r="G13" s="37">
        <f>SUM('[2]B1 &amp; 102F 锅炉房'!H15)</f>
        <v>360</v>
      </c>
      <c r="H13" s="37">
        <f t="shared" si="0"/>
        <v>2002</v>
      </c>
      <c r="I13" s="38">
        <f t="shared" si="1"/>
        <v>7247.24</v>
      </c>
      <c r="J13" s="36">
        <f>SUM([2]主塔楼空调用电量!V12)</f>
        <v>3267</v>
      </c>
      <c r="K13" s="37">
        <v>10524</v>
      </c>
      <c r="L13" s="37">
        <f>SUM('[2]68F 高压F13&amp;F30'!F15)</f>
        <v>26799.999999998363</v>
      </c>
      <c r="M13" s="37">
        <f>SUM([2]裙楼空调用量!L12)</f>
        <v>8</v>
      </c>
      <c r="N13" s="66">
        <f t="shared" si="2"/>
        <v>3855.5279999999998</v>
      </c>
      <c r="O13" s="59">
        <f t="shared" si="3"/>
        <v>37323.999999998363</v>
      </c>
      <c r="P13" s="65">
        <f t="shared" si="4"/>
        <v>26806.096799998821</v>
      </c>
      <c r="Q13" s="36">
        <f>SUM('[2]B4 水表'!C15)</f>
        <v>524</v>
      </c>
      <c r="R13" s="64">
        <v>44</v>
      </c>
      <c r="S13" s="37">
        <f t="shared" si="5"/>
        <v>568</v>
      </c>
      <c r="T13" s="69">
        <f t="shared" si="6"/>
        <v>2703.2255999999998</v>
      </c>
      <c r="U13" s="33">
        <f t="shared" si="7"/>
        <v>40612.090399998815</v>
      </c>
    </row>
    <row r="14" spans="1:21" s="34" customFormat="1" ht="21.6" customHeight="1" thickBot="1" x14ac:dyDescent="0.2">
      <c r="A14" s="35">
        <v>10</v>
      </c>
      <c r="B14" s="68" t="s">
        <v>57</v>
      </c>
      <c r="C14" s="29">
        <v>550</v>
      </c>
      <c r="D14" s="30">
        <v>80.81</v>
      </c>
      <c r="E14" s="36">
        <f>SUM([2]厨房燃气!BH16)</f>
        <v>543</v>
      </c>
      <c r="F14" s="37">
        <f>SUM('[2]B1 &amp; 102F 锅炉房'!C16)</f>
        <v>1265</v>
      </c>
      <c r="G14" s="37">
        <f>SUM('[2]B1 &amp; 102F 锅炉房'!H16)</f>
        <v>379</v>
      </c>
      <c r="H14" s="37">
        <f t="shared" si="0"/>
        <v>2187</v>
      </c>
      <c r="I14" s="38">
        <f t="shared" si="1"/>
        <v>7916.9400000000005</v>
      </c>
      <c r="J14" s="36">
        <f>SUM([2]主塔楼空调用电量!V13)</f>
        <v>2503</v>
      </c>
      <c r="K14" s="37">
        <v>10524</v>
      </c>
      <c r="L14" s="37">
        <f>SUM('[2]68F 高压F13&amp;F30'!F16)</f>
        <v>25900.000000001455</v>
      </c>
      <c r="M14" s="37">
        <f>SUM([2]裙楼空调用量!L13)</f>
        <v>9</v>
      </c>
      <c r="N14" s="66">
        <f t="shared" si="2"/>
        <v>4130.5939999999991</v>
      </c>
      <c r="O14" s="59">
        <f t="shared" si="3"/>
        <v>36424.000000001455</v>
      </c>
      <c r="P14" s="65">
        <f t="shared" si="4"/>
        <v>26159.716800001042</v>
      </c>
      <c r="Q14" s="36">
        <f>SUM('[2]B4 水表'!C16)</f>
        <v>516</v>
      </c>
      <c r="R14" s="64">
        <v>44</v>
      </c>
      <c r="S14" s="37">
        <f t="shared" si="5"/>
        <v>560</v>
      </c>
      <c r="T14" s="69">
        <f t="shared" si="6"/>
        <v>2665.152</v>
      </c>
      <c r="U14" s="33">
        <f t="shared" si="7"/>
        <v>40872.402800001044</v>
      </c>
    </row>
    <row r="15" spans="1:21" s="34" customFormat="1" ht="21.6" customHeight="1" thickBot="1" x14ac:dyDescent="0.2">
      <c r="A15" s="35">
        <v>11</v>
      </c>
      <c r="B15" s="68" t="s">
        <v>58</v>
      </c>
      <c r="C15" s="29">
        <v>350</v>
      </c>
      <c r="D15" s="30">
        <v>85.76</v>
      </c>
      <c r="E15" s="36">
        <f>SUM([2]厨房燃气!BH17)</f>
        <v>715</v>
      </c>
      <c r="F15" s="37">
        <f>SUM('[2]B1 &amp; 102F 锅炉房'!C17)</f>
        <v>1248</v>
      </c>
      <c r="G15" s="37">
        <f>SUM('[2]B1 &amp; 102F 锅炉房'!H17)</f>
        <v>517</v>
      </c>
      <c r="H15" s="37">
        <f t="shared" si="0"/>
        <v>2480</v>
      </c>
      <c r="I15" s="38">
        <f t="shared" si="1"/>
        <v>8977.6</v>
      </c>
      <c r="J15" s="36">
        <f>SUM([2]主塔楼空调用电量!V14)</f>
        <v>2672</v>
      </c>
      <c r="K15" s="37">
        <v>10524</v>
      </c>
      <c r="L15" s="37">
        <f>SUM('[2]68F 高压F13&amp;F30'!F17)</f>
        <v>26599.999999998545</v>
      </c>
      <c r="M15" s="37">
        <f>SUM([2]裙楼空调用量!L14)</f>
        <v>9</v>
      </c>
      <c r="N15" s="66">
        <f t="shared" si="2"/>
        <v>4130.5939999999991</v>
      </c>
      <c r="O15" s="59">
        <f t="shared" si="3"/>
        <v>37123.999999998545</v>
      </c>
      <c r="P15" s="65">
        <f t="shared" si="4"/>
        <v>26662.456799998952</v>
      </c>
      <c r="Q15" s="36">
        <f>SUM('[2]B4 水表'!C17)</f>
        <v>616</v>
      </c>
      <c r="R15" s="64">
        <v>44</v>
      </c>
      <c r="S15" s="37">
        <f t="shared" si="5"/>
        <v>660</v>
      </c>
      <c r="T15" s="69">
        <f t="shared" si="6"/>
        <v>3141.0720000000001</v>
      </c>
      <c r="U15" s="33">
        <f t="shared" si="7"/>
        <v>42911.722799998955</v>
      </c>
    </row>
    <row r="16" spans="1:21" s="34" customFormat="1" ht="21.6" customHeight="1" thickBot="1" x14ac:dyDescent="0.2">
      <c r="A16" s="35">
        <v>12</v>
      </c>
      <c r="B16" s="68" t="s">
        <v>59</v>
      </c>
      <c r="C16" s="29">
        <v>110</v>
      </c>
      <c r="D16" s="30">
        <v>85.59</v>
      </c>
      <c r="E16" s="36">
        <f>SUM([2]厨房燃气!BH18)</f>
        <v>656</v>
      </c>
      <c r="F16" s="37">
        <f>SUM('[2]B1 &amp; 102F 锅炉房'!C18)</f>
        <v>1345</v>
      </c>
      <c r="G16" s="37">
        <f>SUM('[2]B1 &amp; 102F 锅炉房'!H18)</f>
        <v>474</v>
      </c>
      <c r="H16" s="37">
        <f t="shared" si="0"/>
        <v>2475</v>
      </c>
      <c r="I16" s="38">
        <f t="shared" si="1"/>
        <v>8959.5</v>
      </c>
      <c r="J16" s="36">
        <f>SUM([2]主塔楼空调用电量!V15)</f>
        <v>3528</v>
      </c>
      <c r="K16" s="37">
        <v>10524</v>
      </c>
      <c r="L16" s="37">
        <f>SUM('[2]68F 高压F13&amp;F30'!F18)</f>
        <v>27399.999999997817</v>
      </c>
      <c r="M16" s="37">
        <f>SUM([2]裙楼空调用量!L15)</f>
        <v>9</v>
      </c>
      <c r="N16" s="66">
        <f t="shared" si="2"/>
        <v>4130.5939999999991</v>
      </c>
      <c r="O16" s="59">
        <f t="shared" si="3"/>
        <v>37923.999999997817</v>
      </c>
      <c r="P16" s="65">
        <f t="shared" si="4"/>
        <v>27237.01679999843</v>
      </c>
      <c r="Q16" s="36">
        <f>SUM('[2]B4 水表'!C18)</f>
        <v>631</v>
      </c>
      <c r="R16" s="64">
        <v>44</v>
      </c>
      <c r="S16" s="37">
        <f t="shared" si="5"/>
        <v>675</v>
      </c>
      <c r="T16" s="69">
        <f t="shared" si="6"/>
        <v>3212.46</v>
      </c>
      <c r="U16" s="33">
        <f t="shared" si="7"/>
        <v>43539.57079999843</v>
      </c>
    </row>
    <row r="17" spans="1:21" s="34" customFormat="1" ht="21.6" customHeight="1" thickBot="1" x14ac:dyDescent="0.2">
      <c r="A17" s="35">
        <v>13</v>
      </c>
      <c r="B17" s="68" t="s">
        <v>60</v>
      </c>
      <c r="C17" s="29">
        <v>250</v>
      </c>
      <c r="D17" s="30">
        <v>85.25</v>
      </c>
      <c r="E17" s="36">
        <f>SUM([2]厨房燃气!BH19)</f>
        <v>589</v>
      </c>
      <c r="F17" s="37">
        <f>SUM('[2]B1 &amp; 102F 锅炉房'!C19)</f>
        <v>1384</v>
      </c>
      <c r="G17" s="37">
        <f>SUM('[2]B1 &amp; 102F 锅炉房'!H19)</f>
        <v>482</v>
      </c>
      <c r="H17" s="37">
        <f t="shared" si="0"/>
        <v>2455</v>
      </c>
      <c r="I17" s="38">
        <f t="shared" si="1"/>
        <v>8887.1</v>
      </c>
      <c r="J17" s="36">
        <f>SUM([2]主塔楼空调用电量!V16)</f>
        <v>4373</v>
      </c>
      <c r="K17" s="37">
        <v>10524</v>
      </c>
      <c r="L17" s="37">
        <f>SUM('[2]68F 高压F13&amp;F30'!F19)</f>
        <v>29000.000000000909</v>
      </c>
      <c r="M17" s="37">
        <f>SUM([2]裙楼空调用量!L16)</f>
        <v>11</v>
      </c>
      <c r="N17" s="66">
        <f t="shared" si="2"/>
        <v>4680.7259999999997</v>
      </c>
      <c r="O17" s="59">
        <f t="shared" si="3"/>
        <v>39524.000000000909</v>
      </c>
      <c r="P17" s="65">
        <f t="shared" si="4"/>
        <v>28386.136800000651</v>
      </c>
      <c r="Q17" s="36">
        <f>SUM('[2]B4 水表'!C19)</f>
        <v>643</v>
      </c>
      <c r="R17" s="64">
        <v>44</v>
      </c>
      <c r="S17" s="37">
        <f t="shared" si="5"/>
        <v>687</v>
      </c>
      <c r="T17" s="69">
        <f t="shared" si="6"/>
        <v>3269.5704000000001</v>
      </c>
      <c r="U17" s="33">
        <f t="shared" si="7"/>
        <v>45223.533200000646</v>
      </c>
    </row>
    <row r="18" spans="1:21" s="34" customFormat="1" ht="21.6" customHeight="1" thickBot="1" x14ac:dyDescent="0.2">
      <c r="A18" s="35">
        <v>14</v>
      </c>
      <c r="B18" s="68" t="s">
        <v>61</v>
      </c>
      <c r="C18" s="29">
        <v>728</v>
      </c>
      <c r="D18" s="30">
        <v>91.55</v>
      </c>
      <c r="E18" s="36">
        <f>SUM([2]厨房燃气!BH20)</f>
        <v>533</v>
      </c>
      <c r="F18" s="37">
        <f>SUM('[2]B1 &amp; 102F 锅炉房'!C20)</f>
        <v>1363</v>
      </c>
      <c r="G18" s="37">
        <f>SUM('[2]B1 &amp; 102F 锅炉房'!H20)</f>
        <v>0</v>
      </c>
      <c r="H18" s="37">
        <f t="shared" si="0"/>
        <v>1896</v>
      </c>
      <c r="I18" s="38">
        <f t="shared" si="1"/>
        <v>6863.52</v>
      </c>
      <c r="J18" s="36">
        <f>SUM([2]主塔楼空调用电量!V17)</f>
        <v>4446</v>
      </c>
      <c r="K18" s="37">
        <v>10524</v>
      </c>
      <c r="L18" s="37">
        <f>SUM('[2]68F 高压F13&amp;F30'!F20)</f>
        <v>28900.000000003274</v>
      </c>
      <c r="M18" s="37">
        <f>SUM([2]裙楼空调用量!L17)</f>
        <v>12</v>
      </c>
      <c r="N18" s="66">
        <f t="shared" si="2"/>
        <v>4955.7919999999995</v>
      </c>
      <c r="O18" s="59">
        <f t="shared" si="3"/>
        <v>39424.000000003274</v>
      </c>
      <c r="P18" s="65">
        <f t="shared" si="4"/>
        <v>28314.316800002351</v>
      </c>
      <c r="Q18" s="36">
        <f>SUM('[2]B4 水表'!C20)</f>
        <v>570</v>
      </c>
      <c r="R18" s="64">
        <v>44</v>
      </c>
      <c r="S18" s="37">
        <f t="shared" si="5"/>
        <v>614</v>
      </c>
      <c r="T18" s="69">
        <f t="shared" si="6"/>
        <v>2922.1487999999999</v>
      </c>
      <c r="U18" s="33">
        <f t="shared" si="7"/>
        <v>43055.777600002351</v>
      </c>
    </row>
    <row r="19" spans="1:21" s="34" customFormat="1" ht="21.6" customHeight="1" thickBot="1" x14ac:dyDescent="0.2">
      <c r="A19" s="35">
        <v>15</v>
      </c>
      <c r="B19" s="68" t="s">
        <v>62</v>
      </c>
      <c r="C19" s="29">
        <v>135</v>
      </c>
      <c r="D19" s="30">
        <v>86.3</v>
      </c>
      <c r="E19" s="36">
        <f>SUM([2]厨房燃气!BH21)</f>
        <v>625</v>
      </c>
      <c r="F19" s="37">
        <f>SUM('[2]B1 &amp; 102F 锅炉房'!C21)</f>
        <v>1380</v>
      </c>
      <c r="G19" s="37">
        <f>SUM('[2]B1 &amp; 102F 锅炉房'!H21)</f>
        <v>345</v>
      </c>
      <c r="H19" s="37">
        <f t="shared" si="0"/>
        <v>2350</v>
      </c>
      <c r="I19" s="38">
        <f t="shared" si="1"/>
        <v>8507</v>
      </c>
      <c r="J19" s="36">
        <f>SUM([2]主塔楼空调用电量!V18)</f>
        <v>1768</v>
      </c>
      <c r="K19" s="37">
        <v>10524</v>
      </c>
      <c r="L19" s="37">
        <f>SUM('[2]68F 高压F13&amp;F30'!F21)</f>
        <v>25699.99999999709</v>
      </c>
      <c r="M19" s="37">
        <f>SUM([2]裙楼空调用量!L18)</f>
        <v>10</v>
      </c>
      <c r="N19" s="66">
        <f t="shared" si="2"/>
        <v>4405.66</v>
      </c>
      <c r="O19" s="59">
        <f t="shared" si="3"/>
        <v>36223.99999999709</v>
      </c>
      <c r="P19" s="65">
        <f t="shared" si="4"/>
        <v>26016.076799997907</v>
      </c>
      <c r="Q19" s="36">
        <f>SUM('[2]B4 水表'!C21)</f>
        <v>603</v>
      </c>
      <c r="R19" s="64">
        <v>44</v>
      </c>
      <c r="S19" s="37">
        <f t="shared" si="5"/>
        <v>647</v>
      </c>
      <c r="T19" s="69">
        <f t="shared" si="6"/>
        <v>3079.2024000000001</v>
      </c>
      <c r="U19" s="33">
        <f t="shared" si="7"/>
        <v>42007.939199997905</v>
      </c>
    </row>
    <row r="20" spans="1:21" s="34" customFormat="1" ht="21.6" customHeight="1" thickBot="1" x14ac:dyDescent="0.2">
      <c r="A20" s="35">
        <v>16</v>
      </c>
      <c r="B20" s="68" t="s">
        <v>63</v>
      </c>
      <c r="C20" s="29">
        <v>50</v>
      </c>
      <c r="D20" s="30">
        <v>82.51</v>
      </c>
      <c r="E20" s="36">
        <f>SUM([2]厨房燃气!BH22)</f>
        <v>556</v>
      </c>
      <c r="F20" s="37">
        <f>SUM('[2]B1 &amp; 102F 锅炉房'!C22)</f>
        <v>1608</v>
      </c>
      <c r="G20" s="37">
        <f>SUM('[2]B1 &amp; 102F 锅炉房'!H22)</f>
        <v>963</v>
      </c>
      <c r="H20" s="37">
        <f t="shared" si="0"/>
        <v>3127</v>
      </c>
      <c r="I20" s="38">
        <f t="shared" si="1"/>
        <v>11319.74</v>
      </c>
      <c r="J20" s="36">
        <f>SUM([2]主塔楼空调用电量!V19)</f>
        <v>786</v>
      </c>
      <c r="K20" s="37">
        <v>10524</v>
      </c>
      <c r="L20" s="37">
        <f>SUM('[2]68F 高压F13&amp;F30'!F22)</f>
        <v>23600.000000001273</v>
      </c>
      <c r="M20" s="37">
        <f>SUM([2]裙楼空调用量!L19)</f>
        <v>5</v>
      </c>
      <c r="N20" s="66">
        <f t="shared" si="2"/>
        <v>3030.33</v>
      </c>
      <c r="O20" s="59">
        <f t="shared" si="3"/>
        <v>34124.000000001273</v>
      </c>
      <c r="P20" s="65">
        <f t="shared" si="4"/>
        <v>24507.856800000915</v>
      </c>
      <c r="Q20" s="36">
        <f>SUM('[2]B4 水表'!C22)</f>
        <v>555</v>
      </c>
      <c r="R20" s="64">
        <v>44</v>
      </c>
      <c r="S20" s="37">
        <f t="shared" si="5"/>
        <v>599</v>
      </c>
      <c r="T20" s="69">
        <f t="shared" si="6"/>
        <v>2850.7608</v>
      </c>
      <c r="U20" s="33">
        <f t="shared" si="7"/>
        <v>41708.687600000922</v>
      </c>
    </row>
    <row r="21" spans="1:21" s="34" customFormat="1" ht="21.6" customHeight="1" thickBot="1" x14ac:dyDescent="0.2">
      <c r="A21" s="35">
        <v>17</v>
      </c>
      <c r="B21" s="68" t="s">
        <v>64</v>
      </c>
      <c r="C21" s="29">
        <v>0</v>
      </c>
      <c r="D21" s="30">
        <v>82.56</v>
      </c>
      <c r="E21" s="36">
        <f>SUM([2]厨房燃气!BH23)</f>
        <v>488</v>
      </c>
      <c r="F21" s="37">
        <f>SUM('[2]B1 &amp; 102F 锅炉房'!C23)</f>
        <v>1383</v>
      </c>
      <c r="G21" s="37">
        <f>SUM('[2]B1 &amp; 102F 锅炉房'!H23)</f>
        <v>868</v>
      </c>
      <c r="H21" s="37">
        <f>SUM(E21+F21+G21)</f>
        <v>2739</v>
      </c>
      <c r="I21" s="38">
        <f t="shared" si="1"/>
        <v>9915.18</v>
      </c>
      <c r="J21" s="36">
        <f>SUM([2]主塔楼空调用电量!V20)</f>
        <v>1672</v>
      </c>
      <c r="K21" s="37">
        <v>10524</v>
      </c>
      <c r="L21" s="37">
        <f>SUM('[2]68F 高压F13&amp;F30'!F23)</f>
        <v>24900.000000002365</v>
      </c>
      <c r="M21" s="37">
        <f>SUM([2]裙楼空调用量!L20)</f>
        <v>4</v>
      </c>
      <c r="N21" s="66">
        <f t="shared" si="2"/>
        <v>2755.2640000000001</v>
      </c>
      <c r="O21" s="59">
        <f t="shared" si="3"/>
        <v>35424.000000002365</v>
      </c>
      <c r="P21" s="65">
        <f t="shared" si="4"/>
        <v>25441.516800001697</v>
      </c>
      <c r="Q21" s="41">
        <f>SUM('[2]B4 水表'!C23)</f>
        <v>620</v>
      </c>
      <c r="R21" s="64">
        <v>44</v>
      </c>
      <c r="S21" s="37">
        <f t="shared" si="5"/>
        <v>664</v>
      </c>
      <c r="T21" s="69">
        <f t="shared" si="6"/>
        <v>3160.1088</v>
      </c>
      <c r="U21" s="33">
        <f t="shared" si="7"/>
        <v>41272.069600001698</v>
      </c>
    </row>
    <row r="22" spans="1:21" s="34" customFormat="1" ht="21.6" customHeight="1" thickBot="1" x14ac:dyDescent="0.2">
      <c r="A22" s="35">
        <v>18</v>
      </c>
      <c r="B22" s="68" t="s">
        <v>65</v>
      </c>
      <c r="C22" s="29">
        <v>0</v>
      </c>
      <c r="D22" s="30">
        <v>84.01</v>
      </c>
      <c r="E22" s="36">
        <f>SUM([2]厨房燃气!BH24)</f>
        <v>564</v>
      </c>
      <c r="F22" s="37">
        <f>SUM('[2]B1 &amp; 102F 锅炉房'!C24)</f>
        <v>1371</v>
      </c>
      <c r="G22" s="37">
        <f>SUM('[2]B1 &amp; 102F 锅炉房'!H24)</f>
        <v>969</v>
      </c>
      <c r="H22" s="37">
        <f t="shared" ref="H22:H33" si="8">SUM(G22+F22+E22)</f>
        <v>2904</v>
      </c>
      <c r="I22" s="38">
        <f t="shared" si="1"/>
        <v>10512.48</v>
      </c>
      <c r="J22" s="36">
        <f>SUM([2]主塔楼空调用电量!V21)</f>
        <v>2335</v>
      </c>
      <c r="K22" s="37">
        <v>10524</v>
      </c>
      <c r="L22" s="37">
        <f>SUM('[2]68F 高压F13&amp;F30'!F24)</f>
        <v>26099.999999996726</v>
      </c>
      <c r="M22" s="37">
        <f>SUM([2]裙楼空调用量!L21)</f>
        <v>4</v>
      </c>
      <c r="N22" s="66">
        <f t="shared" si="2"/>
        <v>2755.2640000000001</v>
      </c>
      <c r="O22" s="59">
        <f t="shared" si="3"/>
        <v>36623.999999996726</v>
      </c>
      <c r="P22" s="65">
        <f t="shared" si="4"/>
        <v>26303.356799997648</v>
      </c>
      <c r="Q22" s="41">
        <f>SUM('[2]B4 水表'!C24)</f>
        <v>539</v>
      </c>
      <c r="R22" s="64">
        <v>44</v>
      </c>
      <c r="S22" s="37">
        <f t="shared" si="5"/>
        <v>583</v>
      </c>
      <c r="T22" s="69">
        <f t="shared" si="6"/>
        <v>2774.6136000000001</v>
      </c>
      <c r="U22" s="33">
        <f t="shared" si="7"/>
        <v>42345.71439999764</v>
      </c>
    </row>
    <row r="23" spans="1:21" s="34" customFormat="1" ht="21.6" customHeight="1" thickBot="1" x14ac:dyDescent="0.2">
      <c r="A23" s="35">
        <v>19</v>
      </c>
      <c r="B23" s="68" t="s">
        <v>66</v>
      </c>
      <c r="C23" s="29">
        <v>0</v>
      </c>
      <c r="D23" s="30">
        <v>78.2</v>
      </c>
      <c r="E23" s="39">
        <f>SUM([2]厨房燃气!BH25)</f>
        <v>571</v>
      </c>
      <c r="F23" s="40">
        <f>SUM('[2]B1 &amp; 102F 锅炉房'!C25)</f>
        <v>1395</v>
      </c>
      <c r="G23" s="40">
        <f>SUM('[2]B1 &amp; 102F 锅炉房'!H25)</f>
        <v>811</v>
      </c>
      <c r="H23" s="40">
        <f t="shared" si="8"/>
        <v>2777</v>
      </c>
      <c r="I23" s="38">
        <f t="shared" si="1"/>
        <v>10052.74</v>
      </c>
      <c r="J23" s="39">
        <f>SUM([2]主塔楼空调用电量!V22)</f>
        <v>3133</v>
      </c>
      <c r="K23" s="37">
        <v>10524</v>
      </c>
      <c r="L23" s="40">
        <f>SUM('[2]68F 高压F13&amp;F30'!F25)</f>
        <v>26199.999999998909</v>
      </c>
      <c r="M23" s="37">
        <f>SUM([2]裙楼空调用量!L22)</f>
        <v>5</v>
      </c>
      <c r="N23" s="66">
        <f t="shared" si="2"/>
        <v>3030.33</v>
      </c>
      <c r="O23" s="59">
        <f t="shared" si="3"/>
        <v>36723.999999998909</v>
      </c>
      <c r="P23" s="65">
        <f t="shared" si="4"/>
        <v>26375.176799999215</v>
      </c>
      <c r="Q23" s="39">
        <f>SUM('[2]B4 水表'!C25)</f>
        <v>631</v>
      </c>
      <c r="R23" s="64">
        <v>44</v>
      </c>
      <c r="S23" s="40">
        <f t="shared" si="5"/>
        <v>675</v>
      </c>
      <c r="T23" s="69">
        <f t="shared" si="6"/>
        <v>3212.46</v>
      </c>
      <c r="U23" s="33">
        <f t="shared" si="7"/>
        <v>42670.706799999214</v>
      </c>
    </row>
    <row r="24" spans="1:21" s="34" customFormat="1" ht="21.6" customHeight="1" thickBot="1" x14ac:dyDescent="0.2">
      <c r="A24" s="35">
        <v>20</v>
      </c>
      <c r="B24" s="68" t="s">
        <v>45</v>
      </c>
      <c r="C24" s="29">
        <v>0</v>
      </c>
      <c r="D24" s="30">
        <v>78.2</v>
      </c>
      <c r="E24" s="36">
        <f>SUM([2]厨房燃气!BH26)</f>
        <v>488</v>
      </c>
      <c r="F24" s="37">
        <f>SUM('[2]B1 &amp; 102F 锅炉房'!C26)</f>
        <v>1410</v>
      </c>
      <c r="G24" s="37">
        <f>SUM('[2]B1 &amp; 102F 锅炉房'!H26)</f>
        <v>469</v>
      </c>
      <c r="H24" s="37">
        <f t="shared" si="8"/>
        <v>2367</v>
      </c>
      <c r="I24" s="38">
        <f t="shared" si="1"/>
        <v>8568.5400000000009</v>
      </c>
      <c r="J24" s="36">
        <f>SUM([2]主塔楼空调用电量!V23)</f>
        <v>3262</v>
      </c>
      <c r="K24" s="37">
        <v>10524</v>
      </c>
      <c r="L24" s="37">
        <f>SUM('[2]68F 高压F13&amp;F30'!F26)</f>
        <v>27600.000000002183</v>
      </c>
      <c r="M24" s="37">
        <f>SUM([2]裙楼空调用量!L23)</f>
        <v>6</v>
      </c>
      <c r="N24" s="66">
        <f t="shared" si="2"/>
        <v>3305.3959999999997</v>
      </c>
      <c r="O24" s="59">
        <f t="shared" si="3"/>
        <v>38124.000000002183</v>
      </c>
      <c r="P24" s="65">
        <f t="shared" si="4"/>
        <v>27380.656800001565</v>
      </c>
      <c r="Q24" s="36">
        <f>SUM('[2]B4 水表'!C26)</f>
        <v>607</v>
      </c>
      <c r="R24" s="64">
        <v>44</v>
      </c>
      <c r="S24" s="37">
        <f t="shared" si="5"/>
        <v>651</v>
      </c>
      <c r="T24" s="69">
        <f t="shared" si="6"/>
        <v>3098.2392</v>
      </c>
      <c r="U24" s="33">
        <f t="shared" si="7"/>
        <v>42352.832000001566</v>
      </c>
    </row>
    <row r="25" spans="1:21" s="34" customFormat="1" ht="21.6" customHeight="1" thickBot="1" x14ac:dyDescent="0.2">
      <c r="A25" s="35">
        <v>21</v>
      </c>
      <c r="B25" s="68" t="s">
        <v>67</v>
      </c>
      <c r="C25" s="29">
        <v>80</v>
      </c>
      <c r="D25" s="30">
        <v>89.93</v>
      </c>
      <c r="E25" s="36">
        <f>SUM([2]厨房燃气!BH27)</f>
        <v>547</v>
      </c>
      <c r="F25" s="37">
        <f>SUM('[2]B1 &amp; 102F 锅炉房'!C27)</f>
        <v>927</v>
      </c>
      <c r="G25" s="37">
        <f>SUM('[2]B1 &amp; 102F 锅炉房'!H27)</f>
        <v>249</v>
      </c>
      <c r="H25" s="37">
        <f t="shared" si="8"/>
        <v>1723</v>
      </c>
      <c r="I25" s="38">
        <f t="shared" si="1"/>
        <v>6237.26</v>
      </c>
      <c r="J25" s="36">
        <f>SUM([2]主塔楼空调用电量!V24)</f>
        <v>3614</v>
      </c>
      <c r="K25" s="37">
        <v>10524</v>
      </c>
      <c r="L25" s="37">
        <f>SUM('[2]68F 高压F13&amp;F30'!F27)</f>
        <v>27699.999999995271</v>
      </c>
      <c r="M25" s="37">
        <f>SUM([2]裙楼空调用量!L24)</f>
        <v>4</v>
      </c>
      <c r="N25" s="66">
        <f t="shared" si="2"/>
        <v>2755.2640000000001</v>
      </c>
      <c r="O25" s="59">
        <f t="shared" si="3"/>
        <v>38223.999999995271</v>
      </c>
      <c r="P25" s="65">
        <f t="shared" si="4"/>
        <v>27452.476799996602</v>
      </c>
      <c r="Q25" s="36">
        <f>SUM('[2]B4 水表'!C27)</f>
        <v>587</v>
      </c>
      <c r="R25" s="64">
        <v>44</v>
      </c>
      <c r="S25" s="37">
        <f t="shared" si="5"/>
        <v>631</v>
      </c>
      <c r="T25" s="69">
        <f t="shared" si="6"/>
        <v>3003.0551999999998</v>
      </c>
      <c r="U25" s="33">
        <f t="shared" si="7"/>
        <v>39448.055999996606</v>
      </c>
    </row>
    <row r="26" spans="1:21" s="34" customFormat="1" ht="21.6" customHeight="1" thickBot="1" x14ac:dyDescent="0.2">
      <c r="A26" s="35">
        <v>22</v>
      </c>
      <c r="B26" s="68" t="s">
        <v>68</v>
      </c>
      <c r="C26" s="29">
        <v>80</v>
      </c>
      <c r="D26" s="30">
        <v>86.92</v>
      </c>
      <c r="E26" s="36">
        <f>SUM([2]厨房燃气!BH28)</f>
        <v>509</v>
      </c>
      <c r="F26" s="37">
        <f>SUM('[2]B1 &amp; 102F 锅炉房'!C28)</f>
        <v>1398</v>
      </c>
      <c r="G26" s="37">
        <f>SUM('[2]B1 &amp; 102F 锅炉房'!H28)</f>
        <v>553</v>
      </c>
      <c r="H26" s="37">
        <f t="shared" si="8"/>
        <v>2460</v>
      </c>
      <c r="I26" s="38">
        <f t="shared" si="1"/>
        <v>8905.2000000000007</v>
      </c>
      <c r="J26" s="36">
        <f>SUM([2]主塔楼空调用电量!V25)</f>
        <v>4174</v>
      </c>
      <c r="K26" s="37">
        <v>10524</v>
      </c>
      <c r="L26" s="37">
        <f>SUM('[2]68F 高压F13&amp;F30'!F28)</f>
        <v>27900.000000004184</v>
      </c>
      <c r="M26" s="37">
        <f>SUM([2]裙楼空调用量!L25)</f>
        <v>7</v>
      </c>
      <c r="N26" s="66">
        <f t="shared" si="2"/>
        <v>3580.4619999999995</v>
      </c>
      <c r="O26" s="59">
        <f t="shared" si="3"/>
        <v>38424.000000004184</v>
      </c>
      <c r="P26" s="65">
        <f t="shared" si="4"/>
        <v>27596.116800003001</v>
      </c>
      <c r="Q26" s="36">
        <f>SUM('[2]B4 水表'!C28)</f>
        <v>498</v>
      </c>
      <c r="R26" s="64">
        <v>44</v>
      </c>
      <c r="S26" s="37">
        <f t="shared" si="5"/>
        <v>542</v>
      </c>
      <c r="T26" s="69">
        <f t="shared" si="6"/>
        <v>2579.4863999999998</v>
      </c>
      <c r="U26" s="33">
        <f t="shared" si="7"/>
        <v>42661.265200002999</v>
      </c>
    </row>
    <row r="27" spans="1:21" s="34" customFormat="1" ht="21.6" customHeight="1" thickBot="1" x14ac:dyDescent="0.2">
      <c r="A27" s="35">
        <v>23</v>
      </c>
      <c r="B27" s="68" t="s">
        <v>69</v>
      </c>
      <c r="C27" s="29">
        <v>80</v>
      </c>
      <c r="D27" s="30">
        <v>97.67</v>
      </c>
      <c r="E27" s="36">
        <f>SUM([2]厨房燃气!BH29)</f>
        <v>484</v>
      </c>
      <c r="F27" s="37">
        <f>SUM('[2]B1 &amp; 102F 锅炉房'!C29)</f>
        <v>1406</v>
      </c>
      <c r="G27" s="37">
        <f>SUM('[2]B1 &amp; 102F 锅炉房'!H29)</f>
        <v>420</v>
      </c>
      <c r="H27" s="37">
        <f t="shared" si="8"/>
        <v>2310</v>
      </c>
      <c r="I27" s="38">
        <f t="shared" si="1"/>
        <v>8362.2000000000007</v>
      </c>
      <c r="J27" s="36">
        <f>SUM([2]主塔楼空调用电量!V26)</f>
        <v>3503</v>
      </c>
      <c r="K27" s="37">
        <v>10524</v>
      </c>
      <c r="L27" s="37">
        <f>SUM('[2]68F 高压F13&amp;F30'!F29)</f>
        <v>27300.000000000182</v>
      </c>
      <c r="M27" s="37">
        <f>SUM([2]裙楼空调用量!L26)</f>
        <v>5</v>
      </c>
      <c r="N27" s="66">
        <f t="shared" si="2"/>
        <v>3030.33</v>
      </c>
      <c r="O27" s="59">
        <f t="shared" si="3"/>
        <v>37824.000000000182</v>
      </c>
      <c r="P27" s="65">
        <f t="shared" si="4"/>
        <v>27165.196800000129</v>
      </c>
      <c r="Q27" s="36">
        <f>SUM('[2]B4 水表'!C29)</f>
        <v>549</v>
      </c>
      <c r="R27" s="64">
        <v>44</v>
      </c>
      <c r="S27" s="37">
        <f t="shared" si="5"/>
        <v>593</v>
      </c>
      <c r="T27" s="69">
        <f t="shared" si="6"/>
        <v>2822.2055999999998</v>
      </c>
      <c r="U27" s="33">
        <f t="shared" si="7"/>
        <v>41379.932400000129</v>
      </c>
    </row>
    <row r="28" spans="1:21" s="34" customFormat="1" ht="21.6" customHeight="1" thickBot="1" x14ac:dyDescent="0.2">
      <c r="A28" s="35">
        <v>24</v>
      </c>
      <c r="B28" s="68" t="s">
        <v>70</v>
      </c>
      <c r="C28" s="29">
        <v>80</v>
      </c>
      <c r="D28" s="30">
        <v>100</v>
      </c>
      <c r="E28" s="36">
        <f>SUM([2]厨房燃气!BH30)</f>
        <v>506</v>
      </c>
      <c r="F28" s="37">
        <f>SUM('[2]B1 &amp; 102F 锅炉房'!C30)</f>
        <v>1417</v>
      </c>
      <c r="G28" s="37">
        <f>SUM('[2]B1 &amp; 102F 锅炉房'!H30)</f>
        <v>515</v>
      </c>
      <c r="H28" s="37">
        <f t="shared" si="8"/>
        <v>2438</v>
      </c>
      <c r="I28" s="38">
        <f t="shared" si="1"/>
        <v>8825.56</v>
      </c>
      <c r="J28" s="36">
        <f>SUM([2]主塔楼空调用电量!V27)</f>
        <v>3151</v>
      </c>
      <c r="K28" s="37">
        <v>10524</v>
      </c>
      <c r="L28" s="37">
        <f>SUM('[2]68F 高压F13&amp;F30'!F30)</f>
        <v>28099.999999999454</v>
      </c>
      <c r="M28" s="37">
        <f>SUM([2]裙楼空调用量!L27)</f>
        <v>4</v>
      </c>
      <c r="N28" s="66">
        <f t="shared" si="2"/>
        <v>2755.2640000000001</v>
      </c>
      <c r="O28" s="59">
        <f t="shared" si="3"/>
        <v>38623.999999999454</v>
      </c>
      <c r="P28" s="65">
        <f t="shared" si="4"/>
        <v>27739.756799999606</v>
      </c>
      <c r="Q28" s="36">
        <f>SUM('[2]B4 水表'!C30)</f>
        <v>568</v>
      </c>
      <c r="R28" s="64">
        <v>44</v>
      </c>
      <c r="S28" s="37">
        <f t="shared" si="5"/>
        <v>612</v>
      </c>
      <c r="T28" s="69">
        <f t="shared" si="6"/>
        <v>2912.6304</v>
      </c>
      <c r="U28" s="33">
        <f t="shared" si="7"/>
        <v>42233.211199999605</v>
      </c>
    </row>
    <row r="29" spans="1:21" s="34" customFormat="1" ht="21.6" customHeight="1" thickBot="1" x14ac:dyDescent="0.2">
      <c r="A29" s="35">
        <v>25</v>
      </c>
      <c r="B29" s="68" t="s">
        <v>47</v>
      </c>
      <c r="C29" s="29">
        <v>80</v>
      </c>
      <c r="D29" s="30">
        <v>99.71</v>
      </c>
      <c r="E29" s="36">
        <f>SUM([2]厨房燃气!BH31)</f>
        <v>515</v>
      </c>
      <c r="F29" s="37">
        <f>SUM('[2]B1 &amp; 102F 锅炉房'!C31)</f>
        <v>1436</v>
      </c>
      <c r="G29" s="37">
        <f>SUM('[2]B1 &amp; 102F 锅炉房'!H31)</f>
        <v>896</v>
      </c>
      <c r="H29" s="37">
        <f t="shared" si="8"/>
        <v>2847</v>
      </c>
      <c r="I29" s="38">
        <f t="shared" si="1"/>
        <v>10306.14</v>
      </c>
      <c r="J29" s="36">
        <f>SUM([2]主塔楼空调用电量!V28)</f>
        <v>1952</v>
      </c>
      <c r="K29" s="37">
        <v>10524</v>
      </c>
      <c r="L29" s="37">
        <f>SUM('[2]68F 高压F13&amp;F30'!F31)</f>
        <v>26100.000000001273</v>
      </c>
      <c r="M29" s="37">
        <f>SUM([2]裙楼空调用量!L28)</f>
        <v>3</v>
      </c>
      <c r="N29" s="66">
        <f t="shared" si="2"/>
        <v>2480.1979999999999</v>
      </c>
      <c r="O29" s="59">
        <f t="shared" si="3"/>
        <v>36624.000000001273</v>
      </c>
      <c r="P29" s="65">
        <f t="shared" si="4"/>
        <v>26303.356800000911</v>
      </c>
      <c r="Q29" s="36">
        <f>SUM('[2]B4 水表'!C31)</f>
        <v>528</v>
      </c>
      <c r="R29" s="64">
        <v>45</v>
      </c>
      <c r="S29" s="37">
        <f t="shared" si="5"/>
        <v>573</v>
      </c>
      <c r="T29" s="69">
        <f t="shared" si="6"/>
        <v>2727.0216</v>
      </c>
      <c r="U29" s="33">
        <f t="shared" si="7"/>
        <v>41816.716400000914</v>
      </c>
    </row>
    <row r="30" spans="1:21" s="34" customFormat="1" ht="21.6" customHeight="1" thickBot="1" x14ac:dyDescent="0.2">
      <c r="A30" s="35">
        <v>26</v>
      </c>
      <c r="B30" s="68" t="s">
        <v>69</v>
      </c>
      <c r="C30" s="29">
        <v>80</v>
      </c>
      <c r="D30" s="30">
        <v>96.8</v>
      </c>
      <c r="E30" s="36">
        <f>SUM([2]厨房燃气!BH32)</f>
        <v>525</v>
      </c>
      <c r="F30" s="37">
        <f>SUM('[2]B1 &amp; 102F 锅炉房'!C32)</f>
        <v>1456</v>
      </c>
      <c r="G30" s="37">
        <f>SUM('[2]B1 &amp; 102F 锅炉房'!H32)</f>
        <v>896</v>
      </c>
      <c r="H30" s="37">
        <f t="shared" si="8"/>
        <v>2877</v>
      </c>
      <c r="I30" s="38">
        <f t="shared" si="1"/>
        <v>10414.74</v>
      </c>
      <c r="J30" s="36">
        <f>SUM([2]主塔楼空调用电量!V29)</f>
        <v>2091</v>
      </c>
      <c r="K30" s="37">
        <v>10524</v>
      </c>
      <c r="L30" s="37">
        <f>SUM('[2]68F 高压F13&amp;F30'!F32)</f>
        <v>25799.999999999272</v>
      </c>
      <c r="M30" s="37">
        <f>SUM([2]裙楼空调用量!L29)</f>
        <v>3</v>
      </c>
      <c r="N30" s="66">
        <f t="shared" si="2"/>
        <v>2480.1979999999999</v>
      </c>
      <c r="O30" s="59">
        <f t="shared" si="3"/>
        <v>36323.999999999272</v>
      </c>
      <c r="P30" s="65">
        <f t="shared" si="4"/>
        <v>26087.896799999475</v>
      </c>
      <c r="Q30" s="36">
        <f>SUM('[2]B4 水表'!C32)</f>
        <v>601</v>
      </c>
      <c r="R30" s="64">
        <v>45</v>
      </c>
      <c r="S30" s="37">
        <f t="shared" si="5"/>
        <v>646</v>
      </c>
      <c r="T30" s="69">
        <f t="shared" si="6"/>
        <v>3074.4431999999997</v>
      </c>
      <c r="U30" s="33">
        <f t="shared" si="7"/>
        <v>42057.277999999475</v>
      </c>
    </row>
    <row r="31" spans="1:21" s="34" customFormat="1" ht="21.6" customHeight="1" thickBot="1" x14ac:dyDescent="0.2">
      <c r="A31" s="35">
        <v>27</v>
      </c>
      <c r="B31" s="68" t="s">
        <v>71</v>
      </c>
      <c r="C31" s="29">
        <v>80</v>
      </c>
      <c r="D31" s="30">
        <v>95.93</v>
      </c>
      <c r="E31" s="36">
        <f>SUM([2]厨房燃气!BH33)</f>
        <v>502</v>
      </c>
      <c r="F31" s="37">
        <f>SUM('[2]B1 &amp; 102F 锅炉房'!C33)</f>
        <v>1442</v>
      </c>
      <c r="G31" s="37">
        <f>SUM('[2]B1 &amp; 102F 锅炉房'!H33)</f>
        <v>840</v>
      </c>
      <c r="H31" s="37">
        <f t="shared" si="8"/>
        <v>2784</v>
      </c>
      <c r="I31" s="38">
        <f t="shared" si="1"/>
        <v>10078.08</v>
      </c>
      <c r="J31" s="36">
        <f>SUM([2]主塔楼空调用电量!V30)</f>
        <v>2186</v>
      </c>
      <c r="K31" s="37">
        <v>10524</v>
      </c>
      <c r="L31" s="37">
        <f>SUM('[2]68F 高压F13&amp;F30'!F33)</f>
        <v>25599.999999999454</v>
      </c>
      <c r="M31" s="37">
        <f>SUM([2]裙楼空调用量!L30)</f>
        <v>4</v>
      </c>
      <c r="N31" s="66">
        <f t="shared" si="2"/>
        <v>2755.2640000000001</v>
      </c>
      <c r="O31" s="59">
        <f t="shared" si="3"/>
        <v>36123.999999999454</v>
      </c>
      <c r="P31" s="65">
        <f t="shared" si="4"/>
        <v>25944.256799999606</v>
      </c>
      <c r="Q31" s="36">
        <f>SUM('[2]B4 水表'!C33)</f>
        <v>724</v>
      </c>
      <c r="R31" s="64">
        <v>45</v>
      </c>
      <c r="S31" s="37">
        <f t="shared" si="5"/>
        <v>769</v>
      </c>
      <c r="T31" s="69">
        <f t="shared" si="6"/>
        <v>3659.8247999999999</v>
      </c>
      <c r="U31" s="33">
        <f t="shared" si="7"/>
        <v>42437.425599999609</v>
      </c>
    </row>
    <row r="32" spans="1:21" s="34" customFormat="1" ht="21.6" customHeight="1" thickBot="1" x14ac:dyDescent="0.2">
      <c r="A32" s="35">
        <v>28</v>
      </c>
      <c r="B32" s="68" t="s">
        <v>72</v>
      </c>
      <c r="C32" s="29">
        <v>0</v>
      </c>
      <c r="D32" s="30">
        <v>93.9</v>
      </c>
      <c r="E32" s="36">
        <f>SUM([2]厨房燃气!BH34)</f>
        <v>474</v>
      </c>
      <c r="F32" s="37">
        <f>SUM('[2]B1 &amp; 102F 锅炉房'!C34)</f>
        <v>1581</v>
      </c>
      <c r="G32" s="37">
        <f>SUM('[2]B1 &amp; 102F 锅炉房'!H34)</f>
        <v>958</v>
      </c>
      <c r="H32" s="37">
        <f t="shared" si="8"/>
        <v>3013</v>
      </c>
      <c r="I32" s="38">
        <f t="shared" si="1"/>
        <v>10907.06</v>
      </c>
      <c r="J32" s="36">
        <f>SUM([2]主塔楼空调用电量!V31)</f>
        <v>2489</v>
      </c>
      <c r="K32" s="37">
        <v>10528</v>
      </c>
      <c r="L32" s="37">
        <f>SUM('[2]68F 高压F13&amp;F30'!F34)</f>
        <v>27400.000000002365</v>
      </c>
      <c r="M32" s="37">
        <f>SUM([2]裙楼空调用量!L31)</f>
        <v>3</v>
      </c>
      <c r="N32" s="66">
        <f t="shared" si="2"/>
        <v>2480.1979999999999</v>
      </c>
      <c r="O32" s="59">
        <f t="shared" si="3"/>
        <v>37928.000000002365</v>
      </c>
      <c r="P32" s="65">
        <f t="shared" si="4"/>
        <v>27239.889600001698</v>
      </c>
      <c r="Q32" s="36">
        <f>SUM('[2]B4 水表'!C34)</f>
        <v>588</v>
      </c>
      <c r="R32" s="64">
        <v>45</v>
      </c>
      <c r="S32" s="37">
        <f t="shared" si="5"/>
        <v>633</v>
      </c>
      <c r="T32" s="69">
        <f t="shared" si="6"/>
        <v>3012.5735999999997</v>
      </c>
      <c r="U32" s="33">
        <f t="shared" si="7"/>
        <v>43639.721200001703</v>
      </c>
    </row>
    <row r="33" spans="1:21" s="34" customFormat="1" ht="21.6" customHeight="1" thickBot="1" x14ac:dyDescent="0.2">
      <c r="A33" s="35">
        <v>29</v>
      </c>
      <c r="B33" s="68" t="s">
        <v>73</v>
      </c>
      <c r="C33" s="29">
        <v>0</v>
      </c>
      <c r="D33" s="30">
        <v>99.13</v>
      </c>
      <c r="E33" s="36">
        <f>SUM([2]厨房燃气!BH35)</f>
        <v>500</v>
      </c>
      <c r="F33" s="37">
        <f>SUM('[2]B1 &amp; 102F 锅炉房'!C35)</f>
        <v>1428</v>
      </c>
      <c r="G33" s="37">
        <f>SUM('[2]B1 &amp; 102F 锅炉房'!H35)</f>
        <v>871</v>
      </c>
      <c r="H33" s="37">
        <f t="shared" si="8"/>
        <v>2799</v>
      </c>
      <c r="I33" s="38">
        <f t="shared" si="1"/>
        <v>10132.380000000001</v>
      </c>
      <c r="J33" s="36">
        <f>SUM([2]主塔楼空调用电量!V32)</f>
        <v>2670</v>
      </c>
      <c r="K33" s="37">
        <v>10524</v>
      </c>
      <c r="L33" s="37">
        <f>SUM('[2]68F 高压F13&amp;F30'!F35)</f>
        <v>27399.999999997817</v>
      </c>
      <c r="M33" s="37">
        <f>SUM([2]裙楼空调用量!L32)</f>
        <v>3</v>
      </c>
      <c r="N33" s="66">
        <f t="shared" si="2"/>
        <v>2480.1979999999999</v>
      </c>
      <c r="O33" s="59">
        <f t="shared" si="3"/>
        <v>37923.999999997817</v>
      </c>
      <c r="P33" s="65">
        <f t="shared" si="4"/>
        <v>27237.01679999843</v>
      </c>
      <c r="Q33" s="36">
        <f>SUM('[2]B4 水表'!C35)</f>
        <v>734</v>
      </c>
      <c r="R33" s="64">
        <v>45</v>
      </c>
      <c r="S33" s="37">
        <f t="shared" si="5"/>
        <v>779</v>
      </c>
      <c r="T33" s="69">
        <f t="shared" si="6"/>
        <v>3707.4168</v>
      </c>
      <c r="U33" s="33">
        <f t="shared" si="7"/>
        <v>43557.011599998434</v>
      </c>
    </row>
    <row r="34" spans="1:21" s="34" customFormat="1" ht="21.6" customHeight="1" thickBot="1" x14ac:dyDescent="0.2">
      <c r="A34" s="35">
        <v>30</v>
      </c>
      <c r="B34" s="68" t="s">
        <v>74</v>
      </c>
      <c r="C34" s="29">
        <v>60</v>
      </c>
      <c r="D34" s="30">
        <v>96.79</v>
      </c>
      <c r="E34" s="49">
        <f>SUM([2]厨房燃气!BH36)</f>
        <v>509</v>
      </c>
      <c r="F34" s="37">
        <f>SUM('[2]B1 &amp; 102F 锅炉房'!C36)</f>
        <v>1430</v>
      </c>
      <c r="G34" s="37">
        <f>SUM('[2]B1 &amp; 102F 锅炉房'!H36)</f>
        <v>855</v>
      </c>
      <c r="H34" s="50">
        <f>SUM(G34+F34+E34)</f>
        <v>2794</v>
      </c>
      <c r="I34" s="38">
        <f t="shared" si="1"/>
        <v>10114.280000000001</v>
      </c>
      <c r="J34" s="36">
        <f>SUM([2]主塔楼空调用电量!V33)</f>
        <v>2813</v>
      </c>
      <c r="K34" s="37">
        <v>10524</v>
      </c>
      <c r="L34" s="37">
        <f>SUM('[2]68F 高压F13&amp;F30'!F36)</f>
        <v>26900.000000000546</v>
      </c>
      <c r="M34" s="37">
        <f>SUM([2]裙楼空调用量!L33)</f>
        <v>3</v>
      </c>
      <c r="N34" s="66">
        <f t="shared" si="2"/>
        <v>2480.1979999999999</v>
      </c>
      <c r="O34" s="59">
        <f t="shared" si="3"/>
        <v>37424.000000000546</v>
      </c>
      <c r="P34" s="65">
        <f t="shared" si="4"/>
        <v>26877.916800000388</v>
      </c>
      <c r="Q34" s="49">
        <f>SUM('[2]B4 水表'!C36)</f>
        <v>622</v>
      </c>
      <c r="R34" s="64">
        <v>45</v>
      </c>
      <c r="S34" s="50">
        <f>Q34+R34</f>
        <v>667</v>
      </c>
      <c r="T34" s="69">
        <f t="shared" si="6"/>
        <v>3174.3863999999999</v>
      </c>
      <c r="U34" s="33">
        <f t="shared" si="7"/>
        <v>42646.781200000391</v>
      </c>
    </row>
    <row r="35" spans="1:21" s="34" customFormat="1" ht="21.6" customHeight="1" x14ac:dyDescent="0.15">
      <c r="A35" s="35">
        <v>31</v>
      </c>
      <c r="B35" s="68" t="s">
        <v>75</v>
      </c>
      <c r="C35" s="29">
        <v>16</v>
      </c>
      <c r="D35" s="30">
        <v>84.59</v>
      </c>
      <c r="E35" s="49">
        <f>SUM([2]厨房燃气!BH37)</f>
        <v>512</v>
      </c>
      <c r="F35" s="37">
        <f>SUM('[2]B1 &amp; 102F 锅炉房'!C37)</f>
        <v>1499</v>
      </c>
      <c r="G35" s="37">
        <f>SUM('[2]B1 &amp; 102F 锅炉房'!H37)</f>
        <v>898</v>
      </c>
      <c r="H35" s="50">
        <f>SUM(G35+F35+E35)</f>
        <v>2909</v>
      </c>
      <c r="I35" s="38">
        <f t="shared" si="1"/>
        <v>10530.58</v>
      </c>
      <c r="J35" s="36">
        <f>SUM([2]主塔楼空调用电量!V34)</f>
        <v>3209</v>
      </c>
      <c r="K35" s="37">
        <v>10524</v>
      </c>
      <c r="L35" s="37">
        <f>SUM('[2]68F 高压F13&amp;F30'!F37)</f>
        <v>27200.000000002547</v>
      </c>
      <c r="M35" s="37">
        <f>SUM([2]裙楼空调用量!L34)</f>
        <v>4</v>
      </c>
      <c r="N35" s="66">
        <f>IF(M35*417&gt;0,M35*275.066+1655)</f>
        <v>2755.2640000000001</v>
      </c>
      <c r="O35" s="59">
        <f>K35+L35</f>
        <v>37724.000000002547</v>
      </c>
      <c r="P35" s="65">
        <f t="shared" si="4"/>
        <v>27093.376800001828</v>
      </c>
      <c r="Q35" s="49">
        <f>SUM('[2]B4 水表'!C37)</f>
        <v>417</v>
      </c>
      <c r="R35" s="64">
        <v>45</v>
      </c>
      <c r="S35" s="50">
        <f>Q35+R35</f>
        <v>462</v>
      </c>
      <c r="T35" s="69">
        <f>S35*4.7592</f>
        <v>2198.7503999999999</v>
      </c>
      <c r="U35" s="33">
        <f>SUM(I35+N35+P35+T35)</f>
        <v>42577.971200001826</v>
      </c>
    </row>
    <row r="36" spans="1:21" s="34" customFormat="1" ht="21.6" customHeight="1" thickBot="1" x14ac:dyDescent="0.2">
      <c r="A36" s="71" t="s">
        <v>24</v>
      </c>
      <c r="B36" s="72"/>
      <c r="C36" s="60"/>
      <c r="D36" s="61"/>
      <c r="E36" s="51"/>
      <c r="F36" s="52"/>
      <c r="G36" s="52"/>
      <c r="H36" s="53"/>
      <c r="I36" s="54"/>
      <c r="J36" s="51"/>
      <c r="K36" s="55"/>
      <c r="L36" s="55"/>
      <c r="M36" s="55"/>
      <c r="N36" s="55"/>
      <c r="O36" s="55"/>
      <c r="P36" s="56"/>
      <c r="Q36" s="57"/>
      <c r="R36" s="55"/>
      <c r="S36" s="55"/>
      <c r="T36" s="56"/>
      <c r="U36" s="58"/>
    </row>
    <row r="37" spans="1:21" s="34" customFormat="1" ht="21.6" customHeight="1" thickBot="1" x14ac:dyDescent="0.2">
      <c r="A37" s="73" t="s">
        <v>25</v>
      </c>
      <c r="B37" s="74"/>
      <c r="C37" s="48"/>
      <c r="D37" s="48"/>
      <c r="E37" s="70">
        <f t="shared" ref="E37:Q37" si="9">SUM(E5:E35)</f>
        <v>16072</v>
      </c>
      <c r="F37" s="70">
        <f t="shared" si="9"/>
        <v>39695</v>
      </c>
      <c r="G37" s="70">
        <f t="shared" si="9"/>
        <v>19539</v>
      </c>
      <c r="H37" s="70">
        <f>SUM(H5:H35)</f>
        <v>75306</v>
      </c>
      <c r="I37" s="70">
        <f t="shared" si="9"/>
        <v>272607.72000000009</v>
      </c>
      <c r="J37" s="70">
        <f>SUM(J5:J35)</f>
        <v>89714</v>
      </c>
      <c r="K37" s="70">
        <f t="shared" si="9"/>
        <v>326248</v>
      </c>
      <c r="L37" s="70">
        <f t="shared" si="9"/>
        <v>814500.00000000501</v>
      </c>
      <c r="M37" s="70">
        <f t="shared" si="9"/>
        <v>182</v>
      </c>
      <c r="N37" s="70">
        <f t="shared" si="9"/>
        <v>101367.012</v>
      </c>
      <c r="O37" s="70">
        <f t="shared" si="9"/>
        <v>1140748.0000000049</v>
      </c>
      <c r="P37" s="70">
        <f t="shared" si="9"/>
        <v>819285.21360000363</v>
      </c>
      <c r="Q37" s="70">
        <f t="shared" si="9"/>
        <v>17311</v>
      </c>
      <c r="R37" s="70">
        <f>SUM(R5:R35)</f>
        <v>1371</v>
      </c>
      <c r="S37" s="70">
        <f>SUM(S5:S35)</f>
        <v>18682</v>
      </c>
      <c r="T37" s="70">
        <f>SUM(T5:T35)</f>
        <v>88956.432000000015</v>
      </c>
      <c r="U37" s="70">
        <f>SUM(U5:U35)</f>
        <v>1282216.3776000035</v>
      </c>
    </row>
    <row r="38" spans="1:21" ht="19.5" customHeight="1" x14ac:dyDescent="0.15">
      <c r="E38" s="42"/>
      <c r="F38" s="43"/>
      <c r="R38" s="20"/>
      <c r="S38" s="20"/>
      <c r="T38" s="20"/>
      <c r="U38" s="20"/>
    </row>
    <row r="39" spans="1:21" ht="18.95" customHeight="1" x14ac:dyDescent="0.15">
      <c r="E39" s="44"/>
      <c r="F39" s="43"/>
      <c r="R39" s="20"/>
      <c r="S39" s="20"/>
      <c r="T39" s="20"/>
      <c r="U39" s="20"/>
    </row>
    <row r="40" spans="1:21" ht="18.95" customHeight="1" x14ac:dyDescent="0.15">
      <c r="E40" s="45"/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>
      <c r="R43" s="20"/>
      <c r="S43" s="20"/>
      <c r="T43" s="20"/>
      <c r="U43" s="20"/>
    </row>
    <row r="44" spans="1:21" ht="18.95" customHeight="1" x14ac:dyDescent="0.15">
      <c r="R44" s="20"/>
      <c r="S44" s="20"/>
      <c r="T44" s="20"/>
      <c r="U44" s="20"/>
    </row>
    <row r="45" spans="1:21" ht="18.95" customHeight="1" x14ac:dyDescent="0.15">
      <c r="R45" s="20"/>
      <c r="S45" s="20"/>
      <c r="T45" s="20"/>
      <c r="U45" s="20"/>
    </row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  <row r="61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O2:P3"/>
    <mergeCell ref="Q2:Q3"/>
    <mergeCell ref="R2:R3"/>
    <mergeCell ref="A36:B36"/>
    <mergeCell ref="A37:B37"/>
    <mergeCell ref="K2:K3"/>
    <mergeCell ref="L2:L3"/>
    <mergeCell ref="M2:N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 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