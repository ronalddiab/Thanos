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004" documentId="13_ncr:1_{A06AFBD3-09F3-4273-976F-F2CDDC29F910}" xr6:coauthVersionLast="47" xr6:coauthVersionMax="47" xr10:uidLastSave="{29BF10B0-5A49-41FF-9480-6C3DDCFE182E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4" i="1" l="1"/>
  <c r="C2" i="1"/>
  <c r="E2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2" i="1"/>
  <c r="Z33" i="1" l="1"/>
  <c r="Z4" i="1"/>
  <c r="Z5" i="1"/>
  <c r="Z3" i="1"/>
  <c r="Z2" i="1"/>
  <c r="Z10" i="1"/>
  <c r="Z8" i="1"/>
  <c r="Z31" i="1"/>
  <c r="Z29" i="1"/>
  <c r="Z28" i="1"/>
  <c r="Z7" i="1"/>
  <c r="Z26" i="1"/>
  <c r="Z25" i="1"/>
  <c r="Z24" i="1"/>
  <c r="Z23" i="1"/>
  <c r="Z22" i="1"/>
  <c r="Z21" i="1"/>
  <c r="Z20" i="1"/>
  <c r="Z19" i="1"/>
  <c r="Z18" i="1"/>
  <c r="Z17" i="1"/>
  <c r="Z15" i="1"/>
  <c r="Z13" i="1"/>
  <c r="Z12" i="1"/>
  <c r="Z11" i="1"/>
  <c r="Z14" i="1"/>
  <c r="Z30" i="1"/>
  <c r="Z27" i="1"/>
  <c r="Z9" i="1"/>
  <c r="Z6" i="1"/>
  <c r="Z16" i="1"/>
  <c r="Z3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I32" i="1" s="1"/>
  <c r="H9" i="1"/>
  <c r="I9" i="1" s="1"/>
  <c r="H31" i="1"/>
  <c r="I31" i="1" s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I30" i="1" s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I29" i="1" l="1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F19" i="2" s="1"/>
  <c r="E21" i="2"/>
  <c r="F21" i="2" s="1"/>
  <c r="E23" i="2"/>
  <c r="F23" i="2" s="1"/>
  <c r="E25" i="2"/>
  <c r="F25" i="2" s="1"/>
  <c r="E27" i="2"/>
  <c r="F27" i="2" s="1"/>
  <c r="E29" i="2"/>
  <c r="F29" i="2" s="1"/>
  <c r="E3" i="2" l="1"/>
  <c r="F3" i="2" s="1"/>
  <c r="E13" i="2"/>
  <c r="F13" i="2" s="1"/>
  <c r="E9" i="2"/>
  <c r="F9" i="2" s="1"/>
  <c r="E7" i="2"/>
  <c r="F7" i="2" s="1"/>
  <c r="AF34" i="1"/>
  <c r="AD34" i="1"/>
  <c r="AB34" i="1"/>
  <c r="Z34" i="1"/>
  <c r="K34" i="1"/>
  <c r="G34" i="1"/>
  <c r="E34" i="1"/>
  <c r="E2" i="2"/>
  <c r="F2" i="2" s="1"/>
  <c r="C34" i="1"/>
  <c r="E8" i="2" l="1"/>
  <c r="F8" i="2" s="1"/>
  <c r="E4" i="2"/>
  <c r="F4" i="2" s="1"/>
  <c r="E12" i="2"/>
  <c r="F12" i="2" s="1"/>
  <c r="E6" i="2"/>
  <c r="F6" i="2" s="1"/>
  <c r="E10" i="2"/>
  <c r="F10" i="2" s="1"/>
  <c r="E11" i="2"/>
  <c r="F11" i="2" s="1"/>
  <c r="E5" i="2"/>
  <c r="F5" i="2" s="1"/>
  <c r="E24" i="2"/>
  <c r="F24" i="2" s="1"/>
  <c r="E14" i="2"/>
  <c r="F14" i="2" s="1"/>
  <c r="E28" i="2"/>
  <c r="F28" i="2" s="1"/>
  <c r="E18" i="2"/>
  <c r="F18" i="2" s="1"/>
  <c r="E20" i="2"/>
  <c r="F20" i="2" s="1"/>
  <c r="E22" i="2"/>
  <c r="F22" i="2" s="1"/>
  <c r="E16" i="2"/>
  <c r="F16" i="2" s="1"/>
  <c r="E26" i="2"/>
  <c r="F26" i="2" s="1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<sst xmlns="http://schemas.openxmlformats.org/spreadsheetml/2006/main" count="79" uniqueCount="41">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</sst>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2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1"/>
  <sheetViews>
    <sheetView workbookViewId="0">
      <selection activeCell="D38" sqref="D38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1</v>
      </c>
      <c r="D2" s="64">
        <v>2026</v>
      </c>
      <c r="E2" s="43">
        <f>IF(ALMYRA!H2&lt;0,"0",ALMYRA!H2)</f>
        <v>1319.6666666716337</v>
      </c>
      <c r="F2" s="44">
        <f>(ALMYRA!C2*0.18)/E2</f>
        <v>0.14112654710800182</v>
      </c>
      <c r="G2" s="48">
        <f>ALMYRA!Z2</f>
        <v>0</v>
      </c>
      <c r="H2" s="49">
        <v>0.71</v>
      </c>
      <c r="I2" s="52">
        <f>IF(ALMYRA!AB2&lt;0,"0",ALMYRA!AB2)</f>
        <v>13.666666666686069</v>
      </c>
      <c r="J2" s="53">
        <v>2.87</v>
      </c>
      <c r="K2" s="56">
        <f>ALMYRA!U2</f>
        <v>0</v>
      </c>
      <c r="L2" s="57">
        <v>0.7762</v>
      </c>
      <c r="M2" s="60">
        <f>ALMYRA!AJ2</f>
        <v>0</v>
      </c>
      <c r="N2" s="60">
        <f>ALMYRA!AK2</f>
        <v>0</v>
      </c>
    </row>
    <row r="3" spans="1:14" ht="15" x14ac:dyDescent="0.25">
      <c r="A3" s="39" t="s">
        <v>13</v>
      </c>
      <c r="B3" s="4">
        <f>B2+1</f>
        <v>2</v>
      </c>
      <c r="C3" s="63">
        <v>1</v>
      </c>
      <c r="D3" s="64">
        <v>2026</v>
      </c>
      <c r="E3" s="43">
        <f>IF(ALMYRA!H3&lt;0,"0",ALMYRA!H3)</f>
        <v>1512</v>
      </c>
      <c r="F3" s="44">
        <f>(ALMYRA!C3*0.18)/E3</f>
        <v>0.14726190476190476</v>
      </c>
      <c r="G3" s="48">
        <f>ALMYRA!Z3</f>
        <v>0</v>
      </c>
      <c r="H3" s="49">
        <v>0.71</v>
      </c>
      <c r="I3" s="52">
        <f>IF(ALMYRA!AB3&lt;0,"0",ALMYRA!AB3)</f>
        <v>19</v>
      </c>
      <c r="J3" s="53">
        <v>2.87</v>
      </c>
      <c r="K3" s="56">
        <f>ALMYRA!U3</f>
        <v>0</v>
      </c>
      <c r="L3" s="57">
        <v>0.7762</v>
      </c>
      <c r="M3" s="60">
        <f>ALMYRA!AJ3</f>
        <v>0</v>
      </c>
      <c r="N3" s="60">
        <f>ALMYRA!AK3</f>
        <v>0</v>
      </c>
    </row>
    <row r="4" spans="1:14" ht="15" x14ac:dyDescent="0.25">
      <c r="A4" s="39" t="s">
        <v>13</v>
      </c>
      <c r="B4" s="4">
        <f t="shared" ref="B4:B29" si="0">B3+1</f>
        <v>3</v>
      </c>
      <c r="C4" s="63">
        <v>1</v>
      </c>
      <c r="D4" s="64">
        <v>2026</v>
      </c>
      <c r="E4" s="43">
        <f>IF(ALMYRA!H4&lt;0,"0",ALMYRA!H4)</f>
        <v>1565</v>
      </c>
      <c r="F4" s="44">
        <f>(ALMYRA!C4*0.18)/E4</f>
        <v>0.16527795527156547</v>
      </c>
      <c r="G4" s="48">
        <f>ALMYRA!Z4</f>
        <v>0</v>
      </c>
      <c r="H4" s="49">
        <v>0.71</v>
      </c>
      <c r="I4" s="52">
        <f>IF(ALMYRA!AB4&lt;0,"0",ALMYRA!AB4)</f>
        <v>15</v>
      </c>
      <c r="J4" s="53">
        <v>2.87</v>
      </c>
      <c r="K4" s="56">
        <f>ALMYRA!U4</f>
        <v>0</v>
      </c>
      <c r="L4" s="57">
        <v>0.7762</v>
      </c>
      <c r="M4" s="60">
        <f>ALMYRA!AJ4</f>
        <v>0</v>
      </c>
      <c r="N4" s="60">
        <f>ALMYRA!AK4</f>
        <v>0</v>
      </c>
    </row>
    <row r="5" spans="1:14" ht="15" x14ac:dyDescent="0.25">
      <c r="A5" s="39" t="s">
        <v>13</v>
      </c>
      <c r="B5" s="4">
        <f t="shared" si="0"/>
        <v>4</v>
      </c>
      <c r="C5" s="63">
        <v>1</v>
      </c>
      <c r="D5" s="64">
        <v>2026</v>
      </c>
      <c r="E5" s="43">
        <f>IF(ALMYRA!H5&lt;0,"0",ALMYRA!H5)</f>
        <v>1765</v>
      </c>
      <c r="F5" s="44">
        <f>(ALMYRA!C5*0.18)/E5</f>
        <v>0.15899150141643059</v>
      </c>
      <c r="G5" s="48">
        <f>ALMYRA!Z5</f>
        <v>0</v>
      </c>
      <c r="H5" s="49">
        <v>0.71</v>
      </c>
      <c r="I5" s="52">
        <f>IF(ALMYRA!AB5&lt;0,"0",ALMYRA!AB5)</f>
        <v>22</v>
      </c>
      <c r="J5" s="53">
        <v>2.87</v>
      </c>
      <c r="K5" s="56">
        <f>ALMYRA!U5</f>
        <v>0</v>
      </c>
      <c r="L5" s="57">
        <v>0.7762</v>
      </c>
      <c r="M5" s="60">
        <f>ALMYRA!AJ5</f>
        <v>0</v>
      </c>
      <c r="N5" s="60">
        <f>ALMYRA!AK5</f>
        <v>0</v>
      </c>
    </row>
    <row r="6" spans="1:14" ht="15" x14ac:dyDescent="0.25">
      <c r="A6" s="39" t="s">
        <v>13</v>
      </c>
      <c r="B6" s="4">
        <f t="shared" si="0"/>
        <v>5</v>
      </c>
      <c r="C6" s="63">
        <v>1</v>
      </c>
      <c r="D6" s="64">
        <v>2026</v>
      </c>
      <c r="E6" s="43">
        <f>IF(ALMYRA!H6&lt;0,"0",ALMYRA!H6)</f>
        <v>1776</v>
      </c>
      <c r="F6" s="44">
        <f>(ALMYRA!C6*0.18)/E6</f>
        <v>0.12820945945945944</v>
      </c>
      <c r="G6" s="48">
        <f>ALMYRA!Z6</f>
        <v>0</v>
      </c>
      <c r="H6" s="49">
        <v>0.71</v>
      </c>
      <c r="I6" s="52">
        <f>IF(ALMYRA!AB6&lt;0,"0",ALMYRA!AB6)</f>
        <v>11</v>
      </c>
      <c r="J6" s="53">
        <v>2.87</v>
      </c>
      <c r="K6" s="56">
        <f>ALMYRA!U6</f>
        <v>0</v>
      </c>
      <c r="L6" s="57">
        <v>0.7762</v>
      </c>
      <c r="M6" s="60">
        <f>ALMYRA!AJ6</f>
        <v>0</v>
      </c>
      <c r="N6" s="60">
        <f>ALMYRA!AK6</f>
        <v>0</v>
      </c>
    </row>
    <row r="7" spans="1:14" ht="15" x14ac:dyDescent="0.25">
      <c r="A7" s="39" t="s">
        <v>13</v>
      </c>
      <c r="B7" s="4">
        <f t="shared" si="0"/>
        <v>6</v>
      </c>
      <c r="C7" s="63">
        <v>1</v>
      </c>
      <c r="D7" s="64">
        <v>2026</v>
      </c>
      <c r="E7" s="43">
        <f>IF(ALMYRA!H7&lt;0,"0",ALMYRA!H7)</f>
        <v>1577.6666666692181</v>
      </c>
      <c r="F7" s="44">
        <f>(ALMYRA!C7*0.18)/E7</f>
        <v>0.14915698288616089</v>
      </c>
      <c r="G7" s="48">
        <f>ALMYRA!Z7</f>
        <v>0</v>
      </c>
      <c r="H7" s="49">
        <v>0.71</v>
      </c>
      <c r="I7" s="52">
        <f>IF(ALMYRA!AB7&lt;0,"0",ALMYRA!AB7)</f>
        <v>44.666666666656965</v>
      </c>
      <c r="J7" s="53">
        <v>2.87</v>
      </c>
      <c r="K7" s="56">
        <f>ALMYRA!U7</f>
        <v>0</v>
      </c>
      <c r="L7" s="57">
        <v>0.7762</v>
      </c>
      <c r="M7" s="60">
        <f>ALMYRA!AJ7</f>
        <v>0</v>
      </c>
      <c r="N7" s="60">
        <f>ALMYRA!AK7</f>
        <v>0</v>
      </c>
    </row>
    <row r="8" spans="1:14" ht="15" x14ac:dyDescent="0.25">
      <c r="A8" s="39" t="s">
        <v>13</v>
      </c>
      <c r="B8" s="4">
        <f t="shared" si="0"/>
        <v>7</v>
      </c>
      <c r="C8" s="63">
        <v>1</v>
      </c>
      <c r="D8" s="64">
        <v>2026</v>
      </c>
      <c r="E8" s="43">
        <f>IF(ALMYRA!H8&lt;0,"0",ALMYRA!H8)</f>
        <v>1577.6666666692181</v>
      </c>
      <c r="F8" s="44">
        <f>(ALMYRA!C8*0.18)/E8</f>
        <v>0.14915698288616089</v>
      </c>
      <c r="G8" s="48">
        <f>ALMYRA!Z8</f>
        <v>0</v>
      </c>
      <c r="H8" s="49">
        <v>0.71</v>
      </c>
      <c r="I8" s="52">
        <f>IF(ALMYRA!AB8&lt;0,"0",ALMYRA!AB8)</f>
        <v>44.666666666656965</v>
      </c>
      <c r="J8" s="53">
        <v>2.87</v>
      </c>
      <c r="K8" s="56">
        <f>ALMYRA!U8</f>
        <v>0</v>
      </c>
      <c r="L8" s="57">
        <v>0.7762</v>
      </c>
      <c r="M8" s="60">
        <f>ALMYRA!AJ8</f>
        <v>0</v>
      </c>
      <c r="N8" s="60">
        <f>ALMYRA!AK8</f>
        <v>0</v>
      </c>
    </row>
    <row r="9" spans="1:14" ht="15" x14ac:dyDescent="0.25">
      <c r="A9" s="39" t="s">
        <v>13</v>
      </c>
      <c r="B9" s="4">
        <f t="shared" si="0"/>
        <v>8</v>
      </c>
      <c r="C9" s="63">
        <v>1</v>
      </c>
      <c r="D9" s="64">
        <v>2026</v>
      </c>
      <c r="E9" s="43">
        <f>IF(ALMYRA!H9&lt;0,"0",ALMYRA!H9)</f>
        <v>1577.6666666615638</v>
      </c>
      <c r="F9" s="44">
        <f>(ALMYRA!C9*0.18)/E9</f>
        <v>0.14915698288603449</v>
      </c>
      <c r="G9" s="48">
        <f>ALMYRA!Z9</f>
        <v>50</v>
      </c>
      <c r="H9" s="49">
        <v>0.71</v>
      </c>
      <c r="I9" s="52">
        <f>IF(ALMYRA!AB9&lt;0,"0",ALMYRA!AB9)</f>
        <v>44.666666666686069</v>
      </c>
      <c r="J9" s="53">
        <v>2.87</v>
      </c>
      <c r="K9" s="56">
        <f>ALMYRA!U9</f>
        <v>0</v>
      </c>
      <c r="L9" s="57">
        <v>0.7762</v>
      </c>
      <c r="M9" s="60">
        <f>ALMYRA!AJ9</f>
        <v>0</v>
      </c>
      <c r="N9" s="60">
        <f>ALMYRA!AK9</f>
        <v>0</v>
      </c>
    </row>
    <row r="10" spans="1:14" ht="15" x14ac:dyDescent="0.25">
      <c r="A10" s="39" t="s">
        <v>13</v>
      </c>
      <c r="B10" s="4">
        <f t="shared" si="0"/>
        <v>9</v>
      </c>
      <c r="C10" s="63">
        <v>1</v>
      </c>
      <c r="D10" s="64">
        <v>2026</v>
      </c>
      <c r="E10" s="43">
        <f>IF(ALMYRA!H10&lt;0,"0",ALMYRA!H10)</f>
        <v>2403</v>
      </c>
      <c r="F10" s="44">
        <f>(ALMYRA!C10*0.18)/E10</f>
        <v>0.11138576779026216</v>
      </c>
      <c r="G10" s="48">
        <f>ALMYRA!Z10</f>
        <v>25</v>
      </c>
      <c r="H10" s="49">
        <v>0.71</v>
      </c>
      <c r="I10" s="52">
        <f>IF(ALMYRA!AB10&lt;0,"0",ALMYRA!AB10)</f>
        <v>22</v>
      </c>
      <c r="J10" s="53">
        <v>2.87</v>
      </c>
      <c r="K10" s="56">
        <f>ALMYRA!U10</f>
        <v>194</v>
      </c>
      <c r="L10" s="57">
        <v>0.7762</v>
      </c>
      <c r="M10" s="60">
        <f>ALMYRA!AJ10</f>
        <v>0</v>
      </c>
      <c r="N10" s="60">
        <f>ALMYRA!AK10</f>
        <v>0</v>
      </c>
    </row>
    <row r="11" spans="1:14" ht="15" x14ac:dyDescent="0.25">
      <c r="A11" s="39" t="s">
        <v>13</v>
      </c>
      <c r="B11" s="4">
        <f t="shared" si="0"/>
        <v>10</v>
      </c>
      <c r="C11" s="63">
        <v>1</v>
      </c>
      <c r="D11" s="64">
        <v>2026</v>
      </c>
      <c r="E11" s="43">
        <f>IF(ALMYRA!H11&lt;0,"0",ALMYRA!H11)</f>
        <v>2695</v>
      </c>
      <c r="F11" s="44">
        <f>(ALMYRA!C11*0.18)/E11</f>
        <v>0.14600371057513914</v>
      </c>
      <c r="G11" s="48">
        <f>ALMYRA!Z11</f>
        <v>25</v>
      </c>
      <c r="H11" s="49">
        <v>0.71</v>
      </c>
      <c r="I11" s="52">
        <f>IF(ALMYRA!AB11&lt;0,"0",ALMYRA!AB11)</f>
        <v>81</v>
      </c>
      <c r="J11" s="53">
        <v>2.87</v>
      </c>
      <c r="K11" s="56">
        <f>ALMYRA!U11</f>
        <v>96</v>
      </c>
      <c r="L11" s="57">
        <v>0.7762</v>
      </c>
      <c r="M11" s="60">
        <f>ALMYRA!AJ11</f>
        <v>0</v>
      </c>
      <c r="N11" s="60">
        <f>ALMYRA!AK11</f>
        <v>0</v>
      </c>
    </row>
    <row r="12" spans="1:14" ht="15" x14ac:dyDescent="0.25">
      <c r="A12" s="39" t="s">
        <v>13</v>
      </c>
      <c r="B12" s="4">
        <f t="shared" si="0"/>
        <v>11</v>
      </c>
      <c r="C12" s="63">
        <v>1</v>
      </c>
      <c r="D12" s="64">
        <v>2026</v>
      </c>
      <c r="E12" s="43">
        <f>IF(ALMYRA!H12&lt;0,"0",ALMYRA!H12)</f>
        <v>3911</v>
      </c>
      <c r="F12" s="44">
        <f>(ALMYRA!C12*0.18)/E12</f>
        <v>0.16126821784709794</v>
      </c>
      <c r="G12" s="48">
        <f>ALMYRA!Z12</f>
        <v>500</v>
      </c>
      <c r="H12" s="49">
        <v>0.71</v>
      </c>
      <c r="I12" s="52">
        <f>IF(ALMYRA!AB12&lt;0,"0",ALMYRA!AB12)</f>
        <v>41</v>
      </c>
      <c r="J12" s="53">
        <v>2.87</v>
      </c>
      <c r="K12" s="56">
        <f>ALMYRA!U12</f>
        <v>759</v>
      </c>
      <c r="L12" s="57">
        <v>0.7762</v>
      </c>
      <c r="M12" s="60">
        <f>ALMYRA!AJ12</f>
        <v>11</v>
      </c>
      <c r="N12" s="60">
        <f>ALMYRA!AK12</f>
        <v>18</v>
      </c>
    </row>
    <row r="13" spans="1:14" ht="15" x14ac:dyDescent="0.25">
      <c r="A13" s="39" t="s">
        <v>13</v>
      </c>
      <c r="B13" s="4">
        <f t="shared" si="0"/>
        <v>12</v>
      </c>
      <c r="C13" s="63">
        <v>1</v>
      </c>
      <c r="D13" s="64">
        <v>2026</v>
      </c>
      <c r="E13" s="43">
        <f>IF(ALMYRA!H13&lt;0,"0",ALMYRA!H13)</f>
        <v>4116</v>
      </c>
      <c r="F13" s="44">
        <f>(ALMYRA!C13*0.18)/E13</f>
        <v>0.16364431486880465</v>
      </c>
      <c r="G13" s="48">
        <f>ALMYRA!Z13</f>
        <v>500</v>
      </c>
      <c r="H13" s="49">
        <v>0.71</v>
      </c>
      <c r="I13" s="52">
        <f>IF(ALMYRA!AB13&lt;0,"0",ALMYRA!AB13)</f>
        <v>25</v>
      </c>
      <c r="J13" s="53">
        <v>2.87</v>
      </c>
      <c r="K13" s="56">
        <f>ALMYRA!U13</f>
        <v>418</v>
      </c>
      <c r="L13" s="57">
        <v>0.7762</v>
      </c>
      <c r="M13" s="60">
        <f>ALMYRA!AJ13</f>
        <v>20</v>
      </c>
      <c r="N13" s="60">
        <f>ALMYRA!AK13</f>
        <v>32</v>
      </c>
    </row>
    <row r="14" spans="1:14" ht="15" x14ac:dyDescent="0.25">
      <c r="A14" s="39" t="s">
        <v>13</v>
      </c>
      <c r="B14" s="4">
        <f t="shared" si="0"/>
        <v>13</v>
      </c>
      <c r="C14" s="63">
        <v>1</v>
      </c>
      <c r="D14" s="64">
        <v>2026</v>
      </c>
      <c r="E14" s="43">
        <f>IF(ALMYRA!H14&lt;0,"0",ALMYRA!H14)</f>
        <v>4133</v>
      </c>
      <c r="F14" s="44">
        <f>(ALMYRA!C14*0.18)/E14</f>
        <v>0.16331962255020566</v>
      </c>
      <c r="G14" s="48">
        <f>ALMYRA!Z14</f>
        <v>601.67000000000007</v>
      </c>
      <c r="H14" s="49">
        <v>0.71</v>
      </c>
      <c r="I14" s="52">
        <f>IF(ALMYRA!AB14&lt;0,"0",ALMYRA!AB14)</f>
        <v>50</v>
      </c>
      <c r="J14" s="53">
        <v>2.87</v>
      </c>
      <c r="K14" s="56">
        <f>ALMYRA!U14</f>
        <v>221</v>
      </c>
      <c r="L14" s="57">
        <v>0.7762</v>
      </c>
      <c r="M14" s="60">
        <f>ALMYRA!AJ14</f>
        <v>66</v>
      </c>
      <c r="N14" s="60">
        <f>ALMYRA!AK14</f>
        <v>125</v>
      </c>
    </row>
    <row r="15" spans="1:14" ht="15" x14ac:dyDescent="0.25">
      <c r="A15" s="39" t="s">
        <v>13</v>
      </c>
      <c r="B15" s="4">
        <f t="shared" si="0"/>
        <v>14</v>
      </c>
      <c r="C15" s="63">
        <v>1</v>
      </c>
      <c r="D15" s="64">
        <v>2026</v>
      </c>
      <c r="E15" s="43">
        <f>IF(ALMYRA!H15&lt;0,"0",ALMYRA!H15)</f>
        <v>4397</v>
      </c>
      <c r="F15" s="44">
        <f>(ALMYRA!C15*0.18)/E15</f>
        <v>0.17304070957471004</v>
      </c>
      <c r="G15" s="48">
        <f>ALMYRA!Z15</f>
        <v>500</v>
      </c>
      <c r="H15" s="49">
        <v>0.71</v>
      </c>
      <c r="I15" s="52">
        <f>IF(ALMYRA!AB15&lt;0,"0",ALMYRA!AB15)</f>
        <v>51</v>
      </c>
      <c r="J15" s="53">
        <v>2.87</v>
      </c>
      <c r="K15" s="56">
        <f>ALMYRA!U15</f>
        <v>354</v>
      </c>
      <c r="L15" s="57">
        <v>0.7762</v>
      </c>
      <c r="M15" s="60">
        <f>ALMYRA!AJ15</f>
        <v>155</v>
      </c>
      <c r="N15" s="60">
        <f>ALMYRA!AK15</f>
        <v>319</v>
      </c>
    </row>
    <row r="16" spans="1:14" ht="15" x14ac:dyDescent="0.25">
      <c r="A16" s="39" t="s">
        <v>13</v>
      </c>
      <c r="B16" s="4">
        <f t="shared" si="0"/>
        <v>15</v>
      </c>
      <c r="C16" s="63">
        <v>1</v>
      </c>
      <c r="D16" s="64">
        <v>2026</v>
      </c>
      <c r="E16" s="43">
        <f>IF(ALMYRA!H16&lt;0,"0",ALMYRA!H16)</f>
        <v>3546</v>
      </c>
      <c r="F16" s="44">
        <f>(ALMYRA!C16*0.18)/E16</f>
        <v>0.17583756345177665</v>
      </c>
      <c r="G16" s="48">
        <f>ALMYRA!Z16</f>
        <v>275</v>
      </c>
      <c r="H16" s="49">
        <v>0.71</v>
      </c>
      <c r="I16" s="52">
        <f>IF(ALMYRA!AB16&lt;0,"0",ALMYRA!AB16)</f>
        <v>48</v>
      </c>
      <c r="J16" s="53">
        <v>2.87</v>
      </c>
      <c r="K16" s="56">
        <f>ALMYRA!U16</f>
        <v>208</v>
      </c>
      <c r="L16" s="57">
        <v>0.7762</v>
      </c>
      <c r="M16" s="60">
        <f>ALMYRA!AJ16</f>
        <v>41</v>
      </c>
      <c r="N16" s="60">
        <f>ALMYRA!AK16</f>
        <v>62</v>
      </c>
    </row>
    <row r="17" spans="1:14" ht="15" x14ac:dyDescent="0.25">
      <c r="A17" s="39" t="s">
        <v>13</v>
      </c>
      <c r="B17" s="4">
        <f t="shared" si="0"/>
        <v>16</v>
      </c>
      <c r="C17" s="63">
        <v>1</v>
      </c>
      <c r="D17" s="64">
        <v>2026</v>
      </c>
      <c r="E17" s="43">
        <f>IF(ALMYRA!H17&lt;0,"0",ALMYRA!H17)</f>
        <v>3744</v>
      </c>
      <c r="F17" s="44">
        <f>(ALMYRA!C17*0.18)/E17</f>
        <v>0.15850961538461536</v>
      </c>
      <c r="G17" s="48">
        <f>ALMYRA!Z17</f>
        <v>667.51000000000022</v>
      </c>
      <c r="H17" s="49">
        <v>0.71</v>
      </c>
      <c r="I17" s="52">
        <f>IF(ALMYRA!AB17&lt;0,"0",ALMYRA!AB17)</f>
        <v>34</v>
      </c>
      <c r="J17" s="53">
        <v>2.87</v>
      </c>
      <c r="K17" s="56">
        <f>ALMYRA!U17</f>
        <v>291</v>
      </c>
      <c r="L17" s="57">
        <v>0.7762</v>
      </c>
      <c r="M17" s="60">
        <f>ALMYRA!AJ17</f>
        <v>43</v>
      </c>
      <c r="N17" s="60">
        <f>ALMYRA!AK17</f>
        <v>69</v>
      </c>
    </row>
    <row r="18" spans="1:14" ht="15" x14ac:dyDescent="0.25">
      <c r="A18" s="39" t="s">
        <v>13</v>
      </c>
      <c r="B18" s="4">
        <f t="shared" si="0"/>
        <v>17</v>
      </c>
      <c r="C18" s="63">
        <v>1</v>
      </c>
      <c r="D18" s="64">
        <v>2026</v>
      </c>
      <c r="E18" s="43">
        <f>IF(ALMYRA!H18&lt;0,"0",ALMYRA!H18)</f>
        <v>3767</v>
      </c>
      <c r="F18" s="44">
        <f>(ALMYRA!C18*0.18)/E18</f>
        <v>0.16561720201752056</v>
      </c>
      <c r="G18" s="48">
        <f>ALMYRA!Z18</f>
        <v>300</v>
      </c>
      <c r="H18" s="49">
        <v>0.71</v>
      </c>
      <c r="I18" s="52">
        <f>IF(ALMYRA!AB18&lt;0,"0",ALMYRA!AB18)</f>
        <v>47</v>
      </c>
      <c r="J18" s="53">
        <v>2.87</v>
      </c>
      <c r="K18" s="56">
        <f>ALMYRA!U18</f>
        <v>287</v>
      </c>
      <c r="L18" s="57">
        <v>0.7762</v>
      </c>
      <c r="M18" s="60">
        <f>ALMYRA!AJ18</f>
        <v>53</v>
      </c>
      <c r="N18" s="60">
        <f>ALMYRA!AK18</f>
        <v>92</v>
      </c>
    </row>
    <row r="19" spans="1:14" ht="15" x14ac:dyDescent="0.25">
      <c r="A19" s="39" t="s">
        <v>13</v>
      </c>
      <c r="B19" s="4">
        <f t="shared" si="0"/>
        <v>18</v>
      </c>
      <c r="C19" s="63">
        <v>1</v>
      </c>
      <c r="D19" s="64">
        <v>2026</v>
      </c>
      <c r="E19" s="43">
        <f>IF(ALMYRA!H19&lt;0,"0",ALMYRA!H19)</f>
        <v>3603</v>
      </c>
      <c r="F19" s="44">
        <f>(ALMYRA!C19*0.18)/E19</f>
        <v>0.14452955870108244</v>
      </c>
      <c r="G19" s="48">
        <f>ALMYRA!Z19</f>
        <v>400</v>
      </c>
      <c r="H19" s="49">
        <v>0.71</v>
      </c>
      <c r="I19" s="52">
        <f>IF(ALMYRA!AB19&lt;0,"0",ALMYRA!AB19)</f>
        <v>32</v>
      </c>
      <c r="J19" s="53">
        <v>2.87</v>
      </c>
      <c r="K19" s="56">
        <f>ALMYRA!U19</f>
        <v>193</v>
      </c>
      <c r="L19" s="57">
        <v>0.7762</v>
      </c>
      <c r="M19" s="60">
        <f>ALMYRA!AJ19</f>
        <v>57</v>
      </c>
      <c r="N19" s="60">
        <f>ALMYRA!AK19</f>
        <v>100</v>
      </c>
    </row>
    <row r="20" spans="1:14" ht="15" x14ac:dyDescent="0.25">
      <c r="A20" s="39" t="s">
        <v>13</v>
      </c>
      <c r="B20" s="4">
        <f t="shared" si="0"/>
        <v>19</v>
      </c>
      <c r="C20" s="63">
        <v>1</v>
      </c>
      <c r="D20" s="64">
        <v>2026</v>
      </c>
      <c r="E20" s="43">
        <f>IF(ALMYRA!H20&lt;0,"0",ALMYRA!H20)</f>
        <v>3494</v>
      </c>
      <c r="F20" s="44">
        <f>(ALMYRA!C20*0.18)/E20</f>
        <v>0.15795077275329136</v>
      </c>
      <c r="G20" s="48">
        <f>ALMYRA!Z20</f>
        <v>275</v>
      </c>
      <c r="H20" s="49">
        <v>0.71</v>
      </c>
      <c r="I20" s="52">
        <f>IF(ALMYRA!AB20&lt;0,"0",ALMYRA!AB20)</f>
        <v>45</v>
      </c>
      <c r="J20" s="53">
        <v>2.87</v>
      </c>
      <c r="K20" s="56">
        <f>ALMYRA!U20</f>
        <v>194</v>
      </c>
      <c r="L20" s="57">
        <v>0.7762</v>
      </c>
      <c r="M20" s="60">
        <f>ALMYRA!AJ20</f>
        <v>71</v>
      </c>
      <c r="N20" s="60">
        <f>ALMYRA!AK20</f>
        <v>129</v>
      </c>
    </row>
    <row r="21" spans="1:14" ht="15" x14ac:dyDescent="0.25">
      <c r="A21" s="39" t="s">
        <v>13</v>
      </c>
      <c r="B21" s="4">
        <f t="shared" si="0"/>
        <v>20</v>
      </c>
      <c r="C21" s="63">
        <v>1</v>
      </c>
      <c r="D21" s="64">
        <v>2026</v>
      </c>
      <c r="E21" s="43">
        <f>IF(ALMYRA!H21&lt;0,"0",ALMYRA!H21)</f>
        <v>3802</v>
      </c>
      <c r="F21" s="44">
        <f>(ALMYRA!C21*0.18)/E21</f>
        <v>0.164660704892162</v>
      </c>
      <c r="G21" s="48">
        <f>ALMYRA!Z21</f>
        <v>712.10000000000036</v>
      </c>
      <c r="H21" s="49">
        <v>0.71</v>
      </c>
      <c r="I21" s="52">
        <f>IF(ALMYRA!AB21&lt;0,"0",ALMYRA!AB21)</f>
        <v>70</v>
      </c>
      <c r="J21" s="53">
        <v>2.87</v>
      </c>
      <c r="K21" s="56">
        <f>ALMYRA!U21</f>
        <v>196</v>
      </c>
      <c r="L21" s="57">
        <v>0.7762</v>
      </c>
      <c r="M21" s="60">
        <f>ALMYRA!AJ21</f>
        <v>61</v>
      </c>
      <c r="N21" s="60">
        <f>ALMYRA!AK21</f>
        <v>125</v>
      </c>
    </row>
    <row r="22" spans="1:14" ht="15" x14ac:dyDescent="0.25">
      <c r="A22" s="39" t="s">
        <v>13</v>
      </c>
      <c r="B22" s="4">
        <f t="shared" si="0"/>
        <v>21</v>
      </c>
      <c r="C22" s="63">
        <v>1</v>
      </c>
      <c r="D22" s="64">
        <v>2026</v>
      </c>
      <c r="E22" s="43">
        <f>IF(ALMYRA!H22&lt;0,"0",ALMYRA!H22)</f>
        <v>4006</v>
      </c>
      <c r="F22" s="44">
        <f>(ALMYRA!C22*0.18)/E22</f>
        <v>0.16629555666500248</v>
      </c>
      <c r="G22" s="48">
        <f>ALMYRA!Z22</f>
        <v>375</v>
      </c>
      <c r="H22" s="49">
        <v>0.71</v>
      </c>
      <c r="I22" s="52">
        <f>IF(ALMYRA!AB22&lt;0,"0",ALMYRA!AB22)</f>
        <v>54</v>
      </c>
      <c r="J22" s="53">
        <v>2.87</v>
      </c>
      <c r="K22" s="56">
        <f>ALMYRA!U22</f>
        <v>295</v>
      </c>
      <c r="L22" s="57">
        <v>0.7762</v>
      </c>
      <c r="M22" s="60">
        <f>ALMYRA!AJ22</f>
        <v>148</v>
      </c>
      <c r="N22" s="60">
        <f>ALMYRA!AK22</f>
        <v>311</v>
      </c>
    </row>
    <row r="23" spans="1:14" ht="15" x14ac:dyDescent="0.25">
      <c r="A23" s="39" t="s">
        <v>13</v>
      </c>
      <c r="B23" s="4">
        <f t="shared" si="0"/>
        <v>22</v>
      </c>
      <c r="C23" s="63">
        <v>1</v>
      </c>
      <c r="D23" s="64">
        <v>2026</v>
      </c>
      <c r="E23" s="43">
        <f>IF(ALMYRA!H23&lt;0,"0",ALMYRA!H23)</f>
        <v>3926</v>
      </c>
      <c r="F23" s="44">
        <f>(ALMYRA!C23*0.18)/E23</f>
        <v>0.17151808456444217</v>
      </c>
      <c r="G23" s="48">
        <f>ALMYRA!Z23</f>
        <v>300</v>
      </c>
      <c r="H23" s="49">
        <v>0.71</v>
      </c>
      <c r="I23" s="52">
        <f>IF(ALMYRA!AB23&lt;0,"0",ALMYRA!AB23)</f>
        <v>66</v>
      </c>
      <c r="J23" s="53">
        <v>2.87</v>
      </c>
      <c r="K23" s="56">
        <f>ALMYRA!U23</f>
        <v>298</v>
      </c>
      <c r="L23" s="57">
        <v>0.7762</v>
      </c>
      <c r="M23" s="60">
        <f>ALMYRA!AJ23</f>
        <v>137</v>
      </c>
      <c r="N23" s="60">
        <f>ALMYRA!AK23</f>
        <v>284</v>
      </c>
    </row>
    <row r="24" spans="1:14" ht="15" x14ac:dyDescent="0.25">
      <c r="A24" s="39" t="s">
        <v>13</v>
      </c>
      <c r="B24" s="4">
        <f t="shared" si="0"/>
        <v>23</v>
      </c>
      <c r="C24" s="63">
        <v>1</v>
      </c>
      <c r="D24" s="64">
        <v>2026</v>
      </c>
      <c r="E24" s="43">
        <f>IF(ALMYRA!H24&lt;0,"0",ALMYRA!H24)</f>
        <v>3839</v>
      </c>
      <c r="F24" s="44">
        <f>(ALMYRA!C24*0.18)/E24</f>
        <v>0.15665016931492576</v>
      </c>
      <c r="G24" s="48">
        <f>ALMYRA!Z24</f>
        <v>425</v>
      </c>
      <c r="H24" s="49">
        <v>0.71</v>
      </c>
      <c r="I24" s="52">
        <f>IF(ALMYRA!AB24&lt;0,"0",ALMYRA!AB24)</f>
        <v>59</v>
      </c>
      <c r="J24" s="53">
        <v>2.87</v>
      </c>
      <c r="K24" s="56">
        <f>ALMYRA!U24</f>
        <v>249</v>
      </c>
      <c r="L24" s="57">
        <v>0.7762</v>
      </c>
      <c r="M24" s="60">
        <f>ALMYRA!AJ24</f>
        <v>57</v>
      </c>
      <c r="N24" s="60">
        <f>ALMYRA!AK24</f>
        <v>103</v>
      </c>
    </row>
    <row r="25" spans="1:14" ht="15" x14ac:dyDescent="0.25">
      <c r="A25" s="39" t="s">
        <v>13</v>
      </c>
      <c r="B25" s="4">
        <f t="shared" si="0"/>
        <v>24</v>
      </c>
      <c r="C25" s="63">
        <v>1</v>
      </c>
      <c r="D25" s="64">
        <v>2026</v>
      </c>
      <c r="E25" s="43" t="str">
        <f>IF(ALMYRA!H25&lt;0,"0",ALMYRA!H25)</f>
        <v/>
      </c>
      <c r="F25" s="44" t="e">
        <f>(ALMYRA!C25*0.18)/E25</f>
        <v>#VALUE!</v>
      </c>
      <c r="G25" s="48" t="str">
        <f>ALMYRA!Z25</f>
        <v/>
      </c>
      <c r="H25" s="49">
        <v>0.71</v>
      </c>
      <c r="I25" s="52" t="str">
        <f>IF(ALMYRA!AB25&lt;0,"0",ALMYRA!AB25)</f>
        <v/>
      </c>
      <c r="J25" s="53">
        <v>2.87</v>
      </c>
      <c r="K25" s="56" t="str">
        <f>ALMYRA!U25</f>
        <v/>
      </c>
      <c r="L25" s="57">
        <v>0.7762</v>
      </c>
      <c r="M25" s="60">
        <f>ALMYRA!AJ25</f>
        <v>0</v>
      </c>
      <c r="N25" s="60">
        <f>ALMYRA!AK25</f>
        <v>0</v>
      </c>
    </row>
    <row r="26" spans="1:14" ht="15" x14ac:dyDescent="0.25">
      <c r="A26" s="39" t="s">
        <v>13</v>
      </c>
      <c r="B26" s="4">
        <f>B25+1</f>
        <v>25</v>
      </c>
      <c r="C26" s="63">
        <v>1</v>
      </c>
      <c r="D26" s="64">
        <v>2026</v>
      </c>
      <c r="E26" s="43" t="str">
        <f>IF(ALMYRA!H26&lt;0,"0",ALMYRA!H26)</f>
        <v/>
      </c>
      <c r="F26" s="44" t="e">
        <f>(ALMYRA!C26*0.18)/E26</f>
        <v>#VALUE!</v>
      </c>
      <c r="G26" s="48" t="str">
        <f>ALMYRA!Z26</f>
        <v/>
      </c>
      <c r="H26" s="49">
        <v>0.71</v>
      </c>
      <c r="I26" s="52" t="str">
        <f>IF(ALMYRA!AB26&lt;0,"0",ALMYRA!AB26)</f>
        <v/>
      </c>
      <c r="J26" s="53">
        <v>2.87</v>
      </c>
      <c r="K26" s="56" t="str">
        <f>ALMYRA!U26</f>
        <v/>
      </c>
      <c r="L26" s="57">
        <v>0.7762</v>
      </c>
      <c r="M26" s="60">
        <f>ALMYRA!AJ26</f>
        <v>0</v>
      </c>
      <c r="N26" s="60">
        <f>ALMYRA!AK26</f>
        <v>0</v>
      </c>
    </row>
    <row r="27" spans="1:14" ht="15" x14ac:dyDescent="0.25">
      <c r="A27" s="39" t="s">
        <v>13</v>
      </c>
      <c r="B27" s="4">
        <f t="shared" si="0"/>
        <v>26</v>
      </c>
      <c r="C27" s="63">
        <v>1</v>
      </c>
      <c r="D27" s="64">
        <v>2026</v>
      </c>
      <c r="E27" s="43" t="str">
        <f>IF(ALMYRA!H27&lt;0,"0",ALMYRA!H27)</f>
        <v/>
      </c>
      <c r="F27" s="44" t="e">
        <f>(ALMYRA!C27*0.18)/E27</f>
        <v>#VALUE!</v>
      </c>
      <c r="G27" s="48" t="str">
        <f>ALMYRA!Z27</f>
        <v/>
      </c>
      <c r="H27" s="49">
        <v>0.71</v>
      </c>
      <c r="I27" s="52" t="str">
        <f>IF(ALMYRA!AB27&lt;0,"0",ALMYRA!AB27)</f>
        <v/>
      </c>
      <c r="J27" s="53">
        <v>2.87</v>
      </c>
      <c r="K27" s="56" t="str">
        <f>ALMYRA!U27</f>
        <v/>
      </c>
      <c r="L27" s="57">
        <v>0.7762</v>
      </c>
      <c r="M27" s="60">
        <f>ALMYRA!AJ27</f>
        <v>0</v>
      </c>
      <c r="N27" s="60">
        <f>ALMYRA!AK27</f>
        <v>0</v>
      </c>
    </row>
    <row r="28" spans="1:14" ht="15" x14ac:dyDescent="0.25">
      <c r="A28" s="39" t="s">
        <v>13</v>
      </c>
      <c r="B28" s="4">
        <f t="shared" si="0"/>
        <v>27</v>
      </c>
      <c r="C28" s="63">
        <v>1</v>
      </c>
      <c r="D28" s="64">
        <v>2026</v>
      </c>
      <c r="E28" s="43" t="str">
        <f>IF(ALMYRA!H28&lt;0,"0",ALMYRA!H28)</f>
        <v/>
      </c>
      <c r="F28" s="44" t="e">
        <f>(ALMYRA!C28*0.18)/E28</f>
        <v>#VALUE!</v>
      </c>
      <c r="G28" s="48" t="str">
        <f>ALMYRA!Z28</f>
        <v/>
      </c>
      <c r="H28" s="49">
        <v>0.71</v>
      </c>
      <c r="I28" s="52" t="str">
        <f>IF(ALMYRA!AB28&lt;0,"0",ALMYRA!AB28)</f>
        <v/>
      </c>
      <c r="J28" s="53">
        <v>2.87</v>
      </c>
      <c r="K28" s="56" t="str">
        <f>ALMYRA!U28</f>
        <v/>
      </c>
      <c r="L28" s="57">
        <v>0.7762</v>
      </c>
      <c r="M28" s="60">
        <f>ALMYRA!AJ28</f>
        <v>0</v>
      </c>
      <c r="N28" s="60">
        <f>ALMYRA!AK28</f>
        <v>0</v>
      </c>
    </row>
    <row r="29" spans="1:14" ht="15" x14ac:dyDescent="0.25">
      <c r="A29" s="39" t="s">
        <v>13</v>
      </c>
      <c r="B29" s="4">
        <f t="shared" si="0"/>
        <v>28</v>
      </c>
      <c r="C29" s="63">
        <v>1</v>
      </c>
      <c r="D29" s="64">
        <v>2026</v>
      </c>
      <c r="E29" s="43" t="str">
        <f>IF(ALMYRA!H29&lt;0,"0",ALMYRA!H29)</f>
        <v/>
      </c>
      <c r="F29" s="44" t="e">
        <f>(ALMYRA!C29*0.18)/E29</f>
        <v>#VALUE!</v>
      </c>
      <c r="G29" s="48" t="str">
        <f>ALMYRA!Z29</f>
        <v/>
      </c>
      <c r="H29" s="49">
        <v>0.71</v>
      </c>
      <c r="I29" s="52" t="str">
        <f>IF(ALMYRA!AB29&lt;0,"0",ALMYRA!AB29)</f>
        <v/>
      </c>
      <c r="J29" s="53">
        <v>2.87</v>
      </c>
      <c r="K29" s="56" t="str">
        <f>ALMYRA!U29</f>
        <v/>
      </c>
      <c r="L29" s="57">
        <v>0.7762</v>
      </c>
      <c r="M29" s="60">
        <f>ALMYRA!AJ29</f>
        <v>0</v>
      </c>
      <c r="N29" s="60">
        <f>ALMYRA!AK29</f>
        <v>0</v>
      </c>
    </row>
    <row r="30" spans="1:14" x14ac:dyDescent="0.2">
      <c r="C30" s="63"/>
      <c r="D30" s="65"/>
      <c r="E30" s="3"/>
      <c r="F30" s="65"/>
      <c r="G30" s="3"/>
      <c r="H30" s="66"/>
      <c r="I30" s="65"/>
      <c r="J30" s="65"/>
      <c r="K30"/>
      <c r="L30"/>
      <c r="M30" s="65"/>
      <c r="N30" s="65"/>
    </row>
    <row r="31" spans="1:14" x14ac:dyDescent="0.2">
      <c r="D31" s="65"/>
      <c r="E31" s="3"/>
      <c r="F31" s="65"/>
      <c r="G31" s="3"/>
      <c r="H31" s="66"/>
      <c r="I31" s="65"/>
      <c r="J31" s="65"/>
      <c r="K31"/>
      <c r="L31"/>
      <c r="M31" s="65"/>
      <c r="N31" s="65"/>
    </row>
    <row r="32" spans="1:14" x14ac:dyDescent="0.2">
      <c r="D32" s="65"/>
      <c r="E32" s="3"/>
      <c r="F32" s="65"/>
      <c r="G32" s="3"/>
      <c r="H32" s="66"/>
      <c r="I32" s="65"/>
      <c r="J32" s="65"/>
      <c r="K32"/>
      <c r="L32"/>
      <c r="M32" s="65"/>
      <c r="N32" s="65"/>
    </row>
    <row r="33" spans="4:14" x14ac:dyDescent="0.2"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4:14" x14ac:dyDescent="0.2">
      <c r="E34" s="3"/>
      <c r="F34" s="65"/>
      <c r="G34" s="3"/>
      <c r="H34" s="66"/>
      <c r="I34" s="4"/>
      <c r="J34" s="4"/>
      <c r="K34"/>
      <c r="L34"/>
      <c r="M34" s="4"/>
      <c r="N34" s="4"/>
    </row>
    <row r="35" spans="4:14" x14ac:dyDescent="0.2">
      <c r="E35" s="3"/>
      <c r="F35" s="65"/>
      <c r="G35" s="3"/>
      <c r="H35" s="66"/>
      <c r="I35" s="4"/>
      <c r="J35" s="4"/>
      <c r="K35"/>
      <c r="L35"/>
      <c r="M35" s="4"/>
      <c r="N35" s="4"/>
    </row>
    <row r="36" spans="4:14" x14ac:dyDescent="0.2">
      <c r="E36" s="3"/>
      <c r="F36" s="65"/>
      <c r="G36" s="3"/>
      <c r="H36" s="66"/>
      <c r="I36" s="4"/>
      <c r="J36" s="4"/>
      <c r="K36"/>
      <c r="L36"/>
      <c r="M36" s="4"/>
      <c r="N36" s="4"/>
    </row>
    <row r="37" spans="4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4:14" x14ac:dyDescent="0.2">
      <c r="E38" s="3"/>
      <c r="F38" s="4"/>
      <c r="G38" s="3"/>
      <c r="H38" s="66"/>
      <c r="I38" s="4"/>
      <c r="J38" s="4"/>
      <c r="K38"/>
      <c r="L38"/>
      <c r="M38" s="4"/>
      <c r="N38" s="4"/>
    </row>
    <row r="39" spans="4:14" x14ac:dyDescent="0.2">
      <c r="E39" s="3"/>
      <c r="F39" s="4"/>
      <c r="G39" s="3"/>
      <c r="H39" s="66"/>
      <c r="I39" s="4"/>
      <c r="J39" s="4"/>
      <c r="K39"/>
      <c r="L39"/>
      <c r="M39" s="4"/>
      <c r="N39" s="4"/>
    </row>
    <row r="40" spans="4:14" x14ac:dyDescent="0.2">
      <c r="E40" s="3"/>
      <c r="F40" s="4"/>
      <c r="G40" s="3"/>
      <c r="H40" s="66"/>
      <c r="I40" s="4"/>
      <c r="J40" s="4"/>
      <c r="K40"/>
      <c r="L40"/>
      <c r="M40" s="4"/>
      <c r="N40" s="4"/>
    </row>
    <row r="41" spans="4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4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4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4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4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4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4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4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3"/>
  <sheetViews>
    <sheetView tabSelected="1" zoomScale="90" zoomScaleNormal="90" workbookViewId="0">
      <selection activeCell="B26" sqref="B26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3" customWidth="1"/>
    <col min="22" max="23" width="4.7109375" customWidth="1"/>
    <col min="24" max="24" width="7.85546875" customWidth="1"/>
    <col min="25" max="25" width="7.85546875" style="3" customWidth="1"/>
    <col min="26" max="26" width="5.42578125" style="83" bestFit="1" customWidth="1"/>
    <col min="27" max="27" width="8.42578125" customWidth="1"/>
    <col min="28" max="28" width="8.140625" style="83" bestFit="1" customWidth="1"/>
    <col min="29" max="29" width="7.85546875" style="4" customWidth="1"/>
    <col min="30" max="30" width="4.28515625" style="83" customWidth="1"/>
    <col min="31" max="31" width="8.85546875" customWidth="1"/>
    <col min="32" max="32" width="4.28515625" style="83" customWidth="1"/>
    <col min="33" max="34" width="7.5703125" style="5" customWidth="1"/>
    <col min="35" max="35" width="4.28515625" style="83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4" t="s">
        <v>16</v>
      </c>
      <c r="D1" s="14" t="s">
        <v>17</v>
      </c>
      <c r="E1" s="72" t="s">
        <v>18</v>
      </c>
      <c r="F1" s="14" t="s">
        <v>19</v>
      </c>
      <c r="G1" s="73" t="s">
        <v>20</v>
      </c>
      <c r="H1" s="81" t="s">
        <v>21</v>
      </c>
      <c r="I1" s="82" t="s">
        <v>22</v>
      </c>
      <c r="J1" s="37" t="s">
        <v>23</v>
      </c>
      <c r="K1" s="78" t="s">
        <v>24</v>
      </c>
      <c r="L1" s="38" t="s">
        <v>25</v>
      </c>
      <c r="M1" s="78" t="s">
        <v>24</v>
      </c>
      <c r="N1" s="38" t="s">
        <v>26</v>
      </c>
      <c r="O1" s="78" t="s">
        <v>24</v>
      </c>
      <c r="P1" s="37" t="s">
        <v>27</v>
      </c>
      <c r="Q1" s="77" t="s">
        <v>24</v>
      </c>
      <c r="R1" s="17" t="s">
        <v>14</v>
      </c>
      <c r="S1" s="21" t="s">
        <v>28</v>
      </c>
      <c r="T1" s="36" t="s">
        <v>29</v>
      </c>
      <c r="U1" s="76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6" t="s">
        <v>24</v>
      </c>
      <c r="AA1" s="27" t="s">
        <v>34</v>
      </c>
      <c r="AB1" s="76" t="s">
        <v>24</v>
      </c>
      <c r="AC1" s="27" t="s">
        <v>35</v>
      </c>
      <c r="AD1" s="76" t="s">
        <v>24</v>
      </c>
      <c r="AE1" s="29" t="s">
        <v>36</v>
      </c>
      <c r="AF1" s="76" t="s">
        <v>24</v>
      </c>
      <c r="AG1" s="31" t="s">
        <v>37</v>
      </c>
      <c r="AH1" s="34" t="s">
        <v>38</v>
      </c>
      <c r="AI1" s="76" t="s">
        <v>24</v>
      </c>
      <c r="AJ1" s="15" t="s">
        <v>11</v>
      </c>
      <c r="AK1" s="16" t="s">
        <v>39</v>
      </c>
    </row>
    <row r="2" spans="1:37" x14ac:dyDescent="0.2">
      <c r="A2" s="94">
        <v>46054</v>
      </c>
      <c r="B2" s="6">
        <v>33779301.333333328</v>
      </c>
      <c r="C2" s="75">
        <f t="shared" ref="C2:C9" si="0">IF(OR(B3="", B2=""), "", B3 - B2)</f>
        <v>1034.6666666716337</v>
      </c>
      <c r="D2" s="20">
        <v>1644397</v>
      </c>
      <c r="E2" s="75">
        <f t="shared" ref="E2" si="1">IF(OR(D3="", D2=""), "", D3 - D2)</f>
        <v>409</v>
      </c>
      <c r="F2" s="85">
        <v>204637</v>
      </c>
      <c r="G2" s="75">
        <f t="shared" ref="G2" si="2">IF(OR(F3="", F2=""), "", F3 - F2)</f>
        <v>124</v>
      </c>
      <c r="H2" s="79">
        <f t="shared" ref="H2:H8" si="3">IF(OR(C2="", E2="", G2=""), "", C2 + E2 - G2)</f>
        <v>1319.6666666716337</v>
      </c>
      <c r="I2" s="80">
        <f t="shared" ref="I2:I10" si="4">IF(OR(H2="", K2="", M2="", O2="", Q2=""), "", H2 - K2 - M2 - O2 - Q2)</f>
        <v>1012.4914473723111</v>
      </c>
      <c r="J2" s="86">
        <v>5008189.7333333334</v>
      </c>
      <c r="K2" s="75">
        <f>IF(OR(J3="", J2=""), "", J3 - J2)</f>
        <v>115.46666666679084</v>
      </c>
      <c r="L2" s="9">
        <v>478572.68421054998</v>
      </c>
      <c r="M2" s="75">
        <f t="shared" ref="M2:M10" si="5">IF(OR(L3="", L2=""), "", L3 - L2)</f>
        <v>14.736842106038239</v>
      </c>
      <c r="N2" s="9">
        <v>158148.25460526301</v>
      </c>
      <c r="O2" s="75">
        <f t="shared" ref="O2:O10" si="6">IF(OR(N3="", N2=""), "", N3 - N2)</f>
        <v>70.245394736994058</v>
      </c>
      <c r="P2" s="35">
        <v>39684.373684210499</v>
      </c>
      <c r="Q2" s="75">
        <f t="shared" ref="Q2:Q10" si="7">IF(OR(P3="", P2=""), "", P3 - P2)</f>
        <v>106.72631578949949</v>
      </c>
      <c r="R2" s="95">
        <f>A2</f>
        <v>46054</v>
      </c>
      <c r="S2" s="90">
        <v>4884</v>
      </c>
      <c r="T2" s="88"/>
      <c r="U2" s="75">
        <f>IF(OR(S2="", S3=""), "", S2 + T2 - S3)</f>
        <v>0</v>
      </c>
      <c r="V2" s="11">
        <v>0.77</v>
      </c>
      <c r="W2" s="26">
        <v>0.74</v>
      </c>
      <c r="X2" s="25">
        <f>IF(OR(V2="", W2=""), "", (V2 * 2500) + (W2 * 2500))</f>
        <v>3775</v>
      </c>
      <c r="Y2" s="84"/>
      <c r="Z2" s="75">
        <f>IF(OR(X2="", X3=""), "", X2 + Y2 - X3)</f>
        <v>0</v>
      </c>
      <c r="AA2" s="28">
        <v>137444.33333333331</v>
      </c>
      <c r="AB2" s="75">
        <f t="shared" ref="AB2:AB10" si="8">IF(OR(AA3="", AA2=""), "", AA3 - AA2)</f>
        <v>13.666666666686069</v>
      </c>
      <c r="AC2" s="28">
        <v>4068.7333333333336</v>
      </c>
      <c r="AD2" s="75">
        <f t="shared" ref="AD2:AD10" si="9">IF(OR(AC3="", AC2=""), "", AC3 - AC2)</f>
        <v>0.46666666666624224</v>
      </c>
      <c r="AE2" s="30">
        <v>73027</v>
      </c>
      <c r="AF2" s="75">
        <f t="shared" ref="AF2:AF10" si="10">IF(OR(AE3="", AE2=""), "", AE3 - AE2)</f>
        <v>0</v>
      </c>
      <c r="AG2" s="32">
        <v>3100</v>
      </c>
      <c r="AH2" s="70"/>
      <c r="AI2" s="75" t="str">
        <f t="shared" ref="AI2:AI10" si="11">IF(OR(AH3="", AH2=""), "", AH3 - AH2)</f>
        <v/>
      </c>
      <c r="AJ2" s="7">
        <v>0</v>
      </c>
      <c r="AK2" s="12">
        <v>0</v>
      </c>
    </row>
    <row r="3" spans="1:37" x14ac:dyDescent="0.2">
      <c r="A3" s="94">
        <f t="shared" ref="A3:A33" si="12">A2+1</f>
        <v>46055</v>
      </c>
      <c r="B3" s="6">
        <v>33780336</v>
      </c>
      <c r="C3" s="75">
        <f t="shared" si="0"/>
        <v>1237</v>
      </c>
      <c r="D3" s="20">
        <v>1644806</v>
      </c>
      <c r="E3" s="75">
        <f t="shared" ref="E3" si="13">IF(OR(D4="", D3=""), "", D4 - D3)</f>
        <v>323</v>
      </c>
      <c r="F3" s="20">
        <v>204761</v>
      </c>
      <c r="G3" s="75">
        <f t="shared" ref="G3" si="14">IF(OR(F4="", F3=""), "", F4 - F3)</f>
        <v>48</v>
      </c>
      <c r="H3" s="79">
        <f t="shared" si="3"/>
        <v>1512</v>
      </c>
      <c r="I3" s="80">
        <f t="shared" si="4"/>
        <v>1204.2914473675264</v>
      </c>
      <c r="J3" s="35">
        <v>5008305.2</v>
      </c>
      <c r="K3" s="75">
        <f>IF(OR(J4="", J3=""), "", J4 - J3)</f>
        <v>116</v>
      </c>
      <c r="L3" s="9">
        <v>478587.42105265602</v>
      </c>
      <c r="M3" s="75">
        <f t="shared" si="5"/>
        <v>14.736842105980031</v>
      </c>
      <c r="N3" s="9">
        <v>158218.5</v>
      </c>
      <c r="O3" s="75">
        <f t="shared" si="6"/>
        <v>70.245394736994058</v>
      </c>
      <c r="P3" s="35">
        <v>39791.1</v>
      </c>
      <c r="Q3" s="75">
        <f t="shared" si="7"/>
        <v>106.72631578949949</v>
      </c>
      <c r="R3" s="94">
        <f>A3</f>
        <v>46055</v>
      </c>
      <c r="S3" s="87">
        <v>4884</v>
      </c>
      <c r="T3" s="89"/>
      <c r="U3" s="75">
        <f t="shared" ref="U3:U33" si="15">IF(OR(S3="", S4=""), "", S3 + T3 - S4)</f>
        <v>0</v>
      </c>
      <c r="V3" s="11">
        <v>0.77</v>
      </c>
      <c r="W3" s="26">
        <v>0.74</v>
      </c>
      <c r="X3" s="96">
        <f t="shared" ref="X3:X34" si="16">IF(OR(V3="", W3=""), "", (V3 * 2500) + (W3 * 2500))</f>
        <v>3775</v>
      </c>
      <c r="Y3" s="84"/>
      <c r="Z3" s="75">
        <f t="shared" ref="Z3:Z33" si="17">IF(OR(X3="", X4=""), "", X3 + Y3 - X4)</f>
        <v>0</v>
      </c>
      <c r="AA3" s="28">
        <v>137458</v>
      </c>
      <c r="AB3" s="75">
        <f t="shared" si="8"/>
        <v>19</v>
      </c>
      <c r="AC3" s="28">
        <v>4069.2</v>
      </c>
      <c r="AD3" s="75">
        <f t="shared" si="9"/>
        <v>0.5</v>
      </c>
      <c r="AE3" s="30">
        <v>73027</v>
      </c>
      <c r="AF3" s="75">
        <f t="shared" si="10"/>
        <v>0</v>
      </c>
      <c r="AG3" s="33">
        <v>3100</v>
      </c>
      <c r="AH3" s="71"/>
      <c r="AI3" s="75" t="str">
        <f t="shared" si="11"/>
        <v/>
      </c>
      <c r="AJ3" s="8">
        <v>0</v>
      </c>
      <c r="AK3" s="13">
        <v>0</v>
      </c>
    </row>
    <row r="4" spans="1:37" x14ac:dyDescent="0.2">
      <c r="A4" s="94">
        <f t="shared" si="12"/>
        <v>46056</v>
      </c>
      <c r="B4" s="6">
        <v>33781573</v>
      </c>
      <c r="C4" s="75">
        <f t="shared" si="0"/>
        <v>1437</v>
      </c>
      <c r="D4" s="20">
        <v>1645129</v>
      </c>
      <c r="E4" s="75">
        <f t="shared" ref="E4" si="18">IF(OR(D5="", D4=""), "", D5 - D4)</f>
        <v>142</v>
      </c>
      <c r="F4" s="20">
        <v>204809</v>
      </c>
      <c r="G4" s="75">
        <f t="shared" ref="G4" si="19">IF(OR(F5="", F4=""), "", F5 - F4)</f>
        <v>14</v>
      </c>
      <c r="H4" s="79">
        <f t="shared" si="3"/>
        <v>1565</v>
      </c>
      <c r="I4" s="80">
        <f t="shared" si="4"/>
        <v>1256.0914473673402</v>
      </c>
      <c r="J4" s="35">
        <v>5008421.2</v>
      </c>
      <c r="K4" s="75">
        <f>IF(OR(J5="", J4=""), "", J5 - J4)</f>
        <v>117.20000000018626</v>
      </c>
      <c r="L4" s="9">
        <v>478602.157894762</v>
      </c>
      <c r="M4" s="75">
        <f t="shared" si="5"/>
        <v>14.736842105980031</v>
      </c>
      <c r="N4" s="9">
        <v>158288.74539473699</v>
      </c>
      <c r="O4" s="75">
        <f t="shared" si="6"/>
        <v>70.245394736994058</v>
      </c>
      <c r="P4" s="35">
        <v>39897.826315789498</v>
      </c>
      <c r="Q4" s="75">
        <f t="shared" si="7"/>
        <v>106.72631578949949</v>
      </c>
      <c r="R4" s="94">
        <f t="shared" ref="R4:R32" si="20">A4</f>
        <v>46056</v>
      </c>
      <c r="S4" s="87">
        <v>4884</v>
      </c>
      <c r="T4" s="89"/>
      <c r="U4" s="75">
        <f t="shared" si="15"/>
        <v>0</v>
      </c>
      <c r="V4" s="11">
        <v>0.77</v>
      </c>
      <c r="W4" s="26">
        <v>0.74</v>
      </c>
      <c r="X4" s="96">
        <f t="shared" si="16"/>
        <v>3775</v>
      </c>
      <c r="Y4" s="84"/>
      <c r="Z4" s="75">
        <f t="shared" si="17"/>
        <v>0</v>
      </c>
      <c r="AA4" s="28">
        <v>137477</v>
      </c>
      <c r="AB4" s="75">
        <f t="shared" si="8"/>
        <v>15</v>
      </c>
      <c r="AC4" s="28">
        <v>4069.7</v>
      </c>
      <c r="AD4" s="75">
        <f t="shared" si="9"/>
        <v>0.6000000000003638</v>
      </c>
      <c r="AE4" s="30">
        <v>73027</v>
      </c>
      <c r="AF4" s="75">
        <f t="shared" si="10"/>
        <v>0</v>
      </c>
      <c r="AG4" s="33">
        <v>3100</v>
      </c>
      <c r="AH4" s="71"/>
      <c r="AI4" s="75" t="str">
        <f t="shared" si="11"/>
        <v/>
      </c>
      <c r="AJ4" s="8">
        <v>0</v>
      </c>
      <c r="AK4" s="13">
        <v>0</v>
      </c>
    </row>
    <row r="5" spans="1:37" x14ac:dyDescent="0.2">
      <c r="A5" s="94">
        <f t="shared" si="12"/>
        <v>46057</v>
      </c>
      <c r="B5" s="6">
        <v>33783010</v>
      </c>
      <c r="C5" s="75">
        <f t="shared" si="0"/>
        <v>1559</v>
      </c>
      <c r="D5" s="20">
        <v>1645271</v>
      </c>
      <c r="E5" s="75">
        <f t="shared" ref="E5" si="21">IF(OR(D6="", D5=""), "", D6 - D5)</f>
        <v>269</v>
      </c>
      <c r="F5" s="20">
        <v>204823</v>
      </c>
      <c r="G5" s="75">
        <f t="shared" ref="G5" si="22">IF(OR(F6="", F5=""), "", F6 - F5)</f>
        <v>63</v>
      </c>
      <c r="H5" s="79">
        <f t="shared" si="3"/>
        <v>1765</v>
      </c>
      <c r="I5" s="80">
        <f t="shared" si="4"/>
        <v>1352.0914473681842</v>
      </c>
      <c r="J5" s="35">
        <v>5008538.4000000004</v>
      </c>
      <c r="K5" s="75">
        <f t="shared" ref="K5:K10" si="23">IF(OR(J6="", J5=""), "", J6 - J5)</f>
        <v>221.19999999925494</v>
      </c>
      <c r="L5" s="9">
        <v>478616.89473686798</v>
      </c>
      <c r="M5" s="75">
        <f t="shared" si="5"/>
        <v>14.736842106038239</v>
      </c>
      <c r="N5" s="9">
        <v>158358.99078947399</v>
      </c>
      <c r="O5" s="75">
        <f t="shared" si="6"/>
        <v>70.245394737023162</v>
      </c>
      <c r="P5" s="35">
        <v>40004.552631578998</v>
      </c>
      <c r="Q5" s="75">
        <f t="shared" si="7"/>
        <v>106.72631578949949</v>
      </c>
      <c r="R5" s="94">
        <f t="shared" si="20"/>
        <v>46057</v>
      </c>
      <c r="S5" s="87">
        <v>4884</v>
      </c>
      <c r="T5" s="89"/>
      <c r="U5" s="75">
        <f t="shared" si="15"/>
        <v>0</v>
      </c>
      <c r="V5" s="11">
        <v>0.77</v>
      </c>
      <c r="W5" s="26">
        <v>0.74</v>
      </c>
      <c r="X5" s="96">
        <f t="shared" si="16"/>
        <v>3775</v>
      </c>
      <c r="Y5" s="84"/>
      <c r="Z5" s="75">
        <f t="shared" si="17"/>
        <v>0</v>
      </c>
      <c r="AA5" s="28">
        <v>137492</v>
      </c>
      <c r="AB5" s="75">
        <f t="shared" si="8"/>
        <v>22</v>
      </c>
      <c r="AC5" s="28">
        <v>4070.3</v>
      </c>
      <c r="AD5" s="75">
        <f t="shared" si="9"/>
        <v>0.8999999999996362</v>
      </c>
      <c r="AE5" s="30">
        <v>73027</v>
      </c>
      <c r="AF5" s="75">
        <f t="shared" si="10"/>
        <v>0</v>
      </c>
      <c r="AG5" s="33">
        <v>3100</v>
      </c>
      <c r="AH5" s="71"/>
      <c r="AI5" s="75" t="str">
        <f t="shared" si="11"/>
        <v/>
      </c>
      <c r="AJ5" s="8">
        <v>0</v>
      </c>
      <c r="AK5" s="13">
        <v>0</v>
      </c>
    </row>
    <row r="6" spans="1:37" x14ac:dyDescent="0.2">
      <c r="A6" s="94">
        <f t="shared" si="12"/>
        <v>46058</v>
      </c>
      <c r="B6" s="6">
        <v>33784569</v>
      </c>
      <c r="C6" s="75">
        <f t="shared" si="0"/>
        <v>1265</v>
      </c>
      <c r="D6" s="20">
        <v>1645540</v>
      </c>
      <c r="E6" s="75">
        <f t="shared" ref="E6" si="24">IF(OR(D7="", D6=""), "", D7 - D6)</f>
        <v>609</v>
      </c>
      <c r="F6" s="20">
        <v>204886</v>
      </c>
      <c r="G6" s="75">
        <f t="shared" ref="G6" si="25">IF(OR(F7="", F6=""), "", F7 - F6)</f>
        <v>98</v>
      </c>
      <c r="H6" s="79">
        <f t="shared" si="3"/>
        <v>1776</v>
      </c>
      <c r="I6" s="80">
        <f t="shared" si="4"/>
        <v>1469.5914473673402</v>
      </c>
      <c r="J6" s="35">
        <v>5008759.5999999996</v>
      </c>
      <c r="K6" s="75">
        <f t="shared" si="23"/>
        <v>114.70000000018626</v>
      </c>
      <c r="L6" s="9">
        <v>478631.63157897402</v>
      </c>
      <c r="M6" s="75">
        <f t="shared" si="5"/>
        <v>14.736842105980031</v>
      </c>
      <c r="N6" s="9">
        <v>158429.23618421101</v>
      </c>
      <c r="O6" s="75">
        <f t="shared" si="6"/>
        <v>70.245394736994058</v>
      </c>
      <c r="P6" s="35">
        <v>40111.278947368497</v>
      </c>
      <c r="Q6" s="75">
        <f t="shared" si="7"/>
        <v>106.72631578949949</v>
      </c>
      <c r="R6" s="94">
        <f t="shared" si="20"/>
        <v>46058</v>
      </c>
      <c r="S6" s="87">
        <v>4884</v>
      </c>
      <c r="T6" s="89"/>
      <c r="U6" s="75">
        <f t="shared" si="15"/>
        <v>0</v>
      </c>
      <c r="V6" s="11">
        <v>0.77</v>
      </c>
      <c r="W6" s="26">
        <v>0.74</v>
      </c>
      <c r="X6" s="96">
        <f t="shared" si="16"/>
        <v>3775</v>
      </c>
      <c r="Y6" s="84"/>
      <c r="Z6" s="75">
        <f t="shared" si="17"/>
        <v>0</v>
      </c>
      <c r="AA6" s="28">
        <v>137514</v>
      </c>
      <c r="AB6" s="75">
        <f t="shared" si="8"/>
        <v>11</v>
      </c>
      <c r="AC6" s="28">
        <v>4071.2</v>
      </c>
      <c r="AD6" s="75">
        <f t="shared" si="9"/>
        <v>14.600000000000364</v>
      </c>
      <c r="AE6" s="30">
        <v>73027</v>
      </c>
      <c r="AF6" s="75">
        <f t="shared" si="10"/>
        <v>0</v>
      </c>
      <c r="AG6" s="33">
        <v>3100</v>
      </c>
      <c r="AH6" s="71"/>
      <c r="AI6" s="75" t="str">
        <f t="shared" si="11"/>
        <v/>
      </c>
      <c r="AJ6" s="8">
        <v>0</v>
      </c>
      <c r="AK6" s="13">
        <v>0</v>
      </c>
    </row>
    <row r="7" spans="1:37" x14ac:dyDescent="0.2">
      <c r="A7" s="94">
        <f t="shared" si="12"/>
        <v>46059</v>
      </c>
      <c r="B7" s="6">
        <v>33785834</v>
      </c>
      <c r="C7" s="75">
        <f t="shared" si="0"/>
        <v>1307.3333333358169</v>
      </c>
      <c r="D7" s="20">
        <v>1646149</v>
      </c>
      <c r="E7" s="75">
        <f t="shared" ref="E7" si="26">IF(OR(D8="", D7=""), "", D8 - D7)</f>
        <v>393.66666666674428</v>
      </c>
      <c r="F7" s="20">
        <v>204984</v>
      </c>
      <c r="G7" s="75">
        <f t="shared" ref="G7" si="27">IF(OR(F8="", F7=""), "", F8 - F7)</f>
        <v>123.33333333334303</v>
      </c>
      <c r="H7" s="79">
        <f t="shared" si="3"/>
        <v>1577.6666666692181</v>
      </c>
      <c r="I7" s="80">
        <f t="shared" si="4"/>
        <v>1195.6581140369235</v>
      </c>
      <c r="J7" s="35">
        <v>5008874.3</v>
      </c>
      <c r="K7" s="75">
        <f t="shared" si="23"/>
        <v>190.29999999981374</v>
      </c>
      <c r="L7" s="9">
        <v>478646.36842108</v>
      </c>
      <c r="M7" s="75">
        <f t="shared" si="5"/>
        <v>14.736842105980031</v>
      </c>
      <c r="N7" s="9">
        <v>158499.48157894801</v>
      </c>
      <c r="O7" s="75">
        <f t="shared" si="6"/>
        <v>70.245394736994058</v>
      </c>
      <c r="P7" s="35">
        <v>40218.005263157997</v>
      </c>
      <c r="Q7" s="75">
        <f t="shared" si="7"/>
        <v>106.72631578950677</v>
      </c>
      <c r="R7" s="94">
        <f t="shared" si="20"/>
        <v>46059</v>
      </c>
      <c r="S7" s="87">
        <v>4884</v>
      </c>
      <c r="T7" s="89"/>
      <c r="U7" s="75">
        <f t="shared" si="15"/>
        <v>0</v>
      </c>
      <c r="V7" s="11">
        <v>0.77</v>
      </c>
      <c r="W7" s="26">
        <v>0.74</v>
      </c>
      <c r="X7" s="96">
        <f t="shared" si="16"/>
        <v>3775</v>
      </c>
      <c r="Y7" s="84"/>
      <c r="Z7" s="75">
        <f t="shared" si="17"/>
        <v>0</v>
      </c>
      <c r="AA7" s="28">
        <v>137525</v>
      </c>
      <c r="AB7" s="75">
        <f t="shared" si="8"/>
        <v>44.666666666656965</v>
      </c>
      <c r="AC7" s="28">
        <v>4085.8</v>
      </c>
      <c r="AD7" s="75">
        <f t="shared" si="9"/>
        <v>16.533333333332848</v>
      </c>
      <c r="AE7" s="30">
        <v>73027</v>
      </c>
      <c r="AF7" s="75">
        <f t="shared" si="10"/>
        <v>0</v>
      </c>
      <c r="AG7" s="33">
        <v>3100</v>
      </c>
      <c r="AH7" s="71"/>
      <c r="AI7" s="75" t="str">
        <f t="shared" si="11"/>
        <v/>
      </c>
      <c r="AJ7" s="8">
        <v>0</v>
      </c>
      <c r="AK7" s="13">
        <v>0</v>
      </c>
    </row>
    <row r="8" spans="1:37" x14ac:dyDescent="0.2">
      <c r="A8" s="94">
        <f t="shared" si="12"/>
        <v>46060</v>
      </c>
      <c r="B8" s="6">
        <v>33787141.333333336</v>
      </c>
      <c r="C8" s="75">
        <f t="shared" si="0"/>
        <v>1307.3333333358169</v>
      </c>
      <c r="D8" s="20">
        <v>1646542.6666666667</v>
      </c>
      <c r="E8" s="75">
        <f t="shared" ref="E8" si="28">IF(OR(D9="", D8=""), "", D9 - D8)</f>
        <v>393.66666666674428</v>
      </c>
      <c r="F8" s="20">
        <v>205107.33333333334</v>
      </c>
      <c r="G8" s="75">
        <f t="shared" ref="G8" si="29">IF(OR(F9="", F8=""), "", F9 - F8)</f>
        <v>123.33333333334303</v>
      </c>
      <c r="H8" s="79">
        <f t="shared" si="3"/>
        <v>1577.6666666692181</v>
      </c>
      <c r="I8" s="80">
        <f t="shared" si="4"/>
        <v>1195.6581140368726</v>
      </c>
      <c r="J8" s="35">
        <v>5009064.5999999996</v>
      </c>
      <c r="K8" s="75">
        <f t="shared" si="23"/>
        <v>190.29999999981374</v>
      </c>
      <c r="L8" s="9">
        <v>478661.10526318598</v>
      </c>
      <c r="M8" s="75">
        <f t="shared" si="5"/>
        <v>14.736842106038239</v>
      </c>
      <c r="N8" s="9">
        <v>158569.726973685</v>
      </c>
      <c r="O8" s="75">
        <f t="shared" si="6"/>
        <v>70.245394736994058</v>
      </c>
      <c r="P8" s="35">
        <v>40324.731578947503</v>
      </c>
      <c r="Q8" s="75">
        <f t="shared" si="7"/>
        <v>106.72631578949949</v>
      </c>
      <c r="R8" s="94">
        <f t="shared" si="20"/>
        <v>46060</v>
      </c>
      <c r="S8" s="87">
        <v>4884</v>
      </c>
      <c r="T8" s="89"/>
      <c r="U8" s="75">
        <f t="shared" si="15"/>
        <v>0</v>
      </c>
      <c r="V8" s="11">
        <v>0.77</v>
      </c>
      <c r="W8" s="26">
        <v>0.74</v>
      </c>
      <c r="X8" s="96">
        <f t="shared" si="16"/>
        <v>3775</v>
      </c>
      <c r="Y8" s="84"/>
      <c r="Z8" s="75">
        <f t="shared" si="17"/>
        <v>0</v>
      </c>
      <c r="AA8" s="28">
        <v>137569.66666666666</v>
      </c>
      <c r="AB8" s="75">
        <f t="shared" si="8"/>
        <v>44.666666666656965</v>
      </c>
      <c r="AC8" s="28">
        <v>4102.333333333333</v>
      </c>
      <c r="AD8" s="75">
        <f t="shared" si="9"/>
        <v>16.533333333332848</v>
      </c>
      <c r="AE8" s="30">
        <v>73027</v>
      </c>
      <c r="AF8" s="75">
        <f t="shared" si="10"/>
        <v>0</v>
      </c>
      <c r="AG8" s="33">
        <v>3100</v>
      </c>
      <c r="AH8" s="71"/>
      <c r="AI8" s="75" t="str">
        <f t="shared" si="11"/>
        <v/>
      </c>
      <c r="AJ8" s="8">
        <v>0</v>
      </c>
      <c r="AK8" s="13">
        <v>0</v>
      </c>
    </row>
    <row r="9" spans="1:37" x14ac:dyDescent="0.2">
      <c r="A9" s="94">
        <f t="shared" si="12"/>
        <v>46061</v>
      </c>
      <c r="B9" s="6">
        <v>33788448.666666672</v>
      </c>
      <c r="C9" s="75">
        <f t="shared" si="0"/>
        <v>1307.3333333283663</v>
      </c>
      <c r="D9" s="20">
        <v>1646936.3333333335</v>
      </c>
      <c r="E9" s="75">
        <f t="shared" ref="E9" si="30">IF(OR(D10="", D9=""), "", D10 - D9)</f>
        <v>393.66666666651145</v>
      </c>
      <c r="F9" s="20">
        <v>205230.66666666669</v>
      </c>
      <c r="G9" s="75">
        <f t="shared" ref="G9" si="31">IF(OR(F10="", F9=""), "", F10 - F9)</f>
        <v>123.33333333331393</v>
      </c>
      <c r="H9" s="79">
        <f t="shared" ref="H9:H10" si="32">IF(OR(C9="", E9="", G9=""), "", C9 + E9 - G9)</f>
        <v>1577.6666666615638</v>
      </c>
      <c r="I9" s="80">
        <f t="shared" si="4"/>
        <v>1195.6581140283452</v>
      </c>
      <c r="J9" s="35">
        <v>5009254.8999999994</v>
      </c>
      <c r="K9" s="75">
        <f t="shared" si="23"/>
        <v>190.30000000074506</v>
      </c>
      <c r="L9" s="9">
        <v>478675.84210529202</v>
      </c>
      <c r="M9" s="75">
        <f t="shared" si="5"/>
        <v>14.736842105980031</v>
      </c>
      <c r="N9" s="9">
        <v>158639.97236842199</v>
      </c>
      <c r="O9" s="75">
        <f t="shared" si="6"/>
        <v>70.245394736994058</v>
      </c>
      <c r="P9" s="35">
        <v>40431.457894737003</v>
      </c>
      <c r="Q9" s="75">
        <f t="shared" si="7"/>
        <v>106.72631578949949</v>
      </c>
      <c r="R9" s="94">
        <f t="shared" si="20"/>
        <v>46061</v>
      </c>
      <c r="S9" s="87">
        <v>4884</v>
      </c>
      <c r="T9" s="89"/>
      <c r="U9" s="75">
        <f t="shared" si="15"/>
        <v>0</v>
      </c>
      <c r="V9" s="11">
        <v>0.77</v>
      </c>
      <c r="W9" s="26">
        <v>0.74</v>
      </c>
      <c r="X9" s="96">
        <f t="shared" si="16"/>
        <v>3775</v>
      </c>
      <c r="Y9" s="84"/>
      <c r="Z9" s="75">
        <f t="shared" si="17"/>
        <v>50</v>
      </c>
      <c r="AA9" s="28">
        <v>137614.33333333331</v>
      </c>
      <c r="AB9" s="75">
        <f t="shared" si="8"/>
        <v>44.666666666686069</v>
      </c>
      <c r="AC9" s="28">
        <v>4118.8666666666659</v>
      </c>
      <c r="AD9" s="75">
        <f t="shared" si="9"/>
        <v>16.533333333333758</v>
      </c>
      <c r="AE9" s="30">
        <v>73027</v>
      </c>
      <c r="AF9" s="75">
        <f t="shared" si="10"/>
        <v>0</v>
      </c>
      <c r="AG9" s="33">
        <v>3100</v>
      </c>
      <c r="AH9" s="71"/>
      <c r="AI9" s="75" t="str">
        <f t="shared" si="11"/>
        <v/>
      </c>
      <c r="AJ9" s="8">
        <v>0</v>
      </c>
      <c r="AK9" s="13">
        <v>0</v>
      </c>
    </row>
    <row r="10" spans="1:37" x14ac:dyDescent="0.2">
      <c r="A10" s="94">
        <f t="shared" si="12"/>
        <v>46062</v>
      </c>
      <c r="B10" s="6">
        <v>33789756</v>
      </c>
      <c r="C10" s="75">
        <f>IF(OR(B11="", B10=""), "", B11 - B10)</f>
        <v>1487</v>
      </c>
      <c r="D10" s="20">
        <v>1647330</v>
      </c>
      <c r="E10" s="75">
        <f t="shared" ref="E10" si="33">IF(OR(D11="", D10=""), "", D11 - D10)</f>
        <v>982</v>
      </c>
      <c r="F10" s="20">
        <v>205354</v>
      </c>
      <c r="G10" s="75">
        <f t="shared" ref="G10" si="34">IF(OR(F11="", F10=""), "", F11 - F10)</f>
        <v>66</v>
      </c>
      <c r="H10" s="79">
        <f t="shared" si="32"/>
        <v>2403</v>
      </c>
      <c r="I10" s="80">
        <f t="shared" si="4"/>
        <v>1851.4914473676836</v>
      </c>
      <c r="J10" s="35">
        <v>5009445.2</v>
      </c>
      <c r="K10" s="75">
        <f t="shared" si="23"/>
        <v>359.79999999981374</v>
      </c>
      <c r="L10" s="9">
        <v>478690.578947398</v>
      </c>
      <c r="M10" s="75">
        <f t="shared" si="5"/>
        <v>14.736842105980031</v>
      </c>
      <c r="N10" s="9">
        <v>158710.21776315899</v>
      </c>
      <c r="O10" s="75">
        <f t="shared" si="6"/>
        <v>70.245394737023162</v>
      </c>
      <c r="P10" s="35">
        <v>40538.184210526502</v>
      </c>
      <c r="Q10" s="75">
        <f t="shared" si="7"/>
        <v>106.72631578949949</v>
      </c>
      <c r="R10" s="94">
        <f t="shared" si="20"/>
        <v>46062</v>
      </c>
      <c r="S10" s="87">
        <v>4884</v>
      </c>
      <c r="T10" s="89"/>
      <c r="U10" s="75">
        <f t="shared" si="15"/>
        <v>194</v>
      </c>
      <c r="V10" s="11">
        <v>0.76</v>
      </c>
      <c r="W10" s="26">
        <v>0.73</v>
      </c>
      <c r="X10" s="96">
        <f t="shared" si="16"/>
        <v>3725</v>
      </c>
      <c r="Y10" s="84"/>
      <c r="Z10" s="75">
        <f t="shared" si="17"/>
        <v>25</v>
      </c>
      <c r="AA10" s="28">
        <v>137659</v>
      </c>
      <c r="AB10" s="75">
        <f t="shared" si="8"/>
        <v>22</v>
      </c>
      <c r="AC10" s="28">
        <v>4135.3999999999996</v>
      </c>
      <c r="AD10" s="75">
        <f t="shared" si="9"/>
        <v>9.3000000000001819</v>
      </c>
      <c r="AE10" s="30">
        <v>73027</v>
      </c>
      <c r="AF10" s="75">
        <f t="shared" si="10"/>
        <v>0</v>
      </c>
      <c r="AG10" s="33">
        <v>3100</v>
      </c>
      <c r="AH10" s="71"/>
      <c r="AI10" s="75" t="str">
        <f t="shared" si="11"/>
        <v/>
      </c>
      <c r="AJ10" s="8">
        <v>0</v>
      </c>
      <c r="AK10" s="13">
        <v>0</v>
      </c>
    </row>
    <row r="11" spans="1:37" x14ac:dyDescent="0.2">
      <c r="A11" s="94">
        <f t="shared" si="12"/>
        <v>46063</v>
      </c>
      <c r="B11" s="6">
        <v>33791243</v>
      </c>
      <c r="C11" s="75">
        <f t="shared" ref="C11:G32" si="35">IF(OR(B12="", B11=""), "", B12 - B11)</f>
        <v>2186</v>
      </c>
      <c r="D11" s="20">
        <v>1648312</v>
      </c>
      <c r="E11" s="75">
        <f t="shared" si="35"/>
        <v>552</v>
      </c>
      <c r="F11" s="20">
        <v>205420</v>
      </c>
      <c r="G11" s="75">
        <f t="shared" si="35"/>
        <v>43</v>
      </c>
      <c r="H11" s="79">
        <f>IF(OR(C11="", E11="", G11=""), "", C11 + E11 - G11)</f>
        <v>2695</v>
      </c>
      <c r="I11" s="80">
        <f>IF(OR(H11="", K11="", M11="", O11="", Q11=""), "", H11 - K11 - M11 - O11 - Q11)</f>
        <v>1944.6914473678407</v>
      </c>
      <c r="J11" s="35">
        <v>5009805</v>
      </c>
      <c r="K11" s="75">
        <f t="shared" ref="K11:K33" si="36">IF(OR(J12="", J11=""), "", J12 - J11)</f>
        <v>558.59999999962747</v>
      </c>
      <c r="L11" s="9">
        <v>478705.31578950398</v>
      </c>
      <c r="M11" s="75">
        <f t="shared" ref="M11:M33" si="37">IF(OR(L12="", L11=""), "", L12 - L11)</f>
        <v>14.736842106038239</v>
      </c>
      <c r="N11" s="9">
        <v>158780.46315789601</v>
      </c>
      <c r="O11" s="75">
        <f t="shared" ref="O11:O33" si="38">IF(OR(N12="", N11=""), "", N12 - N11)</f>
        <v>70.245394736994058</v>
      </c>
      <c r="P11" s="35">
        <v>40644.910526316002</v>
      </c>
      <c r="Q11" s="75">
        <f t="shared" ref="Q11:Q33" si="39">IF(OR(P12="", P11=""), "", P12 - P11)</f>
        <v>106.72631578949949</v>
      </c>
      <c r="R11" s="94">
        <f t="shared" si="20"/>
        <v>46063</v>
      </c>
      <c r="S11" s="87">
        <v>4690</v>
      </c>
      <c r="T11" s="89"/>
      <c r="U11" s="75">
        <f t="shared" si="15"/>
        <v>96</v>
      </c>
      <c r="V11" s="11">
        <v>0.75</v>
      </c>
      <c r="W11" s="26">
        <v>0.73</v>
      </c>
      <c r="X11" s="96">
        <f t="shared" si="16"/>
        <v>3700</v>
      </c>
      <c r="Y11" s="84"/>
      <c r="Z11" s="75">
        <f t="shared" si="17"/>
        <v>25</v>
      </c>
      <c r="AA11" s="28">
        <v>137681</v>
      </c>
      <c r="AB11" s="75">
        <f t="shared" ref="AB11:AB33" si="40">IF(OR(AA12="", AA11=""), "", AA12 - AA11)</f>
        <v>81</v>
      </c>
      <c r="AC11" s="28">
        <v>4144.7</v>
      </c>
      <c r="AD11" s="75">
        <f t="shared" ref="AD11:AD33" si="41">IF(OR(AC12="", AC11=""), "", AC12 - AC11)</f>
        <v>5.3000000000001819</v>
      </c>
      <c r="AE11" s="30">
        <v>73027</v>
      </c>
      <c r="AF11" s="75">
        <f t="shared" ref="AF11:AF33" si="42">IF(OR(AE12="", AE11=""), "", AE12 - AE11)</f>
        <v>0</v>
      </c>
      <c r="AG11" s="33">
        <v>3100</v>
      </c>
      <c r="AH11" s="71"/>
      <c r="AI11" s="75" t="str">
        <f t="shared" ref="AI11:AI33" si="43">IF(OR(AH12="", AH11=""), "", AH12 - AH11)</f>
        <v/>
      </c>
      <c r="AJ11" s="8">
        <v>0</v>
      </c>
      <c r="AK11" s="13">
        <v>0</v>
      </c>
    </row>
    <row r="12" spans="1:37" x14ac:dyDescent="0.2">
      <c r="A12" s="94">
        <f t="shared" si="12"/>
        <v>46064</v>
      </c>
      <c r="B12" s="6">
        <v>33793429</v>
      </c>
      <c r="C12" s="75">
        <f t="shared" si="35"/>
        <v>3504</v>
      </c>
      <c r="D12" s="20">
        <v>1648864</v>
      </c>
      <c r="E12" s="75">
        <f t="shared" ref="E12" si="44">IF(OR(D13="", D12=""), "", D13 - D12)</f>
        <v>412</v>
      </c>
      <c r="F12" s="20">
        <v>205463</v>
      </c>
      <c r="G12" s="75">
        <f t="shared" ref="G12" si="45">IF(OR(F13="", F12=""), "", F13 - F12)</f>
        <v>5</v>
      </c>
      <c r="H12" s="79">
        <f t="shared" ref="H12:H33" si="46">IF(OR(C12="", E12="", G12=""), "", C12 + E12 - G12)</f>
        <v>3911</v>
      </c>
      <c r="I12" s="80">
        <f t="shared" ref="I12:I33" si="47">IF(OR(H12="", K12="", M12="", O12="", Q12=""), "", H12 - K12 - M12 - O12 - Q12)</f>
        <v>2632.4914473667814</v>
      </c>
      <c r="J12" s="35">
        <v>5010363.5999999996</v>
      </c>
      <c r="K12" s="75">
        <f t="shared" si="36"/>
        <v>1086.8000000007451</v>
      </c>
      <c r="L12" s="9">
        <v>478720.05263161001</v>
      </c>
      <c r="M12" s="75">
        <f t="shared" si="37"/>
        <v>14.736842105980031</v>
      </c>
      <c r="N12" s="9">
        <v>158850.708552633</v>
      </c>
      <c r="O12" s="75">
        <f t="shared" si="38"/>
        <v>70.245394736994058</v>
      </c>
      <c r="P12" s="35">
        <v>40751.636842105501</v>
      </c>
      <c r="Q12" s="75">
        <f t="shared" si="39"/>
        <v>106.72631578949949</v>
      </c>
      <c r="R12" s="94">
        <f t="shared" si="20"/>
        <v>46064</v>
      </c>
      <c r="S12" s="87">
        <v>4594</v>
      </c>
      <c r="T12" s="89"/>
      <c r="U12" s="75">
        <f t="shared" si="15"/>
        <v>759</v>
      </c>
      <c r="V12" s="11">
        <v>0.74</v>
      </c>
      <c r="W12" s="26">
        <v>0.73</v>
      </c>
      <c r="X12" s="96">
        <f t="shared" si="16"/>
        <v>3675</v>
      </c>
      <c r="Y12" s="84"/>
      <c r="Z12" s="75">
        <f t="shared" si="17"/>
        <v>500</v>
      </c>
      <c r="AA12" s="28">
        <v>137762</v>
      </c>
      <c r="AB12" s="75">
        <f t="shared" si="40"/>
        <v>41</v>
      </c>
      <c r="AC12" s="28">
        <v>4150</v>
      </c>
      <c r="AD12" s="75">
        <f t="shared" si="41"/>
        <v>4.6000000000003638</v>
      </c>
      <c r="AE12" s="30">
        <v>73027</v>
      </c>
      <c r="AF12" s="75">
        <f t="shared" si="42"/>
        <v>0</v>
      </c>
      <c r="AG12" s="33">
        <v>3100</v>
      </c>
      <c r="AH12" s="71"/>
      <c r="AI12" s="75" t="str">
        <f t="shared" si="43"/>
        <v/>
      </c>
      <c r="AJ12" s="8">
        <v>11</v>
      </c>
      <c r="AK12" s="13">
        <v>18</v>
      </c>
    </row>
    <row r="13" spans="1:37" x14ac:dyDescent="0.2">
      <c r="A13" s="94">
        <f t="shared" si="12"/>
        <v>46065</v>
      </c>
      <c r="B13" s="6">
        <v>33796933</v>
      </c>
      <c r="C13" s="75">
        <f t="shared" si="35"/>
        <v>3742</v>
      </c>
      <c r="D13" s="20">
        <v>1649276</v>
      </c>
      <c r="E13" s="75">
        <f t="shared" ref="E13" si="48">IF(OR(D14="", D13=""), "", D14 - D13)</f>
        <v>374</v>
      </c>
      <c r="F13" s="20">
        <v>205468</v>
      </c>
      <c r="G13" s="75">
        <f t="shared" ref="G13" si="49">IF(OR(F14="", F13=""), "", F14 - F13)</f>
        <v>0</v>
      </c>
      <c r="H13" s="79">
        <f t="shared" si="46"/>
        <v>4116</v>
      </c>
      <c r="I13" s="80">
        <f t="shared" si="47"/>
        <v>2732.6914473678989</v>
      </c>
      <c r="J13" s="35">
        <v>5011450.4000000004</v>
      </c>
      <c r="K13" s="75">
        <f t="shared" si="36"/>
        <v>1191.5999999996275</v>
      </c>
      <c r="L13" s="9">
        <v>478734.78947371599</v>
      </c>
      <c r="M13" s="75">
        <f t="shared" si="37"/>
        <v>14.736842105980031</v>
      </c>
      <c r="N13" s="9">
        <v>158920.95394737</v>
      </c>
      <c r="O13" s="75">
        <f t="shared" si="38"/>
        <v>70.245394736994058</v>
      </c>
      <c r="P13" s="35">
        <v>40858.363157895001</v>
      </c>
      <c r="Q13" s="75">
        <f t="shared" si="39"/>
        <v>106.72631578949949</v>
      </c>
      <c r="R13" s="94">
        <f t="shared" si="20"/>
        <v>46065</v>
      </c>
      <c r="S13" s="87">
        <v>3835</v>
      </c>
      <c r="T13" s="89"/>
      <c r="U13" s="75">
        <f t="shared" si="15"/>
        <v>418</v>
      </c>
      <c r="V13" s="11">
        <v>0.65</v>
      </c>
      <c r="W13" s="26">
        <v>0.62</v>
      </c>
      <c r="X13" s="96">
        <f t="shared" si="16"/>
        <v>3175</v>
      </c>
      <c r="Y13" s="84"/>
      <c r="Z13" s="75">
        <f t="shared" si="17"/>
        <v>500</v>
      </c>
      <c r="AA13" s="28">
        <v>137803</v>
      </c>
      <c r="AB13" s="75">
        <f t="shared" si="40"/>
        <v>25</v>
      </c>
      <c r="AC13" s="28">
        <v>4154.6000000000004</v>
      </c>
      <c r="AD13" s="75">
        <f t="shared" si="41"/>
        <v>1.6999999999998181</v>
      </c>
      <c r="AE13" s="30">
        <v>73027</v>
      </c>
      <c r="AF13" s="75">
        <f t="shared" si="42"/>
        <v>0</v>
      </c>
      <c r="AG13" s="33">
        <v>3100</v>
      </c>
      <c r="AH13" s="71"/>
      <c r="AI13" s="75" t="str">
        <f t="shared" si="43"/>
        <v/>
      </c>
      <c r="AJ13" s="8">
        <v>20</v>
      </c>
      <c r="AK13" s="13">
        <v>32</v>
      </c>
    </row>
    <row r="14" spans="1:37" x14ac:dyDescent="0.2">
      <c r="A14" s="94">
        <f t="shared" si="12"/>
        <v>46066</v>
      </c>
      <c r="B14" s="6">
        <v>33800675</v>
      </c>
      <c r="C14" s="75">
        <f t="shared" si="35"/>
        <v>3750</v>
      </c>
      <c r="D14" s="20">
        <v>1649650</v>
      </c>
      <c r="E14" s="75">
        <f t="shared" ref="E14" si="50">IF(OR(D15="", D14=""), "", D15 - D14)</f>
        <v>411</v>
      </c>
      <c r="F14" s="20">
        <v>205468</v>
      </c>
      <c r="G14" s="75">
        <f t="shared" ref="G14" si="51">IF(OR(F15="", F14=""), "", F15 - F14)</f>
        <v>28</v>
      </c>
      <c r="H14" s="79">
        <f t="shared" si="46"/>
        <v>4133</v>
      </c>
      <c r="I14" s="80">
        <f t="shared" si="47"/>
        <v>2946.0914473672819</v>
      </c>
      <c r="J14" s="35">
        <v>5012642</v>
      </c>
      <c r="K14" s="75">
        <f t="shared" si="36"/>
        <v>995.20000000018626</v>
      </c>
      <c r="L14" s="9">
        <v>478749.52631582198</v>
      </c>
      <c r="M14" s="75">
        <f t="shared" si="37"/>
        <v>14.736842106038239</v>
      </c>
      <c r="N14" s="9">
        <v>158991.19934210699</v>
      </c>
      <c r="O14" s="75">
        <f t="shared" si="38"/>
        <v>70.245394736994058</v>
      </c>
      <c r="P14" s="35">
        <v>40965.0894736845</v>
      </c>
      <c r="Q14" s="75">
        <f t="shared" si="39"/>
        <v>106.72631578949949</v>
      </c>
      <c r="R14" s="94">
        <f t="shared" si="20"/>
        <v>46066</v>
      </c>
      <c r="S14" s="87">
        <v>3417</v>
      </c>
      <c r="T14" s="89"/>
      <c r="U14" s="75">
        <f t="shared" si="15"/>
        <v>221</v>
      </c>
      <c r="V14" s="11">
        <v>0.52</v>
      </c>
      <c r="W14" s="26">
        <v>0.55000000000000004</v>
      </c>
      <c r="X14" s="96">
        <f t="shared" si="16"/>
        <v>2675</v>
      </c>
      <c r="Y14" s="84">
        <v>1526.67</v>
      </c>
      <c r="Z14" s="75">
        <f t="shared" si="17"/>
        <v>601.67000000000007</v>
      </c>
      <c r="AA14" s="28">
        <v>137828</v>
      </c>
      <c r="AB14" s="75">
        <f t="shared" si="40"/>
        <v>50</v>
      </c>
      <c r="AC14" s="28">
        <v>4156.3</v>
      </c>
      <c r="AD14" s="75">
        <f t="shared" si="41"/>
        <v>4</v>
      </c>
      <c r="AE14" s="30">
        <v>73027</v>
      </c>
      <c r="AF14" s="75">
        <f t="shared" si="42"/>
        <v>0</v>
      </c>
      <c r="AG14" s="33">
        <v>3100</v>
      </c>
      <c r="AH14" s="71"/>
      <c r="AI14" s="75" t="str">
        <f t="shared" si="43"/>
        <v/>
      </c>
      <c r="AJ14" s="8">
        <v>66</v>
      </c>
      <c r="AK14" s="13">
        <v>125</v>
      </c>
    </row>
    <row r="15" spans="1:37" x14ac:dyDescent="0.2">
      <c r="A15" s="94">
        <f t="shared" si="12"/>
        <v>46067</v>
      </c>
      <c r="B15" s="6">
        <v>33804425</v>
      </c>
      <c r="C15" s="75">
        <f t="shared" si="35"/>
        <v>4227</v>
      </c>
      <c r="D15" s="20">
        <v>1650061</v>
      </c>
      <c r="E15" s="75">
        <f t="shared" ref="E15" si="52">IF(OR(D16="", D15=""), "", D16 - D15)</f>
        <v>170</v>
      </c>
      <c r="F15" s="20">
        <v>205496</v>
      </c>
      <c r="G15" s="75">
        <f t="shared" ref="G15" si="53">IF(OR(F16="", F15=""), "", F16 - F15)</f>
        <v>0</v>
      </c>
      <c r="H15" s="79">
        <f t="shared" si="46"/>
        <v>4397</v>
      </c>
      <c r="I15" s="80">
        <f t="shared" si="47"/>
        <v>3358.091447367311</v>
      </c>
      <c r="J15" s="35">
        <v>5013637.2</v>
      </c>
      <c r="K15" s="75">
        <f t="shared" si="36"/>
        <v>847.20000000018626</v>
      </c>
      <c r="L15" s="9">
        <v>478764.26315792801</v>
      </c>
      <c r="M15" s="75">
        <f t="shared" si="37"/>
        <v>14.736842105980031</v>
      </c>
      <c r="N15" s="9">
        <v>159061.44473684399</v>
      </c>
      <c r="O15" s="75">
        <f t="shared" si="38"/>
        <v>70.245394737023162</v>
      </c>
      <c r="P15" s="35">
        <v>41071.815789474</v>
      </c>
      <c r="Q15" s="75">
        <f t="shared" si="39"/>
        <v>106.72631578949949</v>
      </c>
      <c r="R15" s="94">
        <f t="shared" si="20"/>
        <v>46067</v>
      </c>
      <c r="S15" s="87">
        <v>3196</v>
      </c>
      <c r="T15" s="89"/>
      <c r="U15" s="75">
        <f t="shared" si="15"/>
        <v>354</v>
      </c>
      <c r="V15" s="11">
        <v>0.7</v>
      </c>
      <c r="W15" s="26">
        <v>0.74</v>
      </c>
      <c r="X15" s="96">
        <f t="shared" si="16"/>
        <v>3600</v>
      </c>
      <c r="Y15" s="84"/>
      <c r="Z15" s="75">
        <f t="shared" si="17"/>
        <v>500</v>
      </c>
      <c r="AA15" s="28">
        <v>137878</v>
      </c>
      <c r="AB15" s="75">
        <f t="shared" si="40"/>
        <v>51</v>
      </c>
      <c r="AC15" s="28">
        <v>4160.3</v>
      </c>
      <c r="AD15" s="75">
        <f t="shared" si="41"/>
        <v>7.5</v>
      </c>
      <c r="AE15" s="30">
        <v>73027</v>
      </c>
      <c r="AF15" s="75">
        <f t="shared" si="42"/>
        <v>0</v>
      </c>
      <c r="AG15" s="33">
        <v>3100</v>
      </c>
      <c r="AH15" s="71"/>
      <c r="AI15" s="75" t="str">
        <f t="shared" si="43"/>
        <v/>
      </c>
      <c r="AJ15" s="8">
        <v>155</v>
      </c>
      <c r="AK15" s="13">
        <v>319</v>
      </c>
    </row>
    <row r="16" spans="1:37" x14ac:dyDescent="0.2">
      <c r="A16" s="94">
        <f t="shared" si="12"/>
        <v>46068</v>
      </c>
      <c r="B16" s="6">
        <v>33808652</v>
      </c>
      <c r="C16" s="75">
        <f t="shared" si="35"/>
        <v>3464</v>
      </c>
      <c r="D16" s="20">
        <v>1650231</v>
      </c>
      <c r="E16" s="75">
        <f t="shared" ref="E16" si="54">IF(OR(D17="", D16=""), "", D17 - D16)</f>
        <v>82</v>
      </c>
      <c r="F16" s="20">
        <v>205496</v>
      </c>
      <c r="G16" s="75">
        <f t="shared" ref="G16" si="55">IF(OR(F17="", F16=""), "", F17 - F16)</f>
        <v>0</v>
      </c>
      <c r="H16" s="79">
        <f t="shared" si="46"/>
        <v>3546</v>
      </c>
      <c r="I16" s="80">
        <f t="shared" si="47"/>
        <v>2575.0914473682715</v>
      </c>
      <c r="J16" s="35">
        <v>5014484.4000000004</v>
      </c>
      <c r="K16" s="75">
        <f t="shared" si="36"/>
        <v>779.19999999925494</v>
      </c>
      <c r="L16" s="9">
        <v>478779.00000003399</v>
      </c>
      <c r="M16" s="75">
        <f t="shared" si="37"/>
        <v>14.736842105980031</v>
      </c>
      <c r="N16" s="9">
        <v>159131.69013158101</v>
      </c>
      <c r="O16" s="75">
        <f t="shared" si="38"/>
        <v>70.245394736994058</v>
      </c>
      <c r="P16" s="35">
        <v>41178.542105263499</v>
      </c>
      <c r="Q16" s="75">
        <f t="shared" si="39"/>
        <v>106.72631578949949</v>
      </c>
      <c r="R16" s="94">
        <f t="shared" si="20"/>
        <v>46068</v>
      </c>
      <c r="S16" s="87">
        <v>2842</v>
      </c>
      <c r="T16" s="89"/>
      <c r="U16" s="75">
        <f t="shared" si="15"/>
        <v>208</v>
      </c>
      <c r="V16" s="11">
        <v>0.6</v>
      </c>
      <c r="W16" s="26">
        <v>0.64</v>
      </c>
      <c r="X16" s="96">
        <f t="shared" si="16"/>
        <v>3100</v>
      </c>
      <c r="Y16" s="84"/>
      <c r="Z16" s="75">
        <f t="shared" si="17"/>
        <v>275</v>
      </c>
      <c r="AA16" s="28">
        <v>137929</v>
      </c>
      <c r="AB16" s="75">
        <f t="shared" si="40"/>
        <v>48</v>
      </c>
      <c r="AC16" s="28">
        <v>4167.8</v>
      </c>
      <c r="AD16" s="75">
        <f t="shared" si="41"/>
        <v>4.1999999999998181</v>
      </c>
      <c r="AE16" s="30">
        <v>73027</v>
      </c>
      <c r="AF16" s="75">
        <f t="shared" si="42"/>
        <v>0</v>
      </c>
      <c r="AG16" s="33">
        <v>3100</v>
      </c>
      <c r="AH16" s="71"/>
      <c r="AI16" s="75" t="str">
        <f t="shared" si="43"/>
        <v/>
      </c>
      <c r="AJ16" s="8">
        <v>41</v>
      </c>
      <c r="AK16" s="13">
        <v>62</v>
      </c>
    </row>
    <row r="17" spans="1:37" x14ac:dyDescent="0.2">
      <c r="A17" s="94">
        <f t="shared" si="12"/>
        <v>46069</v>
      </c>
      <c r="B17" s="6">
        <v>33812116</v>
      </c>
      <c r="C17" s="75">
        <f t="shared" si="35"/>
        <v>3297</v>
      </c>
      <c r="D17" s="20">
        <v>1650313</v>
      </c>
      <c r="E17" s="75">
        <f t="shared" ref="E17" si="56">IF(OR(D18="", D17=""), "", D18 - D17)</f>
        <v>453</v>
      </c>
      <c r="F17" s="20">
        <v>205496</v>
      </c>
      <c r="G17" s="75">
        <f t="shared" ref="G17" si="57">IF(OR(F18="", F17=""), "", F18 - F17)</f>
        <v>6</v>
      </c>
      <c r="H17" s="79">
        <f t="shared" si="46"/>
        <v>3744</v>
      </c>
      <c r="I17" s="80">
        <f t="shared" si="47"/>
        <v>2594.6914473669094</v>
      </c>
      <c r="J17" s="35">
        <v>5015263.5999999996</v>
      </c>
      <c r="K17" s="75">
        <f t="shared" si="36"/>
        <v>957.60000000055879</v>
      </c>
      <c r="L17" s="9">
        <v>478793.73684213997</v>
      </c>
      <c r="M17" s="75">
        <f t="shared" si="37"/>
        <v>14.736842106038239</v>
      </c>
      <c r="N17" s="9">
        <v>159201.935526318</v>
      </c>
      <c r="O17" s="75">
        <f t="shared" si="38"/>
        <v>70.245394736994058</v>
      </c>
      <c r="P17" s="35">
        <v>41285.268421052999</v>
      </c>
      <c r="Q17" s="75">
        <f t="shared" si="39"/>
        <v>106.72631578949949</v>
      </c>
      <c r="R17" s="94">
        <f t="shared" si="20"/>
        <v>46069</v>
      </c>
      <c r="S17" s="87">
        <v>2634</v>
      </c>
      <c r="T17" s="89">
        <v>8000</v>
      </c>
      <c r="U17" s="75">
        <f t="shared" si="15"/>
        <v>291</v>
      </c>
      <c r="V17" s="11">
        <v>0.55000000000000004</v>
      </c>
      <c r="W17" s="26">
        <v>0.57999999999999996</v>
      </c>
      <c r="X17" s="96">
        <f t="shared" si="16"/>
        <v>2825</v>
      </c>
      <c r="Y17" s="84">
        <v>1517.51</v>
      </c>
      <c r="Z17" s="75">
        <f t="shared" si="17"/>
        <v>667.51000000000022</v>
      </c>
      <c r="AA17" s="28">
        <v>137977</v>
      </c>
      <c r="AB17" s="75">
        <f t="shared" si="40"/>
        <v>34</v>
      </c>
      <c r="AC17" s="28">
        <v>4172</v>
      </c>
      <c r="AD17" s="75">
        <f t="shared" si="41"/>
        <v>14</v>
      </c>
      <c r="AE17" s="30">
        <v>73027</v>
      </c>
      <c r="AF17" s="75">
        <f t="shared" si="42"/>
        <v>0</v>
      </c>
      <c r="AG17" s="33">
        <v>3100</v>
      </c>
      <c r="AH17" s="71"/>
      <c r="AI17" s="75" t="str">
        <f t="shared" si="43"/>
        <v/>
      </c>
      <c r="AJ17" s="8">
        <v>43</v>
      </c>
      <c r="AK17" s="13">
        <v>69</v>
      </c>
    </row>
    <row r="18" spans="1:37" x14ac:dyDescent="0.2">
      <c r="A18" s="94">
        <f t="shared" si="12"/>
        <v>46070</v>
      </c>
      <c r="B18" s="6">
        <v>33815413</v>
      </c>
      <c r="C18" s="75">
        <f t="shared" si="35"/>
        <v>3466</v>
      </c>
      <c r="D18" s="20">
        <v>1650766</v>
      </c>
      <c r="E18" s="75">
        <f t="shared" ref="E18" si="58">IF(OR(D19="", D18=""), "", D19 - D18)</f>
        <v>307</v>
      </c>
      <c r="F18" s="20">
        <v>205502</v>
      </c>
      <c r="G18" s="75">
        <f t="shared" ref="G18" si="59">IF(OR(F19="", F18=""), "", F19 - F18)</f>
        <v>6</v>
      </c>
      <c r="H18" s="79">
        <f t="shared" si="46"/>
        <v>3767</v>
      </c>
      <c r="I18" s="80">
        <f t="shared" si="47"/>
        <v>2727.2914473675264</v>
      </c>
      <c r="J18" s="35">
        <v>5016221.2</v>
      </c>
      <c r="K18" s="75">
        <f t="shared" si="36"/>
        <v>848</v>
      </c>
      <c r="L18" s="9">
        <v>478808.47368424601</v>
      </c>
      <c r="M18" s="75">
        <f t="shared" si="37"/>
        <v>14.736842105980031</v>
      </c>
      <c r="N18" s="9">
        <v>159272.180921055</v>
      </c>
      <c r="O18" s="75">
        <f t="shared" si="38"/>
        <v>70.245394736994058</v>
      </c>
      <c r="P18" s="35">
        <v>41391.994736842498</v>
      </c>
      <c r="Q18" s="75">
        <f t="shared" si="39"/>
        <v>106.72631578949949</v>
      </c>
      <c r="R18" s="94">
        <f t="shared" si="20"/>
        <v>46070</v>
      </c>
      <c r="S18" s="87">
        <v>10343</v>
      </c>
      <c r="T18" s="89"/>
      <c r="U18" s="75">
        <f t="shared" si="15"/>
        <v>287</v>
      </c>
      <c r="V18" s="11">
        <v>0.72</v>
      </c>
      <c r="W18" s="26">
        <v>0.75</v>
      </c>
      <c r="X18" s="96">
        <f t="shared" si="16"/>
        <v>3675</v>
      </c>
      <c r="Y18" s="84"/>
      <c r="Z18" s="75">
        <f t="shared" si="17"/>
        <v>300</v>
      </c>
      <c r="AA18" s="28">
        <v>138011</v>
      </c>
      <c r="AB18" s="75">
        <f t="shared" si="40"/>
        <v>47</v>
      </c>
      <c r="AC18" s="28">
        <v>4186</v>
      </c>
      <c r="AD18" s="75">
        <f t="shared" si="41"/>
        <v>3</v>
      </c>
      <c r="AE18" s="30">
        <v>73027</v>
      </c>
      <c r="AF18" s="75">
        <f t="shared" si="42"/>
        <v>0</v>
      </c>
      <c r="AG18" s="33">
        <v>3100</v>
      </c>
      <c r="AH18" s="71"/>
      <c r="AI18" s="75" t="str">
        <f t="shared" si="43"/>
        <v/>
      </c>
      <c r="AJ18" s="8">
        <v>53</v>
      </c>
      <c r="AK18" s="13">
        <v>92</v>
      </c>
    </row>
    <row r="19" spans="1:37" x14ac:dyDescent="0.2">
      <c r="A19" s="94">
        <f t="shared" si="12"/>
        <v>46071</v>
      </c>
      <c r="B19" s="6">
        <v>33818879</v>
      </c>
      <c r="C19" s="75">
        <f t="shared" si="35"/>
        <v>2893</v>
      </c>
      <c r="D19" s="20">
        <v>1651073</v>
      </c>
      <c r="E19" s="75">
        <f t="shared" ref="E19" si="60">IF(OR(D20="", D19=""), "", D20 - D19)</f>
        <v>894</v>
      </c>
      <c r="F19" s="20">
        <v>205508</v>
      </c>
      <c r="G19" s="75">
        <f t="shared" ref="G19" si="61">IF(OR(F20="", F19=""), "", F20 - F19)</f>
        <v>184</v>
      </c>
      <c r="H19" s="79">
        <f t="shared" si="46"/>
        <v>3603</v>
      </c>
      <c r="I19" s="80">
        <f t="shared" si="47"/>
        <v>2530.0914473673402</v>
      </c>
      <c r="J19" s="35">
        <v>5017069.2</v>
      </c>
      <c r="K19" s="75">
        <f t="shared" si="36"/>
        <v>881.20000000018626</v>
      </c>
      <c r="L19" s="9">
        <v>478823.21052635199</v>
      </c>
      <c r="M19" s="75">
        <f t="shared" si="37"/>
        <v>14.736842105980031</v>
      </c>
      <c r="N19" s="9">
        <v>159342.42631579199</v>
      </c>
      <c r="O19" s="75">
        <f t="shared" si="38"/>
        <v>70.245394736994058</v>
      </c>
      <c r="P19" s="35">
        <v>41498.721052631998</v>
      </c>
      <c r="Q19" s="75">
        <f t="shared" si="39"/>
        <v>106.72631578949949</v>
      </c>
      <c r="R19" s="94">
        <f t="shared" si="20"/>
        <v>46071</v>
      </c>
      <c r="S19" s="87">
        <v>10056</v>
      </c>
      <c r="T19" s="89"/>
      <c r="U19" s="75">
        <f t="shared" si="15"/>
        <v>193</v>
      </c>
      <c r="V19" s="11">
        <v>0.69</v>
      </c>
      <c r="W19" s="26">
        <v>0.66</v>
      </c>
      <c r="X19" s="96">
        <f t="shared" si="16"/>
        <v>3375</v>
      </c>
      <c r="Y19" s="84"/>
      <c r="Z19" s="75">
        <f t="shared" si="17"/>
        <v>400</v>
      </c>
      <c r="AA19" s="28">
        <v>138058</v>
      </c>
      <c r="AB19" s="75">
        <f t="shared" si="40"/>
        <v>32</v>
      </c>
      <c r="AC19" s="28">
        <v>4189</v>
      </c>
      <c r="AD19" s="75">
        <f t="shared" si="41"/>
        <v>10</v>
      </c>
      <c r="AE19" s="30">
        <v>73027</v>
      </c>
      <c r="AF19" s="75">
        <f t="shared" si="42"/>
        <v>0</v>
      </c>
      <c r="AG19" s="33">
        <v>3100</v>
      </c>
      <c r="AH19" s="71"/>
      <c r="AI19" s="75" t="str">
        <f t="shared" si="43"/>
        <v/>
      </c>
      <c r="AJ19" s="8">
        <v>57</v>
      </c>
      <c r="AK19" s="13">
        <v>100</v>
      </c>
    </row>
    <row r="20" spans="1:37" x14ac:dyDescent="0.2">
      <c r="A20" s="94">
        <f t="shared" si="12"/>
        <v>46072</v>
      </c>
      <c r="B20" s="6">
        <v>33821772</v>
      </c>
      <c r="C20" s="75">
        <f t="shared" si="35"/>
        <v>3066</v>
      </c>
      <c r="D20" s="20">
        <v>1651967</v>
      </c>
      <c r="E20" s="75">
        <f t="shared" ref="E20" si="62">IF(OR(D21="", D20=""), "", D21 - D20)</f>
        <v>460</v>
      </c>
      <c r="F20" s="20">
        <v>205692</v>
      </c>
      <c r="G20" s="75">
        <f t="shared" ref="G20" si="63">IF(OR(F21="", F20=""), "", F21 - F20)</f>
        <v>32</v>
      </c>
      <c r="H20" s="79">
        <f t="shared" si="46"/>
        <v>3494</v>
      </c>
      <c r="I20" s="80">
        <f t="shared" si="47"/>
        <v>2594.2914473674391</v>
      </c>
      <c r="J20" s="35">
        <v>5017950.4000000004</v>
      </c>
      <c r="K20" s="75">
        <f t="shared" si="36"/>
        <v>708</v>
      </c>
      <c r="L20" s="9">
        <v>478837.94736845797</v>
      </c>
      <c r="M20" s="75">
        <f t="shared" si="37"/>
        <v>14.736842106038239</v>
      </c>
      <c r="N20" s="9">
        <v>159412.67171052899</v>
      </c>
      <c r="O20" s="75">
        <f t="shared" si="38"/>
        <v>70.245394737023162</v>
      </c>
      <c r="P20" s="35">
        <v>41605.447368421497</v>
      </c>
      <c r="Q20" s="75">
        <f t="shared" si="39"/>
        <v>106.72631578949949</v>
      </c>
      <c r="R20" s="94">
        <f t="shared" si="20"/>
        <v>46072</v>
      </c>
      <c r="S20" s="87">
        <v>9863</v>
      </c>
      <c r="T20" s="89"/>
      <c r="U20" s="75">
        <f t="shared" si="15"/>
        <v>194</v>
      </c>
      <c r="V20" s="11">
        <v>0.59</v>
      </c>
      <c r="W20" s="26">
        <v>0.6</v>
      </c>
      <c r="X20" s="96">
        <f t="shared" si="16"/>
        <v>2975</v>
      </c>
      <c r="Y20" s="84"/>
      <c r="Z20" s="75">
        <f t="shared" si="17"/>
        <v>275</v>
      </c>
      <c r="AA20" s="28">
        <v>138090</v>
      </c>
      <c r="AB20" s="75">
        <f t="shared" si="40"/>
        <v>45</v>
      </c>
      <c r="AC20" s="28">
        <v>4199</v>
      </c>
      <c r="AD20" s="75">
        <f t="shared" si="41"/>
        <v>10.699999999999818</v>
      </c>
      <c r="AE20" s="30">
        <v>73027</v>
      </c>
      <c r="AF20" s="75">
        <f t="shared" si="42"/>
        <v>0</v>
      </c>
      <c r="AG20" s="33">
        <v>3100</v>
      </c>
      <c r="AH20" s="71"/>
      <c r="AI20" s="75" t="str">
        <f t="shared" si="43"/>
        <v/>
      </c>
      <c r="AJ20" s="8">
        <v>71</v>
      </c>
      <c r="AK20" s="13">
        <v>129</v>
      </c>
    </row>
    <row r="21" spans="1:37" x14ac:dyDescent="0.2">
      <c r="A21" s="94">
        <f t="shared" si="12"/>
        <v>46073</v>
      </c>
      <c r="B21" s="6">
        <v>33824838</v>
      </c>
      <c r="C21" s="75">
        <f t="shared" si="35"/>
        <v>3478</v>
      </c>
      <c r="D21" s="20">
        <v>1652427</v>
      </c>
      <c r="E21" s="75">
        <f t="shared" ref="E21" si="64">IF(OR(D22="", D21=""), "", D22 - D21)</f>
        <v>330</v>
      </c>
      <c r="F21" s="20">
        <v>205724</v>
      </c>
      <c r="G21" s="75">
        <f t="shared" ref="G21" si="65">IF(OR(F22="", F21=""), "", F22 - F21)</f>
        <v>6</v>
      </c>
      <c r="H21" s="79">
        <f t="shared" si="46"/>
        <v>3802</v>
      </c>
      <c r="I21" s="80">
        <f t="shared" si="47"/>
        <v>2709.0914473682642</v>
      </c>
      <c r="J21" s="35">
        <v>5018658.4000000004</v>
      </c>
      <c r="K21" s="75">
        <f t="shared" si="36"/>
        <v>901.19999999925494</v>
      </c>
      <c r="L21" s="9">
        <v>478852.68421056401</v>
      </c>
      <c r="M21" s="75">
        <f t="shared" si="37"/>
        <v>14.736842105980031</v>
      </c>
      <c r="N21" s="9">
        <v>159482.91710526601</v>
      </c>
      <c r="O21" s="75">
        <f t="shared" si="38"/>
        <v>70.245394736994058</v>
      </c>
      <c r="P21" s="35">
        <v>41712.173684210997</v>
      </c>
      <c r="Q21" s="75">
        <f t="shared" si="39"/>
        <v>106.72631578950677</v>
      </c>
      <c r="R21" s="94">
        <f t="shared" si="20"/>
        <v>46073</v>
      </c>
      <c r="S21" s="87">
        <v>9669</v>
      </c>
      <c r="T21" s="89"/>
      <c r="U21" s="75">
        <f t="shared" si="15"/>
        <v>196</v>
      </c>
      <c r="V21" s="11">
        <v>0.52</v>
      </c>
      <c r="W21" s="26">
        <v>0.56000000000000005</v>
      </c>
      <c r="X21" s="96">
        <f t="shared" si="16"/>
        <v>2700</v>
      </c>
      <c r="Y21" s="84">
        <v>1812.1</v>
      </c>
      <c r="Z21" s="75">
        <f t="shared" si="17"/>
        <v>712.10000000000036</v>
      </c>
      <c r="AA21" s="28">
        <v>138135</v>
      </c>
      <c r="AB21" s="75">
        <f t="shared" si="40"/>
        <v>70</v>
      </c>
      <c r="AC21" s="28">
        <v>4209.7</v>
      </c>
      <c r="AD21" s="75">
        <f t="shared" si="41"/>
        <v>23.300000000000182</v>
      </c>
      <c r="AE21" s="30">
        <v>73027</v>
      </c>
      <c r="AF21" s="75">
        <f t="shared" si="42"/>
        <v>0</v>
      </c>
      <c r="AG21" s="33">
        <v>3100</v>
      </c>
      <c r="AH21" s="71"/>
      <c r="AI21" s="75" t="str">
        <f t="shared" si="43"/>
        <v/>
      </c>
      <c r="AJ21" s="8">
        <v>61</v>
      </c>
      <c r="AK21" s="13">
        <v>125</v>
      </c>
    </row>
    <row r="22" spans="1:37" x14ac:dyDescent="0.2">
      <c r="A22" s="94">
        <f t="shared" si="12"/>
        <v>46074</v>
      </c>
      <c r="B22" s="6">
        <v>33828316</v>
      </c>
      <c r="C22" s="75">
        <f t="shared" si="35"/>
        <v>3701</v>
      </c>
      <c r="D22" s="20">
        <v>1652757</v>
      </c>
      <c r="E22" s="75">
        <f t="shared" ref="E22" si="66">IF(OR(D23="", D22=""), "", D23 - D22)</f>
        <v>305</v>
      </c>
      <c r="F22" s="20">
        <v>205730</v>
      </c>
      <c r="G22" s="75">
        <f t="shared" ref="G22" si="67">IF(OR(F23="", F22=""), "", F23 - F22)</f>
        <v>0</v>
      </c>
      <c r="H22" s="79">
        <f t="shared" si="46"/>
        <v>4006</v>
      </c>
      <c r="I22" s="80">
        <f t="shared" si="47"/>
        <v>2885.4914473667232</v>
      </c>
      <c r="J22" s="35">
        <v>5019559.5999999996</v>
      </c>
      <c r="K22" s="75">
        <f t="shared" si="36"/>
        <v>928.80000000074506</v>
      </c>
      <c r="L22" s="9">
        <v>478867.42105266999</v>
      </c>
      <c r="M22" s="75">
        <f t="shared" si="37"/>
        <v>14.736842106038239</v>
      </c>
      <c r="N22" s="9">
        <v>159553.162500003</v>
      </c>
      <c r="O22" s="75">
        <f t="shared" si="38"/>
        <v>70.245394736994058</v>
      </c>
      <c r="P22" s="35">
        <v>41818.900000000503</v>
      </c>
      <c r="Q22" s="75">
        <f t="shared" si="39"/>
        <v>106.72631578949949</v>
      </c>
      <c r="R22" s="94">
        <f t="shared" si="20"/>
        <v>46074</v>
      </c>
      <c r="S22" s="87">
        <v>9473</v>
      </c>
      <c r="T22" s="89"/>
      <c r="U22" s="75">
        <f t="shared" si="15"/>
        <v>295</v>
      </c>
      <c r="V22" s="11">
        <v>0.76</v>
      </c>
      <c r="W22" s="26">
        <v>0.76</v>
      </c>
      <c r="X22" s="96">
        <f t="shared" si="16"/>
        <v>3800</v>
      </c>
      <c r="Y22" s="84"/>
      <c r="Z22" s="75">
        <f t="shared" si="17"/>
        <v>375</v>
      </c>
      <c r="AA22" s="28">
        <v>138205</v>
      </c>
      <c r="AB22" s="75">
        <f t="shared" si="40"/>
        <v>54</v>
      </c>
      <c r="AC22" s="28">
        <v>4233</v>
      </c>
      <c r="AD22" s="75">
        <f t="shared" si="41"/>
        <v>4.3000000000001819</v>
      </c>
      <c r="AE22" s="30">
        <v>73027</v>
      </c>
      <c r="AF22" s="75">
        <f t="shared" si="42"/>
        <v>0</v>
      </c>
      <c r="AG22" s="33">
        <v>3100</v>
      </c>
      <c r="AH22" s="71"/>
      <c r="AI22" s="75" t="str">
        <f t="shared" si="43"/>
        <v/>
      </c>
      <c r="AJ22" s="8">
        <v>148</v>
      </c>
      <c r="AK22" s="13">
        <v>311</v>
      </c>
    </row>
    <row r="23" spans="1:37" x14ac:dyDescent="0.2">
      <c r="A23" s="94">
        <f t="shared" si="12"/>
        <v>46075</v>
      </c>
      <c r="B23" s="6">
        <v>33832017</v>
      </c>
      <c r="C23" s="75">
        <f t="shared" si="35"/>
        <v>3741</v>
      </c>
      <c r="D23" s="20">
        <v>1653062</v>
      </c>
      <c r="E23" s="75">
        <f t="shared" ref="E23" si="68">IF(OR(D24="", D23=""), "", D24 - D23)</f>
        <v>185</v>
      </c>
      <c r="F23" s="20">
        <v>205730</v>
      </c>
      <c r="G23" s="75">
        <f t="shared" ref="G23" si="69">IF(OR(F24="", F23=""), "", F24 - F23)</f>
        <v>0</v>
      </c>
      <c r="H23" s="79">
        <f t="shared" si="46"/>
        <v>3926</v>
      </c>
      <c r="I23" s="80">
        <f t="shared" si="47"/>
        <v>2926.6914473678989</v>
      </c>
      <c r="J23" s="35">
        <v>5020488.4000000004</v>
      </c>
      <c r="K23" s="75">
        <f t="shared" si="36"/>
        <v>807.59999999962747</v>
      </c>
      <c r="L23" s="9">
        <v>478882.15789477603</v>
      </c>
      <c r="M23" s="75">
        <f t="shared" si="37"/>
        <v>14.736842105980031</v>
      </c>
      <c r="N23" s="9">
        <v>159623.40789474</v>
      </c>
      <c r="O23" s="75">
        <f t="shared" si="38"/>
        <v>70.245394736994058</v>
      </c>
      <c r="P23" s="35">
        <v>41925.626315790003</v>
      </c>
      <c r="Q23" s="75">
        <f t="shared" si="39"/>
        <v>106.72631578949949</v>
      </c>
      <c r="R23" s="94">
        <f t="shared" si="20"/>
        <v>46075</v>
      </c>
      <c r="S23" s="87">
        <v>9178</v>
      </c>
      <c r="T23" s="89"/>
      <c r="U23" s="75">
        <f t="shared" si="15"/>
        <v>298</v>
      </c>
      <c r="V23" s="11">
        <v>0.67</v>
      </c>
      <c r="W23" s="26">
        <v>0.7</v>
      </c>
      <c r="X23" s="96">
        <f t="shared" si="16"/>
        <v>3425</v>
      </c>
      <c r="Y23" s="84"/>
      <c r="Z23" s="75">
        <f t="shared" si="17"/>
        <v>300</v>
      </c>
      <c r="AA23" s="28">
        <v>138259</v>
      </c>
      <c r="AB23" s="75">
        <f t="shared" si="40"/>
        <v>66</v>
      </c>
      <c r="AC23" s="28">
        <v>4237.3</v>
      </c>
      <c r="AD23" s="75">
        <f t="shared" si="41"/>
        <v>17</v>
      </c>
      <c r="AE23" s="30">
        <v>73027</v>
      </c>
      <c r="AF23" s="75">
        <f t="shared" si="42"/>
        <v>0</v>
      </c>
      <c r="AG23" s="33">
        <v>3100</v>
      </c>
      <c r="AH23" s="71"/>
      <c r="AI23" s="75" t="str">
        <f t="shared" si="43"/>
        <v/>
      </c>
      <c r="AJ23" s="8">
        <v>137</v>
      </c>
      <c r="AK23" s="13">
        <v>284</v>
      </c>
    </row>
    <row r="24" spans="1:37" x14ac:dyDescent="0.2">
      <c r="A24" s="94">
        <f t="shared" si="12"/>
        <v>46076</v>
      </c>
      <c r="B24" s="6">
        <v>33835758</v>
      </c>
      <c r="C24" s="75">
        <f t="shared" si="35"/>
        <v>3341</v>
      </c>
      <c r="D24" s="20">
        <v>1653247</v>
      </c>
      <c r="E24" s="75">
        <f t="shared" ref="E24" si="70">IF(OR(D25="", D24=""), "", D25 - D24)</f>
        <v>510</v>
      </c>
      <c r="F24" s="20">
        <v>205730</v>
      </c>
      <c r="G24" s="75">
        <f t="shared" ref="G24" si="71">IF(OR(F25="", F24=""), "", F25 - F24)</f>
        <v>12</v>
      </c>
      <c r="H24" s="79">
        <f t="shared" si="46"/>
        <v>3839</v>
      </c>
      <c r="I24" s="80">
        <f t="shared" si="47"/>
        <v>2591.6914473678989</v>
      </c>
      <c r="J24" s="35">
        <v>5021296</v>
      </c>
      <c r="K24" s="75">
        <f t="shared" si="36"/>
        <v>1055.5999999996275</v>
      </c>
      <c r="L24" s="9">
        <v>478896.89473688201</v>
      </c>
      <c r="M24" s="75">
        <f t="shared" si="37"/>
        <v>14.736842105980031</v>
      </c>
      <c r="N24" s="9">
        <v>159693.65328947699</v>
      </c>
      <c r="O24" s="75">
        <f t="shared" si="38"/>
        <v>70.245394736994058</v>
      </c>
      <c r="P24" s="35">
        <v>42032.352631579502</v>
      </c>
      <c r="Q24" s="75">
        <f t="shared" si="39"/>
        <v>106.72631578949949</v>
      </c>
      <c r="R24" s="94">
        <f t="shared" si="20"/>
        <v>46076</v>
      </c>
      <c r="S24" s="87">
        <v>8880</v>
      </c>
      <c r="T24" s="89"/>
      <c r="U24" s="75">
        <f t="shared" si="15"/>
        <v>249</v>
      </c>
      <c r="V24" s="11">
        <v>0.6</v>
      </c>
      <c r="W24" s="26">
        <v>0.65</v>
      </c>
      <c r="X24" s="96">
        <f t="shared" si="16"/>
        <v>3125</v>
      </c>
      <c r="Y24" s="84"/>
      <c r="Z24" s="75">
        <f t="shared" si="17"/>
        <v>425</v>
      </c>
      <c r="AA24" s="28">
        <v>138325</v>
      </c>
      <c r="AB24" s="75">
        <f t="shared" si="40"/>
        <v>59</v>
      </c>
      <c r="AC24" s="28">
        <v>4254.3</v>
      </c>
      <c r="AD24" s="75">
        <f t="shared" si="41"/>
        <v>9.3999999999996362</v>
      </c>
      <c r="AE24" s="30">
        <v>73027</v>
      </c>
      <c r="AF24" s="75">
        <f t="shared" si="42"/>
        <v>0</v>
      </c>
      <c r="AG24" s="33">
        <v>3100</v>
      </c>
      <c r="AH24" s="71"/>
      <c r="AI24" s="75" t="str">
        <f t="shared" si="43"/>
        <v/>
      </c>
      <c r="AJ24" s="8">
        <v>57</v>
      </c>
      <c r="AK24" s="13">
        <v>103</v>
      </c>
    </row>
    <row r="25" spans="1:37" x14ac:dyDescent="0.2">
      <c r="A25" s="94">
        <f t="shared" si="12"/>
        <v>46077</v>
      </c>
      <c r="B25" s="6">
        <v>33839099</v>
      </c>
      <c r="C25" s="75" t="str">
        <f t="shared" si="35"/>
        <v/>
      </c>
      <c r="D25" s="20">
        <v>1653757</v>
      </c>
      <c r="E25" s="75" t="str">
        <f t="shared" ref="E25" si="72">IF(OR(D26="", D25=""), "", D26 - D25)</f>
        <v/>
      </c>
      <c r="F25" s="20">
        <v>205742</v>
      </c>
      <c r="G25" s="75" t="str">
        <f t="shared" ref="G25" si="73">IF(OR(F26="", F25=""), "", F26 - F25)</f>
        <v/>
      </c>
      <c r="H25" s="79" t="str">
        <f t="shared" si="46"/>
        <v/>
      </c>
      <c r="I25" s="80" t="str">
        <f t="shared" si="47"/>
        <v/>
      </c>
      <c r="J25" s="35">
        <v>5022351.5999999996</v>
      </c>
      <c r="K25" s="75" t="str">
        <f t="shared" si="36"/>
        <v/>
      </c>
      <c r="L25" s="9">
        <v>478911.63157898799</v>
      </c>
      <c r="M25" s="75" t="str">
        <f t="shared" si="37"/>
        <v/>
      </c>
      <c r="N25" s="9">
        <v>159763.89868421399</v>
      </c>
      <c r="O25" s="75" t="str">
        <f t="shared" si="38"/>
        <v/>
      </c>
      <c r="P25" s="35">
        <v>42139.078947369002</v>
      </c>
      <c r="Q25" s="75" t="str">
        <f t="shared" si="39"/>
        <v/>
      </c>
      <c r="R25" s="94">
        <f t="shared" si="20"/>
        <v>46077</v>
      </c>
      <c r="S25" s="87">
        <v>8631</v>
      </c>
      <c r="T25" s="89"/>
      <c r="U25" s="75" t="str">
        <f t="shared" si="15"/>
        <v/>
      </c>
      <c r="V25" s="11">
        <v>0.54</v>
      </c>
      <c r="W25" s="26">
        <v>0.54</v>
      </c>
      <c r="X25" s="96">
        <f t="shared" si="16"/>
        <v>2700</v>
      </c>
      <c r="Y25" s="84">
        <v>1615.11</v>
      </c>
      <c r="Z25" s="75" t="str">
        <f t="shared" si="17"/>
        <v/>
      </c>
      <c r="AA25" s="28">
        <v>138384</v>
      </c>
      <c r="AB25" s="75" t="str">
        <f t="shared" si="40"/>
        <v/>
      </c>
      <c r="AC25" s="28">
        <v>4263.7</v>
      </c>
      <c r="AD25" s="75" t="str">
        <f t="shared" si="41"/>
        <v/>
      </c>
      <c r="AE25" s="30">
        <v>73027</v>
      </c>
      <c r="AF25" s="75">
        <f t="shared" si="42"/>
        <v>0</v>
      </c>
      <c r="AG25" s="33">
        <v>3100</v>
      </c>
      <c r="AH25" s="71"/>
      <c r="AI25" s="75" t="str">
        <f t="shared" si="43"/>
        <v/>
      </c>
      <c r="AJ25" s="8">
        <v>0</v>
      </c>
      <c r="AK25" s="13">
        <v>0</v>
      </c>
    </row>
    <row r="26" spans="1:37" x14ac:dyDescent="0.2">
      <c r="A26" s="94">
        <f t="shared" si="12"/>
        <v>46078</v>
      </c>
      <c r="B26" s="6"/>
      <c r="C26" s="75" t="str">
        <f t="shared" si="35"/>
        <v/>
      </c>
      <c r="D26" s="20"/>
      <c r="E26" s="75" t="str">
        <f t="shared" ref="E26" si="74">IF(OR(D27="", D26=""), "", D27 - D26)</f>
        <v/>
      </c>
      <c r="F26" s="20"/>
      <c r="G26" s="75" t="str">
        <f t="shared" ref="G26" si="75">IF(OR(F27="", F26=""), "", F27 - F26)</f>
        <v/>
      </c>
      <c r="H26" s="79" t="str">
        <f t="shared" si="46"/>
        <v/>
      </c>
      <c r="I26" s="80" t="str">
        <f t="shared" si="47"/>
        <v/>
      </c>
      <c r="J26" s="35"/>
      <c r="K26" s="75" t="str">
        <f t="shared" si="36"/>
        <v/>
      </c>
      <c r="L26" s="9"/>
      <c r="M26" s="75" t="str">
        <f t="shared" si="37"/>
        <v/>
      </c>
      <c r="N26" s="9"/>
      <c r="O26" s="75" t="str">
        <f t="shared" si="38"/>
        <v/>
      </c>
      <c r="P26" s="35"/>
      <c r="Q26" s="75" t="str">
        <f t="shared" si="39"/>
        <v/>
      </c>
      <c r="R26" s="94">
        <f t="shared" si="20"/>
        <v>46078</v>
      </c>
      <c r="S26" s="87"/>
      <c r="T26" s="89"/>
      <c r="U26" s="75" t="str">
        <f t="shared" si="15"/>
        <v/>
      </c>
      <c r="V26" s="11"/>
      <c r="W26" s="26"/>
      <c r="X26" s="96" t="str">
        <f>IF(OR(V26="", W26=""), "", (V26 * 2500) + (W26 * 2500))</f>
        <v/>
      </c>
      <c r="Y26" s="84"/>
      <c r="Z26" s="75" t="str">
        <f t="shared" si="17"/>
        <v/>
      </c>
      <c r="AA26" s="28"/>
      <c r="AB26" s="75" t="str">
        <f t="shared" si="40"/>
        <v/>
      </c>
      <c r="AC26" s="28"/>
      <c r="AD26" s="75" t="str">
        <f t="shared" si="41"/>
        <v/>
      </c>
      <c r="AE26" s="30">
        <v>73027</v>
      </c>
      <c r="AF26" s="75">
        <f t="shared" si="42"/>
        <v>0</v>
      </c>
      <c r="AG26" s="33">
        <v>3100</v>
      </c>
      <c r="AH26" s="71"/>
      <c r="AI26" s="75" t="str">
        <f t="shared" si="43"/>
        <v/>
      </c>
      <c r="AJ26" s="8">
        <v>0</v>
      </c>
      <c r="AK26" s="13">
        <v>0</v>
      </c>
    </row>
    <row r="27" spans="1:37" x14ac:dyDescent="0.2">
      <c r="A27" s="94">
        <f t="shared" si="12"/>
        <v>46079</v>
      </c>
      <c r="B27" s="6"/>
      <c r="C27" s="75" t="str">
        <f t="shared" si="35"/>
        <v/>
      </c>
      <c r="D27" s="20"/>
      <c r="E27" s="75" t="str">
        <f t="shared" ref="E27" si="76">IF(OR(D28="", D27=""), "", D28 - D27)</f>
        <v/>
      </c>
      <c r="F27" s="20"/>
      <c r="G27" s="75" t="str">
        <f t="shared" ref="G27" si="77">IF(OR(F28="", F27=""), "", F28 - F27)</f>
        <v/>
      </c>
      <c r="H27" s="79" t="str">
        <f t="shared" si="46"/>
        <v/>
      </c>
      <c r="I27" s="80" t="str">
        <f t="shared" si="47"/>
        <v/>
      </c>
      <c r="J27" s="35"/>
      <c r="K27" s="75" t="str">
        <f t="shared" si="36"/>
        <v/>
      </c>
      <c r="L27" s="9"/>
      <c r="M27" s="75" t="str">
        <f t="shared" si="37"/>
        <v/>
      </c>
      <c r="N27" s="9"/>
      <c r="O27" s="75" t="str">
        <f t="shared" si="38"/>
        <v/>
      </c>
      <c r="P27" s="35"/>
      <c r="Q27" s="75" t="str">
        <f t="shared" si="39"/>
        <v/>
      </c>
      <c r="R27" s="94">
        <f t="shared" si="20"/>
        <v>46079</v>
      </c>
      <c r="S27" s="87"/>
      <c r="T27" s="89"/>
      <c r="U27" s="75" t="str">
        <f t="shared" si="15"/>
        <v/>
      </c>
      <c r="V27" s="11"/>
      <c r="W27" s="26"/>
      <c r="X27" s="96" t="str">
        <f>IF(OR(V27="", W27=""), "", (V27 * 2500) + (W27 * 2500))</f>
        <v/>
      </c>
      <c r="Y27" s="84"/>
      <c r="Z27" s="75" t="str">
        <f t="shared" si="17"/>
        <v/>
      </c>
      <c r="AA27" s="28"/>
      <c r="AB27" s="75" t="str">
        <f t="shared" si="40"/>
        <v/>
      </c>
      <c r="AC27" s="28"/>
      <c r="AD27" s="75" t="str">
        <f t="shared" si="41"/>
        <v/>
      </c>
      <c r="AE27" s="30">
        <v>73027</v>
      </c>
      <c r="AF27" s="75">
        <f t="shared" si="42"/>
        <v>0</v>
      </c>
      <c r="AG27" s="33">
        <v>3100</v>
      </c>
      <c r="AH27" s="71"/>
      <c r="AI27" s="75" t="str">
        <f t="shared" si="43"/>
        <v/>
      </c>
      <c r="AJ27" s="8">
        <v>0</v>
      </c>
      <c r="AK27" s="13">
        <v>0</v>
      </c>
    </row>
    <row r="28" spans="1:37" x14ac:dyDescent="0.2">
      <c r="A28" s="94">
        <f t="shared" si="12"/>
        <v>46080</v>
      </c>
      <c r="B28" s="6"/>
      <c r="C28" s="75" t="str">
        <f t="shared" si="35"/>
        <v/>
      </c>
      <c r="D28" s="20"/>
      <c r="E28" s="75" t="str">
        <f t="shared" ref="E28" si="78">IF(OR(D29="", D28=""), "", D29 - D28)</f>
        <v/>
      </c>
      <c r="F28" s="20"/>
      <c r="G28" s="75" t="str">
        <f t="shared" ref="G28" si="79">IF(OR(F29="", F28=""), "", F29 - F28)</f>
        <v/>
      </c>
      <c r="H28" s="79" t="str">
        <f t="shared" si="46"/>
        <v/>
      </c>
      <c r="I28" s="80" t="str">
        <f t="shared" si="47"/>
        <v/>
      </c>
      <c r="J28" s="35"/>
      <c r="K28" s="75" t="str">
        <f t="shared" si="36"/>
        <v/>
      </c>
      <c r="L28" s="9"/>
      <c r="M28" s="75" t="str">
        <f t="shared" si="37"/>
        <v/>
      </c>
      <c r="N28" s="9"/>
      <c r="O28" s="75" t="str">
        <f t="shared" si="38"/>
        <v/>
      </c>
      <c r="P28" s="35"/>
      <c r="Q28" s="75" t="str">
        <f t="shared" si="39"/>
        <v/>
      </c>
      <c r="R28" s="94">
        <f t="shared" si="20"/>
        <v>46080</v>
      </c>
      <c r="S28" s="87"/>
      <c r="T28" s="89"/>
      <c r="U28" s="75" t="str">
        <f t="shared" si="15"/>
        <v/>
      </c>
      <c r="V28" s="11"/>
      <c r="W28" s="26"/>
      <c r="X28" s="96" t="str">
        <f t="shared" si="16"/>
        <v/>
      </c>
      <c r="Y28" s="84"/>
      <c r="Z28" s="75" t="str">
        <f t="shared" si="17"/>
        <v/>
      </c>
      <c r="AA28" s="28"/>
      <c r="AB28" s="75" t="str">
        <f t="shared" si="40"/>
        <v/>
      </c>
      <c r="AC28" s="28"/>
      <c r="AD28" s="75" t="str">
        <f t="shared" si="41"/>
        <v/>
      </c>
      <c r="AE28" s="30">
        <v>73027</v>
      </c>
      <c r="AF28" s="75">
        <f t="shared" si="42"/>
        <v>0</v>
      </c>
      <c r="AG28" s="33">
        <v>3100</v>
      </c>
      <c r="AH28" s="71"/>
      <c r="AI28" s="75" t="str">
        <f t="shared" si="43"/>
        <v/>
      </c>
      <c r="AJ28" s="8">
        <v>0</v>
      </c>
      <c r="AK28" s="13">
        <v>0</v>
      </c>
    </row>
    <row r="29" spans="1:37" x14ac:dyDescent="0.2">
      <c r="A29" s="94">
        <f t="shared" si="12"/>
        <v>46081</v>
      </c>
      <c r="B29" s="6"/>
      <c r="C29" s="75" t="str">
        <f t="shared" si="35"/>
        <v/>
      </c>
      <c r="D29" s="20"/>
      <c r="E29" s="75" t="str">
        <f t="shared" ref="E29" si="80">IF(OR(D30="", D29=""), "", D30 - D29)</f>
        <v/>
      </c>
      <c r="F29" s="20"/>
      <c r="G29" s="75" t="str">
        <f t="shared" ref="G29" si="81">IF(OR(F30="", F29=""), "", F30 - F29)</f>
        <v/>
      </c>
      <c r="H29" s="79" t="str">
        <f t="shared" si="46"/>
        <v/>
      </c>
      <c r="I29" s="80" t="str">
        <f t="shared" si="47"/>
        <v/>
      </c>
      <c r="J29" s="35"/>
      <c r="K29" s="75" t="str">
        <f t="shared" si="36"/>
        <v/>
      </c>
      <c r="L29" s="9"/>
      <c r="M29" s="75" t="str">
        <f t="shared" si="37"/>
        <v/>
      </c>
      <c r="N29" s="9"/>
      <c r="O29" s="75" t="str">
        <f t="shared" si="38"/>
        <v/>
      </c>
      <c r="P29" s="35"/>
      <c r="Q29" s="75" t="str">
        <f t="shared" si="39"/>
        <v/>
      </c>
      <c r="R29" s="94">
        <f t="shared" si="20"/>
        <v>46081</v>
      </c>
      <c r="S29" s="87"/>
      <c r="T29" s="89"/>
      <c r="U29" s="75" t="str">
        <f t="shared" si="15"/>
        <v/>
      </c>
      <c r="V29" s="11"/>
      <c r="W29" s="26"/>
      <c r="X29" s="96" t="str">
        <f t="shared" si="16"/>
        <v/>
      </c>
      <c r="Y29" s="84"/>
      <c r="Z29" s="75" t="str">
        <f t="shared" si="17"/>
        <v/>
      </c>
      <c r="AA29" s="28"/>
      <c r="AB29" s="75" t="str">
        <f t="shared" si="40"/>
        <v/>
      </c>
      <c r="AC29" s="28"/>
      <c r="AD29" s="75" t="str">
        <f t="shared" si="41"/>
        <v/>
      </c>
      <c r="AE29" s="30">
        <v>73027</v>
      </c>
      <c r="AF29" s="75">
        <f t="shared" si="42"/>
        <v>0</v>
      </c>
      <c r="AG29" s="33">
        <v>3100</v>
      </c>
      <c r="AH29" s="71"/>
      <c r="AI29" s="75" t="str">
        <f t="shared" si="43"/>
        <v/>
      </c>
      <c r="AJ29" s="8">
        <v>0</v>
      </c>
      <c r="AK29" s="13">
        <v>0</v>
      </c>
    </row>
    <row r="30" spans="1:37" x14ac:dyDescent="0.2">
      <c r="A30" s="94">
        <f t="shared" si="12"/>
        <v>46082</v>
      </c>
      <c r="B30" s="6"/>
      <c r="C30" s="75" t="str">
        <f t="shared" si="35"/>
        <v/>
      </c>
      <c r="D30" s="20"/>
      <c r="E30" s="75" t="str">
        <f t="shared" ref="E30" si="82">IF(OR(D31="", D30=""), "", D31 - D30)</f>
        <v/>
      </c>
      <c r="F30" s="20"/>
      <c r="G30" s="75" t="str">
        <f t="shared" ref="G30" si="83">IF(OR(F31="", F30=""), "", F31 - F30)</f>
        <v/>
      </c>
      <c r="H30" s="79" t="str">
        <f t="shared" si="46"/>
        <v/>
      </c>
      <c r="I30" s="80" t="str">
        <f t="shared" si="47"/>
        <v/>
      </c>
      <c r="J30" s="35"/>
      <c r="K30" s="75" t="str">
        <f t="shared" si="36"/>
        <v/>
      </c>
      <c r="L30" s="9"/>
      <c r="M30" s="75" t="str">
        <f t="shared" si="37"/>
        <v/>
      </c>
      <c r="N30" s="9"/>
      <c r="O30" s="75" t="str">
        <f t="shared" si="38"/>
        <v/>
      </c>
      <c r="P30" s="35"/>
      <c r="Q30" s="75" t="str">
        <f t="shared" si="39"/>
        <v/>
      </c>
      <c r="R30" s="94">
        <f t="shared" si="20"/>
        <v>46082</v>
      </c>
      <c r="S30" s="87"/>
      <c r="T30" s="89"/>
      <c r="U30" s="75" t="str">
        <f t="shared" si="15"/>
        <v/>
      </c>
      <c r="V30" s="11"/>
      <c r="W30" s="26"/>
      <c r="X30" s="96" t="str">
        <f t="shared" si="16"/>
        <v/>
      </c>
      <c r="Y30" s="84"/>
      <c r="Z30" s="75" t="str">
        <f t="shared" si="17"/>
        <v/>
      </c>
      <c r="AA30" s="28"/>
      <c r="AB30" s="75" t="str">
        <f t="shared" si="40"/>
        <v/>
      </c>
      <c r="AC30" s="28"/>
      <c r="AD30" s="75" t="str">
        <f t="shared" si="41"/>
        <v/>
      </c>
      <c r="AE30" s="30">
        <v>73027</v>
      </c>
      <c r="AF30" s="75">
        <f t="shared" si="42"/>
        <v>0</v>
      </c>
      <c r="AG30" s="33">
        <v>3100</v>
      </c>
      <c r="AH30" s="71"/>
      <c r="AI30" s="75" t="str">
        <f t="shared" si="43"/>
        <v/>
      </c>
      <c r="AJ30" s="8">
        <v>0</v>
      </c>
      <c r="AK30" s="13">
        <v>0</v>
      </c>
    </row>
    <row r="31" spans="1:37" x14ac:dyDescent="0.2">
      <c r="A31" s="94">
        <f t="shared" si="12"/>
        <v>46083</v>
      </c>
      <c r="B31" s="6"/>
      <c r="C31" s="75" t="str">
        <f t="shared" si="35"/>
        <v/>
      </c>
      <c r="D31" s="20"/>
      <c r="E31" s="75" t="str">
        <f t="shared" ref="E31" si="84">IF(OR(D32="", D31=""), "", D32 - D31)</f>
        <v/>
      </c>
      <c r="F31" s="20"/>
      <c r="G31" s="75" t="str">
        <f t="shared" ref="G31" si="85">IF(OR(F32="", F31=""), "", F32 - F31)</f>
        <v/>
      </c>
      <c r="H31" s="79" t="str">
        <f t="shared" si="46"/>
        <v/>
      </c>
      <c r="I31" s="80" t="str">
        <f t="shared" si="47"/>
        <v/>
      </c>
      <c r="J31" s="86"/>
      <c r="K31" s="75" t="str">
        <f t="shared" si="36"/>
        <v/>
      </c>
      <c r="L31" s="9"/>
      <c r="M31" s="75" t="str">
        <f t="shared" si="37"/>
        <v/>
      </c>
      <c r="N31" s="9"/>
      <c r="O31" s="75" t="str">
        <f t="shared" si="38"/>
        <v/>
      </c>
      <c r="P31" s="35"/>
      <c r="Q31" s="75" t="str">
        <f t="shared" si="39"/>
        <v/>
      </c>
      <c r="R31" s="94">
        <f t="shared" si="20"/>
        <v>46083</v>
      </c>
      <c r="S31" s="87"/>
      <c r="T31" s="89"/>
      <c r="U31" s="75" t="str">
        <f t="shared" si="15"/>
        <v/>
      </c>
      <c r="V31" s="11"/>
      <c r="W31" s="26"/>
      <c r="X31" s="96" t="str">
        <f t="shared" si="16"/>
        <v/>
      </c>
      <c r="Y31" s="84"/>
      <c r="Z31" s="75" t="str">
        <f t="shared" si="17"/>
        <v/>
      </c>
      <c r="AA31" s="28"/>
      <c r="AB31" s="75" t="str">
        <f t="shared" si="40"/>
        <v/>
      </c>
      <c r="AC31" s="28"/>
      <c r="AD31" s="75" t="str">
        <f t="shared" si="41"/>
        <v/>
      </c>
      <c r="AE31" s="30">
        <v>73027</v>
      </c>
      <c r="AF31" s="75">
        <f t="shared" si="42"/>
        <v>0</v>
      </c>
      <c r="AG31" s="33">
        <v>3100</v>
      </c>
      <c r="AH31" s="71"/>
      <c r="AI31" s="75" t="str">
        <f t="shared" si="43"/>
        <v/>
      </c>
      <c r="AJ31" s="8">
        <v>0</v>
      </c>
      <c r="AK31" s="13">
        <v>0</v>
      </c>
    </row>
    <row r="32" spans="1:37" x14ac:dyDescent="0.2">
      <c r="A32" s="94">
        <f t="shared" si="12"/>
        <v>46084</v>
      </c>
      <c r="B32" s="6"/>
      <c r="C32" s="75" t="str">
        <f t="shared" si="35"/>
        <v/>
      </c>
      <c r="D32" s="20"/>
      <c r="E32" s="75" t="str">
        <f t="shared" ref="E32" si="86">IF(OR(D33="", D32=""), "", D33 - D32)</f>
        <v/>
      </c>
      <c r="F32" s="20"/>
      <c r="G32" s="75" t="str">
        <f t="shared" ref="G32" si="87">IF(OR(F33="", F32=""), "", F33 - F32)</f>
        <v/>
      </c>
      <c r="H32" s="79" t="str">
        <f t="shared" si="46"/>
        <v/>
      </c>
      <c r="I32" s="80" t="str">
        <f t="shared" si="47"/>
        <v/>
      </c>
      <c r="J32" s="86"/>
      <c r="K32" s="75" t="str">
        <f t="shared" si="36"/>
        <v/>
      </c>
      <c r="L32" s="9"/>
      <c r="M32" s="75" t="str">
        <f t="shared" si="37"/>
        <v/>
      </c>
      <c r="N32" s="9"/>
      <c r="O32" s="75" t="str">
        <f t="shared" si="38"/>
        <v/>
      </c>
      <c r="P32" s="35"/>
      <c r="Q32" s="75" t="str">
        <f t="shared" si="39"/>
        <v/>
      </c>
      <c r="R32" s="94">
        <f t="shared" si="20"/>
        <v>46084</v>
      </c>
      <c r="S32" s="87"/>
      <c r="T32" s="89"/>
      <c r="U32" s="75" t="str">
        <f t="shared" si="15"/>
        <v/>
      </c>
      <c r="V32" s="11"/>
      <c r="W32" s="26"/>
      <c r="X32" s="96" t="str">
        <f t="shared" si="16"/>
        <v/>
      </c>
      <c r="Y32" s="84"/>
      <c r="Z32" s="75" t="str">
        <f t="shared" si="17"/>
        <v/>
      </c>
      <c r="AA32" s="28"/>
      <c r="AB32" s="75" t="str">
        <f t="shared" si="40"/>
        <v/>
      </c>
      <c r="AC32" s="28"/>
      <c r="AD32" s="75" t="str">
        <f t="shared" si="41"/>
        <v/>
      </c>
      <c r="AE32" s="30">
        <v>73027</v>
      </c>
      <c r="AF32" s="75">
        <f t="shared" si="42"/>
        <v>0</v>
      </c>
      <c r="AG32" s="33">
        <v>3100</v>
      </c>
      <c r="AH32" s="71"/>
      <c r="AI32" s="75" t="str">
        <f t="shared" si="43"/>
        <v/>
      </c>
      <c r="AJ32" s="8">
        <v>0</v>
      </c>
      <c r="AK32" s="13">
        <v>0</v>
      </c>
    </row>
    <row r="33" spans="1:37" x14ac:dyDescent="0.2">
      <c r="A33" s="94">
        <f t="shared" si="12"/>
        <v>46085</v>
      </c>
      <c r="B33" s="6"/>
      <c r="C33" s="75"/>
      <c r="D33" s="20"/>
      <c r="E33" s="75" t="str">
        <f t="shared" ref="E33" si="88">IF(OR(D34="", D33=""), "", D34 - D33)</f>
        <v/>
      </c>
      <c r="F33" s="20"/>
      <c r="G33" s="75" t="str">
        <f t="shared" ref="G33" si="89">IF(OR(F34="", F33=""), "", F34 - F33)</f>
        <v/>
      </c>
      <c r="H33" s="79" t="str">
        <f t="shared" si="46"/>
        <v/>
      </c>
      <c r="I33" s="80" t="str">
        <f t="shared" si="47"/>
        <v/>
      </c>
      <c r="J33" s="86"/>
      <c r="K33" s="75" t="str">
        <f t="shared" si="36"/>
        <v/>
      </c>
      <c r="L33" s="9"/>
      <c r="M33" s="75" t="str">
        <f t="shared" si="37"/>
        <v/>
      </c>
      <c r="N33" s="9"/>
      <c r="O33" s="75" t="str">
        <f t="shared" si="38"/>
        <v/>
      </c>
      <c r="P33" s="35"/>
      <c r="Q33" s="75" t="str">
        <f t="shared" si="39"/>
        <v/>
      </c>
      <c r="R33" s="94">
        <f>A33</f>
        <v>46085</v>
      </c>
      <c r="S33" s="87"/>
      <c r="T33" s="89"/>
      <c r="U33" s="75" t="str">
        <f t="shared" si="15"/>
        <v/>
      </c>
      <c r="V33" s="11"/>
      <c r="W33" s="26"/>
      <c r="X33" s="96" t="str">
        <f t="shared" si="16"/>
        <v/>
      </c>
      <c r="Y33" s="84"/>
      <c r="Z33" s="75" t="str">
        <f t="shared" si="17"/>
        <v/>
      </c>
      <c r="AA33" s="28"/>
      <c r="AB33" s="75" t="str">
        <f t="shared" si="40"/>
        <v/>
      </c>
      <c r="AC33" s="28"/>
      <c r="AD33" s="75" t="str">
        <f t="shared" si="41"/>
        <v/>
      </c>
      <c r="AE33" s="30">
        <v>73027</v>
      </c>
      <c r="AF33" s="75" t="str">
        <f t="shared" si="42"/>
        <v/>
      </c>
      <c r="AG33" s="33">
        <v>3100</v>
      </c>
      <c r="AH33" s="71"/>
      <c r="AI33" s="75" t="str">
        <f t="shared" si="43"/>
        <v/>
      </c>
      <c r="AJ33" s="8"/>
      <c r="AK33" s="13"/>
    </row>
    <row r="34" spans="1:37" s="69" customFormat="1" x14ac:dyDescent="0.15">
      <c r="A34" s="67"/>
      <c r="B34" s="67"/>
      <c r="C34" s="97">
        <f>SUM(C2:C33)</f>
        <v>59797.666666671634</v>
      </c>
      <c r="D34" s="68"/>
      <c r="E34" s="97">
        <f>SUM(E2:E33)</f>
        <v>9360</v>
      </c>
      <c r="F34" s="91"/>
      <c r="G34" s="99">
        <f>SUM(G2:G33)</f>
        <v>1105</v>
      </c>
      <c r="H34" s="100">
        <f>SUM(H2:H33)</f>
        <v>68052.666666671634</v>
      </c>
      <c r="I34" s="101">
        <f>SUM(I2:I32)</f>
        <v>49481.503289457913</v>
      </c>
      <c r="J34" s="91"/>
      <c r="K34" s="98">
        <f>SUM(K2:K33)</f>
        <v>14161.866666666232</v>
      </c>
      <c r="L34" s="9"/>
      <c r="M34" s="98">
        <f>SUM(M2:M33)</f>
        <v>338.94736843800638</v>
      </c>
      <c r="N34" s="9"/>
      <c r="O34" s="98">
        <f>SUM(O2:O33)</f>
        <v>1615.6440789509797</v>
      </c>
      <c r="P34" s="35"/>
      <c r="Q34" s="102">
        <f>SUM(Q2:Q33)</f>
        <v>2454.7052631585029</v>
      </c>
      <c r="R34" s="68"/>
      <c r="S34" s="68"/>
      <c r="T34" s="68"/>
      <c r="U34" s="92">
        <f>SUM(U2:U33)</f>
        <v>4253</v>
      </c>
      <c r="V34" s="68"/>
      <c r="W34" s="68"/>
      <c r="X34" s="68" t="str">
        <f t="shared" si="16"/>
        <v/>
      </c>
      <c r="Y34" s="103">
        <f>SUM(Y2:Y33)</f>
        <v>6471.39</v>
      </c>
      <c r="Z34" s="104">
        <f>SUM(Z2:Z33)</f>
        <v>5931.2800000000007</v>
      </c>
      <c r="AA34" s="68"/>
      <c r="AB34" s="93">
        <f>SUM(AB2:AB33)</f>
        <v>939.66666666668607</v>
      </c>
      <c r="AC34" s="91"/>
      <c r="AD34" s="93">
        <f>SUM(AD2:AD33)</f>
        <v>194.96666666666624</v>
      </c>
      <c r="AE34" s="68"/>
      <c r="AF34" s="93">
        <f>SUM(AF2:AF33)</f>
        <v>0</v>
      </c>
      <c r="AG34" s="68"/>
      <c r="AH34" s="105">
        <f>SUM(AH2:AH33)</f>
        <v>0</v>
      </c>
      <c r="AI34" s="106">
        <f>SUM(AI2:AI33)</f>
        <v>0</v>
      </c>
      <c r="AJ34" s="107">
        <f>SUM(AJ2:AJ33)</f>
        <v>920</v>
      </c>
      <c r="AK34" s="108">
        <f>SUM(AK2:AK32)</f>
        <v>1769</v>
      </c>
    </row>
    <row r="35" spans="1:37" x14ac:dyDescent="0.2">
      <c r="B35" s="109"/>
      <c r="D35" s="109"/>
      <c r="F35" s="109"/>
      <c r="J35" s="109"/>
      <c r="L35" s="1"/>
      <c r="N35" s="1"/>
      <c r="P35" s="1"/>
      <c r="S35" s="109"/>
      <c r="AA35" s="109"/>
      <c r="AC35" s="109"/>
    </row>
    <row r="36" spans="1:37" x14ac:dyDescent="0.2">
      <c r="D36"/>
      <c r="F36"/>
      <c r="J36"/>
      <c r="L36" s="1"/>
      <c r="N36" s="1"/>
      <c r="P36" s="1"/>
      <c r="S36"/>
      <c r="AC36"/>
    </row>
    <row r="37" spans="1:37" x14ac:dyDescent="0.2">
      <c r="B37" s="109"/>
      <c r="D37" s="109"/>
      <c r="F37" s="109"/>
      <c r="J37" s="109"/>
      <c r="L37" s="1"/>
      <c r="N37" s="1"/>
      <c r="P37" s="1"/>
      <c r="S37" s="109"/>
      <c r="AA37" s="109"/>
      <c r="AC37" s="109"/>
    </row>
    <row r="38" spans="1:37" x14ac:dyDescent="0.2">
      <c r="D38" s="3"/>
      <c r="L38" s="1"/>
      <c r="N38" s="1"/>
      <c r="P38" s="1"/>
      <c r="S38" s="4"/>
      <c r="AA38" s="4"/>
    </row>
    <row r="39" spans="1:37" x14ac:dyDescent="0.2">
      <c r="B39" s="109"/>
      <c r="D39" s="109"/>
      <c r="F39" s="109"/>
      <c r="J39" s="109"/>
      <c r="L39" s="1"/>
      <c r="N39" s="1"/>
      <c r="P39" s="1"/>
      <c r="S39" s="109"/>
      <c r="AA39" s="109"/>
      <c r="AC39" s="109"/>
    </row>
    <row r="40" spans="1:37" x14ac:dyDescent="0.2">
      <c r="D40"/>
      <c r="F40"/>
      <c r="J40"/>
      <c r="L40" s="1"/>
      <c r="N40" s="1"/>
      <c r="P40" s="1"/>
      <c r="S40"/>
      <c r="AC40"/>
    </row>
    <row r="41" spans="1:37" x14ac:dyDescent="0.2">
      <c r="B41" s="109"/>
      <c r="D41" s="109"/>
      <c r="F41" s="109"/>
      <c r="J41" s="109"/>
      <c r="S41" s="109"/>
      <c r="AA41" s="109"/>
      <c r="AC41" s="109"/>
    </row>
    <row r="42" spans="1:37" x14ac:dyDescent="0.2">
      <c r="B42" s="109"/>
      <c r="D42" s="109"/>
      <c r="F42" s="109"/>
      <c r="J42" s="109"/>
      <c r="S42" s="109"/>
      <c r="AA42" s="109"/>
      <c r="AC42" s="109"/>
    </row>
    <row r="43" spans="1:37" x14ac:dyDescent="0.2">
      <c r="D43" s="3"/>
      <c r="S43" s="4"/>
      <c r="AA43" s="4"/>
    </row>
    <row r="44" spans="1:37" x14ac:dyDescent="0.2">
      <c r="D44" s="3"/>
      <c r="S44" s="4"/>
      <c r="AA44" s="4"/>
    </row>
    <row r="45" spans="1:37" x14ac:dyDescent="0.2">
      <c r="B45" s="109"/>
      <c r="D45" s="109"/>
      <c r="F45" s="109"/>
      <c r="J45" s="109"/>
      <c r="S45" s="109"/>
      <c r="AA45" s="109"/>
      <c r="AC45" s="109"/>
    </row>
    <row r="46" spans="1:37" x14ac:dyDescent="0.2">
      <c r="D46"/>
      <c r="F46"/>
      <c r="J46"/>
      <c r="S46"/>
      <c r="AC46"/>
    </row>
    <row r="47" spans="1:37" x14ac:dyDescent="0.2">
      <c r="B47" s="109"/>
      <c r="D47" s="109"/>
      <c r="F47" s="109"/>
      <c r="J47" s="109"/>
      <c r="S47" s="109"/>
      <c r="AA47" s="109"/>
      <c r="AC47" s="109"/>
    </row>
    <row r="48" spans="1:37" x14ac:dyDescent="0.2">
      <c r="B48" s="109"/>
      <c r="D48" s="109"/>
      <c r="F48" s="109"/>
      <c r="J48" s="109"/>
      <c r="S48" s="109"/>
      <c r="AA48" s="109"/>
      <c r="AC48" s="109"/>
    </row>
    <row r="49" spans="2:29" x14ac:dyDescent="0.2">
      <c r="D49" s="3"/>
      <c r="S49" s="4"/>
      <c r="AA49" s="4"/>
    </row>
    <row r="50" spans="2:29" x14ac:dyDescent="0.2">
      <c r="B50" s="109"/>
      <c r="D50" s="109"/>
      <c r="F50" s="109"/>
      <c r="J50" s="109"/>
      <c r="S50" s="109"/>
      <c r="AA50" s="109"/>
      <c r="AC50" s="109"/>
    </row>
    <row r="51" spans="2:29" x14ac:dyDescent="0.2">
      <c r="D51"/>
      <c r="F51"/>
      <c r="J51"/>
      <c r="S51"/>
      <c r="AC51"/>
    </row>
    <row r="52" spans="2:29" x14ac:dyDescent="0.2">
      <c r="B52" s="109"/>
      <c r="D52" s="109"/>
      <c r="F52" s="109"/>
      <c r="J52" s="109"/>
      <c r="S52" s="109"/>
      <c r="AA52" s="109"/>
      <c r="AC52" s="109"/>
    </row>
    <row r="53" spans="2:29" x14ac:dyDescent="0.2">
      <c r="B53" s="109"/>
      <c r="D53" s="109"/>
      <c r="F53" s="109"/>
      <c r="J53" s="109"/>
      <c r="S53" s="109"/>
      <c r="AA53" s="109"/>
      <c r="AC53" s="109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www.w3.org/XML/1998/namespace"/>
    <ds:schemaRef ds:uri="http://schemas.microsoft.com/office/2006/metadata/properties"/>
    <ds:schemaRef ds:uri="http://purl.org/dc/elements/1.1/"/>
    <ds:schemaRef ds:uri="9b835c19-aa84-4d4c-b4cd-8a6195c383ec"/>
    <ds:schemaRef ds:uri="http://purl.org/dc/dcmitype/"/>
    <ds:schemaRef ds:uri="269db80e-9c6b-4e01-ae27-848f863719c9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2026-02-02T07:11:54Z</cp:lastPrinted>
  <dcterms:created xsi:type="dcterms:W3CDTF">2016-09-19T10:41:46Z</dcterms:created>
  <dcterms:modified xsi:type="dcterms:W3CDTF">2026-02-24T07:51:38Z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