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DFA6352A-B03B-491D-A9C2-C399ECCDAD7C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15" i="8" l="1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<sst xmlns="http://schemas.openxmlformats.org/spreadsheetml/2006/main" count="201" uniqueCount="128">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</sst>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-195330.00000000003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-57588</c:v>
                </c:pt>
                <c:pt idx="7">
                  <c:v>0.23990401839647402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1" sqref="M11:O1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20389.999999999418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20670.000000001437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0</v>
      </c>
      <c r="F13" s="48">
        <v>0.14000000000000001</v>
      </c>
      <c r="G13" s="107">
        <v>0</v>
      </c>
      <c r="H13" s="48">
        <v>0.4453480216384178</v>
      </c>
      <c r="I13" s="65">
        <v>0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233830.00000000015</v>
      </c>
      <c r="F33" s="104">
        <v>0</v>
      </c>
      <c r="G33" s="101">
        <f>SUM(G2:G32)</f>
        <v>63514</v>
      </c>
      <c r="H33" s="102">
        <v>0</v>
      </c>
      <c r="I33" s="103">
        <f>SUM(I2:I32)</f>
        <v>2712</v>
      </c>
      <c r="J33" s="104">
        <v>0</v>
      </c>
      <c r="K33" s="105">
        <v>0</v>
      </c>
      <c r="L33" s="102">
        <v>0</v>
      </c>
      <c r="M33" s="106">
        <f t="shared" ref="M33:O33" si="1">SUM(M2:M32)</f>
        <v>262</v>
      </c>
      <c r="N33" s="106">
        <f t="shared" si="1"/>
        <v>651</v>
      </c>
      <c r="O33" s="106">
        <f t="shared" si="1"/>
        <v>1887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Q19" sqref="Q1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112.16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/>
      <c r="W14" s="71"/>
      <c r="X14" s="71"/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/>
      <c r="W15" s="71"/>
      <c r="X15" s="71"/>
      <c r="Y15" s="17"/>
    </row>
    <row r="16" spans="1:25" ht="21" customHeight="1" x14ac:dyDescent="0.25">
      <c r="A16" s="8">
        <v>44240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262</v>
      </c>
      <c r="W35" s="78">
        <f>SUM(W4:W34)</f>
        <v>651</v>
      </c>
      <c r="X35" s="78">
        <f>SUM(X4:X34)</f>
        <v>1887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S10" sqref="S1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-7820.0000000000073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15444.730000000734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8210.0000000000073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-3884.8100000017184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20389.999999999418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4714.529999999806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20670.000000001437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6367.3300000019681</v>
      </c>
    </row>
    <row r="15" spans="1:22" x14ac:dyDescent="0.25">
      <c r="A15" s="3">
        <f>'Kwh Reading'!A15</f>
        <v>44239</v>
      </c>
      <c r="B15" s="26">
        <f>TOTAL!E13</f>
        <v>0</v>
      </c>
      <c r="C15" s="4">
        <f>('Kwh Reading'!T16-'Kwh Reading'!T15)*1000</f>
        <v>-355750</v>
      </c>
      <c r="D15" s="2">
        <f>('Kwh Reading'!F16-'Kwh Reading'!F15)*1000000</f>
        <v>-2040500.0000000002</v>
      </c>
      <c r="E15" s="2">
        <f>('Kwh Reading'!C16-'Kwh Reading'!C15)*1000</f>
        <v>-198070</v>
      </c>
      <c r="F15" s="2">
        <f>('Kwh Reading'!J16-'Kwh Reading'!J15)*1000</f>
        <v>-285320</v>
      </c>
      <c r="G15" s="2">
        <f>('Kwh Reading'!K16-'Kwh Reading'!K15)*1000</f>
        <v>-298920</v>
      </c>
      <c r="H15" s="2">
        <f>('Kwh Reading'!L16-'Kwh Reading'!L15)*1000</f>
        <v>-205070</v>
      </c>
      <c r="I15" s="2">
        <f>('Kwh Reading'!R16-'Kwh Reading'!R15)*1000</f>
        <v>-121140</v>
      </c>
      <c r="J15" s="2">
        <f>('Kwh Reading'!S16-'Kwh Reading'!S15)*1000</f>
        <v>-96980</v>
      </c>
      <c r="K15" s="2">
        <f>('Kwh Reading'!I16-'Kwh Reading'!I15)*1000</f>
        <v>-192170</v>
      </c>
      <c r="L15" s="2">
        <f>('Kwh Reading'!B16-'Kwh Reading'!B15)*1000</f>
        <v>-802430</v>
      </c>
      <c r="M15" s="2">
        <f>('Kwh Reading'!M16-'Kwh Reading'!M15)*1000</f>
        <v>-415400</v>
      </c>
      <c r="N15" s="2">
        <f>('Kwh Reading'!H16-'Kwh Reading'!H15)*1000</f>
        <v>-517100</v>
      </c>
      <c r="O15" s="2">
        <f>('Kwh Reading'!P16-'Kwh Reading'!P15)*1000</f>
        <v>-480640</v>
      </c>
      <c r="P15" s="2">
        <f>('Kwh Reading'!G16-'Kwh Reading'!G15)*1000</f>
        <v>-618350</v>
      </c>
      <c r="Q15" s="2">
        <f>('Kwh Reading'!Q16-'Kwh Reading'!Q15)*1000</f>
        <v>-358190</v>
      </c>
      <c r="R15" s="2">
        <f>('Kwh Reading'!N16-'Kwh Reading'!N15)*1000</f>
        <v>-362000</v>
      </c>
      <c r="S15" s="34">
        <f>'Kwh Reading'!E16-'Kwh Reading'!E15</f>
        <v>-7761424.0499999998</v>
      </c>
      <c r="T15" s="34">
        <f>'Kwh Reading'!D16-'Kwh Reading'!D15</f>
        <v>-7151024.7699999996</v>
      </c>
      <c r="U15" s="27">
        <f>('Kwh Reading'!O16-'Kwh Reading'!O15)*1000</f>
        <v>-117050</v>
      </c>
      <c r="V15" s="16">
        <f t="shared" si="0"/>
        <v>22377528.82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233830.00000000064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-195330.00000000003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-95495.999999999985</v>
      </c>
      <c r="K35" s="75">
        <f t="shared" si="5"/>
        <v>-189120.00000000003</v>
      </c>
      <c r="L35" s="75">
        <f t="shared" si="5"/>
        <v>-789940.00000000012</v>
      </c>
      <c r="M35" s="75">
        <f t="shared" si="5"/>
        <v>-407780</v>
      </c>
      <c r="N35" s="75">
        <f t="shared" si="5"/>
        <v>-507250</v>
      </c>
      <c r="O35" s="75">
        <f t="shared" si="5"/>
        <v>-471720.00000000006</v>
      </c>
      <c r="P35" s="75">
        <f t="shared" si="5"/>
        <v>-609179.99999999988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22440220.680000003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-7682.0000000000164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15444.730000000736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8352.0000000000036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-3884.8100000017203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20389.999999999418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4714.5299999998069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20670.000000001437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6367.3300000019644</v>
      </c>
    </row>
    <row r="14" spans="1:12" x14ac:dyDescent="0.25">
      <c r="A14" s="14">
        <f>'Kwh Reading'!A15</f>
        <v>44239</v>
      </c>
      <c r="B14" s="83">
        <f>TOTAL!E13</f>
        <v>0</v>
      </c>
      <c r="C14" s="1">
        <f>'Kwh Consumption'!C15</f>
        <v>-355750</v>
      </c>
      <c r="D14" s="1">
        <f>'Kwh Consumption'!D15</f>
        <v>-2040500.0000000002</v>
      </c>
      <c r="E14" s="1">
        <f>'Kwh Consumption'!E15</f>
        <v>-198070</v>
      </c>
      <c r="F14" s="1">
        <f>('Kwh Consumption'!F15+'Kwh Consumption'!G15+'Kwh Consumption'!H15)</f>
        <v>-789310</v>
      </c>
      <c r="G14" s="16">
        <f>('Kwh Consumption'!I15+'Kwh Consumption'!J15)</f>
        <v>-218120</v>
      </c>
      <c r="H14" s="1">
        <f>('Kwh Consumption'!K15+'Kwh Consumption'!L15)</f>
        <v>-994600</v>
      </c>
      <c r="I14" s="1">
        <f>('Kwh Consumption'!M15+'Kwh Consumption'!N15+'Kwh Consumption'!O15+'Kwh Consumption'!P15+'Kwh Consumption'!Q15+'Kwh Consumption'!R15)</f>
        <v>-2751680</v>
      </c>
      <c r="J14" s="1">
        <f>('Kwh Consumption'!S15+'Kwh Consumption'!T15)</f>
        <v>-14912448.82</v>
      </c>
      <c r="K14" s="1">
        <f>'Kwh Consumption'!U15</f>
        <v>-117050</v>
      </c>
      <c r="L14" s="32">
        <f t="shared" si="0"/>
        <v>22377528.82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233830.00000000015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-195330.00000000003</v>
      </c>
      <c r="F34" s="75">
        <f t="shared" si="1"/>
        <v>-780280</v>
      </c>
      <c r="G34" s="75">
        <f t="shared" si="1"/>
        <v>-214806</v>
      </c>
      <c r="H34" s="75">
        <f t="shared" si="1"/>
        <v>-979060.00000000012</v>
      </c>
      <c r="I34" s="75">
        <f t="shared" si="1"/>
        <v>-2700410</v>
      </c>
      <c r="J34" s="75">
        <f t="shared" si="1"/>
        <v>-14857534.680000002</v>
      </c>
      <c r="K34" s="75">
        <f t="shared" si="1"/>
        <v>-114830</v>
      </c>
      <c r="L34" s="75">
        <f t="shared" si="1"/>
        <v>22440220.680000003</v>
      </c>
      <c r="M34" s="84">
        <f>C34+D34+E34+F34+G34+H34+I34+J34+K34+L34</f>
        <v>233830.00000000373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-27346.200000000008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-2080054.8552000003</v>
      </c>
      <c r="K36" s="75">
        <f>K34*B36</f>
        <v>-16076.2</v>
      </c>
      <c r="L36" s="75">
        <f>L34*B36</f>
        <v>3141630.8952000006</v>
      </c>
      <c r="M36" s="84">
        <f>C36+D36+E36+F36+G36+H36+I36+J36+K36+L36</f>
        <v>32736.200000000186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-1075.4800000000023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2162.2622000001029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1169.2800000000007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-543.87340000024062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2854.599999999919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660.03419999997288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2893.8000000002016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891.42620000027557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-49805.000000000007</v>
      </c>
      <c r="E14" s="1">
        <f>'Kwh Consumption'!D15*' Kwh area wise $ '!B14</f>
        <v>-285670.00000000006</v>
      </c>
      <c r="F14" s="1">
        <f>'Kwh Consumption'!E15*' Kwh area wise $ '!B14</f>
        <v>-27729.800000000003</v>
      </c>
      <c r="G14" s="1">
        <f>('Kwh Consumption'!F15+'Kwh Consumption'!G15+'Kwh Consumption'!H15)*' Kwh area wise $ '!B14</f>
        <v>-110503.40000000001</v>
      </c>
      <c r="H14" s="16">
        <f>('Kwh Consumption'!I15+'Kwh Consumption'!J15)*' Kwh area wise $ '!B14</f>
        <v>-30536.800000000003</v>
      </c>
      <c r="I14" s="1">
        <f>('Kwh Consumption'!K15+'Kwh Consumption'!L15)*' Kwh area wise $ '!B14</f>
        <v>-139244</v>
      </c>
      <c r="J14" s="1">
        <f>('Kwh Consumption'!M15+'Kwh Consumption'!N15+'Kwh Consumption'!O15+'Kwh Consumption'!P15+'Kwh Consumption'!Q15+'Kwh Consumption'!R15)*' Kwh area wise $ '!B14</f>
        <v>-385235.20000000001</v>
      </c>
      <c r="K14" s="1">
        <f>('Kwh Consumption'!S15+'Kwh Consumption'!T15)*' Kwh area wise $ '!B14</f>
        <v>-2087742.8348000003</v>
      </c>
      <c r="L14" s="1">
        <f>'Kwh Consumption'!U15*' Kwh area wise $ '!B14</f>
        <v>-16387</v>
      </c>
      <c r="M14" s="1">
        <f>'Kwh Consumption'!V15*' Kwh area wise $ '!B14</f>
        <v>3132854.0348000005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32736.200000000099</v>
      </c>
      <c r="D34" s="75">
        <f t="shared" si="0"/>
        <v>-49061.600000000006</v>
      </c>
      <c r="E34" s="75">
        <f t="shared" si="0"/>
        <v>-281918.00000000006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-2080054.8552000006</v>
      </c>
      <c r="L34" s="75">
        <f t="shared" si="0"/>
        <v>-16076.2</v>
      </c>
      <c r="M34" s="75">
        <f>SUM(M3:M33)</f>
        <v>3141630.8952000006</v>
      </c>
      <c r="N34" s="84">
        <f>D34+E34+F34+G34+H34+I34+J34+K34+L34+M34</f>
        <v>32736.199999999721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P15" sqref="P1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I14" sqref="I1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0</v>
      </c>
      <c r="C15" s="66">
        <f>('Water Reading'!B15-'Water Reading'!B14)+('Water Reading'!C15-'Water Reading'!C14)</f>
        <v>-243300</v>
      </c>
      <c r="D15" s="67" t="e">
        <f t="shared" si="2"/>
        <v>#DIV/0!</v>
      </c>
      <c r="E15" s="87">
        <f>'Water Reading'!H15-'Water Reading'!H14</f>
        <v>-45922</v>
      </c>
      <c r="F15" s="89">
        <f t="shared" si="3"/>
        <v>0.18874640361693382</v>
      </c>
      <c r="G15" s="93">
        <f>('Water Reading'!D15-'Water Reading'!D14)-('Water Reading'!R15-'Water Reading'!R14)-('Water Reading'!Q15-'Water Reading'!Q14)</f>
        <v>-183700</v>
      </c>
      <c r="H15" s="89">
        <f t="shared" si="4"/>
        <v>0.75503493629264284</v>
      </c>
      <c r="I15" s="90">
        <f>'Water Reading'!P15-'Water Reading'!P14</f>
        <v>-25888</v>
      </c>
      <c r="J15" s="68">
        <f t="shared" si="5"/>
        <v>0.10640361693382655</v>
      </c>
      <c r="K15" s="91">
        <f>('Water Reading'!I15-'Water Reading'!I14)</f>
        <v>-57823</v>
      </c>
      <c r="L15" s="68">
        <f t="shared" si="6"/>
        <v>0.23766132346896834</v>
      </c>
      <c r="M15" s="90">
        <f>'Water Reading'!R15-'Water Reading'!R14</f>
        <v>-5529</v>
      </c>
      <c r="N15" s="92">
        <f t="shared" si="7"/>
        <v>2.2725030826140566E-2</v>
      </c>
      <c r="O15" s="90">
        <f>'Water Reading'!Q15-'Water Reading'!Q14</f>
        <v>-99</v>
      </c>
      <c r="P15" s="99">
        <f t="shared" si="8"/>
        <v>4.0690505548705304E-4</v>
      </c>
      <c r="Q15" s="91">
        <f>'Water Reading'!F15-'Water Reading'!F14</f>
        <v>-66845</v>
      </c>
      <c r="R15" s="100">
        <f t="shared" si="9"/>
        <v>0.2747431154952733</v>
      </c>
      <c r="S15" s="94">
        <f>'Water Reading'!E15-'Water Reading'!E14</f>
        <v>-239588</v>
      </c>
      <c r="T15" s="100">
        <f t="shared" si="10"/>
        <v>0.98474311549527338</v>
      </c>
      <c r="U15" s="90">
        <f>'Water Reading'!G15-'Water Reading'!G14</f>
        <v>-108997</v>
      </c>
      <c r="V15" s="100">
        <f t="shared" si="11"/>
        <v>0.44799424578709413</v>
      </c>
      <c r="W15" s="90">
        <f>'Water Reading'!J15-'Water Reading'!J14</f>
        <v>-18456</v>
      </c>
      <c r="X15" s="100">
        <f t="shared" si="12"/>
        <v>7.5856966707768189E-2</v>
      </c>
      <c r="Y15" s="66">
        <f t="shared" si="0"/>
        <v>-752847</v>
      </c>
      <c r="Z15" s="67" t="e">
        <f t="shared" si="1"/>
        <v>#DIV/0!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2712</v>
      </c>
      <c r="C35" s="75">
        <f>SUM(C4:C34)</f>
        <v>-240046</v>
      </c>
      <c r="D35" s="96">
        <f>C35/B35</f>
        <v>-88.512536873156336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-57588</v>
      </c>
      <c r="L35" s="95">
        <f>K35/C35</f>
        <v>0.23990401839647402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-749693</v>
      </c>
      <c r="Z35" s="95">
        <f t="shared" si="1"/>
        <v>-276.43547197640117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2021-02-12T04:58:11Z</dcterms:modified>
  <cp:category/>
  <cp:contentStatus/>
</cp:coreProperties>
</file>