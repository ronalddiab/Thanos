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12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56532AE7-A60E-45BA-8E57-EFFF174D95CE}" xr6:coauthVersionLast="47" xr6:coauthVersionMax="47" xr10:uidLastSave="{00000000-0000-0000-0000-000000000000}"/>
  <bookViews>
    <workbookView xWindow="-108" yWindow="-108" windowWidth="23256" windowHeight="12456" firstSheet="3" activeTab="2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2021-2022 Utility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23" i="1" l="1"/>
  <c r="S24" i="1"/>
  <c r="S25" i="1"/>
  <c r="S26" i="1"/>
  <c r="S27" i="1"/>
  <c r="S28" i="1"/>
  <c r="S29" i="1"/>
  <c r="S30" i="1"/>
  <c r="S31" i="1"/>
  <c r="S32" i="1"/>
  <c r="S33" i="1"/>
  <c r="S22" i="1"/>
  <c r="S17" i="1"/>
  <c r="S18" i="1"/>
  <c r="S19" i="1"/>
  <c r="S20" i="1"/>
  <c r="S21" i="1"/>
  <c r="C3" i="5"/>
  <c r="G3" i="5"/>
  <c r="I6" i="5"/>
  <c r="D34" i="5"/>
  <c r="V6" i="1"/>
  <c r="W6" i="1"/>
  <c r="X6" i="1"/>
  <c r="Y6" i="1"/>
  <c r="Z6" i="1"/>
  <c r="AA6" i="1"/>
  <c r="AB6" i="1"/>
  <c r="Y8" i="6"/>
  <c r="D3" i="6"/>
  <c r="C35" i="1"/>
  <c r="G35" i="5"/>
  <c r="AB34" i="1"/>
  <c r="AA34" i="1"/>
  <c r="Z34" i="1"/>
  <c r="Y34" i="1"/>
  <c r="X34" i="1"/>
  <c r="W34" i="1"/>
  <c r="V34" i="1"/>
  <c r="I29" i="5"/>
  <c r="AC34" i="1"/>
  <c r="AD34" i="1" s="1"/>
  <c r="AF15" i="1"/>
  <c r="AF10" i="1"/>
  <c r="Y30" i="6"/>
  <c r="F46" i="5"/>
  <c r="F45" i="5"/>
  <c r="F44" i="5"/>
  <c r="F43" i="5"/>
  <c r="F42" i="5"/>
  <c r="D42" i="5"/>
  <c r="D43" i="5"/>
  <c r="D44" i="5"/>
  <c r="D45" i="5"/>
  <c r="D46" i="5"/>
  <c r="AF22" i="6"/>
  <c r="K21" i="6"/>
  <c r="I5" i="5"/>
  <c r="I7" i="5"/>
  <c r="I8" i="5"/>
  <c r="I9" i="5"/>
  <c r="I4" i="5"/>
  <c r="AF20" i="6"/>
  <c r="S4" i="1"/>
  <c r="S5" i="1"/>
  <c r="S6" i="1"/>
  <c r="S7" i="1"/>
  <c r="S8" i="1"/>
  <c r="S9" i="1"/>
  <c r="S10" i="1"/>
  <c r="S11" i="1"/>
  <c r="S12" i="1"/>
  <c r="S13" i="1"/>
  <c r="S14" i="1"/>
  <c r="S15" i="1"/>
  <c r="S16" i="1"/>
  <c r="C34" i="6"/>
  <c r="E34" i="6"/>
  <c r="I34" i="6"/>
  <c r="J34" i="6"/>
  <c r="L34" i="6"/>
  <c r="S34" i="6"/>
  <c r="W34" i="6"/>
  <c r="X34" i="6"/>
  <c r="Z34" i="6"/>
  <c r="AD34" i="6"/>
  <c r="AE34" i="6"/>
  <c r="AG34" i="6"/>
  <c r="B34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R13" i="1"/>
  <c r="G13" i="5" s="1"/>
  <c r="R14" i="1"/>
  <c r="G14" i="5" s="1"/>
  <c r="R15" i="1"/>
  <c r="G15" i="5" s="1"/>
  <c r="R16" i="1"/>
  <c r="G16" i="5" s="1"/>
  <c r="R17" i="1"/>
  <c r="G17" i="5" s="1"/>
  <c r="R18" i="1"/>
  <c r="G18" i="5" s="1"/>
  <c r="R19" i="1"/>
  <c r="G19" i="5" s="1"/>
  <c r="R20" i="1"/>
  <c r="G20" i="5" s="1"/>
  <c r="R21" i="1"/>
  <c r="G21" i="5" s="1"/>
  <c r="R22" i="1"/>
  <c r="G22" i="5" s="1"/>
  <c r="R23" i="1"/>
  <c r="G23" i="5" s="1"/>
  <c r="R24" i="1"/>
  <c r="G24" i="5" s="1"/>
  <c r="R25" i="1"/>
  <c r="G25" i="5" s="1"/>
  <c r="R26" i="1"/>
  <c r="G26" i="5" s="1"/>
  <c r="R27" i="1"/>
  <c r="G27" i="5" s="1"/>
  <c r="R28" i="1"/>
  <c r="G28" i="5" s="1"/>
  <c r="R29" i="1"/>
  <c r="G29" i="5" s="1"/>
  <c r="R30" i="1"/>
  <c r="G30" i="5" s="1"/>
  <c r="R31" i="1"/>
  <c r="G31" i="5" s="1"/>
  <c r="R32" i="1"/>
  <c r="G32" i="5" s="1"/>
  <c r="R33" i="1"/>
  <c r="G33" i="5" s="1"/>
  <c r="R4" i="1"/>
  <c r="G4" i="5" s="1"/>
  <c r="R5" i="1"/>
  <c r="G5" i="5" s="1"/>
  <c r="R6" i="1"/>
  <c r="G6" i="5" s="1"/>
  <c r="R7" i="1"/>
  <c r="G7" i="5" s="1"/>
  <c r="R8" i="1"/>
  <c r="G8" i="5" s="1"/>
  <c r="R9" i="1"/>
  <c r="G9" i="5" s="1"/>
  <c r="R10" i="1"/>
  <c r="G10" i="5" s="1"/>
  <c r="R11" i="1"/>
  <c r="G11" i="5" s="1"/>
  <c r="R12" i="1"/>
  <c r="G12" i="5" s="1"/>
  <c r="R3" i="1"/>
  <c r="R34" i="1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Q34" i="1" s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P34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" i="1"/>
  <c r="N34" i="1" s="1"/>
  <c r="M4" i="1"/>
  <c r="E4" i="5" s="1"/>
  <c r="M5" i="1"/>
  <c r="E5" i="5" s="1"/>
  <c r="M6" i="1"/>
  <c r="E6" i="5" s="1"/>
  <c r="M7" i="1"/>
  <c r="E7" i="5" s="1"/>
  <c r="M8" i="1"/>
  <c r="E8" i="5" s="1"/>
  <c r="M9" i="1"/>
  <c r="E9" i="5" s="1"/>
  <c r="M10" i="1"/>
  <c r="E10" i="5" s="1"/>
  <c r="M11" i="1"/>
  <c r="E11" i="5" s="1"/>
  <c r="M12" i="1"/>
  <c r="E12" i="5" s="1"/>
  <c r="M13" i="1"/>
  <c r="E13" i="5" s="1"/>
  <c r="M14" i="1"/>
  <c r="E14" i="5" s="1"/>
  <c r="M15" i="1"/>
  <c r="E15" i="5" s="1"/>
  <c r="M16" i="1"/>
  <c r="E16" i="5" s="1"/>
  <c r="M17" i="1"/>
  <c r="E17" i="5" s="1"/>
  <c r="M18" i="1"/>
  <c r="E18" i="5" s="1"/>
  <c r="M19" i="1"/>
  <c r="E19" i="5" s="1"/>
  <c r="M20" i="1"/>
  <c r="E20" i="5" s="1"/>
  <c r="M21" i="1"/>
  <c r="E21" i="5" s="1"/>
  <c r="M22" i="1"/>
  <c r="E22" i="5" s="1"/>
  <c r="M23" i="1"/>
  <c r="E23" i="5" s="1"/>
  <c r="M24" i="1"/>
  <c r="E24" i="5" s="1"/>
  <c r="M25" i="1"/>
  <c r="E25" i="5" s="1"/>
  <c r="M26" i="1"/>
  <c r="E26" i="5" s="1"/>
  <c r="M27" i="1"/>
  <c r="E27" i="5" s="1"/>
  <c r="M28" i="1"/>
  <c r="E28" i="5" s="1"/>
  <c r="M29" i="1"/>
  <c r="E29" i="5" s="1"/>
  <c r="M30" i="1"/>
  <c r="E30" i="5" s="1"/>
  <c r="M31" i="1"/>
  <c r="E31" i="5" s="1"/>
  <c r="M32" i="1"/>
  <c r="E32" i="5" s="1"/>
  <c r="M33" i="1"/>
  <c r="E33" i="5" s="1"/>
  <c r="M3" i="1"/>
  <c r="M34" i="1" s="1"/>
  <c r="AA9" i="6"/>
  <c r="Y3" i="6"/>
  <c r="W27" i="4"/>
  <c r="X27" i="4"/>
  <c r="Y27" i="4"/>
  <c r="Z27" i="4"/>
  <c r="AA27" i="4"/>
  <c r="AB27" i="4"/>
  <c r="W28" i="4"/>
  <c r="X28" i="4"/>
  <c r="Y28" i="4"/>
  <c r="Z28" i="4"/>
  <c r="AA28" i="4"/>
  <c r="K28" i="3" s="1"/>
  <c r="AB28" i="4"/>
  <c r="W29" i="4"/>
  <c r="X29" i="4"/>
  <c r="Y29" i="4"/>
  <c r="Z29" i="4"/>
  <c r="AA29" i="4"/>
  <c r="AB29" i="4"/>
  <c r="W30" i="4"/>
  <c r="X30" i="4"/>
  <c r="Y30" i="4"/>
  <c r="Z30" i="4"/>
  <c r="AA30" i="4"/>
  <c r="AB30" i="4"/>
  <c r="W31" i="4"/>
  <c r="X31" i="4"/>
  <c r="Y31" i="4"/>
  <c r="Z31" i="4"/>
  <c r="AA31" i="4"/>
  <c r="AB31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K27" i="3"/>
  <c r="K29" i="3"/>
  <c r="K30" i="3"/>
  <c r="K31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Y32" i="6"/>
  <c r="R32" i="6"/>
  <c r="G39" i="5"/>
  <c r="G38" i="5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9" i="6"/>
  <c r="AH30" i="6"/>
  <c r="AH31" i="6"/>
  <c r="AH32" i="6"/>
  <c r="AH33" i="6"/>
  <c r="AA29" i="6"/>
  <c r="AA30" i="6"/>
  <c r="AA31" i="6"/>
  <c r="AA32" i="6"/>
  <c r="AA33" i="6"/>
  <c r="AA3" i="6"/>
  <c r="AB3" i="6" s="1"/>
  <c r="AA4" i="6"/>
  <c r="AA5" i="6"/>
  <c r="AA6" i="6"/>
  <c r="AA7" i="6"/>
  <c r="AA8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T29" i="6"/>
  <c r="T30" i="6"/>
  <c r="T31" i="6"/>
  <c r="T32" i="6"/>
  <c r="T33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R29" i="6"/>
  <c r="Y23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9" i="6"/>
  <c r="F30" i="6"/>
  <c r="F31" i="6"/>
  <c r="F32" i="6"/>
  <c r="F33" i="6"/>
  <c r="F28" i="6"/>
  <c r="R23" i="6"/>
  <c r="T28" i="6"/>
  <c r="R2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9" i="6"/>
  <c r="M30" i="6"/>
  <c r="M31" i="6"/>
  <c r="M32" i="6"/>
  <c r="M33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2" i="6"/>
  <c r="K23" i="6"/>
  <c r="K24" i="6"/>
  <c r="K25" i="6"/>
  <c r="K26" i="6"/>
  <c r="K27" i="6"/>
  <c r="K29" i="6"/>
  <c r="K30" i="6"/>
  <c r="K31" i="6"/>
  <c r="K32" i="6"/>
  <c r="K33" i="6"/>
  <c r="AF33" i="6"/>
  <c r="AI33" i="6" s="1"/>
  <c r="AF32" i="6"/>
  <c r="AI32" i="6" s="1"/>
  <c r="AF31" i="6"/>
  <c r="AI31" i="6" s="1"/>
  <c r="AF30" i="6"/>
  <c r="AI30" i="6" s="1"/>
  <c r="AF29" i="6"/>
  <c r="AI29" i="6" s="1"/>
  <c r="AH28" i="6"/>
  <c r="AF28" i="6"/>
  <c r="AF27" i="6"/>
  <c r="AI27" i="6" s="1"/>
  <c r="AF26" i="6"/>
  <c r="AI26" i="6" s="1"/>
  <c r="AF25" i="6"/>
  <c r="AI25" i="6" s="1"/>
  <c r="AF24" i="6"/>
  <c r="AI24" i="6" s="1"/>
  <c r="AF23" i="6"/>
  <c r="AI23" i="6" s="1"/>
  <c r="AI22" i="6"/>
  <c r="AF21" i="6"/>
  <c r="AI21" i="6" s="1"/>
  <c r="AI20" i="6"/>
  <c r="AF19" i="6"/>
  <c r="AI19" i="6" s="1"/>
  <c r="AF18" i="6"/>
  <c r="AI18" i="6" s="1"/>
  <c r="AF17" i="6"/>
  <c r="AI17" i="6" s="1"/>
  <c r="AF16" i="6"/>
  <c r="AI16" i="6" s="1"/>
  <c r="AF15" i="6"/>
  <c r="AI15" i="6" s="1"/>
  <c r="AF14" i="6"/>
  <c r="AF13" i="6"/>
  <c r="AI13" i="6" s="1"/>
  <c r="AF12" i="6"/>
  <c r="AI12" i="6" s="1"/>
  <c r="AF11" i="6"/>
  <c r="AI11" i="6" s="1"/>
  <c r="AF10" i="6"/>
  <c r="AI10" i="6" s="1"/>
  <c r="AF9" i="6"/>
  <c r="AI9" i="6" s="1"/>
  <c r="AF8" i="6"/>
  <c r="AI8" i="6" s="1"/>
  <c r="AF7" i="6"/>
  <c r="AI7" i="6" s="1"/>
  <c r="AF6" i="6"/>
  <c r="AI6" i="6" s="1"/>
  <c r="AF5" i="6"/>
  <c r="AI5" i="6" s="1"/>
  <c r="AF4" i="6"/>
  <c r="AI4" i="6" s="1"/>
  <c r="AF3" i="6"/>
  <c r="AI3" i="6" s="1"/>
  <c r="Y33" i="6"/>
  <c r="AB33" i="6" s="1"/>
  <c r="AB32" i="6"/>
  <c r="Y31" i="6"/>
  <c r="AB31" i="6" s="1"/>
  <c r="AB30" i="6"/>
  <c r="Y29" i="6"/>
  <c r="AB29" i="6" s="1"/>
  <c r="AA28" i="6"/>
  <c r="Y28" i="6"/>
  <c r="Y27" i="6"/>
  <c r="AB27" i="6" s="1"/>
  <c r="Y26" i="6"/>
  <c r="AB26" i="6" s="1"/>
  <c r="Y25" i="6"/>
  <c r="AB25" i="6" s="1"/>
  <c r="Y24" i="6"/>
  <c r="AB24" i="6" s="1"/>
  <c r="AB23" i="6"/>
  <c r="Y22" i="6"/>
  <c r="AB22" i="6" s="1"/>
  <c r="Y21" i="6"/>
  <c r="AB21" i="6" s="1"/>
  <c r="Y20" i="6"/>
  <c r="AB20" i="6" s="1"/>
  <c r="Y19" i="6"/>
  <c r="AB19" i="6" s="1"/>
  <c r="Y18" i="6"/>
  <c r="AB18" i="6" s="1"/>
  <c r="Y17" i="6"/>
  <c r="AB17" i="6" s="1"/>
  <c r="Y16" i="6"/>
  <c r="AB16" i="6" s="1"/>
  <c r="Y15" i="6"/>
  <c r="AB15" i="6" s="1"/>
  <c r="Y14" i="6"/>
  <c r="Y13" i="6"/>
  <c r="AB13" i="6" s="1"/>
  <c r="Y12" i="6"/>
  <c r="AB12" i="6" s="1"/>
  <c r="Y11" i="6"/>
  <c r="AB11" i="6" s="1"/>
  <c r="Y10" i="6"/>
  <c r="AB10" i="6" s="1"/>
  <c r="Y9" i="6"/>
  <c r="AB9" i="6" s="1"/>
  <c r="AB8" i="6"/>
  <c r="Y7" i="6"/>
  <c r="AB7" i="6" s="1"/>
  <c r="Y6" i="6"/>
  <c r="AB6" i="6" s="1"/>
  <c r="Y5" i="6"/>
  <c r="AB5" i="6" s="1"/>
  <c r="Y4" i="6"/>
  <c r="AB4" i="6" s="1"/>
  <c r="R33" i="6"/>
  <c r="U33" i="6" s="1"/>
  <c r="U32" i="6"/>
  <c r="R31" i="6"/>
  <c r="U31" i="6" s="1"/>
  <c r="R30" i="6"/>
  <c r="U30" i="6" s="1"/>
  <c r="U29" i="6"/>
  <c r="R27" i="6"/>
  <c r="U27" i="6" s="1"/>
  <c r="R26" i="6"/>
  <c r="U26" i="6" s="1"/>
  <c r="R25" i="6"/>
  <c r="U25" i="6" s="1"/>
  <c r="R24" i="6"/>
  <c r="U24" i="6" s="1"/>
  <c r="U23" i="6"/>
  <c r="R22" i="6"/>
  <c r="U22" i="6" s="1"/>
  <c r="R21" i="6"/>
  <c r="U21" i="6" s="1"/>
  <c r="R20" i="6"/>
  <c r="U20" i="6" s="1"/>
  <c r="R19" i="6"/>
  <c r="U19" i="6" s="1"/>
  <c r="R18" i="6"/>
  <c r="U18" i="6" s="1"/>
  <c r="R17" i="6"/>
  <c r="U17" i="6" s="1"/>
  <c r="R16" i="6"/>
  <c r="U16" i="6" s="1"/>
  <c r="R15" i="6"/>
  <c r="U15" i="6" s="1"/>
  <c r="R14" i="6"/>
  <c r="R13" i="6"/>
  <c r="U13" i="6" s="1"/>
  <c r="R12" i="6"/>
  <c r="U12" i="6" s="1"/>
  <c r="R11" i="6"/>
  <c r="U11" i="6" s="1"/>
  <c r="R10" i="6"/>
  <c r="U10" i="6" s="1"/>
  <c r="R9" i="6"/>
  <c r="U9" i="6" s="1"/>
  <c r="R8" i="6"/>
  <c r="U8" i="6" s="1"/>
  <c r="R7" i="6"/>
  <c r="U7" i="6" s="1"/>
  <c r="R6" i="6"/>
  <c r="U6" i="6" s="1"/>
  <c r="R5" i="6"/>
  <c r="U5" i="6" s="1"/>
  <c r="R4" i="6"/>
  <c r="U4" i="6" s="1"/>
  <c r="R3" i="6"/>
  <c r="U3" i="6" s="1"/>
  <c r="N33" i="6"/>
  <c r="N32" i="6"/>
  <c r="N31" i="6"/>
  <c r="N30" i="6"/>
  <c r="M28" i="6"/>
  <c r="K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G23" i="6" s="1"/>
  <c r="D24" i="6"/>
  <c r="D25" i="6"/>
  <c r="D26" i="6"/>
  <c r="D27" i="6"/>
  <c r="D29" i="6"/>
  <c r="D30" i="6"/>
  <c r="D31" i="6"/>
  <c r="D32" i="6"/>
  <c r="D3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4" i="6"/>
  <c r="G25" i="6"/>
  <c r="G26" i="6"/>
  <c r="G27" i="6"/>
  <c r="G29" i="6"/>
  <c r="G30" i="6"/>
  <c r="G31" i="6"/>
  <c r="G32" i="6"/>
  <c r="G33" i="6"/>
  <c r="D28" i="6"/>
  <c r="G28" i="6"/>
  <c r="F34" i="5"/>
  <c r="H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T3" i="4"/>
  <c r="T6" i="4"/>
  <c r="T15" i="4"/>
  <c r="T16" i="4"/>
  <c r="T17" i="4"/>
  <c r="T18" i="4"/>
  <c r="T23" i="4"/>
  <c r="T24" i="4"/>
  <c r="T26" i="4"/>
  <c r="T29" i="4"/>
  <c r="T30" i="4"/>
  <c r="T32" i="4"/>
  <c r="I34" i="5" l="1"/>
  <c r="O34" i="1"/>
  <c r="L34" i="1" s="1"/>
  <c r="F34" i="6"/>
  <c r="G34" i="5"/>
  <c r="AH34" i="6"/>
  <c r="AA34" i="6"/>
  <c r="T34" i="6"/>
  <c r="G34" i="6"/>
  <c r="D34" i="6"/>
  <c r="K34" i="6"/>
  <c r="M34" i="6"/>
  <c r="AI14" i="6"/>
  <c r="AF34" i="6"/>
  <c r="AB14" i="6"/>
  <c r="AB34" i="6" s="1"/>
  <c r="Y34" i="6"/>
  <c r="U14" i="6"/>
  <c r="U34" i="6" s="1"/>
  <c r="R34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N28" i="6"/>
  <c r="N29" i="6"/>
  <c r="N3" i="6"/>
  <c r="N34" i="6" s="1"/>
  <c r="U28" i="6"/>
  <c r="AI28" i="6"/>
  <c r="AB28" i="6"/>
  <c r="U29" i="1"/>
  <c r="U30" i="1" s="1"/>
  <c r="U31" i="1" s="1"/>
  <c r="U32" i="1" s="1"/>
  <c r="U33" i="1" s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AI34" i="6" l="1"/>
  <c r="E3" i="3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AA17" i="4"/>
  <c r="K17" i="3" s="1"/>
  <c r="AB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W19" i="4"/>
  <c r="X19" i="4"/>
  <c r="Y19" i="4"/>
  <c r="Z19" i="4"/>
  <c r="AA19" i="4"/>
  <c r="K19" i="3" s="1"/>
  <c r="AB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W20" i="4"/>
  <c r="X20" i="4"/>
  <c r="Y20" i="4"/>
  <c r="Z20" i="4"/>
  <c r="AA20" i="4"/>
  <c r="K20" i="3" s="1"/>
  <c r="AB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  <c r="F31" i="3"/>
  <c r="T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tc={73759BB6-9D82-43C6-A478-7D4FD07047A9}</author>
  </authors>
  <commentList>
    <comment ref="V6" authorId="0" shapeId="0" xr:uid="{73759BB6-9D82-43C6-A478-7D4FD07047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meter calculated average
</t>
      </text>
    </comment>
  </commentList>
</comments>
</file>

<file path=xl/sharedStrings.xml><?xml version="1.0" encoding="utf-8"?>
<sst xmlns="http://schemas.openxmlformats.org/spreadsheetml/2006/main" count="207" uniqueCount="110">
  <si>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</si>
  <si>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</si>
  <si>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</si>
  <si>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</si>
  <si>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</si>
  <si>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</si>
  <si>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</si>
  <si>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</si>
  <si>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</si>
  <si>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</si>
  <si>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</si>
  <si>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</si>
  <si>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</si>
  <si>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</si>
  <si>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</si>
  <si>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</si>
  <si>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</si>
  <si>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</si>
  <si>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</si>
  <si>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</si>
  <si>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</si>
  <si>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</si>
  <si>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</si>
  <si>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</si>
  <si>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</si>
  <si>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</si>
  <si>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</si>
  <si>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</si>
  <si>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</si>
  <si>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</si>
  <si>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</si>
  <si>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</si>
  <si>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</si>
  <si>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</si>
  <si>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</si>
  <si>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</si>
  <si>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</si>
  <si>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</si>
  <si>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</si>
  <si>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</si>
  <si>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</si>
  <si>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</si>
  <si>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</si>
  <si>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</si>
  <si>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</si>
  <si>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</si>
  <si>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</si>
  <si>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</si>
  <si>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</si>
  <si>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   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</si>
  <si>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</si>
  <si>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</si>
  <si>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</si>
  <si>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</si>
  <si>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</si>
  <si>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</si>
  <si>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</si>
  <si>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</si>
  <si>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</si>
  <si>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</si>
  <si>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</si>
  <si>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</si>
  <si>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</si>
  <si>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</si>
  <si>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</si>
  <si>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</si>
  <si>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Fire Tank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</si>
  <si>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</si>
  <si>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</si>
  <si>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</si>
  <si>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</si>
  <si>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</si>
  <si>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</si>
  <si>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</si>
  <si>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</si>
  <si>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</si>
  <si>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Generator#4 (KWH)</t>
  </si>
  <si>
    <t>Running Hours</t>
  </si>
  <si>
    <t>Daily Fuel Burned</t>
  </si>
  <si>
    <t>Fuel burned Per Hour</t>
  </si>
  <si>
    <t>Daily Energy Consumed</t>
  </si>
  <si>
    <t>Energy Consumed Per Hour</t>
  </si>
  <si>
    <t>Engine Efficiency</t>
  </si>
  <si>
    <t>TOTAL</t>
  </si>
  <si>
    <t>OCCUPANCY</t>
  </si>
  <si>
    <t>GENERATOR</t>
  </si>
  <si>
    <t>DIESEL</t>
  </si>
  <si>
    <t>WATER</t>
  </si>
  <si>
    <t>DAY</t>
  </si>
  <si>
    <t>Electricty Remarks</t>
  </si>
  <si>
    <t>Water Remarks</t>
  </si>
  <si>
    <t>Diesel Remarks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</si>
  <si>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</si>
  <si>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</si>
  <si>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</si>
  <si>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</si>
  <si>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</si>
  <si>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</si>
  <si>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Suspect the fuel spileage on the 9th of April 2022. Water contaminent from gen4, 180lts was drained</t>
  </si>
  <si>
    <t>Fuel meter</t>
  </si>
  <si>
    <t>March</t>
  </si>
  <si>
    <t>April</t>
  </si>
  <si>
    <t>Consumed April</t>
  </si>
  <si>
    <t>May</t>
  </si>
  <si>
    <t>Consumed May</t>
  </si>
  <si>
    <t>Gen1</t>
  </si>
  <si>
    <t>Gen2</t>
  </si>
  <si>
    <t>Gen3</t>
  </si>
  <si>
    <t>Gen4</t>
  </si>
  <si>
    <t>Gen5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</si>
</sst>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2"/>
      <color rgb="FF000000"/>
      <name val="Calibri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8" xfId="0" applyNumberFormat="1" applyFont="1" applyBorder="1"/>
    <xf numFmtId="3" fontId="12" fillId="0" borderId="6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5" xfId="0" applyNumberFormat="1" applyFont="1" applyBorder="1" applyAlignment="1">
      <alignment horizontal="right"/>
    </xf>
    <xf numFmtId="0" fontId="13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4" fontId="12" fillId="0" borderId="8" xfId="0" applyNumberFormat="1" applyFont="1" applyBorder="1"/>
    <xf numFmtId="2" fontId="12" fillId="0" borderId="12" xfId="0" applyNumberFormat="1" applyFont="1" applyBorder="1"/>
    <xf numFmtId="4" fontId="12" fillId="0" borderId="8" xfId="0" applyNumberFormat="1" applyFont="1" applyBorder="1" applyAlignment="1">
      <alignment vertical="center" wrapText="1"/>
    </xf>
    <xf numFmtId="2" fontId="12" fillId="0" borderId="14" xfId="0" applyNumberFormat="1" applyFont="1" applyBorder="1"/>
    <xf numFmtId="0" fontId="13" fillId="4" borderId="8" xfId="0" applyFont="1" applyFill="1" applyBorder="1" applyAlignment="1">
      <alignment horizontal="center" vertical="center" wrapText="1"/>
    </xf>
    <xf numFmtId="2" fontId="13" fillId="4" borderId="8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4" fontId="12" fillId="0" borderId="10" xfId="0" applyNumberFormat="1" applyFont="1" applyBorder="1" applyAlignment="1">
      <alignment horizontal="right"/>
    </xf>
    <xf numFmtId="0" fontId="13" fillId="9" borderId="2" xfId="0" applyFont="1" applyFill="1" applyBorder="1" applyAlignment="1">
      <alignment vertical="center"/>
    </xf>
    <xf numFmtId="2" fontId="14" fillId="0" borderId="14" xfId="0" applyNumberFormat="1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12" fillId="0" borderId="5" xfId="0" applyFont="1" applyBorder="1" applyAlignment="1">
      <alignment horizontal="center"/>
    </xf>
    <xf numFmtId="0" fontId="12" fillId="0" borderId="8" xfId="0" applyFont="1" applyBorder="1"/>
    <xf numFmtId="0" fontId="13" fillId="0" borderId="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" xfId="0" applyFont="1" applyBorder="1"/>
    <xf numFmtId="0" fontId="12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0" fillId="0" borderId="8" xfId="0" applyBorder="1"/>
    <xf numFmtId="0" fontId="13" fillId="0" borderId="8" xfId="0" applyFont="1" applyBorder="1" applyAlignment="1">
      <alignment horizontal="center" wrapText="1"/>
    </xf>
    <xf numFmtId="3" fontId="12" fillId="0" borderId="8" xfId="0" applyNumberFormat="1" applyFont="1" applyBorder="1"/>
    <xf numFmtId="3" fontId="0" fillId="0" borderId="8" xfId="0" applyNumberFormat="1" applyBorder="1"/>
    <xf numFmtId="3" fontId="12" fillId="0" borderId="0" xfId="0" applyNumberFormat="1" applyFont="1"/>
    <xf numFmtId="4" fontId="12" fillId="0" borderId="3" xfId="0" applyNumberFormat="1" applyFont="1" applyBorder="1"/>
    <xf numFmtId="3" fontId="12" fillId="0" borderId="7" xfId="0" applyNumberFormat="1" applyFont="1" applyBorder="1"/>
    <xf numFmtId="0" fontId="12" fillId="0" borderId="7" xfId="0" applyFont="1" applyBorder="1"/>
    <xf numFmtId="0" fontId="12" fillId="0" borderId="11" xfId="0" applyFont="1" applyBorder="1"/>
    <xf numFmtId="0" fontId="12" fillId="0" borderId="18" xfId="0" applyFont="1" applyBorder="1"/>
    <xf numFmtId="0" fontId="12" fillId="0" borderId="6" xfId="0" applyFont="1" applyBorder="1"/>
    <xf numFmtId="0" fontId="12" fillId="0" borderId="23" xfId="0" applyFont="1" applyBorder="1"/>
    <xf numFmtId="0" fontId="12" fillId="0" borderId="14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165" fontId="0" fillId="0" borderId="0" xfId="0" applyNumberFormat="1"/>
    <xf numFmtId="0" fontId="13" fillId="0" borderId="12" xfId="0" applyFont="1" applyBorder="1" applyAlignment="1">
      <alignment vertical="center"/>
    </xf>
    <xf numFmtId="0" fontId="13" fillId="0" borderId="12" xfId="0" applyFont="1" applyBorder="1" applyAlignment="1">
      <alignment horizontal="center"/>
    </xf>
    <xf numFmtId="14" fontId="12" fillId="0" borderId="12" xfId="0" applyNumberFormat="1" applyFont="1" applyBorder="1"/>
    <xf numFmtId="0" fontId="4" fillId="0" borderId="1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3" fontId="18" fillId="0" borderId="8" xfId="0" applyNumberFormat="1" applyFont="1" applyBorder="1"/>
    <xf numFmtId="165" fontId="5" fillId="0" borderId="8" xfId="0" applyNumberFormat="1" applyFont="1" applyBorder="1"/>
    <xf numFmtId="0" fontId="0" fillId="0" borderId="19" xfId="0" applyBorder="1"/>
    <xf numFmtId="0" fontId="0" fillId="0" borderId="21" xfId="0" applyBorder="1"/>
    <xf numFmtId="0" fontId="0" fillId="0" borderId="18" xfId="0" applyBorder="1"/>
    <xf numFmtId="0" fontId="0" fillId="0" borderId="10" xfId="0" applyBorder="1"/>
    <xf numFmtId="4" fontId="0" fillId="0" borderId="8" xfId="0" applyNumberFormat="1" applyBorder="1"/>
    <xf numFmtId="1" fontId="0" fillId="0" borderId="8" xfId="0" applyNumberFormat="1" applyBorder="1"/>
    <xf numFmtId="0" fontId="0" fillId="0" borderId="14" xfId="0" applyBorder="1"/>
    <xf numFmtId="0" fontId="0" fillId="0" borderId="12" xfId="0" applyBorder="1"/>
    <xf numFmtId="1" fontId="0" fillId="0" borderId="18" xfId="0" applyNumberFormat="1" applyBorder="1"/>
    <xf numFmtId="0" fontId="0" fillId="0" borderId="20" xfId="0" applyBorder="1"/>
    <xf numFmtId="0" fontId="0" fillId="0" borderId="16" xfId="0" applyBorder="1"/>
    <xf numFmtId="0" fontId="0" fillId="0" borderId="8" xfId="0" applyBorder="1" applyAlignment="1">
      <alignment wrapText="1"/>
    </xf>
    <xf numFmtId="4" fontId="0" fillId="0" borderId="0" xfId="0" applyNumberFormat="1"/>
    <xf numFmtId="3" fontId="0" fillId="0" borderId="0" xfId="0" applyNumberFormat="1"/>
    <xf numFmtId="0" fontId="17" fillId="0" borderId="0" xfId="0" applyFont="1"/>
    <xf numFmtId="2" fontId="0" fillId="0" borderId="8" xfId="0" applyNumberFormat="1" applyBorder="1"/>
    <xf numFmtId="0" fontId="0" fillId="0" borderId="25" xfId="0" applyBorder="1"/>
    <xf numFmtId="1" fontId="0" fillId="0" borderId="14" xfId="0" applyNumberFormat="1" applyBorder="1"/>
    <xf numFmtId="1" fontId="0" fillId="0" borderId="22" xfId="0" applyNumberFormat="1" applyBorder="1"/>
    <xf numFmtId="2" fontId="0" fillId="0" borderId="14" xfId="0" applyNumberFormat="1" applyBorder="1"/>
    <xf numFmtId="4" fontId="0" fillId="0" borderId="14" xfId="0" applyNumberFormat="1" applyBorder="1"/>
    <xf numFmtId="0" fontId="4" fillId="0" borderId="8" xfId="0" applyFont="1" applyBorder="1"/>
    <xf numFmtId="0" fontId="6" fillId="0" borderId="8" xfId="0" applyFont="1" applyBorder="1"/>
    <xf numFmtId="0" fontId="4" fillId="0" borderId="8" xfId="0" applyFont="1" applyBorder="1" applyAlignment="1">
      <alignment horizontal="center"/>
    </xf>
    <xf numFmtId="14" fontId="13" fillId="0" borderId="12" xfId="0" applyNumberFormat="1" applyFont="1" applyBorder="1"/>
    <xf numFmtId="3" fontId="4" fillId="0" borderId="0" xfId="0" applyNumberFormat="1" applyFont="1"/>
    <xf numFmtId="4" fontId="5" fillId="0" borderId="14" xfId="0" applyNumberFormat="1" applyFont="1" applyBorder="1"/>
    <xf numFmtId="0" fontId="6" fillId="0" borderId="8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8" xfId="0" applyBorder="1" applyAlignment="1">
      <alignment horizontal="center"/>
    </xf>
    <xf numFmtId="0" fontId="16" fillId="0" borderId="8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4" fillId="0" borderId="0" xfId="0" applyFont="1" applyAlignment="1">
      <alignment horizontal="center" wrapText="1"/>
    </xf>
    <xf numFmtId="1" fontId="0" fillId="0" borderId="0" xfId="0" applyNumberFormat="1"/>
    <xf numFmtId="3" fontId="12" fillId="0" borderId="0" xfId="0" applyNumberFormat="1" applyFont="1" applyAlignment="1">
      <alignment horizontal="center"/>
    </xf>
    <xf numFmtId="1" fontId="12" fillId="0" borderId="0" xfId="0" applyNumberFormat="1" applyFont="1"/>
    <xf numFmtId="17" fontId="4" fillId="3" borderId="8" xfId="0" applyNumberFormat="1" applyFont="1" applyFill="1" applyBorder="1"/>
    <xf numFmtId="2" fontId="19" fillId="0" borderId="14" xfId="0" applyNumberFormat="1" applyFont="1" applyBorder="1"/>
    <xf numFmtId="2" fontId="20" fillId="0" borderId="8" xfId="0" applyNumberFormat="1" applyFont="1" applyBorder="1"/>
    <xf numFmtId="4" fontId="20" fillId="0" borderId="8" xfId="0" applyNumberFormat="1" applyFont="1" applyBorder="1"/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7" borderId="23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13" xfId="0" applyFont="1" applyFill="1" applyBorder="1" applyAlignment="1">
      <alignment horizontal="center"/>
    </xf>
    <xf numFmtId="0" fontId="13" fillId="7" borderId="24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right"/>
    </xf>
  </cellXfs>
  <cellStyles count="2">
    <cellStyle name="Milliers_Classeur1" xfId="1" xr:uid="{00000000-0005-0000-0000-000000000000}"/>
    <cellStyle name="Normal" xfId="0" builtinId="0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DF1BA922-1B05-4020-9DAD-9E4688D7720F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6" dT="2022-06-15T12:29:50.86" personId="{DF1BA922-1B05-4020-9DAD-9E4688D7720F}" id="{73759BB6-9D82-43C6-A478-7D4FD07047A9}">
    <text xml:space="preserve">All meter calculated average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D35" sqref="D35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6</v>
      </c>
      <c r="D2" s="1">
        <v>2022</v>
      </c>
      <c r="E2" s="12">
        <f>'Submetering '!O2+'Submetering '!P2+'Submetering '!Q2+'Submetering '!R2+'Submetering '!S2+'Submetering '!U2</f>
        <v>34905</v>
      </c>
      <c r="F2" s="11">
        <f>(('FS Seychelles'!R3*'FS Seychelles'!S3)+('FS Seychelles'!T3*'FS Seychelles'!U3))/TOTAL!E2</f>
        <v>0.33775676837129348</v>
      </c>
      <c r="G2" s="12">
        <f>('FS Seychelles'!$AF$10+'FS Seychelles'!$AF$15)/30</f>
        <v>0</v>
      </c>
      <c r="H2" s="11">
        <v>1.05</v>
      </c>
      <c r="I2" s="12">
        <f>'FS Seychelles'!V3+'FS Seychelles'!X3+'FS Seychelles'!Y3+'FS Seychelles'!Z3</f>
        <v>359</v>
      </c>
      <c r="J2" s="11">
        <v>0</v>
      </c>
      <c r="K2" s="28">
        <f>'Submetering '!AA2</f>
        <v>40</v>
      </c>
      <c r="L2" s="11">
        <v>0</v>
      </c>
      <c r="M2" s="44">
        <f>'FS Seychelles'!B3</f>
        <v>56.6</v>
      </c>
    </row>
    <row r="3" spans="1:13" s="15" customFormat="1">
      <c r="A3" s="1" t="s">
        <v>13</v>
      </c>
      <c r="B3" s="14">
        <f>B2+1</f>
        <v>2</v>
      </c>
      <c r="C3" s="11">
        <v>6</v>
      </c>
      <c r="D3" s="1">
        <v>2022</v>
      </c>
      <c r="E3" s="12">
        <f>'Submetering '!O3+'Submetering '!P3+'Submetering '!Q3+'Submetering '!R3+'Submetering '!S3+'Submetering '!U3</f>
        <v>34551</v>
      </c>
      <c r="F3" s="11">
        <f>(('FS Seychelles'!R4*'FS Seychelles'!S4)+('FS Seychelles'!T4*'FS Seychelles'!U4))/TOTAL!E3</f>
        <v>0.31220000000000003</v>
      </c>
      <c r="G3" s="12">
        <f>('FS Seychelles'!$AF$10+'FS Seychelles'!$AF$15)/30</f>
        <v>0</v>
      </c>
      <c r="H3" s="11">
        <f>H2</f>
        <v>1.05</v>
      </c>
      <c r="I3" s="12">
        <f>'FS Seychelles'!V4+'FS Seychelles'!X4+'FS Seychelles'!Y4+'FS Seychelles'!Z4</f>
        <v>424</v>
      </c>
      <c r="J3" s="11">
        <f>J2</f>
        <v>0</v>
      </c>
      <c r="K3" s="28">
        <f>'Submetering '!AA3</f>
        <v>9</v>
      </c>
      <c r="L3" s="11">
        <f>L2</f>
        <v>0</v>
      </c>
      <c r="M3" s="44">
        <f>'FS Seychelles'!B4</f>
        <v>69.7</v>
      </c>
    </row>
    <row r="4" spans="1:13" s="15" customFormat="1">
      <c r="A4" s="1" t="s">
        <v>13</v>
      </c>
      <c r="B4" s="14">
        <f t="shared" ref="B4:B32" si="0">B3+1</f>
        <v>3</v>
      </c>
      <c r="C4" s="11">
        <v>6</v>
      </c>
      <c r="D4" s="1">
        <v>2022</v>
      </c>
      <c r="E4" s="12">
        <f>'Submetering '!O4+'Submetering '!P4+'Submetering '!Q4+'Submetering '!R4+'Submetering '!S4+'Submetering '!U4</f>
        <v>32996</v>
      </c>
      <c r="F4" s="11">
        <f>(('FS Seychelles'!R5*'FS Seychelles'!S5)+('FS Seychelles'!T5*'FS Seychelles'!U5))/TOTAL!E4</f>
        <v>0.34441591101951752</v>
      </c>
      <c r="G4" s="12">
        <f>('FS Seychelles'!$AF$10+'FS Seychelles'!$AF$15)/30</f>
        <v>0</v>
      </c>
      <c r="H4" s="11">
        <f t="shared" ref="H4:H32" si="1">H3</f>
        <v>1.05</v>
      </c>
      <c r="I4" s="12">
        <f>'FS Seychelles'!V5+'FS Seychelles'!X5+'FS Seychelles'!Y5+'FS Seychelles'!Z5</f>
        <v>436</v>
      </c>
      <c r="J4" s="11">
        <f t="shared" ref="J4:L32" si="2">J3</f>
        <v>0</v>
      </c>
      <c r="K4" s="28">
        <f>'Submetering '!AA4</f>
        <v>124</v>
      </c>
      <c r="L4" s="11">
        <f t="shared" si="2"/>
        <v>0</v>
      </c>
      <c r="M4" s="44">
        <f>'FS Seychelles'!B5</f>
        <v>68.400000000000006</v>
      </c>
    </row>
    <row r="5" spans="1:13" s="15" customFormat="1">
      <c r="A5" s="1" t="s">
        <v>13</v>
      </c>
      <c r="B5" s="14">
        <f t="shared" si="0"/>
        <v>4</v>
      </c>
      <c r="C5" s="11">
        <v>6</v>
      </c>
      <c r="D5" s="1">
        <v>2022</v>
      </c>
      <c r="E5" s="12">
        <f>'Submetering '!O5+'Submetering '!P5+'Submetering '!Q5+'Submetering '!R5+'Submetering '!S5+'Submetering '!U5</f>
        <v>32944</v>
      </c>
      <c r="F5" s="11">
        <f>(('FS Seychelles'!R6*'FS Seychelles'!S6)+('FS Seychelles'!T6*'FS Seychelles'!U6))/TOTAL!E5</f>
        <v>0.31372498178727537</v>
      </c>
      <c r="G5" s="12">
        <f>('FS Seychelles'!$AF$10+'FS Seychelles'!$AF$15)/30</f>
        <v>0</v>
      </c>
      <c r="H5" s="11">
        <f t="shared" si="1"/>
        <v>1.05</v>
      </c>
      <c r="I5" s="12">
        <f>'FS Seychelles'!V6+'FS Seychelles'!X6+'FS Seychelles'!Y6+'FS Seychelles'!Z6</f>
        <v>428</v>
      </c>
      <c r="J5" s="11">
        <f t="shared" si="2"/>
        <v>0</v>
      </c>
      <c r="K5" s="28">
        <f>'Submetering '!AA5</f>
        <v>108.8</v>
      </c>
      <c r="L5" s="11">
        <f t="shared" si="2"/>
        <v>0</v>
      </c>
      <c r="M5" s="44">
        <f>'FS Seychelles'!B6</f>
        <v>63.2</v>
      </c>
    </row>
    <row r="6" spans="1:13" s="15" customFormat="1">
      <c r="A6" s="1" t="s">
        <v>13</v>
      </c>
      <c r="B6" s="14">
        <f t="shared" si="0"/>
        <v>5</v>
      </c>
      <c r="C6" s="11">
        <v>6</v>
      </c>
      <c r="D6" s="1">
        <v>2022</v>
      </c>
      <c r="E6" s="12">
        <f>'Submetering '!O6+'Submetering '!P6+'Submetering '!Q6+'Submetering '!R6+'Submetering '!S6+'Submetering '!U6</f>
        <v>35661</v>
      </c>
      <c r="F6" s="11">
        <f>(('FS Seychelles'!R7*'FS Seychelles'!S7)+('FS Seychelles'!T7*'FS Seychelles'!U7))/TOTAL!E6</f>
        <v>0.33117272650794988</v>
      </c>
      <c r="G6" s="12">
        <f>('FS Seychelles'!$AF$10+'FS Seychelles'!$AF$15)/30</f>
        <v>0</v>
      </c>
      <c r="H6" s="11">
        <f t="shared" si="1"/>
        <v>1.05</v>
      </c>
      <c r="I6" s="12">
        <f>'FS Seychelles'!V7+'FS Seychelles'!X7+'FS Seychelles'!Y7+'FS Seychelles'!Z7</f>
        <v>481</v>
      </c>
      <c r="J6" s="11">
        <f t="shared" si="2"/>
        <v>0</v>
      </c>
      <c r="K6" s="28">
        <f>'Submetering '!AA6</f>
        <v>112</v>
      </c>
      <c r="L6" s="11">
        <f t="shared" si="2"/>
        <v>0</v>
      </c>
      <c r="M6" s="44">
        <f>'FS Seychelles'!B7</f>
        <v>69.7</v>
      </c>
    </row>
    <row r="7" spans="1:13" s="15" customFormat="1">
      <c r="A7" s="1" t="s">
        <v>13</v>
      </c>
      <c r="B7" s="14">
        <f t="shared" si="0"/>
        <v>6</v>
      </c>
      <c r="C7" s="11">
        <v>6</v>
      </c>
      <c r="D7" s="1">
        <v>2022</v>
      </c>
      <c r="E7" s="12">
        <f>'Submetering '!O7+'Submetering '!P7+'Submetering '!Q7+'Submetering '!R7+'Submetering '!S7+'Submetering '!U7</f>
        <v>32497</v>
      </c>
      <c r="F7" s="11">
        <f>(('FS Seychelles'!R8*'FS Seychelles'!S8)+('FS Seychelles'!T8*'FS Seychelles'!U8))/TOTAL!E7</f>
        <v>0.31894241930024309</v>
      </c>
      <c r="G7" s="12">
        <f>('FS Seychelles'!$AF$10+'FS Seychelles'!$AF$15)/30</f>
        <v>0</v>
      </c>
      <c r="H7" s="11">
        <f t="shared" si="1"/>
        <v>1.05</v>
      </c>
      <c r="I7" s="12">
        <f>'FS Seychelles'!V8+'FS Seychelles'!X8+'FS Seychelles'!Y8+'FS Seychelles'!Z8</f>
        <v>446</v>
      </c>
      <c r="J7" s="11">
        <f t="shared" si="2"/>
        <v>0</v>
      </c>
      <c r="K7" s="28">
        <f>'Submetering '!AA7</f>
        <v>109</v>
      </c>
      <c r="L7" s="11">
        <f t="shared" si="2"/>
        <v>0</v>
      </c>
      <c r="M7" s="44">
        <f>'FS Seychelles'!B8</f>
        <v>61.8</v>
      </c>
    </row>
    <row r="8" spans="1:13" s="15" customFormat="1">
      <c r="A8" s="1" t="s">
        <v>13</v>
      </c>
      <c r="B8" s="14">
        <f t="shared" si="0"/>
        <v>7</v>
      </c>
      <c r="C8" s="11">
        <v>6</v>
      </c>
      <c r="D8" s="1">
        <v>2022</v>
      </c>
      <c r="E8" s="12">
        <f>'Submetering '!O8+'Submetering '!P8+'Submetering '!Q8+'Submetering '!R8+'Submetering '!S8+'Submetering '!U8</f>
        <v>37469</v>
      </c>
      <c r="F8" s="11">
        <f>(('FS Seychelles'!R9*'FS Seychelles'!S9)+('FS Seychelles'!T9*'FS Seychelles'!U9))/TOTAL!E8</f>
        <v>0.32462057701032854</v>
      </c>
      <c r="G8" s="12">
        <f>('FS Seychelles'!$AF$10+'FS Seychelles'!$AF$15)/30</f>
        <v>0</v>
      </c>
      <c r="H8" s="11">
        <f t="shared" si="1"/>
        <v>1.05</v>
      </c>
      <c r="I8" s="12">
        <f>'FS Seychelles'!V9+'FS Seychelles'!X9+'FS Seychelles'!Y9+'FS Seychelles'!Z9</f>
        <v>487</v>
      </c>
      <c r="J8" s="11">
        <f t="shared" si="2"/>
        <v>0</v>
      </c>
      <c r="K8" s="28">
        <f>'Submetering '!AA8</f>
        <v>112</v>
      </c>
      <c r="L8" s="11">
        <f t="shared" si="2"/>
        <v>0</v>
      </c>
      <c r="M8" s="44">
        <f>'FS Seychelles'!B9</f>
        <v>57.9</v>
      </c>
    </row>
    <row r="9" spans="1:13" s="15" customFormat="1">
      <c r="A9" s="1" t="s">
        <v>13</v>
      </c>
      <c r="B9" s="14">
        <f t="shared" si="0"/>
        <v>8</v>
      </c>
      <c r="C9" s="11">
        <v>6</v>
      </c>
      <c r="D9" s="1">
        <v>2022</v>
      </c>
      <c r="E9" s="12">
        <f>'Submetering '!O9+'Submetering '!P9+'Submetering '!Q9+'Submetering '!R9+'Submetering '!S9+'Submetering '!U9</f>
        <v>42031</v>
      </c>
      <c r="F9" s="11">
        <f>(('FS Seychelles'!R10*'FS Seychelles'!S10)+('FS Seychelles'!T10*'FS Seychelles'!U10))/TOTAL!E9</f>
        <v>0.29712869072827197</v>
      </c>
      <c r="G9" s="12">
        <f>('FS Seychelles'!$AF$10+'FS Seychelles'!$AF$15)/30</f>
        <v>0</v>
      </c>
      <c r="H9" s="11">
        <f t="shared" si="1"/>
        <v>1.05</v>
      </c>
      <c r="I9" s="12">
        <f>'FS Seychelles'!V10+'FS Seychelles'!X10+'FS Seychelles'!Y10+'FS Seychelles'!Z10</f>
        <v>392</v>
      </c>
      <c r="J9" s="11">
        <f t="shared" si="2"/>
        <v>0</v>
      </c>
      <c r="K9" s="28">
        <f>'Submetering '!AA9</f>
        <v>107</v>
      </c>
      <c r="L9" s="11">
        <f t="shared" si="2"/>
        <v>0</v>
      </c>
      <c r="M9" s="44">
        <f>'FS Seychelles'!B10</f>
        <v>56.6</v>
      </c>
    </row>
    <row r="10" spans="1:13" s="15" customFormat="1">
      <c r="A10" s="1" t="s">
        <v>13</v>
      </c>
      <c r="B10" s="14">
        <f t="shared" si="0"/>
        <v>9</v>
      </c>
      <c r="C10" s="11">
        <v>6</v>
      </c>
      <c r="D10" s="1">
        <v>2022</v>
      </c>
      <c r="E10" s="12">
        <f>'Submetering '!O10+'Submetering '!P10+'Submetering '!Q10+'Submetering '!R10+'Submetering '!S10+'Submetering '!U10</f>
        <v>36989</v>
      </c>
      <c r="F10" s="11">
        <f>(('FS Seychelles'!R11*'FS Seychelles'!S11)+('FS Seychelles'!T11*'FS Seychelles'!U11))/TOTAL!E10</f>
        <v>0.33517360296304305</v>
      </c>
      <c r="G10" s="12">
        <f>('FS Seychelles'!$AF$10+'FS Seychelles'!$AF$15)/30</f>
        <v>0</v>
      </c>
      <c r="H10" s="11">
        <f t="shared" si="1"/>
        <v>1.05</v>
      </c>
      <c r="I10" s="12">
        <f>'FS Seychelles'!V11+'FS Seychelles'!X11+'FS Seychelles'!Y11+'FS Seychelles'!Z11</f>
        <v>468</v>
      </c>
      <c r="J10" s="11">
        <f t="shared" si="2"/>
        <v>0</v>
      </c>
      <c r="K10" s="28">
        <f>'Submetering '!AA10</f>
        <v>108</v>
      </c>
      <c r="L10" s="11">
        <f t="shared" si="2"/>
        <v>0</v>
      </c>
      <c r="M10" s="44">
        <f>'FS Seychelles'!B11</f>
        <v>56.6</v>
      </c>
    </row>
    <row r="11" spans="1:13" s="15" customFormat="1">
      <c r="A11" s="1" t="s">
        <v>13</v>
      </c>
      <c r="B11" s="14">
        <f t="shared" si="0"/>
        <v>10</v>
      </c>
      <c r="C11" s="11">
        <v>6</v>
      </c>
      <c r="D11" s="1">
        <v>2022</v>
      </c>
      <c r="E11" s="12">
        <f>'Submetering '!O11+'Submetering '!P11+'Submetering '!Q11+'Submetering '!R11+'Submetering '!S11+'Submetering '!U11</f>
        <v>26452</v>
      </c>
      <c r="F11" s="11">
        <f>(('FS Seychelles'!R12*'FS Seychelles'!S12)+('FS Seychelles'!T12*'FS Seychelles'!U12))/TOTAL!E11</f>
        <v>0.30499634054135794</v>
      </c>
      <c r="G11" s="12">
        <f>('FS Seychelles'!$AF$10+'FS Seychelles'!$AF$15)/30</f>
        <v>0</v>
      </c>
      <c r="H11" s="11">
        <f t="shared" si="1"/>
        <v>1.05</v>
      </c>
      <c r="I11" s="12">
        <f>'FS Seychelles'!V12+'FS Seychelles'!X12+'FS Seychelles'!Y12+'FS Seychelles'!Z12</f>
        <v>397</v>
      </c>
      <c r="J11" s="11">
        <f t="shared" si="2"/>
        <v>0</v>
      </c>
      <c r="K11" s="28">
        <f>'Submetering '!AA11</f>
        <v>110</v>
      </c>
      <c r="L11" s="11">
        <f t="shared" si="2"/>
        <v>0</v>
      </c>
      <c r="M11" s="44">
        <f>'FS Seychelles'!B12</f>
        <v>48.9</v>
      </c>
    </row>
    <row r="12" spans="1:13" s="15" customFormat="1">
      <c r="A12" s="1" t="s">
        <v>13</v>
      </c>
      <c r="B12" s="14">
        <f t="shared" si="0"/>
        <v>11</v>
      </c>
      <c r="C12" s="11">
        <v>6</v>
      </c>
      <c r="D12" s="1">
        <v>2022</v>
      </c>
      <c r="E12" s="12">
        <f>'Submetering '!O12+'Submetering '!P12+'Submetering '!Q12+'Submetering '!R12+'Submetering '!S12+'Submetering '!U12</f>
        <v>31948</v>
      </c>
      <c r="F12" s="11">
        <f>(('FS Seychelles'!R13*'FS Seychelles'!S13)+('FS Seychelles'!T13*'FS Seychelles'!U13))/TOTAL!E12</f>
        <v>0.38916099912357582</v>
      </c>
      <c r="G12" s="12">
        <f>('FS Seychelles'!$AF$10+'FS Seychelles'!$AF$15)/30</f>
        <v>0</v>
      </c>
      <c r="H12" s="11">
        <f t="shared" si="1"/>
        <v>1.05</v>
      </c>
      <c r="I12" s="12">
        <f>'FS Seychelles'!V13+'FS Seychelles'!X13+'FS Seychelles'!Y13+'FS Seychelles'!Z13</f>
        <v>350</v>
      </c>
      <c r="J12" s="11">
        <f t="shared" si="2"/>
        <v>0</v>
      </c>
      <c r="K12" s="28">
        <f>'Submetering '!AA12</f>
        <v>108</v>
      </c>
      <c r="L12" s="11">
        <f t="shared" si="2"/>
        <v>0</v>
      </c>
      <c r="M12" s="44">
        <f>'FS Seychelles'!B13</f>
        <v>51.3</v>
      </c>
    </row>
    <row r="13" spans="1:13" s="15" customFormat="1">
      <c r="A13" s="1" t="s">
        <v>13</v>
      </c>
      <c r="B13" s="14">
        <f t="shared" si="0"/>
        <v>12</v>
      </c>
      <c r="C13" s="11">
        <v>6</v>
      </c>
      <c r="D13" s="1">
        <v>2022</v>
      </c>
      <c r="E13" s="12">
        <f>'Submetering '!O13+'Submetering '!P13+'Submetering '!Q13+'Submetering '!R13+'Submetering '!S13+'Submetering '!U13</f>
        <v>27725</v>
      </c>
      <c r="F13" s="11">
        <f>(('FS Seychelles'!R14*'FS Seychelles'!S14)+('FS Seychelles'!T14*'FS Seychelles'!U14))/TOTAL!E13</f>
        <v>0.32911109107303876</v>
      </c>
      <c r="G13" s="12">
        <f>('FS Seychelles'!$AF$10+'FS Seychelles'!$AF$15)/30</f>
        <v>0</v>
      </c>
      <c r="H13" s="11">
        <f t="shared" si="1"/>
        <v>1.05</v>
      </c>
      <c r="I13" s="12">
        <f>'FS Seychelles'!V14+'FS Seychelles'!X14+'FS Seychelles'!Y14+'FS Seychelles'!Z14</f>
        <v>428</v>
      </c>
      <c r="J13" s="11">
        <f t="shared" si="2"/>
        <v>0</v>
      </c>
      <c r="K13" s="28">
        <f>'Submetering '!AA13</f>
        <v>106</v>
      </c>
      <c r="L13" s="11">
        <f t="shared" si="2"/>
        <v>0</v>
      </c>
      <c r="M13" s="44">
        <f>'FS Seychelles'!B14</f>
        <v>57.9</v>
      </c>
    </row>
    <row r="14" spans="1:13" s="15" customFormat="1">
      <c r="A14" s="1" t="s">
        <v>13</v>
      </c>
      <c r="B14" s="14">
        <f t="shared" si="0"/>
        <v>13</v>
      </c>
      <c r="C14" s="11">
        <v>6</v>
      </c>
      <c r="D14" s="1">
        <v>2022</v>
      </c>
      <c r="E14" s="12">
        <f>'Submetering '!O14+'Submetering '!P14+'Submetering '!Q14+'Submetering '!R14+'Submetering '!S14+'Submetering '!U14</f>
        <v>29046</v>
      </c>
      <c r="F14" s="11">
        <f>(('FS Seychelles'!R15*'FS Seychelles'!S15)+('FS Seychelles'!T15*'FS Seychelles'!U15))/TOTAL!E14</f>
        <v>0.32625480272670937</v>
      </c>
      <c r="G14" s="12">
        <f>('FS Seychelles'!$AF$10+'FS Seychelles'!$AF$15)/30</f>
        <v>0</v>
      </c>
      <c r="H14" s="11">
        <f t="shared" si="1"/>
        <v>1.05</v>
      </c>
      <c r="I14" s="12">
        <f>'FS Seychelles'!V15+'FS Seychelles'!X15+'FS Seychelles'!Y15+'FS Seychelles'!Z15</f>
        <v>368</v>
      </c>
      <c r="J14" s="11">
        <f t="shared" si="2"/>
        <v>0</v>
      </c>
      <c r="K14" s="28">
        <f>'Submetering '!AA14</f>
        <v>107</v>
      </c>
      <c r="L14" s="11">
        <f t="shared" si="2"/>
        <v>0</v>
      </c>
      <c r="M14" s="44">
        <f>'FS Seychelles'!B15</f>
        <v>61.8</v>
      </c>
    </row>
    <row r="15" spans="1:13" s="15" customFormat="1">
      <c r="A15" s="1" t="s">
        <v>13</v>
      </c>
      <c r="B15" s="14">
        <f t="shared" si="0"/>
        <v>14</v>
      </c>
      <c r="C15" s="11">
        <v>6</v>
      </c>
      <c r="D15" s="1">
        <v>2022</v>
      </c>
      <c r="E15" s="12">
        <f>'Submetering '!O15+'Submetering '!P15+'Submetering '!Q15+'Submetering '!R15+'Submetering '!S15+'Submetering '!U15</f>
        <v>31179</v>
      </c>
      <c r="F15" s="11">
        <f>(('FS Seychelles'!R16*'FS Seychelles'!S16)+('FS Seychelles'!T16*'FS Seychelles'!U16))/TOTAL!E15</f>
        <v>0.3339761762724911</v>
      </c>
      <c r="G15" s="12">
        <f>('FS Seychelles'!$AF$10+'FS Seychelles'!$AF$15)/30</f>
        <v>0</v>
      </c>
      <c r="H15" s="11">
        <f t="shared" si="1"/>
        <v>1.05</v>
      </c>
      <c r="I15" s="12">
        <f>'FS Seychelles'!V16+'FS Seychelles'!X16+'FS Seychelles'!Y16+'FS Seychelles'!Z16</f>
        <v>463</v>
      </c>
      <c r="J15" s="11">
        <f t="shared" si="2"/>
        <v>0</v>
      </c>
      <c r="K15" s="28">
        <f>'Submetering '!AA15</f>
        <v>109</v>
      </c>
      <c r="L15" s="11">
        <f t="shared" si="2"/>
        <v>0</v>
      </c>
      <c r="M15" s="44">
        <f>'FS Seychelles'!B16</f>
        <v>67.099999999999994</v>
      </c>
    </row>
    <row r="16" spans="1:13" s="15" customFormat="1">
      <c r="A16" s="1" t="s">
        <v>13</v>
      </c>
      <c r="B16" s="14">
        <f t="shared" si="0"/>
        <v>15</v>
      </c>
      <c r="C16" s="11">
        <v>6</v>
      </c>
      <c r="D16" s="1">
        <v>2022</v>
      </c>
      <c r="E16" s="12">
        <f>'Submetering '!O16+'Submetering '!P16+'Submetering '!Q16+'Submetering '!R16+'Submetering '!S16+'Submetering '!U16</f>
        <v>27178</v>
      </c>
      <c r="F16" s="11">
        <f>(('FS Seychelles'!R17*'FS Seychelles'!S17)+('FS Seychelles'!T17*'FS Seychelles'!U17))/TOTAL!E16</f>
        <v>0.33794623592611667</v>
      </c>
      <c r="G16" s="12">
        <f>('FS Seychelles'!$AF$10+'FS Seychelles'!$AF$15)/30</f>
        <v>0</v>
      </c>
      <c r="H16" s="11">
        <f t="shared" si="1"/>
        <v>1.05</v>
      </c>
      <c r="I16" s="12">
        <f>'FS Seychelles'!V17+'FS Seychelles'!X17+'FS Seychelles'!Y17+'FS Seychelles'!Z17</f>
        <v>448</v>
      </c>
      <c r="J16" s="11">
        <f t="shared" si="2"/>
        <v>0</v>
      </c>
      <c r="K16" s="28">
        <f>'Submetering '!AA16</f>
        <v>116</v>
      </c>
      <c r="L16" s="11">
        <f t="shared" si="2"/>
        <v>0</v>
      </c>
      <c r="M16" s="44">
        <f>'FS Seychelles'!B17</f>
        <v>57.9</v>
      </c>
    </row>
    <row r="17" spans="1:13" s="15" customFormat="1">
      <c r="A17" s="1" t="s">
        <v>13</v>
      </c>
      <c r="B17" s="14">
        <f t="shared" si="0"/>
        <v>16</v>
      </c>
      <c r="C17" s="11">
        <v>6</v>
      </c>
      <c r="D17" s="1">
        <v>2022</v>
      </c>
      <c r="E17" s="12">
        <f>'Submetering '!O17+'Submetering '!P17+'Submetering '!Q17+'Submetering '!R17+'Submetering '!S17+'Submetering '!U17</f>
        <v>21828</v>
      </c>
      <c r="F17" s="11">
        <f>(('FS Seychelles'!R18*'FS Seychelles'!S18)+('FS Seychelles'!T18*'FS Seychelles'!U18))/TOTAL!E17</f>
        <v>0.31702592083562398</v>
      </c>
      <c r="G17" s="12">
        <f>('FS Seychelles'!$AF$10+'FS Seychelles'!$AF$15)/30</f>
        <v>0</v>
      </c>
      <c r="H17" s="11">
        <f t="shared" si="1"/>
        <v>1.05</v>
      </c>
      <c r="I17" s="12">
        <f>'FS Seychelles'!V18+'FS Seychelles'!X18+'FS Seychelles'!Y18+'FS Seychelles'!Z18</f>
        <v>475</v>
      </c>
      <c r="J17" s="11">
        <f t="shared" si="2"/>
        <v>0</v>
      </c>
      <c r="K17" s="28">
        <f>'Submetering '!AA17</f>
        <v>106</v>
      </c>
      <c r="L17" s="11">
        <f t="shared" si="2"/>
        <v>0</v>
      </c>
      <c r="M17" s="44">
        <f>'FS Seychelles'!B18</f>
        <v>48.7</v>
      </c>
    </row>
    <row r="18" spans="1:13" s="15" customFormat="1">
      <c r="A18" s="1" t="s">
        <v>13</v>
      </c>
      <c r="B18" s="14">
        <f t="shared" si="0"/>
        <v>17</v>
      </c>
      <c r="C18" s="11">
        <v>6</v>
      </c>
      <c r="D18" s="1">
        <v>2022</v>
      </c>
      <c r="E18" s="12">
        <f>'Submetering '!O18+'Submetering '!P18+'Submetering '!Q18+'Submetering '!R18+'Submetering '!S18+'Submetering '!U18</f>
        <v>26402</v>
      </c>
      <c r="F18" s="11">
        <f>(('FS Seychelles'!R19*'FS Seychelles'!S19)+('FS Seychelles'!T19*'FS Seychelles'!U19))/TOTAL!E18</f>
        <v>0.34854527687296416</v>
      </c>
      <c r="G18" s="12">
        <f>('FS Seychelles'!$AF$10+'FS Seychelles'!$AF$15)/30</f>
        <v>0</v>
      </c>
      <c r="H18" s="11">
        <f t="shared" si="1"/>
        <v>1.05</v>
      </c>
      <c r="I18" s="12">
        <f>'FS Seychelles'!V19+'FS Seychelles'!X19+'FS Seychelles'!Y19+'FS Seychelles'!Z19</f>
        <v>367</v>
      </c>
      <c r="J18" s="11">
        <f t="shared" si="2"/>
        <v>0</v>
      </c>
      <c r="K18" s="28">
        <f>'Submetering '!AA18</f>
        <v>100</v>
      </c>
      <c r="L18" s="11">
        <f t="shared" si="2"/>
        <v>0</v>
      </c>
      <c r="M18" s="44">
        <f>'FS Seychelles'!B19</f>
        <v>63.2</v>
      </c>
    </row>
    <row r="19" spans="1:13" s="15" customFormat="1">
      <c r="A19" s="1" t="s">
        <v>13</v>
      </c>
      <c r="B19" s="14">
        <f t="shared" si="0"/>
        <v>18</v>
      </c>
      <c r="C19" s="11">
        <v>6</v>
      </c>
      <c r="D19" s="1">
        <v>2022</v>
      </c>
      <c r="E19" s="12">
        <f>'Submetering '!O19+'Submetering '!P19+'Submetering '!Q19+'Submetering '!R19+'Submetering '!S19+'Submetering '!U19</f>
        <v>28876</v>
      </c>
      <c r="F19" s="11">
        <f>(('FS Seychelles'!R20*'FS Seychelles'!S20)+('FS Seychelles'!T20*'FS Seychelles'!U20))/TOTAL!E19</f>
        <v>0.32619583044743039</v>
      </c>
      <c r="G19" s="12">
        <f>('FS Seychelles'!$AF$10+'FS Seychelles'!$AF$15)/30</f>
        <v>0</v>
      </c>
      <c r="H19" s="11">
        <f t="shared" si="1"/>
        <v>1.05</v>
      </c>
      <c r="I19" s="12">
        <f>'FS Seychelles'!V20+'FS Seychelles'!X20+'FS Seychelles'!Y20+'FS Seychelles'!Z20</f>
        <v>377</v>
      </c>
      <c r="J19" s="11">
        <f t="shared" si="2"/>
        <v>0</v>
      </c>
      <c r="K19" s="28">
        <f>'Submetering '!AA19</f>
        <v>99</v>
      </c>
      <c r="L19" s="11">
        <f t="shared" si="2"/>
        <v>0</v>
      </c>
      <c r="M19" s="44">
        <f>'FS Seychelles'!B20</f>
        <v>61.8</v>
      </c>
    </row>
    <row r="20" spans="1:13" s="15" customFormat="1">
      <c r="A20" s="1" t="s">
        <v>13</v>
      </c>
      <c r="B20" s="14">
        <f t="shared" si="0"/>
        <v>19</v>
      </c>
      <c r="C20" s="11">
        <v>6</v>
      </c>
      <c r="D20" s="1">
        <v>2022</v>
      </c>
      <c r="E20" s="12">
        <f>'Submetering '!O20+'Submetering '!P20+'Submetering '!Q20+'Submetering '!R20+'Submetering '!S20+'Submetering '!U20</f>
        <v>31612</v>
      </c>
      <c r="F20" s="11">
        <f>(('FS Seychelles'!R21*'FS Seychelles'!S21)+('FS Seychelles'!T21*'FS Seychelles'!U21))/TOTAL!E20</f>
        <v>0.32680496014171834</v>
      </c>
      <c r="G20" s="12">
        <f>('FS Seychelles'!$AF$10+'FS Seychelles'!$AF$15)/30</f>
        <v>0</v>
      </c>
      <c r="H20" s="11">
        <f t="shared" si="1"/>
        <v>1.05</v>
      </c>
      <c r="I20" s="12">
        <f>'FS Seychelles'!V21+'FS Seychelles'!X21+'FS Seychelles'!Y21+'FS Seychelles'!Z21</f>
        <v>386</v>
      </c>
      <c r="J20" s="11">
        <f t="shared" si="2"/>
        <v>0</v>
      </c>
      <c r="K20" s="28">
        <f>'Submetering '!AA20</f>
        <v>47</v>
      </c>
      <c r="L20" s="11">
        <f t="shared" si="2"/>
        <v>0</v>
      </c>
      <c r="M20" s="44">
        <f>'FS Seychelles'!B21</f>
        <v>59.2</v>
      </c>
    </row>
    <row r="21" spans="1:13" s="15" customFormat="1">
      <c r="A21" s="1" t="s">
        <v>13</v>
      </c>
      <c r="B21" s="14">
        <f t="shared" si="0"/>
        <v>20</v>
      </c>
      <c r="C21" s="11">
        <v>6</v>
      </c>
      <c r="D21" s="1">
        <v>2022</v>
      </c>
      <c r="E21" s="12">
        <f>'Submetering '!O21+'Submetering '!P21+'Submetering '!Q21+'Submetering '!R21+'Submetering '!S21+'Submetering '!U21</f>
        <v>21984</v>
      </c>
      <c r="F21" s="11">
        <f>(('FS Seychelles'!R22*'FS Seychelles'!S22)+('FS Seychelles'!T22*'FS Seychelles'!U22))/TOTAL!E21</f>
        <v>0.43887871179039306</v>
      </c>
      <c r="G21" s="12">
        <f>('FS Seychelles'!$AF$10+'FS Seychelles'!$AF$15)/30</f>
        <v>0</v>
      </c>
      <c r="H21" s="11">
        <f t="shared" si="1"/>
        <v>1.05</v>
      </c>
      <c r="I21" s="12">
        <f>'FS Seychelles'!V22+'FS Seychelles'!X22+'FS Seychelles'!Y22+'FS Seychelles'!Z22</f>
        <v>366</v>
      </c>
      <c r="J21" s="11">
        <f t="shared" si="2"/>
        <v>0</v>
      </c>
      <c r="K21" s="28">
        <f>'Submetering '!AA21</f>
        <v>8</v>
      </c>
      <c r="L21" s="11">
        <f t="shared" si="2"/>
        <v>0</v>
      </c>
      <c r="M21" s="44">
        <f>'FS Seychelles'!B22</f>
        <v>63.2</v>
      </c>
    </row>
    <row r="22" spans="1:13" s="15" customFormat="1">
      <c r="A22" s="1" t="s">
        <v>13</v>
      </c>
      <c r="B22" s="14">
        <f t="shared" si="0"/>
        <v>21</v>
      </c>
      <c r="C22" s="11">
        <v>6</v>
      </c>
      <c r="D22" s="1">
        <v>2022</v>
      </c>
      <c r="E22" s="12">
        <f>'Submetering '!O22+'Submetering '!P22+'Submetering '!Q22+'Submetering '!R22+'Submetering '!S22+'Submetering '!U22</f>
        <v>26061</v>
      </c>
      <c r="F22" s="11">
        <f>(('FS Seychelles'!R23*'FS Seychelles'!S23)+('FS Seychelles'!T23*'FS Seychelles'!U23))/TOTAL!E22</f>
        <v>0.40179887187751812</v>
      </c>
      <c r="G22" s="12">
        <f>('FS Seychelles'!$AF$10+'FS Seychelles'!$AF$15)/30</f>
        <v>0</v>
      </c>
      <c r="H22" s="11">
        <f t="shared" si="1"/>
        <v>1.05</v>
      </c>
      <c r="I22" s="12">
        <f>'FS Seychelles'!V23+'FS Seychelles'!X23+'FS Seychelles'!Y23+'FS Seychelles'!Z23</f>
        <v>0</v>
      </c>
      <c r="J22" s="11">
        <f t="shared" si="2"/>
        <v>0</v>
      </c>
      <c r="K22" s="28">
        <f>'Submetering '!AA22</f>
        <v>0</v>
      </c>
      <c r="L22" s="11">
        <f t="shared" si="2"/>
        <v>0</v>
      </c>
      <c r="M22" s="44">
        <f>'FS Seychelles'!B23</f>
        <v>61.8</v>
      </c>
    </row>
    <row r="23" spans="1:13" s="15" customFormat="1">
      <c r="A23" s="1" t="s">
        <v>13</v>
      </c>
      <c r="B23" s="14">
        <f t="shared" si="0"/>
        <v>22</v>
      </c>
      <c r="C23" s="11">
        <v>6</v>
      </c>
      <c r="D23" s="1">
        <v>2022</v>
      </c>
      <c r="E23" s="12">
        <f>'Submetering '!O23+'Submetering '!P23+'Submetering '!Q23+'Submetering '!R23+'Submetering '!S23+'Submetering '!U23</f>
        <v>0</v>
      </c>
      <c r="F23" s="11" t="e">
        <f>(('FS Seychelles'!R24*'FS Seychelles'!S24)+('FS Seychelles'!T24*'FS Seychelles'!U24))/TOTAL!E23</f>
        <v>#DIV/0!</v>
      </c>
      <c r="G23" s="12">
        <f>('FS Seychelles'!$AF$10+'FS Seychelles'!$AF$15)/30</f>
        <v>0</v>
      </c>
      <c r="H23" s="11">
        <f t="shared" si="1"/>
        <v>1.05</v>
      </c>
      <c r="I23" s="12">
        <f>'FS Seychelles'!V24+'FS Seychelles'!X24+'FS Seychelles'!Y24+'FS Seychelles'!Z24</f>
        <v>0</v>
      </c>
      <c r="J23" s="11">
        <f t="shared" si="2"/>
        <v>0</v>
      </c>
      <c r="K23" s="28">
        <f>'Submetering '!AA23</f>
        <v>0</v>
      </c>
      <c r="L23" s="11">
        <f t="shared" si="2"/>
        <v>0</v>
      </c>
      <c r="M23" s="44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v>6</v>
      </c>
      <c r="D24" s="1">
        <v>2022</v>
      </c>
      <c r="E24" s="12">
        <f>'Submetering '!O24+'Submetering '!P24+'Submetering '!Q24+'Submetering '!R24+'Submetering '!S24+'Submetering '!U24</f>
        <v>0</v>
      </c>
      <c r="F24" s="11" t="e">
        <f>(('FS Seychelles'!R25*'FS Seychelles'!S25)+('FS Seychelles'!T25*'FS Seychelles'!U25))/TOTAL!E24</f>
        <v>#DIV/0!</v>
      </c>
      <c r="G24" s="12">
        <f>('FS Seychelles'!$AF$10+'FS Seychelles'!$AF$15)/30</f>
        <v>0</v>
      </c>
      <c r="H24" s="11">
        <f t="shared" si="1"/>
        <v>1.05</v>
      </c>
      <c r="I24" s="12">
        <f>'FS Seychelles'!V25+'FS Seychelles'!X25+'FS Seychelles'!Y25+'FS Seychelles'!Z25</f>
        <v>0</v>
      </c>
      <c r="J24" s="11">
        <f t="shared" si="2"/>
        <v>0</v>
      </c>
      <c r="K24" s="28">
        <f>'Submetering '!AA24</f>
        <v>0</v>
      </c>
      <c r="L24" s="11">
        <f t="shared" si="2"/>
        <v>0</v>
      </c>
      <c r="M24" s="44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v>6</v>
      </c>
      <c r="D25" s="1">
        <v>2022</v>
      </c>
      <c r="E25" s="12">
        <f>'Submetering '!O25+'Submetering '!P25+'Submetering '!Q25+'Submetering '!R25+'Submetering '!S25+'Submetering '!U25</f>
        <v>0</v>
      </c>
      <c r="F25" s="11" t="e">
        <f>(('FS Seychelles'!R26*'FS Seychelles'!S26)+('FS Seychelles'!T26*'FS Seychelles'!U26))/TOTAL!E25</f>
        <v>#DIV/0!</v>
      </c>
      <c r="G25" s="12">
        <f>('FS Seychelles'!$AF$10+'FS Seychelles'!$AF$15)/30</f>
        <v>0</v>
      </c>
      <c r="H25" s="11">
        <f t="shared" si="1"/>
        <v>1.05</v>
      </c>
      <c r="I25" s="12">
        <f>'FS Seychelles'!V26+'FS Seychelles'!X26+'FS Seychelles'!Y26+'FS Seychelles'!Z26</f>
        <v>0</v>
      </c>
      <c r="J25" s="11">
        <f t="shared" si="2"/>
        <v>0</v>
      </c>
      <c r="K25" s="28">
        <f>'Submetering '!AA25</f>
        <v>0</v>
      </c>
      <c r="L25" s="11">
        <f t="shared" si="2"/>
        <v>0</v>
      </c>
      <c r="M25" s="44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v>6</v>
      </c>
      <c r="D26" s="1">
        <v>2022</v>
      </c>
      <c r="E26" s="12">
        <f>'Submetering '!O26+'Submetering '!P26+'Submetering '!Q26+'Submetering '!R26+'Submetering '!S26+'Submetering '!U26</f>
        <v>0</v>
      </c>
      <c r="F26" s="11" t="e">
        <f>(('FS Seychelles'!R27*'FS Seychelles'!S27)+('FS Seychelles'!T27*'FS Seychelles'!U27))/TOTAL!E26</f>
        <v>#DIV/0!</v>
      </c>
      <c r="G26" s="12">
        <f>('FS Seychelles'!$AF$10+'FS Seychelles'!$AF$15)/30</f>
        <v>0</v>
      </c>
      <c r="H26" s="11">
        <f t="shared" si="1"/>
        <v>1.05</v>
      </c>
      <c r="I26" s="12">
        <f>'FS Seychelles'!V27+'FS Seychelles'!X27+'FS Seychelles'!Y27+'FS Seychelles'!Z27</f>
        <v>0</v>
      </c>
      <c r="J26" s="11">
        <f t="shared" si="2"/>
        <v>0</v>
      </c>
      <c r="K26" s="28">
        <f>'Submetering '!AA26</f>
        <v>0</v>
      </c>
      <c r="L26" s="11">
        <f t="shared" si="2"/>
        <v>0</v>
      </c>
      <c r="M26" s="44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v>6</v>
      </c>
      <c r="D27" s="1">
        <v>2022</v>
      </c>
      <c r="E27" s="12">
        <f>'Submetering '!O27+'Submetering '!P27+'Submetering '!Q27+'Submetering '!R27+'Submetering '!S27+'Submetering '!U27</f>
        <v>0</v>
      </c>
      <c r="F27" s="11" t="e">
        <f>(('FS Seychelles'!R28*'FS Seychelles'!S28)+('FS Seychelles'!T28*'FS Seychelles'!U28))/TOTAL!E27</f>
        <v>#DIV/0!</v>
      </c>
      <c r="G27" s="12">
        <f>('FS Seychelles'!$AF$10+'FS Seychelles'!$AF$15)/30</f>
        <v>0</v>
      </c>
      <c r="H27" s="11">
        <f t="shared" si="1"/>
        <v>1.05</v>
      </c>
      <c r="I27" s="12">
        <f>'FS Seychelles'!V28+'FS Seychelles'!X28+'FS Seychelles'!Y28+'FS Seychelles'!Z28</f>
        <v>0</v>
      </c>
      <c r="J27" s="11">
        <f t="shared" si="2"/>
        <v>0</v>
      </c>
      <c r="K27" s="28">
        <f>'Submetering '!AA27</f>
        <v>0</v>
      </c>
      <c r="L27" s="11">
        <f t="shared" si="2"/>
        <v>0</v>
      </c>
      <c r="M27" s="44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v>6</v>
      </c>
      <c r="D28" s="1">
        <v>2022</v>
      </c>
      <c r="E28" s="12">
        <f>'Submetering '!O28+'Submetering '!P28+'Submetering '!Q28+'Submetering '!R28+'Submetering '!S28+'Submetering '!U28</f>
        <v>0</v>
      </c>
      <c r="F28" s="11" t="e">
        <f>(('FS Seychelles'!R29*'FS Seychelles'!S29)+('FS Seychelles'!T29*'FS Seychelles'!U29))/TOTAL!E28</f>
        <v>#DIV/0!</v>
      </c>
      <c r="G28" s="12">
        <f>('FS Seychelles'!$AF$10+'FS Seychelles'!$AF$15)/30</f>
        <v>0</v>
      </c>
      <c r="H28" s="11">
        <f t="shared" si="1"/>
        <v>1.05</v>
      </c>
      <c r="I28" s="12">
        <f>'FS Seychelles'!V29+'FS Seychelles'!X29+'FS Seychelles'!Y29+'FS Seychelles'!Z29</f>
        <v>0</v>
      </c>
      <c r="J28" s="11">
        <f t="shared" si="2"/>
        <v>0</v>
      </c>
      <c r="K28" s="28">
        <f>'Submetering '!AA28</f>
        <v>0</v>
      </c>
      <c r="L28" s="11">
        <f t="shared" si="2"/>
        <v>0</v>
      </c>
      <c r="M28" s="44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v>6</v>
      </c>
      <c r="D29" s="1">
        <v>2022</v>
      </c>
      <c r="E29" s="12">
        <f>'Submetering '!O29+'Submetering '!P29+'Submetering '!Q29+'Submetering '!R29+'Submetering '!S29+'Submetering '!U29</f>
        <v>0</v>
      </c>
      <c r="F29" s="11" t="e">
        <f>(('FS Seychelles'!R30*'FS Seychelles'!S30)+('FS Seychelles'!T30*'FS Seychelles'!U30))/TOTAL!E29</f>
        <v>#DIV/0!</v>
      </c>
      <c r="G29" s="12">
        <f>('FS Seychelles'!$AF$10+'FS Seychelles'!$AF$15)/30</f>
        <v>0</v>
      </c>
      <c r="H29" s="11">
        <f t="shared" si="1"/>
        <v>1.05</v>
      </c>
      <c r="I29" s="12">
        <f>'FS Seychelles'!V30+'FS Seychelles'!X30+'FS Seychelles'!Y30+'FS Seychelles'!Z30</f>
        <v>0</v>
      </c>
      <c r="J29" s="11">
        <f t="shared" si="2"/>
        <v>0</v>
      </c>
      <c r="K29" s="28">
        <f>'Submetering '!AA29</f>
        <v>0</v>
      </c>
      <c r="L29" s="11">
        <f t="shared" si="2"/>
        <v>0</v>
      </c>
      <c r="M29" s="44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v>6</v>
      </c>
      <c r="D30" s="1">
        <v>2022</v>
      </c>
      <c r="E30" s="12">
        <f>'Submetering '!O30+'Submetering '!P30+'Submetering '!Q30+'Submetering '!R30+'Submetering '!S30+'Submetering '!U30</f>
        <v>0</v>
      </c>
      <c r="F30" s="11" t="e">
        <f>(('FS Seychelles'!R31*'FS Seychelles'!S31)+('FS Seychelles'!T31*'FS Seychelles'!U31))/TOTAL!E30</f>
        <v>#DIV/0!</v>
      </c>
      <c r="G30" s="12">
        <f>('FS Seychelles'!$AF$10+'FS Seychelles'!$AF$15)/30</f>
        <v>0</v>
      </c>
      <c r="H30" s="11">
        <f t="shared" si="1"/>
        <v>1.05</v>
      </c>
      <c r="I30" s="12">
        <f>'FS Seychelles'!V31+'FS Seychelles'!X31+'FS Seychelles'!Y31+'FS Seychelles'!Z31</f>
        <v>0</v>
      </c>
      <c r="J30" s="11">
        <f t="shared" si="2"/>
        <v>0</v>
      </c>
      <c r="K30" s="28">
        <f>'Submetering '!AA30</f>
        <v>0</v>
      </c>
      <c r="L30" s="11">
        <f t="shared" si="2"/>
        <v>0</v>
      </c>
      <c r="M30" s="44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v>6</v>
      </c>
      <c r="D31" s="1">
        <v>2022</v>
      </c>
      <c r="E31" s="12">
        <f>'Submetering '!O31+'Submetering '!P31+'Submetering '!Q31+'Submetering '!R31+'Submetering '!S31+'Submetering '!U31</f>
        <v>0</v>
      </c>
      <c r="F31" s="11" t="e">
        <f>(('FS Seychelles'!R32*'FS Seychelles'!S32)+('FS Seychelles'!T32*'FS Seychelles'!U32))/TOTAL!E31</f>
        <v>#DIV/0!</v>
      </c>
      <c r="G31" s="12">
        <f>('FS Seychelles'!$AF$10+'FS Seychelles'!$AF$15)/30</f>
        <v>0</v>
      </c>
      <c r="H31" s="11">
        <f t="shared" si="1"/>
        <v>1.05</v>
      </c>
      <c r="I31" s="12">
        <f>'FS Seychelles'!V32+'FS Seychelles'!X32+'FS Seychelles'!Y32+'FS Seychelles'!Z32</f>
        <v>0</v>
      </c>
      <c r="J31" s="11">
        <f t="shared" si="2"/>
        <v>0</v>
      </c>
      <c r="K31" s="28">
        <f>'Submetering '!AA31</f>
        <v>0</v>
      </c>
      <c r="L31" s="11">
        <f t="shared" si="2"/>
        <v>0</v>
      </c>
      <c r="M31" s="44">
        <f>'FS Seychelles'!B32</f>
        <v>0</v>
      </c>
    </row>
    <row r="32" spans="1:13">
      <c r="A32" s="1" t="s">
        <v>13</v>
      </c>
      <c r="B32" s="14"/>
      <c r="C32" s="11"/>
      <c r="D32" s="1">
        <v>2022</v>
      </c>
      <c r="E32" s="12">
        <f>'Submetering '!O32+'Submetering '!P32+'Submetering '!Q32+'Submetering '!R32+'Submetering '!S32+'Submetering '!U32</f>
        <v>0</v>
      </c>
      <c r="F32" s="11" t="e">
        <f>(('FS Seychelles'!R33*'FS Seychelles'!S33)+('FS Seychelles'!T33*'FS Seychelles'!U33))/TOTAL!E32</f>
        <v>#DIV/0!</v>
      </c>
      <c r="G32" s="12">
        <f>('FS Seychelles'!$AF$10+'FS Seychelles'!$AF$15)/30</f>
        <v>0</v>
      </c>
      <c r="H32" s="11">
        <f t="shared" si="1"/>
        <v>1.05</v>
      </c>
      <c r="I32" s="12">
        <f>'FS Seychelles'!V33+'FS Seychelles'!X33+'FS Seychelles'!Y33+'FS Seychelles'!Z33</f>
        <v>0</v>
      </c>
      <c r="J32" s="11">
        <f t="shared" si="2"/>
        <v>0</v>
      </c>
      <c r="K32" s="28">
        <f>'Submetering '!AA32</f>
        <v>0</v>
      </c>
      <c r="L32" s="11">
        <f t="shared" si="2"/>
        <v>0</v>
      </c>
      <c r="M32" s="44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topLeftCell="A12" workbookViewId="0">
      <selection activeCell="E35" sqref="E35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28.9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6</v>
      </c>
    </row>
    <row r="2" spans="1:29">
      <c r="A2" s="1" t="s">
        <v>13</v>
      </c>
      <c r="B2" s="11">
        <v>1</v>
      </c>
      <c r="C2" s="11">
        <v>6</v>
      </c>
      <c r="D2" s="11">
        <v>2022</v>
      </c>
      <c r="E2" s="18">
        <f>'FS Seychelles'!B3</f>
        <v>56.6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9633</v>
      </c>
      <c r="P2" s="18">
        <f>'FS Seychelles'!N3</f>
        <v>9544</v>
      </c>
      <c r="Q2" s="18">
        <f>'FS Seychelles'!O3</f>
        <v>3482</v>
      </c>
      <c r="R2" s="18">
        <f>'FS Seychelles'!P3</f>
        <v>6719</v>
      </c>
      <c r="S2" s="18">
        <f>'FS Seychelles'!Q3</f>
        <v>5527</v>
      </c>
      <c r="T2" s="18">
        <f>'FS Seychelles'!R3</f>
        <v>8020</v>
      </c>
      <c r="U2" s="18">
        <f>'FS Seychelles'!T3</f>
        <v>0</v>
      </c>
      <c r="V2" s="18">
        <f>'FS Seychelles'!V3</f>
        <v>55</v>
      </c>
      <c r="W2" s="18">
        <f>'FS Seychelles'!W3</f>
        <v>29</v>
      </c>
      <c r="X2" s="18">
        <f>'FS Seychelles'!X3</f>
        <v>62</v>
      </c>
      <c r="Y2" s="18">
        <f>'FS Seychelles'!Y3</f>
        <v>164</v>
      </c>
      <c r="Z2" s="18">
        <f>'FS Seychelles'!Z3</f>
        <v>78</v>
      </c>
      <c r="AA2" s="18">
        <f>'FS Seychelles'!AA3</f>
        <v>40</v>
      </c>
      <c r="AB2" s="18">
        <f>'FS Seychelles'!AB3</f>
        <v>108</v>
      </c>
      <c r="AC2" s="18">
        <f>('FS Seychelles'!AF9+'FS Seychelles'!AF15)/30</f>
        <v>0</v>
      </c>
    </row>
    <row r="3" spans="1:29">
      <c r="A3" s="1" t="s">
        <v>13</v>
      </c>
      <c r="B3" s="11">
        <f>B2+1</f>
        <v>2</v>
      </c>
      <c r="C3" s="11">
        <f>C2</f>
        <v>6</v>
      </c>
      <c r="D3" s="11">
        <v>2022</v>
      </c>
      <c r="E3" s="18">
        <f>'FS Seychelles'!B4</f>
        <v>69.7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11405</v>
      </c>
      <c r="P3" s="18">
        <f>'FS Seychelles'!N4</f>
        <v>6563</v>
      </c>
      <c r="Q3" s="18">
        <f>'FS Seychelles'!O4</f>
        <v>6876</v>
      </c>
      <c r="R3" s="18">
        <f>'FS Seychelles'!P4</f>
        <v>1053</v>
      </c>
      <c r="S3" s="18">
        <f>'FS Seychelles'!Q4</f>
        <v>8654</v>
      </c>
      <c r="T3" s="18">
        <f>'FS Seychelles'!R4</f>
        <v>7359</v>
      </c>
      <c r="U3" s="18">
        <f>'FS Seychelles'!T4</f>
        <v>0</v>
      </c>
      <c r="V3" s="18">
        <f>'FS Seychelles'!V4</f>
        <v>67</v>
      </c>
      <c r="W3" s="18">
        <f>'FS Seychelles'!W4</f>
        <v>20</v>
      </c>
      <c r="X3" s="18">
        <f>'FS Seychelles'!X4</f>
        <v>68</v>
      </c>
      <c r="Y3" s="18">
        <f>'FS Seychelles'!Y4</f>
        <v>192</v>
      </c>
      <c r="Z3" s="18">
        <f>'FS Seychelles'!Z4</f>
        <v>97</v>
      </c>
      <c r="AA3" s="18">
        <f>'FS Seychelles'!AA4</f>
        <v>9</v>
      </c>
      <c r="AB3" s="18">
        <f>'FS Seychelles'!AB4</f>
        <v>0</v>
      </c>
      <c r="AC3" s="18">
        <f>('FS Seychelles'!AF10+'FS Seychelles'!AF16)/30</f>
        <v>0</v>
      </c>
    </row>
    <row r="4" spans="1:29">
      <c r="A4" s="1" t="s">
        <v>13</v>
      </c>
      <c r="B4" s="11">
        <f t="shared" ref="B4:B31" si="0">B3+1</f>
        <v>3</v>
      </c>
      <c r="C4" s="11">
        <f t="shared" ref="C4:C32" si="1">C3</f>
        <v>6</v>
      </c>
      <c r="D4" s="11">
        <v>2022</v>
      </c>
      <c r="E4" s="18">
        <f>'FS Seychelles'!B5</f>
        <v>68.400000000000006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10001</v>
      </c>
      <c r="P4" s="18">
        <f>'FS Seychelles'!N5</f>
        <v>8150</v>
      </c>
      <c r="Q4" s="18">
        <f>'FS Seychelles'!O5</f>
        <v>0</v>
      </c>
      <c r="R4" s="18">
        <f>'FS Seychelles'!P5</f>
        <v>7890</v>
      </c>
      <c r="S4" s="18">
        <f>'FS Seychelles'!Q5</f>
        <v>6955</v>
      </c>
      <c r="T4" s="18">
        <f>'FS Seychelles'!R5</f>
        <v>7753</v>
      </c>
      <c r="U4" s="18">
        <f>'FS Seychelles'!T5</f>
        <v>0</v>
      </c>
      <c r="V4" s="18">
        <f>'FS Seychelles'!V5</f>
        <v>69</v>
      </c>
      <c r="W4" s="18">
        <f>'FS Seychelles'!W5</f>
        <v>38</v>
      </c>
      <c r="X4" s="18">
        <f>'FS Seychelles'!X5</f>
        <v>88</v>
      </c>
      <c r="Y4" s="18">
        <f>'FS Seychelles'!Y5</f>
        <v>200</v>
      </c>
      <c r="Z4" s="18">
        <f>'FS Seychelles'!Z5</f>
        <v>79</v>
      </c>
      <c r="AA4" s="18">
        <f>'FS Seychelles'!AA5</f>
        <v>124</v>
      </c>
      <c r="AB4" s="18">
        <f>'FS Seychelles'!AB5</f>
        <v>0</v>
      </c>
      <c r="AC4" s="18">
        <f>('FS Seychelles'!AF11+'FS Seychelles'!AF17)/30</f>
        <v>0</v>
      </c>
    </row>
    <row r="5" spans="1:29">
      <c r="A5" s="1" t="s">
        <v>13</v>
      </c>
      <c r="B5" s="11">
        <f t="shared" si="0"/>
        <v>4</v>
      </c>
      <c r="C5" s="11">
        <f t="shared" si="1"/>
        <v>6</v>
      </c>
      <c r="D5" s="11">
        <v>2022</v>
      </c>
      <c r="E5" s="18">
        <f>'FS Seychelles'!B6</f>
        <v>63.2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6980</v>
      </c>
      <c r="P5" s="18">
        <f>'FS Seychelles'!N6</f>
        <v>8315</v>
      </c>
      <c r="Q5" s="18">
        <f>'FS Seychelles'!O6</f>
        <v>8325</v>
      </c>
      <c r="R5" s="18">
        <f>'FS Seychelles'!P6</f>
        <v>2311</v>
      </c>
      <c r="S5" s="18">
        <f>'FS Seychelles'!Q6</f>
        <v>7013</v>
      </c>
      <c r="T5" s="18">
        <f>'FS Seychelles'!R6</f>
        <v>7051</v>
      </c>
      <c r="U5" s="18">
        <f>'FS Seychelles'!T6</f>
        <v>0</v>
      </c>
      <c r="V5" s="18">
        <f>'FS Seychelles'!V6</f>
        <v>64.3</v>
      </c>
      <c r="W5" s="18">
        <f>'FS Seychelles'!W6</f>
        <v>26.8</v>
      </c>
      <c r="X5" s="18">
        <f>'FS Seychelles'!X6</f>
        <v>73</v>
      </c>
      <c r="Y5" s="18">
        <f>'FS Seychelles'!Y6</f>
        <v>194.7</v>
      </c>
      <c r="Z5" s="18">
        <f>'FS Seychelles'!Z6</f>
        <v>96</v>
      </c>
      <c r="AA5" s="18">
        <f>'FS Seychelles'!AA6</f>
        <v>108.8</v>
      </c>
      <c r="AB5" s="18">
        <f>'FS Seychelles'!AB6</f>
        <v>0</v>
      </c>
      <c r="AC5" s="18">
        <f>('FS Seychelles'!AF12+'FS Seychelles'!AF18)/30</f>
        <v>0</v>
      </c>
    </row>
    <row r="6" spans="1:29">
      <c r="A6" s="1" t="s">
        <v>13</v>
      </c>
      <c r="B6" s="11">
        <f t="shared" si="0"/>
        <v>5</v>
      </c>
      <c r="C6" s="11">
        <f t="shared" si="1"/>
        <v>6</v>
      </c>
      <c r="D6" s="11">
        <v>2022</v>
      </c>
      <c r="E6" s="18">
        <f>'FS Seychelles'!B7</f>
        <v>69.7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10452</v>
      </c>
      <c r="P6" s="18">
        <f>'FS Seychelles'!N7</f>
        <v>3279</v>
      </c>
      <c r="Q6" s="18">
        <f>'FS Seychelles'!O7</f>
        <v>9168</v>
      </c>
      <c r="R6" s="18">
        <f>'FS Seychelles'!P7</f>
        <v>5313</v>
      </c>
      <c r="S6" s="18">
        <f>'FS Seychelles'!Q7</f>
        <v>7449</v>
      </c>
      <c r="T6" s="18">
        <f>'FS Seychelles'!R7</f>
        <v>8057</v>
      </c>
      <c r="U6" s="18">
        <f>'FS Seychelles'!T7</f>
        <v>0</v>
      </c>
      <c r="V6" s="18">
        <f>'FS Seychelles'!V7</f>
        <v>69</v>
      </c>
      <c r="W6" s="18">
        <f>'FS Seychelles'!W7</f>
        <v>24</v>
      </c>
      <c r="X6" s="18">
        <f>'FS Seychelles'!X7</f>
        <v>96</v>
      </c>
      <c r="Y6" s="18">
        <f>'FS Seychelles'!Y7</f>
        <v>212</v>
      </c>
      <c r="Z6" s="18">
        <f>'FS Seychelles'!Z7</f>
        <v>104</v>
      </c>
      <c r="AA6" s="18">
        <f>'FS Seychelles'!AA7</f>
        <v>112</v>
      </c>
      <c r="AB6" s="18">
        <f>'FS Seychelles'!AB7</f>
        <v>0</v>
      </c>
      <c r="AC6" s="18">
        <f>('FS Seychelles'!AF13+'FS Seychelles'!AF19)/30</f>
        <v>0</v>
      </c>
    </row>
    <row r="7" spans="1:29">
      <c r="A7" s="1" t="s">
        <v>13</v>
      </c>
      <c r="B7" s="11">
        <f t="shared" si="0"/>
        <v>6</v>
      </c>
      <c r="C7" s="11">
        <f t="shared" si="1"/>
        <v>6</v>
      </c>
      <c r="D7" s="11">
        <v>2022</v>
      </c>
      <c r="E7" s="18">
        <f>'FS Seychelles'!B8</f>
        <v>61.8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7566</v>
      </c>
      <c r="P7" s="18">
        <f>'FS Seychelles'!N8</f>
        <v>8328</v>
      </c>
      <c r="Q7" s="18">
        <f>'FS Seychelles'!O8</f>
        <v>8100</v>
      </c>
      <c r="R7" s="18">
        <f>'FS Seychelles'!P8</f>
        <v>1014</v>
      </c>
      <c r="S7" s="18">
        <f>'FS Seychelles'!Q8</f>
        <v>7489</v>
      </c>
      <c r="T7" s="18">
        <f>'FS Seychelles'!R8</f>
        <v>7071</v>
      </c>
      <c r="U7" s="18">
        <f>'FS Seychelles'!T8</f>
        <v>0</v>
      </c>
      <c r="V7" s="18">
        <f>'FS Seychelles'!V8</f>
        <v>61</v>
      </c>
      <c r="W7" s="18">
        <f>'FS Seychelles'!W8</f>
        <v>30</v>
      </c>
      <c r="X7" s="18">
        <f>'FS Seychelles'!X8</f>
        <v>65</v>
      </c>
      <c r="Y7" s="18">
        <f>'FS Seychelles'!Y8</f>
        <v>234</v>
      </c>
      <c r="Z7" s="18">
        <f>'FS Seychelles'!Z8</f>
        <v>86</v>
      </c>
      <c r="AA7" s="18">
        <f>'FS Seychelles'!AA8</f>
        <v>109</v>
      </c>
      <c r="AB7" s="18">
        <f>'FS Seychelles'!AB8</f>
        <v>0</v>
      </c>
      <c r="AC7" s="18">
        <f>('FS Seychelles'!AF14+'FS Seychelles'!AF20)/30</f>
        <v>0</v>
      </c>
    </row>
    <row r="8" spans="1:29">
      <c r="A8" s="1" t="s">
        <v>13</v>
      </c>
      <c r="B8" s="11">
        <f t="shared" si="0"/>
        <v>7</v>
      </c>
      <c r="C8" s="11">
        <f t="shared" si="1"/>
        <v>6</v>
      </c>
      <c r="D8" s="11">
        <v>2022</v>
      </c>
      <c r="E8" s="18">
        <f>'FS Seychelles'!B9</f>
        <v>57.9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8753</v>
      </c>
      <c r="P8" s="18">
        <f>'FS Seychelles'!N9</f>
        <v>8407</v>
      </c>
      <c r="Q8" s="18">
        <f>'FS Seychelles'!O9</f>
        <v>8082</v>
      </c>
      <c r="R8" s="18">
        <f>'FS Seychelles'!P9</f>
        <v>3863</v>
      </c>
      <c r="S8" s="18">
        <f>'FS Seychelles'!Q9</f>
        <v>8364</v>
      </c>
      <c r="T8" s="18">
        <f>'FS Seychelles'!R9</f>
        <v>8298</v>
      </c>
      <c r="U8" s="18">
        <f>'FS Seychelles'!T9</f>
        <v>0</v>
      </c>
      <c r="V8" s="18">
        <f>'FS Seychelles'!V9</f>
        <v>71</v>
      </c>
      <c r="W8" s="18">
        <f>'FS Seychelles'!W9</f>
        <v>26</v>
      </c>
      <c r="X8" s="18">
        <f>'FS Seychelles'!X9</f>
        <v>73</v>
      </c>
      <c r="Y8" s="18">
        <f>'FS Seychelles'!Y9</f>
        <v>253</v>
      </c>
      <c r="Z8" s="18">
        <f>'FS Seychelles'!Z9</f>
        <v>90</v>
      </c>
      <c r="AA8" s="18">
        <f>'FS Seychelles'!AA9</f>
        <v>112</v>
      </c>
      <c r="AB8" s="18">
        <f>'FS Seychelles'!AB9</f>
        <v>0</v>
      </c>
      <c r="AC8" s="18">
        <f>('FS Seychelles'!AF15+'FS Seychelles'!AF21)/30</f>
        <v>0</v>
      </c>
    </row>
    <row r="9" spans="1:29">
      <c r="A9" s="1" t="s">
        <v>13</v>
      </c>
      <c r="B9" s="11">
        <f t="shared" si="0"/>
        <v>8</v>
      </c>
      <c r="C9" s="11">
        <f t="shared" si="1"/>
        <v>6</v>
      </c>
      <c r="D9" s="11">
        <v>2022</v>
      </c>
      <c r="E9" s="18">
        <f>'FS Seychelles'!B10</f>
        <v>56.6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6127</v>
      </c>
      <c r="P9" s="18">
        <f>'FS Seychelles'!N10</f>
        <v>12474</v>
      </c>
      <c r="Q9" s="18">
        <f>'FS Seychelles'!O10</f>
        <v>0</v>
      </c>
      <c r="R9" s="18">
        <f>'FS Seychelles'!P10</f>
        <v>13684</v>
      </c>
      <c r="S9" s="18">
        <f>'FS Seychelles'!Q10</f>
        <v>9746</v>
      </c>
      <c r="T9" s="18">
        <f>'FS Seychelles'!R10</f>
        <v>8520</v>
      </c>
      <c r="U9" s="18">
        <f>'FS Seychelles'!T10</f>
        <v>0</v>
      </c>
      <c r="V9" s="18">
        <f>'FS Seychelles'!V10</f>
        <v>66</v>
      </c>
      <c r="W9" s="18">
        <f>'FS Seychelles'!W10</f>
        <v>38</v>
      </c>
      <c r="X9" s="18">
        <f>'FS Seychelles'!X10</f>
        <v>78</v>
      </c>
      <c r="Y9" s="18">
        <f>'FS Seychelles'!Y10</f>
        <v>163</v>
      </c>
      <c r="Z9" s="18">
        <f>'FS Seychelles'!Z10</f>
        <v>85</v>
      </c>
      <c r="AA9" s="18">
        <f>'FS Seychelles'!AA10</f>
        <v>107</v>
      </c>
      <c r="AB9" s="18">
        <f>'FS Seychelles'!AB10</f>
        <v>0</v>
      </c>
      <c r="AC9" s="18">
        <f>('FS Seychelles'!AF16+'FS Seychelles'!AF22)/30</f>
        <v>0</v>
      </c>
    </row>
    <row r="10" spans="1:29">
      <c r="A10" s="1" t="s">
        <v>13</v>
      </c>
      <c r="B10" s="11">
        <f t="shared" si="0"/>
        <v>9</v>
      </c>
      <c r="C10" s="11">
        <f t="shared" si="1"/>
        <v>6</v>
      </c>
      <c r="D10" s="11">
        <v>2022</v>
      </c>
      <c r="E10" s="18">
        <f>'FS Seychelles'!B11</f>
        <v>56.6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13506</v>
      </c>
      <c r="P10" s="18">
        <f>'FS Seychelles'!N11</f>
        <v>9804</v>
      </c>
      <c r="Q10" s="18">
        <f>'FS Seychelles'!O11</f>
        <v>5455</v>
      </c>
      <c r="R10" s="18">
        <f>'FS Seychelles'!P11</f>
        <v>8224</v>
      </c>
      <c r="S10" s="18">
        <f>'FS Seychelles'!Q11</f>
        <v>0</v>
      </c>
      <c r="T10" s="18">
        <f>'FS Seychelles'!R11</f>
        <v>8458</v>
      </c>
      <c r="U10" s="18">
        <f>'FS Seychelles'!T11</f>
        <v>0</v>
      </c>
      <c r="V10" s="18">
        <f>'FS Seychelles'!V11</f>
        <v>59</v>
      </c>
      <c r="W10" s="18">
        <f>'FS Seychelles'!W11</f>
        <v>26</v>
      </c>
      <c r="X10" s="18">
        <f>'FS Seychelles'!X11</f>
        <v>98</v>
      </c>
      <c r="Y10" s="18">
        <f>'FS Seychelles'!Y11</f>
        <v>227</v>
      </c>
      <c r="Z10" s="18">
        <f>'FS Seychelles'!Z11</f>
        <v>84</v>
      </c>
      <c r="AA10" s="18">
        <f>'FS Seychelles'!AA11</f>
        <v>108</v>
      </c>
      <c r="AB10" s="18">
        <f>'FS Seychelles'!AB11</f>
        <v>0</v>
      </c>
      <c r="AC10" s="18">
        <f>('FS Seychelles'!AF17+'FS Seychelles'!AF23)/30</f>
        <v>0</v>
      </c>
    </row>
    <row r="11" spans="1:29">
      <c r="A11" s="1" t="s">
        <v>13</v>
      </c>
      <c r="B11" s="11">
        <f t="shared" si="0"/>
        <v>10</v>
      </c>
      <c r="C11" s="11">
        <f t="shared" si="1"/>
        <v>6</v>
      </c>
      <c r="D11" s="11">
        <v>2022</v>
      </c>
      <c r="E11" s="18">
        <f>'FS Seychelles'!B12</f>
        <v>48.9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10688</v>
      </c>
      <c r="P11" s="18">
        <f>'FS Seychelles'!N12</f>
        <v>4617</v>
      </c>
      <c r="Q11" s="18">
        <f>'FS Seychelles'!O12</f>
        <v>5338</v>
      </c>
      <c r="R11" s="18">
        <f>'FS Seychelles'!P12</f>
        <v>0</v>
      </c>
      <c r="S11" s="18">
        <f>'FS Seychelles'!Q12</f>
        <v>5809</v>
      </c>
      <c r="T11" s="18">
        <f>'FS Seychelles'!R12</f>
        <v>5504</v>
      </c>
      <c r="U11" s="18">
        <f>'FS Seychelles'!T12</f>
        <v>0</v>
      </c>
      <c r="V11" s="18">
        <f>'FS Seychelles'!V12</f>
        <v>64</v>
      </c>
      <c r="W11" s="18">
        <f>'FS Seychelles'!W12</f>
        <v>18</v>
      </c>
      <c r="X11" s="18">
        <f>'FS Seychelles'!X12</f>
        <v>62</v>
      </c>
      <c r="Y11" s="18">
        <f>'FS Seychelles'!Y12</f>
        <v>152</v>
      </c>
      <c r="Z11" s="18">
        <f>'FS Seychelles'!Z12</f>
        <v>119</v>
      </c>
      <c r="AA11" s="18">
        <f>'FS Seychelles'!AA12</f>
        <v>110</v>
      </c>
      <c r="AB11" s="18">
        <f>'FS Seychelles'!AB12</f>
        <v>0</v>
      </c>
      <c r="AC11" s="18">
        <f>('FS Seychelles'!AF18+'FS Seychelles'!AF24)/30</f>
        <v>0</v>
      </c>
    </row>
    <row r="12" spans="1:29">
      <c r="A12" s="1" t="s">
        <v>13</v>
      </c>
      <c r="B12" s="11">
        <f t="shared" si="0"/>
        <v>11</v>
      </c>
      <c r="C12" s="11">
        <f t="shared" si="1"/>
        <v>6</v>
      </c>
      <c r="D12" s="11">
        <v>2022</v>
      </c>
      <c r="E12" s="18">
        <f>'FS Seychelles'!B13</f>
        <v>51.3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8950</v>
      </c>
      <c r="P12" s="18">
        <f>'FS Seychelles'!N13</f>
        <v>6070</v>
      </c>
      <c r="Q12" s="18">
        <f>'FS Seychelles'!O13</f>
        <v>8033</v>
      </c>
      <c r="R12" s="18">
        <f>'FS Seychelles'!P13</f>
        <v>0</v>
      </c>
      <c r="S12" s="18">
        <f>'FS Seychelles'!Q13</f>
        <v>8895</v>
      </c>
      <c r="T12" s="18">
        <f>'FS Seychelles'!R13</f>
        <v>8482</v>
      </c>
      <c r="U12" s="18">
        <f>'FS Seychelles'!T13</f>
        <v>0</v>
      </c>
      <c r="V12" s="18">
        <f>'FS Seychelles'!V13</f>
        <v>60</v>
      </c>
      <c r="W12" s="18">
        <f>'FS Seychelles'!W13</f>
        <v>16</v>
      </c>
      <c r="X12" s="18">
        <f>'FS Seychelles'!X13</f>
        <v>55</v>
      </c>
      <c r="Y12" s="18">
        <f>'FS Seychelles'!Y13</f>
        <v>149</v>
      </c>
      <c r="Z12" s="18">
        <f>'FS Seychelles'!Z13</f>
        <v>86</v>
      </c>
      <c r="AA12" s="18">
        <f>'FS Seychelles'!AA13</f>
        <v>108</v>
      </c>
      <c r="AB12" s="18">
        <f>'FS Seychelles'!AB13</f>
        <v>0</v>
      </c>
      <c r="AC12" s="18">
        <f>('FS Seychelles'!AF19+'FS Seychelles'!AF25)/30</f>
        <v>0</v>
      </c>
    </row>
    <row r="13" spans="1:29">
      <c r="A13" s="1" t="s">
        <v>13</v>
      </c>
      <c r="B13" s="11">
        <f t="shared" si="0"/>
        <v>12</v>
      </c>
      <c r="C13" s="11">
        <f t="shared" si="1"/>
        <v>6</v>
      </c>
      <c r="D13" s="11">
        <v>2022</v>
      </c>
      <c r="E13" s="18">
        <f>'FS Seychelles'!B14</f>
        <v>57.9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8208</v>
      </c>
      <c r="P13" s="18">
        <f>'FS Seychelles'!N14</f>
        <v>9618</v>
      </c>
      <c r="Q13" s="18">
        <f>'FS Seychelles'!O14</f>
        <v>5450</v>
      </c>
      <c r="R13" s="18">
        <f>'FS Seychelles'!P14</f>
        <v>0</v>
      </c>
      <c r="S13" s="18">
        <f>'FS Seychelles'!Q14</f>
        <v>4449</v>
      </c>
      <c r="T13" s="18">
        <f>'FS Seychelles'!R14</f>
        <v>6225</v>
      </c>
      <c r="U13" s="18">
        <f>'FS Seychelles'!T14</f>
        <v>0</v>
      </c>
      <c r="V13" s="18">
        <f>'FS Seychelles'!V14</f>
        <v>58</v>
      </c>
      <c r="W13" s="18">
        <f>'FS Seychelles'!W14</f>
        <v>31</v>
      </c>
      <c r="X13" s="18">
        <f>'FS Seychelles'!X14</f>
        <v>56</v>
      </c>
      <c r="Y13" s="18">
        <f>'FS Seychelles'!Y14</f>
        <v>205</v>
      </c>
      <c r="Z13" s="18">
        <f>'FS Seychelles'!Z14</f>
        <v>109</v>
      </c>
      <c r="AA13" s="18">
        <f>'FS Seychelles'!AA14</f>
        <v>106</v>
      </c>
      <c r="AB13" s="18">
        <f>'FS Seychelles'!AB14</f>
        <v>0</v>
      </c>
      <c r="AC13" s="18">
        <f>('FS Seychelles'!AF20+'FS Seychelles'!AF26)/30</f>
        <v>0</v>
      </c>
    </row>
    <row r="14" spans="1:29">
      <c r="A14" s="1" t="s">
        <v>13</v>
      </c>
      <c r="B14" s="11">
        <f t="shared" si="0"/>
        <v>13</v>
      </c>
      <c r="C14" s="11">
        <f t="shared" si="1"/>
        <v>6</v>
      </c>
      <c r="D14" s="11">
        <v>2022</v>
      </c>
      <c r="E14" s="18">
        <f>'FS Seychelles'!B15</f>
        <v>61.8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10082</v>
      </c>
      <c r="P14" s="18">
        <f>'FS Seychelles'!N15</f>
        <v>0</v>
      </c>
      <c r="Q14" s="18">
        <f>'FS Seychelles'!O15</f>
        <v>5338</v>
      </c>
      <c r="R14" s="18">
        <f>'FS Seychelles'!P15</f>
        <v>0</v>
      </c>
      <c r="S14" s="18">
        <f>'FS Seychelles'!Q15</f>
        <v>13626</v>
      </c>
      <c r="T14" s="18">
        <f>'FS Seychelles'!R15</f>
        <v>6465</v>
      </c>
      <c r="U14" s="18">
        <f>'FS Seychelles'!T15</f>
        <v>0</v>
      </c>
      <c r="V14" s="18">
        <f>'FS Seychelles'!V15</f>
        <v>63</v>
      </c>
      <c r="W14" s="18">
        <f>'FS Seychelles'!W15</f>
        <v>26</v>
      </c>
      <c r="X14" s="18">
        <f>'FS Seychelles'!X15</f>
        <v>66</v>
      </c>
      <c r="Y14" s="18">
        <f>'FS Seychelles'!Y15</f>
        <v>147</v>
      </c>
      <c r="Z14" s="18">
        <f>'FS Seychelles'!Z15</f>
        <v>92</v>
      </c>
      <c r="AA14" s="18">
        <f>'FS Seychelles'!AA15</f>
        <v>107</v>
      </c>
      <c r="AB14" s="18">
        <f>'FS Seychelles'!AB15</f>
        <v>0</v>
      </c>
      <c r="AC14" s="18">
        <f>('FS Seychelles'!AF21+'FS Seychelles'!AF27)/30</f>
        <v>0</v>
      </c>
    </row>
    <row r="15" spans="1:29">
      <c r="A15" s="1" t="s">
        <v>13</v>
      </c>
      <c r="B15" s="11">
        <f t="shared" si="0"/>
        <v>14</v>
      </c>
      <c r="C15" s="11">
        <f t="shared" si="1"/>
        <v>6</v>
      </c>
      <c r="D15" s="11">
        <v>2022</v>
      </c>
      <c r="E15" s="18">
        <f>'FS Seychelles'!B16</f>
        <v>67.099999999999994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11200</v>
      </c>
      <c r="P15" s="18">
        <f>'FS Seychelles'!N16</f>
        <v>3279</v>
      </c>
      <c r="Q15" s="18">
        <f>'FS Seychelles'!O16</f>
        <v>0</v>
      </c>
      <c r="R15" s="18">
        <f>'FS Seychelles'!P16</f>
        <v>6093</v>
      </c>
      <c r="S15" s="18">
        <f>'FS Seychelles'!Q16</f>
        <v>10607</v>
      </c>
      <c r="T15" s="18">
        <f>'FS Seychelles'!R16</f>
        <v>7104</v>
      </c>
      <c r="U15" s="18">
        <f>'FS Seychelles'!T16</f>
        <v>0</v>
      </c>
      <c r="V15" s="18">
        <f>'FS Seychelles'!V16</f>
        <v>72</v>
      </c>
      <c r="W15" s="18">
        <f>'FS Seychelles'!W16</f>
        <v>33</v>
      </c>
      <c r="X15" s="18">
        <f>'FS Seychelles'!X16</f>
        <v>81</v>
      </c>
      <c r="Y15" s="18">
        <f>'FS Seychelles'!Y16</f>
        <v>205</v>
      </c>
      <c r="Z15" s="18">
        <f>'FS Seychelles'!Z16</f>
        <v>105</v>
      </c>
      <c r="AA15" s="18">
        <f>'FS Seychelles'!AA16</f>
        <v>109</v>
      </c>
      <c r="AB15" s="18">
        <f>'FS Seychelles'!AB16</f>
        <v>0</v>
      </c>
      <c r="AC15" s="18">
        <f>('FS Seychelles'!AF22+'FS Seychelles'!AF28)/30</f>
        <v>0</v>
      </c>
    </row>
    <row r="16" spans="1:29">
      <c r="A16" s="1" t="s">
        <v>13</v>
      </c>
      <c r="B16" s="11">
        <f t="shared" si="0"/>
        <v>15</v>
      </c>
      <c r="C16" s="11">
        <f t="shared" si="1"/>
        <v>6</v>
      </c>
      <c r="D16" s="11">
        <v>2022</v>
      </c>
      <c r="E16" s="18">
        <f>'FS Seychelles'!B17</f>
        <v>57.9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10504</v>
      </c>
      <c r="P16" s="18">
        <f>'FS Seychelles'!N17</f>
        <v>8248</v>
      </c>
      <c r="Q16" s="18">
        <f>'FS Seychelles'!O17</f>
        <v>0</v>
      </c>
      <c r="R16" s="18">
        <f>'FS Seychelles'!P17</f>
        <v>4612</v>
      </c>
      <c r="S16" s="18">
        <f>'FS Seychelles'!Q17</f>
        <v>3814</v>
      </c>
      <c r="T16" s="18">
        <f>'FS Seychelles'!R17</f>
        <v>6266</v>
      </c>
      <c r="U16" s="18">
        <f>'FS Seychelles'!T17</f>
        <v>0</v>
      </c>
      <c r="V16" s="18">
        <f>'FS Seychelles'!V17</f>
        <v>61</v>
      </c>
      <c r="W16" s="18">
        <f>'FS Seychelles'!W17</f>
        <v>17</v>
      </c>
      <c r="X16" s="18">
        <f>'FS Seychelles'!X17</f>
        <v>89</v>
      </c>
      <c r="Y16" s="18">
        <f>'FS Seychelles'!Y17</f>
        <v>195</v>
      </c>
      <c r="Z16" s="18">
        <f>'FS Seychelles'!Z17</f>
        <v>103</v>
      </c>
      <c r="AA16" s="18">
        <f>'FS Seychelles'!AA17</f>
        <v>116</v>
      </c>
      <c r="AB16" s="18">
        <f>'FS Seychelles'!AB17</f>
        <v>0</v>
      </c>
      <c r="AC16" s="18">
        <f>('FS Seychelles'!AF23+'FS Seychelles'!AF29)/30</f>
        <v>0</v>
      </c>
    </row>
    <row r="17" spans="1:29">
      <c r="A17" s="1" t="s">
        <v>13</v>
      </c>
      <c r="B17" s="11">
        <f t="shared" si="0"/>
        <v>16</v>
      </c>
      <c r="C17" s="11">
        <f t="shared" si="1"/>
        <v>6</v>
      </c>
      <c r="D17" s="11">
        <v>2022</v>
      </c>
      <c r="E17" s="18">
        <f>'FS Seychelles'!B18</f>
        <v>48.7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7129</v>
      </c>
      <c r="P17" s="18">
        <f>'FS Seychelles'!N18</f>
        <v>3999</v>
      </c>
      <c r="Q17" s="18">
        <f>'FS Seychelles'!O18</f>
        <v>9274</v>
      </c>
      <c r="R17" s="18">
        <f>'FS Seychelles'!P18</f>
        <v>0</v>
      </c>
      <c r="S17" s="18">
        <f>'FS Seychelles'!Q18</f>
        <v>1426</v>
      </c>
      <c r="T17" s="18">
        <f>'FS Seychelles'!R18</f>
        <v>4721</v>
      </c>
      <c r="U17" s="18">
        <f>'FS Seychelles'!T18</f>
        <v>0</v>
      </c>
      <c r="V17" s="18">
        <f>'FS Seychelles'!V18</f>
        <v>65</v>
      </c>
      <c r="W17" s="18">
        <f>'FS Seychelles'!W18</f>
        <v>29</v>
      </c>
      <c r="X17" s="18">
        <f>'FS Seychelles'!X18</f>
        <v>77</v>
      </c>
      <c r="Y17" s="18">
        <f>'FS Seychelles'!Y18</f>
        <v>238</v>
      </c>
      <c r="Z17" s="18">
        <f>'FS Seychelles'!Z18</f>
        <v>95</v>
      </c>
      <c r="AA17" s="18">
        <f>'FS Seychelles'!AA18</f>
        <v>106</v>
      </c>
      <c r="AB17" s="18">
        <f>'FS Seychelles'!AB18</f>
        <v>0</v>
      </c>
      <c r="AC17" s="18">
        <f>('FS Seychelles'!AF24+'FS Seychelles'!AF30)/30</f>
        <v>0</v>
      </c>
    </row>
    <row r="18" spans="1:29">
      <c r="A18" s="1" t="s">
        <v>13</v>
      </c>
      <c r="B18" s="11">
        <f t="shared" si="0"/>
        <v>17</v>
      </c>
      <c r="C18" s="11">
        <f t="shared" si="1"/>
        <v>6</v>
      </c>
      <c r="D18" s="11">
        <v>2022</v>
      </c>
      <c r="E18" s="18">
        <f>'FS Seychelles'!B19</f>
        <v>63.2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10477</v>
      </c>
      <c r="P18" s="18">
        <f>'FS Seychelles'!N19</f>
        <v>4980</v>
      </c>
      <c r="Q18" s="18">
        <f>'FS Seychelles'!O19</f>
        <v>0</v>
      </c>
      <c r="R18" s="18">
        <f>'FS Seychelles'!P19</f>
        <v>4324</v>
      </c>
      <c r="S18" s="18">
        <f>'FS Seychelles'!Q19</f>
        <v>6621</v>
      </c>
      <c r="T18" s="18">
        <f>'FS Seychelles'!R19</f>
        <v>6278</v>
      </c>
      <c r="U18" s="18">
        <f>'FS Seychelles'!T19</f>
        <v>0</v>
      </c>
      <c r="V18" s="18">
        <f>'FS Seychelles'!V19</f>
        <v>64</v>
      </c>
      <c r="W18" s="18">
        <f>'FS Seychelles'!W19</f>
        <v>24</v>
      </c>
      <c r="X18" s="18">
        <f>'FS Seychelles'!X19</f>
        <v>61</v>
      </c>
      <c r="Y18" s="18">
        <f>'FS Seychelles'!Y19</f>
        <v>171</v>
      </c>
      <c r="Z18" s="18">
        <f>'FS Seychelles'!Z19</f>
        <v>71</v>
      </c>
      <c r="AA18" s="18">
        <f>'FS Seychelles'!AA19</f>
        <v>100</v>
      </c>
      <c r="AB18" s="18">
        <f>'FS Seychelles'!AB19</f>
        <v>0</v>
      </c>
      <c r="AC18" s="18">
        <f>('FS Seychelles'!AF25+'FS Seychelles'!AF31)/30</f>
        <v>0</v>
      </c>
    </row>
    <row r="19" spans="1:29">
      <c r="A19" s="1" t="s">
        <v>13</v>
      </c>
      <c r="B19" s="11">
        <f t="shared" si="0"/>
        <v>18</v>
      </c>
      <c r="C19" s="11">
        <f t="shared" si="1"/>
        <v>6</v>
      </c>
      <c r="D19" s="11">
        <v>2022</v>
      </c>
      <c r="E19" s="18">
        <f>'FS Seychelles'!B20</f>
        <v>61.8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9492</v>
      </c>
      <c r="P19" s="18">
        <f>'FS Seychelles'!N20</f>
        <v>5126</v>
      </c>
      <c r="Q19" s="18">
        <f>'FS Seychelles'!O20</f>
        <v>2294</v>
      </c>
      <c r="R19" s="18">
        <f>'FS Seychelles'!P20</f>
        <v>0</v>
      </c>
      <c r="S19" s="18">
        <f>'FS Seychelles'!Q20</f>
        <v>11964</v>
      </c>
      <c r="T19" s="18">
        <f>'FS Seychelles'!R20</f>
        <v>6426</v>
      </c>
      <c r="U19" s="18">
        <f>'FS Seychelles'!T20</f>
        <v>0</v>
      </c>
      <c r="V19" s="18">
        <f>'FS Seychelles'!V20</f>
        <v>56</v>
      </c>
      <c r="W19" s="18">
        <f>'FS Seychelles'!W20</f>
        <v>23</v>
      </c>
      <c r="X19" s="18">
        <f>'FS Seychelles'!X20</f>
        <v>83</v>
      </c>
      <c r="Y19" s="18">
        <f>'FS Seychelles'!Y20</f>
        <v>145</v>
      </c>
      <c r="Z19" s="18">
        <f>'FS Seychelles'!Z20</f>
        <v>93</v>
      </c>
      <c r="AA19" s="18">
        <f>'FS Seychelles'!AA20</f>
        <v>99</v>
      </c>
      <c r="AB19" s="18">
        <f>'FS Seychelles'!AB20</f>
        <v>9</v>
      </c>
      <c r="AC19" s="18">
        <f>('FS Seychelles'!AF26+'FS Seychelles'!AF32)/30</f>
        <v>0</v>
      </c>
    </row>
    <row r="20" spans="1:29">
      <c r="A20" s="1" t="s">
        <v>13</v>
      </c>
      <c r="B20" s="11">
        <f t="shared" si="0"/>
        <v>19</v>
      </c>
      <c r="C20" s="11">
        <f t="shared" si="1"/>
        <v>6</v>
      </c>
      <c r="D20" s="11">
        <v>2022</v>
      </c>
      <c r="E20" s="18">
        <f>'FS Seychelles'!B21</f>
        <v>59.2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0</v>
      </c>
      <c r="P20" s="18">
        <f>'FS Seychelles'!N21</f>
        <v>11636</v>
      </c>
      <c r="Q20" s="18">
        <f>'FS Seychelles'!O21</f>
        <v>5504</v>
      </c>
      <c r="R20" s="18">
        <f>'FS Seychelles'!P21</f>
        <v>3638</v>
      </c>
      <c r="S20" s="18">
        <f>'FS Seychelles'!Q21</f>
        <v>10834</v>
      </c>
      <c r="T20" s="18">
        <f>'FS Seychelles'!R21</f>
        <v>7048</v>
      </c>
      <c r="U20" s="18">
        <f>'FS Seychelles'!T21</f>
        <v>0</v>
      </c>
      <c r="V20" s="18">
        <f>'FS Seychelles'!V21</f>
        <v>53</v>
      </c>
      <c r="W20" s="18">
        <f>'FS Seychelles'!W21</f>
        <v>30</v>
      </c>
      <c r="X20" s="18">
        <f>'FS Seychelles'!X21</f>
        <v>70</v>
      </c>
      <c r="Y20" s="18">
        <f>'FS Seychelles'!Y21</f>
        <v>165</v>
      </c>
      <c r="Z20" s="18">
        <f>'FS Seychelles'!Z21</f>
        <v>98</v>
      </c>
      <c r="AA20" s="18">
        <f>'FS Seychelles'!AA21</f>
        <v>47</v>
      </c>
      <c r="AB20" s="18">
        <f>'FS Seychelles'!AB21</f>
        <v>0</v>
      </c>
      <c r="AC20" s="18">
        <f>('FS Seychelles'!AF27+'FS Seychelles'!AF33)/30</f>
        <v>0</v>
      </c>
    </row>
    <row r="21" spans="1:29">
      <c r="A21" s="1" t="s">
        <v>13</v>
      </c>
      <c r="B21" s="11">
        <f t="shared" si="0"/>
        <v>20</v>
      </c>
      <c r="C21" s="11">
        <f t="shared" si="1"/>
        <v>6</v>
      </c>
      <c r="D21" s="11">
        <v>2022</v>
      </c>
      <c r="E21" s="18">
        <f>'FS Seychelles'!B22</f>
        <v>63.2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14445</v>
      </c>
      <c r="P21" s="18">
        <f>'FS Seychelles'!N22</f>
        <v>0</v>
      </c>
      <c r="Q21" s="18">
        <f>'FS Seychelles'!O22</f>
        <v>2019</v>
      </c>
      <c r="R21" s="18">
        <f>'FS Seychelles'!P22</f>
        <v>0</v>
      </c>
      <c r="S21" s="18">
        <f>'FS Seychelles'!Q23</f>
        <v>5520</v>
      </c>
      <c r="T21" s="18">
        <f>'FS Seychelles'!R22</f>
        <v>6366</v>
      </c>
      <c r="U21" s="18">
        <f>'FS Seychelles'!T22</f>
        <v>0</v>
      </c>
      <c r="V21" s="18">
        <f>'FS Seychelles'!V22</f>
        <v>57</v>
      </c>
      <c r="W21" s="18">
        <f>'FS Seychelles'!W22</f>
        <v>32</v>
      </c>
      <c r="X21" s="18">
        <f>'FS Seychelles'!X22</f>
        <v>87</v>
      </c>
      <c r="Y21" s="18">
        <f>'FS Seychelles'!Y22</f>
        <v>136</v>
      </c>
      <c r="Z21" s="18">
        <f>'FS Seychelles'!Z22</f>
        <v>86</v>
      </c>
      <c r="AA21" s="18">
        <f>'FS Seychelles'!AA22</f>
        <v>8</v>
      </c>
      <c r="AB21" s="18">
        <f>'FS Seychelles'!AB22</f>
        <v>0</v>
      </c>
      <c r="AC21" s="18">
        <f>('FS Seychelles'!AF28+'FS Seychelles'!AF34)/30</f>
        <v>0</v>
      </c>
    </row>
    <row r="22" spans="1:29">
      <c r="A22" s="1" t="s">
        <v>13</v>
      </c>
      <c r="B22" s="11">
        <f t="shared" si="0"/>
        <v>21</v>
      </c>
      <c r="C22" s="11">
        <f t="shared" si="1"/>
        <v>6</v>
      </c>
      <c r="D22" s="11">
        <v>2022</v>
      </c>
      <c r="E22" s="18">
        <f>'FS Seychelles'!B23</f>
        <v>61.8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9422</v>
      </c>
      <c r="P22" s="18">
        <f>'FS Seychelles'!N23</f>
        <v>4788</v>
      </c>
      <c r="Q22" s="18">
        <f>'FS Seychelles'!O23</f>
        <v>10314</v>
      </c>
      <c r="R22" s="18">
        <f>'FS Seychelles'!P23</f>
        <v>1537</v>
      </c>
      <c r="S22" s="18">
        <f>'FS Seychelles'!Q24</f>
        <v>0</v>
      </c>
      <c r="T22" s="18">
        <f>'FS Seychelles'!R23</f>
        <v>6909</v>
      </c>
      <c r="U22" s="18">
        <f>'FS Seychelles'!T23</f>
        <v>0</v>
      </c>
      <c r="V22" s="18">
        <f>'FS Seychelles'!V23</f>
        <v>0</v>
      </c>
      <c r="W22" s="18">
        <f>'FS Seychelles'!W23</f>
        <v>0</v>
      </c>
      <c r="X22" s="18">
        <f>'FS Seychelles'!X23</f>
        <v>0</v>
      </c>
      <c r="Y22" s="18">
        <f>'FS Seychelles'!Y23</f>
        <v>0</v>
      </c>
      <c r="Z22" s="18">
        <f>'FS Seychelles'!Z23</f>
        <v>0</v>
      </c>
      <c r="AA22" s="18">
        <f>'FS Seychelles'!AA23</f>
        <v>0</v>
      </c>
      <c r="AB22" s="18">
        <f>'FS Seychelles'!AB23</f>
        <v>0</v>
      </c>
      <c r="AC22" s="18">
        <f>('FS Seychelles'!AF29+'FS Seychelles'!AF35)/30</f>
        <v>0</v>
      </c>
    </row>
    <row r="23" spans="1:29">
      <c r="A23" s="1" t="s">
        <v>13</v>
      </c>
      <c r="B23" s="11">
        <f t="shared" si="0"/>
        <v>22</v>
      </c>
      <c r="C23" s="11">
        <f t="shared" si="1"/>
        <v>6</v>
      </c>
      <c r="D23" s="11">
        <v>2022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Seychelles'!Q25</f>
        <v>0</v>
      </c>
      <c r="T23" s="18">
        <f>'FS Seychelles'!R24</f>
        <v>0</v>
      </c>
      <c r="U23" s="18">
        <f>'FS Seychelles'!T24</f>
        <v>0</v>
      </c>
      <c r="V23" s="18">
        <f>'FS Seychelles'!V24</f>
        <v>0</v>
      </c>
      <c r="W23" s="18">
        <f>'FS Seychelles'!W24</f>
        <v>0</v>
      </c>
      <c r="X23" s="18">
        <f>'FS Seychelles'!X24</f>
        <v>0</v>
      </c>
      <c r="Y23" s="18">
        <f>'FS Seychelles'!Y24</f>
        <v>0</v>
      </c>
      <c r="Z23" s="18">
        <f>'FS Seychelles'!Z24</f>
        <v>0</v>
      </c>
      <c r="AA23" s="18">
        <f>'FS Seychelles'!AA24</f>
        <v>0</v>
      </c>
      <c r="AB23" s="18">
        <f>'FS Seychelles'!AB24</f>
        <v>0</v>
      </c>
      <c r="AC23" s="18">
        <f>('FS Seychelles'!AF30+'FS Seychelles'!AF36)/30</f>
        <v>0</v>
      </c>
    </row>
    <row r="24" spans="1:29">
      <c r="A24" s="1" t="s">
        <v>13</v>
      </c>
      <c r="B24" s="11">
        <f t="shared" si="0"/>
        <v>23</v>
      </c>
      <c r="C24" s="11">
        <f t="shared" si="1"/>
        <v>6</v>
      </c>
      <c r="D24" s="11">
        <v>2022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Seychelles'!R25</f>
        <v>0</v>
      </c>
      <c r="U24" s="18">
        <f>'FS Seychelles'!T25</f>
        <v>0</v>
      </c>
      <c r="V24" s="18">
        <f>'FS Seychelles'!V25</f>
        <v>0</v>
      </c>
      <c r="W24" s="18">
        <f>'FS Seychelles'!W25</f>
        <v>0</v>
      </c>
      <c r="X24" s="18">
        <f>'FS Seychelles'!X25</f>
        <v>0</v>
      </c>
      <c r="Y24" s="18">
        <f>'FS Seychelles'!Y25</f>
        <v>0</v>
      </c>
      <c r="Z24" s="18">
        <f>'FS Seychelles'!Z25</f>
        <v>0</v>
      </c>
      <c r="AA24" s="18">
        <f>'FS Seychelles'!AA25</f>
        <v>0</v>
      </c>
      <c r="AB24" s="18">
        <f>'FS Seychelles'!AB25</f>
        <v>0</v>
      </c>
      <c r="AC24" s="18">
        <f>('FS Seychelles'!AF31+'FS Seychelles'!AF37)/30</f>
        <v>0</v>
      </c>
    </row>
    <row r="25" spans="1:29">
      <c r="A25" s="1" t="s">
        <v>13</v>
      </c>
      <c r="B25" s="11">
        <f t="shared" si="0"/>
        <v>24</v>
      </c>
      <c r="C25" s="11">
        <f t="shared" si="1"/>
        <v>6</v>
      </c>
      <c r="D25" s="11">
        <v>2022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Seychelles'!T26</f>
        <v>0</v>
      </c>
      <c r="V25" s="18">
        <f>'FS Seychelles'!V26</f>
        <v>0</v>
      </c>
      <c r="W25" s="18">
        <f>'FS Seychelles'!W26</f>
        <v>0</v>
      </c>
      <c r="X25" s="18">
        <f>'FS Seychelles'!X26</f>
        <v>0</v>
      </c>
      <c r="Y25" s="18">
        <f>'FS Seychelles'!Y26</f>
        <v>0</v>
      </c>
      <c r="Z25" s="18">
        <f>'FS Seychelles'!Z26</f>
        <v>0</v>
      </c>
      <c r="AA25" s="18">
        <f>'FS Seychelles'!AA26</f>
        <v>0</v>
      </c>
      <c r="AB25" s="18">
        <f>'FS Seychelles'!AB26</f>
        <v>0</v>
      </c>
      <c r="AC25" s="18">
        <f>('FS Seychelles'!AF32+'FS Seychelles'!AF38)/30</f>
        <v>0</v>
      </c>
    </row>
    <row r="26" spans="1:29">
      <c r="A26" s="1" t="s">
        <v>13</v>
      </c>
      <c r="B26" s="11">
        <f>B25+1</f>
        <v>25</v>
      </c>
      <c r="C26" s="11">
        <f t="shared" si="1"/>
        <v>6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Seychelles'!T27</f>
        <v>0</v>
      </c>
      <c r="V26" s="18">
        <f>'FS Seychelles'!V27</f>
        <v>0</v>
      </c>
      <c r="W26" s="18">
        <f>'FS Seychelles'!W27</f>
        <v>0</v>
      </c>
      <c r="X26" s="18">
        <f>'FS Seychelles'!X27</f>
        <v>0</v>
      </c>
      <c r="Y26" s="18">
        <f>'FS Seychelles'!Y27</f>
        <v>0</v>
      </c>
      <c r="Z26" s="18">
        <f>'FS Seychelles'!Z27</f>
        <v>0</v>
      </c>
      <c r="AA26" s="18">
        <f>'FS Seychelles'!AA27</f>
        <v>0</v>
      </c>
      <c r="AB26" s="18">
        <f>'FS Seychelles'!AB27</f>
        <v>0</v>
      </c>
      <c r="AC26" s="18">
        <f>('FS Seychelles'!AF33+'FS Seychelles'!AF39)/30</f>
        <v>0</v>
      </c>
    </row>
    <row r="27" spans="1:29">
      <c r="A27" s="1" t="s">
        <v>13</v>
      </c>
      <c r="B27" s="11">
        <f t="shared" si="0"/>
        <v>26</v>
      </c>
      <c r="C27" s="11">
        <f t="shared" si="1"/>
        <v>6</v>
      </c>
      <c r="D27" s="11">
        <v>2022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Seychelles'!T28</f>
        <v>0</v>
      </c>
      <c r="V27" s="18">
        <f>'FS Seychelles'!V28</f>
        <v>0</v>
      </c>
      <c r="W27" s="18">
        <f>'FS Seychelles'!W28</f>
        <v>0</v>
      </c>
      <c r="X27" s="18">
        <f>'FS Seychelles'!X28</f>
        <v>0</v>
      </c>
      <c r="Y27" s="18">
        <f>'FS Seychelles'!Y28</f>
        <v>0</v>
      </c>
      <c r="Z27" s="18">
        <f>'FS Seychelles'!Z28</f>
        <v>0</v>
      </c>
      <c r="AA27" s="18">
        <f>'FS Seychelles'!AA28</f>
        <v>0</v>
      </c>
      <c r="AB27" s="18">
        <f>'FS Seychelles'!AB28</f>
        <v>0</v>
      </c>
      <c r="AC27" s="18">
        <f>('FS Seychelles'!AF34+'FS Seychelles'!AF40)/30</f>
        <v>0</v>
      </c>
    </row>
    <row r="28" spans="1:29">
      <c r="A28" s="1" t="s">
        <v>13</v>
      </c>
      <c r="B28" s="11">
        <f t="shared" si="0"/>
        <v>27</v>
      </c>
      <c r="C28" s="11">
        <f t="shared" si="1"/>
        <v>6</v>
      </c>
      <c r="D28" s="11">
        <v>2022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Seychelles'!T29</f>
        <v>0</v>
      </c>
      <c r="V28" s="18">
        <f>'FS Seychelles'!V29</f>
        <v>0</v>
      </c>
      <c r="W28" s="18">
        <f>'FS Seychelles'!W29</f>
        <v>0</v>
      </c>
      <c r="X28" s="18">
        <f>'FS Seychelles'!X29</f>
        <v>0</v>
      </c>
      <c r="Y28" s="18">
        <f>'FS Seychelles'!Y29</f>
        <v>0</v>
      </c>
      <c r="Z28" s="18">
        <f>'FS Seychelles'!Z29</f>
        <v>0</v>
      </c>
      <c r="AA28" s="18">
        <f>'FS Seychelles'!AA29</f>
        <v>0</v>
      </c>
      <c r="AB28" s="18">
        <f>'FS Seychelles'!AB29</f>
        <v>0</v>
      </c>
      <c r="AC28" s="18">
        <f>('FS Seychelles'!AF35+'FS Seychelles'!AF41)/30</f>
        <v>0</v>
      </c>
    </row>
    <row r="29" spans="1:29">
      <c r="A29" s="1" t="s">
        <v>13</v>
      </c>
      <c r="B29" s="11">
        <f t="shared" si="0"/>
        <v>28</v>
      </c>
      <c r="C29" s="11">
        <f t="shared" si="1"/>
        <v>6</v>
      </c>
      <c r="D29" s="11">
        <v>2022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Seychelles'!T30</f>
        <v>0</v>
      </c>
      <c r="V29" s="18">
        <f>'FS Seychelles'!V30</f>
        <v>0</v>
      </c>
      <c r="W29" s="18">
        <f>'FS Seychelles'!W30</f>
        <v>0</v>
      </c>
      <c r="X29" s="18">
        <f>'FS Seychelles'!X30</f>
        <v>0</v>
      </c>
      <c r="Y29" s="18">
        <f>'FS Seychelles'!Y30</f>
        <v>0</v>
      </c>
      <c r="Z29" s="18">
        <f>'FS Seychelles'!Z30</f>
        <v>0</v>
      </c>
      <c r="AA29" s="18">
        <f>'FS Seychelles'!AA30</f>
        <v>0</v>
      </c>
      <c r="AB29" s="18">
        <f>'FS Seychelles'!AB30</f>
        <v>0</v>
      </c>
      <c r="AC29" s="18">
        <f>('FS Seychelles'!AF36+'FS Seychelles'!AF42)/30</f>
        <v>0</v>
      </c>
    </row>
    <row r="30" spans="1:29">
      <c r="A30" s="1" t="s">
        <v>13</v>
      </c>
      <c r="B30" s="11">
        <f t="shared" si="0"/>
        <v>29</v>
      </c>
      <c r="C30" s="11">
        <f t="shared" si="1"/>
        <v>6</v>
      </c>
      <c r="D30" s="11">
        <v>2022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Seychelles'!T31</f>
        <v>0</v>
      </c>
      <c r="V30" s="18">
        <f>'FS Seychelles'!V31</f>
        <v>0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('FS Seychelles'!AF37+'FS Seychelles'!AF43)/30</f>
        <v>0</v>
      </c>
    </row>
    <row r="31" spans="1:29">
      <c r="A31" s="1" t="s">
        <v>13</v>
      </c>
      <c r="B31" s="11">
        <f t="shared" si="0"/>
        <v>30</v>
      </c>
      <c r="C31" s="11">
        <f t="shared" si="1"/>
        <v>6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Seychelles'!T32</f>
        <v>0</v>
      </c>
      <c r="V31" s="18">
        <f>'FS Seychelles'!V32</f>
        <v>0</v>
      </c>
      <c r="W31" s="18">
        <f>'FS Seychelles'!W32</f>
        <v>0</v>
      </c>
      <c r="X31" s="18">
        <f>'FS Seychelles'!X32</f>
        <v>0</v>
      </c>
      <c r="Y31" s="18">
        <f>'FS Seychelles'!Y32</f>
        <v>0</v>
      </c>
      <c r="Z31" s="18">
        <f>'FS Seychelles'!Z32</f>
        <v>0</v>
      </c>
      <c r="AA31" s="18">
        <f>'FS Seychelles'!AA32</f>
        <v>0</v>
      </c>
      <c r="AB31" s="18">
        <f>'FS Seychelles'!AB32</f>
        <v>0</v>
      </c>
      <c r="AC31" s="18">
        <f>('FS Seychelles'!AF38+'FS Seychelles'!AF44)/30</f>
        <v>0</v>
      </c>
    </row>
    <row r="32" spans="1:29">
      <c r="A32" s="1" t="s">
        <v>13</v>
      </c>
      <c r="D32" s="11">
        <v>2022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Seychelles'!V33</f>
        <v>0</v>
      </c>
      <c r="W32" s="18">
        <f>'FS Seychelles'!W33</f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('FS Seychelles'!AF39+'FS Seychelles'!AF45)/30</f>
        <v>0</v>
      </c>
    </row>
    <row r="33" spans="16:18">
      <c r="P33" s="18">
        <f>SUM(P2:P32)</f>
        <v>137225</v>
      </c>
      <c r="Q33" s="18">
        <f>SUM(Q2:Q32)</f>
        <v>103052</v>
      </c>
      <c r="R33" s="18">
        <f>SUM(R2:R32)</f>
        <v>70275</v>
      </c>
    </row>
    <row r="35" spans="16:18">
      <c r="R35" s="18">
        <f>SUM(O33:R33)</f>
        <v>310552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9"/>
  <sheetViews>
    <sheetView tabSelected="1" zoomScaleNormal="100" workbookViewId="0">
      <pane xSplit="1" topLeftCell="B1" activePane="topRight" state="frozen"/>
      <selection pane="topRight" activeCell="C24" sqref="C24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9" width="9.140625" style="36"/>
    <col min="10" max="10" width="10.28515625" style="36" customWidth="1"/>
    <col min="11" max="11" width="9.140625" style="36"/>
    <col min="12" max="12" width="10.7109375" style="36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9" width="11.85546875" style="19" customWidth="1"/>
    <col min="30" max="30" width="13.5703125" style="33" customWidth="1"/>
    <col min="31" max="32" width="9.140625" style="33"/>
    <col min="33" max="16384" width="9.140625" style="19"/>
  </cols>
  <sheetData>
    <row r="1" spans="1:32">
      <c r="D1" s="139"/>
      <c r="E1" s="139"/>
      <c r="F1" s="139"/>
      <c r="G1" s="139"/>
      <c r="H1" s="139"/>
      <c r="I1" s="139"/>
      <c r="J1" s="139"/>
      <c r="K1" s="139"/>
      <c r="L1" s="139"/>
    </row>
    <row r="2" spans="1:32" s="22" customFormat="1" ht="31.5" customHeight="1">
      <c r="A2" s="60" t="s">
        <v>38</v>
      </c>
      <c r="B2" s="47" t="s">
        <v>39</v>
      </c>
      <c r="C2" s="57" t="s">
        <v>40</v>
      </c>
      <c r="D2" s="55" t="s">
        <v>41</v>
      </c>
      <c r="E2" s="56" t="s">
        <v>42</v>
      </c>
      <c r="F2" s="56" t="s">
        <v>43</v>
      </c>
      <c r="G2" s="56" t="s">
        <v>44</v>
      </c>
      <c r="H2" s="56" t="s">
        <v>45</v>
      </c>
      <c r="I2" s="56" t="s">
        <v>46</v>
      </c>
      <c r="J2" s="56" t="s">
        <v>47</v>
      </c>
      <c r="K2" s="56" t="s">
        <v>48</v>
      </c>
      <c r="L2" s="56" t="s">
        <v>49</v>
      </c>
      <c r="M2" s="58" t="s">
        <v>50</v>
      </c>
      <c r="N2" s="38" t="s">
        <v>51</v>
      </c>
      <c r="O2" s="38" t="s">
        <v>52</v>
      </c>
      <c r="P2" s="38" t="s">
        <v>53</v>
      </c>
      <c r="Q2" s="38" t="s">
        <v>54</v>
      </c>
      <c r="R2" s="39" t="s">
        <v>55</v>
      </c>
      <c r="S2" s="39" t="s">
        <v>56</v>
      </c>
      <c r="T2" s="39" t="s">
        <v>57</v>
      </c>
      <c r="U2" s="39" t="s">
        <v>58</v>
      </c>
      <c r="V2" s="37" t="s">
        <v>59</v>
      </c>
      <c r="W2" s="37" t="s">
        <v>60</v>
      </c>
      <c r="X2" s="37" t="s">
        <v>61</v>
      </c>
      <c r="Y2" s="37" t="s">
        <v>62</v>
      </c>
      <c r="Z2" s="37" t="s">
        <v>63</v>
      </c>
      <c r="AA2" s="37" t="s">
        <v>64</v>
      </c>
      <c r="AB2" s="40" t="s">
        <v>65</v>
      </c>
      <c r="AC2" s="71" t="s">
        <v>66</v>
      </c>
      <c r="AD2" s="145" t="s">
        <v>6</v>
      </c>
      <c r="AE2" s="145"/>
      <c r="AF2" s="146"/>
    </row>
    <row r="3" spans="1:32" ht="15" customHeight="1">
      <c r="A3" s="45">
        <v>44682</v>
      </c>
      <c r="B3" s="52">
        <v>56.6</v>
      </c>
      <c r="C3" s="52">
        <v>311</v>
      </c>
      <c r="D3" s="53"/>
      <c r="E3" s="51"/>
      <c r="F3" s="51"/>
      <c r="G3" s="51"/>
      <c r="H3" s="51"/>
      <c r="I3" s="51"/>
      <c r="J3" s="51"/>
      <c r="K3" s="51"/>
      <c r="L3" s="51"/>
      <c r="M3" s="59">
        <f>Generator!E3</f>
        <v>9633</v>
      </c>
      <c r="N3" s="46">
        <f>Generator!L3</f>
        <v>9544</v>
      </c>
      <c r="O3" s="31">
        <f>Generator!S3</f>
        <v>3482</v>
      </c>
      <c r="P3" s="31">
        <f>Generator!Z3</f>
        <v>6719</v>
      </c>
      <c r="Q3" s="31">
        <f>Generator!AG3</f>
        <v>5527</v>
      </c>
      <c r="R3" s="21">
        <f>SUM(Generator!C3,Generator!J3,Generator!Q3,Generator!X3,Generator!AE3)</f>
        <v>8020</v>
      </c>
      <c r="S3" s="21">
        <v>1.47</v>
      </c>
      <c r="T3" s="21"/>
      <c r="U3" s="21">
        <v>0.32</v>
      </c>
      <c r="V3" s="30">
        <v>55</v>
      </c>
      <c r="W3" s="20">
        <v>29</v>
      </c>
      <c r="X3" s="20">
        <v>62</v>
      </c>
      <c r="Y3" s="20">
        <v>164</v>
      </c>
      <c r="Z3" s="20">
        <v>78</v>
      </c>
      <c r="AA3" s="30">
        <v>40</v>
      </c>
      <c r="AB3" s="32">
        <v>108</v>
      </c>
      <c r="AC3" s="64">
        <v>0</v>
      </c>
      <c r="AD3" s="147" t="s">
        <v>67</v>
      </c>
      <c r="AE3" s="148"/>
      <c r="AF3" s="149"/>
    </row>
    <row r="4" spans="1:32" ht="16.5" customHeight="1">
      <c r="A4" s="45">
        <v>44683</v>
      </c>
      <c r="B4" s="52">
        <v>69.7</v>
      </c>
      <c r="C4" s="52">
        <v>332</v>
      </c>
      <c r="D4" s="53"/>
      <c r="E4" s="51"/>
      <c r="F4" s="51"/>
      <c r="G4" s="51"/>
      <c r="H4" s="51"/>
      <c r="I4" s="51"/>
      <c r="J4" s="51"/>
      <c r="K4" s="51"/>
      <c r="L4" s="51"/>
      <c r="M4" s="59">
        <f>Generator!E4</f>
        <v>11405</v>
      </c>
      <c r="N4" s="46">
        <f>Generator!L4</f>
        <v>6563</v>
      </c>
      <c r="O4" s="31">
        <f>Generator!S4</f>
        <v>6876</v>
      </c>
      <c r="P4" s="31">
        <f>Generator!Z4</f>
        <v>1053</v>
      </c>
      <c r="Q4" s="31">
        <f>Generator!AG4</f>
        <v>8654</v>
      </c>
      <c r="R4" s="21">
        <f>SUM(Generator!C4,Generator!J4,Generator!Q4,Generator!X4,Generator!AE4)</f>
        <v>7359</v>
      </c>
      <c r="S4" s="21">
        <f t="shared" ref="S4:S22" si="0">24.43*0.06</f>
        <v>1.4658</v>
      </c>
      <c r="T4" s="21"/>
      <c r="U4" s="21">
        <f>U3</f>
        <v>0.32</v>
      </c>
      <c r="V4" s="30">
        <v>67</v>
      </c>
      <c r="W4" s="20">
        <v>20</v>
      </c>
      <c r="X4" s="20">
        <v>68</v>
      </c>
      <c r="Y4" s="20">
        <v>192</v>
      </c>
      <c r="Z4" s="20">
        <v>97</v>
      </c>
      <c r="AA4" s="30">
        <v>9</v>
      </c>
      <c r="AB4" s="32">
        <v>0</v>
      </c>
      <c r="AC4" s="64">
        <v>9</v>
      </c>
      <c r="AD4" s="65" t="s">
        <v>68</v>
      </c>
      <c r="AE4" s="35" t="s">
        <v>69</v>
      </c>
      <c r="AF4" s="94" t="s">
        <v>70</v>
      </c>
    </row>
    <row r="5" spans="1:32" ht="15">
      <c r="A5" s="45">
        <v>44684</v>
      </c>
      <c r="B5" s="52">
        <v>68.400000000000006</v>
      </c>
      <c r="C5" s="52">
        <v>315</v>
      </c>
      <c r="D5" s="53"/>
      <c r="E5" s="51"/>
      <c r="F5" s="51"/>
      <c r="G5" s="51"/>
      <c r="H5" s="51"/>
      <c r="I5" s="51"/>
      <c r="J5" s="51"/>
      <c r="K5" s="51"/>
      <c r="L5" s="51"/>
      <c r="M5" s="59">
        <f>Generator!E5</f>
        <v>10001</v>
      </c>
      <c r="N5" s="46">
        <f>Generator!L5</f>
        <v>8150</v>
      </c>
      <c r="O5" s="31">
        <f>Generator!S5</f>
        <v>0</v>
      </c>
      <c r="P5" s="31">
        <f>Generator!Z5</f>
        <v>7890</v>
      </c>
      <c r="Q5" s="31">
        <f>Generator!AG5</f>
        <v>6955</v>
      </c>
      <c r="R5" s="21">
        <f>SUM(Generator!C5,Generator!J5,Generator!Q5,Generator!X5,Generator!AE5)</f>
        <v>7753</v>
      </c>
      <c r="S5" s="21">
        <f t="shared" si="0"/>
        <v>1.4658</v>
      </c>
      <c r="T5" s="21"/>
      <c r="U5" s="21">
        <f t="shared" ref="U5:U33" si="1">U4</f>
        <v>0.32</v>
      </c>
      <c r="V5" s="30">
        <v>69</v>
      </c>
      <c r="W5" s="30">
        <v>38</v>
      </c>
      <c r="X5" s="30">
        <v>88</v>
      </c>
      <c r="Y5" s="30">
        <v>200</v>
      </c>
      <c r="Z5" s="30">
        <v>79</v>
      </c>
      <c r="AA5" s="30">
        <v>124</v>
      </c>
      <c r="AB5" s="32">
        <v>0</v>
      </c>
      <c r="AC5" s="64">
        <v>0</v>
      </c>
      <c r="AD5" s="63"/>
      <c r="AE5" s="34"/>
      <c r="AF5" s="92"/>
    </row>
    <row r="6" spans="1:32" ht="15">
      <c r="A6" s="45">
        <v>44685</v>
      </c>
      <c r="B6" s="52">
        <v>63.2</v>
      </c>
      <c r="C6" s="52">
        <v>323</v>
      </c>
      <c r="D6" s="53"/>
      <c r="E6" s="51"/>
      <c r="F6" s="51"/>
      <c r="G6" s="51"/>
      <c r="H6" s="51"/>
      <c r="I6" s="51"/>
      <c r="J6" s="51"/>
      <c r="K6" s="51"/>
      <c r="L6" s="51"/>
      <c r="M6" s="59">
        <f>Generator!E6</f>
        <v>6980</v>
      </c>
      <c r="N6" s="46">
        <f>Generator!L6</f>
        <v>8315</v>
      </c>
      <c r="O6" s="31">
        <f>Generator!S6</f>
        <v>8325</v>
      </c>
      <c r="P6" s="31">
        <f>Generator!Z6</f>
        <v>2311</v>
      </c>
      <c r="Q6" s="31">
        <f>Generator!AG6</f>
        <v>7013</v>
      </c>
      <c r="R6" s="21">
        <f>SUM(Generator!C6,Generator!J6,Generator!Q6,Generator!X6,Generator!AE6)</f>
        <v>7051</v>
      </c>
      <c r="S6" s="21">
        <f t="shared" si="0"/>
        <v>1.4658</v>
      </c>
      <c r="T6" s="21"/>
      <c r="U6" s="21">
        <f t="shared" si="1"/>
        <v>0.32</v>
      </c>
      <c r="V6" s="30">
        <f>AVERAGE(V7:V16)</f>
        <v>64.3</v>
      </c>
      <c r="W6" s="30">
        <f t="shared" ref="W6:AC6" si="2">AVERAGE(W7:W16)</f>
        <v>26.8</v>
      </c>
      <c r="X6" s="30">
        <f t="shared" si="2"/>
        <v>73</v>
      </c>
      <c r="Y6" s="30">
        <f t="shared" si="2"/>
        <v>194.7</v>
      </c>
      <c r="Z6" s="30">
        <f t="shared" si="2"/>
        <v>96</v>
      </c>
      <c r="AA6" s="30">
        <f t="shared" si="2"/>
        <v>108.8</v>
      </c>
      <c r="AB6" s="30">
        <f t="shared" si="2"/>
        <v>0</v>
      </c>
      <c r="AC6" s="30">
        <v>0</v>
      </c>
      <c r="AD6" s="63"/>
      <c r="AE6" s="34"/>
      <c r="AF6" s="92"/>
    </row>
    <row r="7" spans="1:32" ht="15">
      <c r="A7" s="45">
        <v>44686</v>
      </c>
      <c r="B7" s="52">
        <v>69.7</v>
      </c>
      <c r="C7" s="52">
        <v>330</v>
      </c>
      <c r="D7" s="53"/>
      <c r="E7" s="51"/>
      <c r="F7" s="51"/>
      <c r="G7" s="51"/>
      <c r="H7" s="51"/>
      <c r="I7" s="51"/>
      <c r="J7" s="51"/>
      <c r="K7" s="51"/>
      <c r="L7" s="51"/>
      <c r="M7" s="59">
        <f>Generator!E7</f>
        <v>10452</v>
      </c>
      <c r="N7" s="46">
        <f>Generator!L7</f>
        <v>3279</v>
      </c>
      <c r="O7" s="31">
        <f>Generator!S7</f>
        <v>9168</v>
      </c>
      <c r="P7" s="31">
        <f>Generator!Z7</f>
        <v>5313</v>
      </c>
      <c r="Q7" s="31">
        <f>Generator!AG7</f>
        <v>7449</v>
      </c>
      <c r="R7" s="21">
        <f>SUM(Generator!C7,Generator!J7,Generator!Q7,Generator!X7,Generator!AE7)</f>
        <v>8057</v>
      </c>
      <c r="S7" s="21">
        <f t="shared" si="0"/>
        <v>1.4658</v>
      </c>
      <c r="T7" s="21"/>
      <c r="U7" s="21">
        <f t="shared" si="1"/>
        <v>0.32</v>
      </c>
      <c r="V7" s="30">
        <v>69</v>
      </c>
      <c r="W7" s="30">
        <v>24</v>
      </c>
      <c r="X7" s="30">
        <v>96</v>
      </c>
      <c r="Y7" s="30">
        <v>212</v>
      </c>
      <c r="Z7" s="30">
        <v>104</v>
      </c>
      <c r="AA7" s="30">
        <v>112</v>
      </c>
      <c r="AB7" s="32">
        <v>0</v>
      </c>
      <c r="AC7" s="64">
        <v>1</v>
      </c>
      <c r="AD7" s="66">
        <v>20</v>
      </c>
      <c r="AE7" s="50"/>
      <c r="AF7" s="92"/>
    </row>
    <row r="8" spans="1:32" ht="15">
      <c r="A8" s="45">
        <v>44687</v>
      </c>
      <c r="B8" s="52">
        <v>61.8</v>
      </c>
      <c r="C8" s="52">
        <v>326</v>
      </c>
      <c r="D8" s="53"/>
      <c r="E8" s="51"/>
      <c r="F8" s="51"/>
      <c r="G8" s="51"/>
      <c r="H8" s="51"/>
      <c r="I8" s="51"/>
      <c r="J8" s="51"/>
      <c r="K8" s="51"/>
      <c r="L8" s="51"/>
      <c r="M8" s="59">
        <f>Generator!E8</f>
        <v>7566</v>
      </c>
      <c r="N8" s="46">
        <f>Generator!L8</f>
        <v>8328</v>
      </c>
      <c r="O8" s="31">
        <f>Generator!S8</f>
        <v>8100</v>
      </c>
      <c r="P8" s="31">
        <f>Generator!Z8</f>
        <v>1014</v>
      </c>
      <c r="Q8" s="31">
        <f>Generator!AG8</f>
        <v>7489</v>
      </c>
      <c r="R8" s="21">
        <f>SUM(Generator!C8,Generator!J8,Generator!Q8,Generator!X8,Generator!AE8)</f>
        <v>7071</v>
      </c>
      <c r="S8" s="21">
        <f t="shared" si="0"/>
        <v>1.4658</v>
      </c>
      <c r="T8" s="21"/>
      <c r="U8" s="21">
        <f t="shared" si="1"/>
        <v>0.32</v>
      </c>
      <c r="V8" s="41">
        <v>61</v>
      </c>
      <c r="W8" s="41">
        <v>30</v>
      </c>
      <c r="X8" s="41">
        <v>65</v>
      </c>
      <c r="Y8" s="41">
        <v>234</v>
      </c>
      <c r="Z8" s="41">
        <v>86</v>
      </c>
      <c r="AA8" s="41">
        <v>109</v>
      </c>
      <c r="AB8" s="32">
        <v>0</v>
      </c>
      <c r="AC8" s="64">
        <v>0</v>
      </c>
      <c r="AD8" s="67">
        <v>24</v>
      </c>
      <c r="AE8" s="50"/>
      <c r="AF8" s="92"/>
    </row>
    <row r="9" spans="1:32" ht="15" customHeight="1">
      <c r="A9" s="45">
        <v>44688</v>
      </c>
      <c r="B9" s="52">
        <v>57.9</v>
      </c>
      <c r="C9" s="52">
        <v>312</v>
      </c>
      <c r="D9" s="53"/>
      <c r="E9" s="51"/>
      <c r="F9" s="51"/>
      <c r="G9" s="51"/>
      <c r="H9" s="51"/>
      <c r="I9" s="51"/>
      <c r="J9" s="51"/>
      <c r="K9" s="51"/>
      <c r="L9" s="51"/>
      <c r="M9" s="59">
        <f>Generator!E9</f>
        <v>8753</v>
      </c>
      <c r="N9" s="46">
        <f>Generator!L9</f>
        <v>8407</v>
      </c>
      <c r="O9" s="31">
        <f>Generator!S9</f>
        <v>8082</v>
      </c>
      <c r="P9" s="31">
        <f>Generator!Z9</f>
        <v>3863</v>
      </c>
      <c r="Q9" s="31">
        <f>Generator!AG9</f>
        <v>8364</v>
      </c>
      <c r="R9" s="21">
        <f>SUM(Generator!C9,Generator!J9,Generator!Q9,Generator!X9,Generator!AE9)</f>
        <v>8298</v>
      </c>
      <c r="S9" s="21">
        <f t="shared" si="0"/>
        <v>1.4658</v>
      </c>
      <c r="T9" s="21"/>
      <c r="U9" s="21">
        <f t="shared" si="1"/>
        <v>0.32</v>
      </c>
      <c r="V9" s="30">
        <v>71</v>
      </c>
      <c r="W9" s="20">
        <v>26</v>
      </c>
      <c r="X9" s="20">
        <v>73</v>
      </c>
      <c r="Y9" s="20">
        <v>253</v>
      </c>
      <c r="Z9" s="20">
        <v>90</v>
      </c>
      <c r="AA9" s="30">
        <v>112</v>
      </c>
      <c r="AB9" s="32">
        <v>0</v>
      </c>
      <c r="AC9" s="64">
        <v>0</v>
      </c>
      <c r="AD9" s="67"/>
      <c r="AE9" s="50"/>
      <c r="AF9" s="93"/>
    </row>
    <row r="10" spans="1:32" ht="15.75" customHeight="1">
      <c r="A10" s="45">
        <v>44689</v>
      </c>
      <c r="B10" s="52">
        <v>56.6</v>
      </c>
      <c r="C10" s="52">
        <v>298</v>
      </c>
      <c r="D10" s="53"/>
      <c r="E10" s="51"/>
      <c r="F10" s="51"/>
      <c r="G10" s="51"/>
      <c r="H10" s="51"/>
      <c r="I10" s="51"/>
      <c r="J10" s="51"/>
      <c r="K10" s="51"/>
      <c r="L10" s="51"/>
      <c r="M10" s="59">
        <f>Generator!E10</f>
        <v>6127</v>
      </c>
      <c r="N10" s="46">
        <f>Generator!L10</f>
        <v>12474</v>
      </c>
      <c r="O10" s="31">
        <f>Generator!S10</f>
        <v>0</v>
      </c>
      <c r="P10" s="31">
        <f>Generator!Z10</f>
        <v>13684</v>
      </c>
      <c r="Q10" s="31">
        <f>Generator!AG10</f>
        <v>9746</v>
      </c>
      <c r="R10" s="21">
        <f>SUM(Generator!C10,Generator!J10,Generator!Q10,Generator!X10,Generator!AE10)</f>
        <v>8520</v>
      </c>
      <c r="S10" s="21">
        <f t="shared" si="0"/>
        <v>1.4658</v>
      </c>
      <c r="T10" s="21"/>
      <c r="U10" s="21">
        <f t="shared" si="1"/>
        <v>0.32</v>
      </c>
      <c r="V10" s="30">
        <v>66</v>
      </c>
      <c r="W10" s="30">
        <v>38</v>
      </c>
      <c r="X10" s="30">
        <v>78</v>
      </c>
      <c r="Y10" s="30">
        <v>163</v>
      </c>
      <c r="Z10" s="30">
        <v>85</v>
      </c>
      <c r="AA10" s="30">
        <v>107</v>
      </c>
      <c r="AB10" s="32">
        <v>0</v>
      </c>
      <c r="AC10" s="64">
        <v>0</v>
      </c>
      <c r="AD10" s="68"/>
      <c r="AE10" s="91" t="s">
        <v>71</v>
      </c>
      <c r="AF10" s="95">
        <f>SUM(AF6:AF9)</f>
        <v>0</v>
      </c>
    </row>
    <row r="11" spans="1:32" ht="15" customHeight="1">
      <c r="A11" s="45">
        <v>44690</v>
      </c>
      <c r="B11" s="52">
        <v>56.6</v>
      </c>
      <c r="C11" s="52">
        <v>284</v>
      </c>
      <c r="D11" s="53"/>
      <c r="E11" s="51"/>
      <c r="F11" s="51"/>
      <c r="G11" s="51"/>
      <c r="H11" s="51"/>
      <c r="I11" s="51"/>
      <c r="J11" s="51"/>
      <c r="K11" s="51"/>
      <c r="L11" s="51"/>
      <c r="M11" s="59">
        <f>Generator!E11</f>
        <v>13506</v>
      </c>
      <c r="N11" s="46">
        <f>Generator!L11</f>
        <v>9804</v>
      </c>
      <c r="O11" s="31">
        <f>Generator!S11</f>
        <v>5455</v>
      </c>
      <c r="P11" s="31">
        <f>Generator!Z11</f>
        <v>8224</v>
      </c>
      <c r="Q11" s="31">
        <f>Generator!AG11</f>
        <v>0</v>
      </c>
      <c r="R11" s="21">
        <f>SUM(Generator!C11,Generator!J11,Generator!Q11,Generator!X11,Generator!AE11)</f>
        <v>8458</v>
      </c>
      <c r="S11" s="21">
        <f t="shared" si="0"/>
        <v>1.4658</v>
      </c>
      <c r="T11" s="21"/>
      <c r="U11" s="21">
        <f t="shared" si="1"/>
        <v>0.32</v>
      </c>
      <c r="V11" s="30">
        <v>59</v>
      </c>
      <c r="W11" s="20">
        <v>26</v>
      </c>
      <c r="X11" s="20">
        <v>98</v>
      </c>
      <c r="Y11" s="20">
        <v>227</v>
      </c>
      <c r="Z11" s="20">
        <v>84</v>
      </c>
      <c r="AA11" s="30">
        <v>108</v>
      </c>
      <c r="AB11" s="32">
        <v>0</v>
      </c>
      <c r="AC11" s="64">
        <v>36</v>
      </c>
      <c r="AD11" s="150" t="s">
        <v>72</v>
      </c>
      <c r="AE11" s="151"/>
      <c r="AF11" s="152"/>
    </row>
    <row r="12" spans="1:32" ht="15" customHeight="1">
      <c r="A12" s="45">
        <v>44691</v>
      </c>
      <c r="B12" s="52">
        <v>48.9</v>
      </c>
      <c r="C12" s="52">
        <v>172</v>
      </c>
      <c r="D12" s="53"/>
      <c r="E12" s="51"/>
      <c r="F12" s="51"/>
      <c r="G12" s="51"/>
      <c r="H12" s="51"/>
      <c r="I12" s="51"/>
      <c r="J12" s="51"/>
      <c r="K12" s="51"/>
      <c r="L12" s="51"/>
      <c r="M12" s="59">
        <f>Generator!E12</f>
        <v>10688</v>
      </c>
      <c r="N12" s="46">
        <f>Generator!L12</f>
        <v>4617</v>
      </c>
      <c r="O12" s="31">
        <f>Generator!S12</f>
        <v>5338</v>
      </c>
      <c r="P12" s="31">
        <f>Generator!Z12</f>
        <v>0</v>
      </c>
      <c r="Q12" s="31">
        <f>Generator!AG12</f>
        <v>5809</v>
      </c>
      <c r="R12" s="21">
        <f>SUM(Generator!C12,Generator!J12,Generator!Q12,Generator!X12,Generator!AE12)</f>
        <v>5504</v>
      </c>
      <c r="S12" s="21">
        <f t="shared" si="0"/>
        <v>1.4658</v>
      </c>
      <c r="T12" s="21"/>
      <c r="U12" s="21">
        <f t="shared" si="1"/>
        <v>0.32</v>
      </c>
      <c r="V12" s="30">
        <v>64</v>
      </c>
      <c r="W12" s="30">
        <v>18</v>
      </c>
      <c r="X12" s="30">
        <v>62</v>
      </c>
      <c r="Y12" s="30">
        <v>152</v>
      </c>
      <c r="Z12" s="30">
        <v>119</v>
      </c>
      <c r="AA12" s="30">
        <v>110</v>
      </c>
      <c r="AB12" s="32">
        <v>0</v>
      </c>
      <c r="AC12" s="64">
        <v>63</v>
      </c>
      <c r="AD12" s="69"/>
      <c r="AE12" s="153" t="s">
        <v>73</v>
      </c>
      <c r="AF12" s="154"/>
    </row>
    <row r="13" spans="1:32" ht="15" customHeight="1">
      <c r="A13" s="45">
        <v>44692</v>
      </c>
      <c r="B13" s="52">
        <v>51.3</v>
      </c>
      <c r="C13" s="52">
        <v>255</v>
      </c>
      <c r="D13" s="53"/>
      <c r="E13" s="51"/>
      <c r="F13" s="51"/>
      <c r="G13" s="51"/>
      <c r="H13" s="51"/>
      <c r="I13" s="51"/>
      <c r="J13" s="51"/>
      <c r="K13" s="51"/>
      <c r="L13" s="51"/>
      <c r="M13" s="59">
        <f>Generator!E13</f>
        <v>8950</v>
      </c>
      <c r="N13" s="46">
        <f>Generator!L13</f>
        <v>6070</v>
      </c>
      <c r="O13" s="31">
        <f>Generator!S13</f>
        <v>8033</v>
      </c>
      <c r="P13" s="31">
        <f>Generator!Z13</f>
        <v>0</v>
      </c>
      <c r="Q13" s="31">
        <f>Generator!AG13</f>
        <v>8895</v>
      </c>
      <c r="R13" s="21">
        <f>SUM(Generator!C13,Generator!J13,Generator!Q13,Generator!X13,Generator!AE13)</f>
        <v>8482</v>
      </c>
      <c r="S13" s="21">
        <f t="shared" si="0"/>
        <v>1.4658</v>
      </c>
      <c r="T13" s="21"/>
      <c r="U13" s="21">
        <f t="shared" si="1"/>
        <v>0.32</v>
      </c>
      <c r="V13" s="30">
        <v>60</v>
      </c>
      <c r="W13" s="30">
        <v>16</v>
      </c>
      <c r="X13" s="30">
        <v>55</v>
      </c>
      <c r="Y13" s="30">
        <v>149</v>
      </c>
      <c r="Z13" s="30">
        <v>86</v>
      </c>
      <c r="AA13" s="30">
        <v>108</v>
      </c>
      <c r="AB13" s="32">
        <v>0</v>
      </c>
      <c r="AC13" s="64">
        <v>72</v>
      </c>
      <c r="AD13" s="70" t="s">
        <v>74</v>
      </c>
      <c r="AE13" s="140"/>
      <c r="AF13" s="141"/>
    </row>
    <row r="14" spans="1:32" ht="15" customHeight="1">
      <c r="A14" s="45">
        <v>44693</v>
      </c>
      <c r="B14" s="52">
        <v>57.9</v>
      </c>
      <c r="C14" s="52">
        <v>308</v>
      </c>
      <c r="D14" s="53"/>
      <c r="E14" s="51"/>
      <c r="F14" s="51"/>
      <c r="G14" s="51"/>
      <c r="H14" s="51"/>
      <c r="I14" s="51"/>
      <c r="J14" s="51"/>
      <c r="K14" s="51"/>
      <c r="L14" s="51"/>
      <c r="M14" s="59">
        <f>Generator!E14</f>
        <v>8208</v>
      </c>
      <c r="N14" s="46">
        <f>Generator!L14</f>
        <v>9618</v>
      </c>
      <c r="O14" s="31">
        <f>Generator!S14</f>
        <v>5450</v>
      </c>
      <c r="P14" s="31">
        <f>Generator!Z14</f>
        <v>0</v>
      </c>
      <c r="Q14" s="31">
        <f>Generator!AG14</f>
        <v>4449</v>
      </c>
      <c r="R14" s="21">
        <f>SUM(Generator!C14,Generator!J14,Generator!Q14,Generator!X14,Generator!AE14)</f>
        <v>6225</v>
      </c>
      <c r="S14" s="21">
        <f t="shared" si="0"/>
        <v>1.4658</v>
      </c>
      <c r="T14" s="21"/>
      <c r="U14" s="21">
        <f t="shared" si="1"/>
        <v>0.32</v>
      </c>
      <c r="V14" s="30">
        <v>58</v>
      </c>
      <c r="W14" s="30">
        <v>31</v>
      </c>
      <c r="X14" s="30">
        <v>56</v>
      </c>
      <c r="Y14" s="30">
        <v>205</v>
      </c>
      <c r="Z14" s="30">
        <v>109</v>
      </c>
      <c r="AA14" s="30">
        <v>106</v>
      </c>
      <c r="AB14" s="32">
        <v>0</v>
      </c>
      <c r="AC14" s="64">
        <v>107</v>
      </c>
      <c r="AD14" s="70" t="s">
        <v>75</v>
      </c>
      <c r="AE14" s="142"/>
      <c r="AF14" s="143"/>
    </row>
    <row r="15" spans="1:32" ht="15">
      <c r="A15" s="45">
        <v>44694</v>
      </c>
      <c r="B15" s="52">
        <v>61.8</v>
      </c>
      <c r="C15" s="52">
        <v>300</v>
      </c>
      <c r="D15" s="53"/>
      <c r="E15" s="51"/>
      <c r="F15" s="51"/>
      <c r="G15" s="51"/>
      <c r="H15" s="51"/>
      <c r="I15" s="51"/>
      <c r="J15" s="51"/>
      <c r="K15" s="51"/>
      <c r="L15" s="51"/>
      <c r="M15" s="59">
        <f>Generator!E15</f>
        <v>10082</v>
      </c>
      <c r="N15" s="46">
        <f>Generator!L15</f>
        <v>0</v>
      </c>
      <c r="O15" s="31">
        <f>Generator!S15</f>
        <v>5338</v>
      </c>
      <c r="P15" s="31">
        <f>Generator!Z15</f>
        <v>0</v>
      </c>
      <c r="Q15" s="31">
        <f>Generator!AG15</f>
        <v>13626</v>
      </c>
      <c r="R15" s="21">
        <f>SUM(Generator!C15,Generator!J15,Generator!Q15,Generator!X15,Generator!AE15)</f>
        <v>6465</v>
      </c>
      <c r="S15" s="21">
        <f t="shared" si="0"/>
        <v>1.4658</v>
      </c>
      <c r="T15" s="21"/>
      <c r="U15" s="21">
        <f t="shared" si="1"/>
        <v>0.32</v>
      </c>
      <c r="V15" s="30">
        <v>63</v>
      </c>
      <c r="W15" s="30">
        <v>26</v>
      </c>
      <c r="X15" s="20">
        <v>66</v>
      </c>
      <c r="Y15" s="20">
        <v>147</v>
      </c>
      <c r="Z15" s="20">
        <v>92</v>
      </c>
      <c r="AA15" s="20">
        <v>107</v>
      </c>
      <c r="AB15" s="32">
        <v>0</v>
      </c>
      <c r="AC15" s="64">
        <v>0</v>
      </c>
      <c r="AE15" s="48" t="s">
        <v>71</v>
      </c>
      <c r="AF15" s="95">
        <f>SUM(AE13:AF14)</f>
        <v>0</v>
      </c>
    </row>
    <row r="16" spans="1:32" ht="15" customHeight="1">
      <c r="A16" s="45">
        <v>44695</v>
      </c>
      <c r="B16" s="52">
        <v>67.099999999999994</v>
      </c>
      <c r="C16" s="52">
        <v>361</v>
      </c>
      <c r="D16" s="53"/>
      <c r="E16" s="51"/>
      <c r="F16" s="51"/>
      <c r="G16" s="51"/>
      <c r="H16" s="51"/>
      <c r="I16" s="51"/>
      <c r="J16" s="51"/>
      <c r="K16" s="51"/>
      <c r="L16" s="51"/>
      <c r="M16" s="59">
        <f>Generator!E16</f>
        <v>11200</v>
      </c>
      <c r="N16" s="46">
        <f>Generator!L16</f>
        <v>3279</v>
      </c>
      <c r="O16" s="31">
        <f>Generator!S16</f>
        <v>0</v>
      </c>
      <c r="P16" s="31">
        <f>Generator!Z16</f>
        <v>6093</v>
      </c>
      <c r="Q16" s="31">
        <f>Generator!AG16</f>
        <v>10607</v>
      </c>
      <c r="R16" s="21">
        <f>SUM(Generator!C16,Generator!J16,Generator!Q16,Generator!X16,Generator!AE16)</f>
        <v>7104</v>
      </c>
      <c r="S16" s="21">
        <f t="shared" si="0"/>
        <v>1.4658</v>
      </c>
      <c r="T16" s="21"/>
      <c r="U16" s="21">
        <f t="shared" si="1"/>
        <v>0.32</v>
      </c>
      <c r="V16" s="30">
        <v>72</v>
      </c>
      <c r="W16" s="30">
        <v>33</v>
      </c>
      <c r="X16" s="30">
        <v>81</v>
      </c>
      <c r="Y16" s="30">
        <v>205</v>
      </c>
      <c r="Z16" s="30">
        <v>105</v>
      </c>
      <c r="AA16" s="30">
        <v>109</v>
      </c>
      <c r="AB16" s="32">
        <v>0</v>
      </c>
      <c r="AC16" s="64">
        <v>0</v>
      </c>
      <c r="AD16" s="139"/>
      <c r="AE16" s="139"/>
      <c r="AF16" s="139"/>
    </row>
    <row r="17" spans="1:32" ht="15" customHeight="1">
      <c r="A17" s="45">
        <v>44696</v>
      </c>
      <c r="B17" s="52">
        <v>57.9</v>
      </c>
      <c r="C17" s="52">
        <v>326</v>
      </c>
      <c r="D17" s="53"/>
      <c r="E17" s="51"/>
      <c r="F17" s="51"/>
      <c r="G17" s="51"/>
      <c r="H17" s="51"/>
      <c r="I17" s="51"/>
      <c r="J17" s="51"/>
      <c r="K17" s="51"/>
      <c r="L17" s="51"/>
      <c r="M17" s="59">
        <f>Generator!E17</f>
        <v>10504</v>
      </c>
      <c r="N17" s="46">
        <f>Generator!L17</f>
        <v>8248</v>
      </c>
      <c r="O17" s="31">
        <f>Generator!S17</f>
        <v>0</v>
      </c>
      <c r="P17" s="31">
        <f>Generator!Z17</f>
        <v>4612</v>
      </c>
      <c r="Q17" s="31">
        <f>Generator!AG17</f>
        <v>3814</v>
      </c>
      <c r="R17" s="21">
        <f>SUM(Generator!C17,Generator!J17,Generator!Q17,Generator!X17,Generator!AE17)</f>
        <v>6266</v>
      </c>
      <c r="S17" s="21">
        <f t="shared" si="0"/>
        <v>1.4658</v>
      </c>
      <c r="T17" s="21"/>
      <c r="U17" s="21">
        <f t="shared" si="1"/>
        <v>0.32</v>
      </c>
      <c r="V17" s="30">
        <v>61</v>
      </c>
      <c r="W17" s="30">
        <v>17</v>
      </c>
      <c r="X17" s="30">
        <v>89</v>
      </c>
      <c r="Y17" s="30">
        <v>195</v>
      </c>
      <c r="Z17" s="30">
        <v>103</v>
      </c>
      <c r="AA17" s="30">
        <v>116</v>
      </c>
      <c r="AB17" s="32">
        <v>0</v>
      </c>
      <c r="AC17" s="64">
        <v>0</v>
      </c>
      <c r="AD17" s="139"/>
      <c r="AE17" s="139"/>
      <c r="AF17" s="139"/>
    </row>
    <row r="18" spans="1:32" ht="15" customHeight="1">
      <c r="A18" s="45">
        <v>44697</v>
      </c>
      <c r="B18" s="52">
        <v>48.7</v>
      </c>
      <c r="C18" s="52">
        <v>263</v>
      </c>
      <c r="D18" s="53"/>
      <c r="E18" s="51"/>
      <c r="F18" s="51"/>
      <c r="G18" s="51"/>
      <c r="H18" s="51"/>
      <c r="I18" s="51"/>
      <c r="J18" s="51"/>
      <c r="K18" s="51"/>
      <c r="L18" s="51"/>
      <c r="M18" s="59">
        <f>Generator!E18</f>
        <v>7129</v>
      </c>
      <c r="N18" s="46">
        <f>Generator!L18</f>
        <v>3999</v>
      </c>
      <c r="O18" s="31">
        <f>Generator!S18</f>
        <v>9274</v>
      </c>
      <c r="P18" s="31">
        <f>Generator!Z18</f>
        <v>0</v>
      </c>
      <c r="Q18" s="31">
        <f>Generator!AG18</f>
        <v>1426</v>
      </c>
      <c r="R18" s="21">
        <f>SUM(Generator!C18,Generator!J18,Generator!Q18,Generator!X18,Generator!AE18)</f>
        <v>4721</v>
      </c>
      <c r="S18" s="21">
        <f t="shared" si="0"/>
        <v>1.4658</v>
      </c>
      <c r="T18" s="21"/>
      <c r="U18" s="21">
        <f t="shared" si="1"/>
        <v>0.32</v>
      </c>
      <c r="V18" s="19">
        <v>65</v>
      </c>
      <c r="W18" s="30">
        <v>29</v>
      </c>
      <c r="X18" s="30">
        <v>77</v>
      </c>
      <c r="Y18" s="30">
        <v>238</v>
      </c>
      <c r="Z18" s="30">
        <v>95</v>
      </c>
      <c r="AA18" s="30">
        <v>106</v>
      </c>
      <c r="AB18" s="32">
        <v>0</v>
      </c>
      <c r="AC18" s="64">
        <v>0</v>
      </c>
      <c r="AD18" s="139"/>
      <c r="AE18" s="139"/>
      <c r="AF18" s="139"/>
    </row>
    <row r="19" spans="1:32" ht="15" customHeight="1">
      <c r="A19" s="45">
        <v>44698</v>
      </c>
      <c r="B19" s="52">
        <v>63.2</v>
      </c>
      <c r="C19" s="52">
        <v>307</v>
      </c>
      <c r="D19" s="53"/>
      <c r="E19" s="51"/>
      <c r="F19" s="51"/>
      <c r="G19" s="51"/>
      <c r="H19" s="51"/>
      <c r="I19" s="51"/>
      <c r="J19" s="51"/>
      <c r="K19" s="51"/>
      <c r="L19" s="51"/>
      <c r="M19" s="59">
        <f>Generator!E19</f>
        <v>10477</v>
      </c>
      <c r="N19" s="46">
        <f>Generator!L19</f>
        <v>4980</v>
      </c>
      <c r="O19" s="31">
        <f>Generator!S19</f>
        <v>0</v>
      </c>
      <c r="P19" s="31">
        <f>Generator!Z19</f>
        <v>4324</v>
      </c>
      <c r="Q19" s="31">
        <f>Generator!AG19</f>
        <v>6621</v>
      </c>
      <c r="R19" s="21">
        <f>SUM(Generator!C19,Generator!J19,Generator!Q19,Generator!X19,Generator!AE19)</f>
        <v>6278</v>
      </c>
      <c r="S19" s="21">
        <f t="shared" si="0"/>
        <v>1.4658</v>
      </c>
      <c r="T19" s="21"/>
      <c r="U19" s="21">
        <f t="shared" si="1"/>
        <v>0.32</v>
      </c>
      <c r="V19" s="30">
        <v>64</v>
      </c>
      <c r="W19" s="30">
        <v>24</v>
      </c>
      <c r="X19" s="30">
        <v>61</v>
      </c>
      <c r="Y19" s="30">
        <v>171</v>
      </c>
      <c r="Z19" s="30">
        <v>71</v>
      </c>
      <c r="AA19" s="30">
        <v>100</v>
      </c>
      <c r="AB19" s="32">
        <v>0</v>
      </c>
      <c r="AC19" s="64">
        <v>0</v>
      </c>
      <c r="AD19" s="139"/>
      <c r="AE19" s="139"/>
      <c r="AF19" s="139"/>
    </row>
    <row r="20" spans="1:32" ht="15" customHeight="1">
      <c r="A20" s="45">
        <v>44699</v>
      </c>
      <c r="B20" s="52">
        <v>61.8</v>
      </c>
      <c r="C20" s="52">
        <v>344</v>
      </c>
      <c r="D20" s="53"/>
      <c r="E20" s="51"/>
      <c r="F20" s="51"/>
      <c r="G20" s="51"/>
      <c r="H20" s="51"/>
      <c r="I20" s="51"/>
      <c r="J20" s="51"/>
      <c r="K20" s="51"/>
      <c r="L20" s="51"/>
      <c r="M20" s="59">
        <f>Generator!E20</f>
        <v>9492</v>
      </c>
      <c r="N20" s="46">
        <f>Generator!L20</f>
        <v>5126</v>
      </c>
      <c r="O20" s="31">
        <f>Generator!S20</f>
        <v>2294</v>
      </c>
      <c r="P20" s="31">
        <f>Generator!Z20</f>
        <v>0</v>
      </c>
      <c r="Q20" s="31">
        <f>Generator!AG20</f>
        <v>11964</v>
      </c>
      <c r="R20" s="21">
        <f>SUM(Generator!C20,Generator!J20,Generator!Q20,Generator!X20,Generator!AE20)</f>
        <v>6426</v>
      </c>
      <c r="S20" s="21">
        <f t="shared" si="0"/>
        <v>1.4658</v>
      </c>
      <c r="T20" s="21"/>
      <c r="U20" s="21">
        <f t="shared" si="1"/>
        <v>0.32</v>
      </c>
      <c r="V20" s="30">
        <v>56</v>
      </c>
      <c r="W20" s="30">
        <v>23</v>
      </c>
      <c r="X20" s="30">
        <v>83</v>
      </c>
      <c r="Y20" s="30">
        <v>145</v>
      </c>
      <c r="Z20" s="30">
        <v>93</v>
      </c>
      <c r="AA20" s="30">
        <v>99</v>
      </c>
      <c r="AB20" s="32">
        <v>9</v>
      </c>
      <c r="AC20" s="64">
        <v>0</v>
      </c>
      <c r="AD20" s="139"/>
      <c r="AE20" s="139"/>
      <c r="AF20" s="139"/>
    </row>
    <row r="21" spans="1:32" ht="15" customHeight="1">
      <c r="A21" s="45">
        <v>44700</v>
      </c>
      <c r="B21" s="52">
        <v>59.2</v>
      </c>
      <c r="C21" s="52">
        <v>341</v>
      </c>
      <c r="D21" s="53"/>
      <c r="E21" s="51"/>
      <c r="F21" s="51"/>
      <c r="G21" s="51"/>
      <c r="H21" s="51"/>
      <c r="I21" s="51"/>
      <c r="J21" s="51"/>
      <c r="K21" s="51"/>
      <c r="L21" s="51"/>
      <c r="M21" s="59">
        <f>Generator!E21</f>
        <v>0</v>
      </c>
      <c r="N21" s="46">
        <f>Generator!L21</f>
        <v>11636</v>
      </c>
      <c r="O21" s="31">
        <f>Generator!S21</f>
        <v>5504</v>
      </c>
      <c r="P21" s="31">
        <f>Generator!Z21</f>
        <v>3638</v>
      </c>
      <c r="Q21" s="31">
        <f>Generator!AG21</f>
        <v>10834</v>
      </c>
      <c r="R21" s="21">
        <f>SUM(Generator!C21,Generator!J21,Generator!Q21,Generator!X21,Generator!AE21)</f>
        <v>7048</v>
      </c>
      <c r="S21" s="21">
        <f t="shared" si="0"/>
        <v>1.4658</v>
      </c>
      <c r="T21" s="21"/>
      <c r="U21" s="21">
        <f t="shared" si="1"/>
        <v>0.32</v>
      </c>
      <c r="V21" s="30">
        <v>53</v>
      </c>
      <c r="W21" s="30">
        <v>30</v>
      </c>
      <c r="X21" s="30">
        <v>70</v>
      </c>
      <c r="Y21" s="30">
        <v>165</v>
      </c>
      <c r="Z21" s="30">
        <v>98</v>
      </c>
      <c r="AA21" s="30">
        <v>47</v>
      </c>
      <c r="AB21" s="32">
        <v>0</v>
      </c>
      <c r="AC21" s="64">
        <v>0</v>
      </c>
      <c r="AD21" s="139"/>
      <c r="AE21" s="139"/>
      <c r="AF21" s="139"/>
    </row>
    <row r="22" spans="1:32" ht="15" customHeight="1">
      <c r="A22" s="45">
        <v>44701</v>
      </c>
      <c r="B22" s="52">
        <v>63.2</v>
      </c>
      <c r="C22" s="52">
        <v>280</v>
      </c>
      <c r="D22" s="53"/>
      <c r="E22" s="51"/>
      <c r="F22" s="51"/>
      <c r="G22" s="51"/>
      <c r="H22" s="51"/>
      <c r="I22" s="51"/>
      <c r="J22" s="51"/>
      <c r="K22" s="51"/>
      <c r="L22" s="51"/>
      <c r="M22" s="59">
        <f>Generator!E22</f>
        <v>14445</v>
      </c>
      <c r="N22" s="46">
        <f>Generator!L22</f>
        <v>0</v>
      </c>
      <c r="O22" s="31">
        <f>Generator!S22</f>
        <v>2019</v>
      </c>
      <c r="P22" s="31">
        <f>Generator!Z22</f>
        <v>0</v>
      </c>
      <c r="Q22" s="31">
        <f>Generator!AG22</f>
        <v>12516</v>
      </c>
      <c r="R22" s="21">
        <f>SUM(Generator!C22,Generator!J22,Generator!Q22,Generator!X22,Generator!AE22)</f>
        <v>6366</v>
      </c>
      <c r="S22" s="21">
        <f>25.26*0.06</f>
        <v>1.5156000000000001</v>
      </c>
      <c r="T22" s="21"/>
      <c r="U22" s="21">
        <f t="shared" si="1"/>
        <v>0.32</v>
      </c>
      <c r="V22" s="30">
        <v>57</v>
      </c>
      <c r="W22" s="30">
        <v>32</v>
      </c>
      <c r="X22" s="30">
        <v>87</v>
      </c>
      <c r="Y22" s="30">
        <v>136</v>
      </c>
      <c r="Z22" s="30">
        <v>86</v>
      </c>
      <c r="AA22" s="30">
        <v>8</v>
      </c>
      <c r="AB22" s="32">
        <v>0</v>
      </c>
      <c r="AC22" s="64">
        <v>0</v>
      </c>
      <c r="AD22" s="139"/>
      <c r="AE22" s="139"/>
      <c r="AF22" s="139"/>
    </row>
    <row r="23" spans="1:32" ht="15" customHeight="1">
      <c r="A23" s="45">
        <v>44702</v>
      </c>
      <c r="B23" s="52">
        <v>61.8</v>
      </c>
      <c r="C23" s="52">
        <v>317</v>
      </c>
      <c r="D23" s="53"/>
      <c r="E23" s="51"/>
      <c r="F23" s="51"/>
      <c r="G23" s="51"/>
      <c r="H23" s="51"/>
      <c r="I23" s="51"/>
      <c r="J23" s="51"/>
      <c r="K23" s="51"/>
      <c r="L23" s="51"/>
      <c r="M23" s="59">
        <f>Generator!E23</f>
        <v>9422</v>
      </c>
      <c r="N23" s="46">
        <f>Generator!L23</f>
        <v>4788</v>
      </c>
      <c r="O23" s="31">
        <f>Generator!S23</f>
        <v>10314</v>
      </c>
      <c r="P23" s="31">
        <f>Generator!Z23</f>
        <v>1537</v>
      </c>
      <c r="Q23" s="31">
        <f>Generator!AG23</f>
        <v>5520</v>
      </c>
      <c r="R23" s="21">
        <f>SUM(Generator!C23,Generator!J23,Generator!Q23,Generator!X23,Generator!AE23)</f>
        <v>6909</v>
      </c>
      <c r="S23" s="21">
        <f t="shared" ref="S23:S33" si="3">25.26*0.06</f>
        <v>1.5156000000000001</v>
      </c>
      <c r="T23" s="21"/>
      <c r="U23" s="21">
        <f t="shared" si="1"/>
        <v>0.32</v>
      </c>
      <c r="V23" s="30"/>
      <c r="W23" s="30"/>
      <c r="X23" s="30"/>
      <c r="Y23" s="30"/>
      <c r="Z23" s="30"/>
      <c r="AA23" s="30"/>
      <c r="AB23" s="32"/>
      <c r="AC23" s="64">
        <v>0</v>
      </c>
      <c r="AD23" s="139"/>
      <c r="AE23" s="139"/>
      <c r="AF23" s="139"/>
    </row>
    <row r="24" spans="1:32" ht="15" customHeight="1">
      <c r="A24" s="45">
        <v>44703</v>
      </c>
      <c r="B24" s="52"/>
      <c r="C24" s="52"/>
      <c r="D24" s="53"/>
      <c r="E24" s="51"/>
      <c r="F24" s="51"/>
      <c r="G24" s="51"/>
      <c r="H24" s="51"/>
      <c r="I24" s="51"/>
      <c r="J24" s="51"/>
      <c r="K24" s="51"/>
      <c r="L24" s="51"/>
      <c r="M24" s="59">
        <f>Generator!E24</f>
        <v>0</v>
      </c>
      <c r="N24" s="46">
        <f>Generator!L24</f>
        <v>0</v>
      </c>
      <c r="O24" s="31">
        <f>Generator!S24</f>
        <v>0</v>
      </c>
      <c r="P24" s="31">
        <f>Generator!Z24</f>
        <v>0</v>
      </c>
      <c r="Q24" s="31">
        <f>Generator!AG24</f>
        <v>0</v>
      </c>
      <c r="R24" s="21">
        <f>SUM(Generator!C24,Generator!J24,Generator!Q24,Generator!X24,Generator!AE24)</f>
        <v>0</v>
      </c>
      <c r="S24" s="21">
        <f t="shared" si="3"/>
        <v>1.5156000000000001</v>
      </c>
      <c r="T24" s="21"/>
      <c r="U24" s="21">
        <f t="shared" si="1"/>
        <v>0.32</v>
      </c>
      <c r="V24" s="30"/>
      <c r="W24" s="30"/>
      <c r="X24" s="20"/>
      <c r="Y24" s="20"/>
      <c r="Z24" s="20"/>
      <c r="AA24" s="20"/>
      <c r="AB24" s="32"/>
      <c r="AC24" s="64">
        <v>0</v>
      </c>
      <c r="AD24" s="139"/>
      <c r="AE24" s="139"/>
      <c r="AF24" s="139"/>
    </row>
    <row r="25" spans="1:32" ht="15" customHeight="1">
      <c r="A25" s="45">
        <v>44704</v>
      </c>
      <c r="B25" s="52"/>
      <c r="C25" s="52"/>
      <c r="D25" s="53"/>
      <c r="E25" s="51"/>
      <c r="F25" s="51"/>
      <c r="G25" s="51"/>
      <c r="H25" s="51"/>
      <c r="I25" s="51"/>
      <c r="J25" s="51"/>
      <c r="K25" s="51"/>
      <c r="L25" s="51"/>
      <c r="M25" s="59">
        <f>Generator!E25</f>
        <v>0</v>
      </c>
      <c r="N25" s="46">
        <f>Generator!L25</f>
        <v>0</v>
      </c>
      <c r="O25" s="31">
        <f>Generator!S25</f>
        <v>0</v>
      </c>
      <c r="P25" s="31">
        <f>Generator!Z25</f>
        <v>0</v>
      </c>
      <c r="Q25" s="31">
        <f>Generator!AG25</f>
        <v>0</v>
      </c>
      <c r="R25" s="21">
        <f>SUM(Generator!C25,Generator!J25,Generator!Q25,Generator!X25,Generator!AE25)</f>
        <v>0</v>
      </c>
      <c r="S25" s="21">
        <f t="shared" si="3"/>
        <v>1.5156000000000001</v>
      </c>
      <c r="T25" s="21"/>
      <c r="U25" s="21">
        <f t="shared" si="1"/>
        <v>0.32</v>
      </c>
      <c r="V25" s="30"/>
      <c r="W25" s="30"/>
      <c r="X25" s="20"/>
      <c r="Y25" s="20"/>
      <c r="Z25" s="20"/>
      <c r="AA25" s="20"/>
      <c r="AB25" s="32"/>
      <c r="AC25" s="64">
        <v>0</v>
      </c>
      <c r="AD25" s="139"/>
      <c r="AE25" s="139"/>
      <c r="AF25" s="139"/>
    </row>
    <row r="26" spans="1:32" ht="15" customHeight="1">
      <c r="A26" s="45">
        <v>44705</v>
      </c>
      <c r="B26" s="52"/>
      <c r="C26" s="52"/>
      <c r="D26" s="53"/>
      <c r="E26" s="51"/>
      <c r="F26" s="51"/>
      <c r="G26" s="51"/>
      <c r="H26" s="51"/>
      <c r="I26" s="51"/>
      <c r="J26" s="51"/>
      <c r="K26" s="51"/>
      <c r="L26" s="51"/>
      <c r="M26" s="59">
        <f>Generator!E26</f>
        <v>0</v>
      </c>
      <c r="N26" s="46">
        <f>Generator!L26</f>
        <v>0</v>
      </c>
      <c r="O26" s="31">
        <f>Generator!S26</f>
        <v>0</v>
      </c>
      <c r="P26" s="31">
        <f>Generator!Z26</f>
        <v>0</v>
      </c>
      <c r="Q26" s="31">
        <f>Generator!AG26</f>
        <v>0</v>
      </c>
      <c r="R26" s="21">
        <f>SUM(Generator!C26,Generator!J26,Generator!Q26,Generator!X26,Generator!AE26)</f>
        <v>0</v>
      </c>
      <c r="S26" s="21">
        <f t="shared" si="3"/>
        <v>1.5156000000000001</v>
      </c>
      <c r="T26" s="21"/>
      <c r="U26" s="21">
        <f t="shared" si="1"/>
        <v>0.32</v>
      </c>
      <c r="V26" s="30"/>
      <c r="W26" s="30"/>
      <c r="X26" s="20"/>
      <c r="Y26" s="20"/>
      <c r="Z26" s="20"/>
      <c r="AA26" s="20"/>
      <c r="AB26" s="32"/>
      <c r="AC26" s="64">
        <v>0</v>
      </c>
      <c r="AD26" s="139"/>
      <c r="AE26" s="139"/>
      <c r="AF26" s="139"/>
    </row>
    <row r="27" spans="1:32" ht="15" customHeight="1">
      <c r="A27" s="45">
        <v>44706</v>
      </c>
      <c r="B27" s="52"/>
      <c r="C27" s="52"/>
      <c r="D27" s="53"/>
      <c r="E27" s="51"/>
      <c r="F27" s="51"/>
      <c r="G27" s="51"/>
      <c r="H27" s="51"/>
      <c r="I27" s="51"/>
      <c r="J27" s="51"/>
      <c r="K27" s="51"/>
      <c r="L27" s="51"/>
      <c r="M27" s="59">
        <f>Generator!E27</f>
        <v>0</v>
      </c>
      <c r="N27" s="46">
        <f>Generator!L27</f>
        <v>0</v>
      </c>
      <c r="O27" s="31">
        <f>Generator!S27</f>
        <v>0</v>
      </c>
      <c r="P27" s="31">
        <f>Generator!Z27</f>
        <v>0</v>
      </c>
      <c r="Q27" s="31">
        <f>Generator!AG27</f>
        <v>0</v>
      </c>
      <c r="R27" s="21">
        <f>SUM(Generator!C27,Generator!J27,Generator!Q27,Generator!X27,Generator!AE27)</f>
        <v>0</v>
      </c>
      <c r="S27" s="21">
        <f t="shared" si="3"/>
        <v>1.5156000000000001</v>
      </c>
      <c r="T27" s="21"/>
      <c r="U27" s="21">
        <f t="shared" si="1"/>
        <v>0.32</v>
      </c>
      <c r="V27" s="78"/>
      <c r="W27" s="78"/>
      <c r="X27" s="79"/>
      <c r="Y27" s="79"/>
      <c r="Z27" s="79"/>
      <c r="AA27" s="79"/>
      <c r="AB27" s="80"/>
      <c r="AC27" s="81">
        <v>0</v>
      </c>
      <c r="AD27" s="139"/>
      <c r="AE27" s="139"/>
      <c r="AF27" s="139"/>
    </row>
    <row r="28" spans="1:32" ht="15" customHeight="1">
      <c r="A28" s="45">
        <v>44707</v>
      </c>
      <c r="B28" s="52"/>
      <c r="C28" s="52"/>
      <c r="D28" s="53"/>
      <c r="E28" s="51"/>
      <c r="F28" s="51"/>
      <c r="G28" s="51"/>
      <c r="H28" s="51"/>
      <c r="I28" s="51"/>
      <c r="J28" s="51"/>
      <c r="K28" s="51"/>
      <c r="L28" s="51"/>
      <c r="M28" s="59">
        <f>Generator!E28</f>
        <v>0</v>
      </c>
      <c r="N28" s="46">
        <f>Generator!L28</f>
        <v>0</v>
      </c>
      <c r="O28" s="31">
        <f>Generator!S28</f>
        <v>0</v>
      </c>
      <c r="P28" s="31">
        <f>Generator!Z28</f>
        <v>0</v>
      </c>
      <c r="Q28" s="31">
        <f>Generator!AG28</f>
        <v>0</v>
      </c>
      <c r="R28" s="21">
        <f>SUM(Generator!C28,Generator!J28,Generator!Q28,Generator!X28,Generator!AE28)</f>
        <v>0</v>
      </c>
      <c r="S28" s="21">
        <f t="shared" si="3"/>
        <v>1.5156000000000001</v>
      </c>
      <c r="T28" s="21"/>
      <c r="U28" s="77">
        <f t="shared" si="1"/>
        <v>0.32</v>
      </c>
      <c r="V28" s="64"/>
      <c r="W28" s="64"/>
      <c r="X28" s="64"/>
      <c r="Y28" s="64"/>
      <c r="Z28" s="64"/>
      <c r="AA28" s="64"/>
      <c r="AB28" s="64"/>
      <c r="AC28" s="64">
        <v>0</v>
      </c>
      <c r="AD28" s="139"/>
      <c r="AE28" s="139"/>
      <c r="AF28" s="139"/>
    </row>
    <row r="29" spans="1:32" ht="15" customHeight="1">
      <c r="A29" s="45">
        <v>44708</v>
      </c>
      <c r="B29" s="52"/>
      <c r="C29" s="52"/>
      <c r="D29" s="53"/>
      <c r="E29" s="51"/>
      <c r="F29" s="51"/>
      <c r="G29" s="51"/>
      <c r="H29" s="51"/>
      <c r="I29" s="51"/>
      <c r="J29" s="51"/>
      <c r="K29" s="51"/>
      <c r="L29" s="51"/>
      <c r="M29" s="59">
        <f>Generator!E29</f>
        <v>0</v>
      </c>
      <c r="N29" s="46">
        <f>Generator!L29</f>
        <v>0</v>
      </c>
      <c r="O29" s="31">
        <f>Generator!S29</f>
        <v>0</v>
      </c>
      <c r="P29" s="31">
        <f>Generator!Z29</f>
        <v>0</v>
      </c>
      <c r="Q29" s="31">
        <f>Generator!AG29</f>
        <v>0</v>
      </c>
      <c r="R29" s="21">
        <f>SUM(Generator!C29,Generator!J29,Generator!Q29,Generator!X29,Generator!AE29)</f>
        <v>0</v>
      </c>
      <c r="S29" s="21">
        <f t="shared" si="3"/>
        <v>1.5156000000000001</v>
      </c>
      <c r="T29" s="21"/>
      <c r="U29" s="21">
        <f t="shared" si="1"/>
        <v>0.32</v>
      </c>
      <c r="V29" s="43"/>
      <c r="W29" s="43"/>
      <c r="X29" s="82"/>
      <c r="Y29" s="82"/>
      <c r="Z29" s="82"/>
      <c r="AA29" s="82"/>
      <c r="AB29" s="83"/>
      <c r="AC29" s="84">
        <v>0</v>
      </c>
      <c r="AD29" s="139"/>
      <c r="AE29" s="139"/>
      <c r="AF29" s="139"/>
    </row>
    <row r="30" spans="1:32" ht="15" customHeight="1">
      <c r="A30" s="45">
        <v>44709</v>
      </c>
      <c r="B30" s="52"/>
      <c r="C30" s="52"/>
      <c r="D30" s="53"/>
      <c r="E30" s="51"/>
      <c r="F30" s="51"/>
      <c r="G30" s="51"/>
      <c r="H30" s="51"/>
      <c r="I30" s="51"/>
      <c r="J30" s="51"/>
      <c r="K30" s="51"/>
      <c r="L30" s="51"/>
      <c r="M30" s="59">
        <f>Generator!E30</f>
        <v>0</v>
      </c>
      <c r="N30" s="46">
        <f>Generator!L30</f>
        <v>0</v>
      </c>
      <c r="O30" s="31">
        <f>Generator!S30</f>
        <v>0</v>
      </c>
      <c r="P30" s="31">
        <f>Generator!Z30</f>
        <v>0</v>
      </c>
      <c r="Q30" s="31">
        <f>Generator!AG30</f>
        <v>0</v>
      </c>
      <c r="R30" s="21">
        <f>SUM(Generator!C30,Generator!J30,Generator!Q30,Generator!X30,Generator!AE30)</f>
        <v>0</v>
      </c>
      <c r="S30" s="21">
        <f t="shared" si="3"/>
        <v>1.5156000000000001</v>
      </c>
      <c r="T30" s="21"/>
      <c r="U30" s="21">
        <f t="shared" si="1"/>
        <v>0.32</v>
      </c>
      <c r="V30" s="30"/>
      <c r="W30" s="30"/>
      <c r="X30" s="30"/>
      <c r="Y30" s="30"/>
      <c r="Z30" s="30"/>
      <c r="AA30" s="30"/>
      <c r="AB30" s="32"/>
      <c r="AC30" s="64">
        <v>0</v>
      </c>
      <c r="AD30" s="139"/>
      <c r="AE30" s="139"/>
      <c r="AF30" s="139"/>
    </row>
    <row r="31" spans="1:32" ht="15" customHeight="1">
      <c r="A31" s="45">
        <v>44710</v>
      </c>
      <c r="B31" s="52"/>
      <c r="C31" s="52"/>
      <c r="D31" s="53"/>
      <c r="E31" s="51"/>
      <c r="F31" s="51"/>
      <c r="G31" s="51"/>
      <c r="H31" s="51"/>
      <c r="I31" s="51"/>
      <c r="J31" s="51"/>
      <c r="K31" s="51"/>
      <c r="L31" s="51"/>
      <c r="M31" s="59">
        <f>Generator!E31</f>
        <v>0</v>
      </c>
      <c r="N31" s="46">
        <f>Generator!L31</f>
        <v>0</v>
      </c>
      <c r="O31" s="31">
        <f>Generator!S31</f>
        <v>0</v>
      </c>
      <c r="P31" s="31">
        <f>Generator!Z31</f>
        <v>0</v>
      </c>
      <c r="Q31" s="31">
        <f>Generator!AG31</f>
        <v>0</v>
      </c>
      <c r="R31" s="21">
        <f>SUM(Generator!C31,Generator!J31,Generator!Q31,Generator!X31,Generator!AE31)</f>
        <v>0</v>
      </c>
      <c r="S31" s="21">
        <f t="shared" si="3"/>
        <v>1.5156000000000001</v>
      </c>
      <c r="T31" s="21"/>
      <c r="U31" s="21">
        <f t="shared" si="1"/>
        <v>0.32</v>
      </c>
      <c r="V31" s="30"/>
      <c r="W31" s="30"/>
      <c r="X31" s="30"/>
      <c r="Y31" s="30"/>
      <c r="Z31" s="30"/>
      <c r="AA31" s="30"/>
      <c r="AB31" s="32"/>
      <c r="AC31" s="64">
        <v>0</v>
      </c>
      <c r="AD31" s="139"/>
      <c r="AE31" s="139"/>
      <c r="AF31" s="139"/>
    </row>
    <row r="32" spans="1:32" ht="15" customHeight="1">
      <c r="A32" s="45">
        <v>44711</v>
      </c>
      <c r="B32" s="52"/>
      <c r="C32" s="52"/>
      <c r="D32" s="53"/>
      <c r="E32" s="51"/>
      <c r="F32" s="51"/>
      <c r="G32" s="51"/>
      <c r="H32" s="51"/>
      <c r="I32" s="51"/>
      <c r="J32" s="51"/>
      <c r="K32" s="51"/>
      <c r="L32" s="51"/>
      <c r="M32" s="59">
        <f>Generator!E32</f>
        <v>0</v>
      </c>
      <c r="N32" s="46">
        <f>Generator!L32</f>
        <v>0</v>
      </c>
      <c r="O32" s="31">
        <f>Generator!S32</f>
        <v>0</v>
      </c>
      <c r="P32" s="31">
        <f>Generator!Z32</f>
        <v>0</v>
      </c>
      <c r="Q32" s="31">
        <f>Generator!AG32</f>
        <v>0</v>
      </c>
      <c r="R32" s="21">
        <f>SUM(Generator!C32,Generator!J32,Generator!Q32,Generator!X32,Generator!AE32)</f>
        <v>0</v>
      </c>
      <c r="S32" s="21">
        <f t="shared" si="3"/>
        <v>1.5156000000000001</v>
      </c>
      <c r="T32" s="21"/>
      <c r="U32" s="21">
        <f t="shared" si="1"/>
        <v>0.32</v>
      </c>
      <c r="V32" s="30"/>
      <c r="W32" s="30"/>
      <c r="X32" s="30"/>
      <c r="Y32" s="30"/>
      <c r="Z32" s="30"/>
      <c r="AA32" s="30"/>
      <c r="AB32" s="32"/>
      <c r="AC32" s="64">
        <v>0</v>
      </c>
      <c r="AD32" s="139"/>
      <c r="AE32" s="139"/>
      <c r="AF32" s="139"/>
    </row>
    <row r="33" spans="1:32" ht="12.75" customHeight="1">
      <c r="A33" s="45">
        <v>44712</v>
      </c>
      <c r="B33" s="42"/>
      <c r="C33" s="54"/>
      <c r="D33" s="61"/>
      <c r="E33" s="61"/>
      <c r="F33" s="61"/>
      <c r="G33" s="61"/>
      <c r="H33" s="61"/>
      <c r="I33" s="61"/>
      <c r="J33" s="61"/>
      <c r="K33" s="61"/>
      <c r="L33" s="61"/>
      <c r="M33" s="59">
        <f>Generator!E33</f>
        <v>0</v>
      </c>
      <c r="N33" s="46">
        <f>Generator!L33</f>
        <v>0</v>
      </c>
      <c r="O33" s="31">
        <f>Generator!S33</f>
        <v>0</v>
      </c>
      <c r="P33" s="31">
        <f>Generator!Z33</f>
        <v>0</v>
      </c>
      <c r="Q33" s="31">
        <f>Generator!AG33</f>
        <v>0</v>
      </c>
      <c r="R33" s="21">
        <f>SUM(Generator!C33,Generator!J33,Generator!Q33,Generator!X33,Generator!AE33)</f>
        <v>0</v>
      </c>
      <c r="S33" s="21">
        <f t="shared" si="3"/>
        <v>1.5156000000000001</v>
      </c>
      <c r="T33" s="21"/>
      <c r="U33" s="21">
        <f t="shared" si="1"/>
        <v>0.32</v>
      </c>
      <c r="V33" s="43"/>
      <c r="W33" s="43"/>
      <c r="X33" s="43"/>
      <c r="Y33" s="43"/>
      <c r="Z33" s="43"/>
      <c r="AA33" s="43"/>
      <c r="AB33" s="32"/>
      <c r="AC33" s="64">
        <v>0</v>
      </c>
      <c r="AD33" s="144"/>
      <c r="AE33" s="144"/>
      <c r="AF33" s="144"/>
    </row>
    <row r="34" spans="1:32" ht="12.75">
      <c r="L34" s="134">
        <f>SUM(M34:Q34)</f>
        <v>662850</v>
      </c>
      <c r="M34" s="76">
        <f t="shared" ref="M34:U34" si="4">SUM(M3:M33)</f>
        <v>195020</v>
      </c>
      <c r="N34" s="76">
        <f t="shared" si="4"/>
        <v>137225</v>
      </c>
      <c r="O34" s="76">
        <f t="shared" si="4"/>
        <v>103052</v>
      </c>
      <c r="P34" s="76">
        <f t="shared" si="4"/>
        <v>70275</v>
      </c>
      <c r="Q34" s="76">
        <f t="shared" si="4"/>
        <v>157278</v>
      </c>
      <c r="R34" s="76">
        <f>SUM(R3:R33)</f>
        <v>148381</v>
      </c>
      <c r="S34" s="76"/>
      <c r="T34" s="76"/>
      <c r="U34" s="76"/>
      <c r="V34" s="76">
        <f>SUM(V3:V33)</f>
        <v>1254.3</v>
      </c>
      <c r="W34" s="76">
        <f>SUM(W3:W33)</f>
        <v>536.79999999999995</v>
      </c>
      <c r="X34" s="76">
        <f>SUM(X3:X33)</f>
        <v>1488</v>
      </c>
      <c r="Y34" s="76">
        <f>SUM(Y3:Y33)</f>
        <v>3747.7</v>
      </c>
      <c r="Z34" s="76">
        <f>SUM(Z3:Z33)</f>
        <v>1856</v>
      </c>
      <c r="AA34" s="76">
        <f>SUM(AA3:AA33)</f>
        <v>1845.8</v>
      </c>
      <c r="AB34" s="76">
        <f>SUM(AB3:AB33)</f>
        <v>117</v>
      </c>
      <c r="AC34" s="76">
        <f t="shared" ref="W34:AC34" si="5">SUM(AC3:AC33)</f>
        <v>288</v>
      </c>
      <c r="AD34" s="133">
        <f>SUM(V34:AC34)</f>
        <v>11133.599999999999</v>
      </c>
    </row>
    <row r="35" spans="1:32">
      <c r="C35" s="36">
        <f>SUM(C3:C33)</f>
        <v>6405</v>
      </c>
      <c r="V35" s="139"/>
      <c r="W35" s="139"/>
      <c r="X35" s="139"/>
      <c r="AA35" s="76"/>
    </row>
    <row r="38" spans="1:32" ht="14.45">
      <c r="P38" s="62"/>
    </row>
    <row r="39" spans="1:32" ht="14.45">
      <c r="P39" s="62"/>
    </row>
  </sheetData>
  <mergeCells count="9">
    <mergeCell ref="V35:X35"/>
    <mergeCell ref="AE13:AF13"/>
    <mergeCell ref="AE14:AF14"/>
    <mergeCell ref="AD16:AF33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I65"/>
  <sheetViews>
    <sheetView workbookViewId="0">
      <pane xSplit="1" topLeftCell="B1" activePane="topRight" state="frozen"/>
      <selection pane="topRight" activeCell="G26" sqref="G26"/>
    </sheetView>
  </sheetViews>
  <sheetFormatPr defaultRowHeight="14.45"/>
  <cols>
    <col min="1" max="1" width="11.85546875" customWidth="1"/>
    <col min="2" max="7" width="11.42578125" customWidth="1"/>
    <col min="8" max="8" width="4.42578125" customWidth="1"/>
    <col min="9" max="14" width="11.42578125" customWidth="1"/>
    <col min="15" max="15" width="4.42578125" customWidth="1"/>
    <col min="16" max="21" width="11.42578125" customWidth="1"/>
    <col min="22" max="22" width="4.42578125" customWidth="1"/>
    <col min="23" max="28" width="11.42578125" customWidth="1"/>
    <col min="29" max="29" width="4.42578125" customWidth="1"/>
    <col min="30" max="35" width="11.42578125" customWidth="1"/>
  </cols>
  <sheetData>
    <row r="1" spans="1:35" ht="17.25" customHeight="1">
      <c r="A1" s="88"/>
      <c r="B1" s="155" t="s">
        <v>50</v>
      </c>
      <c r="C1" s="155"/>
      <c r="D1" s="155"/>
      <c r="E1" s="155"/>
      <c r="F1" s="155"/>
      <c r="G1" s="155"/>
      <c r="H1" s="85"/>
      <c r="I1" s="155" t="s">
        <v>51</v>
      </c>
      <c r="J1" s="155"/>
      <c r="K1" s="155"/>
      <c r="L1" s="155"/>
      <c r="M1" s="155"/>
      <c r="N1" s="155"/>
      <c r="O1" s="85"/>
      <c r="P1" s="155" t="s">
        <v>52</v>
      </c>
      <c r="Q1" s="155"/>
      <c r="R1" s="155"/>
      <c r="S1" s="155"/>
      <c r="T1" s="155"/>
      <c r="U1" s="155"/>
      <c r="V1" s="85"/>
      <c r="W1" s="155" t="s">
        <v>76</v>
      </c>
      <c r="X1" s="155"/>
      <c r="Y1" s="155"/>
      <c r="Z1" s="155"/>
      <c r="AA1" s="155"/>
      <c r="AB1" s="155"/>
      <c r="AC1" s="85"/>
      <c r="AD1" s="155" t="s">
        <v>54</v>
      </c>
      <c r="AE1" s="155"/>
      <c r="AF1" s="155"/>
      <c r="AG1" s="155"/>
      <c r="AH1" s="155"/>
      <c r="AI1" s="155"/>
    </row>
    <row r="2" spans="1:35" ht="39.75" customHeight="1">
      <c r="A2" s="89" t="s">
        <v>38</v>
      </c>
      <c r="B2" s="73" t="s">
        <v>77</v>
      </c>
      <c r="C2" s="73" t="s">
        <v>78</v>
      </c>
      <c r="D2" s="73" t="s">
        <v>79</v>
      </c>
      <c r="E2" s="73" t="s">
        <v>80</v>
      </c>
      <c r="F2" s="73" t="s">
        <v>81</v>
      </c>
      <c r="G2" s="73" t="s">
        <v>82</v>
      </c>
      <c r="H2" s="86"/>
      <c r="I2" s="73" t="s">
        <v>77</v>
      </c>
      <c r="J2" s="73" t="s">
        <v>78</v>
      </c>
      <c r="K2" s="73" t="s">
        <v>79</v>
      </c>
      <c r="L2" s="73" t="s">
        <v>80</v>
      </c>
      <c r="M2" s="73" t="s">
        <v>81</v>
      </c>
      <c r="N2" s="73" t="s">
        <v>82</v>
      </c>
      <c r="O2" s="86"/>
      <c r="P2" s="73" t="s">
        <v>77</v>
      </c>
      <c r="Q2" s="73" t="s">
        <v>78</v>
      </c>
      <c r="R2" s="73" t="s">
        <v>79</v>
      </c>
      <c r="S2" s="73" t="s">
        <v>80</v>
      </c>
      <c r="T2" s="73" t="s">
        <v>81</v>
      </c>
      <c r="U2" s="73" t="s">
        <v>82</v>
      </c>
      <c r="V2" s="86"/>
      <c r="W2" s="73" t="s">
        <v>77</v>
      </c>
      <c r="X2" s="73" t="s">
        <v>78</v>
      </c>
      <c r="Y2" s="73" t="s">
        <v>79</v>
      </c>
      <c r="Z2" s="73" t="s">
        <v>80</v>
      </c>
      <c r="AA2" s="73" t="s">
        <v>81</v>
      </c>
      <c r="AB2" s="73" t="s">
        <v>82</v>
      </c>
      <c r="AC2" s="86"/>
      <c r="AD2" s="73" t="s">
        <v>77</v>
      </c>
      <c r="AE2" s="73" t="s">
        <v>78</v>
      </c>
      <c r="AF2" s="73" t="s">
        <v>79</v>
      </c>
      <c r="AG2" s="73" t="s">
        <v>80</v>
      </c>
      <c r="AH2" s="73" t="s">
        <v>81</v>
      </c>
      <c r="AI2" s="73" t="s">
        <v>82</v>
      </c>
    </row>
    <row r="3" spans="1:35" ht="15">
      <c r="A3" s="90">
        <v>44713</v>
      </c>
      <c r="B3" s="74">
        <v>17</v>
      </c>
      <c r="C3" s="74">
        <v>2171</v>
      </c>
      <c r="D3" s="96">
        <f>C3/B3</f>
        <v>127.70588235294117</v>
      </c>
      <c r="E3" s="64">
        <v>9633</v>
      </c>
      <c r="F3" s="96">
        <f t="shared" ref="F3:F27" si="0">E3/B3</f>
        <v>566.64705882352939</v>
      </c>
      <c r="G3" s="97">
        <f t="shared" ref="G3:G27" si="1">F3/D3</f>
        <v>4.4371257485029938</v>
      </c>
      <c r="H3" s="87"/>
      <c r="I3" s="74">
        <v>14</v>
      </c>
      <c r="J3" s="74">
        <v>2146</v>
      </c>
      <c r="K3" s="96">
        <f t="shared" ref="K3:K27" si="2">J3/I3</f>
        <v>153.28571428571428</v>
      </c>
      <c r="L3" s="74">
        <v>9544</v>
      </c>
      <c r="M3" s="96">
        <f t="shared" ref="M3:M27" si="3">L3/I3</f>
        <v>681.71428571428567</v>
      </c>
      <c r="N3" s="97">
        <f>M3/K3</f>
        <v>4.447343895619758</v>
      </c>
      <c r="O3" s="87"/>
      <c r="P3" s="74">
        <v>6</v>
      </c>
      <c r="Q3" s="74">
        <v>788</v>
      </c>
      <c r="R3" s="96">
        <f t="shared" ref="R3:R27" si="4">Q3/P3</f>
        <v>131.33333333333334</v>
      </c>
      <c r="S3" s="74">
        <v>3482</v>
      </c>
      <c r="T3" s="96">
        <f t="shared" ref="T3:T33" si="5">S3/P3</f>
        <v>580.33333333333337</v>
      </c>
      <c r="U3" s="97">
        <f t="shared" ref="U3:U27" si="6">T3/R3</f>
        <v>4.4187817258883246</v>
      </c>
      <c r="V3" s="87"/>
      <c r="W3" s="74">
        <v>11</v>
      </c>
      <c r="X3" s="74">
        <v>1695</v>
      </c>
      <c r="Y3" s="96">
        <f>X3/W3</f>
        <v>154.09090909090909</v>
      </c>
      <c r="Z3" s="74">
        <v>6719</v>
      </c>
      <c r="AA3" s="96">
        <f t="shared" ref="AA3:AA33" si="7">Z3/W3</f>
        <v>610.81818181818187</v>
      </c>
      <c r="AB3" s="97">
        <f>AA3/Y3</f>
        <v>3.9640117994100299</v>
      </c>
      <c r="AC3" s="87"/>
      <c r="AD3" s="74">
        <v>11</v>
      </c>
      <c r="AE3" s="74">
        <v>1220</v>
      </c>
      <c r="AF3" s="96">
        <f t="shared" ref="AF3:AF27" si="8">AE3/AD3</f>
        <v>110.90909090909091</v>
      </c>
      <c r="AG3" s="74">
        <v>5527</v>
      </c>
      <c r="AH3" s="96">
        <f t="shared" ref="AH3:AH27" si="9">AG3/AD3</f>
        <v>502.45454545454544</v>
      </c>
      <c r="AI3" s="97">
        <f t="shared" ref="AI3:AI27" si="10">AH3/AF3</f>
        <v>4.5303278688524591</v>
      </c>
    </row>
    <row r="4" spans="1:35" ht="15">
      <c r="A4" s="90">
        <v>44714</v>
      </c>
      <c r="B4" s="74">
        <v>18</v>
      </c>
      <c r="C4" s="74">
        <v>2490</v>
      </c>
      <c r="D4" s="96">
        <f t="shared" ref="D4:D27" si="11">C4/B4</f>
        <v>138.33333333333334</v>
      </c>
      <c r="E4" s="64">
        <v>11405</v>
      </c>
      <c r="F4" s="96">
        <f t="shared" si="0"/>
        <v>633.61111111111109</v>
      </c>
      <c r="G4" s="97">
        <f t="shared" si="1"/>
        <v>4.5803212851405615</v>
      </c>
      <c r="H4" s="87"/>
      <c r="I4" s="74">
        <v>10</v>
      </c>
      <c r="J4" s="74">
        <v>1431</v>
      </c>
      <c r="K4" s="96">
        <f t="shared" si="2"/>
        <v>143.1</v>
      </c>
      <c r="L4" s="74">
        <v>6563</v>
      </c>
      <c r="M4" s="96">
        <f t="shared" si="3"/>
        <v>656.3</v>
      </c>
      <c r="N4" s="97">
        <f t="shared" ref="N4:N27" si="12">M4/K4</f>
        <v>4.5863032844164922</v>
      </c>
      <c r="O4" s="87"/>
      <c r="P4" s="74">
        <v>10</v>
      </c>
      <c r="Q4" s="74">
        <v>1420</v>
      </c>
      <c r="R4" s="96">
        <f t="shared" si="4"/>
        <v>142</v>
      </c>
      <c r="S4" s="74">
        <v>6876</v>
      </c>
      <c r="T4" s="96">
        <f t="shared" si="5"/>
        <v>687.6</v>
      </c>
      <c r="U4" s="97">
        <f t="shared" si="6"/>
        <v>4.8422535211267608</v>
      </c>
      <c r="V4" s="87"/>
      <c r="W4" s="74">
        <v>1</v>
      </c>
      <c r="X4" s="74">
        <v>185</v>
      </c>
      <c r="Y4" s="96">
        <f t="shared" ref="Y4:Y27" si="13">X4/W4</f>
        <v>185</v>
      </c>
      <c r="Z4" s="74">
        <v>1053</v>
      </c>
      <c r="AA4" s="96">
        <f t="shared" si="7"/>
        <v>1053</v>
      </c>
      <c r="AB4" s="97">
        <f t="shared" ref="AB4:AB27" si="14">AA4/Y4</f>
        <v>5.6918918918918919</v>
      </c>
      <c r="AC4" s="87"/>
      <c r="AD4" s="74">
        <v>14</v>
      </c>
      <c r="AE4" s="74">
        <v>1833</v>
      </c>
      <c r="AF4" s="96">
        <f t="shared" si="8"/>
        <v>130.92857142857142</v>
      </c>
      <c r="AG4" s="74">
        <v>8654</v>
      </c>
      <c r="AH4" s="96">
        <f t="shared" si="9"/>
        <v>618.14285714285711</v>
      </c>
      <c r="AI4" s="97">
        <f t="shared" si="10"/>
        <v>4.7212220403709768</v>
      </c>
    </row>
    <row r="5" spans="1:35" ht="15">
      <c r="A5" s="90">
        <v>44715</v>
      </c>
      <c r="B5" s="74">
        <v>16</v>
      </c>
      <c r="C5" s="74">
        <v>2288</v>
      </c>
      <c r="D5" s="96">
        <f t="shared" si="11"/>
        <v>143</v>
      </c>
      <c r="E5" s="64">
        <v>10001</v>
      </c>
      <c r="F5" s="96">
        <f t="shared" si="0"/>
        <v>625.0625</v>
      </c>
      <c r="G5" s="97">
        <f t="shared" si="1"/>
        <v>4.3710664335664333</v>
      </c>
      <c r="H5" s="87"/>
      <c r="I5" s="74">
        <v>13</v>
      </c>
      <c r="J5" s="74">
        <v>1829</v>
      </c>
      <c r="K5" s="96">
        <f t="shared" si="2"/>
        <v>140.69230769230768</v>
      </c>
      <c r="L5" s="74">
        <v>8150</v>
      </c>
      <c r="M5" s="96">
        <f t="shared" si="3"/>
        <v>626.92307692307691</v>
      </c>
      <c r="N5" s="97">
        <f t="shared" si="12"/>
        <v>4.4559868780754517</v>
      </c>
      <c r="O5" s="87"/>
      <c r="P5" s="74">
        <v>0</v>
      </c>
      <c r="Q5" s="74">
        <v>0</v>
      </c>
      <c r="R5" s="96" t="e">
        <f t="shared" si="4"/>
        <v>#DIV/0!</v>
      </c>
      <c r="S5" s="74">
        <v>0</v>
      </c>
      <c r="T5" s="96" t="e">
        <f t="shared" si="5"/>
        <v>#DIV/0!</v>
      </c>
      <c r="U5" s="97" t="e">
        <f t="shared" si="6"/>
        <v>#DIV/0!</v>
      </c>
      <c r="V5" s="87"/>
      <c r="W5" s="74">
        <v>13</v>
      </c>
      <c r="X5" s="74">
        <v>2105</v>
      </c>
      <c r="Y5" s="96">
        <f t="shared" si="13"/>
        <v>161.92307692307693</v>
      </c>
      <c r="Z5" s="74">
        <v>7890</v>
      </c>
      <c r="AA5" s="96">
        <f t="shared" si="7"/>
        <v>606.92307692307691</v>
      </c>
      <c r="AB5" s="97">
        <f t="shared" si="14"/>
        <v>3.7482185273159141</v>
      </c>
      <c r="AC5" s="87"/>
      <c r="AD5" s="74">
        <v>11</v>
      </c>
      <c r="AE5" s="74">
        <v>1531</v>
      </c>
      <c r="AF5" s="96">
        <f t="shared" si="8"/>
        <v>139.18181818181819</v>
      </c>
      <c r="AG5" s="74">
        <v>6955</v>
      </c>
      <c r="AH5" s="96">
        <f t="shared" si="9"/>
        <v>632.27272727272725</v>
      </c>
      <c r="AI5" s="97">
        <f t="shared" si="10"/>
        <v>4.5427824951012408</v>
      </c>
    </row>
    <row r="6" spans="1:35" ht="15">
      <c r="A6" s="90">
        <v>44716</v>
      </c>
      <c r="B6" s="74">
        <v>10</v>
      </c>
      <c r="C6" s="74">
        <v>1502</v>
      </c>
      <c r="D6" s="96">
        <f t="shared" si="11"/>
        <v>150.19999999999999</v>
      </c>
      <c r="E6" s="64">
        <v>6980</v>
      </c>
      <c r="F6" s="96">
        <f t="shared" si="0"/>
        <v>698</v>
      </c>
      <c r="G6" s="97">
        <f t="shared" si="1"/>
        <v>4.6471371504660457</v>
      </c>
      <c r="H6" s="87"/>
      <c r="I6" s="74">
        <v>11</v>
      </c>
      <c r="J6" s="74">
        <v>1800</v>
      </c>
      <c r="K6" s="96">
        <f t="shared" si="2"/>
        <v>163.63636363636363</v>
      </c>
      <c r="L6" s="74">
        <v>8315</v>
      </c>
      <c r="M6" s="96">
        <f t="shared" si="3"/>
        <v>755.90909090909088</v>
      </c>
      <c r="N6" s="97">
        <f t="shared" si="12"/>
        <v>4.6194444444444445</v>
      </c>
      <c r="O6" s="87"/>
      <c r="P6" s="74">
        <v>12</v>
      </c>
      <c r="Q6" s="74">
        <v>1726</v>
      </c>
      <c r="R6" s="96">
        <f t="shared" si="4"/>
        <v>143.83333333333334</v>
      </c>
      <c r="S6" s="74">
        <v>8325</v>
      </c>
      <c r="T6" s="96">
        <f t="shared" si="5"/>
        <v>693.75</v>
      </c>
      <c r="U6" s="97">
        <f t="shared" si="6"/>
        <v>4.8232908458864427</v>
      </c>
      <c r="V6" s="87"/>
      <c r="W6" s="74">
        <v>4</v>
      </c>
      <c r="X6" s="74">
        <v>504</v>
      </c>
      <c r="Y6" s="96">
        <f t="shared" si="13"/>
        <v>126</v>
      </c>
      <c r="Z6" s="74">
        <v>2311</v>
      </c>
      <c r="AA6" s="96">
        <f t="shared" si="7"/>
        <v>577.75</v>
      </c>
      <c r="AB6" s="97">
        <f t="shared" si="14"/>
        <v>4.5853174603174605</v>
      </c>
      <c r="AC6" s="87"/>
      <c r="AD6" s="74">
        <v>12</v>
      </c>
      <c r="AE6" s="74">
        <v>1519</v>
      </c>
      <c r="AF6" s="96">
        <f t="shared" si="8"/>
        <v>126.58333333333333</v>
      </c>
      <c r="AG6" s="74">
        <v>7013</v>
      </c>
      <c r="AH6" s="96">
        <f t="shared" si="9"/>
        <v>584.41666666666663</v>
      </c>
      <c r="AI6" s="97">
        <f t="shared" si="10"/>
        <v>4.6168531928900594</v>
      </c>
    </row>
    <row r="7" spans="1:35" ht="15">
      <c r="A7" s="90">
        <v>44717</v>
      </c>
      <c r="B7" s="74">
        <v>18</v>
      </c>
      <c r="C7" s="74">
        <v>2371</v>
      </c>
      <c r="D7" s="96">
        <f t="shared" si="11"/>
        <v>131.72222222222223</v>
      </c>
      <c r="E7" s="64">
        <v>10452</v>
      </c>
      <c r="F7" s="96">
        <f t="shared" si="0"/>
        <v>580.66666666666663</v>
      </c>
      <c r="G7" s="97">
        <f t="shared" si="1"/>
        <v>4.4082665541965413</v>
      </c>
      <c r="H7" s="87"/>
      <c r="I7" s="74">
        <v>5</v>
      </c>
      <c r="J7" s="74">
        <v>730</v>
      </c>
      <c r="K7" s="96">
        <f t="shared" si="2"/>
        <v>146</v>
      </c>
      <c r="L7" s="74">
        <v>3279</v>
      </c>
      <c r="M7" s="96">
        <f t="shared" si="3"/>
        <v>655.8</v>
      </c>
      <c r="N7" s="97">
        <f t="shared" si="12"/>
        <v>4.4917808219178079</v>
      </c>
      <c r="O7" s="87"/>
      <c r="P7" s="74">
        <v>13</v>
      </c>
      <c r="Q7" s="74">
        <v>1948</v>
      </c>
      <c r="R7" s="96">
        <f t="shared" si="4"/>
        <v>149.84615384615384</v>
      </c>
      <c r="S7" s="74">
        <v>9168</v>
      </c>
      <c r="T7" s="96">
        <f t="shared" si="5"/>
        <v>705.23076923076928</v>
      </c>
      <c r="U7" s="97">
        <f t="shared" si="6"/>
        <v>4.7063655030800824</v>
      </c>
      <c r="V7" s="87"/>
      <c r="W7" s="74">
        <v>7</v>
      </c>
      <c r="X7" s="74">
        <v>1358</v>
      </c>
      <c r="Y7" s="96">
        <f t="shared" si="13"/>
        <v>194</v>
      </c>
      <c r="Z7" s="74">
        <v>5313</v>
      </c>
      <c r="AA7" s="96">
        <f t="shared" si="7"/>
        <v>759</v>
      </c>
      <c r="AB7" s="97">
        <f t="shared" si="14"/>
        <v>3.9123711340206184</v>
      </c>
      <c r="AC7" s="87"/>
      <c r="AD7" s="74">
        <v>12</v>
      </c>
      <c r="AE7" s="74">
        <v>1650</v>
      </c>
      <c r="AF7" s="96">
        <f t="shared" si="8"/>
        <v>137.5</v>
      </c>
      <c r="AG7" s="74">
        <v>7449</v>
      </c>
      <c r="AH7" s="96">
        <f t="shared" si="9"/>
        <v>620.75</v>
      </c>
      <c r="AI7" s="97">
        <f t="shared" si="10"/>
        <v>4.5145454545454546</v>
      </c>
    </row>
    <row r="8" spans="1:35" ht="15">
      <c r="A8" s="90">
        <v>44718</v>
      </c>
      <c r="B8" s="74">
        <v>13</v>
      </c>
      <c r="C8" s="74">
        <v>1710</v>
      </c>
      <c r="D8" s="96">
        <f t="shared" si="11"/>
        <v>131.53846153846155</v>
      </c>
      <c r="E8" s="64">
        <v>7566</v>
      </c>
      <c r="F8" s="96">
        <f t="shared" si="0"/>
        <v>582</v>
      </c>
      <c r="G8" s="97">
        <f t="shared" si="1"/>
        <v>4.4245614035087719</v>
      </c>
      <c r="H8" s="87"/>
      <c r="I8" s="74">
        <v>12</v>
      </c>
      <c r="J8" s="74">
        <v>1787</v>
      </c>
      <c r="K8" s="96">
        <f t="shared" si="2"/>
        <v>148.91666666666666</v>
      </c>
      <c r="L8" s="74">
        <v>8328</v>
      </c>
      <c r="M8" s="96">
        <f t="shared" si="3"/>
        <v>694</v>
      </c>
      <c r="N8" s="97">
        <f t="shared" si="12"/>
        <v>4.6603245663122559</v>
      </c>
      <c r="O8" s="87"/>
      <c r="P8" s="74">
        <v>11</v>
      </c>
      <c r="Q8" s="74">
        <v>1731</v>
      </c>
      <c r="R8" s="96">
        <f t="shared" si="4"/>
        <v>157.36363636363637</v>
      </c>
      <c r="S8" s="74">
        <v>8100</v>
      </c>
      <c r="T8" s="96">
        <f t="shared" si="5"/>
        <v>736.36363636363637</v>
      </c>
      <c r="U8" s="97">
        <f t="shared" si="6"/>
        <v>4.6793760831889077</v>
      </c>
      <c r="V8" s="87"/>
      <c r="W8" s="74">
        <v>2</v>
      </c>
      <c r="X8" s="74">
        <v>204</v>
      </c>
      <c r="Y8" s="96">
        <f t="shared" si="13"/>
        <v>102</v>
      </c>
      <c r="Z8" s="74">
        <v>1014</v>
      </c>
      <c r="AA8" s="96">
        <f t="shared" si="7"/>
        <v>507</v>
      </c>
      <c r="AB8" s="97">
        <f t="shared" si="14"/>
        <v>4.9705882352941178</v>
      </c>
      <c r="AC8" s="87"/>
      <c r="AD8" s="74">
        <v>13</v>
      </c>
      <c r="AE8" s="74">
        <v>1639</v>
      </c>
      <c r="AF8" s="96">
        <f t="shared" si="8"/>
        <v>126.07692307692308</v>
      </c>
      <c r="AG8" s="74">
        <v>7489</v>
      </c>
      <c r="AH8" s="96">
        <f t="shared" si="9"/>
        <v>576.07692307692309</v>
      </c>
      <c r="AI8" s="97">
        <f t="shared" si="10"/>
        <v>4.569249542403905</v>
      </c>
    </row>
    <row r="9" spans="1:35" ht="15">
      <c r="A9" s="90">
        <v>44719</v>
      </c>
      <c r="B9" s="74">
        <v>12</v>
      </c>
      <c r="C9" s="74">
        <v>1834</v>
      </c>
      <c r="D9" s="96">
        <f t="shared" si="11"/>
        <v>152.83333333333334</v>
      </c>
      <c r="E9" s="64">
        <v>8753</v>
      </c>
      <c r="F9" s="96">
        <f t="shared" si="0"/>
        <v>729.41666666666663</v>
      </c>
      <c r="G9" s="97">
        <f t="shared" si="1"/>
        <v>4.7726281352235542</v>
      </c>
      <c r="H9" s="87"/>
      <c r="I9" s="74">
        <v>13</v>
      </c>
      <c r="J9" s="74">
        <v>1876</v>
      </c>
      <c r="K9" s="96">
        <f t="shared" si="2"/>
        <v>144.30769230769232</v>
      </c>
      <c r="L9" s="74">
        <v>8407</v>
      </c>
      <c r="M9" s="96">
        <f t="shared" si="3"/>
        <v>646.69230769230774</v>
      </c>
      <c r="N9" s="97">
        <f t="shared" si="12"/>
        <v>4.4813432835820892</v>
      </c>
      <c r="O9" s="87"/>
      <c r="P9" s="74">
        <v>12</v>
      </c>
      <c r="Q9" s="74">
        <v>1770</v>
      </c>
      <c r="R9" s="96">
        <f t="shared" si="4"/>
        <v>147.5</v>
      </c>
      <c r="S9" s="74">
        <v>8082</v>
      </c>
      <c r="T9" s="96">
        <f t="shared" si="5"/>
        <v>673.5</v>
      </c>
      <c r="U9" s="97">
        <f t="shared" si="6"/>
        <v>4.566101694915254</v>
      </c>
      <c r="V9" s="87"/>
      <c r="W9" s="74">
        <v>7</v>
      </c>
      <c r="X9" s="74">
        <v>1065</v>
      </c>
      <c r="Y9" s="96">
        <f t="shared" si="13"/>
        <v>152.14285714285714</v>
      </c>
      <c r="Z9" s="74">
        <v>3863</v>
      </c>
      <c r="AA9" s="96">
        <f t="shared" si="7"/>
        <v>551.85714285714289</v>
      </c>
      <c r="AB9" s="97">
        <f t="shared" si="14"/>
        <v>3.6272300469483572</v>
      </c>
      <c r="AC9" s="87"/>
      <c r="AD9" s="74">
        <v>12</v>
      </c>
      <c r="AE9" s="74">
        <v>1753</v>
      </c>
      <c r="AF9" s="96">
        <f t="shared" si="8"/>
        <v>146.08333333333334</v>
      </c>
      <c r="AG9" s="74">
        <v>8364</v>
      </c>
      <c r="AH9" s="96">
        <f t="shared" si="9"/>
        <v>697</v>
      </c>
      <c r="AI9" s="97">
        <f t="shared" si="10"/>
        <v>4.7712492869366798</v>
      </c>
    </row>
    <row r="10" spans="1:35" ht="15">
      <c r="A10" s="90">
        <v>44720</v>
      </c>
      <c r="B10" s="74">
        <v>10</v>
      </c>
      <c r="C10" s="74">
        <v>1530</v>
      </c>
      <c r="D10" s="96">
        <f t="shared" si="11"/>
        <v>153</v>
      </c>
      <c r="E10" s="64">
        <v>6127</v>
      </c>
      <c r="F10" s="96">
        <f t="shared" si="0"/>
        <v>612.70000000000005</v>
      </c>
      <c r="G10" s="97">
        <f t="shared" si="1"/>
        <v>4.0045751633986928</v>
      </c>
      <c r="H10" s="87"/>
      <c r="I10" s="74">
        <v>17</v>
      </c>
      <c r="J10" s="74">
        <v>2746</v>
      </c>
      <c r="K10" s="96">
        <f t="shared" si="2"/>
        <v>161.52941176470588</v>
      </c>
      <c r="L10" s="74">
        <v>12474</v>
      </c>
      <c r="M10" s="96">
        <f t="shared" si="3"/>
        <v>733.76470588235293</v>
      </c>
      <c r="N10" s="97">
        <f t="shared" si="12"/>
        <v>4.5426074289876182</v>
      </c>
      <c r="O10" s="87"/>
      <c r="P10" s="74">
        <v>0</v>
      </c>
      <c r="Q10" s="74">
        <v>0</v>
      </c>
      <c r="R10" s="96" t="e">
        <f t="shared" si="4"/>
        <v>#DIV/0!</v>
      </c>
      <c r="S10" s="74">
        <v>0</v>
      </c>
      <c r="T10" s="96" t="e">
        <f t="shared" si="5"/>
        <v>#DIV/0!</v>
      </c>
      <c r="U10" s="97" t="e">
        <f t="shared" si="6"/>
        <v>#DIV/0!</v>
      </c>
      <c r="V10" s="87"/>
      <c r="W10" s="74">
        <v>21</v>
      </c>
      <c r="X10" s="74">
        <v>3396</v>
      </c>
      <c r="Y10" s="96">
        <f t="shared" si="13"/>
        <v>161.71428571428572</v>
      </c>
      <c r="Z10" s="74">
        <v>13684</v>
      </c>
      <c r="AA10" s="96">
        <f t="shared" si="7"/>
        <v>651.61904761904759</v>
      </c>
      <c r="AB10" s="97">
        <f t="shared" si="14"/>
        <v>4.0294464075382797</v>
      </c>
      <c r="AC10" s="87"/>
      <c r="AD10" s="74">
        <v>6</v>
      </c>
      <c r="AE10" s="74">
        <v>848</v>
      </c>
      <c r="AF10" s="96">
        <f t="shared" si="8"/>
        <v>141.33333333333334</v>
      </c>
      <c r="AG10" s="74">
        <v>9746</v>
      </c>
      <c r="AH10" s="96">
        <f t="shared" si="9"/>
        <v>1624.3333333333333</v>
      </c>
      <c r="AI10" s="97">
        <f t="shared" si="10"/>
        <v>11.492924528301886</v>
      </c>
    </row>
    <row r="11" spans="1:35" ht="15">
      <c r="A11" s="90">
        <v>44721</v>
      </c>
      <c r="B11" s="74">
        <v>21</v>
      </c>
      <c r="C11" s="74">
        <v>2975</v>
      </c>
      <c r="D11" s="96">
        <f t="shared" si="11"/>
        <v>141.66666666666666</v>
      </c>
      <c r="E11" s="64">
        <v>13506</v>
      </c>
      <c r="F11" s="96">
        <f t="shared" si="0"/>
        <v>643.14285714285711</v>
      </c>
      <c r="G11" s="97">
        <f t="shared" si="1"/>
        <v>4.5398319327731089</v>
      </c>
      <c r="H11" s="87"/>
      <c r="I11" s="74">
        <v>15</v>
      </c>
      <c r="J11" s="74">
        <v>2140</v>
      </c>
      <c r="K11" s="96">
        <f t="shared" si="2"/>
        <v>142.66666666666666</v>
      </c>
      <c r="L11" s="74">
        <v>9804</v>
      </c>
      <c r="M11" s="96">
        <f t="shared" si="3"/>
        <v>653.6</v>
      </c>
      <c r="N11" s="97">
        <f t="shared" si="12"/>
        <v>4.5813084112149536</v>
      </c>
      <c r="O11" s="87"/>
      <c r="P11" s="74">
        <v>10</v>
      </c>
      <c r="Q11" s="74">
        <v>1322</v>
      </c>
      <c r="R11" s="96">
        <f t="shared" si="4"/>
        <v>132.19999999999999</v>
      </c>
      <c r="S11" s="74">
        <v>5455</v>
      </c>
      <c r="T11" s="96">
        <f t="shared" si="5"/>
        <v>545.5</v>
      </c>
      <c r="U11" s="97">
        <f t="shared" si="6"/>
        <v>4.1263237518910749</v>
      </c>
      <c r="V11" s="87"/>
      <c r="W11" s="74">
        <v>12</v>
      </c>
      <c r="X11" s="74">
        <v>2021</v>
      </c>
      <c r="Y11" s="96">
        <f t="shared" si="13"/>
        <v>168.41666666666666</v>
      </c>
      <c r="Z11" s="74">
        <v>8224</v>
      </c>
      <c r="AA11" s="96">
        <f t="shared" si="7"/>
        <v>685.33333333333337</v>
      </c>
      <c r="AB11" s="97">
        <f t="shared" si="14"/>
        <v>4.0692726373082637</v>
      </c>
      <c r="AC11" s="87"/>
      <c r="AD11" s="74">
        <v>0</v>
      </c>
      <c r="AE11" s="74">
        <v>0</v>
      </c>
      <c r="AF11" s="96" t="e">
        <f t="shared" si="8"/>
        <v>#DIV/0!</v>
      </c>
      <c r="AG11" s="74">
        <v>0</v>
      </c>
      <c r="AH11" s="96" t="e">
        <f t="shared" si="9"/>
        <v>#DIV/0!</v>
      </c>
      <c r="AI11" s="97" t="e">
        <f t="shared" si="10"/>
        <v>#DIV/0!</v>
      </c>
    </row>
    <row r="12" spans="1:35" ht="15">
      <c r="A12" s="90">
        <v>44722</v>
      </c>
      <c r="B12" s="74">
        <v>19</v>
      </c>
      <c r="C12" s="74">
        <v>2443</v>
      </c>
      <c r="D12" s="96">
        <f t="shared" si="11"/>
        <v>128.57894736842104</v>
      </c>
      <c r="E12" s="64">
        <v>10688</v>
      </c>
      <c r="F12" s="96">
        <f t="shared" si="0"/>
        <v>562.52631578947364</v>
      </c>
      <c r="G12" s="97">
        <f t="shared" si="1"/>
        <v>4.3749488334015556</v>
      </c>
      <c r="H12" s="87"/>
      <c r="I12" s="74">
        <v>8</v>
      </c>
      <c r="J12" s="74">
        <v>1051</v>
      </c>
      <c r="K12" s="96">
        <f t="shared" si="2"/>
        <v>131.375</v>
      </c>
      <c r="L12" s="74">
        <v>4617</v>
      </c>
      <c r="M12" s="96">
        <f t="shared" si="3"/>
        <v>577.125</v>
      </c>
      <c r="N12" s="97">
        <f t="shared" si="12"/>
        <v>4.3929590865842059</v>
      </c>
      <c r="O12" s="87"/>
      <c r="P12" s="74">
        <v>8</v>
      </c>
      <c r="Q12" s="74">
        <v>1206</v>
      </c>
      <c r="R12" s="96">
        <f t="shared" si="4"/>
        <v>150.75</v>
      </c>
      <c r="S12" s="74">
        <v>5338</v>
      </c>
      <c r="T12" s="96">
        <f t="shared" si="5"/>
        <v>667.25</v>
      </c>
      <c r="U12" s="97">
        <f t="shared" si="6"/>
        <v>4.42620232172471</v>
      </c>
      <c r="V12" s="87"/>
      <c r="W12" s="74">
        <v>0</v>
      </c>
      <c r="X12" s="74">
        <v>0</v>
      </c>
      <c r="Y12" s="96" t="e">
        <f t="shared" si="13"/>
        <v>#DIV/0!</v>
      </c>
      <c r="Z12" s="74">
        <v>0</v>
      </c>
      <c r="AA12" s="96" t="e">
        <f t="shared" si="7"/>
        <v>#DIV/0!</v>
      </c>
      <c r="AB12" s="97" t="e">
        <f t="shared" si="14"/>
        <v>#DIV/0!</v>
      </c>
      <c r="AC12" s="87"/>
      <c r="AD12" s="74">
        <v>10</v>
      </c>
      <c r="AE12" s="74">
        <v>804</v>
      </c>
      <c r="AF12" s="96">
        <f t="shared" si="8"/>
        <v>80.400000000000006</v>
      </c>
      <c r="AG12" s="74">
        <v>5809</v>
      </c>
      <c r="AH12" s="96">
        <f t="shared" si="9"/>
        <v>580.9</v>
      </c>
      <c r="AI12" s="97">
        <f t="shared" si="10"/>
        <v>7.2251243781094523</v>
      </c>
    </row>
    <row r="13" spans="1:35" ht="15">
      <c r="A13" s="90">
        <v>44723</v>
      </c>
      <c r="B13" s="74">
        <v>16</v>
      </c>
      <c r="C13" s="74">
        <v>2000</v>
      </c>
      <c r="D13" s="96">
        <f t="shared" si="11"/>
        <v>125</v>
      </c>
      <c r="E13" s="64">
        <v>8950</v>
      </c>
      <c r="F13" s="96">
        <f t="shared" si="0"/>
        <v>559.375</v>
      </c>
      <c r="G13" s="97">
        <f t="shared" si="1"/>
        <v>4.4749999999999996</v>
      </c>
      <c r="H13" s="87"/>
      <c r="I13" s="74">
        <v>9</v>
      </c>
      <c r="J13" s="74">
        <v>1336</v>
      </c>
      <c r="K13" s="96">
        <f t="shared" si="2"/>
        <v>148.44444444444446</v>
      </c>
      <c r="L13" s="74">
        <v>6070</v>
      </c>
      <c r="M13" s="96">
        <f t="shared" si="3"/>
        <v>674.44444444444446</v>
      </c>
      <c r="N13" s="97">
        <f t="shared" si="12"/>
        <v>4.5434131736526941</v>
      </c>
      <c r="O13" s="87"/>
      <c r="P13" s="74">
        <v>13</v>
      </c>
      <c r="Q13" s="74">
        <v>1772</v>
      </c>
      <c r="R13" s="96">
        <f t="shared" si="4"/>
        <v>136.30769230769232</v>
      </c>
      <c r="S13" s="74">
        <v>8033</v>
      </c>
      <c r="T13" s="96">
        <f t="shared" si="5"/>
        <v>617.92307692307691</v>
      </c>
      <c r="U13" s="97">
        <f t="shared" si="6"/>
        <v>4.5332957110609478</v>
      </c>
      <c r="V13" s="87"/>
      <c r="W13" s="74">
        <v>0</v>
      </c>
      <c r="X13" s="74">
        <v>0</v>
      </c>
      <c r="Y13" s="96" t="e">
        <f t="shared" si="13"/>
        <v>#DIV/0!</v>
      </c>
      <c r="Z13" s="74">
        <v>0</v>
      </c>
      <c r="AA13" s="96" t="e">
        <f t="shared" si="7"/>
        <v>#DIV/0!</v>
      </c>
      <c r="AB13" s="97" t="e">
        <f t="shared" si="14"/>
        <v>#DIV/0!</v>
      </c>
      <c r="AC13" s="87"/>
      <c r="AD13" s="74">
        <v>15</v>
      </c>
      <c r="AE13" s="74">
        <v>3374</v>
      </c>
      <c r="AF13" s="96">
        <f t="shared" si="8"/>
        <v>224.93333333333334</v>
      </c>
      <c r="AG13" s="74">
        <v>8895</v>
      </c>
      <c r="AH13" s="96">
        <f t="shared" si="9"/>
        <v>593</v>
      </c>
      <c r="AI13" s="97">
        <f t="shared" si="10"/>
        <v>2.6363366923532898</v>
      </c>
    </row>
    <row r="14" spans="1:35" ht="15">
      <c r="A14" s="90">
        <v>44724</v>
      </c>
      <c r="B14" s="74">
        <v>12</v>
      </c>
      <c r="C14" s="74">
        <v>1853</v>
      </c>
      <c r="D14" s="96">
        <f t="shared" si="11"/>
        <v>154.41666666666666</v>
      </c>
      <c r="E14" s="64">
        <v>8208</v>
      </c>
      <c r="F14" s="96">
        <f t="shared" si="0"/>
        <v>684</v>
      </c>
      <c r="G14" s="97">
        <f t="shared" si="1"/>
        <v>4.4295736643281165</v>
      </c>
      <c r="H14" s="87"/>
      <c r="I14" s="74">
        <v>14</v>
      </c>
      <c r="J14" s="74">
        <v>2157</v>
      </c>
      <c r="K14" s="96">
        <f t="shared" si="2"/>
        <v>154.07142857142858</v>
      </c>
      <c r="L14" s="74">
        <v>9618</v>
      </c>
      <c r="M14" s="96">
        <f t="shared" si="3"/>
        <v>687</v>
      </c>
      <c r="N14" s="97">
        <f t="shared" si="12"/>
        <v>4.4589707927677322</v>
      </c>
      <c r="O14" s="87"/>
      <c r="P14" s="74">
        <v>8</v>
      </c>
      <c r="Q14" s="74">
        <v>1206</v>
      </c>
      <c r="R14" s="96">
        <f t="shared" si="4"/>
        <v>150.75</v>
      </c>
      <c r="S14" s="74">
        <v>5450</v>
      </c>
      <c r="T14" s="96">
        <f t="shared" si="5"/>
        <v>681.25</v>
      </c>
      <c r="U14" s="97">
        <f t="shared" si="6"/>
        <v>4.519071310116086</v>
      </c>
      <c r="V14" s="87"/>
      <c r="W14" s="74"/>
      <c r="X14" s="74"/>
      <c r="Y14" s="96" t="e">
        <f t="shared" si="13"/>
        <v>#DIV/0!</v>
      </c>
      <c r="Z14" s="74"/>
      <c r="AA14" s="96" t="e">
        <f t="shared" si="7"/>
        <v>#DIV/0!</v>
      </c>
      <c r="AB14" s="97" t="e">
        <f t="shared" si="14"/>
        <v>#DIV/0!</v>
      </c>
      <c r="AC14" s="87"/>
      <c r="AD14" s="74">
        <v>6</v>
      </c>
      <c r="AE14" s="74">
        <v>1009</v>
      </c>
      <c r="AF14" s="96">
        <f t="shared" si="8"/>
        <v>168.16666666666666</v>
      </c>
      <c r="AG14" s="74">
        <v>4449</v>
      </c>
      <c r="AH14" s="96">
        <f t="shared" si="9"/>
        <v>741.5</v>
      </c>
      <c r="AI14" s="97">
        <f t="shared" si="10"/>
        <v>4.4093161546085238</v>
      </c>
    </row>
    <row r="15" spans="1:35" ht="15">
      <c r="A15" s="90">
        <v>44725</v>
      </c>
      <c r="B15" s="74">
        <v>14</v>
      </c>
      <c r="C15" s="74">
        <v>2302</v>
      </c>
      <c r="D15" s="96">
        <f t="shared" si="11"/>
        <v>164.42857142857142</v>
      </c>
      <c r="E15" s="64">
        <v>10082</v>
      </c>
      <c r="F15" s="96">
        <f t="shared" si="0"/>
        <v>720.14285714285711</v>
      </c>
      <c r="G15" s="97">
        <f t="shared" si="1"/>
        <v>4.3796698523023458</v>
      </c>
      <c r="H15" s="87"/>
      <c r="I15" s="74">
        <v>0</v>
      </c>
      <c r="J15" s="74">
        <v>0</v>
      </c>
      <c r="K15" s="96" t="e">
        <f t="shared" si="2"/>
        <v>#DIV/0!</v>
      </c>
      <c r="L15" s="74">
        <v>0</v>
      </c>
      <c r="M15" s="96" t="e">
        <f t="shared" si="3"/>
        <v>#DIV/0!</v>
      </c>
      <c r="N15" s="97" t="e">
        <f t="shared" si="12"/>
        <v>#DIV/0!</v>
      </c>
      <c r="O15" s="87"/>
      <c r="P15" s="74">
        <v>9</v>
      </c>
      <c r="Q15" s="74">
        <v>1191</v>
      </c>
      <c r="R15" s="96">
        <f t="shared" si="4"/>
        <v>132.33333333333334</v>
      </c>
      <c r="S15" s="74">
        <v>5338</v>
      </c>
      <c r="T15" s="96">
        <f t="shared" si="5"/>
        <v>593.11111111111109</v>
      </c>
      <c r="U15" s="97">
        <f t="shared" si="6"/>
        <v>4.481947942905121</v>
      </c>
      <c r="V15" s="87"/>
      <c r="W15" s="74">
        <v>0</v>
      </c>
      <c r="X15" s="74">
        <v>0</v>
      </c>
      <c r="Y15" s="96" t="e">
        <f t="shared" si="13"/>
        <v>#DIV/0!</v>
      </c>
      <c r="Z15" s="74">
        <v>0</v>
      </c>
      <c r="AA15" s="96" t="e">
        <f t="shared" si="7"/>
        <v>#DIV/0!</v>
      </c>
      <c r="AB15" s="97" t="e">
        <f t="shared" si="14"/>
        <v>#DIV/0!</v>
      </c>
      <c r="AC15" s="87"/>
      <c r="AD15" s="74">
        <v>22</v>
      </c>
      <c r="AE15" s="74">
        <v>2972</v>
      </c>
      <c r="AF15" s="96">
        <f t="shared" si="8"/>
        <v>135.09090909090909</v>
      </c>
      <c r="AG15" s="74">
        <v>13626</v>
      </c>
      <c r="AH15" s="96">
        <f t="shared" si="9"/>
        <v>619.36363636363637</v>
      </c>
      <c r="AI15" s="97">
        <f t="shared" si="10"/>
        <v>4.5847913862718706</v>
      </c>
    </row>
    <row r="16" spans="1:35" ht="15">
      <c r="A16" s="90">
        <v>44726</v>
      </c>
      <c r="B16" s="74">
        <v>19</v>
      </c>
      <c r="C16" s="74">
        <v>2534</v>
      </c>
      <c r="D16" s="96">
        <f t="shared" si="11"/>
        <v>133.36842105263159</v>
      </c>
      <c r="E16" s="64">
        <v>11200</v>
      </c>
      <c r="F16" s="96">
        <f t="shared" si="0"/>
        <v>589.47368421052636</v>
      </c>
      <c r="G16" s="97">
        <f t="shared" si="1"/>
        <v>4.4198895027624312</v>
      </c>
      <c r="H16" s="87"/>
      <c r="I16" s="74">
        <v>5</v>
      </c>
      <c r="J16" s="74">
        <v>730</v>
      </c>
      <c r="K16" s="96">
        <f t="shared" si="2"/>
        <v>146</v>
      </c>
      <c r="L16" s="74">
        <v>3279</v>
      </c>
      <c r="M16" s="96">
        <f t="shared" si="3"/>
        <v>655.8</v>
      </c>
      <c r="N16" s="97">
        <f t="shared" si="12"/>
        <v>4.4917808219178079</v>
      </c>
      <c r="O16" s="87"/>
      <c r="P16" s="74">
        <v>0</v>
      </c>
      <c r="Q16" s="74">
        <v>0</v>
      </c>
      <c r="R16" s="96" t="e">
        <f t="shared" si="4"/>
        <v>#DIV/0!</v>
      </c>
      <c r="S16" s="74">
        <v>0</v>
      </c>
      <c r="T16" s="96" t="e">
        <f t="shared" si="5"/>
        <v>#DIV/0!</v>
      </c>
      <c r="U16" s="97" t="e">
        <f t="shared" si="6"/>
        <v>#DIV/0!</v>
      </c>
      <c r="V16" s="87"/>
      <c r="W16" s="74">
        <v>9</v>
      </c>
      <c r="X16" s="74">
        <v>1583</v>
      </c>
      <c r="Y16" s="96">
        <f t="shared" si="13"/>
        <v>175.88888888888889</v>
      </c>
      <c r="Z16" s="74">
        <v>6093</v>
      </c>
      <c r="AA16" s="96">
        <f t="shared" si="7"/>
        <v>677</v>
      </c>
      <c r="AB16" s="97">
        <f t="shared" si="14"/>
        <v>3.8490208464939988</v>
      </c>
      <c r="AC16" s="87"/>
      <c r="AD16" s="74">
        <v>15</v>
      </c>
      <c r="AE16" s="74">
        <v>2257</v>
      </c>
      <c r="AF16" s="96">
        <f t="shared" si="8"/>
        <v>150.46666666666667</v>
      </c>
      <c r="AG16" s="74">
        <v>10607</v>
      </c>
      <c r="AH16" s="96">
        <f t="shared" si="9"/>
        <v>707.13333333333333</v>
      </c>
      <c r="AI16" s="97">
        <f t="shared" si="10"/>
        <v>4.6996012405848466</v>
      </c>
    </row>
    <row r="17" spans="1:35" ht="15">
      <c r="A17" s="90">
        <v>44727</v>
      </c>
      <c r="B17" s="74">
        <v>17</v>
      </c>
      <c r="C17" s="74">
        <v>2454</v>
      </c>
      <c r="D17" s="96">
        <f t="shared" si="11"/>
        <v>144.35294117647058</v>
      </c>
      <c r="E17" s="64">
        <v>10504</v>
      </c>
      <c r="F17" s="96">
        <f t="shared" si="0"/>
        <v>617.88235294117646</v>
      </c>
      <c r="G17" s="97">
        <f t="shared" si="1"/>
        <v>4.2803585982070089</v>
      </c>
      <c r="H17" s="87"/>
      <c r="I17" s="74">
        <v>12</v>
      </c>
      <c r="J17" s="74">
        <v>1824</v>
      </c>
      <c r="K17" s="96">
        <f t="shared" si="2"/>
        <v>152</v>
      </c>
      <c r="L17" s="74">
        <v>8248</v>
      </c>
      <c r="M17" s="96">
        <f t="shared" si="3"/>
        <v>687.33333333333337</v>
      </c>
      <c r="N17" s="97">
        <f t="shared" si="12"/>
        <v>4.5219298245614041</v>
      </c>
      <c r="O17" s="87"/>
      <c r="P17" s="74">
        <v>0</v>
      </c>
      <c r="Q17" s="74">
        <v>0</v>
      </c>
      <c r="R17" s="96" t="e">
        <f t="shared" si="4"/>
        <v>#DIV/0!</v>
      </c>
      <c r="S17" s="74">
        <v>0</v>
      </c>
      <c r="T17" s="96" t="e">
        <f t="shared" si="5"/>
        <v>#DIV/0!</v>
      </c>
      <c r="U17" s="97" t="e">
        <f t="shared" si="6"/>
        <v>#DIV/0!</v>
      </c>
      <c r="V17" s="87"/>
      <c r="W17" s="74">
        <v>9</v>
      </c>
      <c r="X17" s="74">
        <v>1137</v>
      </c>
      <c r="Y17" s="96">
        <f t="shared" si="13"/>
        <v>126.33333333333333</v>
      </c>
      <c r="Z17" s="74">
        <v>4612</v>
      </c>
      <c r="AA17" s="96">
        <f t="shared" si="7"/>
        <v>512.44444444444446</v>
      </c>
      <c r="AB17" s="97">
        <f t="shared" si="14"/>
        <v>4.0562884784520667</v>
      </c>
      <c r="AC17" s="87"/>
      <c r="AD17" s="74">
        <v>6</v>
      </c>
      <c r="AE17" s="74">
        <v>851</v>
      </c>
      <c r="AF17" s="96">
        <f t="shared" si="8"/>
        <v>141.83333333333334</v>
      </c>
      <c r="AG17" s="74">
        <v>3814</v>
      </c>
      <c r="AH17" s="96">
        <f t="shared" si="9"/>
        <v>635.66666666666663</v>
      </c>
      <c r="AI17" s="97">
        <f t="shared" si="10"/>
        <v>4.4817861339600462</v>
      </c>
    </row>
    <row r="18" spans="1:35" ht="15">
      <c r="A18" s="90">
        <v>44728</v>
      </c>
      <c r="B18" s="74">
        <v>14</v>
      </c>
      <c r="C18" s="74">
        <v>1587</v>
      </c>
      <c r="D18" s="96">
        <f t="shared" si="11"/>
        <v>113.35714285714286</v>
      </c>
      <c r="E18" s="64">
        <v>7129</v>
      </c>
      <c r="F18" s="96">
        <f t="shared" si="0"/>
        <v>509.21428571428572</v>
      </c>
      <c r="G18" s="97">
        <f t="shared" si="1"/>
        <v>4.4921235034656588</v>
      </c>
      <c r="H18" s="87"/>
      <c r="I18" s="74">
        <v>8</v>
      </c>
      <c r="J18" s="74">
        <v>890</v>
      </c>
      <c r="K18" s="96">
        <f t="shared" si="2"/>
        <v>111.25</v>
      </c>
      <c r="L18" s="74">
        <v>3999</v>
      </c>
      <c r="M18" s="96">
        <f t="shared" si="3"/>
        <v>499.875</v>
      </c>
      <c r="N18" s="97">
        <f t="shared" si="12"/>
        <v>4.4932584269662925</v>
      </c>
      <c r="O18" s="87"/>
      <c r="P18" s="74">
        <v>15</v>
      </c>
      <c r="Q18" s="74">
        <v>1894</v>
      </c>
      <c r="R18" s="96">
        <f t="shared" si="4"/>
        <v>126.26666666666667</v>
      </c>
      <c r="S18" s="74">
        <v>9274</v>
      </c>
      <c r="T18" s="96">
        <f t="shared" si="5"/>
        <v>618.26666666666665</v>
      </c>
      <c r="U18" s="97">
        <f t="shared" si="6"/>
        <v>4.8965153115100319</v>
      </c>
      <c r="V18" s="87"/>
      <c r="W18" s="74">
        <v>0</v>
      </c>
      <c r="X18" s="74">
        <v>0</v>
      </c>
      <c r="Y18" s="96" t="e">
        <f t="shared" si="13"/>
        <v>#DIV/0!</v>
      </c>
      <c r="Z18" s="74">
        <v>0</v>
      </c>
      <c r="AA18" s="96" t="e">
        <f t="shared" si="7"/>
        <v>#DIV/0!</v>
      </c>
      <c r="AB18" s="97" t="e">
        <f t="shared" si="14"/>
        <v>#DIV/0!</v>
      </c>
      <c r="AC18" s="87"/>
      <c r="AD18" s="74">
        <v>2</v>
      </c>
      <c r="AE18" s="74">
        <v>350</v>
      </c>
      <c r="AF18" s="96">
        <f t="shared" si="8"/>
        <v>175</v>
      </c>
      <c r="AG18" s="74">
        <v>1426</v>
      </c>
      <c r="AH18" s="96">
        <f t="shared" si="9"/>
        <v>713</v>
      </c>
      <c r="AI18" s="97">
        <f t="shared" si="10"/>
        <v>4.0742857142857138</v>
      </c>
    </row>
    <row r="19" spans="1:35" ht="15">
      <c r="A19" s="90">
        <v>44729</v>
      </c>
      <c r="B19" s="74">
        <v>16</v>
      </c>
      <c r="C19" s="74">
        <v>2299</v>
      </c>
      <c r="D19" s="96">
        <f t="shared" si="11"/>
        <v>143.6875</v>
      </c>
      <c r="E19" s="64">
        <v>10477</v>
      </c>
      <c r="F19" s="96">
        <f t="shared" si="0"/>
        <v>654.8125</v>
      </c>
      <c r="G19" s="97">
        <f t="shared" si="1"/>
        <v>4.5571987820791646</v>
      </c>
      <c r="H19" s="87"/>
      <c r="I19" s="74">
        <v>9</v>
      </c>
      <c r="J19" s="74">
        <v>1185</v>
      </c>
      <c r="K19" s="96">
        <f t="shared" si="2"/>
        <v>131.66666666666666</v>
      </c>
      <c r="L19" s="74">
        <v>4980</v>
      </c>
      <c r="M19" s="96">
        <f t="shared" si="3"/>
        <v>553.33333333333337</v>
      </c>
      <c r="N19" s="97">
        <f t="shared" si="12"/>
        <v>4.2025316455696204</v>
      </c>
      <c r="O19" s="87"/>
      <c r="P19" s="74">
        <v>0</v>
      </c>
      <c r="Q19" s="74">
        <v>0</v>
      </c>
      <c r="R19" s="96" t="e">
        <f t="shared" si="4"/>
        <v>#DIV/0!</v>
      </c>
      <c r="S19" s="74">
        <v>0</v>
      </c>
      <c r="T19" s="96" t="e">
        <f t="shared" si="5"/>
        <v>#DIV/0!</v>
      </c>
      <c r="U19" s="97" t="e">
        <f t="shared" si="6"/>
        <v>#DIV/0!</v>
      </c>
      <c r="V19" s="87"/>
      <c r="W19" s="74">
        <v>8</v>
      </c>
      <c r="X19" s="74">
        <v>1304</v>
      </c>
      <c r="Y19" s="96">
        <f t="shared" si="13"/>
        <v>163</v>
      </c>
      <c r="Z19" s="74">
        <v>4324</v>
      </c>
      <c r="AA19" s="96">
        <f t="shared" si="7"/>
        <v>540.5</v>
      </c>
      <c r="AB19" s="97">
        <f t="shared" si="14"/>
        <v>3.3159509202453989</v>
      </c>
      <c r="AC19" s="87"/>
      <c r="AD19" s="74">
        <v>12</v>
      </c>
      <c r="AE19" s="74">
        <v>1490</v>
      </c>
      <c r="AF19" s="96">
        <f t="shared" si="8"/>
        <v>124.16666666666667</v>
      </c>
      <c r="AG19" s="74">
        <v>6621</v>
      </c>
      <c r="AH19" s="96">
        <f t="shared" si="9"/>
        <v>551.75</v>
      </c>
      <c r="AI19" s="97">
        <f t="shared" si="10"/>
        <v>4.4436241610738252</v>
      </c>
    </row>
    <row r="20" spans="1:35" ht="15">
      <c r="A20" s="90">
        <v>44730</v>
      </c>
      <c r="B20" s="74">
        <v>13</v>
      </c>
      <c r="C20" s="74">
        <v>2112</v>
      </c>
      <c r="D20" s="96">
        <f t="shared" si="11"/>
        <v>162.46153846153845</v>
      </c>
      <c r="E20" s="64">
        <v>9492</v>
      </c>
      <c r="F20" s="96">
        <f t="shared" si="0"/>
        <v>730.15384615384619</v>
      </c>
      <c r="G20" s="97">
        <f t="shared" si="1"/>
        <v>4.4943181818181825</v>
      </c>
      <c r="H20" s="87"/>
      <c r="I20" s="74">
        <v>11</v>
      </c>
      <c r="J20" s="74">
        <v>1173</v>
      </c>
      <c r="K20" s="96">
        <f t="shared" si="2"/>
        <v>106.63636363636364</v>
      </c>
      <c r="L20" s="74">
        <v>5126</v>
      </c>
      <c r="M20" s="96">
        <f t="shared" si="3"/>
        <v>466</v>
      </c>
      <c r="N20" s="97">
        <f t="shared" si="12"/>
        <v>4.36999147485081</v>
      </c>
      <c r="O20" s="87"/>
      <c r="P20" s="74">
        <v>4</v>
      </c>
      <c r="Q20" s="74">
        <v>539</v>
      </c>
      <c r="R20" s="96">
        <f t="shared" si="4"/>
        <v>134.75</v>
      </c>
      <c r="S20" s="74">
        <v>2294</v>
      </c>
      <c r="T20" s="96">
        <f t="shared" si="5"/>
        <v>573.5</v>
      </c>
      <c r="U20" s="97">
        <f t="shared" si="6"/>
        <v>4.2560296846011134</v>
      </c>
      <c r="V20" s="87"/>
      <c r="W20" s="74">
        <v>0</v>
      </c>
      <c r="X20" s="74">
        <v>0</v>
      </c>
      <c r="Y20" s="96" t="e">
        <f t="shared" si="13"/>
        <v>#DIV/0!</v>
      </c>
      <c r="Z20" s="74">
        <v>0</v>
      </c>
      <c r="AA20" s="96" t="e">
        <f t="shared" si="7"/>
        <v>#DIV/0!</v>
      </c>
      <c r="AB20" s="97" t="e">
        <f t="shared" si="14"/>
        <v>#DIV/0!</v>
      </c>
      <c r="AC20" s="87"/>
      <c r="AD20" s="74">
        <v>20</v>
      </c>
      <c r="AE20" s="74">
        <v>2602</v>
      </c>
      <c r="AF20" s="96">
        <f t="shared" si="8"/>
        <v>130.1</v>
      </c>
      <c r="AG20" s="74">
        <v>11964</v>
      </c>
      <c r="AH20" s="96">
        <f t="shared" si="9"/>
        <v>598.20000000000005</v>
      </c>
      <c r="AI20" s="97">
        <f t="shared" si="10"/>
        <v>4.5980015372790168</v>
      </c>
    </row>
    <row r="21" spans="1:35" ht="15">
      <c r="A21" s="90">
        <v>44731</v>
      </c>
      <c r="B21" s="74">
        <v>0</v>
      </c>
      <c r="C21" s="74">
        <v>0</v>
      </c>
      <c r="D21" s="96" t="e">
        <f t="shared" si="11"/>
        <v>#DIV/0!</v>
      </c>
      <c r="E21" s="64">
        <v>0</v>
      </c>
      <c r="F21" s="96" t="e">
        <f t="shared" si="0"/>
        <v>#DIV/0!</v>
      </c>
      <c r="G21" s="97" t="e">
        <f t="shared" si="1"/>
        <v>#DIV/0!</v>
      </c>
      <c r="H21" s="87"/>
      <c r="I21" s="74">
        <v>19</v>
      </c>
      <c r="J21" s="74">
        <v>2625</v>
      </c>
      <c r="K21" s="96">
        <f t="shared" si="2"/>
        <v>138.15789473684211</v>
      </c>
      <c r="L21" s="74">
        <v>11636</v>
      </c>
      <c r="M21" s="96">
        <f t="shared" si="3"/>
        <v>612.42105263157896</v>
      </c>
      <c r="N21" s="97">
        <f t="shared" si="12"/>
        <v>4.4327619047619047</v>
      </c>
      <c r="O21" s="87"/>
      <c r="P21" s="74">
        <v>9</v>
      </c>
      <c r="Q21" s="74">
        <v>1183</v>
      </c>
      <c r="R21" s="96">
        <f t="shared" si="4"/>
        <v>131.44444444444446</v>
      </c>
      <c r="S21" s="74">
        <v>5504</v>
      </c>
      <c r="T21" s="96">
        <f t="shared" si="5"/>
        <v>611.55555555555554</v>
      </c>
      <c r="U21" s="97">
        <f t="shared" si="6"/>
        <v>4.652578191039729</v>
      </c>
      <c r="V21" s="87"/>
      <c r="W21" s="74">
        <v>5</v>
      </c>
      <c r="X21" s="74">
        <v>871</v>
      </c>
      <c r="Y21" s="96">
        <f t="shared" si="13"/>
        <v>174.2</v>
      </c>
      <c r="Z21" s="74">
        <v>3638</v>
      </c>
      <c r="AA21" s="96">
        <f t="shared" si="7"/>
        <v>727.6</v>
      </c>
      <c r="AB21" s="97">
        <f t="shared" si="14"/>
        <v>4.1768082663605055</v>
      </c>
      <c r="AC21" s="87"/>
      <c r="AD21" s="74">
        <v>17</v>
      </c>
      <c r="AE21" s="74">
        <v>2369</v>
      </c>
      <c r="AF21" s="96">
        <f t="shared" si="8"/>
        <v>139.35294117647058</v>
      </c>
      <c r="AG21" s="74">
        <v>10834</v>
      </c>
      <c r="AH21" s="96">
        <f t="shared" si="9"/>
        <v>637.29411764705878</v>
      </c>
      <c r="AI21" s="97">
        <f t="shared" si="10"/>
        <v>4.5732376530181513</v>
      </c>
    </row>
    <row r="22" spans="1:35" ht="15">
      <c r="A22" s="90">
        <v>44732</v>
      </c>
      <c r="B22" s="74">
        <v>24</v>
      </c>
      <c r="C22" s="74">
        <v>3208</v>
      </c>
      <c r="D22" s="96">
        <f t="shared" si="11"/>
        <v>133.66666666666666</v>
      </c>
      <c r="E22" s="64">
        <v>14445</v>
      </c>
      <c r="F22" s="96">
        <f t="shared" si="0"/>
        <v>601.875</v>
      </c>
      <c r="G22" s="97">
        <f t="shared" si="1"/>
        <v>4.5028054862842897</v>
      </c>
      <c r="H22" s="87"/>
      <c r="I22" s="74">
        <v>0</v>
      </c>
      <c r="J22" s="74">
        <v>0</v>
      </c>
      <c r="K22" s="96" t="e">
        <f t="shared" si="2"/>
        <v>#DIV/0!</v>
      </c>
      <c r="L22" s="74">
        <v>0</v>
      </c>
      <c r="M22" s="96" t="e">
        <f t="shared" si="3"/>
        <v>#DIV/0!</v>
      </c>
      <c r="N22" s="97" t="e">
        <f t="shared" si="12"/>
        <v>#DIV/0!</v>
      </c>
      <c r="O22" s="87"/>
      <c r="P22" s="74">
        <v>4</v>
      </c>
      <c r="Q22" s="74">
        <v>476</v>
      </c>
      <c r="R22" s="96">
        <f t="shared" si="4"/>
        <v>119</v>
      </c>
      <c r="S22" s="74">
        <v>2019</v>
      </c>
      <c r="T22" s="96">
        <f t="shared" si="5"/>
        <v>504.75</v>
      </c>
      <c r="U22" s="97">
        <f t="shared" si="6"/>
        <v>4.2415966386554622</v>
      </c>
      <c r="V22" s="87"/>
      <c r="W22" s="74">
        <v>0</v>
      </c>
      <c r="X22" s="74">
        <v>0</v>
      </c>
      <c r="Y22" s="96" t="e">
        <f t="shared" si="13"/>
        <v>#DIV/0!</v>
      </c>
      <c r="Z22" s="74">
        <v>0</v>
      </c>
      <c r="AA22" s="96" t="e">
        <f t="shared" si="7"/>
        <v>#DIV/0!</v>
      </c>
      <c r="AB22" s="97" t="e">
        <f t="shared" si="14"/>
        <v>#DIV/0!</v>
      </c>
      <c r="AC22" s="87"/>
      <c r="AD22" s="74">
        <v>21</v>
      </c>
      <c r="AE22" s="74">
        <v>2682</v>
      </c>
      <c r="AF22" s="96">
        <f t="shared" si="8"/>
        <v>127.71428571428571</v>
      </c>
      <c r="AG22" s="74">
        <v>12516</v>
      </c>
      <c r="AH22" s="96">
        <f t="shared" si="9"/>
        <v>596</v>
      </c>
      <c r="AI22" s="97">
        <f t="shared" si="10"/>
        <v>4.666666666666667</v>
      </c>
    </row>
    <row r="23" spans="1:35" ht="15">
      <c r="A23" s="90">
        <v>44733</v>
      </c>
      <c r="B23" s="74">
        <v>13</v>
      </c>
      <c r="C23" s="74">
        <v>2031</v>
      </c>
      <c r="D23" s="96">
        <f t="shared" si="11"/>
        <v>156.23076923076923</v>
      </c>
      <c r="E23" s="64">
        <v>9422</v>
      </c>
      <c r="F23" s="96">
        <f t="shared" si="0"/>
        <v>724.76923076923072</v>
      </c>
      <c r="G23" s="97">
        <f>F23/D23</f>
        <v>4.6390940423436726</v>
      </c>
      <c r="H23" s="87"/>
      <c r="I23" s="74">
        <v>9</v>
      </c>
      <c r="J23" s="74">
        <v>1102</v>
      </c>
      <c r="K23" s="96">
        <f t="shared" si="2"/>
        <v>122.44444444444444</v>
      </c>
      <c r="L23" s="74">
        <v>4788</v>
      </c>
      <c r="M23" s="96">
        <f t="shared" si="3"/>
        <v>532</v>
      </c>
      <c r="N23" s="97">
        <f t="shared" si="12"/>
        <v>4.3448275862068968</v>
      </c>
      <c r="O23" s="87"/>
      <c r="P23" s="74">
        <v>14</v>
      </c>
      <c r="Q23" s="74">
        <v>2097</v>
      </c>
      <c r="R23" s="96">
        <f t="shared" si="4"/>
        <v>149.78571428571428</v>
      </c>
      <c r="S23" s="74">
        <v>10314</v>
      </c>
      <c r="T23" s="96">
        <f t="shared" si="5"/>
        <v>736.71428571428567</v>
      </c>
      <c r="U23" s="97">
        <f t="shared" si="6"/>
        <v>4.9184549356223179</v>
      </c>
      <c r="V23" s="87"/>
      <c r="W23" s="74">
        <v>3</v>
      </c>
      <c r="X23" s="74">
        <v>364</v>
      </c>
      <c r="Y23" s="96">
        <f t="shared" si="13"/>
        <v>121.33333333333333</v>
      </c>
      <c r="Z23" s="74">
        <v>1537</v>
      </c>
      <c r="AA23" s="96">
        <f t="shared" si="7"/>
        <v>512.33333333333337</v>
      </c>
      <c r="AB23" s="97">
        <f t="shared" si="14"/>
        <v>4.2225274725274726</v>
      </c>
      <c r="AC23" s="87"/>
      <c r="AD23" s="74">
        <v>11</v>
      </c>
      <c r="AE23" s="74">
        <v>1315</v>
      </c>
      <c r="AF23" s="96">
        <f t="shared" si="8"/>
        <v>119.54545454545455</v>
      </c>
      <c r="AG23" s="74">
        <v>5520</v>
      </c>
      <c r="AH23" s="96">
        <f t="shared" si="9"/>
        <v>501.81818181818181</v>
      </c>
      <c r="AI23" s="97">
        <f t="shared" si="10"/>
        <v>4.1977186311787067</v>
      </c>
    </row>
    <row r="24" spans="1:35" ht="15">
      <c r="A24" s="90">
        <v>44734</v>
      </c>
      <c r="B24" s="74"/>
      <c r="C24" s="74"/>
      <c r="D24" s="96" t="e">
        <f t="shared" si="11"/>
        <v>#DIV/0!</v>
      </c>
      <c r="E24" s="64"/>
      <c r="F24" s="96" t="e">
        <f t="shared" si="0"/>
        <v>#DIV/0!</v>
      </c>
      <c r="G24" s="97" t="e">
        <f t="shared" si="1"/>
        <v>#DIV/0!</v>
      </c>
      <c r="H24" s="87"/>
      <c r="I24" s="74"/>
      <c r="J24" s="74"/>
      <c r="K24" s="96" t="e">
        <f t="shared" si="2"/>
        <v>#DIV/0!</v>
      </c>
      <c r="L24" s="74"/>
      <c r="M24" s="96" t="e">
        <f t="shared" si="3"/>
        <v>#DIV/0!</v>
      </c>
      <c r="N24" s="97" t="e">
        <f t="shared" si="12"/>
        <v>#DIV/0!</v>
      </c>
      <c r="O24" s="87"/>
      <c r="P24" s="74"/>
      <c r="Q24" s="74"/>
      <c r="R24" s="96" t="e">
        <f t="shared" si="4"/>
        <v>#DIV/0!</v>
      </c>
      <c r="S24" s="74"/>
      <c r="T24" s="96" t="e">
        <f t="shared" si="5"/>
        <v>#DIV/0!</v>
      </c>
      <c r="U24" s="97" t="e">
        <f t="shared" si="6"/>
        <v>#DIV/0!</v>
      </c>
      <c r="V24" s="87"/>
      <c r="W24" s="74"/>
      <c r="X24" s="74"/>
      <c r="Y24" s="96" t="e">
        <f t="shared" si="13"/>
        <v>#DIV/0!</v>
      </c>
      <c r="Z24" s="74"/>
      <c r="AA24" s="96" t="e">
        <f t="shared" si="7"/>
        <v>#DIV/0!</v>
      </c>
      <c r="AB24" s="97" t="e">
        <f t="shared" si="14"/>
        <v>#DIV/0!</v>
      </c>
      <c r="AC24" s="87"/>
      <c r="AD24" s="74"/>
      <c r="AE24" s="74"/>
      <c r="AF24" s="96" t="e">
        <f t="shared" si="8"/>
        <v>#DIV/0!</v>
      </c>
      <c r="AG24" s="74"/>
      <c r="AH24" s="96" t="e">
        <f t="shared" si="9"/>
        <v>#DIV/0!</v>
      </c>
      <c r="AI24" s="97" t="e">
        <f t="shared" si="10"/>
        <v>#DIV/0!</v>
      </c>
    </row>
    <row r="25" spans="1:35" ht="15">
      <c r="A25" s="90">
        <v>44735</v>
      </c>
      <c r="B25" s="74"/>
      <c r="C25" s="74"/>
      <c r="D25" s="96" t="e">
        <f t="shared" si="11"/>
        <v>#DIV/0!</v>
      </c>
      <c r="E25" s="64"/>
      <c r="F25" s="96" t="e">
        <f t="shared" si="0"/>
        <v>#DIV/0!</v>
      </c>
      <c r="G25" s="97" t="e">
        <f t="shared" si="1"/>
        <v>#DIV/0!</v>
      </c>
      <c r="H25" s="87"/>
      <c r="I25" s="74"/>
      <c r="J25" s="74"/>
      <c r="K25" s="96" t="e">
        <f t="shared" si="2"/>
        <v>#DIV/0!</v>
      </c>
      <c r="L25" s="74"/>
      <c r="M25" s="96" t="e">
        <f t="shared" si="3"/>
        <v>#DIV/0!</v>
      </c>
      <c r="N25" s="97" t="e">
        <f t="shared" si="12"/>
        <v>#DIV/0!</v>
      </c>
      <c r="O25" s="87"/>
      <c r="P25" s="74"/>
      <c r="Q25" s="74"/>
      <c r="R25" s="96" t="e">
        <f t="shared" si="4"/>
        <v>#DIV/0!</v>
      </c>
      <c r="S25" s="74"/>
      <c r="T25" s="96" t="e">
        <f t="shared" si="5"/>
        <v>#DIV/0!</v>
      </c>
      <c r="U25" s="97" t="e">
        <f t="shared" si="6"/>
        <v>#DIV/0!</v>
      </c>
      <c r="V25" s="87"/>
      <c r="W25" s="74"/>
      <c r="X25" s="74"/>
      <c r="Y25" s="96" t="e">
        <f t="shared" si="13"/>
        <v>#DIV/0!</v>
      </c>
      <c r="Z25" s="74"/>
      <c r="AA25" s="96" t="e">
        <f t="shared" si="7"/>
        <v>#DIV/0!</v>
      </c>
      <c r="AB25" s="97" t="e">
        <f t="shared" si="14"/>
        <v>#DIV/0!</v>
      </c>
      <c r="AC25" s="87"/>
      <c r="AD25" s="74"/>
      <c r="AE25" s="74"/>
      <c r="AF25" s="96" t="e">
        <f t="shared" si="8"/>
        <v>#DIV/0!</v>
      </c>
      <c r="AG25" s="74"/>
      <c r="AH25" s="96" t="e">
        <f t="shared" si="9"/>
        <v>#DIV/0!</v>
      </c>
      <c r="AI25" s="97" t="e">
        <f t="shared" si="10"/>
        <v>#DIV/0!</v>
      </c>
    </row>
    <row r="26" spans="1:35" ht="15">
      <c r="A26" s="90">
        <v>44736</v>
      </c>
      <c r="B26" s="74"/>
      <c r="C26" s="74"/>
      <c r="D26" s="96" t="e">
        <f t="shared" si="11"/>
        <v>#DIV/0!</v>
      </c>
      <c r="E26" s="64"/>
      <c r="F26" s="96" t="e">
        <f t="shared" si="0"/>
        <v>#DIV/0!</v>
      </c>
      <c r="G26" s="97" t="e">
        <f t="shared" si="1"/>
        <v>#DIV/0!</v>
      </c>
      <c r="H26" s="87"/>
      <c r="I26" s="74"/>
      <c r="J26" s="74"/>
      <c r="K26" s="96" t="e">
        <f t="shared" si="2"/>
        <v>#DIV/0!</v>
      </c>
      <c r="L26" s="74"/>
      <c r="M26" s="96" t="e">
        <f t="shared" si="3"/>
        <v>#DIV/0!</v>
      </c>
      <c r="N26" s="97" t="e">
        <f t="shared" si="12"/>
        <v>#DIV/0!</v>
      </c>
      <c r="O26" s="87"/>
      <c r="P26" s="74"/>
      <c r="Q26" s="74"/>
      <c r="R26" s="96" t="e">
        <f t="shared" si="4"/>
        <v>#DIV/0!</v>
      </c>
      <c r="S26" s="74"/>
      <c r="T26" s="96" t="e">
        <f t="shared" si="5"/>
        <v>#DIV/0!</v>
      </c>
      <c r="U26" s="97" t="e">
        <f t="shared" si="6"/>
        <v>#DIV/0!</v>
      </c>
      <c r="V26" s="87"/>
      <c r="W26" s="74"/>
      <c r="X26" s="74"/>
      <c r="Y26" s="96" t="e">
        <f t="shared" si="13"/>
        <v>#DIV/0!</v>
      </c>
      <c r="Z26" s="74"/>
      <c r="AA26" s="96" t="e">
        <f t="shared" si="7"/>
        <v>#DIV/0!</v>
      </c>
      <c r="AB26" s="97" t="e">
        <f t="shared" si="14"/>
        <v>#DIV/0!</v>
      </c>
      <c r="AC26" s="87"/>
      <c r="AD26" s="74"/>
      <c r="AE26" s="74"/>
      <c r="AF26" s="96" t="e">
        <f t="shared" si="8"/>
        <v>#DIV/0!</v>
      </c>
      <c r="AG26" s="74"/>
      <c r="AH26" s="96" t="e">
        <f t="shared" si="9"/>
        <v>#DIV/0!</v>
      </c>
      <c r="AI26" s="97" t="e">
        <f t="shared" si="10"/>
        <v>#DIV/0!</v>
      </c>
    </row>
    <row r="27" spans="1:35" ht="15">
      <c r="A27" s="90">
        <v>44737</v>
      </c>
      <c r="B27" s="74"/>
      <c r="C27" s="74"/>
      <c r="D27" s="96" t="e">
        <f t="shared" si="11"/>
        <v>#DIV/0!</v>
      </c>
      <c r="E27" s="64"/>
      <c r="F27" s="96" t="e">
        <f t="shared" si="0"/>
        <v>#DIV/0!</v>
      </c>
      <c r="G27" s="97" t="e">
        <f t="shared" si="1"/>
        <v>#DIV/0!</v>
      </c>
      <c r="H27" s="87"/>
      <c r="I27" s="74"/>
      <c r="J27" s="74"/>
      <c r="K27" s="96" t="e">
        <f t="shared" si="2"/>
        <v>#DIV/0!</v>
      </c>
      <c r="L27" s="74"/>
      <c r="M27" s="96" t="e">
        <f t="shared" si="3"/>
        <v>#DIV/0!</v>
      </c>
      <c r="N27" s="97" t="e">
        <f t="shared" si="12"/>
        <v>#DIV/0!</v>
      </c>
      <c r="O27" s="87"/>
      <c r="P27" s="74"/>
      <c r="Q27" s="74"/>
      <c r="R27" s="96" t="e">
        <f t="shared" si="4"/>
        <v>#DIV/0!</v>
      </c>
      <c r="S27" s="74"/>
      <c r="T27" s="96" t="e">
        <f t="shared" si="5"/>
        <v>#DIV/0!</v>
      </c>
      <c r="U27" s="97" t="e">
        <f t="shared" si="6"/>
        <v>#DIV/0!</v>
      </c>
      <c r="V27" s="87"/>
      <c r="W27" s="74"/>
      <c r="X27" s="74"/>
      <c r="Y27" s="96" t="e">
        <f t="shared" si="13"/>
        <v>#DIV/0!</v>
      </c>
      <c r="Z27" s="74"/>
      <c r="AA27" s="96" t="e">
        <f t="shared" si="7"/>
        <v>#DIV/0!</v>
      </c>
      <c r="AB27" s="97" t="e">
        <f t="shared" si="14"/>
        <v>#DIV/0!</v>
      </c>
      <c r="AC27" s="87"/>
      <c r="AD27" s="74"/>
      <c r="AE27" s="74"/>
      <c r="AF27" s="96" t="e">
        <f t="shared" si="8"/>
        <v>#DIV/0!</v>
      </c>
      <c r="AG27" s="74"/>
      <c r="AH27" s="96" t="e">
        <f t="shared" si="9"/>
        <v>#DIV/0!</v>
      </c>
      <c r="AI27" s="97" t="e">
        <f t="shared" si="10"/>
        <v>#DIV/0!</v>
      </c>
    </row>
    <row r="28" spans="1:35" ht="15">
      <c r="A28" s="90">
        <v>44738</v>
      </c>
      <c r="B28" s="74"/>
      <c r="C28" s="74"/>
      <c r="D28" s="96" t="e">
        <f>C28/B28</f>
        <v>#DIV/0!</v>
      </c>
      <c r="E28" s="64"/>
      <c r="F28" s="96" t="e">
        <f>E28/B28</f>
        <v>#DIV/0!</v>
      </c>
      <c r="G28" s="97" t="e">
        <f>F28/D28</f>
        <v>#DIV/0!</v>
      </c>
      <c r="H28" s="87"/>
      <c r="I28" s="74"/>
      <c r="J28" s="74"/>
      <c r="K28" s="96" t="e">
        <f>J28/I28</f>
        <v>#DIV/0!</v>
      </c>
      <c r="L28" s="74"/>
      <c r="M28" s="96" t="e">
        <f>L28/I28</f>
        <v>#DIV/0!</v>
      </c>
      <c r="N28" s="97" t="e">
        <f>M28/K28</f>
        <v>#DIV/0!</v>
      </c>
      <c r="O28" s="87"/>
      <c r="P28" s="74"/>
      <c r="Q28" s="74"/>
      <c r="R28" s="96" t="e">
        <f>Q28/P28</f>
        <v>#DIV/0!</v>
      </c>
      <c r="S28" s="74"/>
      <c r="T28" s="96" t="e">
        <f>S28/P28</f>
        <v>#DIV/0!</v>
      </c>
      <c r="U28" s="97" t="e">
        <f>T28/R28</f>
        <v>#DIV/0!</v>
      </c>
      <c r="V28" s="87"/>
      <c r="W28" s="74"/>
      <c r="X28" s="74"/>
      <c r="Y28" s="96" t="e">
        <f>X28/W28</f>
        <v>#DIV/0!</v>
      </c>
      <c r="Z28" s="74"/>
      <c r="AA28" s="96" t="e">
        <f>Z28/W28</f>
        <v>#DIV/0!</v>
      </c>
      <c r="AB28" s="97" t="e">
        <f>AA28/Y28</f>
        <v>#DIV/0!</v>
      </c>
      <c r="AC28" s="87"/>
      <c r="AD28" s="74"/>
      <c r="AE28" s="74"/>
      <c r="AF28" s="96" t="e">
        <f>AE28/AD28</f>
        <v>#DIV/0!</v>
      </c>
      <c r="AG28" s="74"/>
      <c r="AH28" s="96" t="e">
        <f>AG28/AD28</f>
        <v>#DIV/0!</v>
      </c>
      <c r="AI28" s="97" t="e">
        <f>AH28/AF28</f>
        <v>#DIV/0!</v>
      </c>
    </row>
    <row r="29" spans="1:35" ht="15">
      <c r="A29" s="90">
        <v>44739</v>
      </c>
      <c r="B29" s="74"/>
      <c r="C29" s="74"/>
      <c r="D29" s="96" t="e">
        <f t="shared" ref="D29:D33" si="15">C29/B29</f>
        <v>#DIV/0!</v>
      </c>
      <c r="E29" s="64"/>
      <c r="F29" s="96" t="e">
        <f t="shared" ref="F29:F33" si="16">E29/B29</f>
        <v>#DIV/0!</v>
      </c>
      <c r="G29" s="97" t="e">
        <f t="shared" ref="G29:G33" si="17">F29/D29</f>
        <v>#DIV/0!</v>
      </c>
      <c r="H29" s="87"/>
      <c r="I29" s="74"/>
      <c r="J29" s="74"/>
      <c r="K29" s="96" t="e">
        <f t="shared" ref="K29:K33" si="18">J29/I29</f>
        <v>#DIV/0!</v>
      </c>
      <c r="L29" s="74"/>
      <c r="M29" s="96" t="e">
        <f t="shared" ref="M29:M33" si="19">L29/I29</f>
        <v>#DIV/0!</v>
      </c>
      <c r="N29" s="97" t="e">
        <f>M29/K29</f>
        <v>#DIV/0!</v>
      </c>
      <c r="O29" s="87"/>
      <c r="P29" s="74"/>
      <c r="Q29" s="74"/>
      <c r="R29" s="96" t="e">
        <f t="shared" ref="R29:R33" si="20">Q29/P29</f>
        <v>#DIV/0!</v>
      </c>
      <c r="S29" s="74"/>
      <c r="T29" s="96" t="e">
        <f t="shared" si="5"/>
        <v>#DIV/0!</v>
      </c>
      <c r="U29" s="97" t="e">
        <f t="shared" ref="U29:U33" si="21">T29/R29</f>
        <v>#DIV/0!</v>
      </c>
      <c r="V29" s="87"/>
      <c r="W29" s="74"/>
      <c r="X29" s="74"/>
      <c r="Y29" s="96" t="e">
        <f t="shared" ref="Y29:Y33" si="22">X29/W29</f>
        <v>#DIV/0!</v>
      </c>
      <c r="Z29" s="74"/>
      <c r="AA29" s="96" t="e">
        <f>Z29/W29</f>
        <v>#DIV/0!</v>
      </c>
      <c r="AB29" s="97" t="e">
        <f t="shared" ref="AB29:AB33" si="23">AA29/Y29</f>
        <v>#DIV/0!</v>
      </c>
      <c r="AC29" s="87"/>
      <c r="AD29" s="74"/>
      <c r="AE29" s="74"/>
      <c r="AF29" s="96" t="e">
        <f t="shared" ref="AF29:AF33" si="24">AE29/AD29</f>
        <v>#DIV/0!</v>
      </c>
      <c r="AG29" s="74"/>
      <c r="AH29" s="96" t="e">
        <f t="shared" ref="AH29:AH33" si="25">AG29/AD29</f>
        <v>#DIV/0!</v>
      </c>
      <c r="AI29" s="97" t="e">
        <f t="shared" ref="AI29:AI33" si="26">AH29/AF29</f>
        <v>#DIV/0!</v>
      </c>
    </row>
    <row r="30" spans="1:35" ht="15">
      <c r="A30" s="90">
        <v>44740</v>
      </c>
      <c r="B30" s="74"/>
      <c r="C30" s="74"/>
      <c r="D30" s="96" t="e">
        <f t="shared" si="15"/>
        <v>#DIV/0!</v>
      </c>
      <c r="E30" s="64"/>
      <c r="F30" s="96" t="e">
        <f t="shared" si="16"/>
        <v>#DIV/0!</v>
      </c>
      <c r="G30" s="97" t="e">
        <f t="shared" si="17"/>
        <v>#DIV/0!</v>
      </c>
      <c r="H30" s="87"/>
      <c r="I30" s="74"/>
      <c r="J30" s="74"/>
      <c r="K30" s="96" t="e">
        <f t="shared" si="18"/>
        <v>#DIV/0!</v>
      </c>
      <c r="L30" s="74"/>
      <c r="M30" s="96" t="e">
        <f t="shared" si="19"/>
        <v>#DIV/0!</v>
      </c>
      <c r="N30" s="97" t="e">
        <f t="shared" ref="N30:N33" si="27">M30/K30</f>
        <v>#DIV/0!</v>
      </c>
      <c r="O30" s="87"/>
      <c r="P30" s="74"/>
      <c r="Q30" s="74"/>
      <c r="R30" s="96" t="e">
        <f t="shared" si="20"/>
        <v>#DIV/0!</v>
      </c>
      <c r="S30" s="74"/>
      <c r="T30" s="96" t="e">
        <f t="shared" si="5"/>
        <v>#DIV/0!</v>
      </c>
      <c r="U30" s="97" t="e">
        <f t="shared" si="21"/>
        <v>#DIV/0!</v>
      </c>
      <c r="V30" s="87"/>
      <c r="W30" s="74"/>
      <c r="X30" s="74"/>
      <c r="Y30" s="96" t="e">
        <f t="shared" si="22"/>
        <v>#DIV/0!</v>
      </c>
      <c r="Z30" s="74"/>
      <c r="AA30" s="96" t="e">
        <f t="shared" si="7"/>
        <v>#DIV/0!</v>
      </c>
      <c r="AB30" s="97" t="e">
        <f t="shared" si="23"/>
        <v>#DIV/0!</v>
      </c>
      <c r="AC30" s="87"/>
      <c r="AD30" s="74"/>
      <c r="AE30" s="74"/>
      <c r="AF30" s="96" t="e">
        <f t="shared" si="24"/>
        <v>#DIV/0!</v>
      </c>
      <c r="AG30" s="74"/>
      <c r="AH30" s="96" t="e">
        <f t="shared" si="25"/>
        <v>#DIV/0!</v>
      </c>
      <c r="AI30" s="97" t="e">
        <f t="shared" si="26"/>
        <v>#DIV/0!</v>
      </c>
    </row>
    <row r="31" spans="1:35" ht="15">
      <c r="A31" s="90">
        <v>44741</v>
      </c>
      <c r="B31" s="74"/>
      <c r="C31" s="74"/>
      <c r="D31" s="96" t="e">
        <f t="shared" si="15"/>
        <v>#DIV/0!</v>
      </c>
      <c r="E31" s="64"/>
      <c r="F31" s="96" t="e">
        <f t="shared" si="16"/>
        <v>#DIV/0!</v>
      </c>
      <c r="G31" s="97" t="e">
        <f t="shared" si="17"/>
        <v>#DIV/0!</v>
      </c>
      <c r="H31" s="87"/>
      <c r="I31" s="74"/>
      <c r="J31" s="74"/>
      <c r="K31" s="96" t="e">
        <f t="shared" si="18"/>
        <v>#DIV/0!</v>
      </c>
      <c r="L31" s="74"/>
      <c r="M31" s="96" t="e">
        <f t="shared" si="19"/>
        <v>#DIV/0!</v>
      </c>
      <c r="N31" s="97" t="e">
        <f t="shared" si="27"/>
        <v>#DIV/0!</v>
      </c>
      <c r="O31" s="87"/>
      <c r="P31" s="74"/>
      <c r="Q31" s="74"/>
      <c r="R31" s="96" t="e">
        <f t="shared" si="20"/>
        <v>#DIV/0!</v>
      </c>
      <c r="S31" s="74"/>
      <c r="T31" s="96" t="e">
        <f t="shared" si="5"/>
        <v>#DIV/0!</v>
      </c>
      <c r="U31" s="97" t="e">
        <f t="shared" si="21"/>
        <v>#DIV/0!</v>
      </c>
      <c r="V31" s="87"/>
      <c r="W31" s="74"/>
      <c r="X31" s="74"/>
      <c r="Y31" s="96" t="e">
        <f t="shared" si="22"/>
        <v>#DIV/0!</v>
      </c>
      <c r="Z31" s="74"/>
      <c r="AA31" s="96" t="e">
        <f t="shared" si="7"/>
        <v>#DIV/0!</v>
      </c>
      <c r="AB31" s="97" t="e">
        <f t="shared" si="23"/>
        <v>#DIV/0!</v>
      </c>
      <c r="AC31" s="87"/>
      <c r="AD31" s="74"/>
      <c r="AE31" s="74"/>
      <c r="AF31" s="96" t="e">
        <f t="shared" si="24"/>
        <v>#DIV/0!</v>
      </c>
      <c r="AG31" s="74"/>
      <c r="AH31" s="96" t="e">
        <f t="shared" si="25"/>
        <v>#DIV/0!</v>
      </c>
      <c r="AI31" s="97" t="e">
        <f t="shared" si="26"/>
        <v>#DIV/0!</v>
      </c>
    </row>
    <row r="32" spans="1:35" ht="15">
      <c r="A32" s="90">
        <v>44742</v>
      </c>
      <c r="B32" s="74"/>
      <c r="C32" s="74"/>
      <c r="D32" s="96" t="e">
        <f t="shared" si="15"/>
        <v>#DIV/0!</v>
      </c>
      <c r="E32" s="64"/>
      <c r="F32" s="96" t="e">
        <f t="shared" si="16"/>
        <v>#DIV/0!</v>
      </c>
      <c r="G32" s="97" t="e">
        <f t="shared" si="17"/>
        <v>#DIV/0!</v>
      </c>
      <c r="H32" s="87"/>
      <c r="I32" s="74"/>
      <c r="J32" s="74"/>
      <c r="K32" s="96" t="e">
        <f t="shared" si="18"/>
        <v>#DIV/0!</v>
      </c>
      <c r="L32" s="74"/>
      <c r="M32" s="96" t="e">
        <f t="shared" si="19"/>
        <v>#DIV/0!</v>
      </c>
      <c r="N32" s="97" t="e">
        <f t="shared" si="27"/>
        <v>#DIV/0!</v>
      </c>
      <c r="O32" s="87"/>
      <c r="P32" s="74"/>
      <c r="Q32" s="74"/>
      <c r="R32" s="96" t="e">
        <f t="shared" si="20"/>
        <v>#DIV/0!</v>
      </c>
      <c r="S32" s="74"/>
      <c r="T32" s="96" t="e">
        <f t="shared" si="5"/>
        <v>#DIV/0!</v>
      </c>
      <c r="U32" s="97" t="e">
        <f t="shared" si="21"/>
        <v>#DIV/0!</v>
      </c>
      <c r="V32" s="87"/>
      <c r="W32" s="74"/>
      <c r="X32" s="74"/>
      <c r="Y32" s="96" t="e">
        <f t="shared" si="22"/>
        <v>#DIV/0!</v>
      </c>
      <c r="Z32" s="74"/>
      <c r="AA32" s="96" t="e">
        <f t="shared" si="7"/>
        <v>#DIV/0!</v>
      </c>
      <c r="AB32" s="97" t="e">
        <f t="shared" si="23"/>
        <v>#DIV/0!</v>
      </c>
      <c r="AC32" s="87"/>
      <c r="AD32" s="74"/>
      <c r="AE32" s="74"/>
      <c r="AF32" s="96" t="e">
        <f t="shared" si="24"/>
        <v>#DIV/0!</v>
      </c>
      <c r="AG32" s="74"/>
      <c r="AH32" s="96" t="e">
        <f t="shared" si="25"/>
        <v>#DIV/0!</v>
      </c>
      <c r="AI32" s="97" t="e">
        <f t="shared" si="26"/>
        <v>#DIV/0!</v>
      </c>
    </row>
    <row r="33" spans="1:35" ht="15">
      <c r="A33" s="90"/>
      <c r="B33" s="75"/>
      <c r="C33" s="75"/>
      <c r="D33" s="96" t="e">
        <f t="shared" si="15"/>
        <v>#DIV/0!</v>
      </c>
      <c r="E33" s="64"/>
      <c r="F33" s="96" t="e">
        <f t="shared" si="16"/>
        <v>#DIV/0!</v>
      </c>
      <c r="G33" s="97" t="e">
        <f t="shared" si="17"/>
        <v>#DIV/0!</v>
      </c>
      <c r="H33" s="87"/>
      <c r="I33" s="75"/>
      <c r="J33" s="75"/>
      <c r="K33" s="96" t="e">
        <f t="shared" si="18"/>
        <v>#DIV/0!</v>
      </c>
      <c r="L33" s="74"/>
      <c r="M33" s="96" t="e">
        <f t="shared" si="19"/>
        <v>#DIV/0!</v>
      </c>
      <c r="N33" s="97" t="e">
        <f t="shared" si="27"/>
        <v>#DIV/0!</v>
      </c>
      <c r="O33" s="87"/>
      <c r="P33" s="75"/>
      <c r="Q33" s="75"/>
      <c r="R33" s="96" t="e">
        <f t="shared" si="20"/>
        <v>#DIV/0!</v>
      </c>
      <c r="S33" s="74"/>
      <c r="T33" s="96" t="e">
        <f t="shared" si="5"/>
        <v>#DIV/0!</v>
      </c>
      <c r="U33" s="97" t="e">
        <f t="shared" si="21"/>
        <v>#DIV/0!</v>
      </c>
      <c r="V33" s="87"/>
      <c r="W33" s="75"/>
      <c r="X33" s="75"/>
      <c r="Y33" s="96" t="e">
        <f t="shared" si="22"/>
        <v>#DIV/0!</v>
      </c>
      <c r="Z33" s="74"/>
      <c r="AA33" s="96" t="e">
        <f t="shared" si="7"/>
        <v>#DIV/0!</v>
      </c>
      <c r="AB33" s="97" t="e">
        <f t="shared" si="23"/>
        <v>#DIV/0!</v>
      </c>
      <c r="AC33" s="87"/>
      <c r="AD33" s="75"/>
      <c r="AE33" s="75"/>
      <c r="AF33" s="96" t="e">
        <f t="shared" si="24"/>
        <v>#DIV/0!</v>
      </c>
      <c r="AG33" s="74"/>
      <c r="AH33" s="96" t="e">
        <f t="shared" si="25"/>
        <v>#DIV/0!</v>
      </c>
      <c r="AI33" s="97" t="e">
        <f t="shared" si="26"/>
        <v>#DIV/0!</v>
      </c>
    </row>
    <row r="34" spans="1:35" ht="27" customHeight="1">
      <c r="A34" s="122" t="s">
        <v>83</v>
      </c>
      <c r="B34" s="123">
        <f>SUM(B3:B33)</f>
        <v>312</v>
      </c>
      <c r="C34" s="123">
        <f t="shared" ref="C34:AI34" si="28">SUM(C3:C33)</f>
        <v>43694</v>
      </c>
      <c r="D34" s="123" t="e">
        <f t="shared" si="28"/>
        <v>#DIV/0!</v>
      </c>
      <c r="E34" s="123">
        <f t="shared" si="28"/>
        <v>195020</v>
      </c>
      <c r="F34" s="123" t="e">
        <f t="shared" si="28"/>
        <v>#DIV/0!</v>
      </c>
      <c r="G34" s="123" t="e">
        <f t="shared" si="28"/>
        <v>#DIV/0!</v>
      </c>
      <c r="H34" s="123"/>
      <c r="I34" s="123">
        <f t="shared" si="28"/>
        <v>214</v>
      </c>
      <c r="J34" s="123">
        <f t="shared" si="28"/>
        <v>30558</v>
      </c>
      <c r="K34" s="123" t="e">
        <f t="shared" si="28"/>
        <v>#DIV/0!</v>
      </c>
      <c r="L34" s="123">
        <f t="shared" si="28"/>
        <v>137225</v>
      </c>
      <c r="M34" s="123" t="e">
        <f t="shared" si="28"/>
        <v>#DIV/0!</v>
      </c>
      <c r="N34" s="123" t="e">
        <f t="shared" si="28"/>
        <v>#DIV/0!</v>
      </c>
      <c r="O34" s="123"/>
      <c r="P34" s="123"/>
      <c r="Q34" s="123"/>
      <c r="R34" s="123" t="e">
        <f t="shared" si="28"/>
        <v>#DIV/0!</v>
      </c>
      <c r="S34" s="123">
        <f t="shared" si="28"/>
        <v>103052</v>
      </c>
      <c r="T34" s="123" t="e">
        <f t="shared" si="28"/>
        <v>#DIV/0!</v>
      </c>
      <c r="U34" s="123" t="e">
        <f t="shared" si="28"/>
        <v>#DIV/0!</v>
      </c>
      <c r="V34" s="123"/>
      <c r="W34" s="123">
        <f t="shared" si="28"/>
        <v>112</v>
      </c>
      <c r="X34" s="123">
        <f t="shared" si="28"/>
        <v>17792</v>
      </c>
      <c r="Y34" s="123" t="e">
        <f t="shared" si="28"/>
        <v>#DIV/0!</v>
      </c>
      <c r="Z34" s="123">
        <f t="shared" si="28"/>
        <v>70275</v>
      </c>
      <c r="AA34" s="123" t="e">
        <f t="shared" si="28"/>
        <v>#DIV/0!</v>
      </c>
      <c r="AB34" s="123" t="e">
        <f t="shared" si="28"/>
        <v>#DIV/0!</v>
      </c>
      <c r="AC34" s="123"/>
      <c r="AD34" s="123">
        <f t="shared" si="28"/>
        <v>248</v>
      </c>
      <c r="AE34" s="123">
        <f t="shared" si="28"/>
        <v>34068</v>
      </c>
      <c r="AF34" s="123" t="e">
        <f t="shared" si="28"/>
        <v>#DIV/0!</v>
      </c>
      <c r="AG34" s="123">
        <f t="shared" si="28"/>
        <v>157278</v>
      </c>
      <c r="AH34" s="123" t="e">
        <f t="shared" si="28"/>
        <v>#DIV/0!</v>
      </c>
      <c r="AI34" s="123" t="e">
        <f t="shared" si="28"/>
        <v>#DIV/0!</v>
      </c>
    </row>
    <row r="65" spans="5:5">
      <c r="E65">
        <v>0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  <pageSetup paperSize="9" fitToHeight="0" orientation="landscape"/>
  <ignoredErrors>
    <ignoredError sqref="AF19 F27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L46"/>
  <sheetViews>
    <sheetView showGridLines="0" workbookViewId="0">
      <pane ySplit="2" topLeftCell="K9" activePane="bottomLeft" state="frozen"/>
      <selection pane="bottomLeft" activeCell="K9" sqref="K9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  <col min="10" max="10" width="29.7109375" customWidth="1"/>
    <col min="11" max="11" width="50.28515625" style="1" customWidth="1"/>
    <col min="12" max="12" width="23.28515625" customWidth="1"/>
  </cols>
  <sheetData>
    <row r="1" spans="1:12" ht="15">
      <c r="A1" s="135">
        <v>44713</v>
      </c>
      <c r="B1" s="156" t="s">
        <v>84</v>
      </c>
      <c r="C1" s="156"/>
      <c r="D1" s="156" t="s">
        <v>85</v>
      </c>
      <c r="E1" s="156"/>
      <c r="F1" s="156" t="s">
        <v>86</v>
      </c>
      <c r="G1" s="156"/>
      <c r="H1" s="156" t="s">
        <v>87</v>
      </c>
      <c r="I1" s="156"/>
      <c r="J1" s="120"/>
      <c r="K1" s="125"/>
      <c r="L1" s="120"/>
    </row>
    <row r="2" spans="1:12" ht="15">
      <c r="A2" s="121" t="s">
        <v>88</v>
      </c>
      <c r="B2" s="119">
        <v>2021</v>
      </c>
      <c r="C2" s="119">
        <v>2022</v>
      </c>
      <c r="D2" s="119">
        <v>2021</v>
      </c>
      <c r="E2" s="119">
        <v>2022</v>
      </c>
      <c r="F2" s="119">
        <v>2021</v>
      </c>
      <c r="G2" s="119">
        <v>2022</v>
      </c>
      <c r="H2" s="119">
        <v>2021</v>
      </c>
      <c r="I2" s="119">
        <v>2022</v>
      </c>
      <c r="J2" s="121" t="s">
        <v>89</v>
      </c>
      <c r="K2" s="121" t="s">
        <v>90</v>
      </c>
      <c r="L2" s="121" t="s">
        <v>91</v>
      </c>
    </row>
    <row r="3" spans="1:12" ht="15">
      <c r="A3" s="104">
        <v>1</v>
      </c>
      <c r="B3" s="115">
        <v>54.22</v>
      </c>
      <c r="C3" s="116">
        <f>'FS Seychelles'!B3</f>
        <v>56.6</v>
      </c>
      <c r="D3" s="117">
        <v>24577</v>
      </c>
      <c r="E3" s="136">
        <f>SUM('FS Seychelles'!M3:Q3)</f>
        <v>34905</v>
      </c>
      <c r="F3" s="117">
        <v>6751</v>
      </c>
      <c r="G3" s="118">
        <f>'FS Seychelles'!R3</f>
        <v>8020</v>
      </c>
      <c r="H3" s="117">
        <v>559</v>
      </c>
      <c r="I3" s="118">
        <f>SUM('FS Seychelles'!V3:AC3)</f>
        <v>536</v>
      </c>
      <c r="J3" s="114"/>
      <c r="K3" s="126"/>
      <c r="L3" s="104"/>
    </row>
    <row r="4" spans="1:12" ht="15">
      <c r="A4" s="72">
        <v>2</v>
      </c>
      <c r="B4" s="103">
        <v>55.81</v>
      </c>
      <c r="C4" s="116">
        <f>'FS Seychelles'!B4</f>
        <v>69.7</v>
      </c>
      <c r="D4" s="113">
        <v>30096</v>
      </c>
      <c r="E4" s="113">
        <f>SUM('FS Seychelles'!M4:Q4)</f>
        <v>34551</v>
      </c>
      <c r="F4" s="113">
        <v>8513</v>
      </c>
      <c r="G4" s="138">
        <f>'FS Seychelles'!R4</f>
        <v>7359</v>
      </c>
      <c r="H4" s="113">
        <v>471</v>
      </c>
      <c r="I4" s="118">
        <f>SUM('FS Seychelles'!V4:AC4)</f>
        <v>462</v>
      </c>
      <c r="J4" s="101"/>
      <c r="K4" s="127"/>
      <c r="L4" s="72"/>
    </row>
    <row r="5" spans="1:12" ht="15">
      <c r="A5" s="72">
        <v>3</v>
      </c>
      <c r="B5" s="103">
        <v>61.73</v>
      </c>
      <c r="C5" s="116">
        <f>'FS Seychelles'!B5</f>
        <v>68.400000000000006</v>
      </c>
      <c r="D5" s="113">
        <v>28507.75</v>
      </c>
      <c r="E5" s="113">
        <f>SUM('FS Seychelles'!M5:Q5)</f>
        <v>32996</v>
      </c>
      <c r="F5" s="113">
        <v>7769.375</v>
      </c>
      <c r="G5" s="138">
        <f>'FS Seychelles'!R5</f>
        <v>7753</v>
      </c>
      <c r="H5" s="113">
        <v>558</v>
      </c>
      <c r="I5" s="118">
        <f>SUM('FS Seychelles'!V5:AC5)</f>
        <v>598</v>
      </c>
      <c r="J5" s="108"/>
      <c r="K5" s="128"/>
      <c r="L5" s="101"/>
    </row>
    <row r="6" spans="1:12" ht="15">
      <c r="A6" s="72">
        <v>4</v>
      </c>
      <c r="B6" s="103">
        <v>60.49</v>
      </c>
      <c r="C6" s="116">
        <f>'FS Seychelles'!B6</f>
        <v>63.2</v>
      </c>
      <c r="D6" s="113">
        <v>28507.75</v>
      </c>
      <c r="E6" s="113">
        <f>SUM('FS Seychelles'!M6:Q6)</f>
        <v>32944</v>
      </c>
      <c r="F6" s="113">
        <v>7769.375</v>
      </c>
      <c r="G6" s="138">
        <f>'FS Seychelles'!R6</f>
        <v>7051</v>
      </c>
      <c r="H6" s="113">
        <v>558</v>
      </c>
      <c r="I6" s="124">
        <f>SUM('FS Seychelles'!V6:AC6)</f>
        <v>563.59999999999991</v>
      </c>
      <c r="J6" s="108"/>
      <c r="K6" s="128"/>
      <c r="L6" s="101"/>
    </row>
    <row r="7" spans="1:12" ht="15.75">
      <c r="A7" s="72">
        <v>5</v>
      </c>
      <c r="B7" s="103">
        <v>61.04</v>
      </c>
      <c r="C7" s="116">
        <f>'FS Seychelles'!B7</f>
        <v>69.7</v>
      </c>
      <c r="D7" s="113">
        <v>29528</v>
      </c>
      <c r="E7" s="113">
        <f>SUM('FS Seychelles'!M7:Q7)</f>
        <v>35661</v>
      </c>
      <c r="F7" s="113">
        <v>8743</v>
      </c>
      <c r="G7" s="138">
        <f>'FS Seychelles'!R7</f>
        <v>8057</v>
      </c>
      <c r="H7" s="113">
        <v>558</v>
      </c>
      <c r="I7" s="124">
        <f>SUM('FS Seychelles'!V7:AC7)</f>
        <v>618</v>
      </c>
      <c r="J7" s="108"/>
      <c r="K7" s="129"/>
      <c r="L7" s="101"/>
    </row>
    <row r="8" spans="1:12" ht="15.75">
      <c r="A8" s="72">
        <v>6</v>
      </c>
      <c r="B8" s="103">
        <v>46.75</v>
      </c>
      <c r="C8" s="116">
        <f>'FS Seychelles'!B8</f>
        <v>61.8</v>
      </c>
      <c r="D8" s="113">
        <v>25779</v>
      </c>
      <c r="E8" s="113">
        <f>SUM('FS Seychelles'!M8:Q8)</f>
        <v>32497</v>
      </c>
      <c r="F8" s="113">
        <v>6806</v>
      </c>
      <c r="G8" s="102">
        <f>'FS Seychelles'!R8</f>
        <v>7071</v>
      </c>
      <c r="H8" s="113">
        <v>490</v>
      </c>
      <c r="I8" s="118">
        <f>SUM('FS Seychelles'!V8:AC8)</f>
        <v>585</v>
      </c>
      <c r="J8" s="108"/>
      <c r="K8" s="129"/>
      <c r="L8" s="101"/>
    </row>
    <row r="9" spans="1:12" ht="15.75">
      <c r="A9" s="72">
        <v>7</v>
      </c>
      <c r="B9" s="103">
        <v>48.05</v>
      </c>
      <c r="C9" s="116">
        <f>'FS Seychelles'!B9</f>
        <v>57.9</v>
      </c>
      <c r="D9" s="113">
        <v>30423</v>
      </c>
      <c r="E9" s="113">
        <f>SUM('FS Seychelles'!M9:Q9)</f>
        <v>37469</v>
      </c>
      <c r="F9" s="113">
        <v>8525</v>
      </c>
      <c r="G9" s="138">
        <f>'FS Seychelles'!R9</f>
        <v>8298</v>
      </c>
      <c r="H9" s="113">
        <v>562</v>
      </c>
      <c r="I9" s="118">
        <f>SUM('FS Seychelles'!V9:AC9)</f>
        <v>625</v>
      </c>
      <c r="J9" s="108"/>
      <c r="K9" s="129"/>
      <c r="L9" s="101"/>
    </row>
    <row r="10" spans="1:12" ht="15.75">
      <c r="A10" s="72">
        <v>8</v>
      </c>
      <c r="B10" s="103">
        <v>51.95</v>
      </c>
      <c r="C10" s="116">
        <f>'FS Seychelles'!B10</f>
        <v>56.6</v>
      </c>
      <c r="D10" s="113">
        <v>28427</v>
      </c>
      <c r="E10" s="113">
        <f>SUM('FS Seychelles'!M10:Q10)</f>
        <v>42031</v>
      </c>
      <c r="F10" s="113">
        <v>7404</v>
      </c>
      <c r="G10" s="102">
        <f>'FS Seychelles'!R10</f>
        <v>8520</v>
      </c>
      <c r="H10" s="113">
        <v>559.125</v>
      </c>
      <c r="I10" s="102">
        <f>SUM('FS Seychelles'!V10:AC10)</f>
        <v>537</v>
      </c>
      <c r="J10" s="108"/>
      <c r="K10" s="129"/>
      <c r="L10" s="101"/>
    </row>
    <row r="11" spans="1:12" ht="15.75">
      <c r="A11" s="72">
        <v>9</v>
      </c>
      <c r="B11" s="103">
        <v>55.84</v>
      </c>
      <c r="C11" s="116">
        <f>'FS Seychelles'!B11</f>
        <v>56.6</v>
      </c>
      <c r="D11" s="113">
        <v>27846</v>
      </c>
      <c r="E11" s="113">
        <f>SUM('FS Seychelles'!M11:Q11)</f>
        <v>36989</v>
      </c>
      <c r="F11" s="113">
        <v>7370</v>
      </c>
      <c r="G11" s="102">
        <f>'FS Seychelles'!R11</f>
        <v>8458</v>
      </c>
      <c r="H11" s="113">
        <v>536</v>
      </c>
      <c r="I11" s="102">
        <f>SUM('FS Seychelles'!V11:AC11)</f>
        <v>638</v>
      </c>
      <c r="J11" s="108"/>
      <c r="K11" s="129"/>
      <c r="L11" s="101"/>
    </row>
    <row r="12" spans="1:12" ht="15.75">
      <c r="A12" s="72">
        <v>10</v>
      </c>
      <c r="B12" s="103">
        <v>58.44</v>
      </c>
      <c r="C12" s="116">
        <f>'FS Seychelles'!B12</f>
        <v>48.9</v>
      </c>
      <c r="D12" s="113">
        <v>29658</v>
      </c>
      <c r="E12" s="137">
        <f>SUM('FS Seychelles'!M12:Q12)</f>
        <v>26452</v>
      </c>
      <c r="F12" s="113">
        <v>7613</v>
      </c>
      <c r="G12" s="138">
        <f>'FS Seychelles'!R12</f>
        <v>5504</v>
      </c>
      <c r="H12" s="113">
        <v>585</v>
      </c>
      <c r="I12" s="102">
        <f>SUM('FS Seychelles'!V12:AC12)</f>
        <v>588</v>
      </c>
      <c r="J12" s="108"/>
      <c r="K12" s="129"/>
      <c r="L12" s="101"/>
    </row>
    <row r="13" spans="1:12" ht="15.75">
      <c r="A13" s="72">
        <v>11</v>
      </c>
      <c r="B13" s="103">
        <v>55.84</v>
      </c>
      <c r="C13" s="116">
        <f>'FS Seychelles'!B13</f>
        <v>51.3</v>
      </c>
      <c r="D13" s="113">
        <v>29271</v>
      </c>
      <c r="E13" s="113">
        <f>SUM('FS Seychelles'!M13:Q13)</f>
        <v>31948</v>
      </c>
      <c r="F13" s="113">
        <v>8125</v>
      </c>
      <c r="G13" s="102">
        <f>'FS Seychelles'!R13</f>
        <v>8482</v>
      </c>
      <c r="H13" s="113">
        <v>609</v>
      </c>
      <c r="I13" s="102">
        <f>SUM('FS Seychelles'!V13:AC13)</f>
        <v>546</v>
      </c>
      <c r="J13" s="108"/>
      <c r="K13" s="129"/>
      <c r="L13" s="101"/>
    </row>
    <row r="14" spans="1:12" ht="15">
      <c r="A14" s="72">
        <v>12</v>
      </c>
      <c r="B14" s="103">
        <v>51.94</v>
      </c>
      <c r="C14" s="116">
        <f>'FS Seychelles'!B14</f>
        <v>57.9</v>
      </c>
      <c r="D14" s="113">
        <v>27130</v>
      </c>
      <c r="E14" s="113">
        <f>SUM('FS Seychelles'!M14:Q14)</f>
        <v>27725</v>
      </c>
      <c r="F14" s="113">
        <v>7569</v>
      </c>
      <c r="G14" s="138">
        <f>'FS Seychelles'!R14</f>
        <v>6225</v>
      </c>
      <c r="H14" s="113">
        <v>652</v>
      </c>
      <c r="I14" s="102">
        <f>SUM('FS Seychelles'!V14:AC14)</f>
        <v>672</v>
      </c>
      <c r="J14" s="108"/>
      <c r="K14" s="128"/>
      <c r="L14" s="101"/>
    </row>
    <row r="15" spans="1:12" ht="15">
      <c r="A15" s="72">
        <v>13</v>
      </c>
      <c r="B15" s="103">
        <v>50.64</v>
      </c>
      <c r="C15" s="116">
        <f>'FS Seychelles'!B15</f>
        <v>61.8</v>
      </c>
      <c r="D15" s="113">
        <v>28017</v>
      </c>
      <c r="E15" s="113">
        <f>SUM('FS Seychelles'!M15:Q15)</f>
        <v>29046</v>
      </c>
      <c r="F15" s="113">
        <v>7240</v>
      </c>
      <c r="G15" s="138">
        <f>'FS Seychelles'!R15</f>
        <v>6465</v>
      </c>
      <c r="H15" s="113">
        <v>566</v>
      </c>
      <c r="I15" s="102">
        <f>SUM('FS Seychelles'!V15:AC15)</f>
        <v>501</v>
      </c>
      <c r="J15" s="108"/>
      <c r="K15" s="128"/>
      <c r="L15" s="101"/>
    </row>
    <row r="16" spans="1:12" ht="15">
      <c r="A16" s="72">
        <v>14</v>
      </c>
      <c r="B16" s="103">
        <v>59.74</v>
      </c>
      <c r="C16" s="116">
        <f>'FS Seychelles'!B16</f>
        <v>67.099999999999994</v>
      </c>
      <c r="D16" s="113">
        <v>29246</v>
      </c>
      <c r="E16" s="113">
        <f>SUM('FS Seychelles'!M16:Q16)</f>
        <v>31179</v>
      </c>
      <c r="F16" s="113">
        <v>7951</v>
      </c>
      <c r="G16" s="138">
        <f>'FS Seychelles'!R16</f>
        <v>7104</v>
      </c>
      <c r="H16" s="113">
        <v>583</v>
      </c>
      <c r="I16" s="102">
        <f>SUM('FS Seychelles'!V16:AC16)</f>
        <v>605</v>
      </c>
      <c r="J16" s="101"/>
      <c r="K16" s="126"/>
      <c r="L16" s="72"/>
    </row>
    <row r="17" spans="1:12" ht="15">
      <c r="A17" s="72">
        <v>15</v>
      </c>
      <c r="B17" s="103">
        <v>80.7</v>
      </c>
      <c r="C17" s="116">
        <f>'FS Seychelles'!B17</f>
        <v>57.9</v>
      </c>
      <c r="D17" s="113">
        <v>28518</v>
      </c>
      <c r="E17" s="113">
        <f>SUM('FS Seychelles'!M17:Q17)</f>
        <v>27178</v>
      </c>
      <c r="F17" s="113">
        <v>7608</v>
      </c>
      <c r="G17" s="102">
        <f>'FS Seychelles'!R17</f>
        <v>6266</v>
      </c>
      <c r="H17" s="113">
        <v>594</v>
      </c>
      <c r="I17" s="102">
        <f>SUM('FS Seychelles'!V17:AC17)</f>
        <v>581</v>
      </c>
      <c r="J17" s="101"/>
      <c r="K17" s="130"/>
      <c r="L17" s="72"/>
    </row>
    <row r="18" spans="1:12" ht="15">
      <c r="A18" s="72">
        <v>16</v>
      </c>
      <c r="B18" s="103">
        <v>84.21</v>
      </c>
      <c r="C18" s="116">
        <f>'FS Seychelles'!B18</f>
        <v>48.7</v>
      </c>
      <c r="D18" s="113">
        <v>28810</v>
      </c>
      <c r="E18" s="113">
        <f>SUM('FS Seychelles'!M18:Q18)</f>
        <v>21828</v>
      </c>
      <c r="F18" s="113">
        <v>7725</v>
      </c>
      <c r="G18" s="102">
        <f>'FS Seychelles'!R18</f>
        <v>4721</v>
      </c>
      <c r="H18" s="113">
        <v>566</v>
      </c>
      <c r="I18" s="102">
        <f>SUM('FS Seychelles'!V18:AC18)</f>
        <v>610</v>
      </c>
      <c r="J18" s="101"/>
      <c r="K18" s="130"/>
      <c r="L18" s="72"/>
    </row>
    <row r="19" spans="1:12" ht="15">
      <c r="A19" s="72">
        <v>17</v>
      </c>
      <c r="B19" s="103">
        <v>67.8</v>
      </c>
      <c r="C19" s="116">
        <f>'FS Seychelles'!B19</f>
        <v>63.2</v>
      </c>
      <c r="D19" s="113">
        <v>28417</v>
      </c>
      <c r="E19" s="113">
        <f>SUM('FS Seychelles'!M19:Q19)</f>
        <v>26402</v>
      </c>
      <c r="F19" s="113">
        <v>7505</v>
      </c>
      <c r="G19" s="102">
        <f>'FS Seychelles'!R19</f>
        <v>6278</v>
      </c>
      <c r="H19" s="113">
        <v>591</v>
      </c>
      <c r="I19" s="102">
        <f>SUM('FS Seychelles'!V19:AC19)</f>
        <v>491</v>
      </c>
      <c r="J19" s="101"/>
      <c r="K19" s="130"/>
      <c r="L19" s="72"/>
    </row>
    <row r="20" spans="1:12" ht="15">
      <c r="A20" s="72">
        <v>18</v>
      </c>
      <c r="B20" s="103">
        <v>68.849999999999994</v>
      </c>
      <c r="C20" s="116">
        <f>'FS Seychelles'!B20</f>
        <v>61.8</v>
      </c>
      <c r="D20" s="113">
        <v>17580</v>
      </c>
      <c r="E20" s="113">
        <f>SUM('FS Seychelles'!M20:Q20)</f>
        <v>28876</v>
      </c>
      <c r="F20" s="113">
        <v>4769</v>
      </c>
      <c r="G20" s="102">
        <f>'FS Seychelles'!R20</f>
        <v>6426</v>
      </c>
      <c r="H20" s="113">
        <v>602</v>
      </c>
      <c r="I20" s="102">
        <f>SUM('FS Seychelles'!V20:AC20)</f>
        <v>508</v>
      </c>
      <c r="J20" s="101"/>
      <c r="K20" s="49"/>
      <c r="L20" s="72"/>
    </row>
    <row r="21" spans="1:12" ht="15">
      <c r="A21" s="72">
        <v>19</v>
      </c>
      <c r="B21" s="103">
        <v>76.19</v>
      </c>
      <c r="C21" s="116">
        <f>'FS Seychelles'!B21</f>
        <v>59.2</v>
      </c>
      <c r="D21" s="113">
        <v>27700</v>
      </c>
      <c r="E21" s="113">
        <f>SUM('FS Seychelles'!M21:Q21)</f>
        <v>31612</v>
      </c>
      <c r="F21" s="113">
        <v>7649</v>
      </c>
      <c r="G21" s="102">
        <f>'FS Seychelles'!R21</f>
        <v>7048</v>
      </c>
      <c r="H21" s="113">
        <v>620</v>
      </c>
      <c r="I21" s="102">
        <f>SUM('FS Seychelles'!V21:AC21)</f>
        <v>463</v>
      </c>
      <c r="J21" s="101"/>
      <c r="K21" s="49"/>
      <c r="L21" s="72"/>
    </row>
    <row r="22" spans="1:12" ht="15">
      <c r="A22" s="72">
        <v>20</v>
      </c>
      <c r="B22" s="103">
        <v>51.25</v>
      </c>
      <c r="C22" s="116">
        <f>'FS Seychelles'!B22</f>
        <v>63.2</v>
      </c>
      <c r="D22" s="113">
        <v>28245</v>
      </c>
      <c r="E22" s="113">
        <f>SUM('FS Seychelles'!M22:Q22)</f>
        <v>28980</v>
      </c>
      <c r="F22" s="113">
        <v>8078</v>
      </c>
      <c r="G22" s="102">
        <f>'FS Seychelles'!R22</f>
        <v>6366</v>
      </c>
      <c r="H22" s="113">
        <v>501</v>
      </c>
      <c r="I22" s="102">
        <f>SUM('FS Seychelles'!V22:AC22)</f>
        <v>406</v>
      </c>
      <c r="J22" s="101"/>
      <c r="K22" s="49"/>
      <c r="L22" s="72"/>
    </row>
    <row r="23" spans="1:12" ht="15">
      <c r="A23" s="72">
        <v>21</v>
      </c>
      <c r="B23" s="103">
        <v>54.32</v>
      </c>
      <c r="C23" s="116">
        <f>'FS Seychelles'!B23</f>
        <v>61.8</v>
      </c>
      <c r="D23" s="113">
        <v>27803</v>
      </c>
      <c r="E23" s="113">
        <f>SUM('FS Seychelles'!M23:Q23)</f>
        <v>31581</v>
      </c>
      <c r="F23" s="113">
        <v>7697</v>
      </c>
      <c r="G23" s="102">
        <f>'FS Seychelles'!R23</f>
        <v>6909</v>
      </c>
      <c r="H23" s="113">
        <v>574</v>
      </c>
      <c r="I23" s="102">
        <f>SUM('FS Seychelles'!V23:AC23)</f>
        <v>0</v>
      </c>
      <c r="J23" s="101"/>
      <c r="K23" s="49"/>
      <c r="L23" s="72"/>
    </row>
    <row r="24" spans="1:12" ht="15">
      <c r="A24" s="72">
        <v>22</v>
      </c>
      <c r="B24" s="103">
        <v>60</v>
      </c>
      <c r="C24" s="116">
        <f>'FS Seychelles'!B24</f>
        <v>0</v>
      </c>
      <c r="D24" s="113">
        <v>27426</v>
      </c>
      <c r="E24" s="113">
        <f>SUM('FS Seychelles'!M24:Q24)</f>
        <v>0</v>
      </c>
      <c r="F24" s="113">
        <v>7635</v>
      </c>
      <c r="G24" s="102">
        <f>'FS Seychelles'!R24</f>
        <v>0</v>
      </c>
      <c r="H24" s="113">
        <v>614</v>
      </c>
      <c r="I24" s="102">
        <f>SUM('FS Seychelles'!V24:AC24)</f>
        <v>0</v>
      </c>
      <c r="J24" s="101"/>
      <c r="K24" s="130"/>
      <c r="L24" s="72"/>
    </row>
    <row r="25" spans="1:12" ht="15">
      <c r="A25" s="72">
        <v>23</v>
      </c>
      <c r="B25" s="103">
        <v>53.75</v>
      </c>
      <c r="C25" s="116">
        <f>'FS Seychelles'!B25</f>
        <v>0</v>
      </c>
      <c r="D25" s="113">
        <v>22446</v>
      </c>
      <c r="E25" s="113">
        <f>SUM('FS Seychelles'!M25:Q25)</f>
        <v>0</v>
      </c>
      <c r="F25" s="113">
        <v>6178</v>
      </c>
      <c r="G25" s="102">
        <f>'FS Seychelles'!R25</f>
        <v>0</v>
      </c>
      <c r="H25" s="113">
        <v>601</v>
      </c>
      <c r="I25" s="102">
        <f>SUM('FS Seychelles'!V25:AC25)</f>
        <v>0</v>
      </c>
      <c r="J25" s="101"/>
      <c r="K25" s="130"/>
      <c r="L25" s="72"/>
    </row>
    <row r="26" spans="1:12" ht="15">
      <c r="A26" s="72">
        <v>24</v>
      </c>
      <c r="B26" s="103">
        <v>46.34</v>
      </c>
      <c r="C26" s="116">
        <f>'FS Seychelles'!B26</f>
        <v>0</v>
      </c>
      <c r="D26" s="113">
        <v>32313</v>
      </c>
      <c r="E26" s="113">
        <f>SUM('FS Seychelles'!M26:Q26)</f>
        <v>0</v>
      </c>
      <c r="F26" s="113">
        <v>8435</v>
      </c>
      <c r="G26" s="102">
        <f>'FS Seychelles'!R26</f>
        <v>0</v>
      </c>
      <c r="H26" s="113">
        <v>582</v>
      </c>
      <c r="I26" s="102">
        <f>SUM('FS Seychelles'!V26:AC26)</f>
        <v>0</v>
      </c>
      <c r="J26" s="101"/>
      <c r="K26" s="130"/>
      <c r="L26" s="72"/>
    </row>
    <row r="27" spans="1:12" ht="15">
      <c r="A27" s="72">
        <v>25</v>
      </c>
      <c r="B27" s="103">
        <v>50.65</v>
      </c>
      <c r="C27" s="116">
        <f>'FS Seychelles'!B27</f>
        <v>0</v>
      </c>
      <c r="D27" s="113">
        <v>25705</v>
      </c>
      <c r="E27" s="113">
        <f>SUM('FS Seychelles'!M27:Q27)</f>
        <v>0</v>
      </c>
      <c r="F27" s="113">
        <v>7010</v>
      </c>
      <c r="G27" s="102">
        <f>'FS Seychelles'!R27</f>
        <v>0</v>
      </c>
      <c r="H27" s="113">
        <v>502</v>
      </c>
      <c r="I27" s="102">
        <f>SUM('FS Seychelles'!V27:AC27)</f>
        <v>0</v>
      </c>
      <c r="J27" s="101"/>
      <c r="K27" s="130"/>
      <c r="L27" s="72"/>
    </row>
    <row r="28" spans="1:12" ht="15">
      <c r="A28" s="72">
        <v>26</v>
      </c>
      <c r="B28" s="103">
        <v>50.65</v>
      </c>
      <c r="C28" s="116">
        <f>'FS Seychelles'!B28</f>
        <v>0</v>
      </c>
      <c r="D28" s="113">
        <v>27998</v>
      </c>
      <c r="E28" s="113">
        <f>SUM('FS Seychelles'!M28:Q28)</f>
        <v>0</v>
      </c>
      <c r="F28" s="113">
        <v>7486</v>
      </c>
      <c r="G28" s="102">
        <f>'FS Seychelles'!R28</f>
        <v>0</v>
      </c>
      <c r="H28" s="113">
        <v>505</v>
      </c>
      <c r="I28" s="102">
        <f>SUM('FS Seychelles'!V29:AC29)</f>
        <v>0</v>
      </c>
      <c r="J28" s="101"/>
      <c r="K28" s="130"/>
      <c r="L28" s="72"/>
    </row>
    <row r="29" spans="1:12" ht="15">
      <c r="A29" s="72">
        <v>27</v>
      </c>
      <c r="B29" s="103">
        <v>58.44</v>
      </c>
      <c r="C29" s="116">
        <f>'FS Seychelles'!B29</f>
        <v>0</v>
      </c>
      <c r="D29" s="113">
        <v>28703</v>
      </c>
      <c r="E29" s="113">
        <f>SUM('FS Seychelles'!M29:Q29)</f>
        <v>0</v>
      </c>
      <c r="F29" s="113">
        <v>7862</v>
      </c>
      <c r="G29" s="102">
        <f>'FS Seychelles'!R29</f>
        <v>0</v>
      </c>
      <c r="H29" s="113">
        <v>549</v>
      </c>
      <c r="I29" s="102">
        <f>SUM('FS Seychelles'!V29:AC29)</f>
        <v>0</v>
      </c>
      <c r="J29" s="101"/>
      <c r="K29" s="130"/>
      <c r="L29" s="72"/>
    </row>
    <row r="30" spans="1:12" ht="15">
      <c r="A30" s="72">
        <v>28</v>
      </c>
      <c r="B30" s="103">
        <v>68.25</v>
      </c>
      <c r="C30" s="116">
        <f>'FS Seychelles'!B30</f>
        <v>0</v>
      </c>
      <c r="D30" s="113">
        <v>27750</v>
      </c>
      <c r="E30" s="113">
        <f>SUM('FS Seychelles'!M30:Q30)</f>
        <v>0</v>
      </c>
      <c r="F30" s="113">
        <v>7506</v>
      </c>
      <c r="G30" s="102">
        <f>'FS Seychelles'!R30</f>
        <v>0</v>
      </c>
      <c r="H30" s="113">
        <v>558</v>
      </c>
      <c r="I30" s="102">
        <f>SUM('FS Seychelles'!V30:AC30)</f>
        <v>0</v>
      </c>
      <c r="J30" s="101"/>
      <c r="K30" s="130"/>
      <c r="L30" s="72"/>
    </row>
    <row r="31" spans="1:12" ht="15">
      <c r="A31" s="72">
        <v>29</v>
      </c>
      <c r="B31" s="103">
        <v>72.13</v>
      </c>
      <c r="C31" s="116">
        <f>'FS Seychelles'!B31</f>
        <v>0</v>
      </c>
      <c r="D31" s="113">
        <v>26430</v>
      </c>
      <c r="E31" s="113">
        <f>SUM('FS Seychelles'!M31:Q31)</f>
        <v>0</v>
      </c>
      <c r="F31" s="113">
        <v>7282</v>
      </c>
      <c r="G31" s="102">
        <f>'FS Seychelles'!R31</f>
        <v>0</v>
      </c>
      <c r="H31" s="113">
        <v>623</v>
      </c>
      <c r="I31" s="102">
        <f>SUM('FS Seychelles'!V31:AC31)</f>
        <v>0</v>
      </c>
      <c r="J31" s="101"/>
      <c r="K31" s="130"/>
      <c r="L31" s="72"/>
    </row>
    <row r="32" spans="1:12" ht="15">
      <c r="A32" s="72">
        <v>30</v>
      </c>
      <c r="B32" s="103">
        <v>67.19</v>
      </c>
      <c r="C32" s="116">
        <f>'FS Seychelles'!B32</f>
        <v>0</v>
      </c>
      <c r="D32" s="113">
        <v>25538</v>
      </c>
      <c r="E32" s="113">
        <f>SUM('FS Seychelles'!M32:Q32)</f>
        <v>0</v>
      </c>
      <c r="F32" s="113">
        <v>6841</v>
      </c>
      <c r="G32" s="102">
        <f>'FS Seychelles'!R32</f>
        <v>0</v>
      </c>
      <c r="H32" s="113">
        <v>576</v>
      </c>
      <c r="I32" s="102">
        <f>SUM('FS Seychelles'!V32:AC32)</f>
        <v>0</v>
      </c>
      <c r="J32" s="101"/>
      <c r="K32" s="130"/>
      <c r="L32" s="72"/>
    </row>
    <row r="33" spans="1:12" ht="15">
      <c r="A33" s="100">
        <v>31</v>
      </c>
      <c r="B33" s="106"/>
      <c r="C33" s="116">
        <f>'FS Seychelles'!B33</f>
        <v>0</v>
      </c>
      <c r="D33" s="113">
        <v>0</v>
      </c>
      <c r="E33" s="113">
        <f>SUM('FS Seychelles'!M33:Q33)</f>
        <v>0</v>
      </c>
      <c r="F33" s="113">
        <v>0</v>
      </c>
      <c r="G33" s="102">
        <f>'FS Seychelles'!R33</f>
        <v>0</v>
      </c>
      <c r="H33" s="113">
        <v>0</v>
      </c>
      <c r="I33" s="102">
        <f>SUM('FS Seychelles'!V33:AC33)</f>
        <v>0</v>
      </c>
      <c r="J33" s="101"/>
      <c r="K33" s="130"/>
      <c r="L33" s="72"/>
    </row>
    <row r="34" spans="1:12" ht="15">
      <c r="A34" s="98" t="s">
        <v>92</v>
      </c>
      <c r="B34" s="107"/>
      <c r="C34" s="107"/>
      <c r="D34" s="75">
        <f>SUM(D3:D33)</f>
        <v>828395.5</v>
      </c>
      <c r="E34" s="75">
        <f>SUM(E3:E33)</f>
        <v>662850</v>
      </c>
      <c r="F34" s="75">
        <f t="shared" ref="E34:I34" si="0">SUM(F3:F33)</f>
        <v>225414.75</v>
      </c>
      <c r="G34" s="75">
        <f>SUM(G3:G33)</f>
        <v>148381</v>
      </c>
      <c r="H34" s="75">
        <f t="shared" si="0"/>
        <v>17004.125</v>
      </c>
      <c r="I34" s="75">
        <f>SUM(I3:I33)</f>
        <v>11133.6</v>
      </c>
      <c r="J34" s="101"/>
      <c r="K34" s="130"/>
      <c r="L34" s="72"/>
    </row>
    <row r="35" spans="1:12" ht="15">
      <c r="A35" s="98" t="s">
        <v>93</v>
      </c>
      <c r="B35" s="107"/>
      <c r="C35" s="107"/>
      <c r="D35" s="75"/>
      <c r="E35" s="75"/>
      <c r="F35" s="75"/>
      <c r="G35" s="75">
        <f>SUM(F42:F46)</f>
        <v>274120</v>
      </c>
      <c r="H35" s="75"/>
      <c r="I35" s="75"/>
      <c r="J35" s="101"/>
      <c r="K35" s="130"/>
      <c r="L35" s="72"/>
    </row>
    <row r="36" spans="1:12" ht="15">
      <c r="A36" s="98" t="s">
        <v>94</v>
      </c>
      <c r="B36" s="107"/>
      <c r="C36" s="107"/>
      <c r="D36" s="72"/>
      <c r="E36" s="102"/>
      <c r="F36" s="72"/>
      <c r="G36" s="75">
        <v>270000</v>
      </c>
      <c r="H36" s="72"/>
      <c r="I36" s="72"/>
      <c r="J36" s="99"/>
      <c r="K36" s="127"/>
      <c r="L36" s="72"/>
    </row>
    <row r="37" spans="1:12" ht="15">
      <c r="A37" s="98" t="s">
        <v>95</v>
      </c>
      <c r="B37" s="107"/>
      <c r="C37" s="107"/>
      <c r="D37" s="72"/>
      <c r="E37" s="102"/>
      <c r="F37" s="72"/>
      <c r="G37" s="75">
        <v>268000</v>
      </c>
      <c r="H37" s="72"/>
      <c r="I37" s="72"/>
      <c r="J37" s="99"/>
      <c r="K37" s="127"/>
      <c r="L37" s="72"/>
    </row>
    <row r="38" spans="1:12" ht="15">
      <c r="A38" s="98" t="s">
        <v>96</v>
      </c>
      <c r="B38" s="107"/>
      <c r="C38" s="107"/>
      <c r="D38" s="72"/>
      <c r="E38" s="102"/>
      <c r="F38" s="72"/>
      <c r="G38" s="75">
        <f>20*3</f>
        <v>60</v>
      </c>
      <c r="H38" s="72"/>
      <c r="I38" s="72"/>
      <c r="J38" s="99"/>
      <c r="K38" s="127"/>
      <c r="L38" s="72"/>
    </row>
    <row r="39" spans="1:12" ht="60">
      <c r="A39" s="105" t="s">
        <v>97</v>
      </c>
      <c r="B39" s="108"/>
      <c r="C39" s="108"/>
      <c r="D39" s="72"/>
      <c r="E39" s="102"/>
      <c r="F39" s="72"/>
      <c r="G39" s="75">
        <f>G35-G36-G38</f>
        <v>4060</v>
      </c>
      <c r="H39" s="72"/>
      <c r="I39" s="72"/>
      <c r="J39" s="101"/>
      <c r="K39" s="130"/>
      <c r="L39" s="109" t="s">
        <v>98</v>
      </c>
    </row>
    <row r="40" spans="1:12" ht="15">
      <c r="E40" s="110"/>
      <c r="G40" s="111"/>
    </row>
    <row r="41" spans="1:12" ht="30">
      <c r="A41" s="9" t="s">
        <v>99</v>
      </c>
      <c r="B41" s="9" t="s">
        <v>100</v>
      </c>
      <c r="C41" s="9" t="s">
        <v>101</v>
      </c>
      <c r="D41" s="131" t="s">
        <v>102</v>
      </c>
      <c r="E41" s="131" t="s">
        <v>103</v>
      </c>
      <c r="F41" s="131" t="s">
        <v>104</v>
      </c>
    </row>
    <row r="42" spans="1:12">
      <c r="A42" s="9" t="s">
        <v>105</v>
      </c>
      <c r="B42" s="112">
        <v>3783268</v>
      </c>
      <c r="C42">
        <v>3850968</v>
      </c>
      <c r="D42">
        <f>C42-B42</f>
        <v>67700</v>
      </c>
      <c r="E42">
        <v>3912962</v>
      </c>
      <c r="F42" s="132">
        <f>E42-C42</f>
        <v>61994</v>
      </c>
    </row>
    <row r="43" spans="1:12">
      <c r="A43" s="9" t="s">
        <v>106</v>
      </c>
      <c r="B43" s="112">
        <v>3912609</v>
      </c>
      <c r="C43">
        <v>3980358</v>
      </c>
      <c r="D43">
        <f t="shared" ref="D43:D46" si="1">C43-B43</f>
        <v>67749</v>
      </c>
      <c r="E43">
        <v>4035321</v>
      </c>
      <c r="F43" s="132">
        <f>E43-C43</f>
        <v>54963</v>
      </c>
    </row>
    <row r="44" spans="1:12">
      <c r="A44" s="9" t="s">
        <v>107</v>
      </c>
      <c r="B44" s="112">
        <v>4270083</v>
      </c>
      <c r="C44">
        <v>4316382</v>
      </c>
      <c r="D44">
        <f t="shared" si="1"/>
        <v>46299</v>
      </c>
      <c r="E44">
        <v>4365819</v>
      </c>
      <c r="F44" s="132">
        <f>E44-C44</f>
        <v>49437</v>
      </c>
    </row>
    <row r="45" spans="1:12">
      <c r="A45" s="9" t="s">
        <v>108</v>
      </c>
      <c r="B45" s="112">
        <v>1617768</v>
      </c>
      <c r="C45" s="112">
        <v>1664278</v>
      </c>
      <c r="D45">
        <f t="shared" si="1"/>
        <v>46510</v>
      </c>
      <c r="E45">
        <v>1719359</v>
      </c>
      <c r="F45" s="132">
        <f>E45-C45</f>
        <v>55081</v>
      </c>
    </row>
    <row r="46" spans="1:12">
      <c r="A46" s="9" t="s">
        <v>109</v>
      </c>
      <c r="B46" s="112">
        <v>2845368</v>
      </c>
      <c r="C46">
        <v>2900436</v>
      </c>
      <c r="D46">
        <f t="shared" si="1"/>
        <v>55068</v>
      </c>
      <c r="E46">
        <v>2953081</v>
      </c>
      <c r="F46" s="132">
        <f>E46-C46</f>
        <v>52645</v>
      </c>
    </row>
  </sheetData>
  <mergeCells count="4">
    <mergeCell ref="B1:C1"/>
    <mergeCell ref="D1:E1"/>
    <mergeCell ref="F1:G1"/>
    <mergeCell ref="H1:I1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20818052-13F8-4E46-A0B5-936AA2DD285E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2022-06-22T06:35:10Z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