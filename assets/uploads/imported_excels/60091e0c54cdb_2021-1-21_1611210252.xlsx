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DB9EC028-861E-4551-B153-A503E33C62B2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TOTAL" sheetId="4" r:id="rId1"/>
    <sheet name="Electricity" sheetId="1" r:id="rId2"/>
    <sheet name="Wa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V28" i="3" l="1"/>
  <c r="AT28" i="3"/>
  <c r="AR28" i="3"/>
  <c r="AP28" i="3"/>
  <c r="AN28" i="3"/>
  <c r="AL28" i="3"/>
  <c r="H26" i="1" l="1"/>
  <c r="G26" i="1"/>
  <c r="I26" i="1" s="1"/>
  <c r="F26" i="1"/>
  <c r="E26" i="1"/>
  <c r="J26" i="1" s="1"/>
  <c r="K32" i="4" l="1"/>
  <c r="J32" i="4"/>
  <c r="I32" i="4"/>
  <c r="F32" i="4"/>
  <c r="E32" i="4"/>
  <c r="I3" i="4" l="1"/>
  <c r="J3" i="4"/>
  <c r="K3" i="4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K2" i="4"/>
  <c r="J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1" i="4" l="1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32" i="4" l="1"/>
  <c r="H32" i="4" s="1"/>
  <c r="G2" i="4"/>
  <c r="H2" i="4" s="1"/>
  <c r="I41" i="1" l="1"/>
  <c r="D40" i="1"/>
  <c r="C40" i="1"/>
  <c r="B40" i="1"/>
  <c r="E2" i="4"/>
  <c r="F10" i="4" l="1"/>
  <c r="G40" i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H40" i="1"/>
  <c r="F20" i="4"/>
  <c r="F21" i="4"/>
  <c r="F25" i="4"/>
  <c r="F29" i="4"/>
  <c r="E40" i="1"/>
  <c r="F5" i="4"/>
  <c r="F9" i="4"/>
  <c r="F13" i="4"/>
  <c r="F17" i="4"/>
  <c r="F22" i="4"/>
  <c r="F26" i="4"/>
  <c r="F30" i="4"/>
  <c r="F40" i="1"/>
  <c r="F23" i="4"/>
  <c r="F27" i="4"/>
  <c r="F31" i="4"/>
  <c r="J40" i="1" l="1"/>
  <c r="I44" i="1" s="1"/>
  <c r="I40" i="1"/>
  <c r="I43" i="1" s="1"/>
  <c r="I45" i="1" l="1"/>
  <c r="I46" i="1" s="1"/>
  <c r="I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J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basim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  <comment ref="AI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นำจะส่งไปใช้ 2ที่คือ สปากับอรายเวอร์ศาลาตั้งแต่ปากทางออกไปถึงถนนใหญ่</t>
        </r>
      </text>
    </comment>
    <comment ref="U1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villa 802 pool after deep clean </t>
        </r>
      </text>
    </comment>
    <comment ref="K3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pipe leak under retail shop repaired</t>
        </r>
      </text>
    </comment>
  </commentList>
</comments>
</file>

<file path=xl/sharedStrings.xml><?xml version="1.0" encoding="utf-8"?>
<sst xmlns="http://schemas.openxmlformats.org/spreadsheetml/2006/main" count="196" uniqueCount="77">
  <si>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</si>
  <si>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</si>
  <si>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</si>
  <si>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</si>
  <si>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</si>
  <si>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</si>
  <si>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</si>
  <si>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</si>
  <si>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</si>
  <si>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</si>
  <si>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</si>
  <si>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</si>
  <si>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</si>
  <si>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</si>
  <si>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</si>
  <si>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</si>
  <si>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</si>
  <si>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</si>
  <si>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</si>
  <si>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</si>
  <si>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</si>
  <si>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</si>
  <si>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</si>
  <si>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</si>
  <si>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</si>
  <si>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</si>
  <si>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</si>
  <si>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</si>
  <si>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 xml:space="preserve"> </t>
  </si>
  <si>
    <t>Peak Demand</t>
  </si>
  <si>
    <t xml:space="preserve">             Peak Demand</t>
  </si>
  <si>
    <t>Date</t>
  </si>
  <si>
    <t>Time</t>
  </si>
  <si>
    <t xml:space="preserve">Service  </t>
  </si>
  <si>
    <t xml:space="preserve">Electric Cost </t>
  </si>
  <si>
    <t>FT cost</t>
  </si>
  <si>
    <t>Baht</t>
  </si>
  <si>
    <t>Vat  7%</t>
  </si>
  <si>
    <t>***</t>
  </si>
  <si>
    <t>ค่า FT ที่ติดลบจะนำมาเป็นส่วนลดในการจ่ายค่าไฟ แต่ละเดือน ข้อมูลนี้ได้มาจากการไฟฟ้า สมุยแจ้งมา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</si>
  <si>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</si>
  <si>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</si>
  <si>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</si>
  <si>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</si>
  <si>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</si>
  <si>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</si>
  <si>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</si>
  <si>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</si>
  <si>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</si>
  <si>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</si>
  <si>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</si>
  <si>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</si>
  <si>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</si>
  <si>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</si>
  <si>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</si>
  <si>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</si>
  <si>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</si>
  <si>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</si>
  <si>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</si>
  <si>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</si>
  <si>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</si>
  <si>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</si>
  <si>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</si>
  <si>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</si>
  <si>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</si>
  <si>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</si>
  <si>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</si>
  <si>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</si>
  <si>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</si>
  <si>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</si>
  <si>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</si>
  <si>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</si>
  <si>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</si>
  <si>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Zero</t>
  </si>
  <si>
    <t>IXORA</t>
  </si>
  <si>
    <t>Remark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</si>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</sst>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214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3" fillId="0" borderId="0" xfId="2" applyFont="1" applyBorder="1" applyAlignme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3" fillId="8" borderId="13" xfId="2" applyFont="1" applyFill="1" applyBorder="1" applyAlignment="1">
      <alignment horizontal="center" vertical="center"/>
    </xf>
    <xf numFmtId="4" fontId="7" fillId="9" borderId="6" xfId="2" applyNumberFormat="1" applyFont="1" applyFill="1" applyBorder="1" applyAlignment="1">
      <alignment horizontal="center"/>
    </xf>
    <xf numFmtId="4" fontId="2" fillId="9" borderId="13" xfId="2" applyNumberFormat="1" applyFont="1" applyFill="1" applyBorder="1" applyAlignment="1">
      <alignment horizontal="center" wrapText="1"/>
    </xf>
    <xf numFmtId="4" fontId="3" fillId="10" borderId="6" xfId="2" applyNumberFormat="1" applyFont="1" applyFill="1" applyBorder="1"/>
    <xf numFmtId="165" fontId="3" fillId="11" borderId="13" xfId="1" applyNumberFormat="1" applyFont="1" applyFill="1" applyBorder="1"/>
    <xf numFmtId="165" fontId="8" fillId="12" borderId="13" xfId="1" applyNumberFormat="1" applyFont="1" applyFill="1" applyBorder="1" applyAlignment="1">
      <alignment horizontal="center" vertical="center"/>
    </xf>
    <xf numFmtId="165" fontId="2" fillId="13" borderId="13" xfId="1" applyNumberFormat="1" applyFont="1" applyFill="1" applyBorder="1"/>
    <xf numFmtId="0" fontId="3" fillId="8" borderId="6" xfId="2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 wrapText="1"/>
    </xf>
    <xf numFmtId="165" fontId="8" fillId="12" borderId="6" xfId="1" applyNumberFormat="1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 vertical="center" wrapText="1"/>
    </xf>
    <xf numFmtId="4" fontId="9" fillId="10" borderId="6" xfId="2" applyNumberFormat="1" applyFont="1" applyFill="1" applyBorder="1"/>
    <xf numFmtId="4" fontId="2" fillId="9" borderId="6" xfId="2" applyNumberFormat="1" applyFont="1" applyFill="1" applyBorder="1" applyAlignment="1">
      <alignment horizontal="center"/>
    </xf>
    <xf numFmtId="0" fontId="10" fillId="0" borderId="0" xfId="2" applyFont="1"/>
    <xf numFmtId="4" fontId="7" fillId="9" borderId="0" xfId="2" applyNumberFormat="1" applyFont="1" applyFill="1" applyAlignment="1">
      <alignment horizontal="center"/>
    </xf>
    <xf numFmtId="4" fontId="7" fillId="9" borderId="13" xfId="2" applyNumberFormat="1" applyFont="1" applyFill="1" applyBorder="1" applyAlignment="1">
      <alignment horizontal="center"/>
    </xf>
    <xf numFmtId="4" fontId="2" fillId="9" borderId="0" xfId="2" applyNumberFormat="1" applyFont="1" applyFill="1" applyAlignment="1">
      <alignment horizontal="center"/>
    </xf>
    <xf numFmtId="4" fontId="11" fillId="10" borderId="6" xfId="2" applyNumberFormat="1" applyFont="1" applyFill="1" applyBorder="1"/>
    <xf numFmtId="4" fontId="12" fillId="9" borderId="6" xfId="2" applyNumberFormat="1" applyFont="1" applyFill="1" applyBorder="1" applyAlignment="1">
      <alignment horizontal="center"/>
    </xf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 applyAlignment="1"/>
    <xf numFmtId="0" fontId="8" fillId="0" borderId="0" xfId="2" applyFont="1" applyAlignme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8" fillId="0" borderId="0" xfId="2" applyNumberFormat="1" applyFont="1"/>
    <xf numFmtId="165" fontId="3" fillId="0" borderId="6" xfId="1" quotePrefix="1" applyNumberFormat="1" applyFont="1" applyBorder="1" applyAlignment="1"/>
    <xf numFmtId="0" fontId="8" fillId="0" borderId="0" xfId="2" quotePrefix="1" applyFont="1" applyAlignment="1"/>
    <xf numFmtId="0" fontId="8" fillId="0" borderId="0" xfId="2" applyFont="1" applyBorder="1" applyAlignment="1"/>
    <xf numFmtId="165" fontId="3" fillId="0" borderId="0" xfId="1" applyNumberFormat="1" applyFont="1" applyAlignment="1"/>
    <xf numFmtId="9" fontId="3" fillId="0" borderId="0" xfId="2" applyNumberFormat="1" applyFont="1" applyAlignment="1">
      <alignment horizontal="center"/>
    </xf>
    <xf numFmtId="165" fontId="3" fillId="14" borderId="0" xfId="2" applyNumberFormat="1" applyFont="1" applyFill="1"/>
    <xf numFmtId="0" fontId="13" fillId="0" borderId="0" xfId="2" applyFont="1" applyAlignment="1">
      <alignment horizontal="right"/>
    </xf>
    <xf numFmtId="0" fontId="13" fillId="0" borderId="0" xfId="2" applyFont="1"/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15" borderId="0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Border="1" applyAlignment="1">
      <alignment wrapText="1"/>
    </xf>
    <xf numFmtId="0" fontId="24" fillId="14" borderId="0" xfId="0" applyFont="1" applyFill="1" applyBorder="1" applyAlignment="1">
      <alignment horizontal="center" wrapText="1"/>
    </xf>
    <xf numFmtId="0" fontId="27" fillId="2" borderId="16" xfId="0" applyFont="1" applyFill="1" applyBorder="1" applyAlignment="1">
      <alignment horizontal="center" vertical="center" wrapText="1"/>
    </xf>
    <xf numFmtId="0" fontId="27" fillId="16" borderId="16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11" borderId="16" xfId="0" applyFont="1" applyFill="1" applyBorder="1" applyAlignment="1">
      <alignment horizontal="center" vertical="center" wrapText="1"/>
    </xf>
    <xf numFmtId="0" fontId="27" fillId="12" borderId="16" xfId="0" applyFont="1" applyFill="1" applyBorder="1" applyAlignment="1">
      <alignment horizontal="center" vertical="center" wrapText="1"/>
    </xf>
    <xf numFmtId="0" fontId="27" fillId="13" borderId="16" xfId="0" applyFont="1" applyFill="1" applyBorder="1" applyAlignment="1">
      <alignment horizontal="center" vertical="center" wrapText="1"/>
    </xf>
    <xf numFmtId="0" fontId="27" fillId="10" borderId="16" xfId="0" applyFont="1" applyFill="1" applyBorder="1" applyAlignment="1">
      <alignment horizontal="center" vertical="center" wrapText="1"/>
    </xf>
    <xf numFmtId="0" fontId="27" fillId="17" borderId="16" xfId="0" applyFont="1" applyFill="1" applyBorder="1" applyAlignment="1">
      <alignment horizontal="center" vertical="center" wrapText="1"/>
    </xf>
    <xf numFmtId="0" fontId="27" fillId="18" borderId="16" xfId="0" applyFont="1" applyFill="1" applyBorder="1" applyAlignment="1">
      <alignment horizontal="center" vertical="center" wrapText="1"/>
    </xf>
    <xf numFmtId="0" fontId="27" fillId="19" borderId="16" xfId="0" applyFont="1" applyFill="1" applyBorder="1" applyAlignment="1">
      <alignment horizontal="center" vertical="center" wrapText="1"/>
    </xf>
    <xf numFmtId="0" fontId="27" fillId="20" borderId="16" xfId="0" applyFont="1" applyFill="1" applyBorder="1" applyAlignment="1">
      <alignment horizontal="center" vertical="center" wrapText="1"/>
    </xf>
    <xf numFmtId="0" fontId="28" fillId="21" borderId="16" xfId="0" applyFont="1" applyFill="1" applyBorder="1" applyAlignment="1">
      <alignment horizontal="center" vertical="center" wrapText="1"/>
    </xf>
    <xf numFmtId="0" fontId="27" fillId="21" borderId="16" xfId="0" applyFont="1" applyFill="1" applyBorder="1" applyAlignment="1">
      <alignment horizontal="center" vertical="center" wrapText="1"/>
    </xf>
    <xf numFmtId="0" fontId="27" fillId="21" borderId="17" xfId="0" applyFont="1" applyFill="1" applyBorder="1" applyAlignment="1">
      <alignment horizontal="center" vertical="center" wrapText="1"/>
    </xf>
    <xf numFmtId="0" fontId="27" fillId="22" borderId="16" xfId="0" applyFont="1" applyFill="1" applyBorder="1" applyAlignment="1">
      <alignment horizontal="center" vertical="center" wrapText="1"/>
    </xf>
    <xf numFmtId="0" fontId="28" fillId="23" borderId="16" xfId="0" applyFont="1" applyFill="1" applyBorder="1" applyAlignment="1">
      <alignment horizontal="left" vertical="center" wrapText="1" indent="1"/>
    </xf>
    <xf numFmtId="0" fontId="27" fillId="23" borderId="16" xfId="0" applyFont="1" applyFill="1" applyBorder="1" applyAlignment="1">
      <alignment horizontal="center" vertical="center" wrapText="1"/>
    </xf>
    <xf numFmtId="0" fontId="27" fillId="24" borderId="16" xfId="0" applyFont="1" applyFill="1" applyBorder="1" applyAlignment="1">
      <alignment horizontal="center" vertical="center" wrapText="1"/>
    </xf>
    <xf numFmtId="0" fontId="27" fillId="25" borderId="16" xfId="0" applyFont="1" applyFill="1" applyBorder="1" applyAlignment="1">
      <alignment horizontal="center" vertical="center" wrapText="1"/>
    </xf>
    <xf numFmtId="0" fontId="27" fillId="26" borderId="16" xfId="0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6" fillId="27" borderId="16" xfId="0" applyFont="1" applyFill="1" applyBorder="1" applyAlignment="1">
      <alignment horizontal="center"/>
    </xf>
    <xf numFmtId="0" fontId="16" fillId="27" borderId="16" xfId="0" applyFont="1" applyFill="1" applyBorder="1" applyAlignment="1">
      <alignment horizontal="center" vertical="center"/>
    </xf>
    <xf numFmtId="0" fontId="19" fillId="27" borderId="16" xfId="0" applyFont="1" applyFill="1" applyBorder="1" applyAlignment="1">
      <alignment horizontal="center"/>
    </xf>
    <xf numFmtId="0" fontId="16" fillId="27" borderId="20" xfId="0" applyFont="1" applyFill="1" applyBorder="1" applyAlignment="1">
      <alignment horizontal="center"/>
    </xf>
    <xf numFmtId="2" fontId="16" fillId="27" borderId="21" xfId="0" applyNumberFormat="1" applyFont="1" applyFill="1" applyBorder="1" applyAlignment="1">
      <alignment horizontal="center" vertical="center"/>
    </xf>
    <xf numFmtId="0" fontId="16" fillId="0" borderId="0" xfId="0" applyFont="1"/>
    <xf numFmtId="0" fontId="20" fillId="2" borderId="2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168" fontId="2" fillId="28" borderId="20" xfId="1" applyNumberFormat="1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0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center"/>
    </xf>
    <xf numFmtId="168" fontId="6" fillId="28" borderId="20" xfId="1" applyNumberFormat="1" applyFont="1" applyFill="1" applyBorder="1" applyAlignment="1">
      <alignment horizontal="center"/>
    </xf>
    <xf numFmtId="0" fontId="2" fillId="15" borderId="22" xfId="1" applyNumberFormat="1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168" fontId="32" fillId="0" borderId="20" xfId="0" applyNumberFormat="1" applyFont="1" applyFill="1" applyBorder="1" applyAlignment="1">
      <alignment horizontal="center"/>
    </xf>
    <xf numFmtId="2" fontId="20" fillId="0" borderId="23" xfId="0" applyNumberFormat="1" applyFont="1" applyFill="1" applyBorder="1" applyAlignment="1">
      <alignment horizontal="center" vertical="center"/>
    </xf>
    <xf numFmtId="0" fontId="20" fillId="0" borderId="6" xfId="0" applyFont="1" applyFill="1" applyBorder="1"/>
    <xf numFmtId="0" fontId="20" fillId="0" borderId="0" xfId="0" applyFont="1" applyFill="1"/>
    <xf numFmtId="0" fontId="20" fillId="2" borderId="20" xfId="0" applyFont="1" applyFill="1" applyBorder="1" applyAlignment="1">
      <alignment horizontal="center"/>
    </xf>
    <xf numFmtId="0" fontId="2" fillId="0" borderId="22" xfId="1" applyNumberFormat="1" applyFont="1" applyFill="1" applyBorder="1" applyAlignment="1">
      <alignment horizontal="center"/>
    </xf>
    <xf numFmtId="168" fontId="11" fillId="28" borderId="20" xfId="1" applyNumberFormat="1" applyFont="1" applyFill="1" applyBorder="1" applyAlignment="1">
      <alignment horizontal="center"/>
    </xf>
    <xf numFmtId="0" fontId="20" fillId="0" borderId="24" xfId="0" applyFont="1" applyFill="1" applyBorder="1" applyAlignment="1">
      <alignment horizontal="center"/>
    </xf>
    <xf numFmtId="168" fontId="33" fillId="28" borderId="20" xfId="1" applyNumberFormat="1" applyFont="1" applyFill="1" applyBorder="1" applyAlignment="1">
      <alignment horizontal="center"/>
    </xf>
    <xf numFmtId="0" fontId="2" fillId="15" borderId="20" xfId="1" applyNumberFormat="1" applyFont="1" applyFill="1" applyBorder="1" applyAlignment="1">
      <alignment horizontal="center"/>
    </xf>
    <xf numFmtId="0" fontId="26" fillId="15" borderId="0" xfId="0" applyFont="1" applyFill="1" applyAlignment="1">
      <alignment horizontal="center"/>
    </xf>
    <xf numFmtId="0" fontId="25" fillId="15" borderId="0" xfId="0" applyFont="1" applyFill="1" applyAlignment="1">
      <alignment horizontal="center"/>
    </xf>
    <xf numFmtId="9" fontId="20" fillId="0" borderId="0" xfId="3" applyFont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18" fillId="0" borderId="6" xfId="4" applyFont="1" applyBorder="1" applyAlignment="1">
      <alignment horizontal="center" vertical="center"/>
    </xf>
    <xf numFmtId="0" fontId="22" fillId="0" borderId="6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 wrapText="1"/>
    </xf>
    <xf numFmtId="2" fontId="22" fillId="0" borderId="6" xfId="4" applyNumberFormat="1" applyFont="1" applyBorder="1" applyAlignment="1">
      <alignment horizontal="center" vertical="center" wrapText="1"/>
    </xf>
    <xf numFmtId="0" fontId="22" fillId="0" borderId="6" xfId="4" applyFont="1" applyBorder="1" applyAlignment="1">
      <alignment horizontal="center" vertical="center" wrapText="1"/>
    </xf>
    <xf numFmtId="0" fontId="2" fillId="0" borderId="0" xfId="4"/>
    <xf numFmtId="0" fontId="41" fillId="0" borderId="6" xfId="4" applyFont="1" applyBorder="1" applyAlignment="1">
      <alignment horizontal="center"/>
    </xf>
    <xf numFmtId="0" fontId="18" fillId="0" borderId="6" xfId="4" applyFont="1" applyBorder="1" applyAlignment="1">
      <alignment horizontal="center"/>
    </xf>
    <xf numFmtId="0" fontId="22" fillId="0" borderId="6" xfId="4" applyFont="1" applyBorder="1" applyAlignment="1">
      <alignment horizontal="center"/>
    </xf>
    <xf numFmtId="1" fontId="2" fillId="0" borderId="6" xfId="4" applyNumberFormat="1" applyBorder="1" applyAlignment="1">
      <alignment horizontal="center"/>
    </xf>
    <xf numFmtId="2" fontId="17" fillId="0" borderId="6" xfId="4" applyNumberFormat="1" applyFont="1" applyBorder="1" applyAlignment="1">
      <alignment horizontal="center"/>
    </xf>
    <xf numFmtId="1" fontId="17" fillId="0" borderId="6" xfId="4" applyNumberFormat="1" applyFont="1" applyBorder="1" applyAlignment="1">
      <alignment horizontal="center"/>
    </xf>
    <xf numFmtId="4" fontId="7" fillId="17" borderId="6" xfId="2" applyNumberFormat="1" applyFont="1" applyFill="1" applyBorder="1" applyAlignment="1">
      <alignment horizontal="center"/>
    </xf>
    <xf numFmtId="4" fontId="2" fillId="17" borderId="13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vertical="center" wrapText="1"/>
    </xf>
    <xf numFmtId="4" fontId="2" fillId="17" borderId="6" xfId="2" applyNumberFormat="1" applyFont="1" applyFill="1" applyBorder="1" applyAlignment="1">
      <alignment horizontal="center"/>
    </xf>
    <xf numFmtId="4" fontId="2" fillId="17" borderId="25" xfId="2" applyNumberFormat="1" applyFont="1" applyFill="1" applyBorder="1" applyAlignment="1">
      <alignment horizontal="center" wrapText="1"/>
    </xf>
    <xf numFmtId="4" fontId="2" fillId="17" borderId="25" xfId="2" applyNumberFormat="1" applyFont="1" applyFill="1" applyBorder="1" applyAlignment="1">
      <alignment horizontal="center"/>
    </xf>
    <xf numFmtId="165" fontId="3" fillId="11" borderId="6" xfId="1" applyNumberFormat="1" applyFont="1" applyFill="1" applyBorder="1"/>
    <xf numFmtId="165" fontId="2" fillId="13" borderId="6" xfId="1" applyNumberFormat="1" applyFont="1" applyFill="1" applyBorder="1"/>
    <xf numFmtId="168" fontId="27" fillId="2" borderId="26" xfId="1" applyNumberFormat="1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168" fontId="2" fillId="28" borderId="6" xfId="1" applyNumberFormat="1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/>
    </xf>
    <xf numFmtId="168" fontId="32" fillId="0" borderId="6" xfId="0" applyNumberFormat="1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168" fontId="27" fillId="2" borderId="6" xfId="0" applyNumberFormat="1" applyFont="1" applyFill="1" applyBorder="1" applyAlignment="1">
      <alignment horizontal="center"/>
    </xf>
    <xf numFmtId="0" fontId="31" fillId="2" borderId="6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168" fontId="32" fillId="2" borderId="6" xfId="0" applyNumberFormat="1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0" fontId="3" fillId="15" borderId="0" xfId="2" applyFont="1" applyFill="1" applyBorder="1" applyAlignment="1">
      <alignment horizontal="center" vertical="center"/>
    </xf>
    <xf numFmtId="4" fontId="12" fillId="15" borderId="0" xfId="2" applyNumberFormat="1" applyFont="1" applyFill="1" applyBorder="1" applyAlignment="1">
      <alignment horizontal="center"/>
    </xf>
    <xf numFmtId="4" fontId="2" fillId="15" borderId="0" xfId="2" applyNumberFormat="1" applyFont="1" applyFill="1" applyBorder="1" applyAlignment="1">
      <alignment horizontal="center" wrapText="1"/>
    </xf>
    <xf numFmtId="4" fontId="2" fillId="15" borderId="0" xfId="2" applyNumberFormat="1" applyFont="1" applyFill="1" applyBorder="1" applyAlignment="1">
      <alignment horizontal="center"/>
    </xf>
    <xf numFmtId="165" fontId="3" fillId="15" borderId="0" xfId="1" applyNumberFormat="1" applyFont="1" applyFill="1" applyBorder="1"/>
    <xf numFmtId="165" fontId="8" fillId="15" borderId="0" xfId="1" applyNumberFormat="1" applyFont="1" applyFill="1" applyBorder="1" applyAlignment="1">
      <alignment horizontal="center" vertical="center"/>
    </xf>
    <xf numFmtId="165" fontId="2" fillId="15" borderId="0" xfId="1" applyNumberFormat="1" applyFont="1" applyFill="1" applyBorder="1"/>
    <xf numFmtId="0" fontId="3" fillId="15" borderId="0" xfId="2" applyFont="1" applyFill="1"/>
    <xf numFmtId="4" fontId="2" fillId="17" borderId="15" xfId="2" applyNumberFormat="1" applyFont="1" applyFill="1" applyBorder="1" applyAlignment="1">
      <alignment horizontal="center" wrapText="1"/>
    </xf>
    <xf numFmtId="4" fontId="12" fillId="17" borderId="27" xfId="2" applyNumberFormat="1" applyFont="1" applyFill="1" applyBorder="1" applyAlignment="1">
      <alignment horizontal="center"/>
    </xf>
    <xf numFmtId="4" fontId="12" fillId="17" borderId="15" xfId="2" applyNumberFormat="1" applyFont="1" applyFill="1" applyBorder="1" applyAlignment="1">
      <alignment horizontal="center"/>
    </xf>
    <xf numFmtId="0" fontId="3" fillId="0" borderId="0" xfId="2" applyFont="1" applyBorder="1"/>
    <xf numFmtId="4" fontId="3" fillId="15" borderId="7" xfId="2" applyNumberFormat="1" applyFont="1" applyFill="1" applyBorder="1"/>
    <xf numFmtId="0" fontId="8" fillId="0" borderId="6" xfId="2" applyFont="1" applyBorder="1" applyAlignment="1">
      <alignment horizontal="center"/>
    </xf>
    <xf numFmtId="165" fontId="3" fillId="0" borderId="6" xfId="1" applyNumberFormat="1" applyFont="1" applyBorder="1"/>
    <xf numFmtId="165" fontId="6" fillId="0" borderId="6" xfId="1" applyNumberFormat="1" applyFont="1" applyBorder="1"/>
    <xf numFmtId="0" fontId="30" fillId="0" borderId="28" xfId="0" applyFont="1" applyFill="1" applyBorder="1" applyAlignment="1">
      <alignment horizontal="center"/>
    </xf>
    <xf numFmtId="0" fontId="20" fillId="2" borderId="29" xfId="0" applyFont="1" applyFill="1" applyBorder="1" applyAlignment="1">
      <alignment horizontal="center"/>
    </xf>
    <xf numFmtId="0" fontId="30" fillId="2" borderId="13" xfId="0" applyFont="1" applyFill="1" applyBorder="1" applyAlignment="1">
      <alignment horizontal="center"/>
    </xf>
    <xf numFmtId="4" fontId="12" fillId="14" borderId="0" xfId="2" applyNumberFormat="1" applyFont="1" applyFill="1" applyBorder="1" applyAlignment="1">
      <alignment horizontal="center"/>
    </xf>
    <xf numFmtId="4" fontId="2" fillId="14" borderId="0" xfId="2" applyNumberFormat="1" applyFont="1" applyFill="1" applyBorder="1" applyAlignment="1">
      <alignment horizont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3" fillId="17" borderId="3" xfId="2" applyFont="1" applyFill="1" applyBorder="1" applyAlignment="1">
      <alignment horizontal="center" vertical="center"/>
    </xf>
    <xf numFmtId="0" fontId="3" fillId="17" borderId="7" xfId="2" applyFont="1" applyFill="1" applyBorder="1" applyAlignment="1">
      <alignment horizontal="center" vertical="center"/>
    </xf>
    <xf numFmtId="0" fontId="3" fillId="17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0" fontId="22" fillId="14" borderId="6" xfId="0" applyFont="1" applyFill="1" applyBorder="1" applyAlignment="1">
      <alignment horizontal="center"/>
    </xf>
    <xf numFmtId="164" fontId="23" fillId="0" borderId="0" xfId="0" applyNumberFormat="1" applyFont="1" applyBorder="1" applyAlignment="1">
      <alignment horizontal="left"/>
    </xf>
    <xf numFmtId="4" fontId="2" fillId="9" borderId="30" xfId="2" applyNumberFormat="1" applyFill="1" applyBorder="1" applyAlignment="1">
      <alignment horizontal="center" wrapText="1"/>
    </xf>
    <xf numFmtId="4" fontId="2" fillId="9" borderId="30" xfId="2" applyNumberFormat="1" applyFill="1" applyBorder="1" applyAlignment="1">
      <alignment horizontal="center"/>
    </xf>
    <xf numFmtId="4" fontId="3" fillId="10" borderId="30" xfId="2" applyNumberFormat="1" applyFont="1" applyFill="1" applyBorder="1"/>
    <xf numFmtId="165" fontId="3" fillId="11" borderId="30" xfId="1" applyNumberFormat="1" applyFont="1" applyFill="1" applyBorder="1"/>
    <xf numFmtId="165" fontId="8" fillId="12" borderId="30" xfId="1" applyNumberFormat="1" applyFont="1" applyFill="1" applyBorder="1" applyAlignment="1">
      <alignment horizontal="center" vertical="center"/>
    </xf>
    <xf numFmtId="165" fontId="2" fillId="13" borderId="30" xfId="1" applyNumberFormat="1" applyFont="1" applyFill="1" applyBorder="1"/>
    <xf numFmtId="0" fontId="20" fillId="0" borderId="31" xfId="0" applyFont="1" applyBorder="1" applyAlignment="1">
      <alignment horizontal="center"/>
    </xf>
    <xf numFmtId="168" fontId="2" fillId="28" borderId="31" xfId="1" applyNumberFormat="1" applyFont="1" applyFill="1" applyBorder="1" applyAlignment="1">
      <alignment horizontal="center"/>
    </xf>
    <xf numFmtId="0" fontId="30" fillId="0" borderId="31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2" xfId="4" xr:uid="{00000000-0005-0000-0000-000002000000}"/>
    <cellStyle name="Normal 3" xfId="2" xr:uid="{00000000-0005-0000-0000-000003000000}"/>
    <cellStyle name="Percent" xfId="3" builtinId="5"/>
  </cellStyles>
  <dxfs count="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pane ySplit="1" topLeftCell="A2" activePane="bottomLeft" state="frozen"/>
      <selection pane="bottomLeft" activeCell="G11" sqref="G11"/>
    </sheetView>
  </sheetViews>
  <sheetFormatPr defaultRowHeight="12.75" x14ac:dyDescent="0.2"/>
  <cols>
    <col min="1" max="1" width="23" style="127" bestFit="1" customWidth="1"/>
    <col min="2" max="4" width="9.140625" style="127"/>
    <col min="5" max="5" width="10.7109375" style="127" customWidth="1"/>
    <col min="6" max="6" width="12.140625" style="127" customWidth="1"/>
    <col min="7" max="7" width="10.85546875" style="127" customWidth="1"/>
    <col min="8" max="8" width="11.28515625" style="127" customWidth="1"/>
    <col min="9" max="16384" width="9.140625" style="127"/>
  </cols>
  <sheetData>
    <row r="1" spans="1:11" ht="60" x14ac:dyDescent="0.2">
      <c r="A1" s="122" t="s">
        <v>0</v>
      </c>
      <c r="B1" s="122" t="s">
        <v>1</v>
      </c>
      <c r="C1" s="123" t="s">
        <v>2</v>
      </c>
      <c r="D1" s="122" t="s">
        <v>3</v>
      </c>
      <c r="E1" s="124" t="s">
        <v>4</v>
      </c>
      <c r="F1" s="125" t="s">
        <v>5</v>
      </c>
      <c r="G1" s="124" t="s">
        <v>76</v>
      </c>
      <c r="H1" s="126" t="s">
        <v>6</v>
      </c>
      <c r="I1" s="124" t="s">
        <v>7</v>
      </c>
      <c r="J1" s="124" t="s">
        <v>8</v>
      </c>
      <c r="K1" s="124" t="s">
        <v>9</v>
      </c>
    </row>
    <row r="2" spans="1:11" ht="15" x14ac:dyDescent="0.25">
      <c r="A2" s="128" t="s">
        <v>10</v>
      </c>
      <c r="B2" s="129">
        <v>1</v>
      </c>
      <c r="C2" s="130">
        <v>1</v>
      </c>
      <c r="D2" s="129">
        <v>2021</v>
      </c>
      <c r="E2" s="131">
        <f>Electricity!E7</f>
        <v>6877.52</v>
      </c>
      <c r="F2" s="132">
        <f>Electricity!I7/Electricity!E7</f>
        <v>2.6037000000000003</v>
      </c>
      <c r="G2" s="131">
        <f>Water!AW9</f>
        <v>70</v>
      </c>
      <c r="H2" s="133">
        <f>G2*60</f>
        <v>4200</v>
      </c>
      <c r="I2" s="131">
        <f>Electricity!L7</f>
        <v>10</v>
      </c>
      <c r="J2" s="131">
        <f>Electricity!M7</f>
        <v>58</v>
      </c>
      <c r="K2" s="131">
        <f>Electricity!N7</f>
        <v>125</v>
      </c>
    </row>
    <row r="3" spans="1:11" ht="15" x14ac:dyDescent="0.25">
      <c r="A3" s="128" t="s">
        <v>10</v>
      </c>
      <c r="B3" s="129">
        <f>B2+1</f>
        <v>2</v>
      </c>
      <c r="C3" s="130">
        <v>1</v>
      </c>
      <c r="D3" s="129">
        <v>2021</v>
      </c>
      <c r="E3" s="131">
        <f>Electricity!E8</f>
        <v>7145.03</v>
      </c>
      <c r="F3" s="132">
        <f>Electricity!I8/Electricity!E8</f>
        <v>2.6036999999999999</v>
      </c>
      <c r="G3" s="131">
        <f>Water!AW10</f>
        <v>108</v>
      </c>
      <c r="H3" s="133">
        <f t="shared" ref="H3:H32" si="0">G3*60</f>
        <v>6480</v>
      </c>
      <c r="I3" s="131">
        <f>Electricity!L8</f>
        <v>7</v>
      </c>
      <c r="J3" s="131">
        <f>Electricity!M8</f>
        <v>52</v>
      </c>
      <c r="K3" s="131">
        <f>Electricity!N8</f>
        <v>110</v>
      </c>
    </row>
    <row r="4" spans="1:11" ht="15" x14ac:dyDescent="0.25">
      <c r="A4" s="128" t="s">
        <v>10</v>
      </c>
      <c r="B4" s="129">
        <f t="shared" ref="B4:B32" si="1">B3+1</f>
        <v>3</v>
      </c>
      <c r="C4" s="130">
        <v>1</v>
      </c>
      <c r="D4" s="129">
        <v>2021</v>
      </c>
      <c r="E4" s="131">
        <f>Electricity!E9</f>
        <v>6558.24</v>
      </c>
      <c r="F4" s="132">
        <f>Electricity!I9/Electricity!E9</f>
        <v>2.6036999999999999</v>
      </c>
      <c r="G4" s="131">
        <f>Water!AW11</f>
        <v>75</v>
      </c>
      <c r="H4" s="133">
        <f t="shared" si="0"/>
        <v>4500</v>
      </c>
      <c r="I4" s="131">
        <f>Electricity!L9</f>
        <v>3</v>
      </c>
      <c r="J4" s="131">
        <f>Electricity!M9</f>
        <v>7</v>
      </c>
      <c r="K4" s="131">
        <f>Electricity!N9</f>
        <v>53</v>
      </c>
    </row>
    <row r="5" spans="1:11" ht="15" x14ac:dyDescent="0.25">
      <c r="A5" s="128" t="s">
        <v>10</v>
      </c>
      <c r="B5" s="129">
        <f t="shared" si="1"/>
        <v>4</v>
      </c>
      <c r="C5" s="130">
        <v>1</v>
      </c>
      <c r="D5" s="129">
        <v>2021</v>
      </c>
      <c r="E5" s="131">
        <f>Electricity!E10</f>
        <v>7039.76</v>
      </c>
      <c r="F5" s="132">
        <f>Electricity!I10/Electricity!E10</f>
        <v>3.6256034898917009</v>
      </c>
      <c r="G5" s="131">
        <f>Water!AW12</f>
        <v>61</v>
      </c>
      <c r="H5" s="133">
        <f t="shared" si="0"/>
        <v>3660</v>
      </c>
      <c r="I5" s="131">
        <f>Electricity!L10</f>
        <v>3</v>
      </c>
      <c r="J5" s="131">
        <f>Electricity!M10</f>
        <v>7</v>
      </c>
      <c r="K5" s="131">
        <f>Electricity!N10</f>
        <v>24</v>
      </c>
    </row>
    <row r="6" spans="1:11" ht="15" x14ac:dyDescent="0.25">
      <c r="A6" s="128" t="s">
        <v>10</v>
      </c>
      <c r="B6" s="129">
        <f t="shared" si="1"/>
        <v>5</v>
      </c>
      <c r="C6" s="130">
        <v>1</v>
      </c>
      <c r="D6" s="129">
        <v>2021</v>
      </c>
      <c r="E6" s="131">
        <f>Electricity!E11</f>
        <v>6771.96</v>
      </c>
      <c r="F6" s="132">
        <f>Electricity!I11/Electricity!E11</f>
        <v>3.6266942010880161</v>
      </c>
      <c r="G6" s="131">
        <f>Water!AW13</f>
        <v>56</v>
      </c>
      <c r="H6" s="133">
        <f t="shared" si="0"/>
        <v>3360</v>
      </c>
      <c r="I6" s="131">
        <f>Electricity!L11</f>
        <v>3</v>
      </c>
      <c r="J6" s="131">
        <f>Electricity!M11</f>
        <v>7</v>
      </c>
      <c r="K6" s="131">
        <f>Electricity!N11</f>
        <v>24</v>
      </c>
    </row>
    <row r="7" spans="1:11" ht="15" x14ac:dyDescent="0.25">
      <c r="A7" s="128" t="s">
        <v>10</v>
      </c>
      <c r="B7" s="129">
        <f t="shared" si="1"/>
        <v>6</v>
      </c>
      <c r="C7" s="130">
        <v>1</v>
      </c>
      <c r="D7" s="129">
        <v>2021</v>
      </c>
      <c r="E7" s="131">
        <f>Electricity!E12</f>
        <v>6706.74</v>
      </c>
      <c r="F7" s="132">
        <f>Electricity!I12/Electricity!E12</f>
        <v>3.6061562950106909</v>
      </c>
      <c r="G7" s="131">
        <f>Water!AW14</f>
        <v>55</v>
      </c>
      <c r="H7" s="133">
        <f t="shared" si="0"/>
        <v>3300</v>
      </c>
      <c r="I7" s="131">
        <f>Electricity!L12</f>
        <v>1</v>
      </c>
      <c r="J7" s="131">
        <f>Electricity!M12</f>
        <v>4</v>
      </c>
      <c r="K7" s="131">
        <f>Electricity!N12</f>
        <v>29</v>
      </c>
    </row>
    <row r="8" spans="1:11" ht="15" x14ac:dyDescent="0.25">
      <c r="A8" s="128" t="s">
        <v>10</v>
      </c>
      <c r="B8" s="129">
        <f t="shared" si="1"/>
        <v>7</v>
      </c>
      <c r="C8" s="130">
        <v>1</v>
      </c>
      <c r="D8" s="129">
        <v>2021</v>
      </c>
      <c r="E8" s="131">
        <f>Electricity!E13</f>
        <v>6420.63</v>
      </c>
      <c r="F8" s="132">
        <f>Electricity!I13/Electricity!E13</f>
        <v>3.5868866611220396</v>
      </c>
      <c r="G8" s="131">
        <f>Water!AW15</f>
        <v>56</v>
      </c>
      <c r="H8" s="133">
        <f t="shared" si="0"/>
        <v>3360</v>
      </c>
      <c r="I8" s="131">
        <f>Electricity!L13</f>
        <v>1</v>
      </c>
      <c r="J8" s="131">
        <f>Electricity!M13</f>
        <v>4</v>
      </c>
      <c r="K8" s="131">
        <f>Electricity!N13</f>
        <v>18</v>
      </c>
    </row>
    <row r="9" spans="1:11" ht="15" x14ac:dyDescent="0.25">
      <c r="A9" s="128" t="s">
        <v>10</v>
      </c>
      <c r="B9" s="129">
        <f t="shared" si="1"/>
        <v>8</v>
      </c>
      <c r="C9" s="130">
        <v>1</v>
      </c>
      <c r="D9" s="129">
        <v>2021</v>
      </c>
      <c r="E9" s="131">
        <f>Electricity!E14</f>
        <v>6393.83</v>
      </c>
      <c r="F9" s="132">
        <f>Electricity!I14/Electricity!E14</f>
        <v>3.6005821066559482</v>
      </c>
      <c r="G9" s="131">
        <f>Water!AW16</f>
        <v>60</v>
      </c>
      <c r="H9" s="133">
        <f t="shared" si="0"/>
        <v>3600</v>
      </c>
      <c r="I9" s="131">
        <f>Electricity!L14</f>
        <v>3</v>
      </c>
      <c r="J9" s="131">
        <f>Electricity!M14</f>
        <v>9</v>
      </c>
      <c r="K9" s="131">
        <f>Electricity!N14</f>
        <v>21</v>
      </c>
    </row>
    <row r="10" spans="1:11" ht="15" x14ac:dyDescent="0.25">
      <c r="A10" s="128" t="s">
        <v>10</v>
      </c>
      <c r="B10" s="129">
        <f t="shared" si="1"/>
        <v>9</v>
      </c>
      <c r="C10" s="130">
        <v>1</v>
      </c>
      <c r="D10" s="129">
        <v>2021</v>
      </c>
      <c r="E10" s="131">
        <f>Electricity!E15</f>
        <v>6076.08</v>
      </c>
      <c r="F10" s="132">
        <f>Electricity!I15/Electricity!E15</f>
        <v>2.6036999999999999</v>
      </c>
      <c r="G10" s="131">
        <f>Water!AW17</f>
        <v>52</v>
      </c>
      <c r="H10" s="133">
        <f t="shared" si="0"/>
        <v>3120</v>
      </c>
      <c r="I10" s="131">
        <f>Electricity!L15</f>
        <v>2</v>
      </c>
      <c r="J10" s="131">
        <f>Electricity!M15</f>
        <v>5</v>
      </c>
      <c r="K10" s="131">
        <f>Electricity!N15</f>
        <v>17</v>
      </c>
    </row>
    <row r="11" spans="1:11" ht="15" x14ac:dyDescent="0.25">
      <c r="A11" s="128" t="s">
        <v>10</v>
      </c>
      <c r="B11" s="129">
        <f t="shared" si="1"/>
        <v>10</v>
      </c>
      <c r="C11" s="130">
        <v>1</v>
      </c>
      <c r="D11" s="129">
        <v>2021</v>
      </c>
      <c r="E11" s="131">
        <f>Electricity!E16</f>
        <v>6168.68</v>
      </c>
      <c r="F11" s="132">
        <f>Electricity!I16/Electricity!E16</f>
        <v>2.6036999999999999</v>
      </c>
      <c r="G11" s="131">
        <f>Water!AW18</f>
        <v>93</v>
      </c>
      <c r="H11" s="133">
        <f t="shared" si="0"/>
        <v>5580</v>
      </c>
      <c r="I11" s="131">
        <f>Electricity!L16</f>
        <v>1</v>
      </c>
      <c r="J11" s="131">
        <f>Electricity!M16</f>
        <v>3</v>
      </c>
      <c r="K11" s="131">
        <f>Electricity!N16</f>
        <v>11</v>
      </c>
    </row>
    <row r="12" spans="1:11" ht="15" x14ac:dyDescent="0.25">
      <c r="A12" s="128" t="s">
        <v>10</v>
      </c>
      <c r="B12" s="129">
        <f t="shared" si="1"/>
        <v>11</v>
      </c>
      <c r="C12" s="130">
        <v>1</v>
      </c>
      <c r="D12" s="129">
        <v>2021</v>
      </c>
      <c r="E12" s="131">
        <f>Electricity!E17</f>
        <v>6712.43</v>
      </c>
      <c r="F12" s="132">
        <f>Electricity!I17/Electricity!E17</f>
        <v>3.6133576905829932</v>
      </c>
      <c r="G12" s="131">
        <f>Water!AW19</f>
        <v>89</v>
      </c>
      <c r="H12" s="133">
        <f t="shared" si="0"/>
        <v>5340</v>
      </c>
      <c r="I12" s="131">
        <f>Electricity!L17</f>
        <v>2</v>
      </c>
      <c r="J12" s="131">
        <f>Electricity!M17</f>
        <v>4</v>
      </c>
      <c r="K12" s="131">
        <f>Electricity!N17</f>
        <v>16</v>
      </c>
    </row>
    <row r="13" spans="1:11" ht="15" x14ac:dyDescent="0.25">
      <c r="A13" s="128" t="s">
        <v>10</v>
      </c>
      <c r="B13" s="129">
        <f t="shared" si="1"/>
        <v>12</v>
      </c>
      <c r="C13" s="130">
        <v>1</v>
      </c>
      <c r="D13" s="129">
        <v>2021</v>
      </c>
      <c r="E13" s="131">
        <f>Electricity!E18</f>
        <v>7005.4599999999991</v>
      </c>
      <c r="F13" s="132">
        <f>Electricity!I18/Electricity!E18</f>
        <v>3.5663406445829402</v>
      </c>
      <c r="G13" s="131">
        <f>Water!AW20</f>
        <v>66</v>
      </c>
      <c r="H13" s="133">
        <f t="shared" si="0"/>
        <v>3960</v>
      </c>
      <c r="I13" s="131">
        <f>Electricity!L18</f>
        <v>4</v>
      </c>
      <c r="J13" s="131">
        <f>Electricity!M18</f>
        <v>9</v>
      </c>
      <c r="K13" s="131">
        <f>Electricity!N18</f>
        <v>16</v>
      </c>
    </row>
    <row r="14" spans="1:11" ht="15" x14ac:dyDescent="0.25">
      <c r="A14" s="128" t="s">
        <v>10</v>
      </c>
      <c r="B14" s="129">
        <f t="shared" si="1"/>
        <v>13</v>
      </c>
      <c r="C14" s="130">
        <v>1</v>
      </c>
      <c r="D14" s="129">
        <v>2021</v>
      </c>
      <c r="E14" s="131">
        <f>Electricity!E19</f>
        <v>7049.35</v>
      </c>
      <c r="F14" s="132">
        <f>Electricity!I19/Electricity!E19</f>
        <v>3.574346090774327</v>
      </c>
      <c r="G14" s="131">
        <f>Water!AW21</f>
        <v>87</v>
      </c>
      <c r="H14" s="133">
        <f t="shared" si="0"/>
        <v>5220</v>
      </c>
      <c r="I14" s="131">
        <f>Electricity!L19</f>
        <v>5</v>
      </c>
      <c r="J14" s="131">
        <f>Electricity!M19</f>
        <v>11</v>
      </c>
      <c r="K14" s="131">
        <f>Electricity!N19</f>
        <v>29</v>
      </c>
    </row>
    <row r="15" spans="1:11" ht="15" x14ac:dyDescent="0.25">
      <c r="A15" s="128" t="s">
        <v>10</v>
      </c>
      <c r="B15" s="129">
        <f t="shared" si="1"/>
        <v>14</v>
      </c>
      <c r="C15" s="130">
        <v>1</v>
      </c>
      <c r="D15" s="129">
        <v>2021</v>
      </c>
      <c r="E15" s="131">
        <f>Electricity!E20</f>
        <v>3958.58</v>
      </c>
      <c r="F15" s="132">
        <f>Electricity!I20/Electricity!E20</f>
        <v>3.0958533933885386</v>
      </c>
      <c r="G15" s="131">
        <f>Water!AW22</f>
        <v>82</v>
      </c>
      <c r="H15" s="133">
        <f t="shared" si="0"/>
        <v>4920</v>
      </c>
      <c r="I15" s="131">
        <f>Electricity!L20</f>
        <v>2</v>
      </c>
      <c r="J15" s="131">
        <f>Electricity!M20</f>
        <v>4</v>
      </c>
      <c r="K15" s="131">
        <f>Electricity!N20</f>
        <v>27</v>
      </c>
    </row>
    <row r="16" spans="1:11" ht="15" x14ac:dyDescent="0.25">
      <c r="A16" s="128" t="s">
        <v>10</v>
      </c>
      <c r="B16" s="129">
        <f t="shared" si="1"/>
        <v>15</v>
      </c>
      <c r="C16" s="130">
        <v>1</v>
      </c>
      <c r="D16" s="129">
        <v>2021</v>
      </c>
      <c r="E16" s="131">
        <f>Electricity!E21</f>
        <v>6891.78</v>
      </c>
      <c r="F16" s="132">
        <f>Electricity!I21/Electricity!E21</f>
        <v>3.5898271784647804</v>
      </c>
      <c r="G16" s="131">
        <f>Water!AW23</f>
        <v>104</v>
      </c>
      <c r="H16" s="133">
        <f t="shared" si="0"/>
        <v>6240</v>
      </c>
      <c r="I16" s="131" t="e">
        <f>Electricity!#REF!</f>
        <v>#REF!</v>
      </c>
      <c r="J16" s="131" t="e">
        <f>Electricity!#REF!</f>
        <v>#REF!</v>
      </c>
      <c r="K16" s="131">
        <f>Electricity!N21</f>
        <v>8</v>
      </c>
    </row>
    <row r="17" spans="1:11" ht="15" x14ac:dyDescent="0.25">
      <c r="A17" s="128" t="s">
        <v>10</v>
      </c>
      <c r="B17" s="129">
        <f t="shared" si="1"/>
        <v>16</v>
      </c>
      <c r="C17" s="130">
        <v>1</v>
      </c>
      <c r="D17" s="129">
        <v>2021</v>
      </c>
      <c r="E17" s="131">
        <f>Electricity!E22</f>
        <v>7168.91</v>
      </c>
      <c r="F17" s="132">
        <f>Electricity!I22/Electricity!E22</f>
        <v>2.6036999999999999</v>
      </c>
      <c r="G17" s="131">
        <f>Water!AW24</f>
        <v>90</v>
      </c>
      <c r="H17" s="133">
        <f t="shared" si="0"/>
        <v>5400</v>
      </c>
      <c r="I17" s="131">
        <f>Electricity!L21</f>
        <v>2</v>
      </c>
      <c r="J17" s="131">
        <f>Electricity!M21</f>
        <v>4</v>
      </c>
      <c r="K17" s="131">
        <f>Electricity!N22</f>
        <v>16</v>
      </c>
    </row>
    <row r="18" spans="1:11" ht="15" x14ac:dyDescent="0.25">
      <c r="A18" s="128" t="s">
        <v>10</v>
      </c>
      <c r="B18" s="129">
        <f t="shared" si="1"/>
        <v>17</v>
      </c>
      <c r="C18" s="130">
        <v>1</v>
      </c>
      <c r="D18" s="129">
        <v>2021</v>
      </c>
      <c r="E18" s="131">
        <f>Electricity!E23</f>
        <v>6254.8</v>
      </c>
      <c r="F18" s="132">
        <f>Electricity!I23/Electricity!E23</f>
        <v>2.6036999999999999</v>
      </c>
      <c r="G18" s="131">
        <f>Water!AW25</f>
        <v>47</v>
      </c>
      <c r="H18" s="133">
        <f t="shared" si="0"/>
        <v>2820</v>
      </c>
      <c r="I18" s="131">
        <f>Electricity!L23</f>
        <v>1</v>
      </c>
      <c r="J18" s="131">
        <f>Electricity!M23</f>
        <v>2</v>
      </c>
      <c r="K18" s="131">
        <f>Electricity!N23</f>
        <v>8</v>
      </c>
    </row>
    <row r="19" spans="1:11" ht="15" x14ac:dyDescent="0.25">
      <c r="A19" s="128" t="s">
        <v>10</v>
      </c>
      <c r="B19" s="129">
        <f t="shared" si="1"/>
        <v>18</v>
      </c>
      <c r="C19" s="130">
        <v>1</v>
      </c>
      <c r="D19" s="129">
        <v>2021</v>
      </c>
      <c r="E19" s="131">
        <f>Electricity!E24</f>
        <v>5961.62</v>
      </c>
      <c r="F19" s="132">
        <f>Electricity!I24/Electricity!E24</f>
        <v>3.652283337750478</v>
      </c>
      <c r="G19" s="131">
        <f>Water!AW26</f>
        <v>94</v>
      </c>
      <c r="H19" s="133">
        <f t="shared" si="0"/>
        <v>5640</v>
      </c>
      <c r="I19" s="131">
        <f>Electricity!L24</f>
        <v>1</v>
      </c>
      <c r="J19" s="131">
        <f>Electricity!M24</f>
        <v>2</v>
      </c>
      <c r="K19" s="131">
        <f>Electricity!N24</f>
        <v>15</v>
      </c>
    </row>
    <row r="20" spans="1:11" ht="15" x14ac:dyDescent="0.25">
      <c r="A20" s="128" t="s">
        <v>10</v>
      </c>
      <c r="B20" s="129">
        <f t="shared" si="1"/>
        <v>19</v>
      </c>
      <c r="C20" s="130">
        <v>1</v>
      </c>
      <c r="D20" s="129">
        <v>2021</v>
      </c>
      <c r="E20" s="131">
        <f>Electricity!E25</f>
        <v>6368.25</v>
      </c>
      <c r="F20" s="132">
        <f>Electricity!I25/Electricity!E25</f>
        <v>3.5946857087896991</v>
      </c>
      <c r="G20" s="131">
        <f>Water!AW27</f>
        <v>59</v>
      </c>
      <c r="H20" s="133">
        <f t="shared" si="0"/>
        <v>3540</v>
      </c>
      <c r="I20" s="131">
        <f>Electricity!L25</f>
        <v>3</v>
      </c>
      <c r="J20" s="131">
        <f>Electricity!M25</f>
        <v>6</v>
      </c>
      <c r="K20" s="131">
        <f>Electricity!N25</f>
        <v>4</v>
      </c>
    </row>
    <row r="21" spans="1:11" ht="15" x14ac:dyDescent="0.25">
      <c r="A21" s="128" t="s">
        <v>10</v>
      </c>
      <c r="B21" s="129">
        <f t="shared" si="1"/>
        <v>20</v>
      </c>
      <c r="C21" s="130">
        <v>1</v>
      </c>
      <c r="D21" s="129">
        <v>2021</v>
      </c>
      <c r="E21" s="131">
        <f>Electricity!E26</f>
        <v>5883.38</v>
      </c>
      <c r="F21" s="132">
        <f>Electricity!I26/Electricity!E26</f>
        <v>3.6411955821313602</v>
      </c>
      <c r="G21" s="131">
        <f>Water!AW28</f>
        <v>70</v>
      </c>
      <c r="H21" s="133">
        <f t="shared" si="0"/>
        <v>4200</v>
      </c>
      <c r="I21" s="131">
        <f>Electricity!L26</f>
        <v>3</v>
      </c>
      <c r="J21" s="131">
        <f>Electricity!M26</f>
        <v>4</v>
      </c>
      <c r="K21" s="131">
        <f>Electricity!N26</f>
        <v>4</v>
      </c>
    </row>
    <row r="22" spans="1:11" ht="15" x14ac:dyDescent="0.25">
      <c r="A22" s="128" t="s">
        <v>10</v>
      </c>
      <c r="B22" s="129">
        <f t="shared" si="1"/>
        <v>21</v>
      </c>
      <c r="C22" s="130">
        <v>1</v>
      </c>
      <c r="D22" s="129">
        <v>2021</v>
      </c>
      <c r="E22" s="131">
        <f>Electricity!E27</f>
        <v>0</v>
      </c>
      <c r="F22" s="132" t="e">
        <f>Electricity!I27/Electricity!E27</f>
        <v>#DIV/0!</v>
      </c>
      <c r="G22" s="131">
        <f>Water!AW29</f>
        <v>0</v>
      </c>
      <c r="H22" s="133">
        <f t="shared" si="0"/>
        <v>0</v>
      </c>
      <c r="I22" s="131">
        <f>Electricity!L27</f>
        <v>0</v>
      </c>
      <c r="J22" s="131">
        <f>Electricity!M27</f>
        <v>0</v>
      </c>
      <c r="K22" s="131">
        <f>Electricity!N27</f>
        <v>0</v>
      </c>
    </row>
    <row r="23" spans="1:11" ht="15" x14ac:dyDescent="0.25">
      <c r="A23" s="128" t="s">
        <v>10</v>
      </c>
      <c r="B23" s="129">
        <f t="shared" si="1"/>
        <v>22</v>
      </c>
      <c r="C23" s="130">
        <v>1</v>
      </c>
      <c r="D23" s="129">
        <v>2021</v>
      </c>
      <c r="E23" s="131">
        <f>Electricity!E28</f>
        <v>0</v>
      </c>
      <c r="F23" s="132" t="e">
        <f>Electricity!I28/Electricity!E28</f>
        <v>#DIV/0!</v>
      </c>
      <c r="G23" s="131">
        <f>Water!AW30</f>
        <v>0</v>
      </c>
      <c r="H23" s="133">
        <f t="shared" si="0"/>
        <v>0</v>
      </c>
      <c r="I23" s="131">
        <f>Electricity!L28</f>
        <v>0</v>
      </c>
      <c r="J23" s="131">
        <f>Electricity!M28</f>
        <v>0</v>
      </c>
      <c r="K23" s="131">
        <f>Electricity!N28</f>
        <v>0</v>
      </c>
    </row>
    <row r="24" spans="1:11" ht="15" x14ac:dyDescent="0.25">
      <c r="A24" s="128" t="s">
        <v>10</v>
      </c>
      <c r="B24" s="129">
        <f t="shared" si="1"/>
        <v>23</v>
      </c>
      <c r="C24" s="130">
        <v>1</v>
      </c>
      <c r="D24" s="129">
        <v>2021</v>
      </c>
      <c r="E24" s="131">
        <f>Electricity!E29</f>
        <v>0</v>
      </c>
      <c r="F24" s="132" t="e">
        <f>Electricity!I29/Electricity!E29</f>
        <v>#DIV/0!</v>
      </c>
      <c r="G24" s="131">
        <f>Water!AW31</f>
        <v>0</v>
      </c>
      <c r="H24" s="133">
        <f t="shared" si="0"/>
        <v>0</v>
      </c>
      <c r="I24" s="131">
        <f>Electricity!L29</f>
        <v>0</v>
      </c>
      <c r="J24" s="131">
        <f>Electricity!M29</f>
        <v>0</v>
      </c>
      <c r="K24" s="131">
        <f>Electricity!N29</f>
        <v>0</v>
      </c>
    </row>
    <row r="25" spans="1:11" ht="15" x14ac:dyDescent="0.25">
      <c r="A25" s="128" t="s">
        <v>10</v>
      </c>
      <c r="B25" s="129">
        <f t="shared" si="1"/>
        <v>24</v>
      </c>
      <c r="C25" s="130">
        <v>1</v>
      </c>
      <c r="D25" s="129">
        <v>2021</v>
      </c>
      <c r="E25" s="131">
        <f>Electricity!E30</f>
        <v>0</v>
      </c>
      <c r="F25" s="132" t="e">
        <f>Electricity!I30/Electricity!E30</f>
        <v>#DIV/0!</v>
      </c>
      <c r="G25" s="131">
        <f>Water!AW32</f>
        <v>0</v>
      </c>
      <c r="H25" s="133">
        <f t="shared" si="0"/>
        <v>0</v>
      </c>
      <c r="I25" s="131">
        <f>Electricity!L30</f>
        <v>0</v>
      </c>
      <c r="J25" s="131">
        <f>Electricity!M30</f>
        <v>0</v>
      </c>
      <c r="K25" s="131">
        <f>Electricity!N30</f>
        <v>0</v>
      </c>
    </row>
    <row r="26" spans="1:11" ht="15" x14ac:dyDescent="0.25">
      <c r="A26" s="128" t="s">
        <v>10</v>
      </c>
      <c r="B26" s="129">
        <f>B25+1</f>
        <v>25</v>
      </c>
      <c r="C26" s="130">
        <v>1</v>
      </c>
      <c r="D26" s="129">
        <v>2021</v>
      </c>
      <c r="E26" s="131">
        <f>Electricity!E31</f>
        <v>0</v>
      </c>
      <c r="F26" s="132" t="e">
        <f>Electricity!I31/Electricity!E31</f>
        <v>#DIV/0!</v>
      </c>
      <c r="G26" s="131">
        <f>Water!AW33</f>
        <v>0</v>
      </c>
      <c r="H26" s="133">
        <f t="shared" si="0"/>
        <v>0</v>
      </c>
      <c r="I26" s="131">
        <f>Electricity!L31</f>
        <v>0</v>
      </c>
      <c r="J26" s="131">
        <f>Electricity!M31</f>
        <v>0</v>
      </c>
      <c r="K26" s="131">
        <f>Electricity!N31</f>
        <v>0</v>
      </c>
    </row>
    <row r="27" spans="1:11" ht="15" x14ac:dyDescent="0.25">
      <c r="A27" s="128" t="s">
        <v>10</v>
      </c>
      <c r="B27" s="129">
        <f t="shared" si="1"/>
        <v>26</v>
      </c>
      <c r="C27" s="130">
        <v>1</v>
      </c>
      <c r="D27" s="129">
        <v>2021</v>
      </c>
      <c r="E27" s="131">
        <f>Electricity!E32</f>
        <v>0</v>
      </c>
      <c r="F27" s="132" t="e">
        <f>Electricity!I32/Electricity!E32</f>
        <v>#DIV/0!</v>
      </c>
      <c r="G27" s="131">
        <f>Water!AW34</f>
        <v>0</v>
      </c>
      <c r="H27" s="133">
        <f t="shared" si="0"/>
        <v>0</v>
      </c>
      <c r="I27" s="131">
        <f>Electricity!L32</f>
        <v>0</v>
      </c>
      <c r="J27" s="131">
        <f>Electricity!M32</f>
        <v>0</v>
      </c>
      <c r="K27" s="131">
        <f>Electricity!N32</f>
        <v>0</v>
      </c>
    </row>
    <row r="28" spans="1:11" ht="15" x14ac:dyDescent="0.25">
      <c r="A28" s="128" t="s">
        <v>10</v>
      </c>
      <c r="B28" s="129">
        <f t="shared" si="1"/>
        <v>27</v>
      </c>
      <c r="C28" s="130">
        <v>1</v>
      </c>
      <c r="D28" s="129">
        <v>2021</v>
      </c>
      <c r="E28" s="131">
        <f>Electricity!E33</f>
        <v>0</v>
      </c>
      <c r="F28" s="132" t="e">
        <f>Electricity!I33/Electricity!E33</f>
        <v>#DIV/0!</v>
      </c>
      <c r="G28" s="131">
        <f>Water!AW35</f>
        <v>0</v>
      </c>
      <c r="H28" s="133">
        <f t="shared" si="0"/>
        <v>0</v>
      </c>
      <c r="I28" s="131">
        <f>Electricity!L33</f>
        <v>0</v>
      </c>
      <c r="J28" s="131">
        <f>Electricity!M33</f>
        <v>0</v>
      </c>
      <c r="K28" s="131">
        <f>Electricity!N33</f>
        <v>0</v>
      </c>
    </row>
    <row r="29" spans="1:11" ht="15" x14ac:dyDescent="0.25">
      <c r="A29" s="128" t="s">
        <v>10</v>
      </c>
      <c r="B29" s="129">
        <f t="shared" si="1"/>
        <v>28</v>
      </c>
      <c r="C29" s="130">
        <v>1</v>
      </c>
      <c r="D29" s="129">
        <v>2021</v>
      </c>
      <c r="E29" s="131">
        <f>Electricity!E34</f>
        <v>0</v>
      </c>
      <c r="F29" s="132" t="e">
        <f>Electricity!I34/Electricity!E34</f>
        <v>#DIV/0!</v>
      </c>
      <c r="G29" s="131">
        <f>Water!AW36</f>
        <v>0</v>
      </c>
      <c r="H29" s="133">
        <f t="shared" si="0"/>
        <v>0</v>
      </c>
      <c r="I29" s="131">
        <f>Electricity!L34</f>
        <v>0</v>
      </c>
      <c r="J29" s="131">
        <f>Electricity!M34</f>
        <v>0</v>
      </c>
      <c r="K29" s="131">
        <f>Electricity!N34</f>
        <v>0</v>
      </c>
    </row>
    <row r="30" spans="1:11" ht="15" x14ac:dyDescent="0.25">
      <c r="A30" s="128" t="s">
        <v>10</v>
      </c>
      <c r="B30" s="129">
        <f t="shared" si="1"/>
        <v>29</v>
      </c>
      <c r="C30" s="130">
        <v>1</v>
      </c>
      <c r="D30" s="129">
        <v>2021</v>
      </c>
      <c r="E30" s="131">
        <f>Electricity!E35</f>
        <v>0</v>
      </c>
      <c r="F30" s="132" t="e">
        <f>Electricity!I35/Electricity!E35</f>
        <v>#DIV/0!</v>
      </c>
      <c r="G30" s="131">
        <f>Water!AW37</f>
        <v>0</v>
      </c>
      <c r="H30" s="133">
        <f t="shared" si="0"/>
        <v>0</v>
      </c>
      <c r="I30" s="131">
        <f>Electricity!L35</f>
        <v>0</v>
      </c>
      <c r="J30" s="131">
        <f>Electricity!M35</f>
        <v>0</v>
      </c>
      <c r="K30" s="131">
        <f>Electricity!N35</f>
        <v>0</v>
      </c>
    </row>
    <row r="31" spans="1:11" ht="15" x14ac:dyDescent="0.25">
      <c r="A31" s="128" t="s">
        <v>10</v>
      </c>
      <c r="B31" s="129">
        <f t="shared" si="1"/>
        <v>30</v>
      </c>
      <c r="C31" s="130">
        <v>1</v>
      </c>
      <c r="D31" s="129">
        <v>2021</v>
      </c>
      <c r="E31" s="131">
        <f>Electricity!E36</f>
        <v>0</v>
      </c>
      <c r="F31" s="132" t="e">
        <f>Electricity!I36/Electricity!E36</f>
        <v>#DIV/0!</v>
      </c>
      <c r="G31" s="131">
        <f>Water!AW38</f>
        <v>0</v>
      </c>
      <c r="H31" s="133">
        <f t="shared" si="0"/>
        <v>0</v>
      </c>
      <c r="I31" s="131">
        <f>Electricity!L36</f>
        <v>0</v>
      </c>
      <c r="J31" s="131">
        <f>Electricity!M36</f>
        <v>0</v>
      </c>
      <c r="K31" s="131">
        <f>Electricity!N36</f>
        <v>0</v>
      </c>
    </row>
    <row r="32" spans="1:11" ht="15" x14ac:dyDescent="0.25">
      <c r="A32" s="128" t="s">
        <v>10</v>
      </c>
      <c r="B32" s="129">
        <f t="shared" si="1"/>
        <v>31</v>
      </c>
      <c r="C32" s="130">
        <v>1</v>
      </c>
      <c r="D32" s="129">
        <v>2021</v>
      </c>
      <c r="E32" s="131">
        <f>Electricity!E37</f>
        <v>0</v>
      </c>
      <c r="F32" s="132" t="e">
        <f>Electricity!I37/Electricity!E37</f>
        <v>#DIV/0!</v>
      </c>
      <c r="G32" s="131">
        <f>Water!AW39</f>
        <v>0</v>
      </c>
      <c r="H32" s="133">
        <f t="shared" si="0"/>
        <v>0</v>
      </c>
      <c r="I32" s="131">
        <f>Electricity!L37</f>
        <v>0</v>
      </c>
      <c r="J32" s="131">
        <f>Electricity!M37</f>
        <v>0</v>
      </c>
      <c r="K32" s="131">
        <f>Electricity!N37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50"/>
  <sheetViews>
    <sheetView workbookViewId="0">
      <pane ySplit="6" topLeftCell="A13" activePane="bottomLeft" state="frozen"/>
      <selection pane="bottomLeft" activeCell="M26" sqref="M26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11</v>
      </c>
      <c r="E2" s="2"/>
    </row>
    <row r="3" spans="1:14" ht="19.5" customHeight="1" x14ac:dyDescent="0.25">
      <c r="A3" s="185">
        <v>44197</v>
      </c>
      <c r="B3" s="185"/>
      <c r="E3" s="3"/>
      <c r="J3" s="4" t="s">
        <v>12</v>
      </c>
    </row>
    <row r="4" spans="1:14" x14ac:dyDescent="0.2">
      <c r="A4" s="186" t="s">
        <v>13</v>
      </c>
      <c r="B4" s="189" t="s">
        <v>14</v>
      </c>
      <c r="C4" s="189" t="s">
        <v>15</v>
      </c>
      <c r="D4" s="192" t="s">
        <v>16</v>
      </c>
      <c r="E4" s="183" t="s">
        <v>17</v>
      </c>
      <c r="F4" s="5" t="s">
        <v>18</v>
      </c>
      <c r="G4" s="5" t="s">
        <v>19</v>
      </c>
      <c r="H4" s="5" t="s">
        <v>20</v>
      </c>
      <c r="I4" s="198" t="s">
        <v>21</v>
      </c>
      <c r="J4" s="201" t="s">
        <v>22</v>
      </c>
      <c r="L4" s="195" t="s">
        <v>23</v>
      </c>
      <c r="M4" s="195" t="s">
        <v>8</v>
      </c>
      <c r="N4" s="195" t="s">
        <v>9</v>
      </c>
    </row>
    <row r="5" spans="1:14" x14ac:dyDescent="0.2">
      <c r="A5" s="187"/>
      <c r="B5" s="190"/>
      <c r="C5" s="190"/>
      <c r="D5" s="193"/>
      <c r="E5" s="184"/>
      <c r="F5" s="6" t="s">
        <v>24</v>
      </c>
      <c r="G5" s="6" t="s">
        <v>25</v>
      </c>
      <c r="H5" s="6" t="s">
        <v>26</v>
      </c>
      <c r="I5" s="199"/>
      <c r="J5" s="202"/>
      <c r="L5" s="196"/>
      <c r="M5" s="196"/>
      <c r="N5" s="196"/>
    </row>
    <row r="6" spans="1:14" x14ac:dyDescent="0.2">
      <c r="A6" s="188"/>
      <c r="B6" s="191"/>
      <c r="C6" s="191"/>
      <c r="D6" s="194"/>
      <c r="E6" s="7" t="s">
        <v>27</v>
      </c>
      <c r="F6" s="8">
        <v>4.1839000000000004</v>
      </c>
      <c r="G6" s="8">
        <v>2.6036999999999999</v>
      </c>
      <c r="H6" s="8">
        <v>2.0603699999999998</v>
      </c>
      <c r="I6" s="200"/>
      <c r="J6" s="9">
        <v>-0.12429999999999999</v>
      </c>
      <c r="K6" s="3"/>
      <c r="L6" s="197"/>
      <c r="M6" s="197"/>
      <c r="N6" s="197"/>
    </row>
    <row r="7" spans="1:14" x14ac:dyDescent="0.2">
      <c r="A7" s="10">
        <v>1</v>
      </c>
      <c r="B7" s="11"/>
      <c r="C7" s="11"/>
      <c r="D7" s="12">
        <v>6877.52</v>
      </c>
      <c r="E7" s="13">
        <v>6877.52</v>
      </c>
      <c r="F7" s="14">
        <v>0</v>
      </c>
      <c r="G7" s="14">
        <v>0</v>
      </c>
      <c r="H7" s="14">
        <v>17906.998824000002</v>
      </c>
      <c r="I7" s="15">
        <v>17906.998824000002</v>
      </c>
      <c r="J7" s="16">
        <v>-854.87573599999996</v>
      </c>
      <c r="K7" s="3"/>
      <c r="L7" s="134">
        <v>10</v>
      </c>
      <c r="M7" s="134">
        <v>58</v>
      </c>
      <c r="N7" s="135">
        <v>125</v>
      </c>
    </row>
    <row r="8" spans="1:14" x14ac:dyDescent="0.2">
      <c r="A8" s="17">
        <v>2</v>
      </c>
      <c r="B8" s="11"/>
      <c r="C8" s="11"/>
      <c r="D8" s="18">
        <v>7145.03</v>
      </c>
      <c r="E8" s="13">
        <v>7145.03</v>
      </c>
      <c r="F8" s="14">
        <v>0</v>
      </c>
      <c r="G8" s="14">
        <v>0</v>
      </c>
      <c r="H8" s="14">
        <v>18603.514610999999</v>
      </c>
      <c r="I8" s="19">
        <v>18603.514610999999</v>
      </c>
      <c r="J8" s="16">
        <v>-888.12722899999994</v>
      </c>
      <c r="L8" s="134">
        <v>7</v>
      </c>
      <c r="M8" s="134">
        <v>52</v>
      </c>
      <c r="N8" s="136">
        <v>110</v>
      </c>
    </row>
    <row r="9" spans="1:14" ht="12.75" customHeight="1" x14ac:dyDescent="0.2">
      <c r="A9" s="17">
        <v>3</v>
      </c>
      <c r="B9" s="11"/>
      <c r="C9" s="11"/>
      <c r="D9" s="20">
        <v>6558.24</v>
      </c>
      <c r="E9" s="13">
        <v>6558.24</v>
      </c>
      <c r="F9" s="14">
        <v>0</v>
      </c>
      <c r="G9" s="14">
        <v>0</v>
      </c>
      <c r="H9" s="14">
        <v>17075.689488</v>
      </c>
      <c r="I9" s="19">
        <v>17075.689488</v>
      </c>
      <c r="J9" s="16">
        <v>-815.18923199999995</v>
      </c>
      <c r="L9" s="134">
        <v>3</v>
      </c>
      <c r="M9" s="134">
        <v>7</v>
      </c>
      <c r="N9" s="137">
        <v>53</v>
      </c>
    </row>
    <row r="10" spans="1:14" ht="12.75" customHeight="1" x14ac:dyDescent="0.2">
      <c r="A10" s="17">
        <v>4</v>
      </c>
      <c r="B10" s="11">
        <v>4552.5600000000004</v>
      </c>
      <c r="C10" s="11">
        <v>2487.1999999999998</v>
      </c>
      <c r="D10" s="11"/>
      <c r="E10" s="13">
        <v>7039.76</v>
      </c>
      <c r="F10" s="14">
        <v>19047.455784000005</v>
      </c>
      <c r="G10" s="14">
        <v>6475.9226399999989</v>
      </c>
      <c r="H10" s="14">
        <v>0</v>
      </c>
      <c r="I10" s="19">
        <v>25523.378424000002</v>
      </c>
      <c r="J10" s="16">
        <v>-875.04216799999995</v>
      </c>
      <c r="L10" s="134">
        <v>3</v>
      </c>
      <c r="M10" s="134">
        <v>7</v>
      </c>
      <c r="N10" s="134">
        <v>24</v>
      </c>
    </row>
    <row r="11" spans="1:14" x14ac:dyDescent="0.2">
      <c r="A11" s="17">
        <v>5</v>
      </c>
      <c r="B11" s="11">
        <v>4384.05</v>
      </c>
      <c r="C11" s="11">
        <v>2387.91</v>
      </c>
      <c r="D11" s="18"/>
      <c r="E11" s="13">
        <v>6771.96</v>
      </c>
      <c r="F11" s="14">
        <v>18342.426795000003</v>
      </c>
      <c r="G11" s="14">
        <v>6217.4012669999993</v>
      </c>
      <c r="H11" s="14">
        <v>0</v>
      </c>
      <c r="I11" s="19">
        <v>24559.828062000001</v>
      </c>
      <c r="J11" s="16">
        <v>-841.75462799999991</v>
      </c>
      <c r="L11" s="134">
        <v>3</v>
      </c>
      <c r="M11" s="134">
        <v>7</v>
      </c>
      <c r="N11" s="136">
        <v>24</v>
      </c>
    </row>
    <row r="12" spans="1:14" x14ac:dyDescent="0.2">
      <c r="A12" s="17">
        <v>6</v>
      </c>
      <c r="B12" s="18">
        <v>4254.66</v>
      </c>
      <c r="C12" s="18">
        <v>2452.08</v>
      </c>
      <c r="D12" s="18"/>
      <c r="E12" s="21">
        <v>6706.74</v>
      </c>
      <c r="F12" s="14">
        <v>17801.071974000002</v>
      </c>
      <c r="G12" s="14">
        <v>6384.4806959999996</v>
      </c>
      <c r="H12" s="14">
        <v>0</v>
      </c>
      <c r="I12" s="19">
        <v>24185.552670000001</v>
      </c>
      <c r="J12" s="16">
        <v>-833.64778199999989</v>
      </c>
      <c r="L12" s="136">
        <v>1</v>
      </c>
      <c r="M12" s="136">
        <v>4</v>
      </c>
      <c r="N12" s="136">
        <v>29</v>
      </c>
    </row>
    <row r="13" spans="1:14" x14ac:dyDescent="0.2">
      <c r="A13" s="17">
        <v>7</v>
      </c>
      <c r="B13" s="18">
        <v>3994.86</v>
      </c>
      <c r="C13" s="18">
        <v>2425.77</v>
      </c>
      <c r="D13" s="18"/>
      <c r="E13" s="21">
        <v>6420.63</v>
      </c>
      <c r="F13" s="14">
        <v>16714.094754000002</v>
      </c>
      <c r="G13" s="14">
        <v>6315.9773489999998</v>
      </c>
      <c r="H13" s="14">
        <v>0</v>
      </c>
      <c r="I13" s="19">
        <v>23030.072103000002</v>
      </c>
      <c r="J13" s="16">
        <v>-798.08430899999996</v>
      </c>
      <c r="L13" s="136">
        <v>1</v>
      </c>
      <c r="M13" s="136">
        <v>4</v>
      </c>
      <c r="N13" s="136">
        <v>18</v>
      </c>
    </row>
    <row r="14" spans="1:14" x14ac:dyDescent="0.2">
      <c r="A14" s="17">
        <v>8</v>
      </c>
      <c r="B14" s="18">
        <v>4033.6</v>
      </c>
      <c r="C14" s="18">
        <v>2360.23</v>
      </c>
      <c r="D14" s="18"/>
      <c r="E14" s="13">
        <v>6393.83</v>
      </c>
      <c r="F14" s="14">
        <v>16876.179040000003</v>
      </c>
      <c r="G14" s="14">
        <v>6145.3308509999997</v>
      </c>
      <c r="H14" s="14">
        <v>0</v>
      </c>
      <c r="I14" s="19">
        <v>23021.509891000002</v>
      </c>
      <c r="J14" s="16">
        <v>-794.75306899999998</v>
      </c>
      <c r="L14" s="136">
        <v>3</v>
      </c>
      <c r="M14" s="136">
        <v>9</v>
      </c>
      <c r="N14" s="136">
        <v>21</v>
      </c>
    </row>
    <row r="15" spans="1:14" x14ac:dyDescent="0.2">
      <c r="A15" s="17">
        <v>9</v>
      </c>
      <c r="B15" s="18"/>
      <c r="C15" s="18"/>
      <c r="D15" s="22">
        <v>6076.08</v>
      </c>
      <c r="E15" s="13">
        <v>6076.08</v>
      </c>
      <c r="F15" s="14">
        <v>0</v>
      </c>
      <c r="G15" s="14">
        <v>0</v>
      </c>
      <c r="H15" s="14">
        <v>15820.289495999999</v>
      </c>
      <c r="I15" s="19">
        <v>15820.289495999999</v>
      </c>
      <c r="J15" s="16">
        <v>-755.25674399999991</v>
      </c>
      <c r="L15" s="136">
        <v>2</v>
      </c>
      <c r="M15" s="136">
        <v>5</v>
      </c>
      <c r="N15" s="138">
        <v>17</v>
      </c>
    </row>
    <row r="16" spans="1:14" x14ac:dyDescent="0.2">
      <c r="A16" s="17">
        <v>10</v>
      </c>
      <c r="B16" s="18"/>
      <c r="C16" s="18"/>
      <c r="D16" s="18">
        <v>6168.68</v>
      </c>
      <c r="E16" s="13">
        <v>6168.68</v>
      </c>
      <c r="F16" s="14">
        <v>0</v>
      </c>
      <c r="G16" s="14">
        <v>0</v>
      </c>
      <c r="H16" s="14">
        <v>16061.392116000001</v>
      </c>
      <c r="I16" s="19">
        <v>16061.392116000001</v>
      </c>
      <c r="J16" s="16">
        <v>-766.76692400000002</v>
      </c>
      <c r="L16" s="136">
        <v>1</v>
      </c>
      <c r="M16" s="136">
        <v>3</v>
      </c>
      <c r="N16" s="136">
        <v>11</v>
      </c>
    </row>
    <row r="17" spans="1:14" x14ac:dyDescent="0.2">
      <c r="A17" s="17">
        <v>11</v>
      </c>
      <c r="B17" s="18">
        <v>4288.8599999999997</v>
      </c>
      <c r="C17" s="18">
        <v>2423.5700000000002</v>
      </c>
      <c r="D17" s="22"/>
      <c r="E17" s="13">
        <v>6712.43</v>
      </c>
      <c r="F17" s="14">
        <v>17944.161354</v>
      </c>
      <c r="G17" s="14">
        <v>6310.2492090000005</v>
      </c>
      <c r="H17" s="14">
        <v>0</v>
      </c>
      <c r="I17" s="19">
        <v>24254.410563000001</v>
      </c>
      <c r="J17" s="16">
        <v>-834.35504900000001</v>
      </c>
      <c r="L17" s="136">
        <v>2</v>
      </c>
      <c r="M17" s="136">
        <v>4</v>
      </c>
      <c r="N17" s="138">
        <v>16</v>
      </c>
    </row>
    <row r="18" spans="1:14" s="23" customFormat="1" x14ac:dyDescent="0.2">
      <c r="A18" s="17">
        <v>12</v>
      </c>
      <c r="B18" s="18">
        <v>4267.6499999999996</v>
      </c>
      <c r="C18" s="18">
        <v>2737.81</v>
      </c>
      <c r="D18" s="18"/>
      <c r="E18" s="13">
        <v>7005.4599999999991</v>
      </c>
      <c r="F18" s="14">
        <v>17855.420835000001</v>
      </c>
      <c r="G18" s="14">
        <v>7128.4358969999994</v>
      </c>
      <c r="H18" s="14">
        <v>0</v>
      </c>
      <c r="I18" s="19">
        <v>24983.856732</v>
      </c>
      <c r="J18" s="16">
        <v>-870.7786779999999</v>
      </c>
      <c r="L18" s="136">
        <v>4</v>
      </c>
      <c r="M18" s="136">
        <v>9</v>
      </c>
      <c r="N18" s="136">
        <v>16</v>
      </c>
    </row>
    <row r="19" spans="1:14" s="23" customFormat="1" x14ac:dyDescent="0.2">
      <c r="A19" s="17">
        <v>13</v>
      </c>
      <c r="B19" s="11">
        <v>4330.1000000000004</v>
      </c>
      <c r="C19" s="11">
        <v>2719.25</v>
      </c>
      <c r="D19" s="18"/>
      <c r="E19" s="13">
        <v>7049.35</v>
      </c>
      <c r="F19" s="14">
        <v>18116.705390000003</v>
      </c>
      <c r="G19" s="14">
        <v>7080.1112249999996</v>
      </c>
      <c r="H19" s="14">
        <v>0</v>
      </c>
      <c r="I19" s="19">
        <v>25196.816615000003</v>
      </c>
      <c r="J19" s="16">
        <v>-876.23420499999997</v>
      </c>
      <c r="L19" s="134">
        <v>5</v>
      </c>
      <c r="M19" s="134">
        <v>11</v>
      </c>
      <c r="N19" s="136">
        <v>29</v>
      </c>
    </row>
    <row r="20" spans="1:14" s="23" customFormat="1" x14ac:dyDescent="0.2">
      <c r="A20" s="17">
        <v>14</v>
      </c>
      <c r="B20" s="18">
        <v>1232.9000000000001</v>
      </c>
      <c r="C20" s="18">
        <v>2725.68</v>
      </c>
      <c r="D20" s="18"/>
      <c r="E20" s="13">
        <v>3958.58</v>
      </c>
      <c r="F20" s="14">
        <v>5158.3303100000012</v>
      </c>
      <c r="G20" s="14">
        <v>7096.8530159999991</v>
      </c>
      <c r="H20" s="14">
        <v>0</v>
      </c>
      <c r="I20" s="19">
        <v>12255.183326</v>
      </c>
      <c r="J20" s="16">
        <v>-492.05149399999999</v>
      </c>
      <c r="L20" s="136">
        <v>2</v>
      </c>
      <c r="M20" s="136">
        <v>4</v>
      </c>
      <c r="N20" s="136">
        <v>27</v>
      </c>
    </row>
    <row r="21" spans="1:14" s="23" customFormat="1" x14ac:dyDescent="0.2">
      <c r="A21" s="17">
        <v>15</v>
      </c>
      <c r="B21" s="18">
        <v>4300.83</v>
      </c>
      <c r="C21" s="18">
        <v>2590.9499999999998</v>
      </c>
      <c r="D21" s="18"/>
      <c r="E21" s="13">
        <v>6891.78</v>
      </c>
      <c r="F21" s="14">
        <v>17994.242637000003</v>
      </c>
      <c r="G21" s="14">
        <v>6746.0565149999993</v>
      </c>
      <c r="H21" s="14">
        <v>0</v>
      </c>
      <c r="I21" s="19">
        <v>24740.299152000003</v>
      </c>
      <c r="J21" s="16">
        <v>-856.64825399999995</v>
      </c>
      <c r="L21" s="138">
        <v>2</v>
      </c>
      <c r="M21" s="138">
        <v>4</v>
      </c>
      <c r="N21" s="136">
        <v>8</v>
      </c>
    </row>
    <row r="22" spans="1:14" x14ac:dyDescent="0.2">
      <c r="A22" s="17">
        <v>16</v>
      </c>
      <c r="B22" s="22"/>
      <c r="C22" s="22"/>
      <c r="D22" s="22">
        <v>7168.91</v>
      </c>
      <c r="E22" s="13">
        <v>7168.91</v>
      </c>
      <c r="F22" s="14">
        <v>0</v>
      </c>
      <c r="G22" s="14">
        <v>0</v>
      </c>
      <c r="H22" s="14">
        <v>18665.690966999999</v>
      </c>
      <c r="I22" s="19">
        <v>18665.690966999999</v>
      </c>
      <c r="J22" s="16">
        <v>-891.09551299999998</v>
      </c>
      <c r="L22" s="138">
        <v>1</v>
      </c>
      <c r="M22" s="138">
        <v>2</v>
      </c>
      <c r="N22" s="138">
        <v>16</v>
      </c>
    </row>
    <row r="23" spans="1:14" x14ac:dyDescent="0.2">
      <c r="A23" s="17">
        <v>17</v>
      </c>
      <c r="B23" s="24"/>
      <c r="C23" s="25"/>
      <c r="D23" s="22">
        <v>6254.8</v>
      </c>
      <c r="E23" s="13">
        <v>6254.8</v>
      </c>
      <c r="F23" s="14">
        <v>0</v>
      </c>
      <c r="G23" s="14">
        <v>0</v>
      </c>
      <c r="H23" s="14">
        <v>16285.62276</v>
      </c>
      <c r="I23" s="19">
        <v>16285.62276</v>
      </c>
      <c r="J23" s="16">
        <v>-777.47163999999998</v>
      </c>
      <c r="L23" s="134">
        <v>1</v>
      </c>
      <c r="M23" s="134">
        <v>2</v>
      </c>
      <c r="N23" s="138">
        <v>8</v>
      </c>
    </row>
    <row r="24" spans="1:14" x14ac:dyDescent="0.2">
      <c r="A24" s="17">
        <v>18</v>
      </c>
      <c r="B24" s="11">
        <v>3955.99</v>
      </c>
      <c r="C24" s="11">
        <v>2005.63</v>
      </c>
      <c r="D24" s="26"/>
      <c r="E24" s="13">
        <v>5961.62</v>
      </c>
      <c r="F24" s="14">
        <v>16551.466561000001</v>
      </c>
      <c r="G24" s="14">
        <v>5222.0588310000003</v>
      </c>
      <c r="H24" s="14">
        <v>0</v>
      </c>
      <c r="I24" s="19">
        <v>21773.525392000003</v>
      </c>
      <c r="J24" s="16">
        <v>-741.02936599999998</v>
      </c>
      <c r="L24" s="134">
        <v>1</v>
      </c>
      <c r="M24" s="134">
        <v>2</v>
      </c>
      <c r="N24" s="138">
        <v>15</v>
      </c>
    </row>
    <row r="25" spans="1:14" x14ac:dyDescent="0.2">
      <c r="A25" s="17">
        <v>19</v>
      </c>
      <c r="B25" s="18">
        <v>3993.7</v>
      </c>
      <c r="C25" s="18">
        <v>2374.5500000000002</v>
      </c>
      <c r="D25" s="18"/>
      <c r="E25" s="13">
        <v>6368.25</v>
      </c>
      <c r="F25" s="14">
        <v>16709.241430000002</v>
      </c>
      <c r="G25" s="14">
        <v>6182.6158350000005</v>
      </c>
      <c r="H25" s="14">
        <v>0</v>
      </c>
      <c r="I25" s="19">
        <v>22891.857265000002</v>
      </c>
      <c r="J25" s="16">
        <v>-791.57347499999992</v>
      </c>
      <c r="L25" s="136">
        <v>3</v>
      </c>
      <c r="M25" s="136">
        <v>6</v>
      </c>
      <c r="N25" s="136">
        <v>4</v>
      </c>
    </row>
    <row r="26" spans="1:14" x14ac:dyDescent="0.2">
      <c r="A26" s="17">
        <v>20</v>
      </c>
      <c r="B26" s="205">
        <v>3862.79</v>
      </c>
      <c r="C26" s="205">
        <v>2020.59</v>
      </c>
      <c r="D26" s="206"/>
      <c r="E26" s="207">
        <f t="shared" ref="E26" si="0">+B26+C26+D26</f>
        <v>5883.38</v>
      </c>
      <c r="F26" s="208">
        <f t="shared" ref="F26" si="1">+B26*4.1839</f>
        <v>16161.527081000002</v>
      </c>
      <c r="G26" s="208">
        <f t="shared" ref="G26:H26" si="2">+C26*2.6037</f>
        <v>5261.0101829999994</v>
      </c>
      <c r="H26" s="208">
        <f t="shared" si="2"/>
        <v>0</v>
      </c>
      <c r="I26" s="209">
        <f t="shared" ref="I26" si="3">F26+G26+H26</f>
        <v>21422.537264000002</v>
      </c>
      <c r="J26" s="210">
        <f t="shared" ref="J26" si="4">+E26*-0.1243</f>
        <v>-731.30413399999998</v>
      </c>
      <c r="L26" s="136">
        <v>3</v>
      </c>
      <c r="M26" s="136">
        <v>4</v>
      </c>
      <c r="N26" s="136">
        <v>4</v>
      </c>
    </row>
    <row r="27" spans="1:14" x14ac:dyDescent="0.2">
      <c r="A27" s="17">
        <v>21</v>
      </c>
      <c r="B27" s="26"/>
      <c r="C27" s="22"/>
      <c r="D27" s="22"/>
      <c r="E27" s="13"/>
      <c r="F27" s="14"/>
      <c r="G27" s="14"/>
      <c r="H27" s="14"/>
      <c r="I27" s="19"/>
      <c r="J27" s="16"/>
      <c r="K27" s="1" t="s">
        <v>28</v>
      </c>
      <c r="L27" s="138"/>
      <c r="M27" s="138"/>
      <c r="N27" s="138"/>
    </row>
    <row r="28" spans="1:14" x14ac:dyDescent="0.2">
      <c r="A28" s="17">
        <v>22</v>
      </c>
      <c r="B28" s="11"/>
      <c r="C28" s="22"/>
      <c r="D28" s="18"/>
      <c r="E28" s="13"/>
      <c r="F28" s="14"/>
      <c r="G28" s="14"/>
      <c r="H28" s="14"/>
      <c r="I28" s="19"/>
      <c r="J28" s="16"/>
      <c r="L28" s="134"/>
      <c r="M28" s="138"/>
      <c r="N28" s="136"/>
    </row>
    <row r="29" spans="1:14" x14ac:dyDescent="0.2">
      <c r="A29" s="17">
        <v>23</v>
      </c>
      <c r="B29" s="18"/>
      <c r="C29" s="18"/>
      <c r="D29" s="26"/>
      <c r="E29" s="27"/>
      <c r="F29" s="14"/>
      <c r="G29" s="14"/>
      <c r="H29" s="14"/>
      <c r="I29" s="19"/>
      <c r="J29" s="16"/>
      <c r="L29" s="136"/>
      <c r="M29" s="136"/>
      <c r="N29" s="138"/>
    </row>
    <row r="30" spans="1:14" x14ac:dyDescent="0.2">
      <c r="A30" s="17">
        <v>24</v>
      </c>
      <c r="B30" s="18"/>
      <c r="C30" s="18"/>
      <c r="D30" s="22"/>
      <c r="E30" s="27"/>
      <c r="F30" s="14"/>
      <c r="G30" s="14"/>
      <c r="H30" s="14"/>
      <c r="I30" s="19"/>
      <c r="J30" s="16"/>
      <c r="L30" s="136"/>
      <c r="M30" s="136"/>
      <c r="N30" s="138"/>
    </row>
    <row r="31" spans="1:14" x14ac:dyDescent="0.2">
      <c r="A31" s="17">
        <v>25</v>
      </c>
      <c r="B31" s="18"/>
      <c r="C31" s="18"/>
      <c r="D31" s="22"/>
      <c r="E31" s="13"/>
      <c r="F31" s="14"/>
      <c r="G31" s="14"/>
      <c r="H31" s="14"/>
      <c r="I31" s="19"/>
      <c r="J31" s="16"/>
      <c r="L31" s="136"/>
      <c r="M31" s="136"/>
      <c r="N31" s="138"/>
    </row>
    <row r="32" spans="1:14" x14ac:dyDescent="0.2">
      <c r="A32" s="17">
        <v>26</v>
      </c>
      <c r="B32" s="18"/>
      <c r="C32" s="18"/>
      <c r="D32" s="22"/>
      <c r="E32" s="13"/>
      <c r="F32" s="14"/>
      <c r="G32" s="14"/>
      <c r="H32" s="14"/>
      <c r="I32" s="19"/>
      <c r="J32" s="16"/>
      <c r="L32" s="136"/>
      <c r="M32" s="136"/>
      <c r="N32" s="138"/>
    </row>
    <row r="33" spans="1:14" x14ac:dyDescent="0.2">
      <c r="A33" s="17">
        <v>27</v>
      </c>
      <c r="B33" s="18"/>
      <c r="C33" s="18"/>
      <c r="D33" s="22"/>
      <c r="E33" s="13"/>
      <c r="F33" s="14"/>
      <c r="G33" s="14"/>
      <c r="H33" s="14"/>
      <c r="I33" s="19"/>
      <c r="J33" s="16"/>
      <c r="L33" s="136"/>
      <c r="M33" s="136"/>
      <c r="N33" s="138"/>
    </row>
    <row r="34" spans="1:14" x14ac:dyDescent="0.2">
      <c r="A34" s="17">
        <v>28</v>
      </c>
      <c r="B34" s="18"/>
      <c r="C34" s="18"/>
      <c r="D34" s="22"/>
      <c r="E34" s="13"/>
      <c r="F34" s="14"/>
      <c r="G34" s="14"/>
      <c r="H34" s="14"/>
      <c r="I34" s="19"/>
      <c r="J34" s="16"/>
      <c r="K34" s="167"/>
      <c r="L34" s="164"/>
      <c r="M34" s="136"/>
      <c r="N34" s="138"/>
    </row>
    <row r="35" spans="1:14" x14ac:dyDescent="0.2">
      <c r="A35" s="17">
        <v>29</v>
      </c>
      <c r="B35" s="18"/>
      <c r="C35" s="18"/>
      <c r="D35" s="22"/>
      <c r="E35" s="13"/>
      <c r="F35" s="14"/>
      <c r="G35" s="14"/>
      <c r="H35" s="14"/>
      <c r="I35" s="19"/>
      <c r="J35" s="16"/>
      <c r="K35" s="167"/>
      <c r="L35" s="164"/>
      <c r="M35" s="136"/>
      <c r="N35" s="138"/>
    </row>
    <row r="36" spans="1:14" x14ac:dyDescent="0.2">
      <c r="A36" s="17">
        <v>30</v>
      </c>
      <c r="B36" s="18"/>
      <c r="C36" s="18"/>
      <c r="D36" s="22"/>
      <c r="E36" s="13"/>
      <c r="F36" s="14"/>
      <c r="G36" s="14"/>
      <c r="H36" s="14"/>
      <c r="I36" s="19"/>
      <c r="J36" s="16"/>
      <c r="K36" s="167"/>
      <c r="L36" s="164"/>
      <c r="M36" s="136"/>
      <c r="N36" s="138"/>
    </row>
    <row r="37" spans="1:14" hidden="1" x14ac:dyDescent="0.2">
      <c r="A37" s="17">
        <v>30</v>
      </c>
      <c r="B37" s="28"/>
      <c r="C37" s="18"/>
      <c r="D37" s="22"/>
      <c r="E37" s="13"/>
      <c r="F37" s="14"/>
      <c r="G37" s="14"/>
      <c r="H37" s="14"/>
      <c r="I37" s="19"/>
      <c r="J37" s="16"/>
      <c r="K37" s="167"/>
      <c r="L37" s="165"/>
      <c r="M37" s="139"/>
      <c r="N37" s="140"/>
    </row>
    <row r="38" spans="1:14" x14ac:dyDescent="0.2">
      <c r="A38" s="17">
        <v>31</v>
      </c>
      <c r="B38" s="28"/>
      <c r="C38" s="18"/>
      <c r="D38" s="22"/>
      <c r="E38" s="13"/>
      <c r="F38" s="141"/>
      <c r="G38" s="141"/>
      <c r="H38" s="141"/>
      <c r="I38" s="19"/>
      <c r="J38" s="142"/>
      <c r="K38" s="167"/>
      <c r="L38" s="166"/>
      <c r="M38" s="136"/>
      <c r="N38" s="138"/>
    </row>
    <row r="39" spans="1:14" x14ac:dyDescent="0.2">
      <c r="A39" s="156"/>
      <c r="B39" s="157"/>
      <c r="C39" s="158"/>
      <c r="D39" s="159"/>
      <c r="E39" s="168"/>
      <c r="F39" s="160"/>
      <c r="G39" s="160"/>
      <c r="H39" s="160"/>
      <c r="I39" s="161"/>
      <c r="J39" s="162"/>
      <c r="K39" s="163"/>
      <c r="L39" s="175"/>
      <c r="M39" s="158"/>
      <c r="N39" s="176"/>
    </row>
    <row r="40" spans="1:14" x14ac:dyDescent="0.2">
      <c r="A40" s="169" t="s">
        <v>17</v>
      </c>
      <c r="B40" s="170">
        <f t="shared" ref="B40:J40" si="5">SUM(B7:B37)</f>
        <v>51452.549999999996</v>
      </c>
      <c r="C40" s="170">
        <f t="shared" si="5"/>
        <v>31711.22</v>
      </c>
      <c r="D40" s="171">
        <f t="shared" si="5"/>
        <v>46249.260000000009</v>
      </c>
      <c r="E40" s="170">
        <f t="shared" si="5"/>
        <v>129413.03</v>
      </c>
      <c r="F40" s="170">
        <f>SUM(F7:F37)</f>
        <v>215272.32394500001</v>
      </c>
      <c r="G40" s="170">
        <f>SUM(G7:G37)</f>
        <v>82566.503514000011</v>
      </c>
      <c r="H40" s="170">
        <f>SUM(H7:H37)</f>
        <v>120419.19826200001</v>
      </c>
      <c r="I40" s="170">
        <f>SUM(I7:I37)</f>
        <v>418258.02572099998</v>
      </c>
      <c r="J40" s="170">
        <f t="shared" si="5"/>
        <v>-16086.039629000001</v>
      </c>
    </row>
    <row r="41" spans="1:14" x14ac:dyDescent="0.2">
      <c r="A41" s="29"/>
      <c r="B41" s="29"/>
      <c r="C41" s="29"/>
      <c r="D41" s="29"/>
      <c r="E41" s="30"/>
      <c r="F41" s="29"/>
      <c r="G41" s="31" t="s">
        <v>29</v>
      </c>
      <c r="H41" s="31"/>
      <c r="I41" s="32">
        <f>A43*132.93</f>
        <v>0</v>
      </c>
      <c r="J41" s="33"/>
    </row>
    <row r="42" spans="1:14" x14ac:dyDescent="0.2">
      <c r="A42" s="34" t="s">
        <v>30</v>
      </c>
      <c r="B42" s="34"/>
      <c r="C42" s="177" t="s">
        <v>31</v>
      </c>
      <c r="D42" s="178"/>
      <c r="E42" s="35" t="s">
        <v>32</v>
      </c>
      <c r="F42" s="29"/>
      <c r="G42" s="31" t="s">
        <v>33</v>
      </c>
      <c r="H42" s="31"/>
      <c r="I42" s="36">
        <v>312.24</v>
      </c>
      <c r="J42" s="30"/>
    </row>
    <row r="43" spans="1:14" x14ac:dyDescent="0.2">
      <c r="A43" s="179"/>
      <c r="B43" s="180"/>
      <c r="C43" s="181"/>
      <c r="D43" s="182"/>
      <c r="E43" s="37">
        <v>18.3</v>
      </c>
      <c r="F43" s="29"/>
      <c r="G43" s="31" t="s">
        <v>34</v>
      </c>
      <c r="H43" s="31"/>
      <c r="I43" s="36">
        <f>SUM(I40:I42)</f>
        <v>418570.26572099997</v>
      </c>
      <c r="J43" s="30"/>
    </row>
    <row r="44" spans="1:14" x14ac:dyDescent="0.2">
      <c r="A44" s="31"/>
      <c r="B44" s="31"/>
      <c r="C44" s="31"/>
      <c r="D44" s="38"/>
      <c r="E44" s="33"/>
      <c r="F44" s="33"/>
      <c r="G44" s="31" t="s">
        <v>35</v>
      </c>
      <c r="H44" s="31"/>
      <c r="I44" s="32">
        <f>J40</f>
        <v>-16086.039629000001</v>
      </c>
      <c r="J44" s="39"/>
    </row>
    <row r="45" spans="1:14" x14ac:dyDescent="0.2">
      <c r="A45" s="2"/>
      <c r="B45" s="2"/>
      <c r="C45" s="2"/>
      <c r="D45" s="2"/>
      <c r="E45" s="40"/>
      <c r="F45" s="29"/>
      <c r="G45" s="31" t="s">
        <v>36</v>
      </c>
      <c r="H45" s="31"/>
      <c r="I45" s="36">
        <f>SUM(I43:I44)</f>
        <v>402484.22609199997</v>
      </c>
      <c r="J45" s="30"/>
    </row>
    <row r="46" spans="1:14" x14ac:dyDescent="0.2">
      <c r="A46" s="29"/>
      <c r="B46" s="29"/>
      <c r="C46" s="29"/>
      <c r="D46" s="29"/>
      <c r="E46" s="30"/>
      <c r="F46" s="29"/>
      <c r="G46" s="41" t="s">
        <v>37</v>
      </c>
      <c r="H46" s="31"/>
      <c r="I46" s="36">
        <f>I45*0.07</f>
        <v>28173.895826439999</v>
      </c>
      <c r="J46" s="30"/>
    </row>
    <row r="47" spans="1:14" x14ac:dyDescent="0.2">
      <c r="A47" s="29"/>
      <c r="B47" s="29"/>
      <c r="C47" s="29"/>
      <c r="D47" s="29"/>
      <c r="E47" s="30"/>
      <c r="F47" s="29"/>
      <c r="G47" s="31" t="s">
        <v>17</v>
      </c>
      <c r="H47" s="31"/>
      <c r="I47" s="42">
        <f>SUM(I45:I46)</f>
        <v>430658.12191843998</v>
      </c>
      <c r="J47" s="30"/>
    </row>
    <row r="49" spans="3:9" x14ac:dyDescent="0.2">
      <c r="C49" s="43" t="s">
        <v>38</v>
      </c>
      <c r="D49" s="44" t="s">
        <v>39</v>
      </c>
      <c r="E49" s="44"/>
      <c r="F49" s="44"/>
      <c r="G49" s="44"/>
      <c r="H49" s="44"/>
      <c r="I49" s="44"/>
    </row>
    <row r="50" spans="3:9" x14ac:dyDescent="0.2">
      <c r="C50" s="1" t="s">
        <v>28</v>
      </c>
    </row>
  </sheetData>
  <mergeCells count="14">
    <mergeCell ref="L4:L6"/>
    <mergeCell ref="M4:M6"/>
    <mergeCell ref="N4:N6"/>
    <mergeCell ref="I4:I6"/>
    <mergeCell ref="J4:J5"/>
    <mergeCell ref="C42:D42"/>
    <mergeCell ref="A43:B43"/>
    <mergeCell ref="C43:D43"/>
    <mergeCell ref="E4:E5"/>
    <mergeCell ref="A3:B3"/>
    <mergeCell ref="A4:A6"/>
    <mergeCell ref="B4:B6"/>
    <mergeCell ref="C4:C6"/>
    <mergeCell ref="D4:D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Z57"/>
  <sheetViews>
    <sheetView tabSelected="1" topLeftCell="A6" zoomScale="70" zoomScaleNormal="70" workbookViewId="0">
      <pane xSplit="1" ySplit="3" topLeftCell="X12" activePane="bottomRight" state="frozen"/>
      <selection activeCell="A6" sqref="A6"/>
      <selection pane="topRight" activeCell="B6" sqref="B6"/>
      <selection pane="bottomLeft" activeCell="A9" sqref="A9"/>
      <selection pane="bottomRight" activeCell="BA26" sqref="BA26"/>
    </sheetView>
  </sheetViews>
  <sheetFormatPr defaultColWidth="9.85546875" defaultRowHeight="15" x14ac:dyDescent="0.25"/>
  <cols>
    <col min="1" max="1" width="5.85546875" style="45" customWidth="1"/>
    <col min="2" max="2" width="9.140625" style="45" customWidth="1"/>
    <col min="3" max="3" width="10" style="45" customWidth="1"/>
    <col min="4" max="4" width="9.140625" style="45" customWidth="1"/>
    <col min="5" max="5" width="10" style="45" customWidth="1"/>
    <col min="6" max="27" width="9.140625" style="45" customWidth="1"/>
    <col min="28" max="28" width="12.28515625" style="45" customWidth="1"/>
    <col min="29" max="30" width="9.140625" style="45" customWidth="1"/>
    <col min="31" max="32" width="7.7109375" style="45" hidden="1" customWidth="1"/>
    <col min="33" max="33" width="12.42578125" style="45" customWidth="1"/>
    <col min="34" max="36" width="9.140625" style="45" customWidth="1"/>
    <col min="37" max="37" width="10.42578125" style="45" customWidth="1"/>
    <col min="38" max="48" width="9.140625" style="45" customWidth="1"/>
    <col min="49" max="49" width="12.42578125" style="45" customWidth="1"/>
    <col min="50" max="50" width="9.140625" style="46" hidden="1" customWidth="1"/>
    <col min="51" max="51" width="0" hidden="1" customWidth="1"/>
    <col min="53" max="16384" width="9.85546875" style="46"/>
  </cols>
  <sheetData>
    <row r="1" spans="1:51" ht="15" hidden="1" customHeight="1" x14ac:dyDescent="0.25"/>
    <row r="2" spans="1:51" ht="15" hidden="1" customHeight="1" x14ac:dyDescent="0.25">
      <c r="A2" s="45" t="s">
        <v>40</v>
      </c>
      <c r="AS2" s="47"/>
      <c r="AT2" s="48"/>
      <c r="AU2" s="47"/>
    </row>
    <row r="3" spans="1:51" ht="15" hidden="1" customHeight="1" x14ac:dyDescent="0.25">
      <c r="D3" s="49" t="s">
        <v>41</v>
      </c>
      <c r="E3" s="50"/>
      <c r="F3" s="46"/>
      <c r="AS3" s="47"/>
      <c r="AT3" s="48"/>
      <c r="AU3" s="47"/>
    </row>
    <row r="4" spans="1:51" ht="15" hidden="1" customHeight="1" x14ac:dyDescent="0.25">
      <c r="D4" s="49" t="s">
        <v>42</v>
      </c>
      <c r="E4" s="50"/>
      <c r="F4" s="46"/>
      <c r="I4" s="203" t="s">
        <v>43</v>
      </c>
      <c r="J4" s="203"/>
      <c r="K4" s="203"/>
      <c r="L4" s="203"/>
      <c r="M4" s="203"/>
      <c r="N4" s="203"/>
      <c r="O4" s="203"/>
      <c r="P4" s="203"/>
      <c r="Q4" s="203"/>
      <c r="R4" s="203"/>
    </row>
    <row r="5" spans="1:51" ht="15" hidden="1" customHeight="1" x14ac:dyDescent="0.25">
      <c r="G5" s="51"/>
      <c r="H5" s="51"/>
      <c r="I5" s="51"/>
      <c r="J5" s="51"/>
      <c r="K5" s="51"/>
      <c r="L5" s="51"/>
      <c r="M5" s="51"/>
      <c r="N5" s="51"/>
      <c r="AK5" s="47"/>
      <c r="AL5" s="47"/>
    </row>
    <row r="6" spans="1:51" ht="28.5" customHeight="1" thickBot="1" x14ac:dyDescent="0.35">
      <c r="D6" s="204">
        <v>44197</v>
      </c>
      <c r="E6" s="204"/>
      <c r="F6" s="204"/>
      <c r="G6" s="52"/>
      <c r="H6" s="52"/>
      <c r="I6" s="52"/>
      <c r="J6" s="52"/>
      <c r="K6" s="53"/>
      <c r="L6" s="52"/>
      <c r="M6" s="54"/>
      <c r="N6" s="54"/>
      <c r="O6" s="55"/>
      <c r="P6" s="56"/>
      <c r="Q6" s="55"/>
      <c r="R6" s="56"/>
      <c r="S6" s="55"/>
      <c r="T6" s="56"/>
      <c r="U6" s="55"/>
      <c r="V6" s="56"/>
      <c r="W6" s="55"/>
      <c r="X6" s="56"/>
      <c r="Y6" s="55"/>
      <c r="Z6" s="56"/>
      <c r="AA6" s="55"/>
      <c r="AB6" s="55"/>
      <c r="AC6" s="56"/>
      <c r="AD6" s="55"/>
      <c r="AE6" s="56"/>
      <c r="AF6" s="55"/>
      <c r="AG6" s="57" t="s">
        <v>44</v>
      </c>
      <c r="AI6" s="55"/>
      <c r="AJ6" s="55"/>
      <c r="AK6" s="58"/>
      <c r="AL6" s="58"/>
      <c r="AU6" s="59" t="s">
        <v>45</v>
      </c>
      <c r="AV6" s="55"/>
    </row>
    <row r="7" spans="1:51" s="83" customFormat="1" ht="81.75" customHeight="1" thickBot="1" x14ac:dyDescent="0.3">
      <c r="A7" s="60" t="s">
        <v>31</v>
      </c>
      <c r="B7" s="61" t="s">
        <v>46</v>
      </c>
      <c r="C7" s="61" t="s">
        <v>47</v>
      </c>
      <c r="D7" s="62" t="s">
        <v>48</v>
      </c>
      <c r="E7" s="62" t="s">
        <v>47</v>
      </c>
      <c r="F7" s="63" t="s">
        <v>49</v>
      </c>
      <c r="G7" s="63" t="s">
        <v>47</v>
      </c>
      <c r="H7" s="64" t="s">
        <v>50</v>
      </c>
      <c r="I7" s="64" t="s">
        <v>47</v>
      </c>
      <c r="J7" s="65" t="s">
        <v>51</v>
      </c>
      <c r="K7" s="65" t="s">
        <v>47</v>
      </c>
      <c r="L7" s="66" t="s">
        <v>52</v>
      </c>
      <c r="M7" s="66" t="s">
        <v>47</v>
      </c>
      <c r="N7" s="67" t="s">
        <v>53</v>
      </c>
      <c r="O7" s="67" t="s">
        <v>47</v>
      </c>
      <c r="P7" s="68" t="s">
        <v>54</v>
      </c>
      <c r="Q7" s="68" t="s">
        <v>47</v>
      </c>
      <c r="R7" s="69" t="s">
        <v>55</v>
      </c>
      <c r="S7" s="69" t="s">
        <v>47</v>
      </c>
      <c r="T7" s="70" t="s">
        <v>56</v>
      </c>
      <c r="U7" s="70" t="s">
        <v>47</v>
      </c>
      <c r="V7" s="71" t="s">
        <v>57</v>
      </c>
      <c r="W7" s="71" t="s">
        <v>47</v>
      </c>
      <c r="X7" s="68" t="s">
        <v>58</v>
      </c>
      <c r="Y7" s="68" t="s">
        <v>47</v>
      </c>
      <c r="Z7" s="72" t="s">
        <v>59</v>
      </c>
      <c r="AA7" s="73" t="s">
        <v>47</v>
      </c>
      <c r="AB7" s="74" t="s">
        <v>60</v>
      </c>
      <c r="AC7" s="61" t="s">
        <v>61</v>
      </c>
      <c r="AD7" s="61" t="s">
        <v>47</v>
      </c>
      <c r="AE7" s="75" t="s">
        <v>62</v>
      </c>
      <c r="AF7" s="75" t="s">
        <v>47</v>
      </c>
      <c r="AG7" s="76" t="s">
        <v>63</v>
      </c>
      <c r="AH7" s="77" t="s">
        <v>47</v>
      </c>
      <c r="AI7" s="78" t="s">
        <v>64</v>
      </c>
      <c r="AJ7" s="78" t="s">
        <v>47</v>
      </c>
      <c r="AK7" s="60" t="s">
        <v>65</v>
      </c>
      <c r="AL7" s="60" t="s">
        <v>47</v>
      </c>
      <c r="AM7" s="79" t="s">
        <v>66</v>
      </c>
      <c r="AN7" s="79" t="s">
        <v>47</v>
      </c>
      <c r="AO7" s="64" t="s">
        <v>67</v>
      </c>
      <c r="AP7" s="64" t="s">
        <v>47</v>
      </c>
      <c r="AQ7" s="68" t="s">
        <v>68</v>
      </c>
      <c r="AR7" s="68" t="s">
        <v>47</v>
      </c>
      <c r="AS7" s="80" t="s">
        <v>69</v>
      </c>
      <c r="AT7" s="80" t="s">
        <v>47</v>
      </c>
      <c r="AU7" s="62" t="s">
        <v>70</v>
      </c>
      <c r="AV7" s="62" t="s">
        <v>47</v>
      </c>
      <c r="AW7" s="81" t="s">
        <v>71</v>
      </c>
      <c r="AX7" s="82" t="s">
        <v>72</v>
      </c>
    </row>
    <row r="8" spans="1:51" s="89" customFormat="1" ht="15.75" customHeight="1" thickBot="1" x14ac:dyDescent="0.3">
      <c r="A8" s="84">
        <v>31</v>
      </c>
      <c r="B8" s="84">
        <v>26752</v>
      </c>
      <c r="C8" s="84"/>
      <c r="D8" s="84">
        <v>11886</v>
      </c>
      <c r="E8" s="84"/>
      <c r="F8" s="84">
        <v>31247</v>
      </c>
      <c r="G8" s="85"/>
      <c r="H8" s="84">
        <v>24473</v>
      </c>
      <c r="I8" s="84"/>
      <c r="J8" s="84">
        <v>20828</v>
      </c>
      <c r="K8" s="86"/>
      <c r="L8" s="84">
        <v>14897</v>
      </c>
      <c r="M8" s="84"/>
      <c r="N8" s="84">
        <v>13634</v>
      </c>
      <c r="O8" s="84"/>
      <c r="P8" s="84">
        <v>20456</v>
      </c>
      <c r="Q8" s="84"/>
      <c r="R8" s="84">
        <v>24342</v>
      </c>
      <c r="S8" s="84"/>
      <c r="T8" s="84">
        <v>435</v>
      </c>
      <c r="U8" s="84"/>
      <c r="V8" s="84">
        <v>3108</v>
      </c>
      <c r="W8" s="84"/>
      <c r="X8" s="84">
        <v>30029</v>
      </c>
      <c r="Y8" s="84"/>
      <c r="Z8" s="84">
        <v>12840</v>
      </c>
      <c r="AA8" s="84"/>
      <c r="AB8" s="84"/>
      <c r="AC8" s="84">
        <v>10183</v>
      </c>
      <c r="AD8" s="84"/>
      <c r="AE8" s="84"/>
      <c r="AF8" s="84"/>
      <c r="AG8" s="84">
        <v>3224</v>
      </c>
      <c r="AH8" s="84"/>
      <c r="AI8" s="84">
        <v>37207</v>
      </c>
      <c r="AJ8" s="84"/>
      <c r="AK8" s="84">
        <v>4281</v>
      </c>
      <c r="AL8" s="84"/>
      <c r="AM8" s="84">
        <v>998</v>
      </c>
      <c r="AN8" s="84"/>
      <c r="AO8" s="84">
        <v>1423</v>
      </c>
      <c r="AP8" s="84"/>
      <c r="AQ8" s="84">
        <v>504</v>
      </c>
      <c r="AR8" s="84"/>
      <c r="AS8" s="84">
        <v>1286</v>
      </c>
      <c r="AT8" s="84"/>
      <c r="AU8" s="84">
        <v>7817</v>
      </c>
      <c r="AV8" s="84"/>
      <c r="AW8" s="87"/>
      <c r="AX8" s="88"/>
    </row>
    <row r="9" spans="1:51" s="102" customFormat="1" ht="15.75" customHeight="1" x14ac:dyDescent="0.2">
      <c r="A9" s="90">
        <v>1</v>
      </c>
      <c r="B9" s="91">
        <v>26763</v>
      </c>
      <c r="C9" s="92">
        <v>11</v>
      </c>
      <c r="D9" s="91">
        <v>11889</v>
      </c>
      <c r="E9" s="92">
        <v>3</v>
      </c>
      <c r="F9" s="91">
        <v>31255</v>
      </c>
      <c r="G9" s="92">
        <v>8</v>
      </c>
      <c r="H9" s="93">
        <v>24477</v>
      </c>
      <c r="I9" s="92">
        <v>4</v>
      </c>
      <c r="J9" s="94">
        <v>20830</v>
      </c>
      <c r="K9" s="92">
        <v>2</v>
      </c>
      <c r="L9" s="93">
        <v>14899</v>
      </c>
      <c r="M9" s="92">
        <v>2</v>
      </c>
      <c r="N9" s="95">
        <v>13635</v>
      </c>
      <c r="O9" s="92">
        <v>1</v>
      </c>
      <c r="P9" s="95">
        <v>20456</v>
      </c>
      <c r="Q9" s="92">
        <v>0</v>
      </c>
      <c r="R9" s="95">
        <v>24342</v>
      </c>
      <c r="S9" s="92">
        <v>0</v>
      </c>
      <c r="T9" s="95">
        <v>438</v>
      </c>
      <c r="U9" s="92">
        <v>3</v>
      </c>
      <c r="V9" s="95">
        <v>3108</v>
      </c>
      <c r="W9" s="92">
        <v>0</v>
      </c>
      <c r="X9" s="95">
        <v>30029</v>
      </c>
      <c r="Y9" s="92">
        <v>0</v>
      </c>
      <c r="Z9" s="95">
        <v>12840</v>
      </c>
      <c r="AA9" s="92">
        <v>0</v>
      </c>
      <c r="AB9" s="92">
        <v>12</v>
      </c>
      <c r="AC9" s="93">
        <v>10198</v>
      </c>
      <c r="AD9" s="96">
        <v>15</v>
      </c>
      <c r="AE9" s="95"/>
      <c r="AF9" s="92"/>
      <c r="AG9" s="97">
        <v>3235</v>
      </c>
      <c r="AH9" s="96">
        <v>11</v>
      </c>
      <c r="AI9" s="93">
        <v>37209</v>
      </c>
      <c r="AJ9" s="92">
        <v>2</v>
      </c>
      <c r="AK9" s="95">
        <v>4281</v>
      </c>
      <c r="AL9" s="92">
        <v>0</v>
      </c>
      <c r="AM9" s="98">
        <v>998</v>
      </c>
      <c r="AN9" s="92">
        <v>0</v>
      </c>
      <c r="AO9" s="95">
        <v>1423</v>
      </c>
      <c r="AP9" s="92">
        <v>0</v>
      </c>
      <c r="AQ9" s="95">
        <v>504</v>
      </c>
      <c r="AR9" s="92">
        <v>0</v>
      </c>
      <c r="AS9" s="98">
        <v>1286</v>
      </c>
      <c r="AT9" s="92">
        <v>0</v>
      </c>
      <c r="AU9" s="93">
        <v>7825</v>
      </c>
      <c r="AV9" s="92">
        <v>8</v>
      </c>
      <c r="AW9" s="99">
        <v>70</v>
      </c>
      <c r="AX9" s="100" t="s">
        <v>73</v>
      </c>
      <c r="AY9" s="101" t="s">
        <v>74</v>
      </c>
    </row>
    <row r="10" spans="1:51" s="102" customFormat="1" ht="15.75" customHeight="1" x14ac:dyDescent="0.2">
      <c r="A10" s="103">
        <v>2</v>
      </c>
      <c r="B10" s="93">
        <v>26772</v>
      </c>
      <c r="C10" s="92">
        <v>9</v>
      </c>
      <c r="D10" s="93">
        <v>11900</v>
      </c>
      <c r="E10" s="92">
        <v>11</v>
      </c>
      <c r="F10" s="93">
        <v>31265</v>
      </c>
      <c r="G10" s="92">
        <v>10</v>
      </c>
      <c r="H10" s="93">
        <v>24485</v>
      </c>
      <c r="I10" s="92">
        <v>8</v>
      </c>
      <c r="J10" s="94">
        <v>20833</v>
      </c>
      <c r="K10" s="92">
        <v>3</v>
      </c>
      <c r="L10" s="93">
        <v>14901</v>
      </c>
      <c r="M10" s="92">
        <v>2</v>
      </c>
      <c r="N10" s="95">
        <v>13636</v>
      </c>
      <c r="O10" s="92">
        <v>1</v>
      </c>
      <c r="P10" s="95">
        <v>20458</v>
      </c>
      <c r="Q10" s="92">
        <v>2</v>
      </c>
      <c r="R10" s="95">
        <v>24344</v>
      </c>
      <c r="S10" s="92">
        <v>2</v>
      </c>
      <c r="T10" s="95">
        <v>443</v>
      </c>
      <c r="U10" s="92">
        <v>5</v>
      </c>
      <c r="V10" s="95">
        <v>3109</v>
      </c>
      <c r="W10" s="92">
        <v>1</v>
      </c>
      <c r="X10" s="95">
        <v>30033</v>
      </c>
      <c r="Y10" s="92">
        <v>4</v>
      </c>
      <c r="Z10" s="95">
        <v>12841</v>
      </c>
      <c r="AA10" s="92">
        <v>1</v>
      </c>
      <c r="AB10" s="92">
        <v>29</v>
      </c>
      <c r="AC10" s="93">
        <v>10212</v>
      </c>
      <c r="AD10" s="96">
        <v>14</v>
      </c>
      <c r="AE10" s="95"/>
      <c r="AF10" s="92"/>
      <c r="AG10" s="97">
        <v>3248</v>
      </c>
      <c r="AH10" s="96">
        <v>13</v>
      </c>
      <c r="AI10" s="93">
        <v>37211</v>
      </c>
      <c r="AJ10" s="92">
        <v>2</v>
      </c>
      <c r="AK10" s="95">
        <v>4283</v>
      </c>
      <c r="AL10" s="92">
        <v>2</v>
      </c>
      <c r="AM10" s="98">
        <v>1000</v>
      </c>
      <c r="AN10" s="92">
        <v>2</v>
      </c>
      <c r="AO10" s="95">
        <v>1424</v>
      </c>
      <c r="AP10" s="92">
        <v>1</v>
      </c>
      <c r="AQ10" s="95">
        <v>504</v>
      </c>
      <c r="AR10" s="92">
        <v>0</v>
      </c>
      <c r="AS10" s="98">
        <v>1288</v>
      </c>
      <c r="AT10" s="92">
        <v>2</v>
      </c>
      <c r="AU10" s="93">
        <v>7838</v>
      </c>
      <c r="AV10" s="92">
        <v>13</v>
      </c>
      <c r="AW10" s="99">
        <v>108</v>
      </c>
      <c r="AX10" s="100" t="s">
        <v>73</v>
      </c>
      <c r="AY10" s="101" t="s">
        <v>74</v>
      </c>
    </row>
    <row r="11" spans="1:51" s="102" customFormat="1" ht="15.75" customHeight="1" x14ac:dyDescent="0.2">
      <c r="A11" s="103">
        <v>3</v>
      </c>
      <c r="B11" s="93">
        <v>26778</v>
      </c>
      <c r="C11" s="92">
        <v>6</v>
      </c>
      <c r="D11" s="93">
        <v>11908</v>
      </c>
      <c r="E11" s="92">
        <v>8</v>
      </c>
      <c r="F11" s="93">
        <v>31274</v>
      </c>
      <c r="G11" s="92">
        <v>9</v>
      </c>
      <c r="H11" s="93">
        <v>24488</v>
      </c>
      <c r="I11" s="92">
        <v>3</v>
      </c>
      <c r="J11" s="94">
        <v>20835</v>
      </c>
      <c r="K11" s="92">
        <v>2</v>
      </c>
      <c r="L11" s="93">
        <v>14905</v>
      </c>
      <c r="M11" s="92">
        <v>4</v>
      </c>
      <c r="N11" s="95">
        <v>13637</v>
      </c>
      <c r="O11" s="92">
        <v>1</v>
      </c>
      <c r="P11" s="95">
        <v>20458</v>
      </c>
      <c r="Q11" s="92">
        <v>0</v>
      </c>
      <c r="R11" s="95">
        <v>24346</v>
      </c>
      <c r="S11" s="92">
        <v>2</v>
      </c>
      <c r="T11" s="95">
        <v>448</v>
      </c>
      <c r="U11" s="92">
        <v>5</v>
      </c>
      <c r="V11" s="95">
        <v>3109</v>
      </c>
      <c r="W11" s="92">
        <v>0</v>
      </c>
      <c r="X11" s="95">
        <v>30033</v>
      </c>
      <c r="Y11" s="92">
        <v>0</v>
      </c>
      <c r="Z11" s="95">
        <v>12841</v>
      </c>
      <c r="AA11" s="92">
        <v>0</v>
      </c>
      <c r="AB11" s="92">
        <v>17</v>
      </c>
      <c r="AC11" s="93">
        <v>10225</v>
      </c>
      <c r="AD11" s="96">
        <v>13</v>
      </c>
      <c r="AE11" s="95"/>
      <c r="AF11" s="92"/>
      <c r="AG11" s="97">
        <v>3256</v>
      </c>
      <c r="AH11" s="96">
        <v>8</v>
      </c>
      <c r="AI11" s="93">
        <v>37213</v>
      </c>
      <c r="AJ11" s="92">
        <v>2</v>
      </c>
      <c r="AK11" s="95">
        <v>4284</v>
      </c>
      <c r="AL11" s="92">
        <v>1</v>
      </c>
      <c r="AM11" s="98">
        <v>1000</v>
      </c>
      <c r="AN11" s="92">
        <v>0</v>
      </c>
      <c r="AO11" s="95">
        <v>1424</v>
      </c>
      <c r="AP11" s="92">
        <v>0</v>
      </c>
      <c r="AQ11" s="95">
        <v>504</v>
      </c>
      <c r="AR11" s="92">
        <v>0</v>
      </c>
      <c r="AS11" s="98">
        <v>1290</v>
      </c>
      <c r="AT11" s="92">
        <v>2</v>
      </c>
      <c r="AU11" s="93">
        <v>7847</v>
      </c>
      <c r="AV11" s="92">
        <v>9</v>
      </c>
      <c r="AW11" s="99">
        <v>75</v>
      </c>
      <c r="AX11" s="100" t="s">
        <v>73</v>
      </c>
      <c r="AY11" s="101" t="s">
        <v>74</v>
      </c>
    </row>
    <row r="12" spans="1:51" s="102" customFormat="1" ht="15.75" customHeight="1" x14ac:dyDescent="0.2">
      <c r="A12" s="90">
        <v>4</v>
      </c>
      <c r="B12" s="93">
        <v>26783</v>
      </c>
      <c r="C12" s="92">
        <v>5</v>
      </c>
      <c r="D12" s="93">
        <v>11908</v>
      </c>
      <c r="E12" s="92">
        <v>0</v>
      </c>
      <c r="F12" s="93">
        <v>31279</v>
      </c>
      <c r="G12" s="92">
        <v>5</v>
      </c>
      <c r="H12" s="93">
        <v>24490</v>
      </c>
      <c r="I12" s="92">
        <v>2</v>
      </c>
      <c r="J12" s="94">
        <v>20837</v>
      </c>
      <c r="K12" s="92">
        <v>2</v>
      </c>
      <c r="L12" s="93">
        <v>14909</v>
      </c>
      <c r="M12" s="92">
        <v>4</v>
      </c>
      <c r="N12" s="95">
        <v>13639</v>
      </c>
      <c r="O12" s="92">
        <v>2</v>
      </c>
      <c r="P12" s="95">
        <v>20460</v>
      </c>
      <c r="Q12" s="92">
        <v>2</v>
      </c>
      <c r="R12" s="95">
        <v>24349</v>
      </c>
      <c r="S12" s="92">
        <v>3</v>
      </c>
      <c r="T12" s="95">
        <v>451</v>
      </c>
      <c r="U12" s="92">
        <v>3</v>
      </c>
      <c r="V12" s="95">
        <v>3110</v>
      </c>
      <c r="W12" s="92">
        <v>1</v>
      </c>
      <c r="X12" s="95">
        <v>30033</v>
      </c>
      <c r="Y12" s="92">
        <v>0</v>
      </c>
      <c r="Z12" s="95">
        <v>12841</v>
      </c>
      <c r="AA12" s="92">
        <v>0</v>
      </c>
      <c r="AB12" s="92">
        <v>19</v>
      </c>
      <c r="AC12" s="95">
        <v>10238</v>
      </c>
      <c r="AD12" s="96">
        <v>13</v>
      </c>
      <c r="AE12" s="95"/>
      <c r="AF12" s="92"/>
      <c r="AG12" s="104">
        <v>3263</v>
      </c>
      <c r="AH12" s="96">
        <v>7</v>
      </c>
      <c r="AI12" s="93">
        <v>37214</v>
      </c>
      <c r="AJ12" s="92">
        <v>1</v>
      </c>
      <c r="AK12" s="95">
        <v>4284</v>
      </c>
      <c r="AL12" s="92">
        <v>0</v>
      </c>
      <c r="AM12" s="98">
        <v>1001</v>
      </c>
      <c r="AN12" s="92">
        <v>1</v>
      </c>
      <c r="AO12" s="95">
        <v>1425</v>
      </c>
      <c r="AP12" s="92">
        <v>1</v>
      </c>
      <c r="AQ12" s="95">
        <v>504</v>
      </c>
      <c r="AR12" s="92">
        <v>0</v>
      </c>
      <c r="AS12" s="98">
        <v>1291</v>
      </c>
      <c r="AT12" s="92">
        <v>1</v>
      </c>
      <c r="AU12" s="93">
        <v>7855</v>
      </c>
      <c r="AV12" s="92">
        <v>8</v>
      </c>
      <c r="AW12" s="99">
        <v>61</v>
      </c>
      <c r="AX12" s="100" t="s">
        <v>73</v>
      </c>
      <c r="AY12" s="101" t="s">
        <v>74</v>
      </c>
    </row>
    <row r="13" spans="1:51" s="102" customFormat="1" ht="15.75" customHeight="1" x14ac:dyDescent="0.2">
      <c r="A13" s="103">
        <v>5</v>
      </c>
      <c r="B13" s="93">
        <v>26787</v>
      </c>
      <c r="C13" s="92">
        <v>4</v>
      </c>
      <c r="D13" s="93">
        <v>11911</v>
      </c>
      <c r="E13" s="92">
        <v>3</v>
      </c>
      <c r="F13" s="93">
        <v>31283</v>
      </c>
      <c r="G13" s="92">
        <v>4</v>
      </c>
      <c r="H13" s="93">
        <v>24493</v>
      </c>
      <c r="I13" s="92">
        <v>3</v>
      </c>
      <c r="J13" s="94">
        <v>20838</v>
      </c>
      <c r="K13" s="92">
        <v>1</v>
      </c>
      <c r="L13" s="93">
        <v>14910</v>
      </c>
      <c r="M13" s="92">
        <v>1</v>
      </c>
      <c r="N13" s="95">
        <v>13640</v>
      </c>
      <c r="O13" s="92">
        <v>1</v>
      </c>
      <c r="P13" s="95">
        <v>20460</v>
      </c>
      <c r="Q13" s="92">
        <v>0</v>
      </c>
      <c r="R13" s="95">
        <v>24350</v>
      </c>
      <c r="S13" s="92">
        <v>1</v>
      </c>
      <c r="T13" s="95">
        <v>455</v>
      </c>
      <c r="U13" s="92">
        <v>4</v>
      </c>
      <c r="V13" s="95">
        <v>3110</v>
      </c>
      <c r="W13" s="92">
        <v>0</v>
      </c>
      <c r="X13" s="95">
        <v>30034</v>
      </c>
      <c r="Y13" s="92">
        <v>1</v>
      </c>
      <c r="Z13" s="95">
        <v>12841</v>
      </c>
      <c r="AA13" s="92">
        <v>0</v>
      </c>
      <c r="AB13" s="92">
        <v>12</v>
      </c>
      <c r="AC13" s="95">
        <v>10251</v>
      </c>
      <c r="AD13" s="92">
        <v>13</v>
      </c>
      <c r="AE13" s="95"/>
      <c r="AF13" s="92"/>
      <c r="AG13" s="97">
        <v>3271</v>
      </c>
      <c r="AH13" s="92">
        <v>8</v>
      </c>
      <c r="AI13" s="93">
        <v>37215</v>
      </c>
      <c r="AJ13" s="92">
        <v>1</v>
      </c>
      <c r="AK13" s="95">
        <v>4285</v>
      </c>
      <c r="AL13" s="92">
        <v>1</v>
      </c>
      <c r="AM13" s="98">
        <v>1001</v>
      </c>
      <c r="AN13" s="92">
        <v>0</v>
      </c>
      <c r="AO13" s="95">
        <v>1425</v>
      </c>
      <c r="AP13" s="92">
        <v>0</v>
      </c>
      <c r="AQ13" s="95">
        <v>504</v>
      </c>
      <c r="AR13" s="92">
        <v>0</v>
      </c>
      <c r="AS13" s="98">
        <v>1292</v>
      </c>
      <c r="AT13" s="92">
        <v>1</v>
      </c>
      <c r="AU13" s="93">
        <v>7864</v>
      </c>
      <c r="AV13" s="92">
        <v>9</v>
      </c>
      <c r="AW13" s="99">
        <v>56</v>
      </c>
      <c r="AX13" s="100" t="s">
        <v>73</v>
      </c>
      <c r="AY13" s="101" t="s">
        <v>74</v>
      </c>
    </row>
    <row r="14" spans="1:51" s="102" customFormat="1" ht="15.75" customHeight="1" x14ac:dyDescent="0.2">
      <c r="A14" s="103">
        <v>6</v>
      </c>
      <c r="B14" s="93">
        <v>26791</v>
      </c>
      <c r="C14" s="92">
        <v>4</v>
      </c>
      <c r="D14" s="93">
        <v>11912</v>
      </c>
      <c r="E14" s="92">
        <v>1</v>
      </c>
      <c r="F14" s="93">
        <v>31286</v>
      </c>
      <c r="G14" s="92">
        <v>3</v>
      </c>
      <c r="H14" s="93">
        <v>24495</v>
      </c>
      <c r="I14" s="92">
        <v>2</v>
      </c>
      <c r="J14" s="94">
        <v>20838</v>
      </c>
      <c r="K14" s="105">
        <v>0</v>
      </c>
      <c r="L14" s="93">
        <v>14912</v>
      </c>
      <c r="M14" s="92">
        <v>2</v>
      </c>
      <c r="N14" s="95">
        <v>13641</v>
      </c>
      <c r="O14" s="92">
        <v>1</v>
      </c>
      <c r="P14" s="95">
        <v>20461</v>
      </c>
      <c r="Q14" s="92">
        <v>1</v>
      </c>
      <c r="R14" s="95">
        <v>24351</v>
      </c>
      <c r="S14" s="92">
        <v>1</v>
      </c>
      <c r="T14" s="95">
        <v>460</v>
      </c>
      <c r="U14" s="92">
        <v>5</v>
      </c>
      <c r="V14" s="95">
        <v>3110</v>
      </c>
      <c r="W14" s="92">
        <v>0</v>
      </c>
      <c r="X14" s="95">
        <v>30034</v>
      </c>
      <c r="Y14" s="92">
        <v>0</v>
      </c>
      <c r="Z14" s="95">
        <v>12841</v>
      </c>
      <c r="AA14" s="92">
        <v>0</v>
      </c>
      <c r="AB14" s="92">
        <v>12</v>
      </c>
      <c r="AC14" s="95">
        <v>10265</v>
      </c>
      <c r="AD14" s="92">
        <v>14</v>
      </c>
      <c r="AE14" s="95"/>
      <c r="AF14" s="92"/>
      <c r="AG14" s="97">
        <v>3279</v>
      </c>
      <c r="AH14" s="92">
        <v>8</v>
      </c>
      <c r="AI14" s="93">
        <v>37216</v>
      </c>
      <c r="AJ14" s="92">
        <v>1</v>
      </c>
      <c r="AK14" s="95">
        <v>4286</v>
      </c>
      <c r="AL14" s="92">
        <v>1</v>
      </c>
      <c r="AM14" s="98">
        <v>1001</v>
      </c>
      <c r="AN14" s="92">
        <v>0</v>
      </c>
      <c r="AO14" s="95">
        <v>1426</v>
      </c>
      <c r="AP14" s="92">
        <v>1</v>
      </c>
      <c r="AQ14" s="95">
        <v>504</v>
      </c>
      <c r="AR14" s="92">
        <v>0</v>
      </c>
      <c r="AS14" s="98">
        <v>1294</v>
      </c>
      <c r="AT14" s="92">
        <v>2</v>
      </c>
      <c r="AU14" s="93">
        <v>7872</v>
      </c>
      <c r="AV14" s="92">
        <v>8</v>
      </c>
      <c r="AW14" s="99">
        <v>55</v>
      </c>
      <c r="AX14" s="100" t="s">
        <v>73</v>
      </c>
      <c r="AY14" s="101" t="s">
        <v>74</v>
      </c>
    </row>
    <row r="15" spans="1:51" s="102" customFormat="1" ht="15.75" customHeight="1" x14ac:dyDescent="0.2">
      <c r="A15" s="90">
        <v>7</v>
      </c>
      <c r="B15" s="93">
        <v>26794</v>
      </c>
      <c r="C15" s="92">
        <v>3</v>
      </c>
      <c r="D15" s="93">
        <v>11913</v>
      </c>
      <c r="E15" s="92">
        <v>1</v>
      </c>
      <c r="F15" s="93">
        <v>31288</v>
      </c>
      <c r="G15" s="92">
        <v>2</v>
      </c>
      <c r="H15" s="93">
        <v>24497</v>
      </c>
      <c r="I15" s="92">
        <v>2</v>
      </c>
      <c r="J15" s="94">
        <v>20838</v>
      </c>
      <c r="K15" s="92">
        <v>0</v>
      </c>
      <c r="L15" s="93">
        <v>14924</v>
      </c>
      <c r="M15" s="92">
        <v>12</v>
      </c>
      <c r="N15" s="95">
        <v>13642</v>
      </c>
      <c r="O15" s="92">
        <v>1</v>
      </c>
      <c r="P15" s="95">
        <v>20462</v>
      </c>
      <c r="Q15" s="92">
        <v>1</v>
      </c>
      <c r="R15" s="95">
        <v>24351</v>
      </c>
      <c r="S15" s="92">
        <v>0</v>
      </c>
      <c r="T15" s="95">
        <v>464</v>
      </c>
      <c r="U15" s="92">
        <v>4</v>
      </c>
      <c r="V15" s="95">
        <v>3110</v>
      </c>
      <c r="W15" s="92">
        <v>0</v>
      </c>
      <c r="X15" s="95">
        <v>30034</v>
      </c>
      <c r="Y15" s="92">
        <v>0</v>
      </c>
      <c r="Z15" s="95">
        <v>12841</v>
      </c>
      <c r="AA15" s="92">
        <v>0</v>
      </c>
      <c r="AB15" s="92">
        <v>20</v>
      </c>
      <c r="AC15" s="95">
        <v>10275</v>
      </c>
      <c r="AD15" s="92">
        <v>10</v>
      </c>
      <c r="AE15" s="95"/>
      <c r="AF15" s="92"/>
      <c r="AG15" s="97">
        <v>3286</v>
      </c>
      <c r="AH15" s="92">
        <v>7</v>
      </c>
      <c r="AI15" s="93">
        <v>37218</v>
      </c>
      <c r="AJ15" s="92">
        <v>2</v>
      </c>
      <c r="AK15" s="95">
        <v>4287</v>
      </c>
      <c r="AL15" s="92">
        <v>1</v>
      </c>
      <c r="AM15" s="98">
        <v>1001</v>
      </c>
      <c r="AN15" s="92">
        <v>0</v>
      </c>
      <c r="AO15" s="95">
        <v>1426</v>
      </c>
      <c r="AP15" s="92">
        <v>0</v>
      </c>
      <c r="AQ15" s="95">
        <v>505</v>
      </c>
      <c r="AR15" s="92">
        <v>1</v>
      </c>
      <c r="AS15" s="98">
        <v>1295</v>
      </c>
      <c r="AT15" s="92">
        <v>1</v>
      </c>
      <c r="AU15" s="93">
        <v>7880</v>
      </c>
      <c r="AV15" s="92">
        <v>8</v>
      </c>
      <c r="AW15" s="99">
        <v>56</v>
      </c>
      <c r="AX15" s="100" t="s">
        <v>73</v>
      </c>
      <c r="AY15" s="101" t="s">
        <v>74</v>
      </c>
    </row>
    <row r="16" spans="1:51" s="102" customFormat="1" ht="15.75" customHeight="1" x14ac:dyDescent="0.2">
      <c r="A16" s="103">
        <v>8</v>
      </c>
      <c r="B16" s="93">
        <v>26798</v>
      </c>
      <c r="C16" s="92">
        <v>4</v>
      </c>
      <c r="D16" s="93">
        <v>11914</v>
      </c>
      <c r="E16" s="92">
        <v>1</v>
      </c>
      <c r="F16" s="93">
        <v>31290</v>
      </c>
      <c r="G16" s="92">
        <v>2</v>
      </c>
      <c r="H16" s="93">
        <v>24498</v>
      </c>
      <c r="I16" s="92">
        <v>1</v>
      </c>
      <c r="J16" s="94">
        <v>20839</v>
      </c>
      <c r="K16" s="92">
        <v>1</v>
      </c>
      <c r="L16" s="93">
        <v>14927</v>
      </c>
      <c r="M16" s="92">
        <v>3</v>
      </c>
      <c r="N16" s="95">
        <v>13642</v>
      </c>
      <c r="O16" s="92">
        <v>0</v>
      </c>
      <c r="P16" s="95">
        <v>20463</v>
      </c>
      <c r="Q16" s="92">
        <v>1</v>
      </c>
      <c r="R16" s="95">
        <v>24353</v>
      </c>
      <c r="S16" s="92">
        <v>2</v>
      </c>
      <c r="T16" s="95">
        <v>469</v>
      </c>
      <c r="U16" s="92">
        <v>5</v>
      </c>
      <c r="V16" s="106">
        <v>3111</v>
      </c>
      <c r="W16" s="92">
        <v>1</v>
      </c>
      <c r="X16" s="95">
        <v>30034</v>
      </c>
      <c r="Y16" s="92">
        <v>0</v>
      </c>
      <c r="Z16" s="95">
        <v>12841</v>
      </c>
      <c r="AA16" s="92">
        <v>0</v>
      </c>
      <c r="AB16" s="92">
        <v>14</v>
      </c>
      <c r="AC16" s="95">
        <v>10291</v>
      </c>
      <c r="AD16" s="92">
        <v>16</v>
      </c>
      <c r="AE16" s="95"/>
      <c r="AF16" s="92"/>
      <c r="AG16" s="97">
        <v>3295</v>
      </c>
      <c r="AH16" s="92">
        <v>9</v>
      </c>
      <c r="AI16" s="93">
        <v>37219</v>
      </c>
      <c r="AJ16" s="92">
        <v>1</v>
      </c>
      <c r="AK16" s="95">
        <v>4288</v>
      </c>
      <c r="AL16" s="92">
        <v>1</v>
      </c>
      <c r="AM16" s="98">
        <v>1002</v>
      </c>
      <c r="AN16" s="92">
        <v>1</v>
      </c>
      <c r="AO16" s="95">
        <v>1427</v>
      </c>
      <c r="AP16" s="92">
        <v>1</v>
      </c>
      <c r="AQ16" s="95">
        <v>505</v>
      </c>
      <c r="AR16" s="92">
        <v>0</v>
      </c>
      <c r="AS16" s="98">
        <v>1296</v>
      </c>
      <c r="AT16" s="92">
        <v>1</v>
      </c>
      <c r="AU16" s="93">
        <v>7889</v>
      </c>
      <c r="AV16" s="92">
        <v>9</v>
      </c>
      <c r="AW16" s="99">
        <v>60</v>
      </c>
      <c r="AX16" s="100" t="s">
        <v>73</v>
      </c>
      <c r="AY16" s="101" t="s">
        <v>74</v>
      </c>
    </row>
    <row r="17" spans="1:51" s="102" customFormat="1" ht="15.75" customHeight="1" x14ac:dyDescent="0.2">
      <c r="A17" s="103">
        <v>9</v>
      </c>
      <c r="B17" s="93">
        <v>26801</v>
      </c>
      <c r="C17" s="92">
        <v>3</v>
      </c>
      <c r="D17" s="93">
        <v>11916</v>
      </c>
      <c r="E17" s="92">
        <v>2</v>
      </c>
      <c r="F17" s="93">
        <v>31295</v>
      </c>
      <c r="G17" s="92">
        <v>5</v>
      </c>
      <c r="H17" s="93">
        <v>24502</v>
      </c>
      <c r="I17" s="92">
        <v>4</v>
      </c>
      <c r="J17" s="94">
        <v>20839</v>
      </c>
      <c r="K17" s="92">
        <v>0</v>
      </c>
      <c r="L17" s="93">
        <v>14928</v>
      </c>
      <c r="M17" s="92">
        <v>1</v>
      </c>
      <c r="N17" s="95">
        <v>13643</v>
      </c>
      <c r="O17" s="92">
        <v>1</v>
      </c>
      <c r="P17" s="95">
        <v>20464</v>
      </c>
      <c r="Q17" s="92">
        <v>1</v>
      </c>
      <c r="R17" s="95">
        <v>24353</v>
      </c>
      <c r="S17" s="92">
        <v>0</v>
      </c>
      <c r="T17" s="95">
        <v>473</v>
      </c>
      <c r="U17" s="92">
        <v>4</v>
      </c>
      <c r="V17" s="95">
        <v>3111</v>
      </c>
      <c r="W17" s="92">
        <v>0</v>
      </c>
      <c r="X17" s="95">
        <v>30034</v>
      </c>
      <c r="Y17" s="92">
        <v>0</v>
      </c>
      <c r="Z17" s="95">
        <v>12841</v>
      </c>
      <c r="AA17" s="92">
        <v>0</v>
      </c>
      <c r="AB17" s="92">
        <v>11</v>
      </c>
      <c r="AC17" s="93">
        <v>10303</v>
      </c>
      <c r="AD17" s="92">
        <v>12</v>
      </c>
      <c r="AE17" s="95"/>
      <c r="AF17" s="92"/>
      <c r="AG17" s="97">
        <v>3302</v>
      </c>
      <c r="AH17" s="92">
        <v>7</v>
      </c>
      <c r="AI17" s="93">
        <v>37219</v>
      </c>
      <c r="AJ17" s="92">
        <v>0</v>
      </c>
      <c r="AK17" s="95">
        <v>4289</v>
      </c>
      <c r="AL17" s="92">
        <v>1</v>
      </c>
      <c r="AM17" s="98">
        <v>1003</v>
      </c>
      <c r="AN17" s="92">
        <v>1</v>
      </c>
      <c r="AO17" s="95">
        <v>1427</v>
      </c>
      <c r="AP17" s="92">
        <v>0</v>
      </c>
      <c r="AQ17" s="95">
        <v>506</v>
      </c>
      <c r="AR17" s="92">
        <v>1</v>
      </c>
      <c r="AS17" s="98">
        <v>1297</v>
      </c>
      <c r="AT17" s="92">
        <v>1</v>
      </c>
      <c r="AU17" s="93">
        <v>7897</v>
      </c>
      <c r="AV17" s="92">
        <v>8</v>
      </c>
      <c r="AW17" s="99">
        <v>52</v>
      </c>
      <c r="AX17" s="100" t="s">
        <v>73</v>
      </c>
      <c r="AY17" s="101" t="s">
        <v>74</v>
      </c>
    </row>
    <row r="18" spans="1:51" s="102" customFormat="1" ht="15.75" customHeight="1" x14ac:dyDescent="0.2">
      <c r="A18" s="90">
        <v>10</v>
      </c>
      <c r="B18" s="93">
        <v>26804</v>
      </c>
      <c r="C18" s="92">
        <v>3</v>
      </c>
      <c r="D18" s="93">
        <v>11916</v>
      </c>
      <c r="E18" s="92">
        <v>0</v>
      </c>
      <c r="F18" s="93">
        <v>31298</v>
      </c>
      <c r="G18" s="92">
        <v>3</v>
      </c>
      <c r="H18" s="93">
        <v>24505</v>
      </c>
      <c r="I18" s="92">
        <v>3</v>
      </c>
      <c r="J18" s="94">
        <v>20840</v>
      </c>
      <c r="K18" s="92">
        <v>1</v>
      </c>
      <c r="L18" s="93">
        <v>14930</v>
      </c>
      <c r="M18" s="92">
        <v>2</v>
      </c>
      <c r="N18" s="95">
        <v>13644</v>
      </c>
      <c r="O18" s="92">
        <v>1</v>
      </c>
      <c r="P18" s="95">
        <v>20465</v>
      </c>
      <c r="Q18" s="92">
        <v>1</v>
      </c>
      <c r="R18" s="95">
        <v>24354</v>
      </c>
      <c r="S18" s="92">
        <v>1</v>
      </c>
      <c r="T18" s="95">
        <v>518</v>
      </c>
      <c r="U18" s="92">
        <v>45</v>
      </c>
      <c r="V18" s="95">
        <v>3111</v>
      </c>
      <c r="W18" s="92">
        <v>0</v>
      </c>
      <c r="X18" s="95">
        <v>30035</v>
      </c>
      <c r="Y18" s="92">
        <v>1</v>
      </c>
      <c r="Z18" s="95">
        <v>12841</v>
      </c>
      <c r="AA18" s="92">
        <v>0</v>
      </c>
      <c r="AB18" s="92">
        <v>55</v>
      </c>
      <c r="AC18" s="93">
        <v>10313</v>
      </c>
      <c r="AD18" s="92">
        <v>10</v>
      </c>
      <c r="AE18" s="95"/>
      <c r="AF18" s="92"/>
      <c r="AG18" s="97">
        <v>3311</v>
      </c>
      <c r="AH18" s="92">
        <v>9</v>
      </c>
      <c r="AI18" s="93">
        <v>37221</v>
      </c>
      <c r="AJ18" s="92">
        <v>2</v>
      </c>
      <c r="AK18" s="95">
        <v>4290</v>
      </c>
      <c r="AL18" s="92">
        <v>1</v>
      </c>
      <c r="AM18" s="98">
        <v>1003</v>
      </c>
      <c r="AN18" s="92">
        <v>0</v>
      </c>
      <c r="AO18" s="95">
        <v>1427</v>
      </c>
      <c r="AP18" s="92">
        <v>0</v>
      </c>
      <c r="AQ18" s="95">
        <v>506</v>
      </c>
      <c r="AR18" s="92">
        <v>0</v>
      </c>
      <c r="AS18" s="98">
        <v>1298</v>
      </c>
      <c r="AT18" s="92">
        <v>1</v>
      </c>
      <c r="AU18" s="93">
        <v>7906</v>
      </c>
      <c r="AV18" s="92">
        <v>9</v>
      </c>
      <c r="AW18" s="99">
        <v>93</v>
      </c>
      <c r="AX18" s="100" t="s">
        <v>73</v>
      </c>
      <c r="AY18" s="101" t="s">
        <v>74</v>
      </c>
    </row>
    <row r="19" spans="1:51" s="102" customFormat="1" ht="15.75" customHeight="1" x14ac:dyDescent="0.2">
      <c r="A19" s="103">
        <v>11</v>
      </c>
      <c r="B19" s="93">
        <v>26806</v>
      </c>
      <c r="C19" s="92">
        <v>2</v>
      </c>
      <c r="D19" s="93">
        <v>11918</v>
      </c>
      <c r="E19" s="92">
        <v>2</v>
      </c>
      <c r="F19" s="93">
        <v>31301</v>
      </c>
      <c r="G19" s="92">
        <v>3</v>
      </c>
      <c r="H19" s="93">
        <v>24509</v>
      </c>
      <c r="I19" s="92">
        <v>4</v>
      </c>
      <c r="J19" s="94">
        <v>20843</v>
      </c>
      <c r="K19" s="92">
        <v>3</v>
      </c>
      <c r="L19" s="93">
        <v>14932</v>
      </c>
      <c r="M19" s="92">
        <v>2</v>
      </c>
      <c r="N19" s="95">
        <v>13645</v>
      </c>
      <c r="O19" s="92">
        <v>1</v>
      </c>
      <c r="P19" s="95">
        <v>20467</v>
      </c>
      <c r="Q19" s="92">
        <v>2</v>
      </c>
      <c r="R19" s="95">
        <v>24383</v>
      </c>
      <c r="S19" s="92">
        <v>29</v>
      </c>
      <c r="T19" s="95">
        <v>524</v>
      </c>
      <c r="U19" s="92">
        <v>6</v>
      </c>
      <c r="V19" s="95">
        <v>3112</v>
      </c>
      <c r="W19" s="92">
        <v>1</v>
      </c>
      <c r="X19" s="95">
        <v>30035</v>
      </c>
      <c r="Y19" s="92">
        <v>0</v>
      </c>
      <c r="Z19" s="95">
        <v>12841</v>
      </c>
      <c r="AA19" s="92">
        <v>0</v>
      </c>
      <c r="AB19" s="92">
        <v>48</v>
      </c>
      <c r="AC19" s="93">
        <v>10329</v>
      </c>
      <c r="AD19" s="92">
        <v>16</v>
      </c>
      <c r="AE19" s="95"/>
      <c r="AF19" s="92"/>
      <c r="AG19" s="97">
        <v>3318</v>
      </c>
      <c r="AH19" s="92">
        <v>7</v>
      </c>
      <c r="AI19" s="93">
        <v>37221</v>
      </c>
      <c r="AJ19" s="92">
        <v>0</v>
      </c>
      <c r="AK19" s="95">
        <v>4293</v>
      </c>
      <c r="AL19" s="92">
        <v>3</v>
      </c>
      <c r="AM19" s="98">
        <v>1003</v>
      </c>
      <c r="AN19" s="92">
        <v>0</v>
      </c>
      <c r="AO19" s="95">
        <v>1427</v>
      </c>
      <c r="AP19" s="92">
        <v>0</v>
      </c>
      <c r="AQ19" s="95">
        <v>506</v>
      </c>
      <c r="AR19" s="92">
        <v>0</v>
      </c>
      <c r="AS19" s="98">
        <v>1299</v>
      </c>
      <c r="AT19" s="92">
        <v>1</v>
      </c>
      <c r="AU19" s="93">
        <v>7913</v>
      </c>
      <c r="AV19" s="92">
        <v>7</v>
      </c>
      <c r="AW19" s="99">
        <v>89</v>
      </c>
      <c r="AX19" s="100" t="s">
        <v>73</v>
      </c>
      <c r="AY19" s="101" t="s">
        <v>74</v>
      </c>
    </row>
    <row r="20" spans="1:51" s="102" customFormat="1" ht="15.75" customHeight="1" x14ac:dyDescent="0.2">
      <c r="A20" s="103">
        <v>12</v>
      </c>
      <c r="B20" s="93">
        <v>26811</v>
      </c>
      <c r="C20" s="92">
        <v>5</v>
      </c>
      <c r="D20" s="93">
        <v>11920</v>
      </c>
      <c r="E20" s="92">
        <v>2</v>
      </c>
      <c r="F20" s="93">
        <v>31304</v>
      </c>
      <c r="G20" s="92">
        <v>3</v>
      </c>
      <c r="H20" s="93">
        <v>24514</v>
      </c>
      <c r="I20" s="92">
        <v>5</v>
      </c>
      <c r="J20" s="94">
        <v>20843</v>
      </c>
      <c r="K20" s="92">
        <v>0</v>
      </c>
      <c r="L20" s="93">
        <v>14934</v>
      </c>
      <c r="M20" s="92">
        <v>2</v>
      </c>
      <c r="N20" s="95">
        <v>13645</v>
      </c>
      <c r="O20" s="92">
        <v>0</v>
      </c>
      <c r="P20" s="95">
        <v>20468</v>
      </c>
      <c r="Q20" s="92">
        <v>1</v>
      </c>
      <c r="R20" s="95">
        <v>24385</v>
      </c>
      <c r="S20" s="92">
        <v>2</v>
      </c>
      <c r="T20" s="95">
        <v>529</v>
      </c>
      <c r="U20" s="92">
        <v>5</v>
      </c>
      <c r="V20" s="95">
        <v>3112</v>
      </c>
      <c r="W20" s="92">
        <v>0</v>
      </c>
      <c r="X20" s="95">
        <v>30035</v>
      </c>
      <c r="Y20" s="92">
        <v>0</v>
      </c>
      <c r="Z20" s="95">
        <v>12841</v>
      </c>
      <c r="AA20" s="92">
        <v>0</v>
      </c>
      <c r="AB20" s="92">
        <v>15</v>
      </c>
      <c r="AC20" s="93">
        <v>10343</v>
      </c>
      <c r="AD20" s="92">
        <v>14</v>
      </c>
      <c r="AE20" s="95"/>
      <c r="AF20" s="92"/>
      <c r="AG20" s="97">
        <v>3327</v>
      </c>
      <c r="AH20" s="92">
        <v>9</v>
      </c>
      <c r="AI20" s="93">
        <v>37223</v>
      </c>
      <c r="AJ20" s="92">
        <v>2</v>
      </c>
      <c r="AK20" s="95">
        <v>4294</v>
      </c>
      <c r="AL20" s="92">
        <v>1</v>
      </c>
      <c r="AM20" s="98">
        <v>1004</v>
      </c>
      <c r="AN20" s="92">
        <v>1</v>
      </c>
      <c r="AO20" s="95">
        <v>1428</v>
      </c>
      <c r="AP20" s="92">
        <v>1</v>
      </c>
      <c r="AQ20" s="95">
        <v>506</v>
      </c>
      <c r="AR20" s="92">
        <v>0</v>
      </c>
      <c r="AS20" s="98">
        <v>1301</v>
      </c>
      <c r="AT20" s="92">
        <v>2</v>
      </c>
      <c r="AU20" s="93">
        <v>7924</v>
      </c>
      <c r="AV20" s="92">
        <v>11</v>
      </c>
      <c r="AW20" s="99">
        <v>66</v>
      </c>
      <c r="AX20" s="100" t="s">
        <v>73</v>
      </c>
      <c r="AY20" s="101" t="s">
        <v>74</v>
      </c>
    </row>
    <row r="21" spans="1:51" s="102" customFormat="1" ht="15.75" customHeight="1" x14ac:dyDescent="0.2">
      <c r="A21" s="90">
        <v>13</v>
      </c>
      <c r="B21" s="93">
        <v>26814</v>
      </c>
      <c r="C21" s="92">
        <v>3</v>
      </c>
      <c r="D21" s="93">
        <v>11921</v>
      </c>
      <c r="E21" s="92">
        <v>1</v>
      </c>
      <c r="F21" s="93">
        <v>31308</v>
      </c>
      <c r="G21" s="92">
        <v>4</v>
      </c>
      <c r="H21" s="93">
        <v>24531</v>
      </c>
      <c r="I21" s="92">
        <v>17</v>
      </c>
      <c r="J21" s="94">
        <v>20844</v>
      </c>
      <c r="K21" s="92">
        <v>1</v>
      </c>
      <c r="L21" s="93">
        <v>14935</v>
      </c>
      <c r="M21" s="92">
        <v>1</v>
      </c>
      <c r="N21" s="95">
        <v>13647</v>
      </c>
      <c r="O21" s="92">
        <v>2</v>
      </c>
      <c r="P21" s="95">
        <v>20471</v>
      </c>
      <c r="Q21" s="92">
        <v>3</v>
      </c>
      <c r="R21" s="95">
        <v>24386</v>
      </c>
      <c r="S21" s="92">
        <v>1</v>
      </c>
      <c r="T21" s="95">
        <v>534</v>
      </c>
      <c r="U21" s="92">
        <v>5</v>
      </c>
      <c r="V21" s="95">
        <v>3112</v>
      </c>
      <c r="W21" s="92">
        <v>0</v>
      </c>
      <c r="X21" s="95">
        <v>30037</v>
      </c>
      <c r="Y21" s="92">
        <v>2</v>
      </c>
      <c r="Z21" s="95">
        <v>12841</v>
      </c>
      <c r="AA21" s="92">
        <v>0</v>
      </c>
      <c r="AB21" s="92">
        <v>32</v>
      </c>
      <c r="AC21" s="93">
        <v>10359</v>
      </c>
      <c r="AD21" s="92">
        <v>16</v>
      </c>
      <c r="AE21" s="95"/>
      <c r="AF21" s="92"/>
      <c r="AG21" s="97">
        <v>3337</v>
      </c>
      <c r="AH21" s="92">
        <v>10</v>
      </c>
      <c r="AI21" s="93">
        <v>37231</v>
      </c>
      <c r="AJ21" s="92">
        <v>8</v>
      </c>
      <c r="AK21" s="95">
        <v>4295</v>
      </c>
      <c r="AL21" s="92">
        <v>1</v>
      </c>
      <c r="AM21" s="98">
        <v>1004</v>
      </c>
      <c r="AN21" s="92">
        <v>0</v>
      </c>
      <c r="AO21" s="95">
        <v>1429</v>
      </c>
      <c r="AP21" s="92">
        <v>1</v>
      </c>
      <c r="AQ21" s="95">
        <v>506</v>
      </c>
      <c r="AR21" s="92">
        <v>0</v>
      </c>
      <c r="AS21" s="98">
        <v>1302</v>
      </c>
      <c r="AT21" s="92">
        <v>1</v>
      </c>
      <c r="AU21" s="93">
        <v>7934</v>
      </c>
      <c r="AV21" s="92">
        <v>10</v>
      </c>
      <c r="AW21" s="99">
        <v>87</v>
      </c>
      <c r="AX21" s="100" t="s">
        <v>73</v>
      </c>
      <c r="AY21" s="101" t="s">
        <v>74</v>
      </c>
    </row>
    <row r="22" spans="1:51" s="102" customFormat="1" ht="15.75" customHeight="1" x14ac:dyDescent="0.2">
      <c r="A22" s="103">
        <v>14</v>
      </c>
      <c r="B22" s="93">
        <v>26818</v>
      </c>
      <c r="C22" s="92">
        <v>4</v>
      </c>
      <c r="D22" s="93">
        <v>11922</v>
      </c>
      <c r="E22" s="92">
        <v>1</v>
      </c>
      <c r="F22" s="93">
        <v>31312</v>
      </c>
      <c r="G22" s="92">
        <v>4</v>
      </c>
      <c r="H22" s="93">
        <v>24548</v>
      </c>
      <c r="I22" s="92">
        <v>17</v>
      </c>
      <c r="J22" s="94">
        <v>20845</v>
      </c>
      <c r="K22" s="92">
        <v>1</v>
      </c>
      <c r="L22" s="93">
        <v>14936</v>
      </c>
      <c r="M22" s="92">
        <v>1</v>
      </c>
      <c r="N22" s="95">
        <v>13649</v>
      </c>
      <c r="O22" s="92">
        <v>2</v>
      </c>
      <c r="P22" s="95">
        <v>20472</v>
      </c>
      <c r="Q22" s="92">
        <v>1</v>
      </c>
      <c r="R22" s="95">
        <v>24386</v>
      </c>
      <c r="S22" s="92">
        <v>0</v>
      </c>
      <c r="T22" s="95">
        <v>539</v>
      </c>
      <c r="U22" s="92">
        <v>5</v>
      </c>
      <c r="V22" s="95">
        <v>3113</v>
      </c>
      <c r="W22" s="92">
        <v>1</v>
      </c>
      <c r="X22" s="95">
        <v>30040</v>
      </c>
      <c r="Y22" s="92">
        <v>3</v>
      </c>
      <c r="Z22" s="95">
        <v>12841</v>
      </c>
      <c r="AA22" s="92">
        <v>0</v>
      </c>
      <c r="AB22" s="107">
        <v>31</v>
      </c>
      <c r="AC22" s="93">
        <v>10373</v>
      </c>
      <c r="AD22" s="92">
        <v>14</v>
      </c>
      <c r="AE22" s="95"/>
      <c r="AF22" s="92"/>
      <c r="AG22" s="97">
        <v>3345</v>
      </c>
      <c r="AH22" s="92">
        <v>8</v>
      </c>
      <c r="AI22" s="93">
        <v>37238</v>
      </c>
      <c r="AJ22" s="92">
        <v>7</v>
      </c>
      <c r="AK22" s="95">
        <v>4297</v>
      </c>
      <c r="AL22" s="92">
        <v>2</v>
      </c>
      <c r="AM22" s="98">
        <v>1005</v>
      </c>
      <c r="AN22" s="92">
        <v>1</v>
      </c>
      <c r="AO22" s="95">
        <v>1429</v>
      </c>
      <c r="AP22" s="92">
        <v>0</v>
      </c>
      <c r="AQ22" s="95">
        <v>506</v>
      </c>
      <c r="AR22" s="92">
        <v>0</v>
      </c>
      <c r="AS22" s="98">
        <v>1303</v>
      </c>
      <c r="AT22" s="92">
        <v>1</v>
      </c>
      <c r="AU22" s="93">
        <v>7943</v>
      </c>
      <c r="AV22" s="92">
        <v>9</v>
      </c>
      <c r="AW22" s="99">
        <v>82</v>
      </c>
      <c r="AX22" s="100" t="s">
        <v>73</v>
      </c>
      <c r="AY22" s="101" t="s">
        <v>74</v>
      </c>
    </row>
    <row r="23" spans="1:51" s="102" customFormat="1" ht="15.75" customHeight="1" x14ac:dyDescent="0.2">
      <c r="A23" s="103">
        <v>15</v>
      </c>
      <c r="B23" s="93">
        <v>26822</v>
      </c>
      <c r="C23" s="92">
        <v>4</v>
      </c>
      <c r="D23" s="93">
        <v>11929</v>
      </c>
      <c r="E23" s="92">
        <v>7</v>
      </c>
      <c r="F23" s="93">
        <v>31321</v>
      </c>
      <c r="G23" s="92">
        <v>9</v>
      </c>
      <c r="H23" s="93">
        <v>24570</v>
      </c>
      <c r="I23" s="92">
        <v>22</v>
      </c>
      <c r="J23" s="94">
        <v>20846</v>
      </c>
      <c r="K23" s="92">
        <v>1</v>
      </c>
      <c r="L23" s="93">
        <v>14937</v>
      </c>
      <c r="M23" s="92">
        <v>1</v>
      </c>
      <c r="N23" s="95">
        <v>13651</v>
      </c>
      <c r="O23" s="92">
        <v>2</v>
      </c>
      <c r="P23" s="95">
        <v>20474</v>
      </c>
      <c r="Q23" s="92">
        <v>2</v>
      </c>
      <c r="R23" s="95">
        <v>24387</v>
      </c>
      <c r="S23" s="92">
        <v>1</v>
      </c>
      <c r="T23" s="95">
        <v>546</v>
      </c>
      <c r="U23" s="92">
        <v>7</v>
      </c>
      <c r="V23" s="95">
        <v>3113</v>
      </c>
      <c r="W23" s="92">
        <v>0</v>
      </c>
      <c r="X23" s="95">
        <v>30043</v>
      </c>
      <c r="Y23" s="92">
        <v>3</v>
      </c>
      <c r="Z23" s="95">
        <v>12841</v>
      </c>
      <c r="AA23" s="92">
        <v>0</v>
      </c>
      <c r="AB23" s="92">
        <v>39</v>
      </c>
      <c r="AC23" s="93">
        <v>10387</v>
      </c>
      <c r="AD23" s="92">
        <v>14</v>
      </c>
      <c r="AE23" s="95"/>
      <c r="AF23" s="92"/>
      <c r="AG23" s="97">
        <v>3353</v>
      </c>
      <c r="AH23" s="92">
        <v>8</v>
      </c>
      <c r="AI23" s="93">
        <v>37245</v>
      </c>
      <c r="AJ23" s="92">
        <v>7</v>
      </c>
      <c r="AK23" s="95">
        <v>4302</v>
      </c>
      <c r="AL23" s="92">
        <v>5</v>
      </c>
      <c r="AM23" s="98">
        <v>1006</v>
      </c>
      <c r="AN23" s="92">
        <v>1</v>
      </c>
      <c r="AO23" s="95">
        <v>1430</v>
      </c>
      <c r="AP23" s="92">
        <v>1</v>
      </c>
      <c r="AQ23" s="95">
        <v>506</v>
      </c>
      <c r="AR23" s="92">
        <v>0</v>
      </c>
      <c r="AS23" s="98">
        <v>1304</v>
      </c>
      <c r="AT23" s="92">
        <v>1</v>
      </c>
      <c r="AU23" s="93">
        <v>7951</v>
      </c>
      <c r="AV23" s="92">
        <v>8</v>
      </c>
      <c r="AW23" s="99">
        <v>104</v>
      </c>
      <c r="AX23" s="100" t="s">
        <v>73</v>
      </c>
      <c r="AY23" s="101" t="s">
        <v>74</v>
      </c>
    </row>
    <row r="24" spans="1:51" s="102" customFormat="1" ht="15.75" customHeight="1" x14ac:dyDescent="0.2">
      <c r="A24" s="90">
        <v>16</v>
      </c>
      <c r="B24" s="93">
        <v>26825</v>
      </c>
      <c r="C24" s="92">
        <v>3</v>
      </c>
      <c r="D24" s="93">
        <v>11930</v>
      </c>
      <c r="E24" s="92">
        <v>1</v>
      </c>
      <c r="F24" s="93">
        <v>31324</v>
      </c>
      <c r="G24" s="92">
        <v>3</v>
      </c>
      <c r="H24" s="93">
        <v>24583</v>
      </c>
      <c r="I24" s="92">
        <v>13</v>
      </c>
      <c r="J24" s="94">
        <v>20847</v>
      </c>
      <c r="K24" s="92">
        <v>1</v>
      </c>
      <c r="L24" s="93">
        <v>14939</v>
      </c>
      <c r="M24" s="92">
        <v>2</v>
      </c>
      <c r="N24" s="95">
        <v>13651</v>
      </c>
      <c r="O24" s="92">
        <v>0</v>
      </c>
      <c r="P24" s="95">
        <v>20476</v>
      </c>
      <c r="Q24" s="92">
        <v>2</v>
      </c>
      <c r="R24" s="95">
        <v>24387</v>
      </c>
      <c r="S24" s="92">
        <v>0</v>
      </c>
      <c r="T24" s="95">
        <v>562</v>
      </c>
      <c r="U24" s="92">
        <v>16</v>
      </c>
      <c r="V24" s="95">
        <v>3114</v>
      </c>
      <c r="W24" s="92">
        <v>1</v>
      </c>
      <c r="X24" s="95">
        <v>30044</v>
      </c>
      <c r="Y24" s="92">
        <v>1</v>
      </c>
      <c r="Z24" s="95">
        <v>12841</v>
      </c>
      <c r="AA24" s="92">
        <v>0</v>
      </c>
      <c r="AB24" s="92">
        <v>36</v>
      </c>
      <c r="AC24" s="93">
        <v>10400</v>
      </c>
      <c r="AD24" s="92">
        <v>13</v>
      </c>
      <c r="AE24" s="95"/>
      <c r="AF24" s="92"/>
      <c r="AG24" s="97">
        <v>3363</v>
      </c>
      <c r="AH24" s="92">
        <v>10</v>
      </c>
      <c r="AI24" s="93">
        <v>37246</v>
      </c>
      <c r="AJ24" s="92">
        <v>1</v>
      </c>
      <c r="AK24" s="95">
        <v>4313</v>
      </c>
      <c r="AL24" s="92">
        <v>11</v>
      </c>
      <c r="AM24" s="98">
        <v>1006</v>
      </c>
      <c r="AN24" s="92">
        <v>0</v>
      </c>
      <c r="AO24" s="95">
        <v>1430</v>
      </c>
      <c r="AP24" s="92">
        <v>0</v>
      </c>
      <c r="AQ24" s="95">
        <v>506</v>
      </c>
      <c r="AR24" s="92">
        <v>0</v>
      </c>
      <c r="AS24" s="98">
        <v>1305</v>
      </c>
      <c r="AT24" s="92">
        <v>1</v>
      </c>
      <c r="AU24" s="93">
        <v>7962</v>
      </c>
      <c r="AV24" s="92">
        <v>11</v>
      </c>
      <c r="AW24" s="99">
        <v>90</v>
      </c>
      <c r="AX24" s="100" t="s">
        <v>73</v>
      </c>
      <c r="AY24" s="101" t="s">
        <v>74</v>
      </c>
    </row>
    <row r="25" spans="1:51" s="102" customFormat="1" ht="15.75" customHeight="1" x14ac:dyDescent="0.2">
      <c r="A25" s="103">
        <v>17</v>
      </c>
      <c r="B25" s="93">
        <v>26827</v>
      </c>
      <c r="C25" s="92">
        <v>2</v>
      </c>
      <c r="D25" s="93">
        <v>11931</v>
      </c>
      <c r="E25" s="92">
        <v>1</v>
      </c>
      <c r="F25" s="93">
        <v>31326</v>
      </c>
      <c r="G25" s="92">
        <v>2</v>
      </c>
      <c r="H25" s="93">
        <v>24585</v>
      </c>
      <c r="I25" s="92">
        <v>2</v>
      </c>
      <c r="J25" s="94">
        <v>20848</v>
      </c>
      <c r="K25" s="92">
        <v>1</v>
      </c>
      <c r="L25" s="93">
        <v>14940</v>
      </c>
      <c r="M25" s="92">
        <v>1</v>
      </c>
      <c r="N25" s="95">
        <v>13651</v>
      </c>
      <c r="O25" s="92">
        <v>0</v>
      </c>
      <c r="P25" s="95">
        <v>20478</v>
      </c>
      <c r="Q25" s="92">
        <v>2</v>
      </c>
      <c r="R25" s="95">
        <v>24388</v>
      </c>
      <c r="S25" s="92">
        <v>1</v>
      </c>
      <c r="T25" s="95">
        <v>565</v>
      </c>
      <c r="U25" s="92">
        <v>3</v>
      </c>
      <c r="V25" s="95">
        <v>3114</v>
      </c>
      <c r="W25" s="92">
        <v>0</v>
      </c>
      <c r="X25" s="95">
        <v>30047</v>
      </c>
      <c r="Y25" s="92">
        <v>3</v>
      </c>
      <c r="Z25" s="95">
        <v>12841</v>
      </c>
      <c r="AA25" s="92">
        <v>0</v>
      </c>
      <c r="AB25" s="92">
        <v>13</v>
      </c>
      <c r="AC25" s="93">
        <v>10410</v>
      </c>
      <c r="AD25" s="92">
        <v>10</v>
      </c>
      <c r="AE25" s="95"/>
      <c r="AF25" s="92"/>
      <c r="AG25" s="97">
        <v>3369</v>
      </c>
      <c r="AH25" s="92">
        <v>6</v>
      </c>
      <c r="AI25" s="93">
        <v>37248</v>
      </c>
      <c r="AJ25" s="92">
        <v>2</v>
      </c>
      <c r="AK25" s="95">
        <v>4315</v>
      </c>
      <c r="AL25" s="92">
        <v>2</v>
      </c>
      <c r="AM25" s="98">
        <v>1007</v>
      </c>
      <c r="AN25" s="92">
        <v>1</v>
      </c>
      <c r="AO25" s="95">
        <v>1430</v>
      </c>
      <c r="AP25" s="92">
        <v>0</v>
      </c>
      <c r="AQ25" s="95">
        <v>506</v>
      </c>
      <c r="AR25" s="92">
        <v>0</v>
      </c>
      <c r="AS25" s="98">
        <v>1306</v>
      </c>
      <c r="AT25" s="92">
        <v>1</v>
      </c>
      <c r="AU25" s="93">
        <v>7969</v>
      </c>
      <c r="AV25" s="92">
        <v>7</v>
      </c>
      <c r="AW25" s="99">
        <v>47</v>
      </c>
      <c r="AX25" s="100" t="s">
        <v>73</v>
      </c>
      <c r="AY25" s="101" t="s">
        <v>74</v>
      </c>
    </row>
    <row r="26" spans="1:51" s="102" customFormat="1" ht="15.75" customHeight="1" x14ac:dyDescent="0.2">
      <c r="A26" s="103">
        <v>18</v>
      </c>
      <c r="B26" s="93">
        <v>26831</v>
      </c>
      <c r="C26" s="92">
        <v>4</v>
      </c>
      <c r="D26" s="93">
        <v>11932</v>
      </c>
      <c r="E26" s="92">
        <v>1</v>
      </c>
      <c r="F26" s="93">
        <v>31328</v>
      </c>
      <c r="G26" s="92">
        <v>2</v>
      </c>
      <c r="H26" s="93">
        <v>24588</v>
      </c>
      <c r="I26" s="92">
        <v>3</v>
      </c>
      <c r="J26" s="94">
        <v>20850</v>
      </c>
      <c r="K26" s="92">
        <v>2</v>
      </c>
      <c r="L26" s="93">
        <v>14945</v>
      </c>
      <c r="M26" s="92">
        <v>5</v>
      </c>
      <c r="N26" s="95">
        <v>13655</v>
      </c>
      <c r="O26" s="92">
        <v>4</v>
      </c>
      <c r="P26" s="95">
        <v>20481</v>
      </c>
      <c r="Q26" s="92">
        <v>3</v>
      </c>
      <c r="R26" s="95">
        <v>24389</v>
      </c>
      <c r="S26" s="92">
        <v>1</v>
      </c>
      <c r="T26" s="95">
        <v>599</v>
      </c>
      <c r="U26" s="92">
        <v>34</v>
      </c>
      <c r="V26" s="95">
        <v>3114</v>
      </c>
      <c r="W26" s="92">
        <v>0</v>
      </c>
      <c r="X26" s="95">
        <v>30047</v>
      </c>
      <c r="Y26" s="92">
        <v>0</v>
      </c>
      <c r="Z26" s="95">
        <v>12841</v>
      </c>
      <c r="AA26" s="92">
        <v>0</v>
      </c>
      <c r="AB26" s="92">
        <v>52</v>
      </c>
      <c r="AC26" s="93">
        <v>10421</v>
      </c>
      <c r="AD26" s="92">
        <v>11</v>
      </c>
      <c r="AE26" s="95"/>
      <c r="AF26" s="92"/>
      <c r="AG26" s="97">
        <v>3376</v>
      </c>
      <c r="AH26" s="92">
        <v>7</v>
      </c>
      <c r="AI26" s="93">
        <v>37251</v>
      </c>
      <c r="AJ26" s="92">
        <v>3</v>
      </c>
      <c r="AK26" s="95">
        <v>4318</v>
      </c>
      <c r="AL26" s="92">
        <v>3</v>
      </c>
      <c r="AM26" s="98">
        <v>1008</v>
      </c>
      <c r="AN26" s="92">
        <v>1</v>
      </c>
      <c r="AO26" s="95">
        <v>1431</v>
      </c>
      <c r="AP26" s="92">
        <v>1</v>
      </c>
      <c r="AQ26" s="95">
        <v>506</v>
      </c>
      <c r="AR26" s="92">
        <v>0</v>
      </c>
      <c r="AS26" s="98">
        <v>1307</v>
      </c>
      <c r="AT26" s="92">
        <v>1</v>
      </c>
      <c r="AU26" s="93">
        <v>7977</v>
      </c>
      <c r="AV26" s="92">
        <v>8</v>
      </c>
      <c r="AW26" s="99">
        <v>94</v>
      </c>
      <c r="AX26" s="100" t="s">
        <v>73</v>
      </c>
      <c r="AY26" s="101" t="s">
        <v>74</v>
      </c>
    </row>
    <row r="27" spans="1:51" s="102" customFormat="1" ht="15.75" customHeight="1" x14ac:dyDescent="0.2">
      <c r="A27" s="90">
        <v>19</v>
      </c>
      <c r="B27" s="93">
        <v>26834</v>
      </c>
      <c r="C27" s="92">
        <v>3</v>
      </c>
      <c r="D27" s="93">
        <v>11932</v>
      </c>
      <c r="E27" s="92">
        <v>0</v>
      </c>
      <c r="F27" s="93">
        <v>31330</v>
      </c>
      <c r="G27" s="92">
        <v>2</v>
      </c>
      <c r="H27" s="93">
        <v>24591</v>
      </c>
      <c r="I27" s="92">
        <v>3</v>
      </c>
      <c r="J27" s="94">
        <v>20851</v>
      </c>
      <c r="K27" s="92">
        <v>1</v>
      </c>
      <c r="L27" s="93">
        <v>14948</v>
      </c>
      <c r="M27" s="92">
        <v>3</v>
      </c>
      <c r="N27" s="95">
        <v>13656</v>
      </c>
      <c r="O27" s="92">
        <v>1</v>
      </c>
      <c r="P27" s="95">
        <v>20489</v>
      </c>
      <c r="Q27" s="92">
        <v>8</v>
      </c>
      <c r="R27" s="95">
        <v>24389</v>
      </c>
      <c r="S27" s="92">
        <v>0</v>
      </c>
      <c r="T27" s="95">
        <v>601</v>
      </c>
      <c r="U27" s="92">
        <v>2</v>
      </c>
      <c r="V27" s="95">
        <v>3114</v>
      </c>
      <c r="W27" s="92">
        <v>0</v>
      </c>
      <c r="X27" s="95">
        <v>30047</v>
      </c>
      <c r="Y27" s="92">
        <v>0</v>
      </c>
      <c r="Z27" s="95">
        <v>12841</v>
      </c>
      <c r="AA27" s="92">
        <v>0</v>
      </c>
      <c r="AB27" s="92">
        <v>18</v>
      </c>
      <c r="AC27" s="93">
        <v>10433</v>
      </c>
      <c r="AD27" s="92">
        <v>12</v>
      </c>
      <c r="AE27" s="95"/>
      <c r="AF27" s="92"/>
      <c r="AG27" s="97">
        <v>3385</v>
      </c>
      <c r="AH27" s="92">
        <v>9</v>
      </c>
      <c r="AI27" s="93">
        <v>37252</v>
      </c>
      <c r="AJ27" s="92">
        <v>1</v>
      </c>
      <c r="AK27" s="95">
        <v>4320</v>
      </c>
      <c r="AL27" s="92">
        <v>2</v>
      </c>
      <c r="AM27" s="98">
        <v>1009</v>
      </c>
      <c r="AN27" s="92">
        <v>1</v>
      </c>
      <c r="AO27" s="95">
        <v>1431</v>
      </c>
      <c r="AP27" s="92">
        <v>0</v>
      </c>
      <c r="AQ27" s="95">
        <v>506</v>
      </c>
      <c r="AR27" s="92">
        <v>0</v>
      </c>
      <c r="AS27" s="98">
        <v>1309</v>
      </c>
      <c r="AT27" s="92">
        <v>2</v>
      </c>
      <c r="AU27" s="93">
        <v>7986</v>
      </c>
      <c r="AV27" s="92">
        <v>9</v>
      </c>
      <c r="AW27" s="99">
        <v>59</v>
      </c>
      <c r="AX27" s="100" t="s">
        <v>73</v>
      </c>
      <c r="AY27" s="101" t="s">
        <v>74</v>
      </c>
    </row>
    <row r="28" spans="1:51" s="102" customFormat="1" ht="15.75" customHeight="1" x14ac:dyDescent="0.2">
      <c r="A28" s="103">
        <v>20</v>
      </c>
      <c r="B28" s="93">
        <v>26837</v>
      </c>
      <c r="C28" s="92">
        <v>3</v>
      </c>
      <c r="D28" s="93">
        <v>11933</v>
      </c>
      <c r="E28" s="92">
        <v>1</v>
      </c>
      <c r="F28" s="93">
        <v>31332</v>
      </c>
      <c r="G28" s="92">
        <v>2</v>
      </c>
      <c r="H28" s="93">
        <v>24593</v>
      </c>
      <c r="I28" s="92">
        <v>2</v>
      </c>
      <c r="J28" s="94">
        <v>20851</v>
      </c>
      <c r="K28" s="92">
        <v>0</v>
      </c>
      <c r="L28" s="93">
        <v>14950</v>
      </c>
      <c r="M28" s="92">
        <v>2</v>
      </c>
      <c r="N28" s="95">
        <v>13657</v>
      </c>
      <c r="O28" s="92">
        <v>1</v>
      </c>
      <c r="P28" s="95">
        <v>20491</v>
      </c>
      <c r="Q28" s="92">
        <v>2</v>
      </c>
      <c r="R28" s="95">
        <v>24396</v>
      </c>
      <c r="S28" s="92">
        <v>7</v>
      </c>
      <c r="T28" s="95">
        <v>603</v>
      </c>
      <c r="U28" s="92">
        <v>2</v>
      </c>
      <c r="V28" s="95">
        <v>3115</v>
      </c>
      <c r="W28" s="92">
        <v>1</v>
      </c>
      <c r="X28" s="95">
        <v>30059</v>
      </c>
      <c r="Y28" s="92">
        <v>12</v>
      </c>
      <c r="Z28" s="95">
        <v>12841</v>
      </c>
      <c r="AA28" s="92">
        <v>0</v>
      </c>
      <c r="AB28" s="92">
        <v>29</v>
      </c>
      <c r="AC28" s="93">
        <v>10444</v>
      </c>
      <c r="AD28" s="92">
        <v>11</v>
      </c>
      <c r="AE28" s="95"/>
      <c r="AF28" s="92"/>
      <c r="AG28" s="97">
        <v>3393</v>
      </c>
      <c r="AH28" s="92">
        <v>8</v>
      </c>
      <c r="AI28" s="93">
        <v>37253</v>
      </c>
      <c r="AJ28" s="92">
        <v>1</v>
      </c>
      <c r="AK28" s="211">
        <v>4323</v>
      </c>
      <c r="AL28" s="212">
        <f t="shared" ref="AL28" si="0">AK28-AK27</f>
        <v>3</v>
      </c>
      <c r="AM28" s="211">
        <v>1011</v>
      </c>
      <c r="AN28" s="212">
        <f t="shared" ref="AN28" si="1">AM28-AM27</f>
        <v>2</v>
      </c>
      <c r="AO28" s="211">
        <v>1431</v>
      </c>
      <c r="AP28" s="212">
        <f t="shared" ref="AP28" si="2">AO28-AO27</f>
        <v>0</v>
      </c>
      <c r="AQ28" s="211">
        <v>506</v>
      </c>
      <c r="AR28" s="212">
        <f t="shared" ref="AR28" si="3">AQ28-AQ27</f>
        <v>0</v>
      </c>
      <c r="AS28" s="211">
        <v>1310</v>
      </c>
      <c r="AT28" s="212">
        <f t="shared" ref="AT28" si="4">AS28-AS27</f>
        <v>1</v>
      </c>
      <c r="AU28" s="213">
        <v>7995</v>
      </c>
      <c r="AV28" s="212">
        <f t="shared" ref="AV28" si="5">AU28-AU27</f>
        <v>9</v>
      </c>
      <c r="AW28" s="99">
        <v>70</v>
      </c>
      <c r="AX28" s="100" t="s">
        <v>73</v>
      </c>
      <c r="AY28" s="101" t="s">
        <v>74</v>
      </c>
    </row>
    <row r="29" spans="1:51" s="102" customFormat="1" ht="15.75" customHeight="1" x14ac:dyDescent="0.2">
      <c r="A29" s="103">
        <v>21</v>
      </c>
      <c r="B29" s="93"/>
      <c r="C29" s="92"/>
      <c r="D29" s="93"/>
      <c r="E29" s="92"/>
      <c r="F29" s="93"/>
      <c r="G29" s="92"/>
      <c r="H29" s="93"/>
      <c r="I29" s="92"/>
      <c r="J29" s="94"/>
      <c r="K29" s="92"/>
      <c r="L29" s="93"/>
      <c r="M29" s="92"/>
      <c r="N29" s="95"/>
      <c r="O29" s="92"/>
      <c r="P29" s="95"/>
      <c r="Q29" s="92"/>
      <c r="R29" s="95"/>
      <c r="S29" s="92"/>
      <c r="T29" s="95"/>
      <c r="U29" s="92"/>
      <c r="V29" s="95"/>
      <c r="W29" s="92"/>
      <c r="X29" s="95"/>
      <c r="Y29" s="92"/>
      <c r="Z29" s="95"/>
      <c r="AA29" s="92"/>
      <c r="AB29" s="92"/>
      <c r="AC29" s="93"/>
      <c r="AD29" s="92"/>
      <c r="AE29" s="95"/>
      <c r="AF29" s="92"/>
      <c r="AG29" s="97"/>
      <c r="AH29" s="92"/>
      <c r="AI29" s="93"/>
      <c r="AJ29" s="92"/>
      <c r="AK29" s="95"/>
      <c r="AL29" s="92"/>
      <c r="AM29" s="98"/>
      <c r="AN29" s="92"/>
      <c r="AO29" s="95"/>
      <c r="AP29" s="92"/>
      <c r="AQ29" s="95"/>
      <c r="AR29" s="92"/>
      <c r="AS29" s="98"/>
      <c r="AT29" s="92"/>
      <c r="AU29" s="93"/>
      <c r="AV29" s="92"/>
      <c r="AW29" s="99"/>
      <c r="AX29" s="100" t="s">
        <v>73</v>
      </c>
      <c r="AY29" s="101" t="s">
        <v>74</v>
      </c>
    </row>
    <row r="30" spans="1:51" s="102" customFormat="1" ht="15.75" customHeight="1" x14ac:dyDescent="0.2">
      <c r="A30" s="90">
        <v>22</v>
      </c>
      <c r="B30" s="93"/>
      <c r="C30" s="92"/>
      <c r="D30" s="93"/>
      <c r="E30" s="92"/>
      <c r="F30" s="93"/>
      <c r="G30" s="92"/>
      <c r="H30" s="93"/>
      <c r="I30" s="92"/>
      <c r="J30" s="94"/>
      <c r="K30" s="92"/>
      <c r="L30" s="93"/>
      <c r="M30" s="92"/>
      <c r="N30" s="95"/>
      <c r="O30" s="92"/>
      <c r="P30" s="95"/>
      <c r="Q30" s="92"/>
      <c r="R30" s="95"/>
      <c r="S30" s="92"/>
      <c r="T30" s="95"/>
      <c r="U30" s="92"/>
      <c r="V30" s="95"/>
      <c r="W30" s="92"/>
      <c r="X30" s="95"/>
      <c r="Y30" s="92"/>
      <c r="Z30" s="95"/>
      <c r="AA30" s="92"/>
      <c r="AB30" s="92"/>
      <c r="AC30" s="95"/>
      <c r="AD30" s="92"/>
      <c r="AE30" s="95"/>
      <c r="AF30" s="92"/>
      <c r="AG30" s="97"/>
      <c r="AH30" s="92"/>
      <c r="AI30" s="93"/>
      <c r="AJ30" s="92"/>
      <c r="AK30" s="95"/>
      <c r="AL30" s="92"/>
      <c r="AM30" s="98"/>
      <c r="AN30" s="92"/>
      <c r="AO30" s="95"/>
      <c r="AP30" s="92"/>
      <c r="AQ30" s="95"/>
      <c r="AR30" s="92"/>
      <c r="AS30" s="98"/>
      <c r="AT30" s="92"/>
      <c r="AU30" s="93"/>
      <c r="AV30" s="92"/>
      <c r="AW30" s="99"/>
      <c r="AX30" s="100" t="s">
        <v>73</v>
      </c>
      <c r="AY30" s="101" t="s">
        <v>74</v>
      </c>
    </row>
    <row r="31" spans="1:51" s="102" customFormat="1" ht="15.75" customHeight="1" x14ac:dyDescent="0.2">
      <c r="A31" s="103">
        <v>23</v>
      </c>
      <c r="B31" s="93"/>
      <c r="C31" s="92"/>
      <c r="D31" s="93"/>
      <c r="E31" s="92"/>
      <c r="F31" s="93"/>
      <c r="G31" s="92"/>
      <c r="H31" s="93"/>
      <c r="I31" s="92"/>
      <c r="J31" s="94"/>
      <c r="K31" s="92"/>
      <c r="L31" s="93"/>
      <c r="M31" s="92"/>
      <c r="N31" s="95"/>
      <c r="O31" s="92"/>
      <c r="P31" s="95"/>
      <c r="Q31" s="92"/>
      <c r="R31" s="95"/>
      <c r="S31" s="92"/>
      <c r="T31" s="95"/>
      <c r="U31" s="92"/>
      <c r="V31" s="95"/>
      <c r="W31" s="92"/>
      <c r="X31" s="95"/>
      <c r="Y31" s="92"/>
      <c r="Z31" s="95"/>
      <c r="AA31" s="92"/>
      <c r="AB31" s="92"/>
      <c r="AC31" s="95"/>
      <c r="AD31" s="92"/>
      <c r="AE31" s="95"/>
      <c r="AF31" s="92"/>
      <c r="AG31" s="97"/>
      <c r="AH31" s="92"/>
      <c r="AI31" s="93"/>
      <c r="AJ31" s="92"/>
      <c r="AK31" s="95"/>
      <c r="AL31" s="92"/>
      <c r="AM31" s="98"/>
      <c r="AN31" s="92"/>
      <c r="AO31" s="95"/>
      <c r="AP31" s="92"/>
      <c r="AQ31" s="95"/>
      <c r="AR31" s="92"/>
      <c r="AS31" s="98"/>
      <c r="AT31" s="92"/>
      <c r="AU31" s="93"/>
      <c r="AV31" s="92"/>
      <c r="AW31" s="99"/>
      <c r="AX31" s="100" t="s">
        <v>73</v>
      </c>
      <c r="AY31" s="101" t="s">
        <v>74</v>
      </c>
    </row>
    <row r="32" spans="1:51" s="102" customFormat="1" ht="15.75" customHeight="1" x14ac:dyDescent="0.2">
      <c r="A32" s="103">
        <v>24</v>
      </c>
      <c r="B32" s="93"/>
      <c r="C32" s="92"/>
      <c r="D32" s="93"/>
      <c r="E32" s="92"/>
      <c r="F32" s="93"/>
      <c r="G32" s="92"/>
      <c r="H32" s="93"/>
      <c r="I32" s="92"/>
      <c r="J32" s="94"/>
      <c r="K32" s="92"/>
      <c r="L32" s="93"/>
      <c r="M32" s="92"/>
      <c r="N32" s="95"/>
      <c r="O32" s="92"/>
      <c r="P32" s="95"/>
      <c r="Q32" s="92"/>
      <c r="R32" s="95"/>
      <c r="S32" s="92"/>
      <c r="T32" s="95"/>
      <c r="U32" s="92"/>
      <c r="V32" s="95"/>
      <c r="W32" s="92"/>
      <c r="X32" s="95"/>
      <c r="Y32" s="92"/>
      <c r="Z32" s="95"/>
      <c r="AA32" s="92"/>
      <c r="AB32" s="92"/>
      <c r="AC32" s="95"/>
      <c r="AD32" s="92"/>
      <c r="AE32" s="95"/>
      <c r="AF32" s="92"/>
      <c r="AG32" s="97"/>
      <c r="AH32" s="92"/>
      <c r="AI32" s="93"/>
      <c r="AJ32" s="92"/>
      <c r="AK32" s="95"/>
      <c r="AL32" s="92"/>
      <c r="AM32" s="98"/>
      <c r="AN32" s="92"/>
      <c r="AO32" s="95"/>
      <c r="AP32" s="92"/>
      <c r="AQ32" s="95"/>
      <c r="AR32" s="92"/>
      <c r="AS32" s="98"/>
      <c r="AT32" s="92"/>
      <c r="AU32" s="93"/>
      <c r="AV32" s="92"/>
      <c r="AW32" s="99"/>
      <c r="AX32" s="100" t="s">
        <v>73</v>
      </c>
      <c r="AY32" s="101" t="s">
        <v>74</v>
      </c>
    </row>
    <row r="33" spans="1:51" s="102" customFormat="1" ht="15.75" customHeight="1" x14ac:dyDescent="0.2">
      <c r="A33" s="90">
        <v>25</v>
      </c>
      <c r="B33" s="93"/>
      <c r="C33" s="92"/>
      <c r="D33" s="93"/>
      <c r="E33" s="92"/>
      <c r="F33" s="93"/>
      <c r="G33" s="92"/>
      <c r="H33" s="93"/>
      <c r="I33" s="92"/>
      <c r="J33" s="94"/>
      <c r="K33" s="92"/>
      <c r="L33" s="93"/>
      <c r="M33" s="92"/>
      <c r="N33" s="95"/>
      <c r="O33" s="92"/>
      <c r="P33" s="95"/>
      <c r="Q33" s="92"/>
      <c r="R33" s="95"/>
      <c r="S33" s="92"/>
      <c r="T33" s="95"/>
      <c r="U33" s="92"/>
      <c r="V33" s="95"/>
      <c r="W33" s="92"/>
      <c r="X33" s="95"/>
      <c r="Y33" s="92"/>
      <c r="Z33" s="95"/>
      <c r="AA33" s="92"/>
      <c r="AB33" s="92"/>
      <c r="AC33" s="95"/>
      <c r="AD33" s="92"/>
      <c r="AE33" s="95"/>
      <c r="AF33" s="92"/>
      <c r="AG33" s="97"/>
      <c r="AH33" s="92"/>
      <c r="AI33" s="93"/>
      <c r="AJ33" s="92"/>
      <c r="AK33" s="95"/>
      <c r="AL33" s="92"/>
      <c r="AM33" s="98"/>
      <c r="AN33" s="92"/>
      <c r="AO33" s="95"/>
      <c r="AP33" s="92"/>
      <c r="AQ33" s="95"/>
      <c r="AR33" s="92"/>
      <c r="AS33" s="98"/>
      <c r="AT33" s="92"/>
      <c r="AU33" s="93"/>
      <c r="AV33" s="92"/>
      <c r="AW33" s="99"/>
      <c r="AX33" s="100" t="s">
        <v>73</v>
      </c>
      <c r="AY33" s="101" t="s">
        <v>74</v>
      </c>
    </row>
    <row r="34" spans="1:51" s="102" customFormat="1" ht="15.75" customHeight="1" x14ac:dyDescent="0.2">
      <c r="A34" s="103">
        <v>26</v>
      </c>
      <c r="B34" s="93"/>
      <c r="C34" s="92"/>
      <c r="D34" s="93"/>
      <c r="E34" s="92"/>
      <c r="F34" s="93"/>
      <c r="G34" s="92"/>
      <c r="H34" s="93"/>
      <c r="I34" s="92"/>
      <c r="J34" s="94"/>
      <c r="K34" s="92"/>
      <c r="L34" s="93"/>
      <c r="M34" s="92"/>
      <c r="N34" s="95"/>
      <c r="O34" s="92"/>
      <c r="P34" s="95"/>
      <c r="Q34" s="92"/>
      <c r="R34" s="95"/>
      <c r="S34" s="92"/>
      <c r="T34" s="95"/>
      <c r="U34" s="92"/>
      <c r="V34" s="95"/>
      <c r="W34" s="92"/>
      <c r="X34" s="95"/>
      <c r="Y34" s="92"/>
      <c r="Z34" s="95"/>
      <c r="AA34" s="92"/>
      <c r="AB34" s="92"/>
      <c r="AC34" s="95"/>
      <c r="AD34" s="92"/>
      <c r="AE34" s="95"/>
      <c r="AF34" s="92"/>
      <c r="AG34" s="97"/>
      <c r="AH34" s="92"/>
      <c r="AI34" s="93"/>
      <c r="AJ34" s="92"/>
      <c r="AK34" s="95"/>
      <c r="AL34" s="92"/>
      <c r="AM34" s="98"/>
      <c r="AN34" s="92"/>
      <c r="AO34" s="95"/>
      <c r="AP34" s="92"/>
      <c r="AQ34" s="95"/>
      <c r="AR34" s="92"/>
      <c r="AS34" s="98"/>
      <c r="AT34" s="92"/>
      <c r="AU34" s="93"/>
      <c r="AV34" s="92"/>
      <c r="AW34" s="99"/>
      <c r="AX34" s="100" t="s">
        <v>73</v>
      </c>
      <c r="AY34" s="101" t="s">
        <v>74</v>
      </c>
    </row>
    <row r="35" spans="1:51" s="102" customFormat="1" ht="15.75" customHeight="1" x14ac:dyDescent="0.2">
      <c r="A35" s="103">
        <v>27</v>
      </c>
      <c r="B35" s="93"/>
      <c r="C35" s="92"/>
      <c r="D35" s="93"/>
      <c r="E35" s="92"/>
      <c r="F35" s="93"/>
      <c r="G35" s="92"/>
      <c r="H35" s="93"/>
      <c r="I35" s="92"/>
      <c r="J35" s="94"/>
      <c r="K35" s="92"/>
      <c r="L35" s="93"/>
      <c r="M35" s="92"/>
      <c r="N35" s="95"/>
      <c r="O35" s="92"/>
      <c r="P35" s="95"/>
      <c r="Q35" s="92"/>
      <c r="R35" s="95"/>
      <c r="S35" s="92"/>
      <c r="T35" s="95"/>
      <c r="U35" s="92"/>
      <c r="V35" s="95"/>
      <c r="W35" s="92"/>
      <c r="X35" s="95"/>
      <c r="Y35" s="92"/>
      <c r="Z35" s="95"/>
      <c r="AA35" s="92"/>
      <c r="AB35" s="92"/>
      <c r="AC35" s="95"/>
      <c r="AD35" s="92"/>
      <c r="AE35" s="95"/>
      <c r="AF35" s="92"/>
      <c r="AG35" s="97"/>
      <c r="AH35" s="92"/>
      <c r="AI35" s="93"/>
      <c r="AJ35" s="92"/>
      <c r="AK35" s="95"/>
      <c r="AL35" s="92"/>
      <c r="AM35" s="98"/>
      <c r="AN35" s="92"/>
      <c r="AO35" s="95"/>
      <c r="AP35" s="92"/>
      <c r="AQ35" s="95"/>
      <c r="AR35" s="92"/>
      <c r="AS35" s="98"/>
      <c r="AT35" s="92"/>
      <c r="AU35" s="93"/>
      <c r="AV35" s="92"/>
      <c r="AW35" s="99"/>
      <c r="AX35" s="100" t="s">
        <v>73</v>
      </c>
      <c r="AY35" s="101" t="s">
        <v>74</v>
      </c>
    </row>
    <row r="36" spans="1:51" s="102" customFormat="1" ht="15.75" customHeight="1" x14ac:dyDescent="0.2">
      <c r="A36" s="90">
        <v>28</v>
      </c>
      <c r="B36" s="93"/>
      <c r="C36" s="92"/>
      <c r="D36" s="93"/>
      <c r="E36" s="92"/>
      <c r="F36" s="93"/>
      <c r="G36" s="92"/>
      <c r="H36" s="93"/>
      <c r="I36" s="92"/>
      <c r="J36" s="94"/>
      <c r="K36" s="92"/>
      <c r="L36" s="93"/>
      <c r="M36" s="92"/>
      <c r="N36" s="95"/>
      <c r="O36" s="92"/>
      <c r="P36" s="95"/>
      <c r="Q36" s="92"/>
      <c r="R36" s="95"/>
      <c r="S36" s="92"/>
      <c r="T36" s="95"/>
      <c r="U36" s="92"/>
      <c r="V36" s="95"/>
      <c r="W36" s="92"/>
      <c r="X36" s="93"/>
      <c r="Y36" s="92"/>
      <c r="Z36" s="95"/>
      <c r="AA36" s="92"/>
      <c r="AB36" s="92"/>
      <c r="AC36" s="95"/>
      <c r="AD36" s="92"/>
      <c r="AE36" s="95"/>
      <c r="AF36" s="92"/>
      <c r="AG36" s="97"/>
      <c r="AH36" s="92"/>
      <c r="AI36" s="93"/>
      <c r="AJ36" s="92"/>
      <c r="AK36" s="95"/>
      <c r="AL36" s="92"/>
      <c r="AM36" s="98"/>
      <c r="AN36" s="92"/>
      <c r="AO36" s="95"/>
      <c r="AP36" s="92"/>
      <c r="AQ36" s="95"/>
      <c r="AR36" s="92"/>
      <c r="AS36" s="98"/>
      <c r="AT36" s="92"/>
      <c r="AU36" s="93"/>
      <c r="AV36" s="92"/>
      <c r="AW36" s="99"/>
      <c r="AX36" s="100" t="s">
        <v>73</v>
      </c>
      <c r="AY36" s="101" t="s">
        <v>74</v>
      </c>
    </row>
    <row r="37" spans="1:51" s="102" customFormat="1" ht="15.75" customHeight="1" x14ac:dyDescent="0.2">
      <c r="A37" s="103">
        <v>29</v>
      </c>
      <c r="B37" s="93"/>
      <c r="C37" s="92"/>
      <c r="D37" s="93"/>
      <c r="E37" s="92"/>
      <c r="F37" s="93"/>
      <c r="G37" s="92"/>
      <c r="H37" s="93"/>
      <c r="I37" s="92"/>
      <c r="J37" s="94"/>
      <c r="K37" s="92"/>
      <c r="L37" s="93"/>
      <c r="M37" s="92"/>
      <c r="N37" s="95"/>
      <c r="O37" s="92"/>
      <c r="P37" s="95"/>
      <c r="Q37" s="92"/>
      <c r="R37" s="95"/>
      <c r="S37" s="92"/>
      <c r="T37" s="95"/>
      <c r="U37" s="92"/>
      <c r="V37" s="93"/>
      <c r="W37" s="92"/>
      <c r="X37" s="93"/>
      <c r="Y37" s="92"/>
      <c r="Z37" s="95"/>
      <c r="AA37" s="92"/>
      <c r="AB37" s="92"/>
      <c r="AC37" s="95"/>
      <c r="AD37" s="92"/>
      <c r="AE37" s="95"/>
      <c r="AF37" s="92"/>
      <c r="AG37" s="97"/>
      <c r="AH37" s="92"/>
      <c r="AI37" s="93"/>
      <c r="AJ37" s="92"/>
      <c r="AK37" s="95"/>
      <c r="AL37" s="92"/>
      <c r="AM37" s="98"/>
      <c r="AN37" s="92"/>
      <c r="AO37" s="95"/>
      <c r="AP37" s="92"/>
      <c r="AQ37" s="95"/>
      <c r="AR37" s="92"/>
      <c r="AS37" s="98"/>
      <c r="AT37" s="92"/>
      <c r="AU37" s="93"/>
      <c r="AV37" s="92"/>
      <c r="AW37" s="99"/>
      <c r="AX37" s="100" t="s">
        <v>73</v>
      </c>
      <c r="AY37" s="101" t="s">
        <v>74</v>
      </c>
    </row>
    <row r="38" spans="1:51" s="102" customFormat="1" ht="15.75" customHeight="1" x14ac:dyDescent="0.2">
      <c r="A38" s="103">
        <v>30</v>
      </c>
      <c r="B38" s="93"/>
      <c r="C38" s="92"/>
      <c r="D38" s="93"/>
      <c r="E38" s="92"/>
      <c r="F38" s="93"/>
      <c r="G38" s="92"/>
      <c r="H38" s="93"/>
      <c r="I38" s="92"/>
      <c r="J38" s="94"/>
      <c r="K38" s="92"/>
      <c r="L38" s="93"/>
      <c r="M38" s="92"/>
      <c r="N38" s="95"/>
      <c r="O38" s="92"/>
      <c r="P38" s="95"/>
      <c r="Q38" s="92"/>
      <c r="R38" s="95"/>
      <c r="S38" s="92"/>
      <c r="T38" s="95"/>
      <c r="U38" s="92"/>
      <c r="V38" s="93"/>
      <c r="W38" s="92"/>
      <c r="X38" s="93"/>
      <c r="Y38" s="92"/>
      <c r="Z38" s="95"/>
      <c r="AA38" s="92"/>
      <c r="AB38" s="92"/>
      <c r="AC38" s="95"/>
      <c r="AD38" s="92"/>
      <c r="AE38" s="95"/>
      <c r="AF38" s="92"/>
      <c r="AG38" s="97"/>
      <c r="AH38" s="92"/>
      <c r="AI38" s="93"/>
      <c r="AJ38" s="92"/>
      <c r="AK38" s="95"/>
      <c r="AL38" s="92"/>
      <c r="AM38" s="98"/>
      <c r="AN38" s="92"/>
      <c r="AO38" s="95"/>
      <c r="AP38" s="92"/>
      <c r="AQ38" s="95"/>
      <c r="AR38" s="92"/>
      <c r="AS38" s="98"/>
      <c r="AT38" s="92"/>
      <c r="AU38" s="93"/>
      <c r="AV38" s="92"/>
      <c r="AW38" s="99"/>
      <c r="AX38" s="100" t="s">
        <v>73</v>
      </c>
      <c r="AY38" s="101" t="s">
        <v>74</v>
      </c>
    </row>
    <row r="39" spans="1:51" s="102" customFormat="1" ht="15.75" hidden="1" customHeight="1" x14ac:dyDescent="0.2">
      <c r="A39" s="173">
        <v>30</v>
      </c>
      <c r="B39" s="172"/>
      <c r="C39" s="92"/>
      <c r="D39" s="93"/>
      <c r="E39" s="92"/>
      <c r="F39" s="93"/>
      <c r="G39" s="92"/>
      <c r="H39" s="93"/>
      <c r="I39" s="92"/>
      <c r="J39" s="94"/>
      <c r="K39" s="92"/>
      <c r="L39" s="93"/>
      <c r="M39" s="92"/>
      <c r="N39" s="95"/>
      <c r="O39" s="92"/>
      <c r="P39" s="95"/>
      <c r="Q39" s="92"/>
      <c r="R39" s="95"/>
      <c r="S39" s="92"/>
      <c r="T39" s="95"/>
      <c r="U39" s="92"/>
      <c r="V39" s="93"/>
      <c r="W39" s="92"/>
      <c r="X39" s="93"/>
      <c r="Y39" s="92"/>
      <c r="Z39" s="95"/>
      <c r="AA39" s="92"/>
      <c r="AB39" s="92"/>
      <c r="AC39" s="95"/>
      <c r="AD39" s="92"/>
      <c r="AE39" s="95"/>
      <c r="AF39" s="92"/>
      <c r="AG39" s="108"/>
      <c r="AH39" s="92"/>
      <c r="AI39" s="93"/>
      <c r="AJ39" s="92"/>
      <c r="AK39" s="95"/>
      <c r="AL39" s="92"/>
      <c r="AM39" s="95"/>
      <c r="AN39" s="92"/>
      <c r="AO39" s="95"/>
      <c r="AP39" s="92"/>
      <c r="AQ39" s="95"/>
      <c r="AR39" s="92"/>
      <c r="AS39" s="95"/>
      <c r="AT39" s="92"/>
      <c r="AU39" s="93"/>
      <c r="AV39" s="92"/>
      <c r="AW39" s="99"/>
      <c r="AX39" s="100"/>
      <c r="AY39" s="101"/>
    </row>
    <row r="40" spans="1:51" s="102" customFormat="1" ht="15.75" customHeight="1" x14ac:dyDescent="0.2">
      <c r="A40" s="152">
        <v>31</v>
      </c>
      <c r="B40" s="144"/>
      <c r="C40" s="92"/>
      <c r="D40" s="93"/>
      <c r="E40" s="92"/>
      <c r="F40" s="144"/>
      <c r="G40" s="145"/>
      <c r="H40" s="144"/>
      <c r="I40" s="145"/>
      <c r="J40" s="146"/>
      <c r="K40" s="145"/>
      <c r="L40" s="144"/>
      <c r="M40" s="145"/>
      <c r="N40" s="147"/>
      <c r="O40" s="92"/>
      <c r="P40" s="147"/>
      <c r="Q40" s="92"/>
      <c r="R40" s="147"/>
      <c r="S40" s="92"/>
      <c r="T40" s="147"/>
      <c r="U40" s="92"/>
      <c r="V40" s="144"/>
      <c r="W40" s="92"/>
      <c r="X40" s="144"/>
      <c r="Y40" s="92"/>
      <c r="Z40" s="95"/>
      <c r="AA40" s="92"/>
      <c r="AB40" s="145"/>
      <c r="AC40" s="147"/>
      <c r="AD40" s="92"/>
      <c r="AE40" s="147"/>
      <c r="AF40" s="145"/>
      <c r="AG40" s="97"/>
      <c r="AH40" s="92"/>
      <c r="AI40" s="144"/>
      <c r="AJ40" s="92"/>
      <c r="AK40" s="147"/>
      <c r="AL40" s="92"/>
      <c r="AM40" s="147"/>
      <c r="AN40" s="92"/>
      <c r="AO40" s="147"/>
      <c r="AP40" s="92"/>
      <c r="AQ40" s="147"/>
      <c r="AR40" s="92"/>
      <c r="AS40" s="147"/>
      <c r="AT40" s="92"/>
      <c r="AU40" s="144"/>
      <c r="AV40" s="92"/>
      <c r="AW40" s="148"/>
      <c r="AX40" s="100"/>
      <c r="AY40" s="101"/>
    </row>
    <row r="41" spans="1:51" s="102" customFormat="1" ht="15.75" customHeight="1" thickBot="1" x14ac:dyDescent="0.25">
      <c r="A41" s="143" t="s">
        <v>17</v>
      </c>
      <c r="B41" s="174"/>
      <c r="C41" s="150"/>
      <c r="D41" s="149"/>
      <c r="E41" s="150"/>
      <c r="F41" s="149"/>
      <c r="G41" s="150"/>
      <c r="H41" s="149"/>
      <c r="I41" s="150"/>
      <c r="J41" s="151"/>
      <c r="K41" s="150"/>
      <c r="L41" s="149"/>
      <c r="M41" s="150"/>
      <c r="N41" s="152"/>
      <c r="O41" s="150"/>
      <c r="P41" s="152"/>
      <c r="Q41" s="150"/>
      <c r="R41" s="152"/>
      <c r="S41" s="150"/>
      <c r="T41" s="152"/>
      <c r="U41" s="150"/>
      <c r="V41" s="152"/>
      <c r="W41" s="150"/>
      <c r="X41" s="152"/>
      <c r="Y41" s="150"/>
      <c r="Z41" s="152"/>
      <c r="AA41" s="150"/>
      <c r="AB41" s="150"/>
      <c r="AC41" s="152"/>
      <c r="AD41" s="150"/>
      <c r="AE41" s="152"/>
      <c r="AF41" s="150"/>
      <c r="AG41" s="153"/>
      <c r="AH41" s="150"/>
      <c r="AI41" s="154"/>
      <c r="AJ41" s="150"/>
      <c r="AK41" s="155"/>
      <c r="AL41" s="150"/>
      <c r="AM41" s="155"/>
      <c r="AN41" s="150"/>
      <c r="AO41" s="155"/>
      <c r="AP41" s="150"/>
      <c r="AQ41" s="155"/>
      <c r="AR41" s="150"/>
      <c r="AS41" s="155"/>
      <c r="AT41" s="150"/>
      <c r="AU41" s="154"/>
      <c r="AV41" s="150"/>
      <c r="AW41" s="148"/>
      <c r="AX41" s="100" t="s">
        <v>73</v>
      </c>
      <c r="AY41" s="101" t="s">
        <v>74</v>
      </c>
    </row>
    <row r="42" spans="1:51" s="102" customFormat="1" ht="12.75" customHeight="1" x14ac:dyDescent="0.2">
      <c r="A42" s="45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10"/>
      <c r="T42" s="110"/>
      <c r="U42" s="110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51"/>
      <c r="AH42" s="51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51"/>
      <c r="AU42" s="45"/>
      <c r="AV42" s="45"/>
      <c r="AW42" s="51"/>
    </row>
    <row r="43" spans="1:51" s="102" customFormat="1" ht="15" customHeight="1" x14ac:dyDescent="0.2">
      <c r="A43" s="45"/>
      <c r="B43" s="110"/>
      <c r="C43" s="110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45"/>
      <c r="P43" s="109"/>
      <c r="Q43" s="109"/>
      <c r="R43" s="110"/>
      <c r="S43" s="110"/>
      <c r="T43" s="110"/>
      <c r="U43" s="110"/>
      <c r="V43" s="111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51"/>
      <c r="AH43" s="51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51"/>
      <c r="AU43" s="45"/>
      <c r="AV43" s="45"/>
      <c r="AW43" s="51"/>
    </row>
    <row r="44" spans="1:51" s="102" customFormat="1" ht="15" customHeight="1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</row>
    <row r="45" spans="1:51" s="102" customFormat="1" ht="18" customHeight="1" x14ac:dyDescent="0.3">
      <c r="A45" s="112" t="s">
        <v>75</v>
      </c>
      <c r="B45" s="113"/>
      <c r="C45" s="114"/>
      <c r="D45" s="45"/>
      <c r="E45" s="45"/>
      <c r="F45" s="45"/>
      <c r="G45" s="50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</row>
    <row r="46" spans="1:51" s="102" customFormat="1" ht="18" customHeight="1" x14ac:dyDescent="0.3">
      <c r="A46" s="115"/>
      <c r="B46" s="116"/>
      <c r="C46" s="117"/>
      <c r="D46" s="118"/>
      <c r="E46" s="118"/>
      <c r="F46" s="118"/>
      <c r="G46" s="50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</row>
    <row r="47" spans="1:51" ht="18" customHeight="1" x14ac:dyDescent="0.25">
      <c r="B47" s="119"/>
      <c r="G47" s="50"/>
      <c r="AH47" s="46"/>
      <c r="AW47" s="46"/>
    </row>
    <row r="48" spans="1:51" ht="18" customHeight="1" x14ac:dyDescent="0.25">
      <c r="B48" s="120"/>
      <c r="G48" s="50"/>
      <c r="AH48" s="46"/>
      <c r="AW48" s="46"/>
    </row>
    <row r="49" spans="2:49" ht="18" customHeight="1" x14ac:dyDescent="0.25">
      <c r="B49" s="119"/>
      <c r="AH49" s="46"/>
      <c r="AW49" s="46"/>
    </row>
    <row r="50" spans="2:49" ht="18" customHeight="1" x14ac:dyDescent="0.25">
      <c r="B50" s="121"/>
      <c r="AH50" s="46"/>
      <c r="AW50" s="46"/>
    </row>
    <row r="51" spans="2:49" ht="18" customHeight="1" x14ac:dyDescent="0.25">
      <c r="B51" s="121"/>
      <c r="AH51" s="46"/>
      <c r="AW51" s="46"/>
    </row>
    <row r="52" spans="2:49" ht="18" customHeight="1" x14ac:dyDescent="0.25">
      <c r="AH52" s="46"/>
      <c r="AW52" s="46"/>
    </row>
    <row r="53" spans="2:49" ht="18" customHeight="1" x14ac:dyDescent="0.25">
      <c r="AH53" s="46"/>
      <c r="AW53" s="46"/>
    </row>
    <row r="54" spans="2:49" ht="18" customHeight="1" x14ac:dyDescent="0.25">
      <c r="AH54" s="46"/>
      <c r="AW54" s="46"/>
    </row>
    <row r="55" spans="2:49" ht="18" customHeight="1" x14ac:dyDescent="0.25"/>
    <row r="56" spans="2:49" ht="18" customHeight="1" x14ac:dyDescent="0.25"/>
    <row r="57" spans="2:49" ht="18" customHeight="1" x14ac:dyDescent="0.25"/>
  </sheetData>
  <mergeCells count="2">
    <mergeCell ref="I4:R4"/>
    <mergeCell ref="D6:F6"/>
  </mergeCells>
  <conditionalFormatting sqref="M9:M31 C9:C30 E9:E31 I9:I31 K9:K31 K40 I40 G40 M40 O9:O40 Q9:Q40 S9:S40 U9:U40 G9:G31 W9:W40 Y9:Y40 AA9:AA40 AD9:AD40 AH9:AH40 AJ9:AJ40 AV9:AV27 AV29:AV40">
    <cfRule type="cellIs" dxfId="14" priority="23" operator="greaterThan">
      <formula>15</formula>
    </cfRule>
  </conditionalFormatting>
  <conditionalFormatting sqref="G29 E29 C9:C30 U9:U40 AD9:AD40 AJ9:AJ40">
    <cfRule type="cellIs" dxfId="13" priority="22" operator="greaterThan">
      <formula>15</formula>
    </cfRule>
  </conditionalFormatting>
  <conditionalFormatting sqref="C9:C30 S9:S40 Y9:Y40 AD9:AD40">
    <cfRule type="cellIs" dxfId="12" priority="20" operator="greaterThan">
      <formula>15</formula>
    </cfRule>
    <cfRule type="cellIs" dxfId="11" priority="21" operator="greaterThan">
      <formula>15</formula>
    </cfRule>
  </conditionalFormatting>
  <conditionalFormatting sqref="AJ17">
    <cfRule type="cellIs" dxfId="10" priority="19" operator="greaterThan">
      <formula>54</formula>
    </cfRule>
  </conditionalFormatting>
  <conditionalFormatting sqref="U9:U40">
    <cfRule type="cellIs" dxfId="9" priority="18" operator="greaterThan">
      <formula>10</formula>
    </cfRule>
  </conditionalFormatting>
  <conditionalFormatting sqref="AD17:AD29">
    <cfRule type="cellIs" dxfId="8" priority="17" operator="greaterThan">
      <formula>34</formula>
    </cfRule>
  </conditionalFormatting>
  <conditionalFormatting sqref="C30">
    <cfRule type="cellIs" dxfId="7" priority="15" operator="greaterThan">
      <formula>15</formula>
    </cfRule>
    <cfRule type="cellIs" dxfId="6" priority="16" operator="greaterThan">
      <formula>" 20 15"</formula>
    </cfRule>
  </conditionalFormatting>
  <conditionalFormatting sqref="M32:M39 G32:G39 I32:I39 K32:K39 E32:E40">
    <cfRule type="cellIs" dxfId="5" priority="10" operator="greaterThan">
      <formula>15</formula>
    </cfRule>
  </conditionalFormatting>
  <conditionalFormatting sqref="C31:C40">
    <cfRule type="cellIs" dxfId="4" priority="5" operator="greaterThan">
      <formula>15</formula>
    </cfRule>
  </conditionalFormatting>
  <conditionalFormatting sqref="C31:C40">
    <cfRule type="cellIs" dxfId="3" priority="4" operator="greaterThan">
      <formula>15</formula>
    </cfRule>
  </conditionalFormatting>
  <conditionalFormatting sqref="C31:C40">
    <cfRule type="cellIs" dxfId="2" priority="2" operator="greaterThan">
      <formula>15</formula>
    </cfRule>
    <cfRule type="cellIs" dxfId="1" priority="3" operator="greaterThan">
      <formula>15</formula>
    </cfRule>
  </conditionalFormatting>
  <conditionalFormatting sqref="AV28">
    <cfRule type="cellIs" dxfId="0" priority="1" operator="greaterThan">
      <formula>15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2021-01-21T06:23:42Z</dcterms:modified>
  <cp:category/>
  <cp:contentStatus/>
</cp:coreProperties>
</file>