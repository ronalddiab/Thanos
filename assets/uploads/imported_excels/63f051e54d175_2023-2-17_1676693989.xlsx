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9180" windowHeight="8380" tabRatio="762" firstSheet="1"/>
  </bookViews>
  <sheets>
    <sheet name="TOTAL" sheetId="11" r:id="rId1"/>
    <sheet name="FS Jimbaran May 2021" sheetId="14" r:id="rId2"/>
    <sheet name="RNs &amp; Covers May 2021" sheetId="10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14" l="1"/>
  <c r="R47" i="14"/>
  <c r="J55" i="14" s="1"/>
  <c r="Q47" i="14"/>
  <c r="I55" i="14" s="1"/>
  <c r="B38" i="10"/>
  <c r="AL42" i="14"/>
  <c r="AI42" i="14"/>
  <c r="AG42" i="14"/>
  <c r="AA42" i="14"/>
  <c r="AB42" i="14"/>
  <c r="V42" i="14"/>
  <c r="N42" i="14"/>
  <c r="P42" i="14"/>
  <c r="O42" i="14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E32" i="11"/>
  <c r="F32" i="11"/>
  <c r="G32" i="11"/>
  <c r="H32" i="11"/>
  <c r="I32" i="11"/>
  <c r="J32" i="11"/>
  <c r="K32" i="11"/>
  <c r="L32" i="11"/>
  <c r="AG41" i="14"/>
  <c r="AG32" i="14"/>
  <c r="AG33" i="14"/>
  <c r="AG34" i="14"/>
  <c r="AG35" i="14"/>
  <c r="AG36" i="14"/>
  <c r="AG37" i="14"/>
  <c r="AG38" i="14"/>
  <c r="AG39" i="14"/>
  <c r="AG40" i="14"/>
  <c r="N32" i="14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/>
  <c r="AI40" i="14"/>
  <c r="AL40" i="14"/>
  <c r="AL41" i="14"/>
  <c r="AI41" i="14"/>
  <c r="AA40" i="14"/>
  <c r="AB40" i="14"/>
  <c r="AA41" i="14"/>
  <c r="AB41" i="14"/>
  <c r="V40" i="14"/>
  <c r="V41" i="14"/>
  <c r="P40" i="14"/>
  <c r="P41" i="14"/>
  <c r="I40" i="14"/>
  <c r="I41" i="14"/>
  <c r="O41" i="14"/>
  <c r="F31" i="11"/>
  <c r="O40" i="14"/>
  <c r="F30" i="1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/>
  <c r="V34" i="14"/>
  <c r="V35" i="14"/>
  <c r="V36" i="14"/>
  <c r="V37" i="14"/>
  <c r="V38" i="14"/>
  <c r="V39" i="14"/>
  <c r="V24" i="14"/>
  <c r="J21" i="1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1" i="14"/>
  <c r="AA32" i="14"/>
  <c r="AA33" i="14"/>
  <c r="AA34" i="14"/>
  <c r="AA35" i="14"/>
  <c r="AA36" i="14"/>
  <c r="AA37" i="14"/>
  <c r="AA38" i="14"/>
  <c r="AA39" i="14"/>
  <c r="V31" i="14"/>
  <c r="K21" i="11"/>
  <c r="V32" i="14"/>
  <c r="K22" i="11"/>
  <c r="K23" i="11"/>
  <c r="K24" i="11"/>
  <c r="K25" i="11"/>
  <c r="K26" i="11"/>
  <c r="K27" i="11"/>
  <c r="K28" i="11"/>
  <c r="K29" i="11"/>
  <c r="I39" i="14"/>
  <c r="I38" i="14"/>
  <c r="I37" i="14"/>
  <c r="O37" i="14"/>
  <c r="I36" i="14"/>
  <c r="I35" i="14"/>
  <c r="O35" i="14"/>
  <c r="I34" i="14"/>
  <c r="I33" i="14"/>
  <c r="I32" i="14"/>
  <c r="I31" i="14"/>
  <c r="O32" i="14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/>
  <c r="P34" i="14"/>
  <c r="E24" i="11"/>
  <c r="P35" i="14"/>
  <c r="E25" i="11"/>
  <c r="P36" i="14"/>
  <c r="E26" i="11"/>
  <c r="P37" i="14"/>
  <c r="E27" i="11"/>
  <c r="P38" i="14"/>
  <c r="E28" i="11"/>
  <c r="P39" i="14"/>
  <c r="E29" i="11"/>
  <c r="L28" i="11"/>
  <c r="AB38" i="14"/>
  <c r="L26" i="11"/>
  <c r="AB36" i="14"/>
  <c r="L24" i="11"/>
  <c r="AB34" i="14"/>
  <c r="L22" i="11"/>
  <c r="AB32" i="14"/>
  <c r="E21" i="11"/>
  <c r="E22" i="11"/>
  <c r="F28" i="11"/>
  <c r="F26" i="11"/>
  <c r="F24" i="11"/>
  <c r="F22" i="11"/>
  <c r="F29" i="11"/>
  <c r="F27" i="11"/>
  <c r="F25" i="11"/>
  <c r="F23" i="11"/>
  <c r="F21" i="11"/>
  <c r="V30" i="14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A20" i="14"/>
  <c r="AB20" i="14"/>
  <c r="I20" i="14"/>
  <c r="I9" i="11"/>
  <c r="AA19" i="14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AA13" i="14"/>
  <c r="AA15" i="14"/>
  <c r="AA17" i="14"/>
  <c r="AA23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/>
  <c r="G12" i="11"/>
  <c r="G4" i="11"/>
  <c r="I18" i="11"/>
  <c r="K16" i="11"/>
  <c r="K8" i="11"/>
  <c r="L47" i="14"/>
  <c r="L51" i="14" s="1"/>
  <c r="I54" i="14" s="1"/>
  <c r="P14" i="14"/>
  <c r="P20" i="14"/>
  <c r="P22" i="14"/>
  <c r="AA29" i="14"/>
  <c r="G19" i="11"/>
  <c r="I17" i="11"/>
  <c r="K15" i="11"/>
  <c r="K7" i="11"/>
  <c r="L10" i="11"/>
  <c r="P13" i="14"/>
  <c r="AF47" i="14"/>
  <c r="I10" i="11"/>
  <c r="M47" i="14"/>
  <c r="P16" i="14"/>
  <c r="I17" i="14"/>
  <c r="O18" i="14"/>
  <c r="I21" i="14"/>
  <c r="O21" i="14"/>
  <c r="AA27" i="14"/>
  <c r="G18" i="11"/>
  <c r="G10" i="11"/>
  <c r="I16" i="11"/>
  <c r="I8" i="11"/>
  <c r="J19" i="11"/>
  <c r="J3" i="11"/>
  <c r="L9" i="11"/>
  <c r="K47" i="14"/>
  <c r="O22" i="14"/>
  <c r="AA24" i="14"/>
  <c r="P26" i="14"/>
  <c r="E47" i="14"/>
  <c r="I13" i="14"/>
  <c r="O13" i="14"/>
  <c r="I15" i="14"/>
  <c r="O15" i="14"/>
  <c r="O16" i="14"/>
  <c r="P19" i="14"/>
  <c r="AA21" i="14"/>
  <c r="I23" i="14"/>
  <c r="O23" i="14"/>
  <c r="P28" i="14"/>
  <c r="G17" i="11"/>
  <c r="J18" i="11"/>
  <c r="J10" i="11"/>
  <c r="K13" i="11"/>
  <c r="K5" i="11"/>
  <c r="AA25" i="14"/>
  <c r="F47" i="14"/>
  <c r="V47" i="14"/>
  <c r="I14" i="14"/>
  <c r="O14" i="14"/>
  <c r="AA14" i="14"/>
  <c r="P24" i="14"/>
  <c r="I25" i="14"/>
  <c r="O25" i="14"/>
  <c r="O26" i="14"/>
  <c r="I14" i="11"/>
  <c r="I6" i="11"/>
  <c r="K12" i="11"/>
  <c r="K4" i="11"/>
  <c r="AA12" i="14"/>
  <c r="L2" i="11"/>
  <c r="H2" i="11"/>
  <c r="AA18" i="14"/>
  <c r="AA26" i="14"/>
  <c r="AA22" i="14"/>
  <c r="AA30" i="14"/>
  <c r="H47" i="14"/>
  <c r="P12" i="14"/>
  <c r="AA28" i="14"/>
  <c r="J2" i="11"/>
  <c r="AC47" i="14"/>
  <c r="F5" i="1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J53" i="14" s="1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/>
  <c r="AL12" i="14"/>
  <c r="AA16" i="14"/>
  <c r="AA47" i="14"/>
  <c r="AB47" i="14"/>
  <c r="AH47" i="14"/>
  <c r="AI47" i="14"/>
  <c r="AI12" i="14"/>
  <c r="N47" i="14"/>
  <c r="J54" i="14" s="1"/>
  <c r="O12" i="14"/>
  <c r="P47" i="14"/>
  <c r="S47" i="14"/>
  <c r="Z47" i="14"/>
  <c r="AB12" i="14"/>
  <c r="F7" i="11"/>
  <c r="F2" i="11"/>
  <c r="AB16" i="14"/>
  <c r="L6" i="11"/>
  <c r="O47" i="14"/>
  <c r="T47" i="14"/>
  <c r="U47" i="14"/>
  <c r="U48" i="14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J56" i="14" l="1"/>
  <c r="W50" i="14"/>
  <c r="G51" i="14"/>
  <c r="I53" i="14" s="1"/>
  <c r="I56" i="14" s="1"/>
  <c r="K55" i="14"/>
  <c r="K54" i="14" l="1"/>
  <c r="K53" i="14"/>
</calcChain>
</file>

<file path=xl/sharedStrings.xml><?xml version="1.0" encoding="utf-8"?>
<sst xmlns="http://schemas.openxmlformats.org/spreadsheetml/2006/main" count="101" uniqueCount="55">
  <si>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</si>
  <si>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</si>
  <si>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</si>
  <si>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</si>
  <si>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</si>
  <si>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</si>
  <si>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</si>
  <si>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</si>
  <si>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</si>
  <si>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</si>
  <si>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</si>
  <si>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</si>
  <si>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</si>
  <si>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</si>
  <si>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</si>
  <si>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</si>
  <si>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MAY 2021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</si>
  <si>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</si>
  <si>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</si>
  <si>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</si>
  <si>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</si>
  <si>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</si>
  <si>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</si>
  <si>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</si>
  <si>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</si>
  <si>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</si>
  <si>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</si>
  <si>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</si>
  <si>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</si>
  <si>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</si>
  <si>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</si>
  <si>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</si>
  <si>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</si>
  <si>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</si>
  <si>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</si>
  <si>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</si>
  <si>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</si>
  <si>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</si>
  <si>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</si>
  <si>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</si>
  <si>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</si>
  <si>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</si>
  <si>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</si>
  <si>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</si>
  <si>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</si>
  <si>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</si>
  <si>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</si>
  <si>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</si>
  <si>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</si>
  <si>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</si>
  <si>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</si>
  <si>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</si>
  <si>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</si>
  <si>
    <t>m3/RNs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</si>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</sst>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65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67" fontId="6" fillId="3" borderId="0" xfId="0" applyNumberFormat="1" applyFont="1" applyFill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5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4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40" xfId="0" applyNumberFormat="1" applyFill="1" applyBorder="1"/>
    <xf numFmtId="165" fontId="1" fillId="0" borderId="40" xfId="0" applyNumberFormat="1" applyFont="1" applyBorder="1"/>
    <xf numFmtId="0" fontId="0" fillId="3" borderId="48" xfId="0" applyFill="1" applyBorder="1"/>
    <xf numFmtId="165" fontId="0" fillId="3" borderId="48" xfId="2" applyNumberFormat="1" applyFont="1" applyFill="1" applyBorder="1"/>
    <xf numFmtId="164" fontId="8" fillId="3" borderId="48" xfId="2" applyFont="1" applyFill="1" applyBorder="1"/>
    <xf numFmtId="165" fontId="8" fillId="3" borderId="48" xfId="2" applyNumberFormat="1" applyFont="1" applyFill="1" applyBorder="1"/>
    <xf numFmtId="164" fontId="0" fillId="3" borderId="48" xfId="0" applyNumberFormat="1" applyFill="1" applyBorder="1"/>
    <xf numFmtId="0" fontId="0" fillId="3" borderId="50" xfId="0" applyFill="1" applyBorder="1"/>
    <xf numFmtId="43" fontId="0" fillId="3" borderId="48" xfId="0" applyNumberFormat="1" applyFill="1" applyBorder="1"/>
    <xf numFmtId="165" fontId="0" fillId="3" borderId="48" xfId="0" applyNumberFormat="1" applyFill="1" applyBorder="1"/>
    <xf numFmtId="165" fontId="0" fillId="0" borderId="48" xfId="2" applyNumberFormat="1" applyFont="1" applyBorder="1"/>
    <xf numFmtId="167" fontId="0" fillId="3" borderId="50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8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5" fontId="9" fillId="0" borderId="54" xfId="2" applyNumberFormat="1" applyFont="1" applyBorder="1" applyAlignment="1">
      <alignment horizontal="center" vertical="center" wrapText="1"/>
    </xf>
    <xf numFmtId="165" fontId="8" fillId="0" borderId="55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7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8" xfId="0" applyBorder="1"/>
    <xf numFmtId="164" fontId="0" fillId="0" borderId="46" xfId="2" applyFont="1" applyBorder="1"/>
    <xf numFmtId="164" fontId="0" fillId="0" borderId="59" xfId="2" applyFont="1" applyBorder="1"/>
    <xf numFmtId="165" fontId="8" fillId="0" borderId="45" xfId="2" applyNumberFormat="1" applyFont="1" applyBorder="1" applyAlignment="1">
      <alignment horizontal="center" vertical="center" wrapText="1"/>
    </xf>
    <xf numFmtId="165" fontId="8" fillId="0" borderId="46" xfId="2" applyNumberFormat="1" applyFont="1" applyBorder="1"/>
    <xf numFmtId="165" fontId="8" fillId="0" borderId="59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5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43" fontId="0" fillId="3" borderId="5" xfId="0" applyNumberFormat="1" applyFill="1" applyBorder="1"/>
    <xf numFmtId="0" fontId="0" fillId="3" borderId="66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42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8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7" xfId="2" applyNumberFormat="1" applyFont="1" applyFill="1" applyBorder="1" applyProtection="1">
      <protection locked="0"/>
    </xf>
    <xf numFmtId="166" fontId="0" fillId="0" borderId="56" xfId="2" applyNumberFormat="1" applyFont="1" applyBorder="1"/>
    <xf numFmtId="165" fontId="14" fillId="3" borderId="46" xfId="2" applyNumberFormat="1" applyFont="1" applyFill="1" applyBorder="1" applyProtection="1">
      <protection locked="0"/>
    </xf>
    <xf numFmtId="165" fontId="0" fillId="0" borderId="59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5" fontId="14" fillId="3" borderId="64" xfId="2" applyNumberFormat="1" applyFont="1" applyFill="1" applyBorder="1" applyProtection="1">
      <protection locked="0"/>
    </xf>
    <xf numFmtId="165" fontId="14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50" xfId="0" applyNumberFormat="1" applyFill="1" applyBorder="1"/>
    <xf numFmtId="164" fontId="1" fillId="6" borderId="23" xfId="2" applyFont="1" applyFill="1" applyBorder="1"/>
    <xf numFmtId="0" fontId="0" fillId="3" borderId="61" xfId="0" applyFill="1" applyBorder="1" applyAlignment="1">
      <alignment wrapText="1"/>
    </xf>
    <xf numFmtId="164" fontId="0" fillId="3" borderId="39" xfId="2" applyFont="1" applyFill="1" applyBorder="1"/>
    <xf numFmtId="164" fontId="0" fillId="3" borderId="40" xfId="2" applyFont="1" applyFill="1" applyBorder="1"/>
    <xf numFmtId="0" fontId="7" fillId="3" borderId="61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70" xfId="2" applyFont="1" applyFill="1" applyBorder="1"/>
    <xf numFmtId="164" fontId="0" fillId="3" borderId="7" xfId="2" applyFont="1" applyFill="1" applyBorder="1"/>
    <xf numFmtId="164" fontId="0" fillId="3" borderId="71" xfId="2" applyFont="1" applyFill="1" applyBorder="1"/>
    <xf numFmtId="164" fontId="0" fillId="3" borderId="11" xfId="2" applyFont="1" applyFill="1" applyBorder="1"/>
    <xf numFmtId="164" fontId="0" fillId="3" borderId="72" xfId="2" applyFont="1" applyFill="1" applyBorder="1"/>
    <xf numFmtId="164" fontId="0" fillId="3" borderId="47" xfId="2" applyFont="1" applyFill="1" applyBorder="1"/>
    <xf numFmtId="168" fontId="0" fillId="13" borderId="6" xfId="2" applyNumberFormat="1" applyFont="1" applyFill="1" applyBorder="1"/>
    <xf numFmtId="165" fontId="13" fillId="3" borderId="23" xfId="0" applyNumberFormat="1" applyFont="1" applyFill="1" applyBorder="1"/>
    <xf numFmtId="165" fontId="17" fillId="0" borderId="0" xfId="0" applyNumberFormat="1" applyFont="1"/>
    <xf numFmtId="164" fontId="17" fillId="0" borderId="0" xfId="0" applyNumberFormat="1" applyFont="1"/>
    <xf numFmtId="9" fontId="17" fillId="0" borderId="0" xfId="5" applyFont="1"/>
    <xf numFmtId="9" fontId="0" fillId="0" borderId="0" xfId="5" applyFont="1" applyBorder="1"/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164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tabSelected="1" workbookViewId="0">
      <selection activeCell="I2" sqref="I2"/>
    </sheetView>
  </sheetViews>
  <sheetFormatPr defaultColWidth="11.54296875" defaultRowHeight="14.5" x14ac:dyDescent="0.35"/>
  <cols>
    <col min="1" max="1" width="18.453125" style="167" customWidth="1"/>
    <col min="2" max="2" width="11.54296875" style="168"/>
    <col min="3" max="3" width="11.54296875" style="169"/>
    <col min="4" max="4" width="13.453125" style="168" customWidth="1"/>
    <col min="5" max="5" width="12.54296875" style="166" customWidth="1"/>
    <col min="6" max="6" width="12.54296875" style="170" customWidth="1"/>
    <col min="7" max="7" width="11.54296875" style="166"/>
    <col min="8" max="8" width="11.54296875" style="170"/>
    <col min="9" max="9" width="11.54296875" style="171"/>
    <col min="10" max="10" width="11.54296875" style="172"/>
    <col min="11" max="11" width="11.54296875" style="166"/>
    <col min="12" max="12" width="11.54296875" style="172"/>
    <col min="13" max="26" width="11.54296875" style="166"/>
  </cols>
  <sheetData>
    <row r="1" spans="1:15" s="160" customFormat="1" ht="43.5" x14ac:dyDescent="0.35">
      <c r="A1" s="156" t="s">
        <v>0</v>
      </c>
      <c r="B1" s="156" t="s">
        <v>1</v>
      </c>
      <c r="C1" s="157" t="s">
        <v>2</v>
      </c>
      <c r="D1" s="156" t="s">
        <v>3</v>
      </c>
      <c r="E1" s="155" t="s">
        <v>4</v>
      </c>
      <c r="F1" s="158" t="s">
        <v>5</v>
      </c>
      <c r="G1" s="155" t="s">
        <v>6</v>
      </c>
      <c r="H1" s="158" t="s">
        <v>7</v>
      </c>
      <c r="I1" s="155" t="s">
        <v>54</v>
      </c>
      <c r="J1" s="158" t="s">
        <v>8</v>
      </c>
      <c r="K1" s="155" t="s">
        <v>9</v>
      </c>
      <c r="L1" s="159" t="s">
        <v>10</v>
      </c>
      <c r="M1" s="155" t="s">
        <v>11</v>
      </c>
      <c r="N1" s="155" t="s">
        <v>12</v>
      </c>
    </row>
    <row r="2" spans="1:15" x14ac:dyDescent="0.35">
      <c r="A2" s="161" t="s">
        <v>13</v>
      </c>
      <c r="B2" s="162">
        <v>1</v>
      </c>
      <c r="C2" s="163">
        <v>5</v>
      </c>
      <c r="D2" s="162">
        <v>2021</v>
      </c>
      <c r="E2" s="164">
        <f>'FS Jimbaran May 2021'!P12</f>
        <v>14679.999999999858</v>
      </c>
      <c r="F2" s="173">
        <f>'FS Jimbaran May 2021'!O12/'FS Jimbaran May 2021'!P12</f>
        <v>1186.8430095367844</v>
      </c>
      <c r="G2" s="164">
        <f>'FS Jimbaran May 2021'!AG12</f>
        <v>62</v>
      </c>
      <c r="H2" s="173">
        <f>'FS Jimbaran May 2021'!AH12/'FS Jimbaran May 2021'!AG12</f>
        <v>12346.774193548386</v>
      </c>
      <c r="I2" s="164">
        <f>'FS Jimbaran May 2021'!AJ12</f>
        <v>334.8</v>
      </c>
      <c r="J2" s="165">
        <f>'FS Jimbaran May 2021'!AK12/'FS Jimbaran May 2021'!AJ12</f>
        <v>8700</v>
      </c>
      <c r="K2" s="164">
        <f>'FS Jimbaran May 2021'!V12</f>
        <v>1026</v>
      </c>
      <c r="L2" s="173">
        <f>'FS Jimbaran May 2021'!AA12/'FS Jimbaran May 2021'!V12</f>
        <v>10627.384527513699</v>
      </c>
      <c r="M2" s="164">
        <f>+'RNs &amp; Covers May 2021'!B6</f>
        <v>9</v>
      </c>
      <c r="N2" s="164">
        <f>+'RNs &amp; Covers May 2021'!C6</f>
        <v>72</v>
      </c>
    </row>
    <row r="3" spans="1:15" x14ac:dyDescent="0.35">
      <c r="A3" s="161" t="s">
        <v>13</v>
      </c>
      <c r="B3" s="162">
        <f>B2+1</f>
        <v>2</v>
      </c>
      <c r="C3" s="163">
        <v>5</v>
      </c>
      <c r="D3" s="162">
        <v>2021</v>
      </c>
      <c r="E3" s="164">
        <f>'FS Jimbaran May 2021'!P13</f>
        <v>15300.000000000025</v>
      </c>
      <c r="F3" s="173">
        <f>'FS Jimbaran May 2021'!O13/'FS Jimbaran May 2021'!P13</f>
        <v>1182.8201411764703</v>
      </c>
      <c r="G3" s="164">
        <f>'FS Jimbaran May 2021'!AG13</f>
        <v>112</v>
      </c>
      <c r="H3" s="173">
        <f>'FS Jimbaran May 2021'!AH13/'FS Jimbaran May 2021'!AG13</f>
        <v>12441.964285714286</v>
      </c>
      <c r="I3" s="164">
        <f>'FS Jimbaran May 2021'!AJ13</f>
        <v>288</v>
      </c>
      <c r="J3" s="165">
        <f>'FS Jimbaran May 2021'!AK13/'FS Jimbaran May 2021'!AJ13</f>
        <v>8700</v>
      </c>
      <c r="K3" s="164">
        <f>'FS Jimbaran May 2021'!V13</f>
        <v>967</v>
      </c>
      <c r="L3" s="173">
        <f>'FS Jimbaran May 2021'!AA13/'FS Jimbaran May 2021'!V13</f>
        <v>10780.037381919188</v>
      </c>
      <c r="M3" s="164">
        <f>+'RNs &amp; Covers May 2021'!B7</f>
        <v>5</v>
      </c>
      <c r="N3" s="164">
        <f>+'RNs &amp; Covers May 2021'!C7</f>
        <v>109</v>
      </c>
    </row>
    <row r="4" spans="1:15" x14ac:dyDescent="0.35">
      <c r="A4" s="161" t="s">
        <v>13</v>
      </c>
      <c r="B4" s="162">
        <f t="shared" ref="B4:B32" si="0">B3+1</f>
        <v>3</v>
      </c>
      <c r="C4" s="163">
        <v>5</v>
      </c>
      <c r="D4" s="162">
        <v>2021</v>
      </c>
      <c r="E4" s="164">
        <f>'FS Jimbaran May 2021'!P14</f>
        <v>15059.999999999916</v>
      </c>
      <c r="F4" s="173">
        <f>'FS Jimbaran May 2021'!O14/'FS Jimbaran May 2021'!P14</f>
        <v>1183.615930278886</v>
      </c>
      <c r="G4" s="164">
        <f>'FS Jimbaran May 2021'!AG14</f>
        <v>112</v>
      </c>
      <c r="H4" s="173">
        <f>'FS Jimbaran May 2021'!AH14/'FS Jimbaran May 2021'!AG14</f>
        <v>12441.964285714286</v>
      </c>
      <c r="I4" s="164">
        <f>'FS Jimbaran May 2021'!AJ14</f>
        <v>302</v>
      </c>
      <c r="J4" s="165">
        <f>'FS Jimbaran May 2021'!AK14/'FS Jimbaran May 2021'!AJ14</f>
        <v>8700</v>
      </c>
      <c r="K4" s="164">
        <f>'FS Jimbaran May 2021'!V14</f>
        <v>1045</v>
      </c>
      <c r="L4" s="173">
        <f>'FS Jimbaran May 2021'!AA14/'FS Jimbaran May 2021'!V14</f>
        <v>9900.8179992623718</v>
      </c>
      <c r="M4" s="164">
        <f>+'RNs &amp; Covers May 2021'!B8</f>
        <v>3</v>
      </c>
      <c r="N4" s="164">
        <f>+'RNs &amp; Covers May 2021'!C8</f>
        <v>62</v>
      </c>
    </row>
    <row r="5" spans="1:15" x14ac:dyDescent="0.35">
      <c r="A5" s="161" t="s">
        <v>13</v>
      </c>
      <c r="B5" s="162">
        <f t="shared" si="0"/>
        <v>4</v>
      </c>
      <c r="C5" s="163">
        <v>5</v>
      </c>
      <c r="D5" s="162">
        <v>2021</v>
      </c>
      <c r="E5" s="164">
        <f>'FS Jimbaran May 2021'!P15</f>
        <v>14940.000000000033</v>
      </c>
      <c r="F5" s="173">
        <f>'FS Jimbaran May 2021'!O15/'FS Jimbaran May 2021'!P15</f>
        <v>1180.019644578312</v>
      </c>
      <c r="G5" s="164">
        <f>'FS Jimbaran May 2021'!AG15</f>
        <v>62</v>
      </c>
      <c r="H5" s="173">
        <f>'FS Jimbaran May 2021'!AH15/'FS Jimbaran May 2021'!AG15</f>
        <v>12346.774193548386</v>
      </c>
      <c r="I5" s="164">
        <f>'FS Jimbaran May 2021'!AJ15</f>
        <v>387.5</v>
      </c>
      <c r="J5" s="165">
        <f>'FS Jimbaran May 2021'!AK15/'FS Jimbaran May 2021'!AJ15</f>
        <v>8700</v>
      </c>
      <c r="K5" s="164">
        <f>'FS Jimbaran May 2021'!V15</f>
        <v>1054</v>
      </c>
      <c r="L5" s="173">
        <f>'FS Jimbaran May 2021'!AA15/'FS Jimbaran May 2021'!V15</f>
        <v>10484.165434585824</v>
      </c>
      <c r="M5" s="164">
        <f>+'RNs &amp; Covers May 2021'!B9</f>
        <v>1</v>
      </c>
      <c r="N5" s="164">
        <f>+'RNs &amp; Covers May 2021'!C9</f>
        <v>62</v>
      </c>
    </row>
    <row r="6" spans="1:15" x14ac:dyDescent="0.35">
      <c r="A6" s="161" t="s">
        <v>13</v>
      </c>
      <c r="B6" s="162">
        <f t="shared" si="0"/>
        <v>5</v>
      </c>
      <c r="C6" s="163">
        <v>5</v>
      </c>
      <c r="D6" s="162">
        <v>2021</v>
      </c>
      <c r="E6" s="164">
        <f>'FS Jimbaran May 2021'!P16</f>
        <v>15019.999999999825</v>
      </c>
      <c r="F6" s="173">
        <f>'FS Jimbaran May 2021'!O16/'FS Jimbaran May 2021'!P16</f>
        <v>1181.6994727030637</v>
      </c>
      <c r="G6" s="164">
        <f>'FS Jimbaran May 2021'!AG16</f>
        <v>112</v>
      </c>
      <c r="H6" s="173">
        <f>'FS Jimbaran May 2021'!AH16/'FS Jimbaran May 2021'!AG16</f>
        <v>12441.964285714286</v>
      </c>
      <c r="I6" s="164">
        <f>'FS Jimbaran May 2021'!AJ16</f>
        <v>357.9</v>
      </c>
      <c r="J6" s="165">
        <f>'FS Jimbaran May 2021'!AK16/'FS Jimbaran May 2021'!AJ16</f>
        <v>8700</v>
      </c>
      <c r="K6" s="164">
        <f>'FS Jimbaran May 2021'!V16</f>
        <v>1032</v>
      </c>
      <c r="L6" s="173">
        <f>'FS Jimbaran May 2021'!AA16/'FS Jimbaran May 2021'!V16</f>
        <v>9927.0910106510128</v>
      </c>
      <c r="M6" s="164">
        <f>+'RNs &amp; Covers May 2021'!B10</f>
        <v>3</v>
      </c>
      <c r="N6" s="164">
        <f>+'RNs &amp; Covers May 2021'!C10</f>
        <v>59</v>
      </c>
    </row>
    <row r="7" spans="1:15" x14ac:dyDescent="0.35">
      <c r="A7" s="161" t="s">
        <v>13</v>
      </c>
      <c r="B7" s="162">
        <f t="shared" si="0"/>
        <v>6</v>
      </c>
      <c r="C7" s="163">
        <v>5</v>
      </c>
      <c r="D7" s="162">
        <v>2021</v>
      </c>
      <c r="E7" s="164">
        <f>'FS Jimbaran May 2021'!P17</f>
        <v>15700.000000000031</v>
      </c>
      <c r="F7" s="173">
        <f>'FS Jimbaran May 2021'!O17/'FS Jimbaran May 2021'!P17</f>
        <v>1183.1642369426761</v>
      </c>
      <c r="G7" s="164">
        <f>'FS Jimbaran May 2021'!AG17</f>
        <v>62</v>
      </c>
      <c r="H7" s="173">
        <f>'FS Jimbaran May 2021'!AH17/'FS Jimbaran May 2021'!AG17</f>
        <v>12346.774193548386</v>
      </c>
      <c r="I7" s="164">
        <f>'FS Jimbaran May 2021'!AJ17</f>
        <v>289.89999999999998</v>
      </c>
      <c r="J7" s="165">
        <f>'FS Jimbaran May 2021'!AK17/'FS Jimbaran May 2021'!AJ17</f>
        <v>8700</v>
      </c>
      <c r="K7" s="164">
        <f>'FS Jimbaran May 2021'!V17</f>
        <v>1017</v>
      </c>
      <c r="L7" s="173">
        <f>'FS Jimbaran May 2021'!AA17/'FS Jimbaran May 2021'!V17</f>
        <v>10042.244401133781</v>
      </c>
      <c r="M7" s="164">
        <f>+'RNs &amp; Covers May 2021'!B11</f>
        <v>2</v>
      </c>
      <c r="N7" s="164">
        <f>+'RNs &amp; Covers May 2021'!C11</f>
        <v>68</v>
      </c>
    </row>
    <row r="8" spans="1:15" x14ac:dyDescent="0.35">
      <c r="A8" s="161" t="s">
        <v>13</v>
      </c>
      <c r="B8" s="162">
        <f t="shared" si="0"/>
        <v>7</v>
      </c>
      <c r="C8" s="163">
        <v>5</v>
      </c>
      <c r="D8" s="162">
        <v>2021</v>
      </c>
      <c r="E8" s="164">
        <f>'FS Jimbaran May 2021'!P18</f>
        <v>14580.000000000282</v>
      </c>
      <c r="F8" s="173">
        <f>'FS Jimbaran May 2021'!O18/'FS Jimbaran May 2021'!P18</f>
        <v>1183.0483086419731</v>
      </c>
      <c r="G8" s="164">
        <f>'FS Jimbaran May 2021'!AG18</f>
        <v>112</v>
      </c>
      <c r="H8" s="173">
        <f>'FS Jimbaran May 2021'!AH18/'FS Jimbaran May 2021'!AG18</f>
        <v>6834.8214285714284</v>
      </c>
      <c r="I8" s="164">
        <f>'FS Jimbaran May 2021'!AJ18</f>
        <v>278.10000000000002</v>
      </c>
      <c r="J8" s="165">
        <f>'FS Jimbaran May 2021'!AK18/'FS Jimbaran May 2021'!AJ18</f>
        <v>8700</v>
      </c>
      <c r="K8" s="164">
        <f>'FS Jimbaran May 2021'!V18</f>
        <v>1026</v>
      </c>
      <c r="L8" s="173">
        <f>'FS Jimbaran May 2021'!AA18/'FS Jimbaran May 2021'!V18</f>
        <v>10472.746053264787</v>
      </c>
      <c r="M8" s="164">
        <f>+'RNs &amp; Covers May 2021'!B12</f>
        <v>5</v>
      </c>
      <c r="N8" s="164">
        <f>+'RNs &amp; Covers May 2021'!C12</f>
        <v>64</v>
      </c>
    </row>
    <row r="9" spans="1:15" x14ac:dyDescent="0.35">
      <c r="A9" s="161" t="s">
        <v>13</v>
      </c>
      <c r="B9" s="162">
        <f t="shared" si="0"/>
        <v>8</v>
      </c>
      <c r="C9" s="163">
        <v>5</v>
      </c>
      <c r="D9" s="162">
        <v>2021</v>
      </c>
      <c r="E9" s="164">
        <f>'FS Jimbaran May 2021'!P19</f>
        <v>14060.000000000138</v>
      </c>
      <c r="F9" s="173">
        <f>'FS Jimbaran May 2021'!O19/'FS Jimbaran May 2021'!P19</f>
        <v>1175.7502702702691</v>
      </c>
      <c r="G9" s="164">
        <f>'FS Jimbaran May 2021'!AG19</f>
        <v>112</v>
      </c>
      <c r="H9" s="173">
        <f>'FS Jimbaran May 2021'!AH19/'FS Jimbaran May 2021'!AG19</f>
        <v>12441.964285714286</v>
      </c>
      <c r="I9" s="164">
        <f>'FS Jimbaran May 2021'!AJ19</f>
        <v>218.9</v>
      </c>
      <c r="J9" s="165">
        <f>'FS Jimbaran May 2021'!AK19/'FS Jimbaran May 2021'!AJ19</f>
        <v>8700</v>
      </c>
      <c r="K9" s="164">
        <f>'FS Jimbaran May 2021'!V19</f>
        <v>1022</v>
      </c>
      <c r="L9" s="173">
        <f>'FS Jimbaran May 2021'!AA19/'FS Jimbaran May 2021'!V19</f>
        <v>10365.719685894861</v>
      </c>
      <c r="M9" s="164">
        <f>+'RNs &amp; Covers May 2021'!B13</f>
        <v>7</v>
      </c>
      <c r="N9" s="164">
        <f>+'RNs &amp; Covers May 2021'!C13</f>
        <v>130</v>
      </c>
      <c r="O9" s="166" t="s">
        <v>14</v>
      </c>
    </row>
    <row r="10" spans="1:15" x14ac:dyDescent="0.35">
      <c r="A10" s="161" t="s">
        <v>13</v>
      </c>
      <c r="B10" s="162">
        <f t="shared" si="0"/>
        <v>9</v>
      </c>
      <c r="C10" s="163">
        <v>5</v>
      </c>
      <c r="D10" s="162">
        <v>2021</v>
      </c>
      <c r="E10" s="164">
        <f>'FS Jimbaran May 2021'!P20</f>
        <v>15259.999999999663</v>
      </c>
      <c r="F10" s="173">
        <f>'FS Jimbaran May 2021'!O20/'FS Jimbaran May 2021'!P20</f>
        <v>1194.4728990825706</v>
      </c>
      <c r="G10" s="164">
        <f>'FS Jimbaran May 2021'!AG20</f>
        <v>50</v>
      </c>
      <c r="H10" s="173">
        <f>'FS Jimbaran May 2021'!AH20/'FS Jimbaran May 2021'!AG20</f>
        <v>27870</v>
      </c>
      <c r="I10" s="164">
        <f>'FS Jimbaran May 2021'!AJ20</f>
        <v>221</v>
      </c>
      <c r="J10" s="165">
        <f>'FS Jimbaran May 2021'!AK20/'FS Jimbaran May 2021'!AJ20</f>
        <v>8700</v>
      </c>
      <c r="K10" s="164">
        <f>'FS Jimbaran May 2021'!V20</f>
        <v>946</v>
      </c>
      <c r="L10" s="173">
        <f>'FS Jimbaran May 2021'!AA20/'FS Jimbaran May 2021'!V20</f>
        <v>10340.556857166175</v>
      </c>
      <c r="M10" s="164">
        <f>+'RNs &amp; Covers May 2021'!B14</f>
        <v>13</v>
      </c>
      <c r="N10" s="164">
        <f>+'RNs &amp; Covers May 2021'!C14</f>
        <v>137</v>
      </c>
    </row>
    <row r="11" spans="1:15" x14ac:dyDescent="0.35">
      <c r="A11" s="161" t="s">
        <v>13</v>
      </c>
      <c r="B11" s="162">
        <f t="shared" si="0"/>
        <v>10</v>
      </c>
      <c r="C11" s="163">
        <v>5</v>
      </c>
      <c r="D11" s="162">
        <v>2021</v>
      </c>
      <c r="E11" s="164">
        <f>'FS Jimbaran May 2021'!P21</f>
        <v>15560.000000000131</v>
      </c>
      <c r="F11" s="173">
        <f>'FS Jimbaran May 2021'!O21/'FS Jimbaran May 2021'!P21</f>
        <v>1184.0243483290492</v>
      </c>
      <c r="G11" s="164">
        <f>'FS Jimbaran May 2021'!AG21</f>
        <v>62</v>
      </c>
      <c r="H11" s="173">
        <f>'FS Jimbaran May 2021'!AH21/'FS Jimbaran May 2021'!AG21</f>
        <v>12346.774193548386</v>
      </c>
      <c r="I11" s="164">
        <f>'FS Jimbaran May 2021'!AJ21</f>
        <v>325</v>
      </c>
      <c r="J11" s="165">
        <f>'FS Jimbaran May 2021'!AK21/'FS Jimbaran May 2021'!AJ21</f>
        <v>8700</v>
      </c>
      <c r="K11" s="164">
        <f>'FS Jimbaran May 2021'!V21</f>
        <v>1014</v>
      </c>
      <c r="L11" s="173">
        <f>'FS Jimbaran May 2021'!AA21/'FS Jimbaran May 2021'!V21</f>
        <v>10579.422199948331</v>
      </c>
      <c r="M11" s="164">
        <f>+'RNs &amp; Covers May 2021'!B15</f>
        <v>16</v>
      </c>
      <c r="N11" s="164">
        <f>+'RNs &amp; Covers May 2021'!C15</f>
        <v>78</v>
      </c>
    </row>
    <row r="12" spans="1:15" x14ac:dyDescent="0.35">
      <c r="A12" s="161" t="s">
        <v>13</v>
      </c>
      <c r="B12" s="162">
        <f t="shared" si="0"/>
        <v>11</v>
      </c>
      <c r="C12" s="163">
        <v>5</v>
      </c>
      <c r="D12" s="162">
        <v>2021</v>
      </c>
      <c r="E12" s="164">
        <f>'FS Jimbaran May 2021'!P22</f>
        <v>15459.999999999965</v>
      </c>
      <c r="F12" s="173">
        <f>'FS Jimbaran May 2021'!O22/'FS Jimbaran May 2021'!P22</f>
        <v>1179.0204683053023</v>
      </c>
      <c r="G12" s="164">
        <f>'FS Jimbaran May 2021'!AG22</f>
        <v>112</v>
      </c>
      <c r="H12" s="173">
        <f>'FS Jimbaran May 2021'!AH22/'FS Jimbaran May 2021'!AG22</f>
        <v>11214.285714285714</v>
      </c>
      <c r="I12" s="164">
        <f>'FS Jimbaran May 2021'!AJ22</f>
        <v>209</v>
      </c>
      <c r="J12" s="165">
        <f>'FS Jimbaran May 2021'!AK22/'FS Jimbaran May 2021'!AJ22</f>
        <v>8700</v>
      </c>
      <c r="K12" s="164">
        <f>'FS Jimbaran May 2021'!V22</f>
        <v>1054</v>
      </c>
      <c r="L12" s="173">
        <f>'FS Jimbaran May 2021'!AA22/'FS Jimbaran May 2021'!V22</f>
        <v>8602.5350434641005</v>
      </c>
      <c r="M12" s="164">
        <f>+'RNs &amp; Covers May 2021'!B16</f>
        <v>14</v>
      </c>
      <c r="N12" s="164">
        <f>+'RNs &amp; Covers May 2021'!C16</f>
        <v>100</v>
      </c>
    </row>
    <row r="13" spans="1:15" x14ac:dyDescent="0.35">
      <c r="A13" s="161" t="s">
        <v>13</v>
      </c>
      <c r="B13" s="162">
        <f t="shared" si="0"/>
        <v>12</v>
      </c>
      <c r="C13" s="163">
        <v>5</v>
      </c>
      <c r="D13" s="162">
        <v>2021</v>
      </c>
      <c r="E13" s="164">
        <f>'FS Jimbaran May 2021'!P23</f>
        <v>15119.99999999992</v>
      </c>
      <c r="F13" s="173">
        <f>'FS Jimbaran May 2021'!O23/'FS Jimbaran May 2021'!P23</f>
        <v>1181.796208333335</v>
      </c>
      <c r="G13" s="164">
        <f>'FS Jimbaran May 2021'!AG23</f>
        <v>112</v>
      </c>
      <c r="H13" s="173">
        <f>'FS Jimbaran May 2021'!AH23/'FS Jimbaran May 2021'!AG23</f>
        <v>12441.964285714286</v>
      </c>
      <c r="I13" s="164">
        <f>'FS Jimbaran May 2021'!AJ23</f>
        <v>386.6</v>
      </c>
      <c r="J13" s="165">
        <f>'FS Jimbaran May 2021'!AK23/'FS Jimbaran May 2021'!AJ23</f>
        <v>8700</v>
      </c>
      <c r="K13" s="164">
        <f>'FS Jimbaran May 2021'!V23</f>
        <v>1026</v>
      </c>
      <c r="L13" s="173">
        <f>'FS Jimbaran May 2021'!AA23/'FS Jimbaran May 2021'!V23</f>
        <v>10163.469104766962</v>
      </c>
      <c r="M13" s="164">
        <f>+'RNs &amp; Covers May 2021'!B17</f>
        <v>13</v>
      </c>
      <c r="N13" s="164">
        <f>+'RNs &amp; Covers May 2021'!C17</f>
        <v>103</v>
      </c>
    </row>
    <row r="14" spans="1:15" x14ac:dyDescent="0.35">
      <c r="A14" s="161" t="s">
        <v>13</v>
      </c>
      <c r="B14" s="162">
        <f t="shared" si="0"/>
        <v>13</v>
      </c>
      <c r="C14" s="163">
        <v>5</v>
      </c>
      <c r="D14" s="162">
        <v>2021</v>
      </c>
      <c r="E14" s="164">
        <f>'FS Jimbaran May 2021'!P24</f>
        <v>15059.999999999975</v>
      </c>
      <c r="F14" s="173">
        <f>'FS Jimbaran May 2021'!O24/'FS Jimbaran May 2021'!P24</f>
        <v>1185.060245019921</v>
      </c>
      <c r="G14" s="164">
        <f>'FS Jimbaran May 2021'!AG24</f>
        <v>62</v>
      </c>
      <c r="H14" s="173">
        <f>'FS Jimbaran May 2021'!AH24/'FS Jimbaran May 2021'!AG24</f>
        <v>22475.806451612902</v>
      </c>
      <c r="I14" s="164">
        <f>'FS Jimbaran May 2021'!AJ24</f>
        <v>239.8</v>
      </c>
      <c r="J14" s="165">
        <f>'FS Jimbaran May 2021'!AK24/'FS Jimbaran May 2021'!AJ24</f>
        <v>8700</v>
      </c>
      <c r="K14" s="164">
        <f>'FS Jimbaran May 2021'!V24</f>
        <v>959</v>
      </c>
      <c r="L14" s="173">
        <f>'FS Jimbaran May 2021'!AA24/'FS Jimbaran May 2021'!V24</f>
        <v>11464.418347416286</v>
      </c>
      <c r="M14" s="164">
        <f>+'RNs &amp; Covers May 2021'!B18</f>
        <v>19</v>
      </c>
      <c r="N14" s="164">
        <f>+'RNs &amp; Covers May 2021'!C18</f>
        <v>129</v>
      </c>
    </row>
    <row r="15" spans="1:15" x14ac:dyDescent="0.35">
      <c r="A15" s="161" t="s">
        <v>13</v>
      </c>
      <c r="B15" s="162">
        <f t="shared" si="0"/>
        <v>14</v>
      </c>
      <c r="C15" s="163">
        <v>5</v>
      </c>
      <c r="D15" s="162">
        <v>2021</v>
      </c>
      <c r="E15" s="164">
        <f>'FS Jimbaran May 2021'!P25</f>
        <v>16120.00000000026</v>
      </c>
      <c r="F15" s="173">
        <f>'FS Jimbaran May 2021'!O25/'FS Jimbaran May 2021'!P25</f>
        <v>1188.7695893300233</v>
      </c>
      <c r="G15" s="164">
        <f>'FS Jimbaran May 2021'!AG25</f>
        <v>100</v>
      </c>
      <c r="H15" s="173">
        <f>'FS Jimbaran May 2021'!AH25/'FS Jimbaran May 2021'!AG25</f>
        <v>12560</v>
      </c>
      <c r="I15" s="164">
        <f>'FS Jimbaran May 2021'!AJ25</f>
        <v>356.5</v>
      </c>
      <c r="J15" s="165">
        <f>'FS Jimbaran May 2021'!AK25/'FS Jimbaran May 2021'!AJ25</f>
        <v>8700</v>
      </c>
      <c r="K15" s="164">
        <f>'FS Jimbaran May 2021'!V25</f>
        <v>979</v>
      </c>
      <c r="L15" s="173">
        <f>'FS Jimbaran May 2021'!AA25/'FS Jimbaran May 2021'!V25</f>
        <v>10652.275688120159</v>
      </c>
      <c r="M15" s="164">
        <f>+'RNs &amp; Covers May 2021'!B19</f>
        <v>19</v>
      </c>
      <c r="N15" s="164">
        <f>+'RNs &amp; Covers May 2021'!C19</f>
        <v>139</v>
      </c>
    </row>
    <row r="16" spans="1:15" x14ac:dyDescent="0.35">
      <c r="A16" s="161" t="s">
        <v>13</v>
      </c>
      <c r="B16" s="162">
        <f t="shared" si="0"/>
        <v>15</v>
      </c>
      <c r="C16" s="163">
        <v>5</v>
      </c>
      <c r="D16" s="162">
        <v>2021</v>
      </c>
      <c r="E16" s="164">
        <f>'FS Jimbaran May 2021'!P26</f>
        <v>16280.000000000029</v>
      </c>
      <c r="F16" s="173">
        <f>'FS Jimbaran May 2021'!O26/'FS Jimbaran May 2021'!P26</f>
        <v>1179.0904699017183</v>
      </c>
      <c r="G16" s="164">
        <f>'FS Jimbaran May 2021'!AG26</f>
        <v>112</v>
      </c>
      <c r="H16" s="173">
        <f>'FS Jimbaran May 2021'!AH26/'FS Jimbaran May 2021'!AG26</f>
        <v>12441.964285714286</v>
      </c>
      <c r="I16" s="164">
        <f>'FS Jimbaran May 2021'!AJ26</f>
        <v>242.2</v>
      </c>
      <c r="J16" s="165">
        <f>'FS Jimbaran May 2021'!AK26/'FS Jimbaran May 2021'!AJ26</f>
        <v>8700</v>
      </c>
      <c r="K16" s="164">
        <f>'FS Jimbaran May 2021'!V26</f>
        <v>939</v>
      </c>
      <c r="L16" s="173">
        <f>'FS Jimbaran May 2021'!AA26/'FS Jimbaran May 2021'!V26</f>
        <v>10199.08206542333</v>
      </c>
      <c r="M16" s="164">
        <f>+'RNs &amp; Covers May 2021'!B20</f>
        <v>16</v>
      </c>
      <c r="N16" s="164">
        <f>+'RNs &amp; Covers May 2021'!C20</f>
        <v>162</v>
      </c>
    </row>
    <row r="17" spans="1:14" x14ac:dyDescent="0.35">
      <c r="A17" s="161" t="s">
        <v>13</v>
      </c>
      <c r="B17" s="162">
        <f t="shared" si="0"/>
        <v>16</v>
      </c>
      <c r="C17" s="163">
        <v>5</v>
      </c>
      <c r="D17" s="162">
        <v>2021</v>
      </c>
      <c r="E17" s="164">
        <f>'FS Jimbaran May 2021'!P27</f>
        <v>15379.999999999789</v>
      </c>
      <c r="F17" s="173">
        <f>'FS Jimbaran May 2021'!O27/'FS Jimbaran May 2021'!P27</f>
        <v>1183.7389505851777</v>
      </c>
      <c r="G17" s="164">
        <f>'FS Jimbaran May 2021'!AG27</f>
        <v>112</v>
      </c>
      <c r="H17" s="173">
        <f>'FS Jimbaran May 2021'!AH27/'FS Jimbaran May 2021'!AG27</f>
        <v>12441.964285714286</v>
      </c>
      <c r="I17" s="164">
        <f>'FS Jimbaran May 2021'!AJ27</f>
        <v>290</v>
      </c>
      <c r="J17" s="165">
        <f>'FS Jimbaran May 2021'!AK27/'FS Jimbaran May 2021'!AJ27</f>
        <v>8700</v>
      </c>
      <c r="K17" s="164">
        <f>'FS Jimbaran May 2021'!V27</f>
        <v>922</v>
      </c>
      <c r="L17" s="173">
        <f>'FS Jimbaran May 2021'!AA27/'FS Jimbaran May 2021'!V27</f>
        <v>10643.457760104648</v>
      </c>
      <c r="M17" s="164">
        <f>+'RNs &amp; Covers May 2021'!B21</f>
        <v>10</v>
      </c>
      <c r="N17" s="164">
        <f>+'RNs &amp; Covers May 2021'!C21</f>
        <v>146</v>
      </c>
    </row>
    <row r="18" spans="1:14" x14ac:dyDescent="0.35">
      <c r="A18" s="161" t="s">
        <v>13</v>
      </c>
      <c r="B18" s="162">
        <f t="shared" si="0"/>
        <v>17</v>
      </c>
      <c r="C18" s="163">
        <v>5</v>
      </c>
      <c r="D18" s="162">
        <v>2021</v>
      </c>
      <c r="E18" s="164">
        <f>'FS Jimbaran May 2021'!P28</f>
        <v>14959.999999999973</v>
      </c>
      <c r="F18" s="173">
        <f>'FS Jimbaran May 2021'!O28/'FS Jimbaran May 2021'!P28</f>
        <v>1181.3500167112304</v>
      </c>
      <c r="G18" s="164">
        <f>'FS Jimbaran May 2021'!AG28</f>
        <v>112</v>
      </c>
      <c r="H18" s="173">
        <f>'FS Jimbaran May 2021'!AH28/'FS Jimbaran May 2021'!AG28</f>
        <v>6834.8214285714284</v>
      </c>
      <c r="I18" s="164">
        <f>'FS Jimbaran May 2021'!AJ28</f>
        <v>300.69000000000233</v>
      </c>
      <c r="J18" s="165">
        <f>'FS Jimbaran May 2021'!AK28/'FS Jimbaran May 2021'!AJ28</f>
        <v>8700</v>
      </c>
      <c r="K18" s="164">
        <f>'FS Jimbaran May 2021'!V28</f>
        <v>896</v>
      </c>
      <c r="L18" s="173">
        <f>'FS Jimbaran May 2021'!AA28/'FS Jimbaran May 2021'!V28</f>
        <v>11020.654099673508</v>
      </c>
      <c r="M18" s="164">
        <f>+'RNs &amp; Covers May 2021'!B22</f>
        <v>13</v>
      </c>
      <c r="N18" s="164">
        <f>+'RNs &amp; Covers May 2021'!C22</f>
        <v>86</v>
      </c>
    </row>
    <row r="19" spans="1:14" x14ac:dyDescent="0.35">
      <c r="A19" s="161" t="s">
        <v>13</v>
      </c>
      <c r="B19" s="162">
        <f t="shared" si="0"/>
        <v>18</v>
      </c>
      <c r="C19" s="163">
        <v>5</v>
      </c>
      <c r="D19" s="162">
        <v>2021</v>
      </c>
      <c r="E19" s="164">
        <f>'FS Jimbaran May 2021'!P29</f>
        <v>14400.000000000098</v>
      </c>
      <c r="F19" s="173">
        <f>'FS Jimbaran May 2021'!O29/'FS Jimbaran May 2021'!P29</f>
        <v>1183.4865437500005</v>
      </c>
      <c r="G19" s="164">
        <f>'FS Jimbaran May 2021'!AG29</f>
        <v>62</v>
      </c>
      <c r="H19" s="173">
        <f>'FS Jimbaran May 2021'!AH29/'FS Jimbaran May 2021'!AG29</f>
        <v>22475.806451612902</v>
      </c>
      <c r="I19" s="164">
        <f>'FS Jimbaran May 2021'!AJ29</f>
        <v>299.60000000000002</v>
      </c>
      <c r="J19" s="165">
        <f>'FS Jimbaran May 2021'!AK29/'FS Jimbaran May 2021'!AJ29</f>
        <v>8700</v>
      </c>
      <c r="K19" s="164">
        <f>'FS Jimbaran May 2021'!V29</f>
        <v>1076</v>
      </c>
      <c r="L19" s="173">
        <f>'FS Jimbaran May 2021'!AA29/'FS Jimbaran May 2021'!V29</f>
        <v>9900.2771042949917</v>
      </c>
      <c r="M19" s="164">
        <f>+'RNs &amp; Covers May 2021'!B23</f>
        <v>11</v>
      </c>
      <c r="N19" s="164">
        <f>+'RNs &amp; Covers May 2021'!C23</f>
        <v>113</v>
      </c>
    </row>
    <row r="20" spans="1:14" x14ac:dyDescent="0.35">
      <c r="A20" s="161" t="s">
        <v>13</v>
      </c>
      <c r="B20" s="162">
        <f t="shared" si="0"/>
        <v>19</v>
      </c>
      <c r="C20" s="163">
        <v>5</v>
      </c>
      <c r="D20" s="162">
        <v>2021</v>
      </c>
      <c r="E20" s="164">
        <f>'FS Jimbaran May 2021'!P30</f>
        <v>14079.999999999807</v>
      </c>
      <c r="F20" s="173">
        <f>'FS Jimbaran May 2021'!O30/'FS Jimbaran May 2021'!P30</f>
        <v>1183.3492244318188</v>
      </c>
      <c r="G20" s="164">
        <f>'FS Jimbaran May 2021'!AG30</f>
        <v>112</v>
      </c>
      <c r="H20" s="173">
        <f>'FS Jimbaran May 2021'!AH30/'FS Jimbaran May 2021'!AG30</f>
        <v>12441.964285714286</v>
      </c>
      <c r="I20" s="164">
        <f>'FS Jimbaran May 2021'!AJ30</f>
        <v>342.83000000000175</v>
      </c>
      <c r="J20" s="165">
        <f>'FS Jimbaran May 2021'!AK30/'FS Jimbaran May 2021'!AJ30</f>
        <v>8700</v>
      </c>
      <c r="K20" s="164">
        <f>'FS Jimbaran May 2021'!V30</f>
        <v>1033</v>
      </c>
      <c r="L20" s="173">
        <f>'FS Jimbaran May 2021'!AA30/'FS Jimbaran May 2021'!V30</f>
        <v>10165.277960750031</v>
      </c>
      <c r="M20" s="164">
        <f>+'RNs &amp; Covers May 2021'!B24</f>
        <v>7</v>
      </c>
      <c r="N20" s="164">
        <f>+'RNs &amp; Covers May 2021'!C24</f>
        <v>103</v>
      </c>
    </row>
    <row r="21" spans="1:14" x14ac:dyDescent="0.35">
      <c r="A21" s="161" t="s">
        <v>13</v>
      </c>
      <c r="B21" s="162">
        <f t="shared" si="0"/>
        <v>20</v>
      </c>
      <c r="C21" s="163">
        <v>5</v>
      </c>
      <c r="D21" s="162">
        <v>2021</v>
      </c>
      <c r="E21" s="164">
        <f>'FS Jimbaran May 2021'!P31</f>
        <v>14400.000000000135</v>
      </c>
      <c r="F21" s="173">
        <f>'FS Jimbaran May 2021'!O31/'FS Jimbaran May 2021'!P31</f>
        <v>1182.731287499998</v>
      </c>
      <c r="G21" s="164">
        <f>'FS Jimbaran May 2021'!AG31</f>
        <v>62</v>
      </c>
      <c r="H21" s="173">
        <f>'FS Jimbaran May 2021'!AH31/'FS Jimbaran May 2021'!AG31</f>
        <v>12346.774193548386</v>
      </c>
      <c r="I21" s="164">
        <f>'FS Jimbaran May 2021'!AJ31</f>
        <v>308.10000000000002</v>
      </c>
      <c r="J21" s="165">
        <f>'FS Jimbaran May 2021'!AK31/'FS Jimbaran May 2021'!AJ31</f>
        <v>8700</v>
      </c>
      <c r="K21" s="164">
        <f>'FS Jimbaran May 2021'!V31</f>
        <v>966</v>
      </c>
      <c r="L21" s="173">
        <f>'FS Jimbaran May 2021'!AA31/'FS Jimbaran May 2021'!V31</f>
        <v>9390.196692904261</v>
      </c>
      <c r="M21" s="164">
        <f>+'RNs &amp; Covers May 2021'!B25</f>
        <v>5</v>
      </c>
      <c r="N21" s="164">
        <f>+'RNs &amp; Covers May 2021'!C25</f>
        <v>85</v>
      </c>
    </row>
    <row r="22" spans="1:14" x14ac:dyDescent="0.35">
      <c r="A22" s="161" t="s">
        <v>13</v>
      </c>
      <c r="B22" s="162">
        <f t="shared" si="0"/>
        <v>21</v>
      </c>
      <c r="C22" s="163">
        <v>5</v>
      </c>
      <c r="D22" s="162">
        <v>2021</v>
      </c>
      <c r="E22" s="164">
        <f>'FS Jimbaran May 2021'!P32</f>
        <v>14679.9999999999</v>
      </c>
      <c r="F22" s="173">
        <f>'FS Jimbaran May 2021'!O32/'FS Jimbaran May 2021'!P32</f>
        <v>1181.6570538147157</v>
      </c>
      <c r="G22" s="164">
        <f>'FS Jimbaran May 2021'!AG32</f>
        <v>62</v>
      </c>
      <c r="H22" s="173">
        <f>'FS Jimbaran May 2021'!AH32/'FS Jimbaran May 2021'!AG32</f>
        <v>12346.774193548386</v>
      </c>
      <c r="I22" s="164">
        <f>'FS Jimbaran May 2021'!AJ32</f>
        <v>229.64999999999782</v>
      </c>
      <c r="J22" s="165">
        <f>'FS Jimbaran May 2021'!AK32/'FS Jimbaran May 2021'!AJ32</f>
        <v>8700</v>
      </c>
      <c r="K22" s="164">
        <f>'FS Jimbaran May 2021'!V32</f>
        <v>986</v>
      </c>
      <c r="L22" s="173">
        <f>'FS Jimbaran May 2021'!AA32/'FS Jimbaran May 2021'!V32</f>
        <v>5541.7496072394315</v>
      </c>
      <c r="M22" s="164">
        <f>+'RNs &amp; Covers May 2021'!B26</f>
        <v>10</v>
      </c>
      <c r="N22" s="164">
        <f>+'RNs &amp; Covers May 2021'!C26</f>
        <v>89</v>
      </c>
    </row>
    <row r="23" spans="1:14" x14ac:dyDescent="0.35">
      <c r="A23" s="161" t="s">
        <v>13</v>
      </c>
      <c r="B23" s="162">
        <f t="shared" si="0"/>
        <v>22</v>
      </c>
      <c r="C23" s="163">
        <v>5</v>
      </c>
      <c r="D23" s="162">
        <v>2021</v>
      </c>
      <c r="E23" s="164">
        <f>'FS Jimbaran May 2021'!P33</f>
        <v>14900.000000000204</v>
      </c>
      <c r="F23" s="173">
        <f>'FS Jimbaran May 2021'!O33/'FS Jimbaran May 2021'!P33</f>
        <v>1183.9173946308708</v>
      </c>
      <c r="G23" s="164">
        <f>'FS Jimbaran May 2021'!AG33</f>
        <v>100</v>
      </c>
      <c r="H23" s="173">
        <f>'FS Jimbaran May 2021'!AH33/'FS Jimbaran May 2021'!AG33</f>
        <v>12560</v>
      </c>
      <c r="I23" s="164">
        <f>'FS Jimbaran May 2021'!AJ33</f>
        <v>218.4</v>
      </c>
      <c r="J23" s="165">
        <f>'FS Jimbaran May 2021'!AK33/'FS Jimbaran May 2021'!AJ33</f>
        <v>8700</v>
      </c>
      <c r="K23" s="164">
        <f>'FS Jimbaran May 2021'!V33</f>
        <v>959</v>
      </c>
      <c r="L23" s="173">
        <f>'FS Jimbaran May 2021'!AA33/'FS Jimbaran May 2021'!V33</f>
        <v>10940.518031634518</v>
      </c>
      <c r="M23" s="164">
        <f>+'RNs &amp; Covers May 2021'!B27</f>
        <v>9</v>
      </c>
      <c r="N23" s="164">
        <f>+'RNs &amp; Covers May 2021'!C27</f>
        <v>150</v>
      </c>
    </row>
    <row r="24" spans="1:14" x14ac:dyDescent="0.35">
      <c r="A24" s="161" t="s">
        <v>13</v>
      </c>
      <c r="B24" s="162">
        <f t="shared" si="0"/>
        <v>23</v>
      </c>
      <c r="C24" s="163">
        <v>5</v>
      </c>
      <c r="D24" s="162">
        <v>2021</v>
      </c>
      <c r="E24" s="164">
        <f>'FS Jimbaran May 2021'!P34</f>
        <v>14519.99999999972</v>
      </c>
      <c r="F24" s="173">
        <f>'FS Jimbaran May 2021'!O34/'FS Jimbaran May 2021'!P34</f>
        <v>1187.9369380165317</v>
      </c>
      <c r="G24" s="164">
        <f>'FS Jimbaran May 2021'!AG34</f>
        <v>112</v>
      </c>
      <c r="H24" s="173">
        <f>'FS Jimbaran May 2021'!AH34/'FS Jimbaran May 2021'!AG34</f>
        <v>12441.964285714286</v>
      </c>
      <c r="I24" s="164">
        <f>'FS Jimbaran May 2021'!AJ34</f>
        <v>320.60000000000002</v>
      </c>
      <c r="J24" s="165">
        <f>'FS Jimbaran May 2021'!AK34/'FS Jimbaran May 2021'!AJ34</f>
        <v>8700</v>
      </c>
      <c r="K24" s="164">
        <f>'FS Jimbaran May 2021'!V34</f>
        <v>928</v>
      </c>
      <c r="L24" s="173">
        <f>'FS Jimbaran May 2021'!AA34/'FS Jimbaran May 2021'!V34</f>
        <v>11403.298624777724</v>
      </c>
      <c r="M24" s="164">
        <f>+'RNs &amp; Covers May 2021'!B28</f>
        <v>6</v>
      </c>
      <c r="N24" s="164">
        <f>+'RNs &amp; Covers May 2021'!C28</f>
        <v>150</v>
      </c>
    </row>
    <row r="25" spans="1:14" x14ac:dyDescent="0.35">
      <c r="A25" s="161" t="s">
        <v>13</v>
      </c>
      <c r="B25" s="162">
        <f t="shared" si="0"/>
        <v>24</v>
      </c>
      <c r="C25" s="163">
        <v>5</v>
      </c>
      <c r="D25" s="162">
        <v>2021</v>
      </c>
      <c r="E25" s="164">
        <f>'FS Jimbaran May 2021'!P35</f>
        <v>14660.000000000231</v>
      </c>
      <c r="F25" s="173">
        <f>'FS Jimbaran May 2021'!O35/'FS Jimbaran May 2021'!P35</f>
        <v>1174.3667987721672</v>
      </c>
      <c r="G25" s="164">
        <f>'FS Jimbaran May 2021'!AG35</f>
        <v>62</v>
      </c>
      <c r="H25" s="173">
        <f>'FS Jimbaran May 2021'!AH35/'FS Jimbaran May 2021'!AG35</f>
        <v>12346.774193548386</v>
      </c>
      <c r="I25" s="164">
        <f>'FS Jimbaran May 2021'!AJ35</f>
        <v>256.59000000000015</v>
      </c>
      <c r="J25" s="165">
        <f>'FS Jimbaran May 2021'!AK35/'FS Jimbaran May 2021'!AJ35</f>
        <v>8700</v>
      </c>
      <c r="K25" s="164">
        <f>'FS Jimbaran May 2021'!V35</f>
        <v>923</v>
      </c>
      <c r="L25" s="173">
        <f>'FS Jimbaran May 2021'!AA35/'FS Jimbaran May 2021'!V35</f>
        <v>11396.290693305529</v>
      </c>
      <c r="M25" s="164">
        <f>+'RNs &amp; Covers May 2021'!B29</f>
        <v>3</v>
      </c>
      <c r="N25" s="164">
        <f>+'RNs &amp; Covers May 2021'!C29</f>
        <v>56</v>
      </c>
    </row>
    <row r="26" spans="1:14" x14ac:dyDescent="0.35">
      <c r="A26" s="161" t="s">
        <v>13</v>
      </c>
      <c r="B26" s="162">
        <f>B25+1</f>
        <v>25</v>
      </c>
      <c r="C26" s="163">
        <v>5</v>
      </c>
      <c r="D26" s="162">
        <v>2021</v>
      </c>
      <c r="E26" s="164">
        <f>'FS Jimbaran May 2021'!P36</f>
        <v>14679.999999999865</v>
      </c>
      <c r="F26" s="173">
        <f>'FS Jimbaran May 2021'!O36/'FS Jimbaran May 2021'!P36</f>
        <v>1187.583860354224</v>
      </c>
      <c r="G26" s="164">
        <f>'FS Jimbaran May 2021'!AG36</f>
        <v>62</v>
      </c>
      <c r="H26" s="173">
        <f>'FS Jimbaran May 2021'!AH36/'FS Jimbaran May 2021'!AG36</f>
        <v>12346.774193548386</v>
      </c>
      <c r="I26" s="164">
        <f>'FS Jimbaran May 2021'!AJ36</f>
        <v>312.5</v>
      </c>
      <c r="J26" s="165">
        <f>'FS Jimbaran May 2021'!AK36/'FS Jimbaran May 2021'!AJ36</f>
        <v>8700</v>
      </c>
      <c r="K26" s="164">
        <f>'FS Jimbaran May 2021'!V36</f>
        <v>897</v>
      </c>
      <c r="L26" s="173">
        <f>'FS Jimbaran May 2021'!AA36/'FS Jimbaran May 2021'!V36</f>
        <v>11470.612439631859</v>
      </c>
      <c r="M26" s="164">
        <f>+'RNs &amp; Covers May 2021'!B30</f>
        <v>7</v>
      </c>
      <c r="N26" s="164">
        <f>+'RNs &amp; Covers May 2021'!C30</f>
        <v>64</v>
      </c>
    </row>
    <row r="27" spans="1:14" x14ac:dyDescent="0.35">
      <c r="A27" s="161" t="s">
        <v>13</v>
      </c>
      <c r="B27" s="162">
        <f t="shared" si="0"/>
        <v>26</v>
      </c>
      <c r="C27" s="163">
        <v>5</v>
      </c>
      <c r="D27" s="162">
        <v>2021</v>
      </c>
      <c r="E27" s="164">
        <f>'FS Jimbaran May 2021'!P37</f>
        <v>14660.000000000231</v>
      </c>
      <c r="F27" s="173">
        <f>'FS Jimbaran May 2021'!O37/'FS Jimbaran May 2021'!P37</f>
        <v>1180.301690995906</v>
      </c>
      <c r="G27" s="164">
        <f>'FS Jimbaran May 2021'!AG37</f>
        <v>112</v>
      </c>
      <c r="H27" s="173">
        <f>'FS Jimbaran May 2021'!AH37/'FS Jimbaran May 2021'!AG37</f>
        <v>12441.964285714286</v>
      </c>
      <c r="I27" s="164">
        <f>'FS Jimbaran May 2021'!AJ37</f>
        <v>296.6999999999789</v>
      </c>
      <c r="J27" s="165">
        <f>'FS Jimbaran May 2021'!AK37/'FS Jimbaran May 2021'!AJ37</f>
        <v>8700</v>
      </c>
      <c r="K27" s="164">
        <f>'FS Jimbaran May 2021'!V37</f>
        <v>910</v>
      </c>
      <c r="L27" s="173">
        <f>'FS Jimbaran May 2021'!AA37/'FS Jimbaran May 2021'!V37</f>
        <v>11476.508354703557</v>
      </c>
      <c r="M27" s="164">
        <f>+'RNs &amp; Covers May 2021'!B31</f>
        <v>8</v>
      </c>
      <c r="N27" s="164">
        <f>+'RNs &amp; Covers May 2021'!C31</f>
        <v>117</v>
      </c>
    </row>
    <row r="28" spans="1:14" x14ac:dyDescent="0.35">
      <c r="A28" s="161" t="s">
        <v>13</v>
      </c>
      <c r="B28" s="162">
        <f t="shared" si="0"/>
        <v>27</v>
      </c>
      <c r="C28" s="163">
        <v>5</v>
      </c>
      <c r="D28" s="162">
        <v>2021</v>
      </c>
      <c r="E28" s="164">
        <f>'FS Jimbaran May 2021'!P38</f>
        <v>14839.999999999933</v>
      </c>
      <c r="F28" s="173">
        <f>'FS Jimbaran May 2021'!O38/'FS Jimbaran May 2021'!P38</f>
        <v>1187.2383962264159</v>
      </c>
      <c r="G28" s="164">
        <f>'FS Jimbaran May 2021'!AG38</f>
        <v>112</v>
      </c>
      <c r="H28" s="173">
        <f>'FS Jimbaran May 2021'!AH38/'FS Jimbaran May 2021'!AG38</f>
        <v>12441.964285714286</v>
      </c>
      <c r="I28" s="164">
        <f>'FS Jimbaran May 2021'!AJ38</f>
        <v>291.93999999999869</v>
      </c>
      <c r="J28" s="165">
        <f>'FS Jimbaran May 2021'!AK38/'FS Jimbaran May 2021'!AJ38</f>
        <v>8700</v>
      </c>
      <c r="K28" s="164">
        <f>'FS Jimbaran May 2021'!V38</f>
        <v>920</v>
      </c>
      <c r="L28" s="173">
        <f>'FS Jimbaran May 2021'!AA38/'FS Jimbaran May 2021'!V38</f>
        <v>11231.090889844145</v>
      </c>
      <c r="M28" s="164">
        <f>+'RNs &amp; Covers May 2021'!B32</f>
        <v>7</v>
      </c>
      <c r="N28" s="164">
        <f>+'RNs &amp; Covers May 2021'!C32</f>
        <v>117</v>
      </c>
    </row>
    <row r="29" spans="1:14" x14ac:dyDescent="0.35">
      <c r="A29" s="161" t="s">
        <v>13</v>
      </c>
      <c r="B29" s="162">
        <f t="shared" si="0"/>
        <v>28</v>
      </c>
      <c r="C29" s="163">
        <v>5</v>
      </c>
      <c r="D29" s="162">
        <v>2021</v>
      </c>
      <c r="E29" s="164">
        <f>'FS Jimbaran May 2021'!P39</f>
        <v>15260.000000000076</v>
      </c>
      <c r="F29" s="173">
        <f>'FS Jimbaran May 2021'!O39/'FS Jimbaran May 2021'!P39</f>
        <v>1179.506353211008</v>
      </c>
      <c r="G29" s="164">
        <f>'FS Jimbaran May 2021'!AG39</f>
        <v>112</v>
      </c>
      <c r="H29" s="173">
        <f>'FS Jimbaran May 2021'!AH39/'FS Jimbaran May 2021'!AG39</f>
        <v>12441.964285714286</v>
      </c>
      <c r="I29" s="164">
        <f>'FS Jimbaran May 2021'!AJ39</f>
        <v>274.93999999999869</v>
      </c>
      <c r="J29" s="165">
        <f>'FS Jimbaran May 2021'!AK39/'FS Jimbaran May 2021'!AJ39</f>
        <v>8700</v>
      </c>
      <c r="K29" s="164">
        <f>'FS Jimbaran May 2021'!V39</f>
        <v>904</v>
      </c>
      <c r="L29" s="173">
        <f>'FS Jimbaran May 2021'!AA39/'FS Jimbaran May 2021'!V39</f>
        <v>11287.049906785698</v>
      </c>
      <c r="M29" s="164">
        <f>+'RNs &amp; Covers May 2021'!B33</f>
        <v>8</v>
      </c>
      <c r="N29" s="164">
        <f>+'RNs &amp; Covers May 2021'!C33</f>
        <v>118</v>
      </c>
    </row>
    <row r="30" spans="1:14" x14ac:dyDescent="0.35">
      <c r="A30" s="161" t="s">
        <v>13</v>
      </c>
      <c r="B30" s="162">
        <f t="shared" si="0"/>
        <v>29</v>
      </c>
      <c r="C30" s="163">
        <v>5</v>
      </c>
      <c r="D30" s="162">
        <v>2021</v>
      </c>
      <c r="E30" s="164">
        <f>'FS Jimbaran May 2021'!P40</f>
        <v>15339.999999999933</v>
      </c>
      <c r="F30" s="173">
        <f>'FS Jimbaran May 2021'!O40/'FS Jimbaran May 2021'!P40</f>
        <v>1183.280743807042</v>
      </c>
      <c r="G30" s="164">
        <f>'FS Jimbaran May 2021'!AG40</f>
        <v>112</v>
      </c>
      <c r="H30" s="173">
        <f>'FS Jimbaran May 2021'!AH40/'FS Jimbaran May 2021'!AG40</f>
        <v>12441.964285714286</v>
      </c>
      <c r="I30" s="164">
        <f>'FS Jimbaran May 2021'!AJ40</f>
        <v>284.81000000000859</v>
      </c>
      <c r="J30" s="165">
        <f>'FS Jimbaran May 2021'!AK40/'FS Jimbaran May 2021'!AJ40</f>
        <v>8700</v>
      </c>
      <c r="K30" s="164">
        <f>'FS Jimbaran May 2021'!V40</f>
        <v>913</v>
      </c>
      <c r="L30" s="173">
        <f>'FS Jimbaran May 2021'!AA40/'FS Jimbaran May 2021'!V40</f>
        <v>10657.970651436426</v>
      </c>
      <c r="M30" s="164">
        <f>+'RNs &amp; Covers May 2021'!B34</f>
        <v>11</v>
      </c>
      <c r="N30" s="164">
        <f>+'RNs &amp; Covers May 2021'!C34</f>
        <v>137</v>
      </c>
    </row>
    <row r="31" spans="1:14" x14ac:dyDescent="0.35">
      <c r="A31" s="161" t="s">
        <v>13</v>
      </c>
      <c r="B31" s="162">
        <f t="shared" si="0"/>
        <v>30</v>
      </c>
      <c r="C31" s="163">
        <v>5</v>
      </c>
      <c r="D31" s="162">
        <v>2021</v>
      </c>
      <c r="E31" s="164">
        <f>'FS Jimbaran May 2021'!P41</f>
        <v>14520.000000000018</v>
      </c>
      <c r="F31" s="173">
        <f>'FS Jimbaran May 2021'!O41/'FS Jimbaran May 2021'!P41</f>
        <v>1182.6938367768585</v>
      </c>
      <c r="G31" s="164">
        <f>'FS Jimbaran May 2021'!AG41</f>
        <v>112</v>
      </c>
      <c r="H31" s="173">
        <f>'FS Jimbaran May 2021'!AH41/'FS Jimbaran May 2021'!AG41</f>
        <v>12441.964285714286</v>
      </c>
      <c r="I31" s="164">
        <f>'FS Jimbaran May 2021'!AJ41</f>
        <v>255.3</v>
      </c>
      <c r="J31" s="165">
        <f>'FS Jimbaran May 2021'!AK41/'FS Jimbaran May 2021'!AJ41</f>
        <v>8700</v>
      </c>
      <c r="K31" s="164">
        <f>'FS Jimbaran May 2021'!V41</f>
        <v>868</v>
      </c>
      <c r="L31" s="173">
        <f>'FS Jimbaran May 2021'!AA41/'FS Jimbaran May 2021'!V41</f>
        <v>10993.997669132616</v>
      </c>
      <c r="M31" s="164">
        <f>+'RNs &amp; Covers May 2021'!B35</f>
        <v>10</v>
      </c>
      <c r="N31" s="164">
        <f>+'RNs &amp; Covers May 2021'!C35</f>
        <v>163</v>
      </c>
    </row>
    <row r="32" spans="1:14" x14ac:dyDescent="0.35">
      <c r="A32" s="161" t="s">
        <v>13</v>
      </c>
      <c r="B32" s="162">
        <f t="shared" si="0"/>
        <v>31</v>
      </c>
      <c r="C32" s="163">
        <v>5</v>
      </c>
      <c r="D32" s="162">
        <v>2021</v>
      </c>
      <c r="E32" s="164">
        <f>'FS Jimbaran May 2021'!P42</f>
        <v>14719.999999999885</v>
      </c>
      <c r="F32" s="173">
        <f>'FS Jimbaran May 2021'!O42/'FS Jimbaran May 2021'!P42</f>
        <v>1184.356730298914</v>
      </c>
      <c r="G32" s="164">
        <f>'FS Jimbaran May 2021'!AG42</f>
        <v>62</v>
      </c>
      <c r="H32" s="173">
        <f>'FS Jimbaran May 2021'!AH42/'FS Jimbaran May 2021'!AG42</f>
        <v>12346.774193548386</v>
      </c>
      <c r="I32" s="164">
        <f>'FS Jimbaran May 2021'!AJ42</f>
        <v>317.34000000000015</v>
      </c>
      <c r="J32" s="165">
        <f>'FS Jimbaran May 2021'!AK42/'FS Jimbaran May 2021'!AJ42</f>
        <v>8700</v>
      </c>
      <c r="K32" s="164">
        <f>'FS Jimbaran May 2021'!V42</f>
        <v>879</v>
      </c>
      <c r="L32" s="173">
        <f>'FS Jimbaran May 2021'!AA42/'FS Jimbaran May 2021'!V42</f>
        <v>11442.491138223337</v>
      </c>
      <c r="M32" s="164">
        <f>+'RNs &amp; Covers May 2021'!B36</f>
        <v>12</v>
      </c>
      <c r="N32" s="164">
        <f>+'RNs &amp; Covers May 2021'!C36</f>
        <v>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70"/>
  <sheetViews>
    <sheetView zoomScale="62" zoomScaleNormal="62" workbookViewId="0">
      <pane xSplit="4" ySplit="10" topLeftCell="W39" activePane="bottomRight" state="frozen"/>
      <selection pane="topRight" activeCell="E1" sqref="E1"/>
      <selection pane="bottomLeft" activeCell="A11" sqref="A11"/>
      <selection pane="bottomRight" activeCell="W50" sqref="W50"/>
    </sheetView>
  </sheetViews>
  <sheetFormatPr defaultRowHeight="15.5" x14ac:dyDescent="0.35"/>
  <cols>
    <col min="1" max="1" width="3.7265625" style="7" customWidth="1"/>
    <col min="2" max="2" width="8.7265625" style="7" customWidth="1"/>
    <col min="3" max="3" width="8.7265625" style="3" customWidth="1"/>
    <col min="4" max="4" width="9.1796875" customWidth="1"/>
    <col min="5" max="5" width="14.7265625" style="3" customWidth="1"/>
    <col min="6" max="6" width="17.7265625" style="3" customWidth="1"/>
    <col min="7" max="7" width="14.81640625" customWidth="1"/>
    <col min="8" max="8" width="17.1796875" style="3" customWidth="1"/>
    <col min="9" max="9" width="17" customWidth="1"/>
    <col min="10" max="10" width="14" customWidth="1"/>
    <col min="11" max="11" width="17.453125" customWidth="1"/>
    <col min="12" max="12" width="14.1796875" style="3" customWidth="1"/>
    <col min="13" max="13" width="18.26953125" style="64" bestFit="1" customWidth="1"/>
    <col min="14" max="14" width="20.453125" style="68" customWidth="1"/>
    <col min="15" max="15" width="18.81640625" customWidth="1"/>
    <col min="16" max="16" width="15.1796875" style="68" customWidth="1"/>
    <col min="17" max="17" width="19.7265625" customWidth="1"/>
    <col min="18" max="18" width="18.1796875" style="89" customWidth="1"/>
    <col min="19" max="19" width="24.26953125" customWidth="1"/>
    <col min="20" max="20" width="21.1796875" bestFit="1" customWidth="1"/>
    <col min="21" max="21" width="18.81640625" customWidth="1"/>
    <col min="22" max="22" width="19.7265625" customWidth="1"/>
    <col min="23" max="24" width="21.1796875" bestFit="1" customWidth="1"/>
    <col min="25" max="25" width="19.7265625" bestFit="1" customWidth="1"/>
    <col min="26" max="26" width="21.26953125" bestFit="1" customWidth="1"/>
    <col min="27" max="27" width="17.81640625" bestFit="1" customWidth="1"/>
    <col min="28" max="28" width="9.81640625" customWidth="1"/>
    <col min="29" max="29" width="15.81640625" bestFit="1" customWidth="1"/>
    <col min="30" max="30" width="12.81640625" style="3" bestFit="1" customWidth="1"/>
    <col min="31" max="31" width="14.81640625" customWidth="1"/>
    <col min="32" max="32" width="12.26953125" bestFit="1" customWidth="1"/>
    <col min="33" max="33" width="10" bestFit="1" customWidth="1"/>
    <col min="34" max="34" width="19" style="3" customWidth="1"/>
    <col min="35" max="35" width="10.54296875" customWidth="1"/>
    <col min="36" max="36" width="13.26953125" style="89" bestFit="1" customWidth="1"/>
    <col min="37" max="37" width="20.7265625" bestFit="1" customWidth="1"/>
    <col min="38" max="38" width="9.453125" style="41" bestFit="1" customWidth="1"/>
    <col min="39" max="39" width="2.26953125" style="7" customWidth="1"/>
  </cols>
  <sheetData>
    <row r="5" spans="1:39" x14ac:dyDescent="0.35">
      <c r="N5" s="174"/>
      <c r="X5" s="175"/>
    </row>
    <row r="6" spans="1:39" s="26" customFormat="1" ht="19" thickBot="1" x14ac:dyDescent="0.5">
      <c r="B6" s="26" t="s">
        <v>15</v>
      </c>
      <c r="C6" s="34"/>
      <c r="E6" s="34"/>
      <c r="F6" s="34"/>
      <c r="H6" s="34"/>
      <c r="L6" s="34"/>
      <c r="M6" s="59"/>
      <c r="N6" s="65"/>
      <c r="P6" s="65"/>
      <c r="R6" s="85"/>
      <c r="AD6" s="34"/>
      <c r="AH6" s="34"/>
      <c r="AJ6" s="85"/>
      <c r="AL6" s="37"/>
    </row>
    <row r="7" spans="1:39" s="11" customFormat="1" ht="16" thickBot="1" x14ac:dyDescent="0.4">
      <c r="A7" s="30"/>
      <c r="B7" s="229" t="s">
        <v>16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230"/>
      <c r="AA7" s="230"/>
      <c r="AB7" s="230"/>
      <c r="AC7" s="230"/>
      <c r="AD7" s="230"/>
      <c r="AE7" s="230"/>
      <c r="AF7" s="230"/>
      <c r="AG7" s="230"/>
      <c r="AH7" s="230"/>
      <c r="AI7" s="230"/>
      <c r="AJ7" s="230"/>
      <c r="AK7" s="230"/>
      <c r="AL7" s="231"/>
      <c r="AM7" s="30"/>
    </row>
    <row r="8" spans="1:39" s="7" customFormat="1" ht="15.75" customHeight="1" thickBot="1" x14ac:dyDescent="0.4">
      <c r="A8" s="27"/>
      <c r="B8" s="232" t="s">
        <v>17</v>
      </c>
      <c r="C8" s="235" t="s">
        <v>18</v>
      </c>
      <c r="D8" s="238" t="s">
        <v>12</v>
      </c>
      <c r="E8" s="241" t="s">
        <v>19</v>
      </c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2"/>
      <c r="V8" s="243" t="s">
        <v>20</v>
      </c>
      <c r="W8" s="244"/>
      <c r="X8" s="244"/>
      <c r="Y8" s="244"/>
      <c r="Z8" s="244"/>
      <c r="AA8" s="244"/>
      <c r="AB8" s="245"/>
      <c r="AC8" s="246" t="s">
        <v>21</v>
      </c>
      <c r="AD8" s="246"/>
      <c r="AE8" s="246"/>
      <c r="AF8" s="246"/>
      <c r="AG8" s="246"/>
      <c r="AH8" s="246"/>
      <c r="AI8" s="246"/>
      <c r="AJ8" s="246"/>
      <c r="AK8" s="246"/>
      <c r="AL8" s="247"/>
      <c r="AM8" s="29"/>
    </row>
    <row r="9" spans="1:39" ht="15" customHeight="1" thickBot="1" x14ac:dyDescent="0.4">
      <c r="B9" s="233"/>
      <c r="C9" s="236"/>
      <c r="D9" s="239"/>
      <c r="E9" s="248" t="s">
        <v>22</v>
      </c>
      <c r="F9" s="249"/>
      <c r="G9" s="249"/>
      <c r="H9" s="249"/>
      <c r="I9" s="250"/>
      <c r="J9" s="251" t="s">
        <v>23</v>
      </c>
      <c r="K9" s="251"/>
      <c r="L9" s="251"/>
      <c r="M9" s="251"/>
      <c r="N9" s="252"/>
      <c r="O9" s="238" t="s">
        <v>24</v>
      </c>
      <c r="P9" s="253" t="s">
        <v>25</v>
      </c>
      <c r="Q9" s="255" t="s">
        <v>26</v>
      </c>
      <c r="R9" s="257" t="s">
        <v>27</v>
      </c>
      <c r="S9" s="259" t="s">
        <v>28</v>
      </c>
      <c r="T9" s="225" t="s">
        <v>29</v>
      </c>
      <c r="U9" s="226"/>
      <c r="V9" s="53"/>
      <c r="W9" s="53" t="s">
        <v>30</v>
      </c>
      <c r="X9" s="53"/>
      <c r="Y9" s="54"/>
      <c r="Z9" s="180"/>
      <c r="AA9" s="227" t="s">
        <v>31</v>
      </c>
      <c r="AB9" s="228"/>
      <c r="AC9" s="246" t="s">
        <v>32</v>
      </c>
      <c r="AD9" s="246"/>
      <c r="AE9" s="246"/>
      <c r="AF9" s="246"/>
      <c r="AG9" s="246"/>
      <c r="AH9" s="246"/>
      <c r="AI9" s="247"/>
      <c r="AJ9" s="140" t="s">
        <v>33</v>
      </c>
      <c r="AK9" s="36"/>
      <c r="AL9" s="38"/>
    </row>
    <row r="10" spans="1:39" ht="61.5" customHeight="1" thickBot="1" x14ac:dyDescent="0.4">
      <c r="A10" s="28"/>
      <c r="B10" s="234"/>
      <c r="C10" s="237"/>
      <c r="D10" s="240"/>
      <c r="E10" s="99" t="s">
        <v>34</v>
      </c>
      <c r="F10" s="83" t="s">
        <v>35</v>
      </c>
      <c r="G10" s="133" t="s">
        <v>36</v>
      </c>
      <c r="H10" s="17" t="s">
        <v>35</v>
      </c>
      <c r="I10" s="100" t="s">
        <v>37</v>
      </c>
      <c r="J10" s="99" t="s">
        <v>34</v>
      </c>
      <c r="K10" s="84" t="s">
        <v>35</v>
      </c>
      <c r="L10" s="133" t="s">
        <v>36</v>
      </c>
      <c r="M10" s="60" t="s">
        <v>35</v>
      </c>
      <c r="N10" s="92" t="s">
        <v>38</v>
      </c>
      <c r="O10" s="240"/>
      <c r="P10" s="254"/>
      <c r="Q10" s="256"/>
      <c r="R10" s="258"/>
      <c r="S10" s="260"/>
      <c r="T10" s="181" t="s">
        <v>39</v>
      </c>
      <c r="U10" s="23" t="s">
        <v>40</v>
      </c>
      <c r="V10" s="182" t="s">
        <v>41</v>
      </c>
      <c r="W10" s="55" t="s">
        <v>42</v>
      </c>
      <c r="X10" s="55" t="s">
        <v>43</v>
      </c>
      <c r="Y10" s="22" t="s">
        <v>44</v>
      </c>
      <c r="Z10" s="22" t="s">
        <v>45</v>
      </c>
      <c r="AA10" s="22" t="s">
        <v>39</v>
      </c>
      <c r="AB10" s="12" t="s">
        <v>40</v>
      </c>
      <c r="AC10" s="125" t="s">
        <v>46</v>
      </c>
      <c r="AD10" s="48" t="s">
        <v>47</v>
      </c>
      <c r="AE10" s="47" t="s">
        <v>48</v>
      </c>
      <c r="AF10" s="47" t="s">
        <v>49</v>
      </c>
      <c r="AG10" s="47" t="s">
        <v>50</v>
      </c>
      <c r="AH10" s="48" t="s">
        <v>39</v>
      </c>
      <c r="AI10" s="49" t="s">
        <v>40</v>
      </c>
      <c r="AJ10" s="141" t="s">
        <v>51</v>
      </c>
      <c r="AK10" s="47" t="s">
        <v>39</v>
      </c>
      <c r="AL10" s="51" t="s">
        <v>40</v>
      </c>
      <c r="AM10" s="28"/>
    </row>
    <row r="11" spans="1:39" x14ac:dyDescent="0.35">
      <c r="A11" s="28"/>
      <c r="B11" s="57"/>
      <c r="C11" s="101"/>
      <c r="D11" s="183"/>
      <c r="E11" s="184"/>
      <c r="F11" s="90"/>
      <c r="G11" s="18"/>
      <c r="H11" s="19"/>
      <c r="I11" s="102"/>
      <c r="J11" s="91"/>
      <c r="K11" s="18"/>
      <c r="L11" s="19"/>
      <c r="M11" s="61"/>
      <c r="N11" s="93"/>
      <c r="O11" s="56"/>
      <c r="P11" s="110"/>
      <c r="Q11" s="185"/>
      <c r="R11" s="113"/>
      <c r="S11" s="186"/>
      <c r="T11" s="21"/>
      <c r="U11" s="24"/>
      <c r="V11" s="91"/>
      <c r="W11" s="18"/>
      <c r="X11" s="18"/>
      <c r="Y11" s="20"/>
      <c r="Z11" s="20"/>
      <c r="AA11" s="20"/>
      <c r="AB11" s="102"/>
      <c r="AC11" s="126"/>
      <c r="AD11" s="45"/>
      <c r="AE11" s="42"/>
      <c r="AF11" s="42"/>
      <c r="AG11" s="42"/>
      <c r="AH11" s="45"/>
      <c r="AI11" s="46"/>
      <c r="AJ11" s="142"/>
      <c r="AK11" s="42"/>
      <c r="AL11" s="50"/>
      <c r="AM11" s="28"/>
    </row>
    <row r="12" spans="1:39" x14ac:dyDescent="0.35">
      <c r="A12" s="33"/>
      <c r="B12" s="58">
        <v>1</v>
      </c>
      <c r="C12" s="150">
        <v>9</v>
      </c>
      <c r="D12" s="152">
        <v>72</v>
      </c>
      <c r="E12" s="106">
        <v>10639.999999999873</v>
      </c>
      <c r="F12" s="2">
        <v>11571734.15999986</v>
      </c>
      <c r="G12" s="35">
        <v>2279.9999999999727</v>
      </c>
      <c r="H12" s="2">
        <v>3719485.9799999557</v>
      </c>
      <c r="I12" s="103">
        <f>F12+H12</f>
        <v>15291220.139999816</v>
      </c>
      <c r="J12" s="106">
        <v>1360.0000000000136</v>
      </c>
      <c r="K12" s="2">
        <v>1479093.8400000148</v>
      </c>
      <c r="L12" s="187">
        <v>399.99999999999858</v>
      </c>
      <c r="M12" s="188">
        <v>652541.39999999769</v>
      </c>
      <c r="N12" s="94">
        <f>+K12+M12</f>
        <v>2131635.2400000123</v>
      </c>
      <c r="O12" s="108">
        <f>N12+I12</f>
        <v>17422855.379999828</v>
      </c>
      <c r="P12" s="111">
        <f>L12+J12+G12+E12</f>
        <v>14679.999999999858</v>
      </c>
      <c r="Q12" s="135"/>
      <c r="R12" s="204"/>
      <c r="S12" s="218"/>
      <c r="T12" s="215"/>
      <c r="U12" s="213">
        <v>0</v>
      </c>
      <c r="V12" s="189">
        <f>Y12+W12</f>
        <v>1026</v>
      </c>
      <c r="W12" s="2">
        <v>455</v>
      </c>
      <c r="X12" s="2">
        <v>8183447.3602052815</v>
      </c>
      <c r="Y12" s="31">
        <v>571</v>
      </c>
      <c r="Z12" s="31">
        <v>2720249.1650237734</v>
      </c>
      <c r="AA12" s="31">
        <f t="shared" ref="AA12:AA39" si="0">Z12+X12</f>
        <v>10903696.525229055</v>
      </c>
      <c r="AB12" s="128">
        <f t="shared" ref="AB12:AB39" si="1">AA12/$AL$48</f>
        <v>840.29137631051071</v>
      </c>
      <c r="AC12" s="134">
        <v>0</v>
      </c>
      <c r="AD12" s="2">
        <v>0</v>
      </c>
      <c r="AE12" s="2">
        <v>50</v>
      </c>
      <c r="AF12" s="2">
        <v>12</v>
      </c>
      <c r="AG12" s="2">
        <v>62</v>
      </c>
      <c r="AH12" s="2">
        <v>765500</v>
      </c>
      <c r="AI12" s="43">
        <f t="shared" ref="AI12:AI39" si="2">AH12/$AL$48</f>
        <v>58.993117341202165</v>
      </c>
      <c r="AJ12" s="143">
        <v>334.8</v>
      </c>
      <c r="AK12" s="2">
        <v>2912760</v>
      </c>
      <c r="AL12" s="39">
        <f t="shared" ref="AL12:AL42" si="3">AK12/$AL$48</f>
        <v>224.47131608982366</v>
      </c>
      <c r="AM12" s="6"/>
    </row>
    <row r="13" spans="1:39" x14ac:dyDescent="0.35">
      <c r="A13" s="33"/>
      <c r="B13" s="58">
        <v>2</v>
      </c>
      <c r="C13" s="150">
        <v>5</v>
      </c>
      <c r="D13" s="152">
        <v>109</v>
      </c>
      <c r="E13" s="106">
        <v>11200.000000000045</v>
      </c>
      <c r="F13" s="2">
        <v>12180772.800000049</v>
      </c>
      <c r="G13" s="35">
        <v>2319.9999999999932</v>
      </c>
      <c r="H13" s="2">
        <v>3784740.1199999894</v>
      </c>
      <c r="I13" s="103">
        <f t="shared" ref="I13:I42" si="4">F13+H13</f>
        <v>15965512.920000039</v>
      </c>
      <c r="J13" s="106">
        <v>1419.9999999999875</v>
      </c>
      <c r="K13" s="2">
        <v>1544347.9799999865</v>
      </c>
      <c r="L13" s="187">
        <v>359.99999999999943</v>
      </c>
      <c r="M13" s="188">
        <v>587287.25999999908</v>
      </c>
      <c r="N13" s="94">
        <f t="shared" ref="N13:N41" si="5">+K13+M13</f>
        <v>2131635.2399999853</v>
      </c>
      <c r="O13" s="108">
        <f t="shared" ref="O13:O39" si="6">N13+I13</f>
        <v>18097148.160000026</v>
      </c>
      <c r="P13" s="111">
        <f t="shared" ref="P13:P39" si="7">L13+J13+G13+E13</f>
        <v>15300.000000000025</v>
      </c>
      <c r="Q13" s="192"/>
      <c r="R13" s="205"/>
      <c r="S13" s="193"/>
      <c r="T13" s="216"/>
      <c r="U13" s="213">
        <v>0</v>
      </c>
      <c r="V13" s="189">
        <f t="shared" ref="V13:V42" si="8">Y13+W13</f>
        <v>967</v>
      </c>
      <c r="W13" s="2">
        <v>440</v>
      </c>
      <c r="X13" s="2">
        <v>7913663.3812974151</v>
      </c>
      <c r="Y13" s="31">
        <v>527</v>
      </c>
      <c r="Z13" s="31">
        <v>2510632.7670184388</v>
      </c>
      <c r="AA13" s="31">
        <f t="shared" si="0"/>
        <v>10424296.148315854</v>
      </c>
      <c r="AB13" s="128">
        <f t="shared" si="1"/>
        <v>803.346474039241</v>
      </c>
      <c r="AC13" s="134">
        <v>0</v>
      </c>
      <c r="AD13" s="2">
        <v>0</v>
      </c>
      <c r="AE13" s="2">
        <v>100</v>
      </c>
      <c r="AF13" s="2">
        <v>12</v>
      </c>
      <c r="AG13" s="2">
        <v>112</v>
      </c>
      <c r="AH13" s="2">
        <v>1393500</v>
      </c>
      <c r="AI13" s="43">
        <f t="shared" si="2"/>
        <v>107.38982235789055</v>
      </c>
      <c r="AJ13" s="143">
        <v>288</v>
      </c>
      <c r="AK13" s="2">
        <v>2505600</v>
      </c>
      <c r="AL13" s="39">
        <f t="shared" si="3"/>
        <v>193.09360523855798</v>
      </c>
      <c r="AM13" s="6"/>
    </row>
    <row r="14" spans="1:39" x14ac:dyDescent="0.35">
      <c r="A14" s="33"/>
      <c r="B14" s="58">
        <v>3</v>
      </c>
      <c r="C14" s="150">
        <v>3</v>
      </c>
      <c r="D14" s="152">
        <v>62</v>
      </c>
      <c r="E14" s="106">
        <v>10879.999999999882</v>
      </c>
      <c r="F14" s="2">
        <v>11832750.719999872</v>
      </c>
      <c r="G14" s="35">
        <v>2160.000000000025</v>
      </c>
      <c r="H14" s="2">
        <v>3523723.560000041</v>
      </c>
      <c r="I14" s="103">
        <f t="shared" si="4"/>
        <v>15356474.279999914</v>
      </c>
      <c r="J14" s="106">
        <v>1520.0000000000102</v>
      </c>
      <c r="K14" s="2">
        <v>1653104.8800000111</v>
      </c>
      <c r="L14" s="187">
        <v>500</v>
      </c>
      <c r="M14" s="188">
        <v>815676.75</v>
      </c>
      <c r="N14" s="94">
        <f t="shared" si="5"/>
        <v>2468781.6300000111</v>
      </c>
      <c r="O14" s="108">
        <f t="shared" si="6"/>
        <v>17825255.909999926</v>
      </c>
      <c r="P14" s="111">
        <f t="shared" si="7"/>
        <v>15059.999999999916</v>
      </c>
      <c r="Q14" s="192"/>
      <c r="R14" s="205"/>
      <c r="S14" s="193"/>
      <c r="T14" s="216"/>
      <c r="U14" s="213">
        <v>0</v>
      </c>
      <c r="V14" s="189">
        <f t="shared" si="8"/>
        <v>1045</v>
      </c>
      <c r="W14" s="2">
        <v>406</v>
      </c>
      <c r="X14" s="2">
        <v>7302153.029106251</v>
      </c>
      <c r="Y14" s="31">
        <v>639</v>
      </c>
      <c r="Z14" s="31">
        <v>3044201.7801229269</v>
      </c>
      <c r="AA14" s="31">
        <f t="shared" si="0"/>
        <v>10346354.809229178</v>
      </c>
      <c r="AB14" s="128">
        <f t="shared" si="1"/>
        <v>797.3399390131525</v>
      </c>
      <c r="AC14" s="134">
        <v>0</v>
      </c>
      <c r="AD14" s="2">
        <v>0</v>
      </c>
      <c r="AE14" s="2">
        <v>100</v>
      </c>
      <c r="AF14" s="2">
        <v>12</v>
      </c>
      <c r="AG14" s="2">
        <v>112</v>
      </c>
      <c r="AH14" s="2">
        <v>1393500</v>
      </c>
      <c r="AI14" s="43">
        <f t="shared" si="2"/>
        <v>107.38982235789055</v>
      </c>
      <c r="AJ14" s="143">
        <v>302</v>
      </c>
      <c r="AK14" s="2">
        <v>2627400</v>
      </c>
      <c r="AL14" s="39">
        <f t="shared" si="3"/>
        <v>202.48009993765456</v>
      </c>
      <c r="AM14" s="6"/>
    </row>
    <row r="15" spans="1:39" x14ac:dyDescent="0.35">
      <c r="A15" s="33"/>
      <c r="B15" s="58">
        <v>4</v>
      </c>
      <c r="C15" s="150">
        <v>1</v>
      </c>
      <c r="D15" s="152">
        <v>62</v>
      </c>
      <c r="E15" s="106">
        <v>10680.000000000064</v>
      </c>
      <c r="F15" s="2">
        <v>11615236.920000069</v>
      </c>
      <c r="G15" s="35">
        <v>2159.9999999999682</v>
      </c>
      <c r="H15" s="2">
        <v>3523723.5599999484</v>
      </c>
      <c r="I15" s="103">
        <f t="shared" si="4"/>
        <v>15138960.480000017</v>
      </c>
      <c r="J15" s="106">
        <v>1719.9999999999989</v>
      </c>
      <c r="K15" s="2">
        <v>1870618.6799999988</v>
      </c>
      <c r="L15" s="187">
        <v>380.00000000000256</v>
      </c>
      <c r="M15" s="188">
        <v>619914.33000000415</v>
      </c>
      <c r="N15" s="94">
        <f t="shared" si="5"/>
        <v>2490533.010000003</v>
      </c>
      <c r="O15" s="108">
        <f t="shared" si="6"/>
        <v>17629493.490000021</v>
      </c>
      <c r="P15" s="111">
        <f t="shared" si="7"/>
        <v>14940.000000000033</v>
      </c>
      <c r="Q15" s="192"/>
      <c r="R15" s="205"/>
      <c r="S15" s="193"/>
      <c r="T15" s="216"/>
      <c r="U15" s="213">
        <v>0</v>
      </c>
      <c r="V15" s="189">
        <f t="shared" si="8"/>
        <v>1054</v>
      </c>
      <c r="W15" s="2">
        <v>456</v>
      </c>
      <c r="X15" s="2">
        <v>8201432.9587991396</v>
      </c>
      <c r="Y15" s="31">
        <v>598</v>
      </c>
      <c r="Z15" s="31">
        <v>2848877.4092543195</v>
      </c>
      <c r="AA15" s="31">
        <f t="shared" si="0"/>
        <v>11050310.368053459</v>
      </c>
      <c r="AB15" s="128">
        <f t="shared" si="1"/>
        <v>851.59014526359317</v>
      </c>
      <c r="AC15" s="134">
        <v>0</v>
      </c>
      <c r="AD15" s="2">
        <v>0</v>
      </c>
      <c r="AE15" s="2">
        <v>50</v>
      </c>
      <c r="AF15" s="2">
        <v>12</v>
      </c>
      <c r="AG15" s="2">
        <v>62</v>
      </c>
      <c r="AH15" s="2">
        <v>765500</v>
      </c>
      <c r="AI15" s="43">
        <f t="shared" si="2"/>
        <v>58.993117341202165</v>
      </c>
      <c r="AJ15" s="143">
        <v>387.5</v>
      </c>
      <c r="AK15" s="2">
        <v>3371250</v>
      </c>
      <c r="AL15" s="39">
        <f t="shared" si="3"/>
        <v>259.80476399285146</v>
      </c>
      <c r="AM15" s="6"/>
    </row>
    <row r="16" spans="1:39" x14ac:dyDescent="0.35">
      <c r="A16" s="33"/>
      <c r="B16" s="58">
        <v>5</v>
      </c>
      <c r="C16" s="150">
        <v>3</v>
      </c>
      <c r="D16" s="152">
        <v>59</v>
      </c>
      <c r="E16" s="106">
        <v>10959.999999999809</v>
      </c>
      <c r="F16" s="2">
        <v>11919756.239999792</v>
      </c>
      <c r="G16" s="35">
        <v>2240.0000000000091</v>
      </c>
      <c r="H16" s="2">
        <v>3654231.8400000152</v>
      </c>
      <c r="I16" s="103">
        <f t="shared" si="4"/>
        <v>15573988.079999806</v>
      </c>
      <c r="J16" s="106">
        <v>1460.000000000008</v>
      </c>
      <c r="K16" s="2">
        <v>1587850.7400000086</v>
      </c>
      <c r="L16" s="187">
        <v>359.99999999999943</v>
      </c>
      <c r="M16" s="188">
        <v>587287.25999999908</v>
      </c>
      <c r="N16" s="94">
        <f t="shared" si="5"/>
        <v>2175138.0000000075</v>
      </c>
      <c r="O16" s="108">
        <f t="shared" si="6"/>
        <v>17749126.079999812</v>
      </c>
      <c r="P16" s="111">
        <f t="shared" si="7"/>
        <v>15019.999999999825</v>
      </c>
      <c r="Q16" s="192"/>
      <c r="R16" s="205"/>
      <c r="S16" s="193"/>
      <c r="T16" s="216"/>
      <c r="U16" s="213">
        <v>0</v>
      </c>
      <c r="V16" s="189">
        <f t="shared" si="8"/>
        <v>1032</v>
      </c>
      <c r="W16" s="2">
        <v>403</v>
      </c>
      <c r="X16" s="2">
        <v>7248196.2333246777</v>
      </c>
      <c r="Y16" s="31">
        <v>629</v>
      </c>
      <c r="Z16" s="31">
        <v>2996561.689667169</v>
      </c>
      <c r="AA16" s="31">
        <f t="shared" si="0"/>
        <v>10244757.922991846</v>
      </c>
      <c r="AB16" s="128">
        <f t="shared" si="1"/>
        <v>789.51039357709806</v>
      </c>
      <c r="AC16" s="134">
        <v>0</v>
      </c>
      <c r="AD16" s="2">
        <v>0</v>
      </c>
      <c r="AE16" s="2">
        <v>100</v>
      </c>
      <c r="AF16" s="2">
        <v>12</v>
      </c>
      <c r="AG16" s="2">
        <v>112</v>
      </c>
      <c r="AH16" s="2">
        <v>1393500</v>
      </c>
      <c r="AI16" s="43">
        <f t="shared" si="2"/>
        <v>107.38982235789055</v>
      </c>
      <c r="AJ16" s="143">
        <v>357.9</v>
      </c>
      <c r="AK16" s="2">
        <v>3113730</v>
      </c>
      <c r="AL16" s="39">
        <f t="shared" si="3"/>
        <v>239.95903234333301</v>
      </c>
      <c r="AM16" s="6"/>
    </row>
    <row r="17" spans="1:39" x14ac:dyDescent="0.35">
      <c r="A17" s="33"/>
      <c r="B17" s="58">
        <v>6</v>
      </c>
      <c r="C17" s="150">
        <v>2</v>
      </c>
      <c r="D17" s="152">
        <v>68</v>
      </c>
      <c r="E17" s="106">
        <v>11480.000000000018</v>
      </c>
      <c r="F17" s="2">
        <v>12485292.12000002</v>
      </c>
      <c r="G17" s="35">
        <v>2400.0000000000341</v>
      </c>
      <c r="H17" s="2">
        <v>3915248.4000000558</v>
      </c>
      <c r="I17" s="103">
        <f t="shared" si="4"/>
        <v>16400540.520000076</v>
      </c>
      <c r="J17" s="106">
        <v>1459.9999999999795</v>
      </c>
      <c r="K17" s="2">
        <v>1587850.7399999779</v>
      </c>
      <c r="L17" s="187">
        <v>359.99999999999943</v>
      </c>
      <c r="M17" s="188">
        <v>587287.25999999908</v>
      </c>
      <c r="N17" s="94">
        <f t="shared" si="5"/>
        <v>2175137.9999999767</v>
      </c>
      <c r="O17" s="108">
        <f t="shared" si="6"/>
        <v>18575678.520000052</v>
      </c>
      <c r="P17" s="111">
        <f t="shared" si="7"/>
        <v>15700.000000000031</v>
      </c>
      <c r="Q17" s="192"/>
      <c r="R17" s="205"/>
      <c r="S17" s="193"/>
      <c r="T17" s="193"/>
      <c r="U17" s="213">
        <v>0</v>
      </c>
      <c r="V17" s="189">
        <f t="shared" si="8"/>
        <v>1017</v>
      </c>
      <c r="W17" s="2">
        <v>406</v>
      </c>
      <c r="X17" s="2">
        <v>7302153.029106251</v>
      </c>
      <c r="Y17" s="31">
        <v>611</v>
      </c>
      <c r="Z17" s="31">
        <v>2910809.5268468051</v>
      </c>
      <c r="AA17" s="31">
        <f t="shared" si="0"/>
        <v>10212962.555953056</v>
      </c>
      <c r="AB17" s="128">
        <f t="shared" si="1"/>
        <v>787.06008943780876</v>
      </c>
      <c r="AC17" s="134">
        <v>0</v>
      </c>
      <c r="AD17" s="2">
        <v>0</v>
      </c>
      <c r="AE17" s="2">
        <v>50</v>
      </c>
      <c r="AF17" s="2">
        <v>12</v>
      </c>
      <c r="AG17" s="2">
        <v>62</v>
      </c>
      <c r="AH17" s="2">
        <v>765500</v>
      </c>
      <c r="AI17" s="43">
        <f t="shared" si="2"/>
        <v>58.993117341202165</v>
      </c>
      <c r="AJ17" s="143">
        <v>289.89999999999998</v>
      </c>
      <c r="AK17" s="2">
        <v>2522130</v>
      </c>
      <c r="AL17" s="39">
        <f t="shared" si="3"/>
        <v>194.36748666200683</v>
      </c>
      <c r="AM17" s="6"/>
    </row>
    <row r="18" spans="1:39" x14ac:dyDescent="0.35">
      <c r="A18" s="33"/>
      <c r="B18" s="58">
        <v>7</v>
      </c>
      <c r="C18" s="150">
        <v>5</v>
      </c>
      <c r="D18" s="152">
        <v>64</v>
      </c>
      <c r="E18" s="106">
        <v>10680.000000000291</v>
      </c>
      <c r="F18" s="2">
        <v>11615236.920000317</v>
      </c>
      <c r="G18" s="35">
        <v>2199.9999999999886</v>
      </c>
      <c r="H18" s="2">
        <v>3588977.6999999816</v>
      </c>
      <c r="I18" s="103">
        <f t="shared" si="4"/>
        <v>15204214.620000299</v>
      </c>
      <c r="J18" s="106">
        <v>1340.0000000000034</v>
      </c>
      <c r="K18" s="2">
        <v>1457342.4600000037</v>
      </c>
      <c r="L18" s="187">
        <v>359.99999999999943</v>
      </c>
      <c r="M18" s="188">
        <v>587287.25999999908</v>
      </c>
      <c r="N18" s="94">
        <f t="shared" si="5"/>
        <v>2044629.7200000028</v>
      </c>
      <c r="O18" s="108">
        <f t="shared" si="6"/>
        <v>17248844.340000302</v>
      </c>
      <c r="P18" s="111">
        <f t="shared" si="7"/>
        <v>14580.000000000282</v>
      </c>
      <c r="Q18" s="192"/>
      <c r="R18" s="205"/>
      <c r="S18" s="193"/>
      <c r="T18" s="193"/>
      <c r="U18" s="213">
        <v>0</v>
      </c>
      <c r="V18" s="189">
        <f t="shared" si="8"/>
        <v>1026</v>
      </c>
      <c r="W18" s="2">
        <v>443</v>
      </c>
      <c r="X18" s="2">
        <v>7967620.1770789884</v>
      </c>
      <c r="Y18" s="31">
        <v>583</v>
      </c>
      <c r="Z18" s="31">
        <v>2777417.2735706829</v>
      </c>
      <c r="AA18" s="31">
        <f t="shared" si="0"/>
        <v>10745037.450649671</v>
      </c>
      <c r="AB18" s="128">
        <f t="shared" si="1"/>
        <v>828.06434377764572</v>
      </c>
      <c r="AC18" s="134">
        <v>0</v>
      </c>
      <c r="AD18" s="2">
        <v>0</v>
      </c>
      <c r="AE18" s="2">
        <v>50</v>
      </c>
      <c r="AF18" s="2">
        <v>12</v>
      </c>
      <c r="AG18" s="2">
        <v>112</v>
      </c>
      <c r="AH18" s="2">
        <v>765500</v>
      </c>
      <c r="AI18" s="43">
        <f t="shared" si="2"/>
        <v>58.993117341202165</v>
      </c>
      <c r="AJ18" s="143">
        <v>278.10000000000002</v>
      </c>
      <c r="AK18" s="2">
        <v>2419470</v>
      </c>
      <c r="AL18" s="39">
        <f t="shared" si="3"/>
        <v>186.45601255848257</v>
      </c>
      <c r="AM18" s="6"/>
    </row>
    <row r="19" spans="1:39" x14ac:dyDescent="0.35">
      <c r="A19" s="33"/>
      <c r="B19" s="58">
        <v>8</v>
      </c>
      <c r="C19" s="150">
        <v>7</v>
      </c>
      <c r="D19" s="152">
        <v>130</v>
      </c>
      <c r="E19" s="106">
        <v>10360.000000000127</v>
      </c>
      <c r="F19" s="2">
        <v>11267214.840000138</v>
      </c>
      <c r="G19" s="35">
        <v>1879.9999999999955</v>
      </c>
      <c r="H19" s="2">
        <v>3066944.5799999931</v>
      </c>
      <c r="I19" s="103">
        <f t="shared" si="4"/>
        <v>14334159.42000013</v>
      </c>
      <c r="J19" s="106">
        <v>1420.0000000000159</v>
      </c>
      <c r="K19" s="2">
        <v>1544347.9800000172</v>
      </c>
      <c r="L19" s="187">
        <v>399.99999999999858</v>
      </c>
      <c r="M19" s="188">
        <v>652541.39999999769</v>
      </c>
      <c r="N19" s="94">
        <f t="shared" si="5"/>
        <v>2196889.3800000148</v>
      </c>
      <c r="O19" s="108">
        <f t="shared" si="6"/>
        <v>16531048.800000146</v>
      </c>
      <c r="P19" s="111">
        <f t="shared" si="7"/>
        <v>14060.000000000138</v>
      </c>
      <c r="Q19" s="192"/>
      <c r="R19" s="205"/>
      <c r="S19" s="193"/>
      <c r="T19" s="193"/>
      <c r="U19" s="213">
        <v>0</v>
      </c>
      <c r="V19" s="189">
        <f t="shared" si="8"/>
        <v>1022</v>
      </c>
      <c r="W19" s="2">
        <v>433</v>
      </c>
      <c r="X19" s="2">
        <v>7787764.1911404105</v>
      </c>
      <c r="Y19" s="31">
        <v>589</v>
      </c>
      <c r="Z19" s="31">
        <v>2806001.3278441378</v>
      </c>
      <c r="AA19" s="31">
        <f t="shared" si="0"/>
        <v>10593765.518984549</v>
      </c>
      <c r="AB19" s="128">
        <f t="shared" si="1"/>
        <v>816.40660006092344</v>
      </c>
      <c r="AC19" s="134">
        <v>0</v>
      </c>
      <c r="AD19" s="2">
        <v>0</v>
      </c>
      <c r="AE19" s="2">
        <v>100</v>
      </c>
      <c r="AF19" s="2">
        <v>12</v>
      </c>
      <c r="AG19" s="2">
        <v>112</v>
      </c>
      <c r="AH19" s="2">
        <v>1393500</v>
      </c>
      <c r="AI19" s="43">
        <f t="shared" si="2"/>
        <v>107.38982235789055</v>
      </c>
      <c r="AJ19" s="143">
        <v>218.9</v>
      </c>
      <c r="AK19" s="2">
        <v>1904430</v>
      </c>
      <c r="AL19" s="39">
        <f t="shared" si="3"/>
        <v>146.76454925944563</v>
      </c>
      <c r="AM19" s="6"/>
    </row>
    <row r="20" spans="1:39" x14ac:dyDescent="0.35">
      <c r="A20" s="33"/>
      <c r="B20" s="58">
        <v>9</v>
      </c>
      <c r="C20" s="150">
        <v>13</v>
      </c>
      <c r="D20" s="152">
        <v>137</v>
      </c>
      <c r="E20" s="106">
        <v>10839.999999999691</v>
      </c>
      <c r="F20" s="2">
        <v>11789247.959999664</v>
      </c>
      <c r="G20" s="35">
        <v>2639.9999999999864</v>
      </c>
      <c r="H20" s="2">
        <v>4306773.2399999779</v>
      </c>
      <c r="I20" s="103">
        <f t="shared" si="4"/>
        <v>16096021.199999642</v>
      </c>
      <c r="J20" s="106">
        <v>1419.9999999999875</v>
      </c>
      <c r="K20" s="2">
        <v>1544347.9799999865</v>
      </c>
      <c r="L20" s="187">
        <v>359.99999999999943</v>
      </c>
      <c r="M20" s="188">
        <v>587287.25999999908</v>
      </c>
      <c r="N20" s="94">
        <f t="shared" si="5"/>
        <v>2131635.2399999853</v>
      </c>
      <c r="O20" s="108">
        <f t="shared" si="6"/>
        <v>18227656.439999625</v>
      </c>
      <c r="P20" s="111">
        <f t="shared" si="7"/>
        <v>15259.999999999663</v>
      </c>
      <c r="Q20" s="192"/>
      <c r="R20" s="205"/>
      <c r="S20" s="193"/>
      <c r="T20" s="193"/>
      <c r="U20" s="213">
        <v>0</v>
      </c>
      <c r="V20" s="189">
        <f t="shared" si="8"/>
        <v>946</v>
      </c>
      <c r="W20" s="2">
        <v>399</v>
      </c>
      <c r="X20" s="2">
        <v>7176253.8389492473</v>
      </c>
      <c r="Y20" s="31">
        <v>547</v>
      </c>
      <c r="Z20" s="31">
        <v>2605912.9479299546</v>
      </c>
      <c r="AA20" s="31">
        <f t="shared" si="0"/>
        <v>9782166.7868792024</v>
      </c>
      <c r="AB20" s="128">
        <f t="shared" si="1"/>
        <v>753.86089237044462</v>
      </c>
      <c r="AC20" s="134">
        <v>0</v>
      </c>
      <c r="AD20" s="2">
        <v>0</v>
      </c>
      <c r="AE20" s="2">
        <v>100</v>
      </c>
      <c r="AF20" s="2">
        <v>12</v>
      </c>
      <c r="AG20" s="2">
        <v>50</v>
      </c>
      <c r="AH20" s="2">
        <v>1393500</v>
      </c>
      <c r="AI20" s="43">
        <f t="shared" si="2"/>
        <v>107.38982235789055</v>
      </c>
      <c r="AJ20" s="143">
        <v>221</v>
      </c>
      <c r="AK20" s="2">
        <v>1922700</v>
      </c>
      <c r="AL20" s="39">
        <f t="shared" si="3"/>
        <v>148.17252346431013</v>
      </c>
      <c r="AM20" s="6"/>
    </row>
    <row r="21" spans="1:39" x14ac:dyDescent="0.35">
      <c r="A21" s="33"/>
      <c r="B21" s="58">
        <v>10</v>
      </c>
      <c r="C21" s="150">
        <v>16</v>
      </c>
      <c r="D21" s="152">
        <v>78</v>
      </c>
      <c r="E21" s="106">
        <v>11400.000000000091</v>
      </c>
      <c r="F21" s="2">
        <v>12398286.600000098</v>
      </c>
      <c r="G21" s="35">
        <v>2400.0000000000341</v>
      </c>
      <c r="H21" s="2">
        <v>3915248.4000000558</v>
      </c>
      <c r="I21" s="103">
        <f t="shared" si="4"/>
        <v>16313535.000000155</v>
      </c>
      <c r="J21" s="106">
        <v>1400.0000000000057</v>
      </c>
      <c r="K21" s="2">
        <v>1522596.6000000061</v>
      </c>
      <c r="L21" s="187">
        <v>359.99999999999943</v>
      </c>
      <c r="M21" s="188">
        <v>587287.25999999908</v>
      </c>
      <c r="N21" s="94">
        <f t="shared" si="5"/>
        <v>2109883.860000005</v>
      </c>
      <c r="O21" s="108">
        <f t="shared" si="6"/>
        <v>18423418.86000016</v>
      </c>
      <c r="P21" s="111">
        <f t="shared" si="7"/>
        <v>15560.000000000131</v>
      </c>
      <c r="Q21" s="192"/>
      <c r="R21" s="205"/>
      <c r="S21" s="193"/>
      <c r="T21" s="216"/>
      <c r="U21" s="213">
        <v>0</v>
      </c>
      <c r="V21" s="189">
        <f t="shared" si="8"/>
        <v>1014</v>
      </c>
      <c r="W21" s="2">
        <v>446</v>
      </c>
      <c r="X21" s="2">
        <v>8021576.9728605617</v>
      </c>
      <c r="Y21" s="31">
        <v>568</v>
      </c>
      <c r="Z21" s="31">
        <v>2705957.1378870462</v>
      </c>
      <c r="AA21" s="31">
        <f t="shared" si="0"/>
        <v>10727534.110747607</v>
      </c>
      <c r="AB21" s="128">
        <f t="shared" si="1"/>
        <v>826.7154520928575</v>
      </c>
      <c r="AC21" s="134">
        <v>0</v>
      </c>
      <c r="AD21" s="2">
        <v>0</v>
      </c>
      <c r="AE21" s="2">
        <v>50</v>
      </c>
      <c r="AF21" s="2">
        <v>12</v>
      </c>
      <c r="AG21" s="2">
        <v>62</v>
      </c>
      <c r="AH21" s="2">
        <v>765500</v>
      </c>
      <c r="AI21" s="43">
        <f t="shared" si="2"/>
        <v>58.993117341202165</v>
      </c>
      <c r="AJ21" s="143">
        <v>325</v>
      </c>
      <c r="AK21" s="2">
        <v>2827500</v>
      </c>
      <c r="AL21" s="39">
        <f t="shared" si="3"/>
        <v>217.90076980045606</v>
      </c>
      <c r="AM21" s="6"/>
    </row>
    <row r="22" spans="1:39" x14ac:dyDescent="0.35">
      <c r="A22" s="33"/>
      <c r="B22" s="58">
        <v>11</v>
      </c>
      <c r="C22" s="150">
        <v>14</v>
      </c>
      <c r="D22" s="152">
        <v>100</v>
      </c>
      <c r="E22" s="106">
        <v>11480.000000000018</v>
      </c>
      <c r="F22" s="2">
        <v>12485292.12000002</v>
      </c>
      <c r="G22" s="35">
        <v>2239.9999999999523</v>
      </c>
      <c r="H22" s="2">
        <v>3654231.8399999221</v>
      </c>
      <c r="I22" s="103">
        <f t="shared" si="4"/>
        <v>16139523.959999941</v>
      </c>
      <c r="J22" s="106">
        <v>1379.9999999999955</v>
      </c>
      <c r="K22" s="2">
        <v>1500845.2199999951</v>
      </c>
      <c r="L22" s="187">
        <v>359.99999999999943</v>
      </c>
      <c r="M22" s="188">
        <v>587287.25999999908</v>
      </c>
      <c r="N22" s="94">
        <f t="shared" si="5"/>
        <v>2088132.4799999942</v>
      </c>
      <c r="O22" s="108">
        <f t="shared" si="6"/>
        <v>18227656.439999934</v>
      </c>
      <c r="P22" s="111">
        <f t="shared" si="7"/>
        <v>15459.999999999965</v>
      </c>
      <c r="Q22" s="192"/>
      <c r="R22" s="205"/>
      <c r="S22" s="193"/>
      <c r="T22" s="216"/>
      <c r="U22" s="213">
        <v>0</v>
      </c>
      <c r="V22" s="189">
        <f t="shared" si="8"/>
        <v>1054</v>
      </c>
      <c r="W22" s="2">
        <v>306</v>
      </c>
      <c r="X22" s="2">
        <v>5503593.1697204746</v>
      </c>
      <c r="Y22" s="31">
        <v>748</v>
      </c>
      <c r="Z22" s="31">
        <v>3563478.7660906874</v>
      </c>
      <c r="AA22" s="31">
        <f t="shared" si="0"/>
        <v>9067071.935811162</v>
      </c>
      <c r="AB22" s="128">
        <f t="shared" si="1"/>
        <v>698.75223860278106</v>
      </c>
      <c r="AC22" s="134">
        <v>0</v>
      </c>
      <c r="AD22" s="2">
        <v>0</v>
      </c>
      <c r="AE22" s="2">
        <v>100</v>
      </c>
      <c r="AF22" s="2">
        <v>12</v>
      </c>
      <c r="AG22" s="2">
        <v>112</v>
      </c>
      <c r="AH22" s="2">
        <v>1256000</v>
      </c>
      <c r="AI22" s="43">
        <f t="shared" si="2"/>
        <v>96.793410033376773</v>
      </c>
      <c r="AJ22" s="143">
        <v>209</v>
      </c>
      <c r="AK22" s="2">
        <v>1818300</v>
      </c>
      <c r="AL22" s="39">
        <f t="shared" si="3"/>
        <v>140.12695657937022</v>
      </c>
      <c r="AM22" s="6"/>
    </row>
    <row r="23" spans="1:39" x14ac:dyDescent="0.35">
      <c r="A23" s="33"/>
      <c r="B23" s="58">
        <v>12</v>
      </c>
      <c r="C23" s="150">
        <v>13</v>
      </c>
      <c r="D23" s="152">
        <v>103</v>
      </c>
      <c r="E23" s="106">
        <v>11119.999999999891</v>
      </c>
      <c r="F23" s="2">
        <v>12093767.27999988</v>
      </c>
      <c r="G23" s="35">
        <v>2280.0000000000296</v>
      </c>
      <c r="H23" s="2">
        <v>3719485.9800000489</v>
      </c>
      <c r="I23" s="103">
        <f t="shared" si="4"/>
        <v>15813253.259999929</v>
      </c>
      <c r="J23" s="106">
        <v>1379.9999999999955</v>
      </c>
      <c r="K23" s="2">
        <v>1500845.2199999951</v>
      </c>
      <c r="L23" s="187">
        <v>340.00000000000341</v>
      </c>
      <c r="M23" s="188">
        <v>554660.19000000553</v>
      </c>
      <c r="N23" s="94">
        <f t="shared" si="5"/>
        <v>2055505.4100000006</v>
      </c>
      <c r="O23" s="108">
        <f t="shared" si="6"/>
        <v>17868758.669999931</v>
      </c>
      <c r="P23" s="111">
        <f t="shared" si="7"/>
        <v>15119.99999999992</v>
      </c>
      <c r="Q23" s="192"/>
      <c r="R23" s="205"/>
      <c r="S23" s="193"/>
      <c r="T23" s="216"/>
      <c r="U23" s="213">
        <v>0</v>
      </c>
      <c r="V23" s="189">
        <f t="shared" si="8"/>
        <v>1026</v>
      </c>
      <c r="W23" s="2">
        <v>419</v>
      </c>
      <c r="X23" s="2">
        <v>7535965.8108264022</v>
      </c>
      <c r="Y23" s="31">
        <v>607</v>
      </c>
      <c r="Z23" s="31">
        <v>2891753.4906645017</v>
      </c>
      <c r="AA23" s="31">
        <f t="shared" si="0"/>
        <v>10427719.301490903</v>
      </c>
      <c r="AB23" s="128">
        <f t="shared" si="1"/>
        <v>803.61027871191573</v>
      </c>
      <c r="AC23" s="134">
        <v>0</v>
      </c>
      <c r="AD23" s="2">
        <v>0</v>
      </c>
      <c r="AE23" s="2">
        <v>100</v>
      </c>
      <c r="AF23" s="2">
        <v>12</v>
      </c>
      <c r="AG23" s="2">
        <v>112</v>
      </c>
      <c r="AH23" s="2">
        <v>1393500</v>
      </c>
      <c r="AI23" s="43">
        <f t="shared" si="2"/>
        <v>107.38982235789055</v>
      </c>
      <c r="AJ23" s="143">
        <v>386.6</v>
      </c>
      <c r="AK23" s="2">
        <v>3363420</v>
      </c>
      <c r="AL23" s="39">
        <f t="shared" si="3"/>
        <v>259.20134647648098</v>
      </c>
      <c r="AM23" s="6"/>
    </row>
    <row r="24" spans="1:39" x14ac:dyDescent="0.35">
      <c r="A24" s="33"/>
      <c r="B24" s="58">
        <v>13</v>
      </c>
      <c r="C24" s="150">
        <v>19</v>
      </c>
      <c r="D24" s="152">
        <v>129</v>
      </c>
      <c r="E24" s="106">
        <v>11039.999999999964</v>
      </c>
      <c r="F24" s="2">
        <v>12006761.759999961</v>
      </c>
      <c r="G24" s="35">
        <v>2360.0000000000136</v>
      </c>
      <c r="H24" s="2">
        <v>3849994.2600000221</v>
      </c>
      <c r="I24" s="103">
        <f t="shared" si="4"/>
        <v>15856756.019999983</v>
      </c>
      <c r="J24" s="106">
        <v>1319.9999999999932</v>
      </c>
      <c r="K24" s="2">
        <v>1435591.0799999926</v>
      </c>
      <c r="L24" s="187">
        <v>340.00000000000341</v>
      </c>
      <c r="M24" s="188">
        <v>554660.19000000553</v>
      </c>
      <c r="N24" s="94">
        <f t="shared" si="5"/>
        <v>1990251.2699999982</v>
      </c>
      <c r="O24" s="108">
        <f t="shared" si="6"/>
        <v>17847007.28999998</v>
      </c>
      <c r="P24" s="111">
        <f t="shared" si="7"/>
        <v>15059.999999999975</v>
      </c>
      <c r="Q24" s="192"/>
      <c r="R24" s="205"/>
      <c r="S24" s="193"/>
      <c r="T24" s="216"/>
      <c r="U24" s="213">
        <v>0</v>
      </c>
      <c r="V24" s="189">
        <f>Y24+W24</f>
        <v>959</v>
      </c>
      <c r="W24" s="2">
        <v>486</v>
      </c>
      <c r="X24" s="2">
        <v>8741000.9166148715</v>
      </c>
      <c r="Y24" s="31">
        <v>473</v>
      </c>
      <c r="Z24" s="31">
        <v>2253376.2785573467</v>
      </c>
      <c r="AA24" s="31">
        <f t="shared" si="0"/>
        <v>10994377.195172219</v>
      </c>
      <c r="AB24" s="128">
        <f t="shared" si="1"/>
        <v>847.27966553655369</v>
      </c>
      <c r="AC24" s="134">
        <v>0</v>
      </c>
      <c r="AD24" s="2">
        <v>0</v>
      </c>
      <c r="AE24" s="2">
        <v>100</v>
      </c>
      <c r="AF24" s="2">
        <v>12</v>
      </c>
      <c r="AG24" s="2">
        <v>62</v>
      </c>
      <c r="AH24" s="2">
        <v>1393500</v>
      </c>
      <c r="AI24" s="43">
        <f t="shared" si="2"/>
        <v>107.38982235789055</v>
      </c>
      <c r="AJ24" s="143">
        <v>239.8</v>
      </c>
      <c r="AK24" s="2">
        <v>2086260</v>
      </c>
      <c r="AL24" s="39">
        <f t="shared" si="3"/>
        <v>160.77724491738266</v>
      </c>
      <c r="AM24" s="6"/>
    </row>
    <row r="25" spans="1:39" x14ac:dyDescent="0.35">
      <c r="A25" s="33"/>
      <c r="B25" s="58">
        <v>14</v>
      </c>
      <c r="C25" s="150">
        <v>19</v>
      </c>
      <c r="D25" s="152">
        <v>139</v>
      </c>
      <c r="E25" s="106">
        <v>11720.000000000255</v>
      </c>
      <c r="F25" s="2">
        <v>12746308.680000277</v>
      </c>
      <c r="G25" s="35">
        <v>2560.0000000000023</v>
      </c>
      <c r="H25" s="2">
        <v>4176264.9600000042</v>
      </c>
      <c r="I25" s="103">
        <f t="shared" si="4"/>
        <v>16922573.64000028</v>
      </c>
      <c r="J25" s="106">
        <v>1400.0000000000057</v>
      </c>
      <c r="K25" s="2">
        <v>1522596.6000000061</v>
      </c>
      <c r="L25" s="187">
        <v>439.99999999999773</v>
      </c>
      <c r="M25" s="188">
        <v>717795.53999999631</v>
      </c>
      <c r="N25" s="94">
        <f t="shared" si="5"/>
        <v>2240392.1400000025</v>
      </c>
      <c r="O25" s="108">
        <f t="shared" si="6"/>
        <v>19162965.780000284</v>
      </c>
      <c r="P25" s="111">
        <f t="shared" si="7"/>
        <v>16120.00000000026</v>
      </c>
      <c r="Q25" s="192"/>
      <c r="R25" s="205"/>
      <c r="S25" s="193"/>
      <c r="T25" s="216"/>
      <c r="U25" s="213">
        <v>0</v>
      </c>
      <c r="V25" s="189">
        <f t="shared" si="8"/>
        <v>979</v>
      </c>
      <c r="W25" s="2">
        <v>436</v>
      </c>
      <c r="X25" s="2">
        <v>7841720.9869219838</v>
      </c>
      <c r="Y25" s="31">
        <v>543</v>
      </c>
      <c r="Z25" s="31">
        <v>2586856.9117476516</v>
      </c>
      <c r="AA25" s="31">
        <f t="shared" si="0"/>
        <v>10428577.898669636</v>
      </c>
      <c r="AB25" s="128">
        <f t="shared" si="1"/>
        <v>803.67644634629039</v>
      </c>
      <c r="AC25" s="134">
        <v>0</v>
      </c>
      <c r="AD25" s="2">
        <v>0</v>
      </c>
      <c r="AE25" s="2">
        <v>100</v>
      </c>
      <c r="AF25" s="2">
        <v>0</v>
      </c>
      <c r="AG25" s="2">
        <v>100</v>
      </c>
      <c r="AH25" s="2">
        <v>1256000</v>
      </c>
      <c r="AI25" s="43">
        <f t="shared" si="2"/>
        <v>96.793410033376773</v>
      </c>
      <c r="AJ25" s="143">
        <v>356.5</v>
      </c>
      <c r="AK25" s="2">
        <v>3101550</v>
      </c>
      <c r="AL25" s="39">
        <f t="shared" si="3"/>
        <v>239.02038287342336</v>
      </c>
      <c r="AM25" s="6"/>
    </row>
    <row r="26" spans="1:39" x14ac:dyDescent="0.35">
      <c r="A26" s="33"/>
      <c r="B26" s="58">
        <v>15</v>
      </c>
      <c r="C26" s="150">
        <v>16</v>
      </c>
      <c r="D26" s="152">
        <v>162</v>
      </c>
      <c r="E26" s="106">
        <v>11920.000000000073</v>
      </c>
      <c r="F26" s="2">
        <v>12963822.480000079</v>
      </c>
      <c r="G26" s="35">
        <v>2359.9999999999568</v>
      </c>
      <c r="H26" s="2">
        <v>3849994.2599999299</v>
      </c>
      <c r="I26" s="103">
        <f t="shared" si="4"/>
        <v>16813816.74000001</v>
      </c>
      <c r="J26" s="106">
        <v>1620.0000000000045</v>
      </c>
      <c r="K26" s="2">
        <v>1761861.7800000052</v>
      </c>
      <c r="L26" s="187">
        <v>379.99999999999545</v>
      </c>
      <c r="M26" s="188">
        <v>619914.32999999262</v>
      </c>
      <c r="N26" s="94">
        <f t="shared" si="5"/>
        <v>2381776.1099999975</v>
      </c>
      <c r="O26" s="108">
        <f t="shared" si="6"/>
        <v>19195592.850000009</v>
      </c>
      <c r="P26" s="111">
        <f t="shared" si="7"/>
        <v>16280.000000000029</v>
      </c>
      <c r="Q26" s="192"/>
      <c r="R26" s="205"/>
      <c r="S26" s="193"/>
      <c r="T26" s="216"/>
      <c r="U26" s="213">
        <v>0</v>
      </c>
      <c r="V26" s="189">
        <f t="shared" si="8"/>
        <v>939</v>
      </c>
      <c r="W26" s="2">
        <v>386</v>
      </c>
      <c r="X26" s="2">
        <v>6942441.0572290961</v>
      </c>
      <c r="Y26" s="31">
        <v>553</v>
      </c>
      <c r="Z26" s="31">
        <v>2634497.0022034096</v>
      </c>
      <c r="AA26" s="31">
        <f t="shared" si="0"/>
        <v>9576938.0594325066</v>
      </c>
      <c r="AB26" s="128">
        <f t="shared" si="1"/>
        <v>738.044978066005</v>
      </c>
      <c r="AC26" s="134">
        <v>0</v>
      </c>
      <c r="AD26" s="2">
        <v>0</v>
      </c>
      <c r="AE26" s="2">
        <v>100</v>
      </c>
      <c r="AF26" s="2">
        <v>12</v>
      </c>
      <c r="AG26" s="2">
        <v>112</v>
      </c>
      <c r="AH26" s="2">
        <v>1393500</v>
      </c>
      <c r="AI26" s="43">
        <f t="shared" si="2"/>
        <v>107.38982235789055</v>
      </c>
      <c r="AJ26" s="143">
        <v>242.2</v>
      </c>
      <c r="AK26" s="2">
        <v>2107140</v>
      </c>
      <c r="AL26" s="39">
        <f t="shared" si="3"/>
        <v>162.38635829437064</v>
      </c>
      <c r="AM26" s="6"/>
    </row>
    <row r="27" spans="1:39" x14ac:dyDescent="0.35">
      <c r="A27" s="33"/>
      <c r="B27" s="58">
        <v>16</v>
      </c>
      <c r="C27" s="150">
        <v>10</v>
      </c>
      <c r="D27" s="152">
        <v>146</v>
      </c>
      <c r="E27" s="106">
        <v>11239.999999999782</v>
      </c>
      <c r="F27" s="2">
        <v>12224275.559999764</v>
      </c>
      <c r="G27" s="35">
        <v>2360.0000000000136</v>
      </c>
      <c r="H27" s="2">
        <v>3849994.2600000221</v>
      </c>
      <c r="I27" s="103">
        <f t="shared" si="4"/>
        <v>16074269.819999786</v>
      </c>
      <c r="J27" s="106">
        <v>1419.9999999999875</v>
      </c>
      <c r="K27" s="2">
        <v>1544347.9799999865</v>
      </c>
      <c r="L27" s="187">
        <v>360.00000000000654</v>
      </c>
      <c r="M27" s="188">
        <v>587287.2600000106</v>
      </c>
      <c r="N27" s="94">
        <f t="shared" si="5"/>
        <v>2131635.239999997</v>
      </c>
      <c r="O27" s="108">
        <f t="shared" si="6"/>
        <v>18205905.059999783</v>
      </c>
      <c r="P27" s="111">
        <f t="shared" si="7"/>
        <v>15379.999999999789</v>
      </c>
      <c r="Q27" s="192"/>
      <c r="R27" s="205"/>
      <c r="S27" s="193"/>
      <c r="T27" s="216"/>
      <c r="U27" s="213">
        <v>0</v>
      </c>
      <c r="V27" s="189">
        <f t="shared" si="8"/>
        <v>922</v>
      </c>
      <c r="W27" s="2">
        <v>410</v>
      </c>
      <c r="X27" s="2">
        <v>7374095.4234816823</v>
      </c>
      <c r="Y27" s="31">
        <v>512</v>
      </c>
      <c r="Z27" s="31">
        <v>2439172.6313348021</v>
      </c>
      <c r="AA27" s="31">
        <f t="shared" si="0"/>
        <v>9813268.0548164845</v>
      </c>
      <c r="AB27" s="128">
        <f t="shared" si="1"/>
        <v>756.25770588956186</v>
      </c>
      <c r="AC27" s="134">
        <v>0</v>
      </c>
      <c r="AD27" s="2">
        <v>0</v>
      </c>
      <c r="AE27" s="2">
        <v>100</v>
      </c>
      <c r="AF27" s="2">
        <v>12</v>
      </c>
      <c r="AG27" s="2">
        <v>112</v>
      </c>
      <c r="AH27" s="2">
        <v>1393500</v>
      </c>
      <c r="AI27" s="43">
        <f t="shared" si="2"/>
        <v>107.38982235789055</v>
      </c>
      <c r="AJ27" s="143">
        <v>290</v>
      </c>
      <c r="AK27" s="2">
        <v>2523000</v>
      </c>
      <c r="AL27" s="39">
        <f t="shared" si="3"/>
        <v>194.43453305271464</v>
      </c>
      <c r="AM27" s="6"/>
    </row>
    <row r="28" spans="1:39" x14ac:dyDescent="0.35">
      <c r="A28" s="33"/>
      <c r="B28" s="58">
        <v>17</v>
      </c>
      <c r="C28" s="150">
        <v>13</v>
      </c>
      <c r="D28" s="152">
        <v>86</v>
      </c>
      <c r="E28" s="106">
        <v>11039.999999999964</v>
      </c>
      <c r="F28" s="2">
        <v>12006761.759999961</v>
      </c>
      <c r="G28" s="35">
        <v>2240.0000000000091</v>
      </c>
      <c r="H28" s="2">
        <v>3654231.8400000152</v>
      </c>
      <c r="I28" s="103">
        <f t="shared" si="4"/>
        <v>15660993.599999975</v>
      </c>
      <c r="J28" s="106">
        <v>1340.0000000000034</v>
      </c>
      <c r="K28" s="2">
        <v>1457342.4600000037</v>
      </c>
      <c r="L28" s="187">
        <v>339.99999999999631</v>
      </c>
      <c r="M28" s="188">
        <v>554660.18999999401</v>
      </c>
      <c r="N28" s="94">
        <f t="shared" si="5"/>
        <v>2012002.6499999976</v>
      </c>
      <c r="O28" s="108">
        <f t="shared" si="6"/>
        <v>17672996.249999974</v>
      </c>
      <c r="P28" s="111">
        <f t="shared" si="7"/>
        <v>14959.999999999973</v>
      </c>
      <c r="Q28" s="192"/>
      <c r="R28" s="192"/>
      <c r="S28" s="193"/>
      <c r="T28" s="216"/>
      <c r="U28" s="213">
        <v>0</v>
      </c>
      <c r="V28" s="189">
        <f t="shared" si="8"/>
        <v>896</v>
      </c>
      <c r="W28" s="2">
        <v>424</v>
      </c>
      <c r="X28" s="2">
        <v>7625893.8037956906</v>
      </c>
      <c r="Y28" s="31">
        <v>472</v>
      </c>
      <c r="Z28" s="31">
        <v>2248612.2695117709</v>
      </c>
      <c r="AA28" s="31">
        <f t="shared" si="0"/>
        <v>9874506.073307462</v>
      </c>
      <c r="AB28" s="128">
        <f t="shared" si="1"/>
        <v>760.977002572228</v>
      </c>
      <c r="AC28" s="134">
        <v>0</v>
      </c>
      <c r="AD28" s="2">
        <v>0</v>
      </c>
      <c r="AE28" s="2">
        <v>50</v>
      </c>
      <c r="AF28" s="2">
        <v>12</v>
      </c>
      <c r="AG28" s="2">
        <v>112</v>
      </c>
      <c r="AH28" s="2">
        <v>765500</v>
      </c>
      <c r="AI28" s="43">
        <f t="shared" si="2"/>
        <v>58.993117341202165</v>
      </c>
      <c r="AJ28" s="143">
        <v>300.69000000000233</v>
      </c>
      <c r="AK28" s="2">
        <v>2616003.0000000205</v>
      </c>
      <c r="AL28" s="39">
        <f t="shared" si="3"/>
        <v>201.60179221938353</v>
      </c>
      <c r="AM28" s="6"/>
    </row>
    <row r="29" spans="1:39" x14ac:dyDescent="0.35">
      <c r="A29" s="33"/>
      <c r="B29" s="58">
        <v>18</v>
      </c>
      <c r="C29" s="150">
        <v>11</v>
      </c>
      <c r="D29" s="152">
        <v>113</v>
      </c>
      <c r="E29" s="106">
        <v>10440.000000000055</v>
      </c>
      <c r="F29" s="2">
        <v>11354220.360000061</v>
      </c>
      <c r="G29" s="35">
        <v>2160.000000000025</v>
      </c>
      <c r="H29" s="2">
        <v>3523723.560000041</v>
      </c>
      <c r="I29" s="103">
        <f t="shared" si="4"/>
        <v>14877943.920000102</v>
      </c>
      <c r="J29" s="106">
        <v>1420.0000000000159</v>
      </c>
      <c r="K29" s="2">
        <v>1544347.9800000172</v>
      </c>
      <c r="L29" s="187">
        <v>380.00000000000256</v>
      </c>
      <c r="M29" s="188">
        <v>619914.33000000415</v>
      </c>
      <c r="N29" s="94">
        <f t="shared" si="5"/>
        <v>2164262.3100000215</v>
      </c>
      <c r="O29" s="108">
        <f t="shared" si="6"/>
        <v>17042206.230000123</v>
      </c>
      <c r="P29" s="111">
        <f t="shared" si="7"/>
        <v>14400.000000000098</v>
      </c>
      <c r="Q29" s="195"/>
      <c r="R29" s="195"/>
      <c r="S29" s="193"/>
      <c r="T29" s="216"/>
      <c r="U29" s="213">
        <v>0</v>
      </c>
      <c r="V29" s="189">
        <f t="shared" si="8"/>
        <v>1076</v>
      </c>
      <c r="W29" s="2">
        <v>418</v>
      </c>
      <c r="X29" s="2">
        <v>7517980.2122325441</v>
      </c>
      <c r="Y29" s="31">
        <v>658</v>
      </c>
      <c r="Z29" s="31">
        <v>3134717.951988867</v>
      </c>
      <c r="AA29" s="31">
        <f t="shared" si="0"/>
        <v>10652698.164221412</v>
      </c>
      <c r="AB29" s="128">
        <f t="shared" si="1"/>
        <v>820.94823357586233</v>
      </c>
      <c r="AC29" s="134">
        <v>0</v>
      </c>
      <c r="AD29" s="2">
        <v>0</v>
      </c>
      <c r="AE29" s="2">
        <v>100</v>
      </c>
      <c r="AF29" s="2">
        <v>12</v>
      </c>
      <c r="AG29" s="2">
        <v>62</v>
      </c>
      <c r="AH29" s="2">
        <v>1393500</v>
      </c>
      <c r="AI29" s="43">
        <f t="shared" si="2"/>
        <v>107.38982235789055</v>
      </c>
      <c r="AJ29" s="143">
        <v>299.60000000000002</v>
      </c>
      <c r="AK29" s="2">
        <v>2606520</v>
      </c>
      <c r="AL29" s="39">
        <f t="shared" si="3"/>
        <v>200.87098656066658</v>
      </c>
      <c r="AM29" s="6"/>
    </row>
    <row r="30" spans="1:39" x14ac:dyDescent="0.35">
      <c r="A30" s="33"/>
      <c r="B30" s="58">
        <v>19</v>
      </c>
      <c r="C30" s="150">
        <v>7</v>
      </c>
      <c r="D30" s="152">
        <v>103</v>
      </c>
      <c r="E30" s="106">
        <v>10199.999999999818</v>
      </c>
      <c r="F30" s="2">
        <v>11093203.799999803</v>
      </c>
      <c r="G30" s="35">
        <v>2079.9999999999841</v>
      </c>
      <c r="H30" s="2">
        <v>3393215.2799999742</v>
      </c>
      <c r="I30" s="103">
        <f t="shared" si="4"/>
        <v>14486419.079999778</v>
      </c>
      <c r="J30" s="106">
        <v>1400.0000000000057</v>
      </c>
      <c r="K30" s="2">
        <v>1522596.6000000061</v>
      </c>
      <c r="L30" s="187">
        <v>399.99999999999858</v>
      </c>
      <c r="M30" s="188">
        <v>652541.39999999769</v>
      </c>
      <c r="N30" s="94">
        <f t="shared" si="5"/>
        <v>2175138.0000000037</v>
      </c>
      <c r="O30" s="108">
        <f t="shared" si="6"/>
        <v>16661557.079999782</v>
      </c>
      <c r="P30" s="111">
        <f t="shared" si="7"/>
        <v>14079.999999999807</v>
      </c>
      <c r="Q30" s="192"/>
      <c r="R30" s="192"/>
      <c r="S30" s="193"/>
      <c r="T30" s="216"/>
      <c r="U30" s="213">
        <v>0</v>
      </c>
      <c r="V30" s="189">
        <f t="shared" si="8"/>
        <v>1033</v>
      </c>
      <c r="W30" s="2">
        <v>422</v>
      </c>
      <c r="X30" s="2">
        <v>7589922.6066079754</v>
      </c>
      <c r="Y30" s="31">
        <v>611</v>
      </c>
      <c r="Z30" s="31">
        <v>2910809.5268468051</v>
      </c>
      <c r="AA30" s="31">
        <f t="shared" si="0"/>
        <v>10500732.133454781</v>
      </c>
      <c r="AB30" s="128">
        <f t="shared" si="1"/>
        <v>809.236999238968</v>
      </c>
      <c r="AC30" s="134">
        <v>0</v>
      </c>
      <c r="AD30" s="2">
        <v>0</v>
      </c>
      <c r="AE30" s="2">
        <v>100</v>
      </c>
      <c r="AF30" s="2">
        <v>12</v>
      </c>
      <c r="AG30" s="2">
        <v>112</v>
      </c>
      <c r="AH30" s="2">
        <v>1393500</v>
      </c>
      <c r="AI30" s="43">
        <f t="shared" si="2"/>
        <v>107.38982235789055</v>
      </c>
      <c r="AJ30" s="143">
        <v>342.83000000000175</v>
      </c>
      <c r="AK30" s="2">
        <v>2982621.0000000154</v>
      </c>
      <c r="AL30" s="39">
        <f t="shared" si="3"/>
        <v>229.8551412636638</v>
      </c>
      <c r="AM30" s="6"/>
    </row>
    <row r="31" spans="1:39" x14ac:dyDescent="0.35">
      <c r="A31" s="33"/>
      <c r="B31" s="58">
        <v>20</v>
      </c>
      <c r="C31" s="150">
        <v>5</v>
      </c>
      <c r="D31" s="152">
        <v>85</v>
      </c>
      <c r="E31" s="106">
        <v>10320.000000000164</v>
      </c>
      <c r="F31" s="2">
        <v>11223712.080000179</v>
      </c>
      <c r="G31" s="35">
        <v>2159.9999999999682</v>
      </c>
      <c r="H31" s="2">
        <v>3523723.5599999484</v>
      </c>
      <c r="I31" s="103">
        <f t="shared" si="4"/>
        <v>14747435.640000127</v>
      </c>
      <c r="J31" s="106">
        <v>1560.0000000000023</v>
      </c>
      <c r="K31" s="2">
        <v>1696607.6400000025</v>
      </c>
      <c r="L31" s="187">
        <v>359.99999999999943</v>
      </c>
      <c r="M31" s="188">
        <v>587287.25999999908</v>
      </c>
      <c r="N31" s="94">
        <f t="shared" si="5"/>
        <v>2283894.9000000013</v>
      </c>
      <c r="O31" s="108">
        <f t="shared" si="6"/>
        <v>17031330.540000129</v>
      </c>
      <c r="P31" s="111">
        <f t="shared" si="7"/>
        <v>14400.000000000135</v>
      </c>
      <c r="Q31" s="195"/>
      <c r="R31" s="195"/>
      <c r="S31" s="193"/>
      <c r="T31" s="216"/>
      <c r="U31" s="213">
        <v>0</v>
      </c>
      <c r="V31" s="189">
        <f t="shared" si="8"/>
        <v>966</v>
      </c>
      <c r="W31" s="2">
        <v>338</v>
      </c>
      <c r="X31" s="2">
        <v>6079132.3247239236</v>
      </c>
      <c r="Y31" s="31">
        <v>628</v>
      </c>
      <c r="Z31" s="31">
        <v>2991797.6806215933</v>
      </c>
      <c r="AA31" s="31">
        <f t="shared" si="0"/>
        <v>9070930.0053455159</v>
      </c>
      <c r="AB31" s="128">
        <f t="shared" si="1"/>
        <v>699.04956002505503</v>
      </c>
      <c r="AC31" s="134">
        <v>0</v>
      </c>
      <c r="AD31" s="2">
        <v>0</v>
      </c>
      <c r="AE31" s="2">
        <v>50</v>
      </c>
      <c r="AF31" s="2">
        <v>12</v>
      </c>
      <c r="AG31" s="2">
        <v>62</v>
      </c>
      <c r="AH31" s="2">
        <v>765500</v>
      </c>
      <c r="AI31" s="43">
        <f t="shared" si="2"/>
        <v>58.993117341202165</v>
      </c>
      <c r="AJ31" s="143">
        <v>308.10000000000002</v>
      </c>
      <c r="AK31" s="2">
        <v>2680470</v>
      </c>
      <c r="AL31" s="39">
        <f t="shared" si="3"/>
        <v>206.56992977083235</v>
      </c>
      <c r="AM31" s="6"/>
    </row>
    <row r="32" spans="1:39" x14ac:dyDescent="0.35">
      <c r="A32" s="33"/>
      <c r="B32" s="58">
        <v>21</v>
      </c>
      <c r="C32" s="150">
        <v>10</v>
      </c>
      <c r="D32" s="152">
        <v>89</v>
      </c>
      <c r="E32" s="106">
        <v>10639.999999999873</v>
      </c>
      <c r="F32" s="2">
        <v>11571734.15999986</v>
      </c>
      <c r="G32" s="35">
        <v>2160.000000000025</v>
      </c>
      <c r="H32" s="2">
        <v>3523723.560000041</v>
      </c>
      <c r="I32" s="103">
        <f t="shared" si="4"/>
        <v>15095457.719999902</v>
      </c>
      <c r="J32" s="106">
        <v>1500</v>
      </c>
      <c r="K32" s="2">
        <v>1631353.5</v>
      </c>
      <c r="L32" s="187">
        <v>380.00000000000256</v>
      </c>
      <c r="M32" s="188">
        <v>619914.33000000415</v>
      </c>
      <c r="N32" s="94">
        <f>+K32+M32</f>
        <v>2251267.8300000043</v>
      </c>
      <c r="O32" s="108">
        <f t="shared" si="6"/>
        <v>17346725.549999908</v>
      </c>
      <c r="P32" s="111">
        <f t="shared" si="7"/>
        <v>14679.9999999999</v>
      </c>
      <c r="Q32" s="192"/>
      <c r="R32" s="206"/>
      <c r="S32" s="193"/>
      <c r="T32" s="216"/>
      <c r="U32" s="213">
        <v>0</v>
      </c>
      <c r="V32" s="189">
        <f t="shared" si="8"/>
        <v>986</v>
      </c>
      <c r="W32" s="2">
        <v>58</v>
      </c>
      <c r="X32" s="2">
        <v>1043164.7184437502</v>
      </c>
      <c r="Y32" s="31">
        <v>928</v>
      </c>
      <c r="Z32" s="31">
        <v>4421000.394294329</v>
      </c>
      <c r="AA32" s="31">
        <f t="shared" si="0"/>
        <v>5464165.1127380794</v>
      </c>
      <c r="AB32" s="128">
        <f t="shared" si="1"/>
        <v>421.09488395488006</v>
      </c>
      <c r="AC32" s="134">
        <v>0</v>
      </c>
      <c r="AD32" s="2">
        <v>0</v>
      </c>
      <c r="AE32" s="2">
        <v>50</v>
      </c>
      <c r="AF32" s="2">
        <v>12</v>
      </c>
      <c r="AG32" s="2">
        <f t="shared" ref="AG32:AG40" si="9">+AE32+AF32</f>
        <v>62</v>
      </c>
      <c r="AH32" s="2">
        <v>765500</v>
      </c>
      <c r="AI32" s="43">
        <f t="shared" si="2"/>
        <v>58.993117341202165</v>
      </c>
      <c r="AJ32" s="143">
        <v>229.64999999999782</v>
      </c>
      <c r="AK32" s="2">
        <v>1997954.9999999809</v>
      </c>
      <c r="AL32" s="39">
        <f t="shared" si="3"/>
        <v>153.97203626053619</v>
      </c>
      <c r="AM32" s="6"/>
    </row>
    <row r="33" spans="1:39" x14ac:dyDescent="0.35">
      <c r="A33" s="33"/>
      <c r="B33" s="58">
        <v>22</v>
      </c>
      <c r="C33" s="150">
        <v>9</v>
      </c>
      <c r="D33" s="152">
        <v>150</v>
      </c>
      <c r="E33" s="106">
        <v>10760.000000000218</v>
      </c>
      <c r="F33" s="2">
        <v>11702242.440000238</v>
      </c>
      <c r="G33" s="35">
        <v>2199.9999999999886</v>
      </c>
      <c r="H33" s="2">
        <v>3588977.6999999816</v>
      </c>
      <c r="I33" s="103">
        <f t="shared" si="4"/>
        <v>15291220.14000022</v>
      </c>
      <c r="J33" s="106">
        <v>1500</v>
      </c>
      <c r="K33" s="2">
        <v>1631353.5</v>
      </c>
      <c r="L33" s="187">
        <v>439.99999999999773</v>
      </c>
      <c r="M33" s="188">
        <v>717795.53999999631</v>
      </c>
      <c r="N33" s="94">
        <f t="shared" si="5"/>
        <v>2349149.0399999963</v>
      </c>
      <c r="O33" s="108">
        <f t="shared" si="6"/>
        <v>17640369.180000216</v>
      </c>
      <c r="P33" s="111">
        <f t="shared" si="7"/>
        <v>14900.000000000204</v>
      </c>
      <c r="Q33" s="192"/>
      <c r="R33" s="207"/>
      <c r="S33" s="193"/>
      <c r="T33" s="216"/>
      <c r="U33" s="213">
        <v>0</v>
      </c>
      <c r="V33" s="189">
        <f t="shared" si="8"/>
        <v>959</v>
      </c>
      <c r="W33" s="2">
        <v>448</v>
      </c>
      <c r="X33" s="2">
        <v>8057548.1700482769</v>
      </c>
      <c r="Y33" s="31">
        <v>511</v>
      </c>
      <c r="Z33" s="31">
        <v>2434408.6222892264</v>
      </c>
      <c r="AA33" s="31">
        <f t="shared" si="0"/>
        <v>10491956.792337503</v>
      </c>
      <c r="AB33" s="128">
        <f t="shared" si="1"/>
        <v>808.56072918248128</v>
      </c>
      <c r="AC33" s="134">
        <v>0</v>
      </c>
      <c r="AD33" s="2">
        <v>0</v>
      </c>
      <c r="AE33" s="2">
        <v>100</v>
      </c>
      <c r="AF33" s="2">
        <v>0</v>
      </c>
      <c r="AG33" s="2">
        <f t="shared" si="9"/>
        <v>100</v>
      </c>
      <c r="AH33" s="2">
        <v>1256000</v>
      </c>
      <c r="AI33" s="43">
        <f t="shared" si="2"/>
        <v>96.793410033376773</v>
      </c>
      <c r="AJ33" s="143">
        <v>218.4</v>
      </c>
      <c r="AK33" s="2">
        <v>1900080</v>
      </c>
      <c r="AL33" s="39">
        <f t="shared" si="3"/>
        <v>146.42931730590647</v>
      </c>
      <c r="AM33" s="6"/>
    </row>
    <row r="34" spans="1:39" x14ac:dyDescent="0.35">
      <c r="A34" s="33"/>
      <c r="B34" s="58">
        <v>23</v>
      </c>
      <c r="C34" s="150">
        <v>6</v>
      </c>
      <c r="D34" s="152">
        <v>150</v>
      </c>
      <c r="E34" s="106">
        <v>10319.999999999709</v>
      </c>
      <c r="F34" s="2">
        <v>11223712.079999683</v>
      </c>
      <c r="G34" s="35">
        <v>2280.0000000000296</v>
      </c>
      <c r="H34" s="2">
        <v>3719485.9800000489</v>
      </c>
      <c r="I34" s="103">
        <f t="shared" si="4"/>
        <v>14943198.059999732</v>
      </c>
      <c r="J34" s="106">
        <v>1519.9999999999818</v>
      </c>
      <c r="K34" s="2">
        <v>1653104.8799999803</v>
      </c>
      <c r="L34" s="187">
        <v>399.99999999999858</v>
      </c>
      <c r="M34" s="188">
        <v>652541.39999999769</v>
      </c>
      <c r="N34" s="94">
        <f t="shared" si="5"/>
        <v>2305646.2799999779</v>
      </c>
      <c r="O34" s="108">
        <f t="shared" si="6"/>
        <v>17248844.339999709</v>
      </c>
      <c r="P34" s="111">
        <f t="shared" si="7"/>
        <v>14519.99999999972</v>
      </c>
      <c r="Q34" s="195"/>
      <c r="R34" s="208"/>
      <c r="S34" s="193"/>
      <c r="T34" s="216"/>
      <c r="U34" s="213">
        <v>0</v>
      </c>
      <c r="V34" s="189">
        <f t="shared" si="8"/>
        <v>928</v>
      </c>
      <c r="W34" s="2">
        <v>466</v>
      </c>
      <c r="X34" s="2">
        <v>8381288.9447377166</v>
      </c>
      <c r="Y34" s="31">
        <v>462</v>
      </c>
      <c r="Z34" s="31">
        <v>2200972.179056013</v>
      </c>
      <c r="AA34" s="31">
        <f t="shared" si="0"/>
        <v>10582261.123793729</v>
      </c>
      <c r="AB34" s="128">
        <f t="shared" si="1"/>
        <v>815.52001595193383</v>
      </c>
      <c r="AC34" s="134">
        <v>0</v>
      </c>
      <c r="AD34" s="2">
        <v>0</v>
      </c>
      <c r="AE34" s="2">
        <v>100</v>
      </c>
      <c r="AF34" s="2">
        <v>12</v>
      </c>
      <c r="AG34" s="2">
        <f t="shared" si="9"/>
        <v>112</v>
      </c>
      <c r="AH34" s="2">
        <v>1393500</v>
      </c>
      <c r="AI34" s="43">
        <f t="shared" si="2"/>
        <v>107.38982235789055</v>
      </c>
      <c r="AJ34" s="143">
        <v>320.60000000000002</v>
      </c>
      <c r="AK34" s="2">
        <v>2789220</v>
      </c>
      <c r="AL34" s="39">
        <f t="shared" si="3"/>
        <v>214.95072860931143</v>
      </c>
      <c r="AM34" s="6"/>
    </row>
    <row r="35" spans="1:39" x14ac:dyDescent="0.35">
      <c r="A35" s="33"/>
      <c r="B35" s="58">
        <v>24</v>
      </c>
      <c r="C35" s="150">
        <v>3</v>
      </c>
      <c r="D35" s="152">
        <v>56</v>
      </c>
      <c r="E35" s="106">
        <v>10720.000000000255</v>
      </c>
      <c r="F35" s="2">
        <v>11658739.680000277</v>
      </c>
      <c r="G35" s="35">
        <v>1959.9999999999795</v>
      </c>
      <c r="H35" s="2">
        <v>3197452.8599999673</v>
      </c>
      <c r="I35" s="103">
        <f t="shared" si="4"/>
        <v>14856192.540000245</v>
      </c>
      <c r="J35" s="106">
        <v>1599.9999999999943</v>
      </c>
      <c r="K35" s="2">
        <v>1740110.3999999939</v>
      </c>
      <c r="L35" s="187">
        <v>380.00000000000256</v>
      </c>
      <c r="M35" s="188">
        <v>619914.33000000415</v>
      </c>
      <c r="N35" s="94">
        <f t="shared" si="5"/>
        <v>2360024.7299999981</v>
      </c>
      <c r="O35" s="108">
        <f t="shared" si="6"/>
        <v>17216217.270000242</v>
      </c>
      <c r="P35" s="111">
        <f t="shared" si="7"/>
        <v>14660.000000000231</v>
      </c>
      <c r="Q35" s="192"/>
      <c r="R35" s="206"/>
      <c r="S35" s="193"/>
      <c r="T35" s="216"/>
      <c r="U35" s="213">
        <v>0</v>
      </c>
      <c r="V35" s="189">
        <f t="shared" si="8"/>
        <v>923</v>
      </c>
      <c r="W35" s="2">
        <v>463</v>
      </c>
      <c r="X35" s="2">
        <v>8327332.1489561433</v>
      </c>
      <c r="Y35" s="31">
        <v>460</v>
      </c>
      <c r="Z35" s="31">
        <v>2191444.1609648615</v>
      </c>
      <c r="AA35" s="31">
        <f t="shared" si="0"/>
        <v>10518776.309921004</v>
      </c>
      <c r="AB35" s="128">
        <f t="shared" si="1"/>
        <v>810.62757039454902</v>
      </c>
      <c r="AC35" s="134">
        <v>0</v>
      </c>
      <c r="AD35" s="2">
        <v>0</v>
      </c>
      <c r="AE35" s="2">
        <v>50</v>
      </c>
      <c r="AF35" s="2">
        <v>12</v>
      </c>
      <c r="AG35" s="2">
        <f t="shared" si="9"/>
        <v>62</v>
      </c>
      <c r="AH35" s="2">
        <v>765500</v>
      </c>
      <c r="AI35" s="43">
        <f t="shared" si="2"/>
        <v>58.993117341202165</v>
      </c>
      <c r="AJ35" s="143">
        <v>256.59000000000015</v>
      </c>
      <c r="AK35" s="2">
        <v>2232333.0000000014</v>
      </c>
      <c r="AL35" s="39">
        <f t="shared" si="3"/>
        <v>172.03433391722785</v>
      </c>
      <c r="AM35" s="6"/>
    </row>
    <row r="36" spans="1:39" x14ac:dyDescent="0.35">
      <c r="A36" s="33"/>
      <c r="B36" s="58">
        <v>25</v>
      </c>
      <c r="C36" s="150">
        <v>7</v>
      </c>
      <c r="D36" s="152">
        <v>64</v>
      </c>
      <c r="E36" s="106">
        <v>10639.999999999873</v>
      </c>
      <c r="F36" s="2">
        <v>11571734.15999986</v>
      </c>
      <c r="G36" s="35">
        <v>2319.9999999999932</v>
      </c>
      <c r="H36" s="2">
        <v>3784740.1199999894</v>
      </c>
      <c r="I36" s="103">
        <f t="shared" si="4"/>
        <v>15356474.27999985</v>
      </c>
      <c r="J36" s="106">
        <v>1340.0000000000034</v>
      </c>
      <c r="K36" s="2">
        <v>1457342.4600000037</v>
      </c>
      <c r="L36" s="187">
        <v>379.99999999999545</v>
      </c>
      <c r="M36" s="188">
        <v>619914.32999999262</v>
      </c>
      <c r="N36" s="94">
        <f t="shared" si="5"/>
        <v>2077256.7899999963</v>
      </c>
      <c r="O36" s="108">
        <f t="shared" si="6"/>
        <v>17433731.069999848</v>
      </c>
      <c r="P36" s="111">
        <f t="shared" si="7"/>
        <v>14679.999999999865</v>
      </c>
      <c r="Q36" s="192"/>
      <c r="R36" s="206"/>
      <c r="S36" s="193"/>
      <c r="T36" s="216"/>
      <c r="U36" s="213">
        <v>0</v>
      </c>
      <c r="V36" s="189">
        <f t="shared" si="8"/>
        <v>897</v>
      </c>
      <c r="W36" s="2">
        <v>455</v>
      </c>
      <c r="X36" s="2">
        <v>8183447.3602052815</v>
      </c>
      <c r="Y36" s="31">
        <v>442</v>
      </c>
      <c r="Z36" s="31">
        <v>2105691.9981444972</v>
      </c>
      <c r="AA36" s="31">
        <f t="shared" si="0"/>
        <v>10289139.358349778</v>
      </c>
      <c r="AB36" s="128">
        <f t="shared" si="1"/>
        <v>792.93064076696271</v>
      </c>
      <c r="AC36" s="134">
        <v>0</v>
      </c>
      <c r="AD36" s="2">
        <v>0</v>
      </c>
      <c r="AE36" s="2">
        <v>50</v>
      </c>
      <c r="AF36" s="2">
        <v>12</v>
      </c>
      <c r="AG36" s="2">
        <f t="shared" si="9"/>
        <v>62</v>
      </c>
      <c r="AH36" s="2">
        <v>765500</v>
      </c>
      <c r="AI36" s="43">
        <f t="shared" si="2"/>
        <v>58.993117341202165</v>
      </c>
      <c r="AJ36" s="143">
        <v>312.5</v>
      </c>
      <c r="AK36" s="2">
        <v>2718750</v>
      </c>
      <c r="AL36" s="39">
        <f t="shared" si="3"/>
        <v>209.51997096197698</v>
      </c>
      <c r="AM36" s="6"/>
    </row>
    <row r="37" spans="1:39" x14ac:dyDescent="0.35">
      <c r="A37" s="33"/>
      <c r="B37" s="58">
        <v>26</v>
      </c>
      <c r="C37" s="150">
        <v>8</v>
      </c>
      <c r="D37" s="152">
        <v>117</v>
      </c>
      <c r="E37" s="106">
        <v>10760.000000000218</v>
      </c>
      <c r="F37" s="2">
        <v>11702242.440000238</v>
      </c>
      <c r="G37" s="35">
        <v>2120.0000000000045</v>
      </c>
      <c r="H37" s="2">
        <v>3458469.4200000078</v>
      </c>
      <c r="I37" s="103">
        <f t="shared" si="4"/>
        <v>15160711.860000245</v>
      </c>
      <c r="J37" s="106">
        <v>1400.0000000000057</v>
      </c>
      <c r="K37" s="2">
        <v>1522596.6000000061</v>
      </c>
      <c r="L37" s="187">
        <v>380.00000000000256</v>
      </c>
      <c r="M37" s="188">
        <v>619914.33000000415</v>
      </c>
      <c r="N37" s="94">
        <f t="shared" si="5"/>
        <v>2142510.9300000104</v>
      </c>
      <c r="O37" s="108">
        <f t="shared" si="6"/>
        <v>17303222.790000256</v>
      </c>
      <c r="P37" s="111">
        <f t="shared" si="7"/>
        <v>14660.000000000231</v>
      </c>
      <c r="Q37" s="192"/>
      <c r="R37" s="206"/>
      <c r="S37" s="193"/>
      <c r="T37" s="216"/>
      <c r="U37" s="213">
        <v>0</v>
      </c>
      <c r="V37" s="189">
        <f t="shared" si="8"/>
        <v>910</v>
      </c>
      <c r="W37" s="2">
        <v>462</v>
      </c>
      <c r="X37" s="2">
        <v>8309346.5503622862</v>
      </c>
      <c r="Y37" s="31">
        <v>448</v>
      </c>
      <c r="Z37" s="31">
        <v>2134276.0524179516</v>
      </c>
      <c r="AA37" s="31">
        <f t="shared" si="0"/>
        <v>10443622.602780238</v>
      </c>
      <c r="AB37" s="128">
        <f t="shared" si="1"/>
        <v>804.83586371397223</v>
      </c>
      <c r="AC37" s="134">
        <v>0</v>
      </c>
      <c r="AD37" s="2">
        <v>0</v>
      </c>
      <c r="AE37" s="2">
        <v>100</v>
      </c>
      <c r="AF37" s="2">
        <v>12</v>
      </c>
      <c r="AG37" s="2">
        <f t="shared" si="9"/>
        <v>112</v>
      </c>
      <c r="AH37" s="2">
        <v>1393500</v>
      </c>
      <c r="AI37" s="43">
        <f t="shared" si="2"/>
        <v>107.38982235789055</v>
      </c>
      <c r="AJ37" s="143">
        <v>296.6999999999789</v>
      </c>
      <c r="AK37" s="2">
        <v>2581289.9999998165</v>
      </c>
      <c r="AL37" s="39">
        <f t="shared" si="3"/>
        <v>198.92664123012528</v>
      </c>
      <c r="AM37" s="6"/>
    </row>
    <row r="38" spans="1:39" x14ac:dyDescent="0.35">
      <c r="A38" s="33"/>
      <c r="B38" s="58">
        <v>27</v>
      </c>
      <c r="C38" s="150">
        <v>7</v>
      </c>
      <c r="D38" s="152">
        <v>117</v>
      </c>
      <c r="E38" s="106">
        <v>10599.999999999909</v>
      </c>
      <c r="F38" s="2">
        <v>11528231.399999902</v>
      </c>
      <c r="G38" s="35">
        <v>2240.0000000000091</v>
      </c>
      <c r="H38" s="2">
        <v>3654231.8400000152</v>
      </c>
      <c r="I38" s="103">
        <f t="shared" si="4"/>
        <v>15182463.239999916</v>
      </c>
      <c r="J38" s="106">
        <v>1520.0000000000102</v>
      </c>
      <c r="K38" s="2">
        <v>1653104.8800000111</v>
      </c>
      <c r="L38" s="187">
        <v>480.00000000000398</v>
      </c>
      <c r="M38" s="188">
        <v>783049.68000000645</v>
      </c>
      <c r="N38" s="94">
        <f t="shared" si="5"/>
        <v>2436154.5600000173</v>
      </c>
      <c r="O38" s="108">
        <f t="shared" si="6"/>
        <v>17618617.799999934</v>
      </c>
      <c r="P38" s="111">
        <f t="shared" si="7"/>
        <v>14839.999999999933</v>
      </c>
      <c r="Q38" s="192"/>
      <c r="R38" s="206"/>
      <c r="S38" s="193"/>
      <c r="T38" s="216"/>
      <c r="U38" s="213">
        <v>0</v>
      </c>
      <c r="V38" s="189">
        <f t="shared" si="8"/>
        <v>920</v>
      </c>
      <c r="W38" s="2">
        <v>450</v>
      </c>
      <c r="X38" s="2">
        <v>8093519.367235993</v>
      </c>
      <c r="Y38" s="31">
        <v>470</v>
      </c>
      <c r="Z38" s="31">
        <v>2239084.251420619</v>
      </c>
      <c r="AA38" s="31">
        <f t="shared" si="0"/>
        <v>10332603.618656613</v>
      </c>
      <c r="AB38" s="128">
        <f t="shared" si="1"/>
        <v>796.28020602944434</v>
      </c>
      <c r="AC38" s="134">
        <v>0</v>
      </c>
      <c r="AD38" s="2">
        <v>0</v>
      </c>
      <c r="AE38" s="2">
        <v>100</v>
      </c>
      <c r="AF38" s="2">
        <v>12</v>
      </c>
      <c r="AG38" s="2">
        <f t="shared" si="9"/>
        <v>112</v>
      </c>
      <c r="AH38" s="2">
        <v>1393500</v>
      </c>
      <c r="AI38" s="43">
        <f t="shared" si="2"/>
        <v>107.38982235789055</v>
      </c>
      <c r="AJ38" s="143">
        <v>291.93999999999869</v>
      </c>
      <c r="AK38" s="2">
        <v>2539877.9999999888</v>
      </c>
      <c r="AL38" s="39">
        <f t="shared" si="3"/>
        <v>195.73523303244573</v>
      </c>
      <c r="AM38" s="6"/>
    </row>
    <row r="39" spans="1:39" x14ac:dyDescent="0.35">
      <c r="A39" s="33"/>
      <c r="B39" s="58">
        <v>28</v>
      </c>
      <c r="C39" s="150">
        <v>8</v>
      </c>
      <c r="D39" s="152">
        <v>118</v>
      </c>
      <c r="E39" s="106">
        <v>10880.000000000109</v>
      </c>
      <c r="F39" s="2">
        <v>11832750.720000118</v>
      </c>
      <c r="G39" s="35">
        <v>2199.9999999999886</v>
      </c>
      <c r="H39" s="2">
        <v>3588977.6999999816</v>
      </c>
      <c r="I39" s="103">
        <f t="shared" si="4"/>
        <v>15421728.420000099</v>
      </c>
      <c r="J39" s="106">
        <v>1799.9999999999829</v>
      </c>
      <c r="K39" s="2">
        <v>1957624.1999999816</v>
      </c>
      <c r="L39" s="187">
        <v>379.99999999999545</v>
      </c>
      <c r="M39" s="188">
        <v>619914.32999999262</v>
      </c>
      <c r="N39" s="94">
        <f t="shared" si="5"/>
        <v>2577538.5299999742</v>
      </c>
      <c r="O39" s="108">
        <f t="shared" si="6"/>
        <v>17999266.950000074</v>
      </c>
      <c r="P39" s="111">
        <f t="shared" si="7"/>
        <v>15260.000000000076</v>
      </c>
      <c r="Q39" s="192"/>
      <c r="R39" s="209"/>
      <c r="S39" s="193"/>
      <c r="T39" s="216"/>
      <c r="U39" s="213">
        <v>0</v>
      </c>
      <c r="V39" s="189">
        <f t="shared" si="8"/>
        <v>904</v>
      </c>
      <c r="W39" s="2">
        <v>446</v>
      </c>
      <c r="X39" s="2">
        <v>8021576.9728605617</v>
      </c>
      <c r="Y39" s="31">
        <v>458</v>
      </c>
      <c r="Z39" s="31">
        <v>2181916.1428737096</v>
      </c>
      <c r="AA39" s="31">
        <f t="shared" si="0"/>
        <v>10203493.115734272</v>
      </c>
      <c r="AB39" s="128">
        <f t="shared" si="1"/>
        <v>786.3303287611501</v>
      </c>
      <c r="AC39" s="134">
        <v>0</v>
      </c>
      <c r="AD39" s="2">
        <v>0</v>
      </c>
      <c r="AE39" s="2">
        <v>100</v>
      </c>
      <c r="AF39" s="2">
        <v>12</v>
      </c>
      <c r="AG39" s="2">
        <f t="shared" si="9"/>
        <v>112</v>
      </c>
      <c r="AH39" s="2">
        <v>1393500</v>
      </c>
      <c r="AI39" s="43">
        <f t="shared" si="2"/>
        <v>107.38982235789055</v>
      </c>
      <c r="AJ39" s="143">
        <v>274.93999999999869</v>
      </c>
      <c r="AK39" s="2">
        <v>2391977.9999999888</v>
      </c>
      <c r="AL39" s="39">
        <f t="shared" si="3"/>
        <v>184.33734661211417</v>
      </c>
      <c r="AM39" s="6"/>
    </row>
    <row r="40" spans="1:39" x14ac:dyDescent="0.35">
      <c r="A40" s="33"/>
      <c r="B40" s="58">
        <v>29</v>
      </c>
      <c r="C40" s="150">
        <v>11</v>
      </c>
      <c r="D40" s="152">
        <v>137</v>
      </c>
      <c r="E40" s="106">
        <v>11119.999999999891</v>
      </c>
      <c r="F40" s="2">
        <v>12093767.27999988</v>
      </c>
      <c r="G40" s="35">
        <v>2280.0000000000296</v>
      </c>
      <c r="H40" s="2">
        <v>3719485.9800000489</v>
      </c>
      <c r="I40" s="103">
        <f t="shared" si="4"/>
        <v>15813253.259999929</v>
      </c>
      <c r="J40" s="106">
        <v>1520.0000000000102</v>
      </c>
      <c r="K40" s="2">
        <v>1653104.8800000111</v>
      </c>
      <c r="L40" s="187">
        <v>420.00000000000171</v>
      </c>
      <c r="M40" s="188">
        <v>685168.47000000288</v>
      </c>
      <c r="N40" s="94">
        <f t="shared" si="5"/>
        <v>2338273.3500000141</v>
      </c>
      <c r="O40" s="108">
        <f t="shared" ref="O40:O41" si="10">N40+I40</f>
        <v>18151526.609999944</v>
      </c>
      <c r="P40" s="111">
        <f t="shared" ref="P40:P41" si="11">L40+J40+G40+E40</f>
        <v>15339.999999999933</v>
      </c>
      <c r="Q40" s="195"/>
      <c r="R40" s="210"/>
      <c r="S40" s="193"/>
      <c r="T40" s="216"/>
      <c r="U40" s="213">
        <v>0</v>
      </c>
      <c r="V40" s="189">
        <f t="shared" si="8"/>
        <v>913</v>
      </c>
      <c r="W40" s="2">
        <v>407</v>
      </c>
      <c r="X40" s="2">
        <v>7320138.627700109</v>
      </c>
      <c r="Y40" s="31">
        <v>506</v>
      </c>
      <c r="Z40" s="31">
        <v>2410588.5770613472</v>
      </c>
      <c r="AA40" s="31">
        <f t="shared" ref="AA40:AA41" si="12">Z40+X40</f>
        <v>9730727.2047614567</v>
      </c>
      <c r="AB40" s="128">
        <f t="shared" ref="AB40:AB41" si="13">AA40/$AL$48</f>
        <v>749.89671039284224</v>
      </c>
      <c r="AC40" s="134">
        <v>0</v>
      </c>
      <c r="AD40" s="2">
        <v>0</v>
      </c>
      <c r="AE40" s="2">
        <v>100</v>
      </c>
      <c r="AF40" s="2">
        <v>12</v>
      </c>
      <c r="AG40" s="2">
        <f t="shared" si="9"/>
        <v>112</v>
      </c>
      <c r="AH40" s="2">
        <v>1393500</v>
      </c>
      <c r="AI40" s="43">
        <f t="shared" ref="AI40:AI42" si="14">AH40/$AL$48</f>
        <v>107.38982235789055</v>
      </c>
      <c r="AJ40" s="143">
        <v>284.81000000000859</v>
      </c>
      <c r="AK40" s="2">
        <v>2477847.0000000745</v>
      </c>
      <c r="AL40" s="39">
        <f t="shared" si="3"/>
        <v>190.95482537498387</v>
      </c>
      <c r="AM40" s="6"/>
    </row>
    <row r="41" spans="1:39" x14ac:dyDescent="0.35">
      <c r="A41" s="33"/>
      <c r="B41" s="58">
        <v>30</v>
      </c>
      <c r="C41" s="150">
        <v>10</v>
      </c>
      <c r="D41" s="152">
        <v>163</v>
      </c>
      <c r="E41" s="106">
        <v>10440.000000000055</v>
      </c>
      <c r="F41" s="2">
        <v>11354220.360000061</v>
      </c>
      <c r="G41" s="35">
        <v>2159.9999999999682</v>
      </c>
      <c r="H41" s="2">
        <v>3523723.5599999484</v>
      </c>
      <c r="I41" s="103">
        <f t="shared" si="4"/>
        <v>14877943.920000009</v>
      </c>
      <c r="J41" s="106">
        <v>1539.999999999992</v>
      </c>
      <c r="K41" s="2">
        <v>1674856.2599999914</v>
      </c>
      <c r="L41" s="187">
        <v>380.00000000000256</v>
      </c>
      <c r="M41" s="188">
        <v>619914.33000000415</v>
      </c>
      <c r="N41" s="94">
        <f t="shared" si="5"/>
        <v>2294770.5899999957</v>
      </c>
      <c r="O41" s="108">
        <f t="shared" si="10"/>
        <v>17172714.510000005</v>
      </c>
      <c r="P41" s="111">
        <f t="shared" si="11"/>
        <v>14520.000000000018</v>
      </c>
      <c r="Q41" s="192"/>
      <c r="R41" s="211"/>
      <c r="S41" s="193"/>
      <c r="T41" s="216"/>
      <c r="U41" s="213">
        <v>0</v>
      </c>
      <c r="V41" s="189">
        <f t="shared" si="8"/>
        <v>868</v>
      </c>
      <c r="W41" s="2">
        <v>409</v>
      </c>
      <c r="X41" s="2">
        <v>7356109.8248878242</v>
      </c>
      <c r="Y41" s="31">
        <v>459</v>
      </c>
      <c r="Z41" s="31">
        <v>2186680.1519192853</v>
      </c>
      <c r="AA41" s="31">
        <f t="shared" si="12"/>
        <v>9542789.97680711</v>
      </c>
      <c r="AB41" s="128">
        <f t="shared" si="13"/>
        <v>735.41336233080301</v>
      </c>
      <c r="AC41" s="134">
        <v>0</v>
      </c>
      <c r="AD41" s="2">
        <v>0</v>
      </c>
      <c r="AE41" s="2">
        <v>100</v>
      </c>
      <c r="AF41" s="2">
        <v>12</v>
      </c>
      <c r="AG41" s="2">
        <f>+AE41+AF41</f>
        <v>112</v>
      </c>
      <c r="AH41" s="2">
        <v>1393500</v>
      </c>
      <c r="AI41" s="43">
        <f t="shared" si="14"/>
        <v>107.38982235789055</v>
      </c>
      <c r="AJ41" s="143">
        <v>255.3</v>
      </c>
      <c r="AK41" s="2">
        <v>2221110</v>
      </c>
      <c r="AL41" s="39">
        <f t="shared" si="3"/>
        <v>171.16943547709673</v>
      </c>
      <c r="AM41" s="6"/>
    </row>
    <row r="42" spans="1:39" x14ac:dyDescent="0.35">
      <c r="A42" s="33"/>
      <c r="B42" s="58">
        <v>31</v>
      </c>
      <c r="C42" s="176">
        <v>12</v>
      </c>
      <c r="D42" s="177">
        <v>97</v>
      </c>
      <c r="E42" s="106">
        <v>10639.999999999873</v>
      </c>
      <c r="F42" s="2">
        <v>11571734.15999986</v>
      </c>
      <c r="G42" s="35">
        <v>2240.0000000000091</v>
      </c>
      <c r="H42" s="2">
        <v>3654231.8400000152</v>
      </c>
      <c r="I42" s="103">
        <f t="shared" si="4"/>
        <v>15225965.999999875</v>
      </c>
      <c r="J42" s="106">
        <v>1460.000000000008</v>
      </c>
      <c r="K42" s="2">
        <v>1587850.7400000086</v>
      </c>
      <c r="L42" s="187">
        <v>379.99999999999545</v>
      </c>
      <c r="M42" s="188">
        <v>619914.32999999262</v>
      </c>
      <c r="N42" s="94">
        <f t="shared" ref="N42" si="15">+K42+M42</f>
        <v>2207765.0700000012</v>
      </c>
      <c r="O42" s="108">
        <f t="shared" ref="O42" si="16">N42+I42</f>
        <v>17433731.069999877</v>
      </c>
      <c r="P42" s="111">
        <f t="shared" ref="P42" si="17">L42+J42+G42+E42</f>
        <v>14719.999999999885</v>
      </c>
      <c r="Q42" s="192"/>
      <c r="R42" s="211"/>
      <c r="S42" s="193"/>
      <c r="T42" s="216"/>
      <c r="U42" s="213">
        <v>0</v>
      </c>
      <c r="V42" s="189">
        <f t="shared" si="8"/>
        <v>879</v>
      </c>
      <c r="W42" s="2">
        <v>444</v>
      </c>
      <c r="X42" s="2">
        <v>7985605.7756728465</v>
      </c>
      <c r="Y42" s="31">
        <v>435</v>
      </c>
      <c r="Z42" s="31">
        <v>2072343.9348254667</v>
      </c>
      <c r="AA42" s="31">
        <f t="shared" ref="AA42" si="18">Z42+X42</f>
        <v>10057949.710498312</v>
      </c>
      <c r="AB42" s="128">
        <f t="shared" ref="AB42" si="19">AA42/$AL$48</f>
        <v>775.1140528848299</v>
      </c>
      <c r="AC42" s="134">
        <v>0</v>
      </c>
      <c r="AD42" s="2">
        <v>0</v>
      </c>
      <c r="AE42" s="2">
        <v>50</v>
      </c>
      <c r="AF42" s="2">
        <v>12</v>
      </c>
      <c r="AG42" s="2">
        <f>+AE42+AF42</f>
        <v>62</v>
      </c>
      <c r="AH42" s="2">
        <v>765500</v>
      </c>
      <c r="AI42" s="43">
        <f t="shared" si="14"/>
        <v>58.993117341202165</v>
      </c>
      <c r="AJ42" s="143">
        <v>317.34000000000015</v>
      </c>
      <c r="AK42" s="2">
        <v>2760858.0000000014</v>
      </c>
      <c r="AL42" s="39">
        <f t="shared" si="3"/>
        <v>212.76501627223618</v>
      </c>
      <c r="AM42" s="6"/>
    </row>
    <row r="43" spans="1:39" ht="16" thickBot="1" x14ac:dyDescent="0.4">
      <c r="A43" s="33"/>
      <c r="B43" s="122"/>
      <c r="C43" s="151"/>
      <c r="D43" s="153"/>
      <c r="E43" s="104"/>
      <c r="F43" s="104"/>
      <c r="G43" s="95"/>
      <c r="H43" s="96"/>
      <c r="I43" s="105"/>
      <c r="J43" s="107"/>
      <c r="K43" s="95"/>
      <c r="L43" s="96"/>
      <c r="M43" s="97"/>
      <c r="N43" s="98"/>
      <c r="O43" s="109"/>
      <c r="P43" s="112"/>
      <c r="Q43" s="178"/>
      <c r="R43" s="212"/>
      <c r="S43" s="194"/>
      <c r="T43" s="217"/>
      <c r="U43" s="214"/>
      <c r="V43" s="189"/>
      <c r="W43" s="2"/>
      <c r="X43" s="2"/>
      <c r="Y43" s="31"/>
      <c r="Z43" s="31"/>
      <c r="AA43" s="16"/>
      <c r="AB43" s="129"/>
      <c r="AC43" s="127"/>
      <c r="AD43" s="2"/>
      <c r="AE43" s="1"/>
      <c r="AF43" s="1"/>
      <c r="AG43" s="1"/>
      <c r="AH43" s="2"/>
      <c r="AI43" s="43"/>
      <c r="AJ43" s="143"/>
      <c r="AK43" s="2"/>
      <c r="AL43" s="39"/>
      <c r="AM43" s="6"/>
    </row>
    <row r="44" spans="1:39" s="7" customFormat="1" ht="4.5" customHeight="1" x14ac:dyDescent="0.35">
      <c r="B44" s="117"/>
      <c r="C44" s="118"/>
      <c r="D44" s="118"/>
      <c r="E44" s="116"/>
      <c r="F44" s="6"/>
      <c r="H44" s="6"/>
      <c r="L44" s="6"/>
      <c r="M44" s="62"/>
      <c r="N44" s="66"/>
      <c r="P44" s="66"/>
      <c r="R44" s="86"/>
      <c r="S44" s="6"/>
      <c r="U44" s="32"/>
      <c r="V44" s="130"/>
      <c r="AB44" s="32"/>
      <c r="AD44" s="6"/>
      <c r="AJ44" s="86"/>
      <c r="AL44" s="32"/>
    </row>
    <row r="45" spans="1:39" s="7" customFormat="1" ht="6" customHeight="1" x14ac:dyDescent="0.35">
      <c r="B45" s="117"/>
      <c r="C45" s="118"/>
      <c r="D45" s="118"/>
      <c r="E45" s="116"/>
      <c r="F45" s="6"/>
      <c r="H45" s="6"/>
      <c r="L45" s="6"/>
      <c r="M45" s="62"/>
      <c r="N45" s="66"/>
      <c r="P45" s="66"/>
      <c r="R45" s="86"/>
      <c r="S45" s="14"/>
      <c r="T45" s="14"/>
      <c r="U45" s="32"/>
      <c r="V45" s="130"/>
      <c r="AB45" s="131"/>
      <c r="AD45" s="6"/>
      <c r="AH45" s="6"/>
      <c r="AJ45" s="88"/>
      <c r="AK45" s="4"/>
      <c r="AL45" s="40"/>
    </row>
    <row r="46" spans="1:39" s="7" customFormat="1" ht="16" thickBot="1" x14ac:dyDescent="0.4">
      <c r="B46" s="119"/>
      <c r="C46" s="120"/>
      <c r="D46" s="120"/>
      <c r="E46" s="121"/>
      <c r="F46" s="72"/>
      <c r="G46" s="71"/>
      <c r="H46" s="72"/>
      <c r="I46" s="71"/>
      <c r="J46" s="71"/>
      <c r="K46" s="71"/>
      <c r="L46" s="72"/>
      <c r="M46" s="73"/>
      <c r="N46" s="74"/>
      <c r="O46" s="71"/>
      <c r="P46" s="74"/>
      <c r="Q46" s="71"/>
      <c r="R46" s="87"/>
      <c r="S46" s="75"/>
      <c r="T46" s="71"/>
      <c r="U46" s="190"/>
      <c r="V46" s="132"/>
      <c r="W46" s="77"/>
      <c r="X46" s="71"/>
      <c r="Y46" s="71"/>
      <c r="Z46" s="71"/>
      <c r="AA46" s="71"/>
      <c r="AB46" s="76"/>
      <c r="AC46" s="78"/>
      <c r="AD46" s="72"/>
      <c r="AE46" s="78"/>
      <c r="AF46" s="78"/>
      <c r="AG46" s="78"/>
      <c r="AH46" s="72"/>
      <c r="AI46" s="71"/>
      <c r="AJ46" s="144"/>
      <c r="AK46" s="79"/>
      <c r="AL46" s="80"/>
    </row>
    <row r="47" spans="1:39" ht="16.5" thickTop="1" thickBot="1" x14ac:dyDescent="0.4">
      <c r="A47" s="25"/>
      <c r="B47" s="69"/>
      <c r="C47" s="70">
        <f>SUM(C12:C43)</f>
        <v>282</v>
      </c>
      <c r="D47" s="70">
        <f>SUM(D12:D43)</f>
        <v>3265</v>
      </c>
      <c r="E47" s="70">
        <f>SUM(E12:E43)</f>
        <v>337159.99999999988</v>
      </c>
      <c r="F47" s="70">
        <f>SUM(F12:F43)</f>
        <v>366684764.03999978</v>
      </c>
      <c r="G47" s="70">
        <f>SUM(G12:G43)</f>
        <v>69639.999999999985</v>
      </c>
      <c r="H47" s="70">
        <f t="shared" ref="H47:O47" si="20">SUM(H12:H43)</f>
        <v>113607457.73999999</v>
      </c>
      <c r="I47" s="70">
        <f t="shared" si="20"/>
        <v>480292221.77999979</v>
      </c>
      <c r="J47" s="70">
        <f t="shared" si="20"/>
        <v>45460.000000000007</v>
      </c>
      <c r="K47" s="70">
        <f t="shared" si="20"/>
        <v>49440886.740000002</v>
      </c>
      <c r="L47" s="70">
        <f t="shared" si="20"/>
        <v>11939.999999999996</v>
      </c>
      <c r="M47" s="70">
        <f t="shared" si="20"/>
        <v>19478360.789999999</v>
      </c>
      <c r="N47" s="70">
        <f t="shared" si="20"/>
        <v>68919247.530000016</v>
      </c>
      <c r="O47" s="70">
        <f t="shared" si="20"/>
        <v>549211469.31000006</v>
      </c>
      <c r="P47" s="82">
        <f>SUM(P12:P43)</f>
        <v>464199.99999999977</v>
      </c>
      <c r="Q47" s="191" t="e">
        <f>+#REF!</f>
        <v>#REF!</v>
      </c>
      <c r="R47" s="123" t="e">
        <f>+#REF!</f>
        <v>#REF!</v>
      </c>
      <c r="S47" s="115" t="e">
        <f>Q47+P47</f>
        <v>#REF!</v>
      </c>
      <c r="T47" s="115" t="e">
        <f>R47+O47</f>
        <v>#REF!</v>
      </c>
      <c r="U47" s="137" t="e">
        <f>T47/AL48</f>
        <v>#REF!</v>
      </c>
      <c r="V47" s="179">
        <f>SUM(V12:V42)</f>
        <v>30086</v>
      </c>
      <c r="W47" s="52">
        <f>SUM(W12:W42)</f>
        <v>12840</v>
      </c>
      <c r="X47" s="52">
        <f t="shared" ref="X47:Z47" si="21">SUM(X12:X42)</f>
        <v>230935085.94513369</v>
      </c>
      <c r="Y47" s="52">
        <f t="shared" si="21"/>
        <v>17246</v>
      </c>
      <c r="Z47" s="52">
        <f t="shared" si="21"/>
        <v>82160099.999999985</v>
      </c>
      <c r="AA47" s="136">
        <f>SUM(AA12:AA42)</f>
        <v>313095185.94513363</v>
      </c>
      <c r="AB47" s="124">
        <f>AA47/$AL$48</f>
        <v>24128.623178872342</v>
      </c>
      <c r="AC47" s="44">
        <f>SUM(AC12:AC41)</f>
        <v>0</v>
      </c>
      <c r="AD47" s="138">
        <f>SUM(AD12:AD41)</f>
        <v>0</v>
      </c>
      <c r="AE47" s="44">
        <f>SUM(AE12:AE42)</f>
        <v>2550</v>
      </c>
      <c r="AF47" s="44">
        <f>SUM(AF12:AF42)</f>
        <v>348</v>
      </c>
      <c r="AG47" s="220">
        <f>SUM(AG12:AG42)</f>
        <v>2836</v>
      </c>
      <c r="AH47" s="147">
        <f>SUM(AH12:AH43)</f>
        <v>35878000</v>
      </c>
      <c r="AI47" s="148">
        <f>AH47/$AL$48</f>
        <v>2764.9315009374936</v>
      </c>
      <c r="AJ47" s="219">
        <f>SUM(AJ12:AJ43)</f>
        <v>9037.1899999999878</v>
      </c>
      <c r="AK47" s="145">
        <f>SUM(AK12:AK43)</f>
        <v>78623552.999999881</v>
      </c>
      <c r="AL47" s="146">
        <f>AK47/AL48</f>
        <v>6059.1097164091707</v>
      </c>
      <c r="AM47" s="25"/>
    </row>
    <row r="48" spans="1:39" x14ac:dyDescent="0.35">
      <c r="A48" s="25"/>
      <c r="B48" s="25"/>
      <c r="C48" s="4"/>
      <c r="D48" s="10"/>
      <c r="E48" s="4"/>
      <c r="F48" s="4"/>
      <c r="G48" s="10"/>
      <c r="H48" s="4"/>
      <c r="I48" s="8"/>
      <c r="J48" s="8"/>
      <c r="K48" s="8"/>
      <c r="L48" s="15"/>
      <c r="M48" s="63"/>
      <c r="N48" s="67"/>
      <c r="O48" s="9"/>
      <c r="P48" s="67"/>
      <c r="Q48" s="9"/>
      <c r="R48" s="114"/>
      <c r="S48" s="13"/>
      <c r="T48" s="81" t="s">
        <v>52</v>
      </c>
      <c r="U48" s="154" t="e">
        <f>U47/S47</f>
        <v>#REF!</v>
      </c>
      <c r="V48" s="196" t="s">
        <v>53</v>
      </c>
      <c r="W48" s="10"/>
      <c r="X48" s="10"/>
      <c r="Y48" s="139"/>
      <c r="Z48" s="10"/>
      <c r="AA48" s="10"/>
      <c r="AB48" s="10"/>
      <c r="AC48" s="14"/>
      <c r="AD48" s="6"/>
      <c r="AE48" s="14"/>
      <c r="AF48" s="14"/>
      <c r="AG48" s="6"/>
      <c r="AH48" s="4"/>
      <c r="AI48" s="10"/>
      <c r="AJ48" s="88"/>
      <c r="AK48" s="10"/>
      <c r="AL48" s="149">
        <v>12976.09</v>
      </c>
      <c r="AM48" s="25"/>
    </row>
    <row r="49" spans="1:39" x14ac:dyDescent="0.35">
      <c r="A49" s="25"/>
      <c r="B49" s="25"/>
      <c r="C49" s="4"/>
      <c r="D49" s="10"/>
      <c r="E49" s="4"/>
      <c r="F49" s="4"/>
      <c r="G49" s="10"/>
      <c r="H49" s="4"/>
      <c r="I49" s="8"/>
      <c r="J49" s="8"/>
      <c r="K49" s="8"/>
      <c r="L49" s="15"/>
      <c r="M49" s="63"/>
      <c r="N49" s="67"/>
      <c r="O49" s="9"/>
      <c r="P49" s="67"/>
      <c r="Q49" s="9"/>
      <c r="R49" s="114"/>
      <c r="S49" s="13"/>
      <c r="T49" s="81"/>
      <c r="U49" s="154"/>
      <c r="V49" s="196"/>
      <c r="W49" s="10"/>
      <c r="X49" s="10"/>
      <c r="Y49" s="139"/>
      <c r="Z49" s="10"/>
      <c r="AA49" s="10"/>
      <c r="AB49" s="10"/>
      <c r="AC49" s="14"/>
      <c r="AD49" s="6"/>
      <c r="AE49" s="14"/>
      <c r="AF49" s="14"/>
      <c r="AG49" s="6"/>
      <c r="AH49" s="4"/>
      <c r="AI49" s="10"/>
      <c r="AJ49" s="88"/>
      <c r="AK49" s="10"/>
      <c r="AL49" s="149"/>
      <c r="AM49" s="25"/>
    </row>
    <row r="50" spans="1:39" x14ac:dyDescent="0.35">
      <c r="A50" s="25"/>
      <c r="B50" s="25"/>
      <c r="C50" s="4"/>
      <c r="D50" s="10"/>
      <c r="E50" s="4"/>
      <c r="F50" s="4"/>
      <c r="G50" s="10"/>
      <c r="H50" s="4"/>
      <c r="I50" s="8"/>
      <c r="J50" s="8"/>
      <c r="K50" s="8"/>
      <c r="L50" s="15"/>
      <c r="M50" s="63"/>
      <c r="N50" s="67"/>
      <c r="O50" s="9"/>
      <c r="P50" s="67"/>
      <c r="Q50" s="9"/>
      <c r="R50" s="114"/>
      <c r="S50" s="13"/>
      <c r="T50" s="81"/>
      <c r="U50" s="154"/>
      <c r="V50" s="196"/>
      <c r="W50" s="224">
        <f>W47/V47</f>
        <v>0.42677657382171108</v>
      </c>
      <c r="X50" s="10"/>
      <c r="Y50" s="139"/>
      <c r="Z50" s="10"/>
      <c r="AA50" s="10"/>
      <c r="AB50" s="10"/>
      <c r="AC50" s="14"/>
      <c r="AD50" s="6"/>
      <c r="AE50" s="14"/>
      <c r="AF50" s="14"/>
      <c r="AG50" s="6"/>
      <c r="AH50" s="4"/>
      <c r="AI50" s="10"/>
      <c r="AJ50" s="88"/>
      <c r="AK50" s="10"/>
      <c r="AL50" s="149"/>
      <c r="AM50" s="25"/>
    </row>
    <row r="51" spans="1:39" s="199" customFormat="1" x14ac:dyDescent="0.35">
      <c r="A51" s="197"/>
      <c r="B51" s="197"/>
      <c r="C51" s="198"/>
      <c r="E51" s="198"/>
      <c r="F51" s="198"/>
      <c r="G51" s="198">
        <f>G47+E47</f>
        <v>406799.99999999988</v>
      </c>
      <c r="H51" s="198"/>
      <c r="K51" s="223"/>
      <c r="L51" s="198">
        <f>L47+J47</f>
        <v>57400</v>
      </c>
      <c r="M51" s="200"/>
      <c r="N51" s="201"/>
      <c r="P51" s="201"/>
      <c r="R51" s="202"/>
      <c r="AD51" s="198"/>
      <c r="AH51" s="198"/>
      <c r="AJ51" s="202"/>
      <c r="AL51" s="203"/>
      <c r="AM51" s="197"/>
    </row>
    <row r="52" spans="1:39" s="199" customFormat="1" x14ac:dyDescent="0.35">
      <c r="A52" s="197"/>
      <c r="B52" s="197"/>
      <c r="C52" s="198"/>
      <c r="E52" s="198"/>
      <c r="F52" s="198"/>
      <c r="H52" s="198"/>
      <c r="K52" s="223"/>
      <c r="L52" s="198"/>
      <c r="M52" s="200"/>
      <c r="N52" s="201"/>
      <c r="P52" s="201"/>
      <c r="R52" s="202"/>
      <c r="AD52" s="198"/>
      <c r="AH52" s="198"/>
      <c r="AJ52" s="202"/>
      <c r="AL52" s="203"/>
      <c r="AM52" s="197"/>
    </row>
    <row r="53" spans="1:39" s="199" customFormat="1" x14ac:dyDescent="0.35">
      <c r="A53" s="197"/>
      <c r="B53" s="197"/>
      <c r="C53" s="198"/>
      <c r="E53" s="198"/>
      <c r="F53" s="198"/>
      <c r="H53" s="198"/>
      <c r="I53" s="221">
        <f>G51</f>
        <v>406799.99999999988</v>
      </c>
      <c r="J53" s="221">
        <f>I47</f>
        <v>480292221.77999979</v>
      </c>
      <c r="K53" s="223" t="e">
        <f>J53/J56</f>
        <v>#REF!</v>
      </c>
      <c r="L53" s="198"/>
      <c r="M53" s="200"/>
      <c r="N53" s="201"/>
      <c r="P53" s="201"/>
      <c r="R53" s="202"/>
      <c r="AD53" s="198"/>
      <c r="AH53" s="198"/>
      <c r="AJ53" s="202"/>
      <c r="AL53" s="203"/>
      <c r="AM53" s="197"/>
    </row>
    <row r="54" spans="1:39" s="199" customFormat="1" x14ac:dyDescent="0.35">
      <c r="A54" s="197"/>
      <c r="B54" s="197"/>
      <c r="C54" s="198"/>
      <c r="E54" s="198"/>
      <c r="F54" s="198"/>
      <c r="H54" s="198"/>
      <c r="I54" s="221">
        <f>L51</f>
        <v>57400</v>
      </c>
      <c r="J54" s="221">
        <f>N47</f>
        <v>68919247.530000016</v>
      </c>
      <c r="K54" s="223" t="e">
        <f>J54/J56</f>
        <v>#REF!</v>
      </c>
      <c r="L54" s="198"/>
      <c r="M54" s="200"/>
      <c r="N54" s="201"/>
      <c r="P54" s="201"/>
      <c r="R54" s="202"/>
      <c r="AD54" s="198"/>
      <c r="AH54" s="198"/>
      <c r="AJ54" s="202"/>
      <c r="AL54" s="203"/>
      <c r="AM54" s="197"/>
    </row>
    <row r="55" spans="1:39" s="199" customFormat="1" x14ac:dyDescent="0.35">
      <c r="A55" s="197"/>
      <c r="B55" s="197"/>
      <c r="C55" s="198"/>
      <c r="E55" s="198"/>
      <c r="F55" s="198"/>
      <c r="H55" s="198"/>
      <c r="I55" s="222" t="e">
        <f>Q47</f>
        <v>#REF!</v>
      </c>
      <c r="J55" s="221" t="e">
        <f>R47</f>
        <v>#REF!</v>
      </c>
      <c r="K55" s="223" t="e">
        <f>J55/J56</f>
        <v>#REF!</v>
      </c>
      <c r="L55" s="198"/>
      <c r="M55" s="200"/>
      <c r="N55" s="201"/>
      <c r="P55" s="201"/>
      <c r="R55" s="202"/>
      <c r="AD55" s="198"/>
      <c r="AH55" s="198"/>
      <c r="AJ55" s="202"/>
      <c r="AL55" s="203"/>
      <c r="AM55" s="197"/>
    </row>
    <row r="56" spans="1:39" s="199" customFormat="1" x14ac:dyDescent="0.35">
      <c r="A56" s="197"/>
      <c r="B56" s="197"/>
      <c r="C56" s="198"/>
      <c r="E56" s="198"/>
      <c r="F56" s="198"/>
      <c r="H56" s="198"/>
      <c r="I56" s="221" t="e">
        <f>SUM(I53:I55)</f>
        <v>#REF!</v>
      </c>
      <c r="J56" s="221" t="e">
        <f>SUM(J53:J55)</f>
        <v>#REF!</v>
      </c>
      <c r="K56" s="223"/>
      <c r="L56" s="198"/>
      <c r="M56" s="200"/>
      <c r="N56" s="201"/>
      <c r="P56" s="201"/>
      <c r="R56" s="202"/>
      <c r="AD56" s="198"/>
      <c r="AH56" s="198"/>
      <c r="AJ56" s="202"/>
      <c r="AL56" s="203"/>
      <c r="AM56" s="197"/>
    </row>
    <row r="57" spans="1:39" s="199" customFormat="1" x14ac:dyDescent="0.35">
      <c r="A57" s="197"/>
      <c r="B57" s="197"/>
      <c r="C57" s="198"/>
      <c r="E57" s="198"/>
      <c r="F57" s="198"/>
      <c r="H57" s="198"/>
      <c r="K57" s="223"/>
      <c r="L57" s="198"/>
      <c r="M57" s="200"/>
      <c r="N57" s="201"/>
      <c r="P57" s="201"/>
      <c r="R57" s="202"/>
      <c r="AD57" s="198"/>
      <c r="AH57" s="198"/>
      <c r="AJ57" s="202"/>
      <c r="AL57" s="203"/>
      <c r="AM57" s="197"/>
    </row>
    <row r="58" spans="1:39" s="199" customFormat="1" x14ac:dyDescent="0.35">
      <c r="A58" s="197"/>
      <c r="B58" s="197"/>
      <c r="C58" s="198"/>
      <c r="E58" s="198"/>
      <c r="F58" s="198"/>
      <c r="H58" s="198"/>
      <c r="L58" s="198"/>
      <c r="M58" s="200"/>
      <c r="N58" s="201"/>
      <c r="P58" s="201"/>
      <c r="R58" s="202"/>
      <c r="AD58" s="198"/>
      <c r="AH58" s="198"/>
      <c r="AJ58" s="202"/>
      <c r="AL58" s="203"/>
      <c r="AM58" s="197"/>
    </row>
    <row r="59" spans="1:39" s="199" customFormat="1" x14ac:dyDescent="0.35">
      <c r="A59" s="197"/>
      <c r="B59" s="197"/>
      <c r="C59" s="198"/>
      <c r="E59" s="198"/>
      <c r="F59" s="198"/>
      <c r="H59" s="198"/>
      <c r="L59" s="198"/>
      <c r="M59" s="200"/>
      <c r="N59" s="201"/>
      <c r="P59" s="201"/>
      <c r="R59" s="202"/>
      <c r="AD59" s="198"/>
      <c r="AH59" s="198"/>
      <c r="AJ59" s="202"/>
      <c r="AL59" s="203"/>
      <c r="AM59" s="197"/>
    </row>
    <row r="60" spans="1:39" s="199" customFormat="1" x14ac:dyDescent="0.35">
      <c r="A60" s="197"/>
      <c r="B60" s="197"/>
      <c r="C60" s="198"/>
      <c r="E60" s="198"/>
      <c r="F60" s="198"/>
      <c r="H60" s="198"/>
      <c r="L60" s="198"/>
      <c r="M60" s="200"/>
      <c r="N60" s="201"/>
      <c r="P60" s="201"/>
      <c r="R60" s="202"/>
      <c r="AD60" s="198"/>
      <c r="AH60" s="198"/>
      <c r="AJ60" s="202"/>
      <c r="AL60" s="203"/>
      <c r="AM60" s="197"/>
    </row>
    <row r="61" spans="1:39" s="199" customFormat="1" x14ac:dyDescent="0.35">
      <c r="A61" s="197"/>
      <c r="B61" s="197"/>
      <c r="C61" s="198"/>
      <c r="E61" s="198"/>
      <c r="F61" s="198"/>
      <c r="H61" s="198"/>
      <c r="L61" s="198"/>
      <c r="M61" s="200"/>
      <c r="N61" s="201"/>
      <c r="P61" s="201"/>
      <c r="R61" s="202"/>
      <c r="AD61" s="198"/>
      <c r="AH61" s="198"/>
      <c r="AJ61" s="202"/>
      <c r="AL61" s="203"/>
      <c r="AM61" s="197"/>
    </row>
    <row r="62" spans="1:39" s="199" customFormat="1" x14ac:dyDescent="0.35">
      <c r="A62" s="197"/>
      <c r="B62" s="197"/>
      <c r="C62" s="198"/>
      <c r="E62" s="198"/>
      <c r="F62" s="198"/>
      <c r="H62" s="198"/>
      <c r="L62" s="198"/>
      <c r="M62" s="200"/>
      <c r="N62" s="201"/>
      <c r="P62" s="201"/>
      <c r="R62" s="202"/>
      <c r="AD62" s="198"/>
      <c r="AH62" s="198"/>
      <c r="AJ62" s="202"/>
      <c r="AL62" s="203"/>
      <c r="AM62" s="197"/>
    </row>
    <row r="63" spans="1:39" s="199" customFormat="1" x14ac:dyDescent="0.35">
      <c r="A63" s="197"/>
      <c r="B63" s="197"/>
      <c r="C63" s="198"/>
      <c r="E63" s="198"/>
      <c r="F63" s="198"/>
      <c r="H63" s="198"/>
      <c r="L63" s="198"/>
      <c r="M63" s="200"/>
      <c r="N63" s="201"/>
      <c r="P63" s="201"/>
      <c r="R63" s="202"/>
      <c r="AD63" s="198"/>
      <c r="AH63" s="198"/>
      <c r="AJ63" s="202"/>
      <c r="AL63" s="203"/>
      <c r="AM63" s="197"/>
    </row>
    <row r="64" spans="1:39" s="199" customFormat="1" x14ac:dyDescent="0.35">
      <c r="A64" s="197"/>
      <c r="B64" s="197"/>
      <c r="C64" s="198"/>
      <c r="E64" s="198"/>
      <c r="F64" s="198"/>
      <c r="H64" s="198"/>
      <c r="L64" s="198"/>
      <c r="M64" s="200"/>
      <c r="N64" s="201"/>
      <c r="P64" s="201"/>
      <c r="R64" s="202"/>
      <c r="AD64" s="198"/>
      <c r="AH64" s="198"/>
      <c r="AJ64" s="202"/>
      <c r="AL64" s="203"/>
      <c r="AM64" s="197"/>
    </row>
    <row r="65" spans="1:39" s="199" customFormat="1" x14ac:dyDescent="0.35">
      <c r="A65" s="197"/>
      <c r="B65" s="197"/>
      <c r="C65" s="198"/>
      <c r="E65" s="198"/>
      <c r="F65" s="198"/>
      <c r="H65" s="198"/>
      <c r="L65" s="198"/>
      <c r="M65" s="200"/>
      <c r="N65" s="201"/>
      <c r="P65" s="201"/>
      <c r="R65" s="202"/>
      <c r="AD65" s="198"/>
      <c r="AH65" s="198"/>
      <c r="AJ65" s="202"/>
      <c r="AL65" s="203"/>
      <c r="AM65" s="197"/>
    </row>
    <row r="66" spans="1:39" s="199" customFormat="1" x14ac:dyDescent="0.35">
      <c r="A66" s="197"/>
      <c r="B66" s="197"/>
      <c r="C66" s="198"/>
      <c r="E66" s="198"/>
      <c r="F66" s="198"/>
      <c r="H66" s="198"/>
      <c r="L66" s="198"/>
      <c r="M66" s="200"/>
      <c r="N66" s="201"/>
      <c r="P66" s="201"/>
      <c r="R66" s="202"/>
      <c r="AD66" s="198"/>
      <c r="AH66" s="198"/>
      <c r="AJ66" s="202"/>
      <c r="AL66" s="203"/>
      <c r="AM66" s="197"/>
    </row>
    <row r="67" spans="1:39" s="199" customFormat="1" x14ac:dyDescent="0.35">
      <c r="A67" s="197"/>
      <c r="B67" s="197"/>
      <c r="C67" s="198"/>
      <c r="E67" s="198"/>
      <c r="F67" s="198"/>
      <c r="H67" s="198"/>
      <c r="L67" s="198"/>
      <c r="M67" s="200"/>
      <c r="N67" s="201"/>
      <c r="P67" s="201"/>
      <c r="R67" s="202"/>
      <c r="AD67" s="198"/>
      <c r="AH67" s="198"/>
      <c r="AJ67" s="202"/>
      <c r="AL67" s="203"/>
      <c r="AM67" s="197"/>
    </row>
    <row r="68" spans="1:39" s="199" customFormat="1" x14ac:dyDescent="0.35">
      <c r="A68" s="197"/>
      <c r="B68" s="197"/>
      <c r="C68" s="198"/>
      <c r="E68" s="198"/>
      <c r="F68" s="198"/>
      <c r="H68" s="198"/>
      <c r="L68" s="198"/>
      <c r="M68" s="200"/>
      <c r="N68" s="201"/>
      <c r="P68" s="201"/>
      <c r="R68" s="202"/>
      <c r="AD68" s="198"/>
      <c r="AH68" s="198"/>
      <c r="AJ68" s="202"/>
      <c r="AL68" s="203"/>
      <c r="AM68" s="197"/>
    </row>
    <row r="69" spans="1:39" s="199" customFormat="1" x14ac:dyDescent="0.35">
      <c r="A69" s="197"/>
      <c r="B69" s="197"/>
      <c r="C69" s="198"/>
      <c r="E69" s="198"/>
      <c r="F69" s="198"/>
      <c r="H69" s="198"/>
      <c r="L69" s="198"/>
      <c r="M69" s="200"/>
      <c r="N69" s="201"/>
      <c r="P69" s="201"/>
      <c r="R69" s="202"/>
      <c r="AD69" s="198"/>
      <c r="AH69" s="198"/>
      <c r="AJ69" s="202"/>
      <c r="AL69" s="203"/>
      <c r="AM69" s="197"/>
    </row>
    <row r="70" spans="1:39" s="199" customFormat="1" x14ac:dyDescent="0.35">
      <c r="A70" s="197"/>
      <c r="B70" s="197"/>
      <c r="C70" s="198"/>
      <c r="E70" s="198"/>
      <c r="F70" s="198"/>
      <c r="H70" s="198"/>
      <c r="L70" s="198"/>
      <c r="M70" s="200"/>
      <c r="N70" s="201"/>
      <c r="P70" s="201"/>
      <c r="R70" s="202"/>
      <c r="AD70" s="198"/>
      <c r="AH70" s="198"/>
      <c r="AJ70" s="202"/>
      <c r="AL70" s="203"/>
      <c r="AM70" s="197"/>
    </row>
  </sheetData>
  <mergeCells count="17"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R9:R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32" sqref="E32"/>
    </sheetView>
  </sheetViews>
  <sheetFormatPr defaultRowHeight="14.5" x14ac:dyDescent="0.35"/>
  <cols>
    <col min="1" max="1" width="9.54296875" bestFit="1" customWidth="1"/>
    <col min="2" max="2" width="9.26953125" bestFit="1" customWidth="1"/>
    <col min="3" max="3" width="9.54296875" bestFit="1" customWidth="1"/>
  </cols>
  <sheetData>
    <row r="1" spans="1:3" ht="18.5" x14ac:dyDescent="0.45">
      <c r="A1" s="26" t="s">
        <v>15</v>
      </c>
    </row>
    <row r="2" spans="1:3" ht="18.5" x14ac:dyDescent="0.45">
      <c r="A2" s="261">
        <v>44317</v>
      </c>
      <c r="B2" s="262"/>
      <c r="C2" s="262"/>
    </row>
    <row r="3" spans="1:3" x14ac:dyDescent="0.35">
      <c r="A3" s="264" t="s">
        <v>17</v>
      </c>
      <c r="B3" s="263" t="s">
        <v>18</v>
      </c>
      <c r="C3" s="263" t="s">
        <v>12</v>
      </c>
    </row>
    <row r="4" spans="1:3" x14ac:dyDescent="0.35">
      <c r="A4" s="264"/>
      <c r="B4" s="263"/>
      <c r="C4" s="263"/>
    </row>
    <row r="5" spans="1:3" x14ac:dyDescent="0.35">
      <c r="A5" s="264"/>
      <c r="B5" s="263"/>
      <c r="C5" s="263"/>
    </row>
    <row r="6" spans="1:3" x14ac:dyDescent="0.35">
      <c r="A6" s="1">
        <v>1</v>
      </c>
      <c r="B6" s="1">
        <v>9</v>
      </c>
      <c r="C6" s="1">
        <v>72</v>
      </c>
    </row>
    <row r="7" spans="1:3" x14ac:dyDescent="0.35">
      <c r="A7" s="1">
        <v>2</v>
      </c>
      <c r="B7" s="1">
        <v>5</v>
      </c>
      <c r="C7" s="1">
        <v>109</v>
      </c>
    </row>
    <row r="8" spans="1:3" x14ac:dyDescent="0.35">
      <c r="A8" s="1">
        <f>A7+1</f>
        <v>3</v>
      </c>
      <c r="B8" s="1">
        <v>3</v>
      </c>
      <c r="C8" s="1">
        <v>62</v>
      </c>
    </row>
    <row r="9" spans="1:3" x14ac:dyDescent="0.35">
      <c r="A9" s="1">
        <f>A8+1</f>
        <v>4</v>
      </c>
      <c r="B9" s="1">
        <v>1</v>
      </c>
      <c r="C9" s="1">
        <v>62</v>
      </c>
    </row>
    <row r="10" spans="1:3" x14ac:dyDescent="0.35">
      <c r="A10" s="1">
        <f t="shared" ref="A10:A36" si="0">A9+1</f>
        <v>5</v>
      </c>
      <c r="B10" s="1">
        <v>3</v>
      </c>
      <c r="C10" s="1">
        <v>59</v>
      </c>
    </row>
    <row r="11" spans="1:3" x14ac:dyDescent="0.35">
      <c r="A11" s="1">
        <f t="shared" si="0"/>
        <v>6</v>
      </c>
      <c r="B11" s="1">
        <v>2</v>
      </c>
      <c r="C11" s="1">
        <v>68</v>
      </c>
    </row>
    <row r="12" spans="1:3" x14ac:dyDescent="0.35">
      <c r="A12" s="1">
        <f t="shared" si="0"/>
        <v>7</v>
      </c>
      <c r="B12" s="1">
        <v>5</v>
      </c>
      <c r="C12" s="1">
        <v>64</v>
      </c>
    </row>
    <row r="13" spans="1:3" x14ac:dyDescent="0.35">
      <c r="A13" s="1">
        <f t="shared" si="0"/>
        <v>8</v>
      </c>
      <c r="B13" s="1">
        <v>7</v>
      </c>
      <c r="C13" s="1">
        <v>130</v>
      </c>
    </row>
    <row r="14" spans="1:3" x14ac:dyDescent="0.35">
      <c r="A14" s="1">
        <f t="shared" si="0"/>
        <v>9</v>
      </c>
      <c r="B14" s="1">
        <v>13</v>
      </c>
      <c r="C14" s="1">
        <v>137</v>
      </c>
    </row>
    <row r="15" spans="1:3" x14ac:dyDescent="0.35">
      <c r="A15" s="1">
        <f t="shared" si="0"/>
        <v>10</v>
      </c>
      <c r="B15" s="1">
        <v>16</v>
      </c>
      <c r="C15" s="1">
        <v>78</v>
      </c>
    </row>
    <row r="16" spans="1:3" x14ac:dyDescent="0.35">
      <c r="A16" s="1">
        <f t="shared" si="0"/>
        <v>11</v>
      </c>
      <c r="B16" s="1">
        <v>14</v>
      </c>
      <c r="C16" s="1">
        <v>100</v>
      </c>
    </row>
    <row r="17" spans="1:3" x14ac:dyDescent="0.35">
      <c r="A17" s="1">
        <f t="shared" si="0"/>
        <v>12</v>
      </c>
      <c r="B17" s="1">
        <v>13</v>
      </c>
      <c r="C17" s="1">
        <v>103</v>
      </c>
    </row>
    <row r="18" spans="1:3" x14ac:dyDescent="0.35">
      <c r="A18" s="1">
        <f t="shared" si="0"/>
        <v>13</v>
      </c>
      <c r="B18" s="1">
        <v>19</v>
      </c>
      <c r="C18" s="1">
        <v>129</v>
      </c>
    </row>
    <row r="19" spans="1:3" x14ac:dyDescent="0.35">
      <c r="A19" s="1">
        <f t="shared" si="0"/>
        <v>14</v>
      </c>
      <c r="B19" s="1">
        <v>19</v>
      </c>
      <c r="C19" s="1">
        <v>139</v>
      </c>
    </row>
    <row r="20" spans="1:3" x14ac:dyDescent="0.35">
      <c r="A20" s="1">
        <f t="shared" si="0"/>
        <v>15</v>
      </c>
      <c r="B20" s="1">
        <v>16</v>
      </c>
      <c r="C20" s="1">
        <v>162</v>
      </c>
    </row>
    <row r="21" spans="1:3" x14ac:dyDescent="0.35">
      <c r="A21" s="1">
        <f t="shared" si="0"/>
        <v>16</v>
      </c>
      <c r="B21" s="1">
        <v>10</v>
      </c>
      <c r="C21" s="1">
        <v>146</v>
      </c>
    </row>
    <row r="22" spans="1:3" x14ac:dyDescent="0.35">
      <c r="A22" s="1">
        <f t="shared" si="0"/>
        <v>17</v>
      </c>
      <c r="B22" s="1">
        <v>13</v>
      </c>
      <c r="C22" s="1">
        <v>86</v>
      </c>
    </row>
    <row r="23" spans="1:3" x14ac:dyDescent="0.35">
      <c r="A23" s="1">
        <f t="shared" si="0"/>
        <v>18</v>
      </c>
      <c r="B23" s="1">
        <v>11</v>
      </c>
      <c r="C23" s="1">
        <v>113</v>
      </c>
    </row>
    <row r="24" spans="1:3" x14ac:dyDescent="0.35">
      <c r="A24" s="1">
        <f t="shared" si="0"/>
        <v>19</v>
      </c>
      <c r="B24" s="1">
        <v>7</v>
      </c>
      <c r="C24" s="1">
        <v>103</v>
      </c>
    </row>
    <row r="25" spans="1:3" x14ac:dyDescent="0.35">
      <c r="A25" s="1">
        <f t="shared" si="0"/>
        <v>20</v>
      </c>
      <c r="B25" s="1">
        <v>5</v>
      </c>
      <c r="C25" s="1">
        <v>85</v>
      </c>
    </row>
    <row r="26" spans="1:3" x14ac:dyDescent="0.35">
      <c r="A26" s="1">
        <f t="shared" si="0"/>
        <v>21</v>
      </c>
      <c r="B26" s="1">
        <v>10</v>
      </c>
      <c r="C26" s="1">
        <v>89</v>
      </c>
    </row>
    <row r="27" spans="1:3" x14ac:dyDescent="0.35">
      <c r="A27" s="1">
        <f t="shared" si="0"/>
        <v>22</v>
      </c>
      <c r="B27" s="1">
        <v>9</v>
      </c>
      <c r="C27" s="1">
        <v>150</v>
      </c>
    </row>
    <row r="28" spans="1:3" x14ac:dyDescent="0.35">
      <c r="A28" s="1">
        <f t="shared" si="0"/>
        <v>23</v>
      </c>
      <c r="B28" s="1">
        <v>6</v>
      </c>
      <c r="C28" s="1">
        <v>150</v>
      </c>
    </row>
    <row r="29" spans="1:3" x14ac:dyDescent="0.35">
      <c r="A29" s="1">
        <f t="shared" si="0"/>
        <v>24</v>
      </c>
      <c r="B29" s="1">
        <v>3</v>
      </c>
      <c r="C29" s="1">
        <v>56</v>
      </c>
    </row>
    <row r="30" spans="1:3" x14ac:dyDescent="0.35">
      <c r="A30" s="1">
        <f t="shared" si="0"/>
        <v>25</v>
      </c>
      <c r="B30" s="1">
        <v>7</v>
      </c>
      <c r="C30" s="1">
        <v>64</v>
      </c>
    </row>
    <row r="31" spans="1:3" x14ac:dyDescent="0.35">
      <c r="A31" s="1">
        <f t="shared" si="0"/>
        <v>26</v>
      </c>
      <c r="B31" s="1">
        <v>8</v>
      </c>
      <c r="C31" s="1">
        <v>117</v>
      </c>
    </row>
    <row r="32" spans="1:3" x14ac:dyDescent="0.35">
      <c r="A32" s="1">
        <f t="shared" si="0"/>
        <v>27</v>
      </c>
      <c r="B32" s="1">
        <v>7</v>
      </c>
      <c r="C32" s="1">
        <v>117</v>
      </c>
    </row>
    <row r="33" spans="1:3" x14ac:dyDescent="0.35">
      <c r="A33" s="1">
        <f t="shared" si="0"/>
        <v>28</v>
      </c>
      <c r="B33" s="1">
        <v>8</v>
      </c>
      <c r="C33" s="1">
        <v>118</v>
      </c>
    </row>
    <row r="34" spans="1:3" x14ac:dyDescent="0.35">
      <c r="A34" s="1">
        <f t="shared" si="0"/>
        <v>29</v>
      </c>
      <c r="B34" s="1">
        <v>11</v>
      </c>
      <c r="C34" s="1">
        <v>137</v>
      </c>
    </row>
    <row r="35" spans="1:3" x14ac:dyDescent="0.35">
      <c r="A35" s="1">
        <f t="shared" si="0"/>
        <v>30</v>
      </c>
      <c r="B35" s="1">
        <v>10</v>
      </c>
      <c r="C35" s="1">
        <v>163</v>
      </c>
    </row>
    <row r="36" spans="1:3" x14ac:dyDescent="0.35">
      <c r="A36" s="1">
        <f t="shared" si="0"/>
        <v>31</v>
      </c>
      <c r="B36" s="1">
        <v>12</v>
      </c>
      <c r="C36" s="1">
        <v>97</v>
      </c>
    </row>
    <row r="38" spans="1:3" x14ac:dyDescent="0.35">
      <c r="B38" s="5">
        <f>SUM(B6:B36)</f>
        <v>282</v>
      </c>
      <c r="C38" s="5">
        <f>SUM(C6:C36)</f>
        <v>3265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2.xml><?xml version="1.0" encoding="utf-8"?>
<ds:datastoreItem xmlns:ds="http://schemas.openxmlformats.org/officeDocument/2006/customXml" ds:itemID="{BAA918F2-D2D6-4C2C-8CDF-2A98E8CB10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May 2021</vt:lpstr>
      <vt:lpstr>RNs &amp; Covers May 2021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ASUS</cp:lastModifiedBy>
  <cp:revision/>
  <dcterms:created xsi:type="dcterms:W3CDTF">2020-09-16T08:52:25Z</dcterms:created>
  <dcterms:modified xsi:type="dcterms:W3CDTF">2023-02-18T04:19:36Z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1895000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