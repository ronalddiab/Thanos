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mes.Kiley\Desktop\"/>
    </mc:Choice>
  </mc:AlternateContent>
  <bookViews>
    <workbookView xWindow="-120" yWindow="-120" windowWidth="20730" windowHeight="1116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9" i="1" l="1"/>
  <c r="U48" i="1"/>
  <c r="U47" i="1"/>
  <c r="U46" i="1"/>
  <c r="U45" i="1"/>
  <c r="E50" i="1"/>
  <c r="N39" i="1" l="1"/>
  <c r="N40" i="1"/>
  <c r="N41" i="1"/>
  <c r="N42" i="1"/>
  <c r="N43" i="1"/>
  <c r="N44" i="1"/>
  <c r="N45" i="1"/>
  <c r="N46" i="1"/>
  <c r="N47" i="1"/>
  <c r="N48" i="1"/>
  <c r="N49" i="1"/>
  <c r="N3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2" i="1"/>
</calcChain>
</file>

<file path=xl/sharedStrings.xml><?xml version="1.0" encoding="utf-8"?>
<sst xmlns="http://schemas.openxmlformats.org/spreadsheetml/2006/main" count="69" uniqueCount="22">
  <si>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</si>
  <si>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</si>
  <si>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</si>
  <si>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</si>
  <si>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</si>
  <si>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</si>
  <si>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</si>
  <si>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</si>
  <si>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</si>
  <si>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</si>
  <si>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</si>
  <si>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</si>
  <si>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</si>
  <si>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</si>
  <si>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</si>
  <si>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>District Energy Heating Kwh</t>
  </si>
  <si>
    <t>District Energy Heating $/Kwh</t>
  </si>
  <si>
    <t>Heating District Energy Total Budgeted</t>
  </si>
  <si>
    <t>Heating District Energy Total Budgeted Cost ($)</t>
  </si>
  <si>
    <t xml:space="preserve">Room Nights </t>
  </si>
  <si>
    <t>Total Guests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</si>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</sst>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Fill="0" applyProtection="0"/>
    <xf numFmtId="0" fontId="6" fillId="0" borderId="0" applyFill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1" fontId="0" fillId="0" borderId="0" xfId="0" applyNumberFormat="1" applyFont="1" applyFill="1"/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65" fontId="0" fillId="0" borderId="0" xfId="0" applyNumberFormat="1" applyFill="1" applyAlignment="1">
      <alignment horizontal="center"/>
    </xf>
    <xf numFmtId="1" fontId="3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8" fontId="0" fillId="0" borderId="0" xfId="0" applyNumberFormat="1"/>
    <xf numFmtId="8" fontId="3" fillId="0" borderId="0" xfId="0" applyNumberFormat="1" applyFont="1"/>
    <xf numFmtId="1" fontId="5" fillId="0" borderId="0" xfId="4" applyNumberFormat="1" applyFont="1" applyFill="1" applyAlignment="1" applyProtection="1">
      <alignment horizontal="center"/>
    </xf>
    <xf numFmtId="1" fontId="10" fillId="0" borderId="0" xfId="4" applyNumberFormat="1" applyFont="1" applyFill="1" applyAlignment="1" applyProtection="1">
      <alignment horizontal="center"/>
    </xf>
    <xf numFmtId="1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5" fillId="0" borderId="0" xfId="5" applyNumberFormat="1" applyFont="1" applyFill="1" applyAlignment="1" applyProtection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5" fillId="0" borderId="0" xfId="0" applyFont="1" applyFill="1" applyAlignment="1" applyProtection="1">
      <alignment horizontal="center"/>
    </xf>
    <xf numFmtId="43" fontId="5" fillId="0" borderId="0" xfId="0" applyNumberFormat="1" applyFont="1" applyFill="1" applyAlignment="1" applyProtection="1">
      <alignment horizontal="center"/>
    </xf>
    <xf numFmtId="1" fontId="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" fontId="5" fillId="0" borderId="0" xfId="0" applyNumberFormat="1" applyFont="1" applyFill="1" applyAlignment="1" applyProtection="1">
      <alignment horizontal="center"/>
    </xf>
  </cellXfs>
  <cellStyles count="6">
    <cellStyle name="Comma" xfId="4" builtinId="3"/>
    <cellStyle name="Comma 2" xfId="1"/>
    <cellStyle name="Currency" xfId="5" builtinId="4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5"/>
  <sheetViews>
    <sheetView tabSelected="1" topLeftCell="A40" zoomScale="80" zoomScaleNormal="80" workbookViewId="0">
      <pane xSplit="3" topLeftCell="D1" activePane="topRight" state="frozen"/>
      <selection pane="topRight" activeCell="A50" sqref="A50"/>
    </sheetView>
  </sheetViews>
  <sheetFormatPr defaultColWidth="11.59765625" defaultRowHeight="12.75" x14ac:dyDescent="0.35"/>
  <cols>
    <col min="1" max="1" width="13" bestFit="1" customWidth="1"/>
    <col min="3" max="3" width="13.3984375" customWidth="1"/>
    <col min="4" max="4" width="12.59765625" style="5" customWidth="1"/>
    <col min="5" max="5" width="12.3984375" style="5" customWidth="1"/>
    <col min="6" max="6" width="11.59765625" style="5"/>
    <col min="7" max="7" width="13.86328125" style="5" customWidth="1"/>
    <col min="8" max="8" width="11.59765625" style="5"/>
    <col min="9" max="9" width="12.86328125" style="7" customWidth="1"/>
    <col min="10" max="11" width="11.59765625" style="5"/>
    <col min="12" max="12" width="13.59765625" style="5" bestFit="1" customWidth="1"/>
    <col min="13" max="20" width="11.59765625" style="5"/>
  </cols>
  <sheetData>
    <row r="1" spans="1:23" s="2" customFormat="1" ht="78.75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1" t="s">
        <v>5</v>
      </c>
      <c r="G1" s="11" t="s">
        <v>6</v>
      </c>
      <c r="H1" s="4" t="s">
        <v>7</v>
      </c>
      <c r="I1" s="14" t="s">
        <v>8</v>
      </c>
      <c r="J1" s="11" t="s">
        <v>9</v>
      </c>
      <c r="K1" s="11" t="s">
        <v>10</v>
      </c>
      <c r="L1" s="4" t="s">
        <v>11</v>
      </c>
      <c r="M1" s="4" t="s">
        <v>12</v>
      </c>
      <c r="N1" s="11" t="s">
        <v>13</v>
      </c>
      <c r="O1" s="11" t="s">
        <v>14</v>
      </c>
      <c r="P1" s="4" t="s">
        <v>15</v>
      </c>
      <c r="Q1" s="4" t="s">
        <v>16</v>
      </c>
      <c r="R1" s="11" t="s">
        <v>17</v>
      </c>
      <c r="S1" s="11" t="s">
        <v>18</v>
      </c>
      <c r="T1" s="4" t="s">
        <v>19</v>
      </c>
      <c r="U1" s="4" t="s">
        <v>20</v>
      </c>
    </row>
    <row r="2" spans="1:23" ht="14.25" x14ac:dyDescent="0.45">
      <c r="A2" t="s">
        <v>21</v>
      </c>
      <c r="B2" s="9">
        <v>1</v>
      </c>
      <c r="C2" s="9">
        <v>2018</v>
      </c>
      <c r="D2" s="17">
        <v>984412</v>
      </c>
      <c r="E2" s="15">
        <v>0.13</v>
      </c>
      <c r="F2" s="16">
        <v>860666</v>
      </c>
      <c r="G2" s="16">
        <v>129672</v>
      </c>
      <c r="H2" s="17">
        <v>9298</v>
      </c>
      <c r="I2" s="15">
        <v>0.34</v>
      </c>
      <c r="J2" s="20">
        <v>3974</v>
      </c>
      <c r="K2" s="20">
        <v>3625</v>
      </c>
      <c r="L2" s="19">
        <v>5277.5</v>
      </c>
      <c r="M2" s="15">
        <v>3.43</v>
      </c>
      <c r="N2" s="16">
        <f>O2/M2</f>
        <v>5404.6647230320696</v>
      </c>
      <c r="O2" s="16">
        <v>18538</v>
      </c>
      <c r="P2" s="19">
        <v>352221.51990000001</v>
      </c>
      <c r="Q2" s="15">
        <v>0.10192148398596471</v>
      </c>
      <c r="R2" s="16">
        <v>323509.3541</v>
      </c>
      <c r="S2" s="16">
        <v>34156</v>
      </c>
      <c r="T2" s="17">
        <v>4684</v>
      </c>
      <c r="U2" s="17">
        <v>6323</v>
      </c>
      <c r="V2" s="10"/>
      <c r="W2" s="21"/>
    </row>
    <row r="3" spans="1:23" ht="14.25" x14ac:dyDescent="0.45">
      <c r="A3" t="s">
        <v>21</v>
      </c>
      <c r="B3" s="9">
        <v>2</v>
      </c>
      <c r="C3" s="9">
        <v>2018</v>
      </c>
      <c r="D3" s="17">
        <v>744492</v>
      </c>
      <c r="E3" s="15">
        <v>0.12</v>
      </c>
      <c r="F3" s="16">
        <v>704923</v>
      </c>
      <c r="G3" s="16">
        <v>102436</v>
      </c>
      <c r="H3" s="17">
        <v>1616</v>
      </c>
      <c r="I3" s="15">
        <v>2</v>
      </c>
      <c r="J3" s="20">
        <v>2732</v>
      </c>
      <c r="K3" s="20">
        <v>2372</v>
      </c>
      <c r="L3" s="19">
        <v>4821.2</v>
      </c>
      <c r="M3" s="15">
        <v>7.71</v>
      </c>
      <c r="N3" s="16">
        <f t="shared" ref="N3:N37" si="0">O3/M3</f>
        <v>2826.7185473411155</v>
      </c>
      <c r="O3" s="16">
        <v>21794</v>
      </c>
      <c r="P3" s="19">
        <v>228560.2115</v>
      </c>
      <c r="Q3" s="15">
        <v>0.18427651831254976</v>
      </c>
      <c r="R3" s="16">
        <v>273760.55180000002</v>
      </c>
      <c r="S3" s="16">
        <v>45042</v>
      </c>
      <c r="T3" s="17">
        <v>2933</v>
      </c>
      <c r="U3" s="17">
        <v>3960</v>
      </c>
      <c r="W3" s="21"/>
    </row>
    <row r="4" spans="1:23" ht="14.25" x14ac:dyDescent="0.45">
      <c r="A4" t="s">
        <v>21</v>
      </c>
      <c r="B4" s="9">
        <v>3</v>
      </c>
      <c r="C4" s="9">
        <v>2018</v>
      </c>
      <c r="D4" s="17">
        <v>702452</v>
      </c>
      <c r="E4" s="15">
        <v>0.17</v>
      </c>
      <c r="F4" s="16">
        <v>751367</v>
      </c>
      <c r="G4" s="16">
        <v>109062</v>
      </c>
      <c r="H4" s="17">
        <v>6111</v>
      </c>
      <c r="I4" s="15">
        <v>0.04</v>
      </c>
      <c r="J4" s="20">
        <v>3290</v>
      </c>
      <c r="K4" s="20">
        <v>2935</v>
      </c>
      <c r="L4" s="19">
        <v>4501.6000000000004</v>
      </c>
      <c r="M4" s="15">
        <v>5.36</v>
      </c>
      <c r="N4" s="16">
        <f t="shared" si="0"/>
        <v>4721.8283582089553</v>
      </c>
      <c r="O4" s="16">
        <v>25309</v>
      </c>
      <c r="P4" s="19">
        <v>278593.29259999999</v>
      </c>
      <c r="Q4" s="15">
        <v>0.12395660957129592</v>
      </c>
      <c r="R4" s="16">
        <v>315265.26679999998</v>
      </c>
      <c r="S4" s="16">
        <v>30103</v>
      </c>
      <c r="T4" s="17">
        <v>5503</v>
      </c>
      <c r="U4" s="17">
        <v>7429</v>
      </c>
      <c r="W4" s="21"/>
    </row>
    <row r="5" spans="1:23" s="8" customFormat="1" ht="14.25" x14ac:dyDescent="0.45">
      <c r="A5" t="s">
        <v>21</v>
      </c>
      <c r="B5" s="9">
        <v>4</v>
      </c>
      <c r="C5" s="9">
        <v>2018</v>
      </c>
      <c r="D5" s="17">
        <v>705852</v>
      </c>
      <c r="E5" s="15">
        <v>0.15</v>
      </c>
      <c r="F5" s="16">
        <v>658098</v>
      </c>
      <c r="G5" s="16">
        <v>95218</v>
      </c>
      <c r="H5" s="17">
        <v>7279</v>
      </c>
      <c r="I5" s="15">
        <v>0.52</v>
      </c>
      <c r="J5" s="20">
        <v>3151</v>
      </c>
      <c r="K5" s="20">
        <v>2795</v>
      </c>
      <c r="L5" s="19">
        <v>6213</v>
      </c>
      <c r="M5" s="15">
        <v>5.98</v>
      </c>
      <c r="N5" s="16">
        <f t="shared" si="0"/>
        <v>4771.5719063545148</v>
      </c>
      <c r="O5" s="16">
        <v>28534</v>
      </c>
      <c r="P5" s="19">
        <v>247322.61689999999</v>
      </c>
      <c r="Q5" s="15">
        <v>8.2698623588759235E-2</v>
      </c>
      <c r="R5" s="16">
        <v>271202.04200000002</v>
      </c>
      <c r="S5" s="16">
        <v>22305</v>
      </c>
      <c r="T5" s="17">
        <v>6125</v>
      </c>
      <c r="U5" s="17">
        <v>8269</v>
      </c>
      <c r="W5" s="22"/>
    </row>
    <row r="6" spans="1:23" ht="14.25" x14ac:dyDescent="0.45">
      <c r="A6" t="s">
        <v>21</v>
      </c>
      <c r="B6" s="9">
        <v>5</v>
      </c>
      <c r="C6" s="9">
        <v>2018</v>
      </c>
      <c r="D6" s="17">
        <v>628412</v>
      </c>
      <c r="E6" s="15">
        <v>0.14000000000000001</v>
      </c>
      <c r="F6" s="16">
        <v>664335</v>
      </c>
      <c r="G6" s="16">
        <v>92133</v>
      </c>
      <c r="H6" s="17">
        <v>7138</v>
      </c>
      <c r="I6" s="15">
        <v>0.34</v>
      </c>
      <c r="J6" s="20">
        <v>3145</v>
      </c>
      <c r="K6" s="20">
        <v>2789</v>
      </c>
      <c r="L6" s="19">
        <v>6781.8</v>
      </c>
      <c r="M6" s="15">
        <v>5.5</v>
      </c>
      <c r="N6" s="16">
        <f t="shared" si="0"/>
        <v>5958.545454545455</v>
      </c>
      <c r="O6" s="16">
        <v>32772</v>
      </c>
      <c r="P6" s="19">
        <v>242489.87609999999</v>
      </c>
      <c r="Q6" s="15">
        <v>8.2010434084262382E-2</v>
      </c>
      <c r="R6" s="16">
        <v>254713.86749999999</v>
      </c>
      <c r="S6" s="16">
        <v>21545</v>
      </c>
      <c r="T6" s="17">
        <v>6822</v>
      </c>
      <c r="U6" s="17">
        <v>9210</v>
      </c>
      <c r="W6" s="21"/>
    </row>
    <row r="7" spans="1:23" ht="14.25" x14ac:dyDescent="0.45">
      <c r="A7" t="s">
        <v>21</v>
      </c>
      <c r="B7" s="9">
        <v>6</v>
      </c>
      <c r="C7" s="9">
        <v>2018</v>
      </c>
      <c r="D7" s="17">
        <v>604572</v>
      </c>
      <c r="E7" s="15">
        <v>0.17</v>
      </c>
      <c r="F7" s="16">
        <v>674722</v>
      </c>
      <c r="G7" s="16">
        <v>101508</v>
      </c>
      <c r="H7" s="17">
        <v>6378</v>
      </c>
      <c r="I7" s="15">
        <v>0.37</v>
      </c>
      <c r="J7" s="20">
        <v>3046</v>
      </c>
      <c r="K7" s="20">
        <v>2689</v>
      </c>
      <c r="L7" s="19">
        <v>7241.2</v>
      </c>
      <c r="M7" s="15">
        <v>3.85</v>
      </c>
      <c r="N7" s="16">
        <f t="shared" si="0"/>
        <v>9118.4415584415583</v>
      </c>
      <c r="O7" s="16">
        <v>35106</v>
      </c>
      <c r="P7" s="19">
        <v>191603.9584</v>
      </c>
      <c r="Q7" s="15">
        <v>9.2764941540998985E-2</v>
      </c>
      <c r="R7" s="16">
        <v>210650.6427</v>
      </c>
      <c r="S7" s="16">
        <v>16660</v>
      </c>
      <c r="T7" s="17">
        <v>6780</v>
      </c>
      <c r="U7" s="17">
        <v>9153</v>
      </c>
      <c r="W7" s="21"/>
    </row>
    <row r="8" spans="1:23" ht="14.25" x14ac:dyDescent="0.45">
      <c r="A8" t="s">
        <v>21</v>
      </c>
      <c r="B8" s="9">
        <v>7</v>
      </c>
      <c r="C8" s="9">
        <v>2018</v>
      </c>
      <c r="D8" s="17">
        <v>702812</v>
      </c>
      <c r="E8" s="15">
        <v>0.18</v>
      </c>
      <c r="F8" s="16">
        <v>759824</v>
      </c>
      <c r="G8" s="16">
        <v>122479</v>
      </c>
      <c r="H8" s="17">
        <v>6698</v>
      </c>
      <c r="I8" s="15">
        <v>0.13</v>
      </c>
      <c r="J8" s="20">
        <v>2948</v>
      </c>
      <c r="K8" s="20">
        <v>2590</v>
      </c>
      <c r="L8" s="19">
        <v>7463</v>
      </c>
      <c r="M8" s="15">
        <v>5.18</v>
      </c>
      <c r="N8" s="16">
        <f t="shared" si="0"/>
        <v>7019.6911196911196</v>
      </c>
      <c r="O8" s="16">
        <v>36362</v>
      </c>
      <c r="P8" s="19">
        <v>195583.86259999999</v>
      </c>
      <c r="Q8" s="15">
        <v>0.10238809957933616</v>
      </c>
      <c r="R8" s="16">
        <v>191319.6795</v>
      </c>
      <c r="S8" s="16">
        <v>18639</v>
      </c>
      <c r="T8" s="17">
        <v>7049</v>
      </c>
      <c r="U8" s="17">
        <v>9516</v>
      </c>
      <c r="W8" s="21"/>
    </row>
    <row r="9" spans="1:23" ht="14.25" x14ac:dyDescent="0.45">
      <c r="A9" t="s">
        <v>21</v>
      </c>
      <c r="B9" s="9">
        <v>8</v>
      </c>
      <c r="C9" s="9">
        <v>2018</v>
      </c>
      <c r="D9" s="17">
        <v>820132</v>
      </c>
      <c r="E9" s="15">
        <v>0.16</v>
      </c>
      <c r="F9" s="16">
        <v>762304</v>
      </c>
      <c r="G9" s="16">
        <v>122723</v>
      </c>
      <c r="H9" s="17">
        <v>6955</v>
      </c>
      <c r="I9" s="15">
        <v>0.32</v>
      </c>
      <c r="J9" s="20">
        <v>2884</v>
      </c>
      <c r="K9" s="20">
        <v>2525</v>
      </c>
      <c r="L9" s="19">
        <v>7665.1</v>
      </c>
      <c r="M9" s="15">
        <v>5.3</v>
      </c>
      <c r="N9" s="16">
        <f t="shared" si="0"/>
        <v>2010</v>
      </c>
      <c r="O9" s="16">
        <v>10653</v>
      </c>
      <c r="P9" s="19">
        <v>183644.15</v>
      </c>
      <c r="Q9" s="15">
        <v>9.8737966877790559E-2</v>
      </c>
      <c r="R9" s="16">
        <v>198426.6513</v>
      </c>
      <c r="S9" s="16">
        <v>18195</v>
      </c>
      <c r="T9" s="17">
        <v>6352</v>
      </c>
      <c r="U9" s="17">
        <v>8575</v>
      </c>
      <c r="W9" s="21"/>
    </row>
    <row r="10" spans="1:23" ht="14.25" x14ac:dyDescent="0.45">
      <c r="A10" t="s">
        <v>21</v>
      </c>
      <c r="B10" s="9">
        <v>9</v>
      </c>
      <c r="C10" s="9">
        <v>2018</v>
      </c>
      <c r="D10" s="17">
        <v>756212</v>
      </c>
      <c r="E10" s="15">
        <v>0.16</v>
      </c>
      <c r="F10" s="16">
        <v>679115</v>
      </c>
      <c r="G10" s="16">
        <v>103392</v>
      </c>
      <c r="H10" s="17">
        <v>8601</v>
      </c>
      <c r="I10" s="15">
        <v>0.25</v>
      </c>
      <c r="J10" s="20">
        <v>3163</v>
      </c>
      <c r="K10" s="20">
        <v>2807</v>
      </c>
      <c r="L10" s="19">
        <v>7711.8</v>
      </c>
      <c r="M10" s="15">
        <v>4.05</v>
      </c>
      <c r="N10" s="16">
        <f t="shared" si="0"/>
        <v>9442.4691358024702</v>
      </c>
      <c r="O10" s="16">
        <v>38242</v>
      </c>
      <c r="P10" s="19">
        <v>173410.11069999999</v>
      </c>
      <c r="Q10" s="15">
        <v>0.11088678694903803</v>
      </c>
      <c r="R10" s="16">
        <v>212640.59479999999</v>
      </c>
      <c r="S10" s="16">
        <v>18416</v>
      </c>
      <c r="T10" s="17">
        <v>6675</v>
      </c>
      <c r="U10" s="17">
        <v>9011</v>
      </c>
      <c r="W10" s="21"/>
    </row>
    <row r="11" spans="1:23" ht="14.25" x14ac:dyDescent="0.45">
      <c r="A11" t="s">
        <v>21</v>
      </c>
      <c r="B11" s="9">
        <v>10</v>
      </c>
      <c r="C11" s="9">
        <v>2018</v>
      </c>
      <c r="D11" s="17">
        <v>698292</v>
      </c>
      <c r="E11" s="15">
        <v>0.16</v>
      </c>
      <c r="F11" s="16">
        <v>677176</v>
      </c>
      <c r="G11" s="16">
        <v>91154</v>
      </c>
      <c r="H11" s="17">
        <v>10148</v>
      </c>
      <c r="I11" s="15">
        <v>0.39</v>
      </c>
      <c r="J11" s="20">
        <v>3312</v>
      </c>
      <c r="K11" s="20">
        <v>2957</v>
      </c>
      <c r="L11" s="19">
        <v>6673.5</v>
      </c>
      <c r="M11" s="15">
        <v>6.06</v>
      </c>
      <c r="N11" s="16">
        <f t="shared" si="0"/>
        <v>6082.0132013201328</v>
      </c>
      <c r="O11" s="16">
        <v>36857</v>
      </c>
      <c r="P11" s="19">
        <v>226001.70170000001</v>
      </c>
      <c r="Q11" s="15">
        <v>9.9726151752245848E-2</v>
      </c>
      <c r="R11" s="16">
        <v>249596.84789999999</v>
      </c>
      <c r="S11" s="16">
        <v>21093</v>
      </c>
      <c r="T11" s="17">
        <v>7234</v>
      </c>
      <c r="U11" s="17">
        <v>9766</v>
      </c>
      <c r="W11" s="21"/>
    </row>
    <row r="12" spans="1:23" ht="14.25" x14ac:dyDescent="0.45">
      <c r="A12" t="s">
        <v>21</v>
      </c>
      <c r="B12" s="9">
        <v>11</v>
      </c>
      <c r="C12" s="9">
        <v>2018</v>
      </c>
      <c r="D12" s="17">
        <v>778692</v>
      </c>
      <c r="E12" s="15">
        <v>0.14000000000000001</v>
      </c>
      <c r="F12" s="16">
        <v>714358</v>
      </c>
      <c r="G12" s="16">
        <v>97990</v>
      </c>
      <c r="H12" s="17">
        <v>3674</v>
      </c>
      <c r="I12" s="15">
        <v>0.95</v>
      </c>
      <c r="J12" s="20">
        <v>4049</v>
      </c>
      <c r="K12" s="20">
        <v>3701</v>
      </c>
      <c r="L12" s="19">
        <v>5899.4</v>
      </c>
      <c r="M12" s="15">
        <v>4.0999999999999996</v>
      </c>
      <c r="N12" s="16">
        <f t="shared" si="0"/>
        <v>8778.0487804878048</v>
      </c>
      <c r="O12" s="16">
        <v>35990</v>
      </c>
      <c r="P12" s="19">
        <v>238509.9719</v>
      </c>
      <c r="Q12" s="15">
        <v>9.3227213197286024E-2</v>
      </c>
      <c r="R12" s="16">
        <v>308442.57400000002</v>
      </c>
      <c r="S12" s="16">
        <v>29135</v>
      </c>
      <c r="T12" s="17">
        <v>6171</v>
      </c>
      <c r="U12" s="17">
        <v>8331</v>
      </c>
      <c r="W12" s="21"/>
    </row>
    <row r="13" spans="1:23" ht="14.25" x14ac:dyDescent="0.45">
      <c r="A13" t="s">
        <v>21</v>
      </c>
      <c r="B13" s="9">
        <v>12</v>
      </c>
      <c r="C13" s="9">
        <v>2018</v>
      </c>
      <c r="D13" s="17">
        <v>772652</v>
      </c>
      <c r="E13" s="15">
        <v>0.16</v>
      </c>
      <c r="F13" s="16">
        <v>736477</v>
      </c>
      <c r="G13" s="16">
        <v>103301</v>
      </c>
      <c r="H13" s="17">
        <v>8403</v>
      </c>
      <c r="I13" s="15">
        <v>0.32</v>
      </c>
      <c r="J13" s="20">
        <v>3995</v>
      </c>
      <c r="K13" s="20">
        <v>3647</v>
      </c>
      <c r="L13" s="19">
        <v>5089.2</v>
      </c>
      <c r="M13" s="15">
        <v>5.07</v>
      </c>
      <c r="N13" s="16">
        <f t="shared" si="0"/>
        <v>5818.3431952662722</v>
      </c>
      <c r="O13" s="16">
        <v>29499</v>
      </c>
      <c r="P13" s="19">
        <v>239362.80850000001</v>
      </c>
      <c r="Q13" s="15">
        <v>0.12934369459489359</v>
      </c>
      <c r="R13" s="16">
        <v>295081.46710000001</v>
      </c>
      <c r="S13" s="16">
        <v>41950</v>
      </c>
      <c r="T13" s="17">
        <v>3830</v>
      </c>
      <c r="U13" s="17">
        <v>5171</v>
      </c>
      <c r="W13" s="21"/>
    </row>
    <row r="14" spans="1:23" ht="14.25" x14ac:dyDescent="0.45">
      <c r="A14" t="s">
        <v>21</v>
      </c>
      <c r="B14" s="9">
        <v>1</v>
      </c>
      <c r="C14" s="9">
        <v>2019</v>
      </c>
      <c r="D14" s="17">
        <v>916892</v>
      </c>
      <c r="E14" s="15">
        <v>0.13</v>
      </c>
      <c r="F14" s="16">
        <v>853360</v>
      </c>
      <c r="G14" s="16">
        <v>128277.62</v>
      </c>
      <c r="H14" s="17">
        <v>8332</v>
      </c>
      <c r="I14" s="15">
        <v>0.28999999999999998</v>
      </c>
      <c r="J14" s="20">
        <v>2286</v>
      </c>
      <c r="K14" s="20">
        <v>2698</v>
      </c>
      <c r="L14" s="19">
        <v>3967.6</v>
      </c>
      <c r="M14" s="15">
        <v>5.6</v>
      </c>
      <c r="N14" s="16">
        <f t="shared" si="0"/>
        <v>3591.2500000000005</v>
      </c>
      <c r="O14" s="16">
        <v>20111</v>
      </c>
      <c r="P14" s="19">
        <v>291954.3995</v>
      </c>
      <c r="Q14" s="15">
        <v>0.11629497640092935</v>
      </c>
      <c r="R14" s="16">
        <v>259262.32939999999</v>
      </c>
      <c r="S14" s="16">
        <v>33675</v>
      </c>
      <c r="T14" s="17">
        <v>3094</v>
      </c>
      <c r="U14" s="17">
        <v>4177</v>
      </c>
      <c r="V14" s="10"/>
      <c r="W14" s="21"/>
    </row>
    <row r="15" spans="1:23" ht="14.25" x14ac:dyDescent="0.45">
      <c r="A15" t="s">
        <v>21</v>
      </c>
      <c r="B15" s="9">
        <v>2</v>
      </c>
      <c r="C15" s="9">
        <v>2019</v>
      </c>
      <c r="D15" s="17">
        <v>802692</v>
      </c>
      <c r="E15" s="15">
        <v>0.14000000000000001</v>
      </c>
      <c r="F15" s="16">
        <v>751920</v>
      </c>
      <c r="G15" s="16">
        <v>88016.14</v>
      </c>
      <c r="H15" s="17">
        <v>3966</v>
      </c>
      <c r="I15" s="15">
        <v>0.46</v>
      </c>
      <c r="J15" s="20">
        <v>2329</v>
      </c>
      <c r="K15" s="20">
        <v>2002</v>
      </c>
      <c r="L15" s="19">
        <v>4356.3999999999996</v>
      </c>
      <c r="M15" s="15">
        <v>4.79</v>
      </c>
      <c r="N15" s="16">
        <f t="shared" si="0"/>
        <v>4391.6492693110649</v>
      </c>
      <c r="O15" s="16">
        <v>21036</v>
      </c>
      <c r="P15" s="19">
        <v>246185.50140000001</v>
      </c>
      <c r="Q15" s="15">
        <v>0.18670084037694676</v>
      </c>
      <c r="R15" s="16">
        <v>245048.38589999999</v>
      </c>
      <c r="S15" s="16">
        <v>47024</v>
      </c>
      <c r="T15" s="17">
        <v>3418</v>
      </c>
      <c r="U15" s="17">
        <v>4614</v>
      </c>
      <c r="W15" s="21"/>
    </row>
    <row r="16" spans="1:23" ht="14.25" x14ac:dyDescent="0.45">
      <c r="A16" t="s">
        <v>21</v>
      </c>
      <c r="B16" s="9">
        <v>3</v>
      </c>
      <c r="C16" s="9">
        <v>2019</v>
      </c>
      <c r="D16" s="17">
        <v>780052</v>
      </c>
      <c r="E16" s="15">
        <v>0.15</v>
      </c>
      <c r="F16" s="16">
        <v>797680</v>
      </c>
      <c r="G16" s="16">
        <v>119270.05</v>
      </c>
      <c r="H16" s="17">
        <v>6675</v>
      </c>
      <c r="I16" s="15">
        <v>0.26</v>
      </c>
      <c r="J16" s="20">
        <v>2823</v>
      </c>
      <c r="K16" s="20">
        <v>2620</v>
      </c>
      <c r="L16" s="19">
        <v>4266.6000000000004</v>
      </c>
      <c r="M16" s="15">
        <v>6.41</v>
      </c>
      <c r="N16" s="16">
        <f t="shared" si="0"/>
        <v>4264.5865834633387</v>
      </c>
      <c r="O16" s="16">
        <v>27336</v>
      </c>
      <c r="P16" s="19">
        <v>296502.86139999999</v>
      </c>
      <c r="Q16" s="15">
        <v>0.12091900169432902</v>
      </c>
      <c r="R16" s="16">
        <v>318960.8921</v>
      </c>
      <c r="S16" s="16">
        <v>37394</v>
      </c>
      <c r="T16" s="17">
        <v>5076</v>
      </c>
      <c r="U16" s="17">
        <v>6853</v>
      </c>
      <c r="W16" s="21"/>
    </row>
    <row r="17" spans="1:23" ht="14.25" x14ac:dyDescent="0.45">
      <c r="A17" t="s">
        <v>21</v>
      </c>
      <c r="B17" s="9">
        <v>4</v>
      </c>
      <c r="C17" s="9">
        <v>2019</v>
      </c>
      <c r="D17" s="17">
        <v>762252</v>
      </c>
      <c r="E17" s="15">
        <v>0.13</v>
      </c>
      <c r="F17" s="16">
        <v>695360</v>
      </c>
      <c r="G17" s="16">
        <v>103882.26</v>
      </c>
      <c r="H17" s="17">
        <v>7681</v>
      </c>
      <c r="I17" s="15">
        <v>0.35</v>
      </c>
      <c r="J17" s="20">
        <v>2899</v>
      </c>
      <c r="K17" s="20">
        <v>2529</v>
      </c>
      <c r="L17" s="19">
        <v>5963.3</v>
      </c>
      <c r="M17" s="15">
        <v>6.21</v>
      </c>
      <c r="N17" s="16">
        <f t="shared" si="0"/>
        <v>5100.8051529790664</v>
      </c>
      <c r="O17" s="16">
        <v>31676</v>
      </c>
      <c r="P17" s="19">
        <v>299061.37119999999</v>
      </c>
      <c r="Q17" s="15">
        <v>7.7287848668835368E-2</v>
      </c>
      <c r="R17" s="16">
        <v>275466.22499999998</v>
      </c>
      <c r="S17" s="16">
        <v>22516</v>
      </c>
      <c r="T17" s="17">
        <v>6810</v>
      </c>
      <c r="U17" s="17">
        <v>9194</v>
      </c>
      <c r="W17" s="21"/>
    </row>
    <row r="18" spans="1:23" ht="14.25" x14ac:dyDescent="0.45">
      <c r="A18" t="s">
        <v>21</v>
      </c>
      <c r="B18" s="9">
        <v>5</v>
      </c>
      <c r="C18" s="9">
        <v>2019</v>
      </c>
      <c r="D18" s="17">
        <v>667612</v>
      </c>
      <c r="E18" s="15">
        <v>0.15</v>
      </c>
      <c r="F18" s="16">
        <v>660720</v>
      </c>
      <c r="G18" s="16">
        <v>98831.6</v>
      </c>
      <c r="H18" s="17">
        <v>7975</v>
      </c>
      <c r="I18" s="15">
        <v>0.35</v>
      </c>
      <c r="J18" s="20">
        <v>2947</v>
      </c>
      <c r="K18" s="20">
        <v>2486</v>
      </c>
      <c r="L18" s="19">
        <v>5404.6</v>
      </c>
      <c r="M18" s="15">
        <v>5.92</v>
      </c>
      <c r="N18" s="16">
        <f t="shared" si="0"/>
        <v>5810.8108108108108</v>
      </c>
      <c r="O18" s="16">
        <v>34400</v>
      </c>
      <c r="P18" s="19">
        <v>251018.24220000001</v>
      </c>
      <c r="Q18" s="15">
        <v>8.5509920760651392E-2</v>
      </c>
      <c r="R18" s="16">
        <v>251302.52110000001</v>
      </c>
      <c r="S18" s="16">
        <v>24501</v>
      </c>
      <c r="T18" s="17">
        <v>6812</v>
      </c>
      <c r="U18" s="17">
        <v>9196</v>
      </c>
      <c r="W18" s="21"/>
    </row>
    <row r="19" spans="1:23" ht="14.25" x14ac:dyDescent="0.45">
      <c r="A19" t="s">
        <v>21</v>
      </c>
      <c r="B19" s="9">
        <v>6</v>
      </c>
      <c r="C19" s="9">
        <v>2019</v>
      </c>
      <c r="D19" s="17">
        <v>647692</v>
      </c>
      <c r="E19" s="15">
        <v>0.17</v>
      </c>
      <c r="F19" s="16">
        <v>66720</v>
      </c>
      <c r="G19" s="16">
        <v>108438.01</v>
      </c>
      <c r="H19" s="17">
        <v>7046</v>
      </c>
      <c r="I19" s="15">
        <v>0.36</v>
      </c>
      <c r="J19" s="20">
        <v>2636</v>
      </c>
      <c r="K19" s="20">
        <v>2214</v>
      </c>
      <c r="L19" s="19">
        <v>6749.8</v>
      </c>
      <c r="M19" s="15">
        <v>4.6900000000000004</v>
      </c>
      <c r="N19" s="16">
        <f t="shared" si="0"/>
        <v>8189.7654584221746</v>
      </c>
      <c r="O19" s="16">
        <v>38410</v>
      </c>
      <c r="P19" s="19">
        <v>208660.6906</v>
      </c>
      <c r="Q19" s="15">
        <v>7.5275989717250552E-2</v>
      </c>
      <c r="R19" s="16">
        <v>219179.00880000001</v>
      </c>
      <c r="S19" s="16">
        <v>19277</v>
      </c>
      <c r="T19" s="17">
        <v>6380</v>
      </c>
      <c r="U19" s="17">
        <v>8613</v>
      </c>
      <c r="W19" s="21"/>
    </row>
    <row r="20" spans="1:23" ht="14.25" x14ac:dyDescent="0.45">
      <c r="A20" t="s">
        <v>21</v>
      </c>
      <c r="B20" s="9">
        <v>7</v>
      </c>
      <c r="C20" s="9">
        <v>2019</v>
      </c>
      <c r="D20" s="17">
        <v>762052</v>
      </c>
      <c r="E20" s="15">
        <v>0.17</v>
      </c>
      <c r="F20" s="16">
        <v>749760</v>
      </c>
      <c r="G20" s="16">
        <v>130210.47</v>
      </c>
      <c r="H20" s="17">
        <v>7263</v>
      </c>
      <c r="I20" s="15">
        <v>0.36</v>
      </c>
      <c r="J20" s="20">
        <v>2733</v>
      </c>
      <c r="K20" s="20">
        <v>2271</v>
      </c>
      <c r="L20" s="19">
        <v>6252.8</v>
      </c>
      <c r="M20" s="15">
        <v>5.7</v>
      </c>
      <c r="N20" s="16">
        <f t="shared" si="0"/>
        <v>7223.8596491228072</v>
      </c>
      <c r="O20" s="16">
        <v>41176</v>
      </c>
      <c r="P20" s="19">
        <v>200985.1611</v>
      </c>
      <c r="Q20" s="15">
        <v>9.9780152376632361E-2</v>
      </c>
      <c r="R20" s="16">
        <v>189614.00630000001</v>
      </c>
      <c r="S20" s="16">
        <v>20605</v>
      </c>
      <c r="T20" s="17">
        <v>6861</v>
      </c>
      <c r="U20" s="17">
        <v>9262</v>
      </c>
      <c r="W20" s="21"/>
    </row>
    <row r="21" spans="1:23" ht="14.25" x14ac:dyDescent="0.45">
      <c r="A21" t="s">
        <v>21</v>
      </c>
      <c r="B21" s="9">
        <v>8</v>
      </c>
      <c r="C21" s="9">
        <v>2019</v>
      </c>
      <c r="D21" s="17">
        <v>687532</v>
      </c>
      <c r="E21" s="15">
        <v>0.17</v>
      </c>
      <c r="F21" s="16">
        <v>688320</v>
      </c>
      <c r="G21" s="16">
        <v>128551.19</v>
      </c>
      <c r="H21" s="17">
        <v>7389</v>
      </c>
      <c r="I21" s="15">
        <v>0.35</v>
      </c>
      <c r="J21" s="20">
        <v>2226</v>
      </c>
      <c r="K21" s="20">
        <v>2247</v>
      </c>
      <c r="L21" s="19">
        <v>8889.9</v>
      </c>
      <c r="M21" s="15">
        <v>4.4400000000000004</v>
      </c>
      <c r="N21" s="16">
        <f t="shared" si="0"/>
        <v>10516.216216216215</v>
      </c>
      <c r="O21" s="16">
        <v>46692</v>
      </c>
      <c r="P21" s="19">
        <v>194162.4682</v>
      </c>
      <c r="Q21" s="15">
        <v>9.9323057534143985E-2</v>
      </c>
      <c r="R21" s="16">
        <v>207523.57509999999</v>
      </c>
      <c r="S21" s="16">
        <v>18715</v>
      </c>
      <c r="T21" s="17">
        <v>6466</v>
      </c>
      <c r="U21" s="17">
        <v>8729</v>
      </c>
      <c r="W21" s="21"/>
    </row>
    <row r="22" spans="1:23" ht="14.25" x14ac:dyDescent="0.45">
      <c r="A22" t="s">
        <v>21</v>
      </c>
      <c r="B22" s="9">
        <v>9</v>
      </c>
      <c r="C22" s="9">
        <v>2019</v>
      </c>
      <c r="D22" s="17">
        <v>622932</v>
      </c>
      <c r="E22" s="15">
        <v>0.16</v>
      </c>
      <c r="F22" s="16">
        <v>598880</v>
      </c>
      <c r="G22" s="16">
        <v>117803.01</v>
      </c>
      <c r="H22" s="17">
        <v>8733</v>
      </c>
      <c r="I22" s="15">
        <v>0.28999999999999998</v>
      </c>
      <c r="J22" s="20">
        <v>2688</v>
      </c>
      <c r="K22" s="20">
        <v>2389</v>
      </c>
      <c r="L22" s="19">
        <v>3865.7</v>
      </c>
      <c r="M22" s="15">
        <v>7.59</v>
      </c>
      <c r="N22" s="16">
        <f t="shared" si="0"/>
        <v>5415.415019762846</v>
      </c>
      <c r="O22" s="16">
        <v>41103</v>
      </c>
      <c r="P22" s="19">
        <v>188192.61189999999</v>
      </c>
      <c r="Q22" s="15">
        <v>0.1010867525984956</v>
      </c>
      <c r="R22" s="16">
        <v>193593.9105</v>
      </c>
      <c r="S22" s="16">
        <v>21541</v>
      </c>
      <c r="T22" s="17">
        <v>6738</v>
      </c>
      <c r="U22" s="17">
        <v>9096</v>
      </c>
      <c r="W22" s="21"/>
    </row>
    <row r="23" spans="1:23" ht="14.25" x14ac:dyDescent="0.45">
      <c r="A23" t="s">
        <v>21</v>
      </c>
      <c r="B23" s="9">
        <v>10</v>
      </c>
      <c r="C23" s="9">
        <v>2019</v>
      </c>
      <c r="D23" s="17">
        <v>664332</v>
      </c>
      <c r="E23" s="15">
        <v>0.15</v>
      </c>
      <c r="F23" s="16">
        <v>643360</v>
      </c>
      <c r="G23" s="16">
        <v>111150.7</v>
      </c>
      <c r="H23" s="17">
        <v>6601</v>
      </c>
      <c r="I23" s="15">
        <v>0.5</v>
      </c>
      <c r="J23" s="20">
        <v>2942</v>
      </c>
      <c r="K23" s="20">
        <v>2626</v>
      </c>
      <c r="L23" s="19">
        <v>6516.1</v>
      </c>
      <c r="M23" s="15">
        <v>5.38</v>
      </c>
      <c r="N23" s="16">
        <f t="shared" si="0"/>
        <v>7760.2230483271378</v>
      </c>
      <c r="O23" s="16">
        <v>41750</v>
      </c>
      <c r="P23" s="19">
        <v>263526.51250000001</v>
      </c>
      <c r="Q23" s="15">
        <v>8.0478961296161805E-2</v>
      </c>
      <c r="R23" s="16">
        <v>250733.9633</v>
      </c>
      <c r="S23" s="16">
        <v>24886</v>
      </c>
      <c r="T23" s="17">
        <v>7202</v>
      </c>
      <c r="U23" s="17">
        <v>9723</v>
      </c>
      <c r="W23" s="21"/>
    </row>
    <row r="24" spans="1:23" ht="14.25" x14ac:dyDescent="0.45">
      <c r="A24" t="s">
        <v>21</v>
      </c>
      <c r="B24" s="9">
        <v>11</v>
      </c>
      <c r="C24" s="9">
        <v>2019</v>
      </c>
      <c r="D24" s="17">
        <v>728412</v>
      </c>
      <c r="E24" s="15">
        <v>0.16</v>
      </c>
      <c r="F24" s="16">
        <v>764000</v>
      </c>
      <c r="G24" s="16">
        <v>98816.62</v>
      </c>
      <c r="H24" s="17">
        <v>8415</v>
      </c>
      <c r="I24" s="15">
        <v>0.28999999999999998</v>
      </c>
      <c r="J24" s="20">
        <v>2831</v>
      </c>
      <c r="K24" s="20">
        <v>2522</v>
      </c>
      <c r="L24" s="19">
        <v>4349.2</v>
      </c>
      <c r="M24" s="15">
        <v>6.08</v>
      </c>
      <c r="N24" s="16">
        <f t="shared" si="0"/>
        <v>5968.5855263157891</v>
      </c>
      <c r="O24" s="16">
        <v>36289</v>
      </c>
      <c r="P24" s="19">
        <v>250165.4056</v>
      </c>
      <c r="Q24" s="15">
        <v>9.6498914156818161E-2</v>
      </c>
      <c r="R24" s="16">
        <v>271770.59970000002</v>
      </c>
      <c r="S24" s="16">
        <v>26734</v>
      </c>
      <c r="T24" s="17">
        <v>5421</v>
      </c>
      <c r="U24" s="17">
        <v>7318</v>
      </c>
      <c r="W24" s="21"/>
    </row>
    <row r="25" spans="1:23" ht="14.25" x14ac:dyDescent="0.45">
      <c r="A25" t="s">
        <v>21</v>
      </c>
      <c r="B25" s="9">
        <v>12</v>
      </c>
      <c r="C25" s="9">
        <v>2019</v>
      </c>
      <c r="D25" s="17">
        <v>779932</v>
      </c>
      <c r="E25" s="15">
        <v>0.16</v>
      </c>
      <c r="F25" s="16">
        <v>844960</v>
      </c>
      <c r="G25" s="16">
        <v>108181.36</v>
      </c>
      <c r="H25" s="17">
        <v>9261</v>
      </c>
      <c r="I25" s="15">
        <v>0.33</v>
      </c>
      <c r="J25" s="20">
        <v>3420</v>
      </c>
      <c r="K25" s="20">
        <v>2973</v>
      </c>
      <c r="L25" s="19">
        <v>4876.7</v>
      </c>
      <c r="M25" s="15">
        <v>5.09</v>
      </c>
      <c r="N25" s="16">
        <f t="shared" si="0"/>
        <v>5990.1768172888014</v>
      </c>
      <c r="O25" s="16">
        <v>30490</v>
      </c>
      <c r="P25" s="19">
        <v>318960.8921</v>
      </c>
      <c r="Q25" s="15">
        <v>0.13284801067936317</v>
      </c>
      <c r="R25" s="16">
        <v>294512.9093</v>
      </c>
      <c r="S25" s="16">
        <v>45022</v>
      </c>
      <c r="T25" s="17">
        <v>4199</v>
      </c>
      <c r="U25" s="17">
        <v>5669</v>
      </c>
      <c r="W25" s="21"/>
    </row>
    <row r="26" spans="1:23" ht="14.25" x14ac:dyDescent="0.45">
      <c r="A26" t="s">
        <v>21</v>
      </c>
      <c r="B26" s="9">
        <v>1</v>
      </c>
      <c r="C26" s="9">
        <v>2020</v>
      </c>
      <c r="D26" s="17">
        <v>825520</v>
      </c>
      <c r="E26" s="15">
        <v>0.14000000000000001</v>
      </c>
      <c r="F26" s="16">
        <v>825520</v>
      </c>
      <c r="G26" s="16">
        <v>128203.94</v>
      </c>
      <c r="H26" s="17">
        <v>8751</v>
      </c>
      <c r="I26" s="15">
        <v>0.31</v>
      </c>
      <c r="J26" s="20">
        <v>2982</v>
      </c>
      <c r="K26" s="20">
        <v>2929</v>
      </c>
      <c r="L26" s="19">
        <v>3579.2</v>
      </c>
      <c r="M26" s="15">
        <v>5.86</v>
      </c>
      <c r="N26" s="16">
        <f t="shared" si="0"/>
        <v>4331.0119453924908</v>
      </c>
      <c r="O26" s="16">
        <v>25379.73</v>
      </c>
      <c r="P26" s="19">
        <v>280583.24469999998</v>
      </c>
      <c r="Q26" s="15">
        <v>0.10571479430895611</v>
      </c>
      <c r="R26" s="16">
        <v>280583.24469999998</v>
      </c>
      <c r="S26" s="16">
        <v>43898.61</v>
      </c>
      <c r="T26" s="17">
        <v>3171</v>
      </c>
      <c r="U26" s="17">
        <v>4281</v>
      </c>
      <c r="W26" s="21"/>
    </row>
    <row r="27" spans="1:23" ht="14.25" x14ac:dyDescent="0.45">
      <c r="A27" t="s">
        <v>21</v>
      </c>
      <c r="B27" s="9">
        <v>2</v>
      </c>
      <c r="C27" s="9">
        <v>2020</v>
      </c>
      <c r="D27" s="17">
        <v>758560</v>
      </c>
      <c r="E27" s="15">
        <v>0.15</v>
      </c>
      <c r="F27" s="16">
        <v>758560</v>
      </c>
      <c r="G27" s="16">
        <v>109122.06</v>
      </c>
      <c r="H27" s="17">
        <v>6935</v>
      </c>
      <c r="I27" s="15">
        <v>0.34</v>
      </c>
      <c r="J27" s="20">
        <v>2475</v>
      </c>
      <c r="K27" s="20">
        <v>2061</v>
      </c>
      <c r="L27" s="19">
        <v>3198.9</v>
      </c>
      <c r="M27" s="15">
        <v>7.51</v>
      </c>
      <c r="N27" s="16">
        <f t="shared" si="0"/>
        <v>3060.6697736351534</v>
      </c>
      <c r="O27" s="16">
        <v>22985.63</v>
      </c>
      <c r="P27" s="19">
        <v>253576.75200000001</v>
      </c>
      <c r="Q27" s="15">
        <v>0.15011711325965718</v>
      </c>
      <c r="R27" s="16">
        <v>253576.75200000001</v>
      </c>
      <c r="S27" s="16">
        <v>48902</v>
      </c>
      <c r="T27" s="17">
        <v>3648</v>
      </c>
      <c r="U27" s="17">
        <v>4925</v>
      </c>
      <c r="W27" s="21"/>
    </row>
    <row r="28" spans="1:23" ht="14.25" x14ac:dyDescent="0.45">
      <c r="A28" t="s">
        <v>21</v>
      </c>
      <c r="B28" s="9">
        <v>3</v>
      </c>
      <c r="C28" s="9">
        <v>2020</v>
      </c>
      <c r="D28" s="17">
        <v>601520</v>
      </c>
      <c r="E28" s="15">
        <v>0.16</v>
      </c>
      <c r="F28" s="16">
        <v>201520</v>
      </c>
      <c r="G28" s="16">
        <v>122962.36</v>
      </c>
      <c r="H28" s="17">
        <v>4269</v>
      </c>
      <c r="I28" s="15">
        <v>0.35</v>
      </c>
      <c r="J28" s="20">
        <v>1559</v>
      </c>
      <c r="K28" s="20">
        <v>1757</v>
      </c>
      <c r="L28" s="19">
        <v>2539.1999999999998</v>
      </c>
      <c r="M28" s="15">
        <v>6.03</v>
      </c>
      <c r="N28" s="16">
        <f t="shared" si="0"/>
        <v>4909.3250414593695</v>
      </c>
      <c r="O28" s="16">
        <v>29603.23</v>
      </c>
      <c r="P28" s="19">
        <v>220031.84539999999</v>
      </c>
      <c r="Q28" s="15">
        <v>9.8219418924166343E-2</v>
      </c>
      <c r="R28" s="16">
        <v>220031.84539999999</v>
      </c>
      <c r="S28" s="16">
        <v>37145.040000000001</v>
      </c>
      <c r="T28" s="17">
        <v>1970</v>
      </c>
      <c r="U28" s="17">
        <v>2660</v>
      </c>
      <c r="W28" s="21"/>
    </row>
    <row r="29" spans="1:23" ht="14.25" x14ac:dyDescent="0.45">
      <c r="A29" t="s">
        <v>21</v>
      </c>
      <c r="B29" s="9">
        <v>4</v>
      </c>
      <c r="C29" s="9">
        <v>2020</v>
      </c>
      <c r="D29" s="17">
        <v>334240</v>
      </c>
      <c r="E29" s="15">
        <v>0.18</v>
      </c>
      <c r="F29" s="16">
        <v>334240</v>
      </c>
      <c r="G29" s="16">
        <v>94874.3</v>
      </c>
      <c r="H29" s="17">
        <v>247</v>
      </c>
      <c r="I29" s="15">
        <v>0.08</v>
      </c>
      <c r="J29" s="20">
        <v>633</v>
      </c>
      <c r="K29" s="20">
        <v>3884</v>
      </c>
      <c r="L29" s="19">
        <v>1233.9000000000001</v>
      </c>
      <c r="M29" s="15">
        <v>9.48</v>
      </c>
      <c r="N29" s="16">
        <f t="shared" si="0"/>
        <v>3559.911392405063</v>
      </c>
      <c r="O29" s="16">
        <v>33747.96</v>
      </c>
      <c r="P29" s="19">
        <v>95801.979189999998</v>
      </c>
      <c r="Q29" s="15">
        <v>0.13730206944798715</v>
      </c>
      <c r="R29" s="16">
        <v>95801.979189999998</v>
      </c>
      <c r="S29" s="16">
        <v>22151.72</v>
      </c>
      <c r="T29" s="17">
        <v>229</v>
      </c>
      <c r="U29" s="17">
        <v>309</v>
      </c>
      <c r="W29" s="21"/>
    </row>
    <row r="30" spans="1:23" ht="14.25" x14ac:dyDescent="0.45">
      <c r="A30" t="s">
        <v>21</v>
      </c>
      <c r="B30" s="9">
        <v>5</v>
      </c>
      <c r="C30" s="9">
        <v>2020</v>
      </c>
      <c r="D30" s="17">
        <v>307920</v>
      </c>
      <c r="E30" s="15">
        <v>0.16</v>
      </c>
      <c r="F30" s="16">
        <v>307920</v>
      </c>
      <c r="G30" s="16">
        <v>99643.99</v>
      </c>
      <c r="H30" s="17">
        <v>3113</v>
      </c>
      <c r="I30" s="15">
        <v>1.1299999999999999</v>
      </c>
      <c r="J30" s="20">
        <v>576</v>
      </c>
      <c r="K30" s="20">
        <v>2699</v>
      </c>
      <c r="L30" s="19">
        <v>2069.5</v>
      </c>
      <c r="M30" s="15">
        <v>5.05</v>
      </c>
      <c r="N30" s="16">
        <f t="shared" si="0"/>
        <v>6552.5029702970296</v>
      </c>
      <c r="O30" s="16">
        <v>33090.14</v>
      </c>
      <c r="P30" s="19">
        <v>81303.756819999995</v>
      </c>
      <c r="Q30" s="15">
        <v>0.21071818412929275</v>
      </c>
      <c r="R30" s="16">
        <v>81303.756819999995</v>
      </c>
      <c r="S30" s="16">
        <v>21413.86</v>
      </c>
      <c r="T30" s="17">
        <v>128</v>
      </c>
      <c r="U30" s="17">
        <v>173</v>
      </c>
      <c r="W30" s="21"/>
    </row>
    <row r="31" spans="1:23" ht="14.25" x14ac:dyDescent="0.45">
      <c r="A31" t="s">
        <v>21</v>
      </c>
      <c r="B31" s="9">
        <v>6</v>
      </c>
      <c r="C31" s="9">
        <v>2020</v>
      </c>
      <c r="D31" s="17">
        <v>362240</v>
      </c>
      <c r="E31" s="15">
        <v>0.16</v>
      </c>
      <c r="F31" s="16">
        <v>362240</v>
      </c>
      <c r="G31" s="16">
        <v>114697.97</v>
      </c>
      <c r="H31" s="17">
        <v>259</v>
      </c>
      <c r="I31" s="15">
        <v>0.04</v>
      </c>
      <c r="J31" s="20">
        <v>693</v>
      </c>
      <c r="K31" s="20">
        <v>2471</v>
      </c>
      <c r="L31" s="19">
        <v>2069.5</v>
      </c>
      <c r="M31" s="15">
        <v>6.54</v>
      </c>
      <c r="N31" s="16">
        <f t="shared" si="0"/>
        <v>5739.6207951070337</v>
      </c>
      <c r="O31" s="16">
        <v>37537.120000000003</v>
      </c>
      <c r="P31" s="19">
        <v>66521.255579999997</v>
      </c>
      <c r="Q31" s="15">
        <v>0.1930676125701595</v>
      </c>
      <c r="R31" s="16">
        <v>66521.255579999997</v>
      </c>
      <c r="S31" s="16">
        <v>15675.28</v>
      </c>
      <c r="T31" s="17">
        <v>272</v>
      </c>
      <c r="U31" s="17">
        <v>367</v>
      </c>
      <c r="W31" s="21"/>
    </row>
    <row r="32" spans="1:23" ht="14.25" x14ac:dyDescent="0.45">
      <c r="A32" t="s">
        <v>21</v>
      </c>
      <c r="B32" s="9">
        <v>7</v>
      </c>
      <c r="C32" s="9">
        <v>2020</v>
      </c>
      <c r="D32" s="17">
        <v>527520</v>
      </c>
      <c r="E32" s="15">
        <v>0.18</v>
      </c>
      <c r="F32" s="16">
        <v>527520</v>
      </c>
      <c r="G32" s="16">
        <v>132261.31</v>
      </c>
      <c r="H32" s="17">
        <v>4086</v>
      </c>
      <c r="I32" s="15">
        <v>0.72</v>
      </c>
      <c r="J32" s="20">
        <v>973</v>
      </c>
      <c r="K32" s="20">
        <v>2516</v>
      </c>
      <c r="L32" s="19">
        <v>2461.3000000000002</v>
      </c>
      <c r="M32" s="15">
        <v>7.02</v>
      </c>
      <c r="N32" s="16">
        <f t="shared" si="0"/>
        <v>6208.5612535612536</v>
      </c>
      <c r="O32" s="16">
        <v>43584.1</v>
      </c>
      <c r="P32" s="19">
        <v>112858.7114</v>
      </c>
      <c r="Q32" s="15">
        <v>0.15717714459036436</v>
      </c>
      <c r="R32" s="16">
        <v>112892.82490000001</v>
      </c>
      <c r="S32" s="16">
        <v>20873.41</v>
      </c>
      <c r="T32" s="17">
        <v>898</v>
      </c>
      <c r="U32" s="17">
        <v>1212</v>
      </c>
      <c r="W32" s="21"/>
    </row>
    <row r="33" spans="1:28" ht="14.25" x14ac:dyDescent="0.45">
      <c r="A33" t="s">
        <v>21</v>
      </c>
      <c r="B33" s="9">
        <v>8</v>
      </c>
      <c r="C33" s="9">
        <v>2020</v>
      </c>
      <c r="D33" s="17">
        <v>525920</v>
      </c>
      <c r="E33" s="15">
        <v>0.17</v>
      </c>
      <c r="F33" s="16">
        <v>525920</v>
      </c>
      <c r="G33" s="16">
        <v>126034.33</v>
      </c>
      <c r="H33" s="17">
        <v>3031</v>
      </c>
      <c r="I33" s="15">
        <v>0.76</v>
      </c>
      <c r="J33" s="20">
        <v>1050</v>
      </c>
      <c r="K33" s="20">
        <v>2801</v>
      </c>
      <c r="L33" s="19">
        <v>3329.6</v>
      </c>
      <c r="M33" s="15">
        <v>5.45</v>
      </c>
      <c r="N33" s="16">
        <f t="shared" si="0"/>
        <v>7984.0954128440362</v>
      </c>
      <c r="O33" s="16">
        <v>43513.32</v>
      </c>
      <c r="P33" s="19">
        <v>125935.53939999999</v>
      </c>
      <c r="Q33" s="15">
        <v>7.7545862323912043E-2</v>
      </c>
      <c r="R33" s="16">
        <v>125838.8846</v>
      </c>
      <c r="S33" s="16">
        <v>18402.43</v>
      </c>
      <c r="T33" s="17">
        <v>1707</v>
      </c>
      <c r="U33" s="17">
        <v>2304</v>
      </c>
      <c r="W33" s="21"/>
    </row>
    <row r="34" spans="1:28" ht="14.25" x14ac:dyDescent="0.45">
      <c r="A34" t="s">
        <v>21</v>
      </c>
      <c r="B34" s="9">
        <v>9</v>
      </c>
      <c r="C34" s="9">
        <v>2020</v>
      </c>
      <c r="D34" s="17">
        <v>498160</v>
      </c>
      <c r="E34" s="15">
        <v>0.17</v>
      </c>
      <c r="F34" s="16">
        <v>525000</v>
      </c>
      <c r="G34" s="16">
        <v>123455.6</v>
      </c>
      <c r="H34" s="17">
        <v>2582</v>
      </c>
      <c r="I34" s="15">
        <v>0.35</v>
      </c>
      <c r="J34" s="20">
        <v>1050</v>
      </c>
      <c r="K34" s="20">
        <v>2460</v>
      </c>
      <c r="L34" s="19">
        <v>2932.6</v>
      </c>
      <c r="M34" s="15">
        <v>5.92</v>
      </c>
      <c r="N34" s="16">
        <f t="shared" si="0"/>
        <v>7160.1976351351359</v>
      </c>
      <c r="O34" s="16">
        <v>42388.37</v>
      </c>
      <c r="P34" s="19">
        <v>154931.98420000001</v>
      </c>
      <c r="Q34" s="15">
        <v>8.8435128942213601E-2</v>
      </c>
      <c r="R34" s="16">
        <v>126504.0972</v>
      </c>
      <c r="S34" s="16">
        <v>22441.41</v>
      </c>
      <c r="T34" s="17">
        <v>1373</v>
      </c>
      <c r="U34" s="17">
        <v>1854</v>
      </c>
      <c r="W34" s="21"/>
    </row>
    <row r="35" spans="1:28" ht="14.25" x14ac:dyDescent="0.45">
      <c r="A35" t="s">
        <v>21</v>
      </c>
      <c r="B35" s="9">
        <v>10</v>
      </c>
      <c r="C35" s="9">
        <v>2020</v>
      </c>
      <c r="D35" s="17">
        <v>558160</v>
      </c>
      <c r="E35" s="15">
        <v>0.16</v>
      </c>
      <c r="F35" s="16">
        <v>525000</v>
      </c>
      <c r="G35" s="16">
        <v>115923.13</v>
      </c>
      <c r="H35" s="17">
        <v>2771</v>
      </c>
      <c r="I35" s="15">
        <v>0.37</v>
      </c>
      <c r="J35" s="20">
        <v>1150</v>
      </c>
      <c r="K35" s="20">
        <v>2704</v>
      </c>
      <c r="L35" s="19">
        <v>3300</v>
      </c>
      <c r="M35" s="15">
        <v>6.05</v>
      </c>
      <c r="N35" s="16">
        <f t="shared" si="0"/>
        <v>6438.5983471074378</v>
      </c>
      <c r="O35" s="16">
        <v>38953.519999999997</v>
      </c>
      <c r="P35" s="19">
        <v>249312.56899999999</v>
      </c>
      <c r="Q35" s="15">
        <v>9.6441587748429966E-2</v>
      </c>
      <c r="R35" s="16">
        <v>136453.85759999999</v>
      </c>
      <c r="S35" s="16">
        <v>25080.16</v>
      </c>
      <c r="T35" s="17">
        <v>1676</v>
      </c>
      <c r="U35" s="17">
        <v>2263</v>
      </c>
      <c r="W35" s="21"/>
    </row>
    <row r="36" spans="1:28" ht="14.25" x14ac:dyDescent="0.45">
      <c r="A36" t="s">
        <v>21</v>
      </c>
      <c r="B36" s="9">
        <v>11</v>
      </c>
      <c r="C36" s="9">
        <v>2020</v>
      </c>
      <c r="D36" s="6">
        <v>574000</v>
      </c>
      <c r="E36" s="18">
        <v>0.15</v>
      </c>
      <c r="F36" s="13">
        <v>650000</v>
      </c>
      <c r="G36" s="13">
        <v>103657.38</v>
      </c>
      <c r="H36" s="6">
        <v>8459</v>
      </c>
      <c r="I36" s="18">
        <v>0.12</v>
      </c>
      <c r="J36" s="20">
        <v>1200</v>
      </c>
      <c r="K36" s="20">
        <v>2870</v>
      </c>
      <c r="L36" s="6">
        <v>2363.3000000000002</v>
      </c>
      <c r="M36" s="18">
        <v>5.29</v>
      </c>
      <c r="N36" s="16">
        <f t="shared" si="0"/>
        <v>6631.4026465028364</v>
      </c>
      <c r="O36" s="13">
        <v>35080.120000000003</v>
      </c>
      <c r="P36" s="6">
        <v>190466.84289999999</v>
      </c>
      <c r="Q36" s="18">
        <v>7.9690773306769616E-2</v>
      </c>
      <c r="R36" s="13">
        <v>156353.37849999999</v>
      </c>
      <c r="S36" s="13">
        <v>30294.27</v>
      </c>
      <c r="T36" s="17">
        <v>987</v>
      </c>
      <c r="U36" s="17">
        <v>1332</v>
      </c>
      <c r="V36" s="10"/>
      <c r="W36" s="21"/>
    </row>
    <row r="37" spans="1:28" ht="14.25" x14ac:dyDescent="0.45">
      <c r="A37" t="s">
        <v>21</v>
      </c>
      <c r="B37" s="9">
        <v>12</v>
      </c>
      <c r="C37" s="9">
        <v>2020</v>
      </c>
      <c r="D37" s="24">
        <v>683280</v>
      </c>
      <c r="E37" s="18">
        <v>0.15026999999999999</v>
      </c>
      <c r="F37" s="13">
        <v>600000</v>
      </c>
      <c r="G37" s="13">
        <v>116754.51</v>
      </c>
      <c r="H37" s="23">
        <v>3144</v>
      </c>
      <c r="I37" s="18">
        <v>0.33429999999999999</v>
      </c>
      <c r="J37" s="20">
        <v>1250</v>
      </c>
      <c r="K37" s="20">
        <v>2516</v>
      </c>
      <c r="L37" s="6">
        <v>3098.6</v>
      </c>
      <c r="M37" s="18">
        <v>6.5987</v>
      </c>
      <c r="N37" s="16">
        <f t="shared" si="0"/>
        <v>5050.4735781290246</v>
      </c>
      <c r="O37" s="13">
        <v>33326.559999999998</v>
      </c>
      <c r="P37" s="25">
        <v>306844.28999999998</v>
      </c>
      <c r="Q37" s="18">
        <v>0.14964</v>
      </c>
      <c r="R37" s="13">
        <v>175842</v>
      </c>
      <c r="S37" s="13">
        <v>46978.7</v>
      </c>
      <c r="T37" s="17">
        <v>1259</v>
      </c>
      <c r="U37" s="17">
        <v>1696</v>
      </c>
      <c r="V37" s="10"/>
      <c r="W37" s="10"/>
      <c r="X37" s="10"/>
      <c r="Y37" s="10"/>
      <c r="Z37" s="10"/>
      <c r="AA37" s="10"/>
      <c r="AB37" s="10"/>
    </row>
    <row r="38" spans="1:28" ht="14.25" x14ac:dyDescent="0.45">
      <c r="A38" t="s">
        <v>21</v>
      </c>
      <c r="B38" s="1">
        <v>1</v>
      </c>
      <c r="C38" s="1">
        <v>2021</v>
      </c>
      <c r="D38" s="23">
        <v>764880</v>
      </c>
      <c r="E38" s="18">
        <v>0.14960000000000001</v>
      </c>
      <c r="F38" s="13">
        <v>732281</v>
      </c>
      <c r="G38" s="13">
        <v>109555.63</v>
      </c>
      <c r="H38" s="23">
        <v>3066</v>
      </c>
      <c r="I38" s="18">
        <v>0.4103</v>
      </c>
      <c r="J38" s="20">
        <v>1026</v>
      </c>
      <c r="K38" s="20">
        <v>957</v>
      </c>
      <c r="L38" s="6">
        <v>2357.6</v>
      </c>
      <c r="M38" s="18">
        <v>6.9615</v>
      </c>
      <c r="N38" s="16">
        <f>O38/AVERAGE($M$26:$M$37)</f>
        <v>2837.5183434094592</v>
      </c>
      <c r="O38" s="13">
        <v>18159.810000000001</v>
      </c>
      <c r="P38" s="25">
        <v>339081.99</v>
      </c>
      <c r="Q38" s="26">
        <v>0.14313999999999999</v>
      </c>
      <c r="R38" s="13">
        <v>227783</v>
      </c>
      <c r="S38" s="13">
        <v>32614.93</v>
      </c>
      <c r="T38" s="17">
        <v>1666</v>
      </c>
      <c r="U38" s="17">
        <v>2067</v>
      </c>
    </row>
    <row r="39" spans="1:28" ht="14.25" x14ac:dyDescent="0.45">
      <c r="A39" t="s">
        <v>21</v>
      </c>
      <c r="B39" s="1">
        <v>2</v>
      </c>
      <c r="C39" s="1">
        <v>2021</v>
      </c>
      <c r="D39" s="23">
        <v>685360</v>
      </c>
      <c r="E39" s="18">
        <v>0.154</v>
      </c>
      <c r="F39" s="13">
        <v>774077</v>
      </c>
      <c r="G39" s="13">
        <v>119203.9</v>
      </c>
      <c r="H39" s="23">
        <v>2808</v>
      </c>
      <c r="I39" s="18">
        <v>0.3367</v>
      </c>
      <c r="J39" s="20">
        <v>1089</v>
      </c>
      <c r="K39" s="20">
        <v>1018</v>
      </c>
      <c r="L39" s="6">
        <v>2002.5</v>
      </c>
      <c r="M39" s="18">
        <v>7.2427000000000001</v>
      </c>
      <c r="N39" s="16">
        <f t="shared" ref="N39:N49" si="1">O39/AVERAGE($M$26:$M$37)</f>
        <v>2848.3919649681575</v>
      </c>
      <c r="O39" s="13">
        <v>18229.400000000001</v>
      </c>
      <c r="P39" s="25">
        <v>299810</v>
      </c>
      <c r="Q39" s="26">
        <v>0.15001</v>
      </c>
      <c r="R39" s="13">
        <v>221171</v>
      </c>
      <c r="S39" s="13">
        <v>33173.81</v>
      </c>
      <c r="T39" s="17">
        <v>1456</v>
      </c>
      <c r="U39" s="17">
        <v>1966</v>
      </c>
      <c r="V39" s="10"/>
    </row>
    <row r="40" spans="1:28" ht="14.25" x14ac:dyDescent="0.45">
      <c r="A40" t="s">
        <v>21</v>
      </c>
      <c r="B40" s="1">
        <v>3</v>
      </c>
      <c r="C40" s="1">
        <v>2021</v>
      </c>
      <c r="D40" s="23">
        <v>626800</v>
      </c>
      <c r="E40" s="27">
        <v>0.16070000000000001</v>
      </c>
      <c r="F40" s="13">
        <v>617376</v>
      </c>
      <c r="G40" s="13">
        <v>99219.48</v>
      </c>
      <c r="H40" s="6">
        <v>3376</v>
      </c>
      <c r="I40" s="18">
        <v>0.35399999999999998</v>
      </c>
      <c r="J40" s="20">
        <v>1125</v>
      </c>
      <c r="K40" s="20">
        <v>1090</v>
      </c>
      <c r="L40" s="6">
        <v>2322.8000000000002</v>
      </c>
      <c r="M40" s="18">
        <v>7.09</v>
      </c>
      <c r="N40" s="16">
        <f t="shared" si="1"/>
        <v>2892.4473981981464</v>
      </c>
      <c r="O40" s="13">
        <v>18511.349999999999</v>
      </c>
      <c r="P40" s="25">
        <v>263314.59999999998</v>
      </c>
      <c r="Q40" s="26">
        <v>0.12246</v>
      </c>
      <c r="R40" s="13">
        <v>234790</v>
      </c>
      <c r="S40" s="13">
        <v>28755.38</v>
      </c>
      <c r="T40" s="17">
        <v>1945</v>
      </c>
      <c r="U40" s="17">
        <v>2626</v>
      </c>
    </row>
    <row r="41" spans="1:28" ht="14.25" x14ac:dyDescent="0.45">
      <c r="A41" t="s">
        <v>21</v>
      </c>
      <c r="B41" s="1">
        <v>4</v>
      </c>
      <c r="C41" s="1">
        <v>2021</v>
      </c>
      <c r="D41" s="6">
        <v>619520</v>
      </c>
      <c r="E41" s="18">
        <v>0.16619999999999999</v>
      </c>
      <c r="F41" s="13">
        <v>585570</v>
      </c>
      <c r="G41" s="13">
        <v>97315.08</v>
      </c>
      <c r="H41" s="6">
        <v>3900</v>
      </c>
      <c r="I41" s="18">
        <v>0.3891</v>
      </c>
      <c r="J41" s="20">
        <v>1945</v>
      </c>
      <c r="K41" s="20">
        <v>2158</v>
      </c>
      <c r="L41" s="6">
        <v>2885.7</v>
      </c>
      <c r="M41" s="18">
        <v>7.242</v>
      </c>
      <c r="N41" s="16">
        <f t="shared" si="1"/>
        <v>4554.2052144111813</v>
      </c>
      <c r="O41" s="13">
        <v>29146.42</v>
      </c>
      <c r="P41" s="25">
        <v>213941</v>
      </c>
      <c r="Q41" s="26">
        <v>0.13491</v>
      </c>
      <c r="R41" s="13">
        <v>218607</v>
      </c>
      <c r="S41" s="13">
        <v>29500.39</v>
      </c>
      <c r="T41" s="17">
        <v>2354</v>
      </c>
      <c r="U41" s="17">
        <v>3178</v>
      </c>
    </row>
    <row r="42" spans="1:28" ht="14.25" x14ac:dyDescent="0.45">
      <c r="A42" t="s">
        <v>21</v>
      </c>
      <c r="B42" s="1">
        <v>5</v>
      </c>
      <c r="C42" s="1">
        <v>2021</v>
      </c>
      <c r="D42" s="6">
        <v>539680</v>
      </c>
      <c r="E42" s="18">
        <v>0.1651</v>
      </c>
      <c r="F42" s="13">
        <v>647702</v>
      </c>
      <c r="G42" s="13">
        <v>106923.73</v>
      </c>
      <c r="H42" s="6">
        <v>3761.28</v>
      </c>
      <c r="I42" s="18">
        <v>0.4</v>
      </c>
      <c r="J42" s="20">
        <v>2151</v>
      </c>
      <c r="K42" s="20">
        <v>2386</v>
      </c>
      <c r="L42" s="6">
        <v>3350</v>
      </c>
      <c r="M42" s="18">
        <v>6.1517999999999997</v>
      </c>
      <c r="N42" s="16">
        <f t="shared" si="1"/>
        <v>4663.0445567437991</v>
      </c>
      <c r="O42" s="13">
        <v>29842.98</v>
      </c>
      <c r="P42" s="25">
        <v>207200.49</v>
      </c>
      <c r="Q42" s="26">
        <v>0.15720000000000001</v>
      </c>
      <c r="R42" s="13">
        <v>242381</v>
      </c>
      <c r="S42" s="13">
        <v>38120.04</v>
      </c>
      <c r="T42" s="17">
        <v>2683</v>
      </c>
      <c r="U42" s="17">
        <v>3622</v>
      </c>
    </row>
    <row r="43" spans="1:28" ht="14.25" x14ac:dyDescent="0.45">
      <c r="A43" t="s">
        <v>21</v>
      </c>
      <c r="B43" s="1">
        <v>6</v>
      </c>
      <c r="C43" s="1">
        <v>2021</v>
      </c>
      <c r="D43" s="6">
        <v>574480</v>
      </c>
      <c r="E43" s="18">
        <v>0.17399999999999999</v>
      </c>
      <c r="F43" s="13">
        <v>648345</v>
      </c>
      <c r="G43" s="13">
        <v>112771.27</v>
      </c>
      <c r="H43" s="6">
        <v>3875</v>
      </c>
      <c r="I43" s="18">
        <v>0.38279999999999997</v>
      </c>
      <c r="J43" s="20">
        <v>1876</v>
      </c>
      <c r="K43" s="20">
        <v>1994</v>
      </c>
      <c r="L43" s="6">
        <v>4160.8999999999996</v>
      </c>
      <c r="M43" s="18">
        <v>6.81</v>
      </c>
      <c r="N43" s="16">
        <f t="shared" si="1"/>
        <v>4828.6801729716781</v>
      </c>
      <c r="O43" s="13">
        <v>30903.03</v>
      </c>
      <c r="P43" s="25">
        <v>196063.83</v>
      </c>
      <c r="Q43" s="26">
        <v>0.15679999999999999</v>
      </c>
      <c r="R43" s="13">
        <v>235007</v>
      </c>
      <c r="S43" s="13">
        <v>36867.93</v>
      </c>
      <c r="T43" s="17">
        <v>2902</v>
      </c>
      <c r="U43" s="17">
        <v>3918</v>
      </c>
    </row>
    <row r="44" spans="1:28" ht="14.25" x14ac:dyDescent="0.45">
      <c r="A44" t="s">
        <v>21</v>
      </c>
      <c r="B44" s="1">
        <v>7</v>
      </c>
      <c r="C44" s="1">
        <v>2021</v>
      </c>
      <c r="D44" s="6">
        <v>630400</v>
      </c>
      <c r="E44" s="18">
        <v>0.17699999999999999</v>
      </c>
      <c r="F44" s="13">
        <v>724739</v>
      </c>
      <c r="G44" s="13">
        <v>128354.62</v>
      </c>
      <c r="H44" s="6">
        <v>3997</v>
      </c>
      <c r="I44" s="28">
        <v>0.37269999999999998</v>
      </c>
      <c r="J44" s="20">
        <v>1745</v>
      </c>
      <c r="K44" s="20">
        <v>1854</v>
      </c>
      <c r="L44" s="29">
        <v>4728.6000000000004</v>
      </c>
      <c r="M44" s="28">
        <v>5.9080000000000004</v>
      </c>
      <c r="N44" s="16">
        <f t="shared" si="1"/>
        <v>4567.4616888046285</v>
      </c>
      <c r="O44" s="13">
        <v>29231.26</v>
      </c>
      <c r="P44" s="25">
        <v>252450</v>
      </c>
      <c r="Q44" s="33">
        <v>0.11</v>
      </c>
      <c r="R44" s="13">
        <v>180473</v>
      </c>
      <c r="S44" s="13">
        <v>20850.71</v>
      </c>
      <c r="T44" s="17">
        <v>3156</v>
      </c>
      <c r="U44" s="17">
        <v>4261</v>
      </c>
    </row>
    <row r="45" spans="1:28" ht="14.25" x14ac:dyDescent="0.45">
      <c r="A45" t="s">
        <v>21</v>
      </c>
      <c r="B45" s="1">
        <v>8</v>
      </c>
      <c r="C45" s="1">
        <v>2021</v>
      </c>
      <c r="D45" s="30"/>
      <c r="E45" s="27">
        <v>0.17199999999999999</v>
      </c>
      <c r="F45" s="13">
        <v>698367</v>
      </c>
      <c r="G45" s="13">
        <v>120313.88</v>
      </c>
      <c r="H45" s="30">
        <v>3914</v>
      </c>
      <c r="I45" s="18">
        <v>0.3508</v>
      </c>
      <c r="J45" s="20">
        <v>1845</v>
      </c>
      <c r="K45" s="20">
        <v>1850</v>
      </c>
      <c r="L45" s="6">
        <v>5978.4</v>
      </c>
      <c r="M45" s="18">
        <v>6.26</v>
      </c>
      <c r="N45" s="16">
        <f t="shared" si="1"/>
        <v>4839.9788017245091</v>
      </c>
      <c r="O45" s="13">
        <v>30975.34</v>
      </c>
      <c r="P45" s="32">
        <v>251454</v>
      </c>
      <c r="Q45" s="33">
        <v>9.1829999999999995E-2</v>
      </c>
      <c r="R45" s="13">
        <v>219436</v>
      </c>
      <c r="S45" s="13">
        <v>20160.5</v>
      </c>
      <c r="T45" s="30">
        <v>3434</v>
      </c>
      <c r="U45" s="34">
        <f t="shared" ref="U45:U49" si="2">ROUND(T45*1.35,0)</f>
        <v>4636</v>
      </c>
    </row>
    <row r="46" spans="1:28" ht="14.25" x14ac:dyDescent="0.45">
      <c r="A46" t="s">
        <v>21</v>
      </c>
      <c r="B46" s="1">
        <v>9</v>
      </c>
      <c r="C46" s="1">
        <v>2021</v>
      </c>
      <c r="D46" s="30">
        <v>611840</v>
      </c>
      <c r="E46" s="27">
        <v>0.17199999999999999</v>
      </c>
      <c r="F46" s="13">
        <v>589709</v>
      </c>
      <c r="G46" s="13">
        <v>101528.33</v>
      </c>
      <c r="H46" s="30">
        <v>3777</v>
      </c>
      <c r="I46" s="18">
        <v>0.34839999999999999</v>
      </c>
      <c r="J46" s="20">
        <v>2537</v>
      </c>
      <c r="K46" s="20">
        <v>2521</v>
      </c>
      <c r="L46" s="6">
        <v>4410.3999999999996</v>
      </c>
      <c r="M46" s="18">
        <v>5.81</v>
      </c>
      <c r="N46" s="16">
        <f t="shared" si="1"/>
        <v>5306.1695054734009</v>
      </c>
      <c r="O46" s="13">
        <v>33958.910000000003</v>
      </c>
      <c r="P46" s="32">
        <v>270796.68</v>
      </c>
      <c r="Q46" s="33">
        <v>9.2910000000000006E-2</v>
      </c>
      <c r="R46" s="13">
        <v>235787</v>
      </c>
      <c r="S46" s="13">
        <v>21915.52</v>
      </c>
      <c r="T46" s="30">
        <v>3437</v>
      </c>
      <c r="U46" s="34">
        <f t="shared" si="2"/>
        <v>4640</v>
      </c>
    </row>
    <row r="47" spans="1:28" ht="14.25" x14ac:dyDescent="0.45">
      <c r="A47" t="s">
        <v>21</v>
      </c>
      <c r="B47" s="1">
        <v>10</v>
      </c>
      <c r="C47" s="1">
        <v>2021</v>
      </c>
      <c r="D47" s="30">
        <v>628400</v>
      </c>
      <c r="E47" s="27">
        <v>0.16</v>
      </c>
      <c r="F47" s="13">
        <v>705828</v>
      </c>
      <c r="G47" s="13">
        <v>112951.17</v>
      </c>
      <c r="H47" s="30">
        <v>4048</v>
      </c>
      <c r="I47" s="18">
        <v>0.36</v>
      </c>
      <c r="J47" s="20">
        <v>2606</v>
      </c>
      <c r="K47" s="20">
        <v>2670</v>
      </c>
      <c r="L47" s="6">
        <v>4212.3999999999996</v>
      </c>
      <c r="M47" s="18">
        <v>5.86</v>
      </c>
      <c r="N47" s="16">
        <f t="shared" si="1"/>
        <v>4974.0513836822765</v>
      </c>
      <c r="O47" s="13">
        <v>31833.39</v>
      </c>
      <c r="P47" s="32">
        <v>325307.7</v>
      </c>
      <c r="Q47" s="33">
        <v>7.7950000000000005E-2</v>
      </c>
      <c r="R47" s="13">
        <v>257022</v>
      </c>
      <c r="S47" s="13">
        <v>20030.23</v>
      </c>
      <c r="T47" s="30">
        <v>3364</v>
      </c>
      <c r="U47" s="34">
        <f t="shared" si="2"/>
        <v>4541</v>
      </c>
    </row>
    <row r="48" spans="1:28" ht="14.25" x14ac:dyDescent="0.45">
      <c r="A48" t="s">
        <v>21</v>
      </c>
      <c r="B48" s="1">
        <v>11</v>
      </c>
      <c r="C48" s="1">
        <v>2021</v>
      </c>
      <c r="D48" s="30">
        <v>663760</v>
      </c>
      <c r="E48" s="27">
        <v>0.16</v>
      </c>
      <c r="F48" s="13">
        <v>735814</v>
      </c>
      <c r="G48" s="13">
        <v>114016.16</v>
      </c>
      <c r="H48" s="30">
        <v>3894</v>
      </c>
      <c r="I48" s="18">
        <v>0.33</v>
      </c>
      <c r="J48" s="20">
        <v>2590</v>
      </c>
      <c r="K48" s="20">
        <v>2400</v>
      </c>
      <c r="L48" s="6">
        <v>3307.1</v>
      </c>
      <c r="M48" s="18">
        <v>6.38</v>
      </c>
      <c r="N48" s="16">
        <f t="shared" si="1"/>
        <v>5216.6726780531444</v>
      </c>
      <c r="O48" s="13">
        <v>33386.14</v>
      </c>
      <c r="P48" s="32">
        <v>299810.61</v>
      </c>
      <c r="Q48" s="33">
        <v>9.6909999999999996E-2</v>
      </c>
      <c r="R48" s="13">
        <v>309362</v>
      </c>
      <c r="S48" s="13">
        <v>29980.13</v>
      </c>
      <c r="T48" s="30">
        <v>2412</v>
      </c>
      <c r="U48" s="34">
        <f t="shared" si="2"/>
        <v>3256</v>
      </c>
    </row>
    <row r="49" spans="1:21" ht="14.25" x14ac:dyDescent="0.45">
      <c r="A49" t="s">
        <v>21</v>
      </c>
      <c r="B49" s="1">
        <v>12</v>
      </c>
      <c r="C49" s="1">
        <v>2021</v>
      </c>
      <c r="D49" s="30">
        <v>728560</v>
      </c>
      <c r="E49" s="27">
        <v>0.154</v>
      </c>
      <c r="F49" s="13">
        <v>707645</v>
      </c>
      <c r="G49" s="13">
        <v>109163.99</v>
      </c>
      <c r="H49" s="30">
        <v>3755</v>
      </c>
      <c r="I49" s="18">
        <v>0.32</v>
      </c>
      <c r="J49" s="20">
        <v>2767</v>
      </c>
      <c r="K49" s="20">
        <v>2555</v>
      </c>
      <c r="L49" s="6">
        <v>3109.5</v>
      </c>
      <c r="M49" s="18">
        <v>6.39</v>
      </c>
      <c r="N49" s="16">
        <f t="shared" si="1"/>
        <v>4204.4914822776955</v>
      </c>
      <c r="O49" s="13">
        <v>26908.29</v>
      </c>
      <c r="P49" s="32">
        <v>386023.01</v>
      </c>
      <c r="Q49" s="33">
        <v>7.535E-2</v>
      </c>
      <c r="R49" s="13">
        <v>306176</v>
      </c>
      <c r="S49" s="13">
        <v>34385.480000000003</v>
      </c>
      <c r="T49" s="30">
        <v>1897</v>
      </c>
      <c r="U49" s="34">
        <f t="shared" si="2"/>
        <v>2561</v>
      </c>
    </row>
    <row r="50" spans="1:21" ht="14.25" x14ac:dyDescent="0.45">
      <c r="B50" s="1"/>
      <c r="C50" s="1"/>
      <c r="D50" s="30"/>
      <c r="E50" s="31">
        <f>D50*F50</f>
        <v>0</v>
      </c>
      <c r="F50" s="6"/>
      <c r="G50" s="6"/>
      <c r="H50" s="6"/>
      <c r="J50" s="6"/>
      <c r="K50" s="6"/>
      <c r="L50" s="6"/>
      <c r="M50" s="6"/>
      <c r="N50" s="6"/>
    </row>
    <row r="51" spans="1:21" x14ac:dyDescent="0.35">
      <c r="B51" s="1"/>
      <c r="C51" s="1"/>
      <c r="D51" s="6"/>
      <c r="E51" s="6"/>
      <c r="F51" s="6"/>
      <c r="G51" s="6"/>
      <c r="H51" s="6"/>
      <c r="J51" s="6"/>
      <c r="K51" s="6"/>
      <c r="L51" s="6"/>
      <c r="M51" s="6"/>
      <c r="N51" s="6"/>
    </row>
    <row r="52" spans="1:21" x14ac:dyDescent="0.35">
      <c r="B52" s="1"/>
      <c r="C52" s="1"/>
      <c r="D52" s="6"/>
      <c r="E52" s="6"/>
      <c r="F52" s="6"/>
      <c r="G52" s="6"/>
      <c r="H52" s="6"/>
      <c r="J52" s="6"/>
      <c r="K52" s="6"/>
      <c r="L52" s="6"/>
      <c r="M52" s="6"/>
      <c r="N52" s="6"/>
    </row>
    <row r="53" spans="1:21" x14ac:dyDescent="0.35">
      <c r="B53" s="1"/>
      <c r="C53" s="1"/>
      <c r="D53" s="6"/>
      <c r="E53" s="6"/>
      <c r="F53" s="6"/>
      <c r="G53" s="6"/>
      <c r="H53" s="6"/>
      <c r="J53" s="6"/>
      <c r="K53" s="6"/>
      <c r="L53" s="6"/>
      <c r="M53" s="6"/>
      <c r="N53" s="6"/>
    </row>
    <row r="54" spans="1:21" x14ac:dyDescent="0.35">
      <c r="B54" s="1"/>
      <c r="C54" s="1"/>
      <c r="D54" s="6"/>
      <c r="E54" s="6"/>
      <c r="F54" s="6"/>
      <c r="G54" s="6"/>
      <c r="H54" s="6"/>
      <c r="J54" s="6"/>
      <c r="K54" s="12"/>
      <c r="L54" s="12"/>
      <c r="M54" s="12"/>
      <c r="N54" s="12"/>
      <c r="O54" s="12"/>
      <c r="P54" s="12"/>
      <c r="Q54" s="12"/>
      <c r="R54" s="12"/>
      <c r="S54" s="12"/>
    </row>
    <row r="55" spans="1:21" x14ac:dyDescent="0.35">
      <c r="B55" s="1"/>
      <c r="C55" s="1"/>
      <c r="D55" s="6"/>
      <c r="E55" s="6"/>
      <c r="F55" s="6"/>
      <c r="G55" s="6"/>
      <c r="H55" s="6"/>
      <c r="J55" s="6"/>
      <c r="K55" s="6"/>
      <c r="L55" s="6"/>
      <c r="M55" s="6"/>
      <c r="N55" s="6"/>
    </row>
    <row r="56" spans="1:21" x14ac:dyDescent="0.35">
      <c r="B56" s="1"/>
      <c r="C56" s="1"/>
      <c r="D56" s="6"/>
      <c r="E56" s="6"/>
      <c r="F56" s="6"/>
      <c r="G56" s="6"/>
      <c r="H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21" x14ac:dyDescent="0.35">
      <c r="B57" s="1"/>
      <c r="C57" s="1"/>
      <c r="D57" s="6"/>
      <c r="E57" s="6"/>
      <c r="F57" s="6"/>
      <c r="G57" s="6"/>
      <c r="H57" s="6"/>
      <c r="J57" s="6"/>
      <c r="K57" s="6"/>
      <c r="L57" s="6"/>
      <c r="M57" s="6"/>
      <c r="N57" s="6"/>
    </row>
    <row r="58" spans="1:21" x14ac:dyDescent="0.35">
      <c r="B58" s="1"/>
      <c r="C58" s="1"/>
      <c r="D58" s="6"/>
      <c r="E58" s="6"/>
      <c r="F58" s="6"/>
      <c r="G58" s="6"/>
      <c r="H58" s="6"/>
      <c r="J58" s="6"/>
      <c r="K58" s="6"/>
      <c r="L58" s="6"/>
      <c r="M58" s="6"/>
      <c r="N58" s="6"/>
    </row>
    <row r="59" spans="1:21" x14ac:dyDescent="0.35">
      <c r="B59" s="1"/>
      <c r="C59" s="1"/>
      <c r="D59" s="6"/>
      <c r="E59" s="6"/>
      <c r="F59" s="6"/>
      <c r="G59" s="6"/>
      <c r="H59" s="6"/>
      <c r="J59" s="6"/>
      <c r="K59" s="6"/>
      <c r="L59" s="6"/>
      <c r="M59" s="6"/>
      <c r="N59" s="6"/>
    </row>
    <row r="60" spans="1:21" x14ac:dyDescent="0.35">
      <c r="B60" s="1"/>
      <c r="C60" s="1"/>
      <c r="D60" s="6"/>
      <c r="E60" s="6"/>
      <c r="F60" s="6"/>
      <c r="G60" s="6"/>
      <c r="H60" s="6"/>
      <c r="J60" s="6"/>
      <c r="K60" s="6"/>
      <c r="L60" s="6"/>
      <c r="M60" s="6"/>
      <c r="N60" s="6"/>
    </row>
    <row r="61" spans="1:21" x14ac:dyDescent="0.35">
      <c r="B61" s="1"/>
      <c r="C61" s="1"/>
      <c r="D61" s="6"/>
      <c r="E61" s="6"/>
      <c r="F61" s="6"/>
      <c r="G61" s="6"/>
      <c r="H61" s="6"/>
      <c r="J61" s="6"/>
      <c r="K61" s="6"/>
      <c r="L61" s="6"/>
      <c r="M61" s="6"/>
      <c r="N61" s="6"/>
    </row>
    <row r="62" spans="1:21" x14ac:dyDescent="0.35">
      <c r="B62" s="1"/>
      <c r="C62" s="1"/>
      <c r="D62" s="6"/>
      <c r="E62" s="6"/>
      <c r="F62" s="6"/>
      <c r="G62" s="6"/>
      <c r="H62" s="6"/>
      <c r="J62" s="6"/>
      <c r="K62" s="6"/>
      <c r="L62" s="6"/>
      <c r="M62" s="6"/>
      <c r="N62" s="6"/>
    </row>
    <row r="63" spans="1:21" x14ac:dyDescent="0.35">
      <c r="B63" s="1"/>
      <c r="C63" s="1"/>
      <c r="D63" s="6"/>
      <c r="E63" s="6"/>
      <c r="F63" s="6"/>
      <c r="G63" s="6"/>
      <c r="H63" s="6"/>
      <c r="J63" s="6"/>
      <c r="K63" s="6"/>
      <c r="L63" s="6"/>
      <c r="M63" s="6"/>
      <c r="N63" s="6"/>
    </row>
    <row r="64" spans="1:21" x14ac:dyDescent="0.35">
      <c r="B64" s="1"/>
      <c r="C64" s="1"/>
      <c r="D64" s="6"/>
      <c r="E64" s="6"/>
      <c r="F64" s="6"/>
      <c r="G64" s="6"/>
      <c r="H64" s="6"/>
      <c r="J64" s="6"/>
      <c r="K64" s="6"/>
      <c r="L64" s="6"/>
      <c r="M64" s="6"/>
      <c r="N64" s="6"/>
    </row>
    <row r="65" spans="2:14" x14ac:dyDescent="0.35">
      <c r="B65" s="1"/>
      <c r="C65" s="1"/>
      <c r="D65" s="6"/>
      <c r="E65" s="6"/>
      <c r="F65" s="6"/>
      <c r="G65" s="6"/>
      <c r="H65" s="6"/>
      <c r="J65" s="6"/>
      <c r="K65" s="6"/>
      <c r="L65" s="6"/>
      <c r="M65" s="6"/>
      <c r="N65" s="6"/>
    </row>
    <row r="66" spans="2:14" x14ac:dyDescent="0.35">
      <c r="B66" s="1"/>
      <c r="C66" s="1"/>
      <c r="D66" s="6"/>
      <c r="E66" s="6"/>
      <c r="F66" s="6"/>
      <c r="G66" s="6"/>
      <c r="H66" s="6"/>
      <c r="J66" s="6"/>
      <c r="K66" s="6"/>
      <c r="L66" s="6"/>
      <c r="M66" s="6"/>
      <c r="N66" s="6"/>
    </row>
    <row r="67" spans="2:14" x14ac:dyDescent="0.35">
      <c r="B67" s="1"/>
      <c r="C67" s="1"/>
      <c r="D67" s="6"/>
      <c r="E67" s="6"/>
      <c r="F67" s="6"/>
      <c r="G67" s="6"/>
      <c r="H67" s="6"/>
      <c r="J67" s="6"/>
      <c r="K67" s="6"/>
      <c r="L67" s="6"/>
      <c r="M67" s="6"/>
      <c r="N67" s="6"/>
    </row>
    <row r="68" spans="2:14" x14ac:dyDescent="0.35">
      <c r="B68" s="1"/>
      <c r="C68" s="1"/>
      <c r="D68" s="6"/>
      <c r="E68" s="6"/>
      <c r="F68" s="6"/>
      <c r="G68" s="6"/>
      <c r="H68" s="6"/>
      <c r="J68" s="6"/>
      <c r="K68" s="6"/>
      <c r="L68" s="6"/>
      <c r="M68" s="6"/>
      <c r="N68" s="6"/>
    </row>
    <row r="69" spans="2:14" x14ac:dyDescent="0.35">
      <c r="B69" s="1"/>
      <c r="C69" s="1"/>
      <c r="D69" s="6"/>
      <c r="E69" s="6"/>
      <c r="F69" s="6"/>
      <c r="G69" s="6"/>
      <c r="H69" s="6"/>
      <c r="J69" s="6"/>
      <c r="K69" s="6"/>
      <c r="L69" s="6"/>
      <c r="M69" s="6"/>
      <c r="N69" s="6"/>
    </row>
    <row r="70" spans="2:14" x14ac:dyDescent="0.35">
      <c r="B70" s="1"/>
      <c r="C70" s="1"/>
      <c r="D70" s="6"/>
      <c r="E70" s="6"/>
      <c r="F70" s="6"/>
      <c r="G70" s="6"/>
      <c r="H70" s="6"/>
      <c r="J70" s="6"/>
      <c r="K70" s="6"/>
      <c r="L70" s="6"/>
      <c r="M70" s="6"/>
      <c r="N70" s="6"/>
    </row>
    <row r="71" spans="2:14" x14ac:dyDescent="0.35">
      <c r="B71" s="1"/>
      <c r="C71" s="1"/>
      <c r="D71" s="6"/>
      <c r="E71" s="6"/>
      <c r="F71" s="6"/>
      <c r="G71" s="6"/>
      <c r="H71" s="6"/>
      <c r="J71" s="6"/>
      <c r="K71" s="6"/>
      <c r="L71" s="6"/>
      <c r="M71" s="6"/>
      <c r="N71" s="6"/>
    </row>
    <row r="72" spans="2:14" x14ac:dyDescent="0.35">
      <c r="B72" s="1"/>
      <c r="C72" s="1"/>
      <c r="D72" s="6"/>
      <c r="E72" s="6"/>
      <c r="F72" s="6"/>
      <c r="G72" s="6"/>
      <c r="H72" s="6"/>
      <c r="J72" s="6"/>
      <c r="K72" s="6"/>
      <c r="L72" s="6"/>
      <c r="M72" s="6"/>
      <c r="N72" s="6"/>
    </row>
    <row r="73" spans="2:14" x14ac:dyDescent="0.35">
      <c r="B73" s="1"/>
      <c r="C73" s="1"/>
      <c r="D73" s="6"/>
      <c r="E73" s="6"/>
      <c r="F73" s="6"/>
      <c r="G73" s="6"/>
      <c r="H73" s="6"/>
      <c r="J73" s="6"/>
      <c r="K73" s="6"/>
      <c r="L73" s="6"/>
      <c r="M73" s="6"/>
      <c r="N73" s="6"/>
    </row>
    <row r="74" spans="2:14" x14ac:dyDescent="0.35">
      <c r="B74" s="1"/>
      <c r="C74" s="1"/>
      <c r="D74" s="6"/>
      <c r="E74" s="6"/>
      <c r="F74" s="6"/>
      <c r="G74" s="6"/>
      <c r="H74" s="6"/>
      <c r="J74" s="6"/>
      <c r="K74" s="6"/>
      <c r="L74" s="6"/>
      <c r="M74" s="6"/>
      <c r="N74" s="6"/>
    </row>
    <row r="75" spans="2:14" x14ac:dyDescent="0.35">
      <c r="B75" s="1"/>
      <c r="C75" s="1"/>
      <c r="D75" s="6"/>
      <c r="E75" s="6"/>
      <c r="F75" s="6"/>
      <c r="G75" s="6"/>
      <c r="H75" s="6"/>
      <c r="J75" s="6"/>
      <c r="K75" s="6"/>
      <c r="L75" s="6"/>
      <c r="M75" s="6"/>
      <c r="N75" s="6"/>
    </row>
    <row r="76" spans="2:14" x14ac:dyDescent="0.35">
      <c r="B76" s="1"/>
      <c r="C76" s="1"/>
      <c r="D76" s="6"/>
      <c r="E76" s="6"/>
      <c r="F76" s="6"/>
      <c r="G76" s="6"/>
      <c r="H76" s="6"/>
      <c r="J76" s="6"/>
      <c r="K76" s="6"/>
      <c r="L76" s="6"/>
      <c r="M76" s="6"/>
      <c r="N76" s="6"/>
    </row>
    <row r="77" spans="2:14" x14ac:dyDescent="0.35">
      <c r="B77" s="1"/>
      <c r="C77" s="1"/>
      <c r="D77" s="6"/>
      <c r="E77" s="6"/>
      <c r="F77" s="6"/>
      <c r="G77" s="6"/>
      <c r="H77" s="6"/>
      <c r="J77" s="6"/>
      <c r="K77" s="6"/>
      <c r="L77" s="6"/>
      <c r="M77" s="6"/>
      <c r="N77" s="6"/>
    </row>
    <row r="78" spans="2:14" x14ac:dyDescent="0.35">
      <c r="B78" s="1"/>
      <c r="C78" s="1"/>
      <c r="D78" s="6"/>
      <c r="E78" s="6"/>
      <c r="F78" s="6"/>
      <c r="G78" s="6"/>
      <c r="H78" s="6"/>
      <c r="J78" s="6"/>
      <c r="K78" s="6"/>
      <c r="L78" s="6"/>
      <c r="M78" s="6"/>
      <c r="N78" s="6"/>
    </row>
    <row r="79" spans="2:14" x14ac:dyDescent="0.35">
      <c r="B79" s="1"/>
      <c r="C79" s="1"/>
      <c r="D79" s="6"/>
      <c r="E79" s="6"/>
      <c r="F79" s="6"/>
      <c r="G79" s="6"/>
      <c r="H79" s="6"/>
      <c r="J79" s="6"/>
      <c r="K79" s="6"/>
      <c r="L79" s="6"/>
      <c r="M79" s="6"/>
      <c r="N79" s="6"/>
    </row>
    <row r="80" spans="2:14" x14ac:dyDescent="0.35">
      <c r="B80" s="1"/>
      <c r="C80" s="1"/>
      <c r="D80" s="6"/>
      <c r="E80" s="6"/>
      <c r="F80" s="6"/>
      <c r="G80" s="6"/>
      <c r="H80" s="6"/>
      <c r="J80" s="6"/>
      <c r="K80" s="6"/>
      <c r="L80" s="6"/>
      <c r="M80" s="6"/>
      <c r="N80" s="6"/>
    </row>
    <row r="81" spans="2:14" x14ac:dyDescent="0.35">
      <c r="B81" s="1"/>
      <c r="C81" s="1"/>
      <c r="D81" s="6"/>
      <c r="E81" s="6"/>
      <c r="F81" s="6"/>
      <c r="G81" s="6"/>
      <c r="H81" s="6"/>
      <c r="J81" s="6"/>
      <c r="K81" s="6"/>
      <c r="L81" s="6"/>
      <c r="M81" s="6"/>
      <c r="N81" s="6"/>
    </row>
    <row r="82" spans="2:14" x14ac:dyDescent="0.35">
      <c r="B82" s="1"/>
      <c r="C82" s="1"/>
      <c r="D82" s="6"/>
      <c r="E82" s="6"/>
      <c r="F82" s="6"/>
      <c r="G82" s="6"/>
      <c r="H82" s="6"/>
      <c r="J82" s="6"/>
      <c r="K82" s="6"/>
      <c r="L82" s="6"/>
      <c r="M82" s="6"/>
      <c r="N82" s="6"/>
    </row>
    <row r="83" spans="2:14" x14ac:dyDescent="0.35">
      <c r="B83" s="1"/>
      <c r="C83" s="1"/>
      <c r="D83" s="6"/>
      <c r="E83" s="6"/>
      <c r="F83" s="6"/>
      <c r="G83" s="6"/>
      <c r="H83" s="6"/>
      <c r="J83" s="6"/>
      <c r="K83" s="6"/>
      <c r="L83" s="6"/>
      <c r="M83" s="6"/>
      <c r="N83" s="6"/>
    </row>
    <row r="84" spans="2:14" x14ac:dyDescent="0.35">
      <c r="B84" s="1"/>
      <c r="C84" s="1"/>
      <c r="D84" s="6"/>
      <c r="E84" s="6"/>
      <c r="F84" s="6"/>
      <c r="G84" s="6"/>
      <c r="H84" s="6"/>
      <c r="J84" s="6"/>
      <c r="K84" s="6"/>
      <c r="L84" s="6"/>
      <c r="M84" s="6"/>
      <c r="N84" s="6"/>
    </row>
    <row r="85" spans="2:14" x14ac:dyDescent="0.35">
      <c r="B85" s="1"/>
      <c r="C85" s="1"/>
      <c r="D85" s="6"/>
      <c r="E85" s="6"/>
      <c r="F85" s="6"/>
      <c r="G85" s="6"/>
      <c r="H85" s="6"/>
      <c r="J85" s="6"/>
      <c r="K85" s="6"/>
      <c r="L85" s="6"/>
      <c r="M85" s="6"/>
      <c r="N85" s="6"/>
    </row>
    <row r="86" spans="2:14" x14ac:dyDescent="0.35">
      <c r="B86" s="1"/>
      <c r="C86" s="1"/>
      <c r="D86" s="6"/>
      <c r="E86" s="6"/>
      <c r="F86" s="6"/>
      <c r="G86" s="6"/>
      <c r="H86" s="6"/>
      <c r="J86" s="6"/>
      <c r="K86" s="6"/>
      <c r="L86" s="6"/>
      <c r="M86" s="6"/>
      <c r="N86" s="6"/>
    </row>
    <row r="87" spans="2:14" x14ac:dyDescent="0.35">
      <c r="B87" s="1"/>
      <c r="C87" s="1"/>
      <c r="D87" s="6"/>
      <c r="E87" s="6"/>
      <c r="F87" s="6"/>
      <c r="G87" s="6"/>
      <c r="H87" s="6"/>
      <c r="J87" s="6"/>
      <c r="K87" s="6"/>
      <c r="L87" s="6"/>
      <c r="M87" s="6"/>
      <c r="N87" s="6"/>
    </row>
    <row r="88" spans="2:14" x14ac:dyDescent="0.35">
      <c r="B88" s="1"/>
      <c r="C88" s="1"/>
      <c r="D88" s="6"/>
      <c r="E88" s="6"/>
      <c r="F88" s="6"/>
      <c r="G88" s="6"/>
      <c r="H88" s="6"/>
      <c r="J88" s="6"/>
      <c r="K88" s="6"/>
      <c r="L88" s="6"/>
      <c r="M88" s="6"/>
      <c r="N88" s="6"/>
    </row>
    <row r="89" spans="2:14" x14ac:dyDescent="0.35">
      <c r="B89" s="1"/>
      <c r="C89" s="1"/>
      <c r="D89" s="6"/>
      <c r="E89" s="6"/>
      <c r="F89" s="6"/>
      <c r="G89" s="6"/>
      <c r="H89" s="6"/>
      <c r="J89" s="6"/>
      <c r="K89" s="6"/>
      <c r="L89" s="6"/>
      <c r="M89" s="6"/>
      <c r="N89" s="6"/>
    </row>
    <row r="90" spans="2:14" x14ac:dyDescent="0.35">
      <c r="B90" s="1"/>
      <c r="C90" s="1"/>
      <c r="D90" s="6"/>
      <c r="E90" s="6"/>
      <c r="F90" s="6"/>
      <c r="G90" s="6"/>
      <c r="H90" s="6"/>
      <c r="J90" s="6"/>
      <c r="K90" s="6"/>
      <c r="L90" s="6"/>
      <c r="M90" s="6"/>
      <c r="N90" s="6"/>
    </row>
    <row r="91" spans="2:14" x14ac:dyDescent="0.35">
      <c r="B91" s="1"/>
      <c r="C91" s="1"/>
      <c r="D91" s="6"/>
      <c r="E91" s="6"/>
      <c r="F91" s="6"/>
      <c r="G91" s="6"/>
      <c r="H91" s="6"/>
      <c r="J91" s="6"/>
      <c r="K91" s="6"/>
      <c r="L91" s="6"/>
      <c r="M91" s="6"/>
      <c r="N91" s="6"/>
    </row>
    <row r="92" spans="2:14" x14ac:dyDescent="0.35">
      <c r="B92" s="1"/>
      <c r="C92" s="1"/>
      <c r="D92" s="6"/>
      <c r="E92" s="6"/>
      <c r="F92" s="6"/>
      <c r="G92" s="6"/>
      <c r="H92" s="6"/>
      <c r="J92" s="6"/>
      <c r="K92" s="6"/>
      <c r="L92" s="6"/>
      <c r="M92" s="6"/>
      <c r="N92" s="6"/>
    </row>
    <row r="93" spans="2:14" x14ac:dyDescent="0.35">
      <c r="B93" s="1"/>
      <c r="C93" s="1"/>
      <c r="D93" s="6"/>
      <c r="E93" s="6"/>
      <c r="F93" s="6"/>
      <c r="G93" s="6"/>
      <c r="H93" s="6"/>
      <c r="J93" s="6"/>
      <c r="K93" s="6"/>
      <c r="L93" s="6"/>
      <c r="M93" s="6"/>
      <c r="N93" s="6"/>
    </row>
    <row r="94" spans="2:14" x14ac:dyDescent="0.35">
      <c r="B94" s="1"/>
      <c r="C94" s="1"/>
      <c r="D94" s="6"/>
      <c r="E94" s="6"/>
      <c r="F94" s="6"/>
      <c r="G94" s="6"/>
      <c r="H94" s="6"/>
      <c r="J94" s="6"/>
      <c r="K94" s="6"/>
      <c r="L94" s="6"/>
      <c r="M94" s="6"/>
      <c r="N94" s="6"/>
    </row>
    <row r="95" spans="2:14" x14ac:dyDescent="0.35">
      <c r="B95" s="1"/>
      <c r="C95" s="1"/>
      <c r="D95" s="6"/>
      <c r="E95" s="6"/>
      <c r="F95" s="6"/>
      <c r="G95" s="6"/>
      <c r="H95" s="6"/>
      <c r="J95" s="6"/>
      <c r="K95" s="6"/>
      <c r="L95" s="6"/>
      <c r="M95" s="6"/>
      <c r="N95" s="6"/>
    </row>
    <row r="96" spans="2:14" x14ac:dyDescent="0.35">
      <c r="B96" s="1"/>
      <c r="C96" s="1"/>
      <c r="D96" s="6"/>
      <c r="E96" s="6"/>
      <c r="F96" s="6"/>
      <c r="G96" s="6"/>
      <c r="H96" s="6"/>
      <c r="J96" s="6"/>
      <c r="K96" s="6"/>
      <c r="L96" s="6"/>
      <c r="M96" s="6"/>
      <c r="N96" s="6"/>
    </row>
    <row r="97" spans="2:14" x14ac:dyDescent="0.35">
      <c r="B97" s="1"/>
      <c r="C97" s="1"/>
      <c r="D97" s="6"/>
      <c r="E97" s="6"/>
      <c r="F97" s="6"/>
      <c r="G97" s="6"/>
      <c r="H97" s="6"/>
      <c r="J97" s="6"/>
      <c r="K97" s="6"/>
      <c r="L97" s="6"/>
      <c r="M97" s="6"/>
      <c r="N97" s="6"/>
    </row>
    <row r="98" spans="2:14" x14ac:dyDescent="0.35">
      <c r="B98" s="1"/>
      <c r="C98" s="1"/>
      <c r="D98" s="6"/>
      <c r="E98" s="6"/>
      <c r="F98" s="6"/>
      <c r="G98" s="6"/>
      <c r="H98" s="6"/>
      <c r="J98" s="6"/>
      <c r="K98" s="6"/>
      <c r="L98" s="6"/>
      <c r="M98" s="6"/>
      <c r="N98" s="6"/>
    </row>
    <row r="99" spans="2:14" x14ac:dyDescent="0.35">
      <c r="B99" s="1"/>
      <c r="C99" s="1"/>
      <c r="D99" s="6"/>
      <c r="E99" s="6"/>
      <c r="F99" s="6"/>
      <c r="G99" s="6"/>
      <c r="H99" s="6"/>
      <c r="J99" s="6"/>
      <c r="K99" s="6"/>
      <c r="L99" s="6"/>
      <c r="M99" s="6"/>
      <c r="N99" s="6"/>
    </row>
    <row r="100" spans="2:14" x14ac:dyDescent="0.35">
      <c r="B100" s="1"/>
      <c r="C100" s="1"/>
      <c r="D100" s="6"/>
      <c r="E100" s="6"/>
      <c r="F100" s="6"/>
      <c r="G100" s="6"/>
      <c r="H100" s="6"/>
      <c r="J100" s="6"/>
      <c r="K100" s="6"/>
      <c r="L100" s="6"/>
      <c r="M100" s="6"/>
      <c r="N100" s="6"/>
    </row>
    <row r="101" spans="2:14" x14ac:dyDescent="0.35">
      <c r="B101" s="1"/>
      <c r="C101" s="1"/>
      <c r="D101" s="6"/>
      <c r="E101" s="6"/>
      <c r="F101" s="6"/>
      <c r="G101" s="6"/>
      <c r="H101" s="6"/>
      <c r="J101" s="6"/>
      <c r="K101" s="6"/>
      <c r="L101" s="6"/>
      <c r="M101" s="6"/>
      <c r="N101" s="6"/>
    </row>
    <row r="102" spans="2:14" x14ac:dyDescent="0.35">
      <c r="B102" s="1"/>
      <c r="C102" s="1"/>
      <c r="D102" s="6"/>
      <c r="E102" s="6"/>
      <c r="F102" s="6"/>
      <c r="G102" s="6"/>
      <c r="H102" s="6"/>
      <c r="J102" s="6"/>
      <c r="K102" s="6"/>
      <c r="L102" s="6"/>
      <c r="M102" s="6"/>
      <c r="N102" s="6"/>
    </row>
    <row r="103" spans="2:14" x14ac:dyDescent="0.35">
      <c r="B103" s="1"/>
      <c r="C103" s="1"/>
      <c r="D103" s="6"/>
      <c r="E103" s="6"/>
      <c r="F103" s="6"/>
      <c r="G103" s="6"/>
      <c r="H103" s="6"/>
      <c r="J103" s="6"/>
      <c r="K103" s="6"/>
      <c r="L103" s="6"/>
      <c r="M103" s="6"/>
      <c r="N103" s="6"/>
    </row>
    <row r="104" spans="2:14" x14ac:dyDescent="0.35">
      <c r="B104" s="1"/>
      <c r="C104" s="1"/>
      <c r="D104" s="6"/>
      <c r="E104" s="6"/>
      <c r="F104" s="6"/>
      <c r="G104" s="6"/>
      <c r="H104" s="6"/>
      <c r="J104" s="6"/>
      <c r="K104" s="6"/>
      <c r="L104" s="6"/>
      <c r="M104" s="6"/>
      <c r="N104" s="6"/>
    </row>
    <row r="105" spans="2:14" x14ac:dyDescent="0.35">
      <c r="B105" s="1"/>
      <c r="C105" s="1"/>
      <c r="D105" s="6"/>
      <c r="E105" s="6"/>
      <c r="F105" s="6"/>
      <c r="G105" s="6"/>
      <c r="H105" s="6"/>
      <c r="J105" s="6"/>
      <c r="K105" s="6"/>
      <c r="L105" s="6"/>
      <c r="M105" s="6"/>
      <c r="N105" s="6"/>
    </row>
    <row r="106" spans="2:14" x14ac:dyDescent="0.35">
      <c r="B106" s="1"/>
      <c r="C106" s="1"/>
      <c r="D106" s="6"/>
      <c r="E106" s="6"/>
      <c r="F106" s="6"/>
      <c r="G106" s="6"/>
      <c r="H106" s="6"/>
      <c r="J106" s="6"/>
      <c r="K106" s="6"/>
      <c r="L106" s="6"/>
      <c r="M106" s="6"/>
      <c r="N106" s="6"/>
    </row>
    <row r="107" spans="2:14" x14ac:dyDescent="0.35">
      <c r="B107" s="1"/>
      <c r="C107" s="1"/>
      <c r="D107" s="6"/>
      <c r="E107" s="6"/>
      <c r="F107" s="6"/>
      <c r="G107" s="6"/>
      <c r="H107" s="6"/>
      <c r="J107" s="6"/>
      <c r="K107" s="6"/>
      <c r="L107" s="6"/>
      <c r="M107" s="6"/>
      <c r="N107" s="6"/>
    </row>
    <row r="108" spans="2:14" x14ac:dyDescent="0.35">
      <c r="B108" s="1"/>
      <c r="C108" s="1"/>
      <c r="D108" s="6"/>
      <c r="E108" s="6"/>
      <c r="F108" s="6"/>
      <c r="G108" s="6"/>
      <c r="H108" s="6"/>
      <c r="J108" s="6"/>
      <c r="K108" s="6"/>
      <c r="L108" s="6"/>
      <c r="M108" s="6"/>
      <c r="N108" s="6"/>
    </row>
    <row r="109" spans="2:14" x14ac:dyDescent="0.35">
      <c r="B109" s="1"/>
      <c r="C109" s="1"/>
      <c r="D109" s="6"/>
      <c r="E109" s="6"/>
      <c r="F109" s="6"/>
      <c r="G109" s="6"/>
      <c r="H109" s="6"/>
      <c r="J109" s="6"/>
      <c r="K109" s="6"/>
      <c r="L109" s="6"/>
      <c r="M109" s="6"/>
      <c r="N109" s="6"/>
    </row>
    <row r="110" spans="2:14" x14ac:dyDescent="0.35">
      <c r="B110" s="1"/>
      <c r="C110" s="1"/>
      <c r="D110" s="6"/>
      <c r="E110" s="6"/>
      <c r="F110" s="6"/>
      <c r="G110" s="6"/>
      <c r="H110" s="6"/>
      <c r="J110" s="6"/>
      <c r="K110" s="6"/>
      <c r="L110" s="6"/>
      <c r="M110" s="6"/>
      <c r="N110" s="6"/>
    </row>
    <row r="111" spans="2:14" x14ac:dyDescent="0.35">
      <c r="B111" s="1"/>
      <c r="C111" s="1"/>
      <c r="D111" s="6"/>
      <c r="E111" s="6"/>
      <c r="F111" s="6"/>
      <c r="G111" s="6"/>
      <c r="H111" s="6"/>
      <c r="J111" s="6"/>
      <c r="K111" s="6"/>
      <c r="L111" s="6"/>
      <c r="M111" s="6"/>
      <c r="N111" s="6"/>
    </row>
    <row r="112" spans="2:14" x14ac:dyDescent="0.35">
      <c r="B112" s="1"/>
      <c r="C112" s="1"/>
      <c r="D112" s="6"/>
      <c r="E112" s="6"/>
      <c r="F112" s="6"/>
      <c r="G112" s="6"/>
      <c r="H112" s="6"/>
      <c r="J112" s="6"/>
      <c r="K112" s="6"/>
      <c r="L112" s="6"/>
      <c r="M112" s="6"/>
      <c r="N112" s="6"/>
    </row>
    <row r="113" spans="2:14" x14ac:dyDescent="0.35">
      <c r="B113" s="1"/>
      <c r="C113" s="1"/>
      <c r="D113" s="6"/>
      <c r="E113" s="6"/>
      <c r="F113" s="6"/>
      <c r="G113" s="6"/>
      <c r="H113" s="6"/>
      <c r="J113" s="6"/>
      <c r="K113" s="6"/>
      <c r="L113" s="6"/>
      <c r="M113" s="6"/>
      <c r="N113" s="6"/>
    </row>
    <row r="114" spans="2:14" x14ac:dyDescent="0.35">
      <c r="B114" s="1"/>
      <c r="C114" s="1"/>
      <c r="D114" s="6"/>
      <c r="E114" s="6"/>
      <c r="F114" s="6"/>
      <c r="G114" s="6"/>
      <c r="H114" s="6"/>
      <c r="J114" s="6"/>
      <c r="K114" s="6"/>
      <c r="L114" s="6"/>
      <c r="M114" s="6"/>
      <c r="N114" s="6"/>
    </row>
    <row r="115" spans="2:14" x14ac:dyDescent="0.35">
      <c r="B115" s="1"/>
      <c r="C115" s="1"/>
      <c r="D115" s="6"/>
      <c r="E115" s="6"/>
      <c r="F115" s="6"/>
      <c r="G115" s="6"/>
      <c r="H115" s="6"/>
      <c r="J115" s="6"/>
      <c r="K115" s="6"/>
      <c r="L115" s="6"/>
      <c r="M115" s="6"/>
      <c r="N115" s="6"/>
    </row>
    <row r="116" spans="2:14" x14ac:dyDescent="0.35">
      <c r="B116" s="1"/>
      <c r="C116" s="1"/>
      <c r="D116" s="6"/>
      <c r="E116" s="6"/>
      <c r="F116" s="6"/>
      <c r="G116" s="6"/>
      <c r="H116" s="6"/>
      <c r="J116" s="6"/>
      <c r="K116" s="6"/>
      <c r="L116" s="6"/>
      <c r="M116" s="6"/>
      <c r="N116" s="6"/>
    </row>
    <row r="117" spans="2:14" x14ac:dyDescent="0.35">
      <c r="B117" s="1"/>
      <c r="C117" s="1"/>
      <c r="D117" s="6"/>
      <c r="E117" s="6"/>
      <c r="F117" s="6"/>
      <c r="G117" s="6"/>
      <c r="H117" s="6"/>
      <c r="J117" s="6"/>
      <c r="K117" s="6"/>
      <c r="L117" s="6"/>
      <c r="M117" s="6"/>
      <c r="N117" s="6"/>
    </row>
    <row r="118" spans="2:14" x14ac:dyDescent="0.35">
      <c r="B118" s="1"/>
      <c r="C118" s="1"/>
      <c r="D118" s="6"/>
      <c r="E118" s="6"/>
      <c r="F118" s="6"/>
      <c r="G118" s="6"/>
      <c r="H118" s="6"/>
      <c r="J118" s="6"/>
      <c r="K118" s="6"/>
      <c r="L118" s="6"/>
      <c r="M118" s="6"/>
      <c r="N118" s="6"/>
    </row>
    <row r="119" spans="2:14" x14ac:dyDescent="0.35">
      <c r="B119" s="1"/>
      <c r="C119" s="1"/>
      <c r="D119" s="6"/>
      <c r="E119" s="6"/>
      <c r="F119" s="6"/>
      <c r="G119" s="6"/>
      <c r="H119" s="6"/>
      <c r="J119" s="6"/>
      <c r="K119" s="6"/>
      <c r="L119" s="6"/>
      <c r="M119" s="6"/>
      <c r="N119" s="6"/>
    </row>
    <row r="120" spans="2:14" x14ac:dyDescent="0.35">
      <c r="B120" s="1"/>
      <c r="C120" s="1"/>
      <c r="D120" s="6"/>
      <c r="E120" s="6"/>
      <c r="F120" s="6"/>
      <c r="G120" s="6"/>
      <c r="H120" s="6"/>
      <c r="J120" s="6"/>
      <c r="K120" s="6"/>
      <c r="L120" s="6"/>
      <c r="M120" s="6"/>
      <c r="N120" s="6"/>
    </row>
    <row r="121" spans="2:14" x14ac:dyDescent="0.35">
      <c r="B121" s="1"/>
      <c r="C121" s="1"/>
      <c r="D121" s="6"/>
      <c r="E121" s="6"/>
      <c r="F121" s="6"/>
      <c r="G121" s="6"/>
      <c r="H121" s="6"/>
      <c r="J121" s="6"/>
      <c r="K121" s="6"/>
      <c r="L121" s="6"/>
      <c r="M121" s="6"/>
      <c r="N121" s="6"/>
    </row>
    <row r="122" spans="2:14" x14ac:dyDescent="0.35">
      <c r="B122" s="1"/>
      <c r="C122" s="1"/>
      <c r="D122" s="6"/>
      <c r="E122" s="6"/>
      <c r="F122" s="6"/>
      <c r="G122" s="6"/>
      <c r="H122" s="6"/>
      <c r="J122" s="6"/>
      <c r="K122" s="6"/>
      <c r="L122" s="6"/>
      <c r="M122" s="6"/>
      <c r="N122" s="6"/>
    </row>
    <row r="123" spans="2:14" x14ac:dyDescent="0.35">
      <c r="B123" s="1"/>
      <c r="C123" s="1"/>
      <c r="D123" s="6"/>
      <c r="E123" s="6"/>
      <c r="F123" s="6"/>
      <c r="G123" s="6"/>
      <c r="H123" s="6"/>
      <c r="J123" s="6"/>
      <c r="K123" s="6"/>
      <c r="L123" s="6"/>
      <c r="M123" s="6"/>
      <c r="N123" s="6"/>
    </row>
    <row r="124" spans="2:14" x14ac:dyDescent="0.35">
      <c r="B124" s="1"/>
      <c r="C124" s="1"/>
      <c r="D124" s="6"/>
      <c r="E124" s="6"/>
      <c r="F124" s="6"/>
      <c r="G124" s="6"/>
      <c r="H124" s="6"/>
      <c r="J124" s="6"/>
      <c r="K124" s="6"/>
      <c r="L124" s="6"/>
      <c r="M124" s="6"/>
      <c r="N124" s="6"/>
    </row>
    <row r="125" spans="2:14" x14ac:dyDescent="0.35">
      <c r="B125" s="1"/>
      <c r="C125" s="1"/>
      <c r="D125" s="6"/>
      <c r="E125" s="6"/>
      <c r="F125" s="6"/>
      <c r="G125" s="6"/>
      <c r="H125" s="6"/>
      <c r="J125" s="6"/>
      <c r="K125" s="6"/>
      <c r="L125" s="6"/>
      <c r="M125" s="6"/>
      <c r="N125" s="6"/>
    </row>
    <row r="126" spans="2:14" x14ac:dyDescent="0.35">
      <c r="B126" s="1"/>
      <c r="C126" s="1"/>
      <c r="D126" s="6"/>
      <c r="E126" s="6"/>
      <c r="F126" s="6"/>
      <c r="G126" s="6"/>
      <c r="H126" s="6"/>
      <c r="J126" s="6"/>
      <c r="K126" s="6"/>
      <c r="L126" s="6"/>
      <c r="M126" s="6"/>
      <c r="N126" s="6"/>
    </row>
    <row r="127" spans="2:14" x14ac:dyDescent="0.35">
      <c r="B127" s="1"/>
      <c r="C127" s="1"/>
      <c r="D127" s="6"/>
      <c r="E127" s="6"/>
      <c r="F127" s="6"/>
      <c r="G127" s="6"/>
      <c r="H127" s="6"/>
      <c r="J127" s="6"/>
      <c r="K127" s="6"/>
      <c r="L127" s="6"/>
      <c r="M127" s="6"/>
      <c r="N127" s="6"/>
    </row>
    <row r="128" spans="2:14" x14ac:dyDescent="0.35">
      <c r="B128" s="1"/>
      <c r="C128" s="1"/>
      <c r="D128" s="6"/>
      <c r="E128" s="6"/>
      <c r="F128" s="6"/>
      <c r="G128" s="6"/>
      <c r="H128" s="6"/>
      <c r="J128" s="6"/>
      <c r="K128" s="6"/>
      <c r="L128" s="6"/>
      <c r="M128" s="6"/>
      <c r="N128" s="6"/>
    </row>
    <row r="129" spans="2:14" x14ac:dyDescent="0.35">
      <c r="B129" s="1"/>
      <c r="C129" s="1"/>
      <c r="D129" s="6"/>
      <c r="E129" s="6"/>
      <c r="F129" s="6"/>
      <c r="G129" s="6"/>
      <c r="H129" s="6"/>
      <c r="J129" s="6"/>
      <c r="K129" s="6"/>
      <c r="L129" s="6"/>
      <c r="M129" s="6"/>
      <c r="N129" s="6"/>
    </row>
    <row r="130" spans="2:14" x14ac:dyDescent="0.35">
      <c r="B130" s="1"/>
      <c r="C130" s="1"/>
      <c r="D130" s="6"/>
      <c r="E130" s="6"/>
      <c r="F130" s="6"/>
      <c r="G130" s="6"/>
      <c r="H130" s="6"/>
      <c r="J130" s="6"/>
      <c r="K130" s="6"/>
      <c r="L130" s="6"/>
      <c r="M130" s="6"/>
      <c r="N130" s="6"/>
    </row>
    <row r="131" spans="2:14" x14ac:dyDescent="0.35">
      <c r="B131" s="1"/>
      <c r="C131" s="1"/>
      <c r="D131" s="6"/>
      <c r="E131" s="6"/>
      <c r="F131" s="6"/>
      <c r="G131" s="6"/>
      <c r="H131" s="6"/>
      <c r="J131" s="6"/>
      <c r="K131" s="6"/>
      <c r="L131" s="6"/>
      <c r="M131" s="6"/>
      <c r="N131" s="6"/>
    </row>
    <row r="132" spans="2:14" x14ac:dyDescent="0.35">
      <c r="B132" s="1"/>
      <c r="C132" s="1"/>
      <c r="D132" s="6"/>
      <c r="E132" s="6"/>
      <c r="F132" s="6"/>
      <c r="G132" s="6"/>
      <c r="H132" s="6"/>
      <c r="J132" s="6"/>
      <c r="K132" s="6"/>
      <c r="L132" s="6"/>
      <c r="M132" s="6"/>
      <c r="N132" s="6"/>
    </row>
    <row r="133" spans="2:14" x14ac:dyDescent="0.35">
      <c r="B133" s="1"/>
      <c r="C133" s="1"/>
      <c r="D133" s="6"/>
      <c r="E133" s="6"/>
      <c r="F133" s="6"/>
      <c r="G133" s="6"/>
      <c r="H133" s="6"/>
      <c r="J133" s="6"/>
      <c r="K133" s="6"/>
      <c r="L133" s="6"/>
      <c r="M133" s="6"/>
      <c r="N133" s="6"/>
    </row>
    <row r="134" spans="2:14" x14ac:dyDescent="0.35">
      <c r="B134" s="1"/>
      <c r="C134" s="1"/>
      <c r="D134" s="6"/>
      <c r="E134" s="6"/>
      <c r="F134" s="6"/>
      <c r="G134" s="6"/>
      <c r="H134" s="6"/>
      <c r="J134" s="6"/>
      <c r="K134" s="6"/>
      <c r="L134" s="6"/>
      <c r="M134" s="6"/>
      <c r="N134" s="6"/>
    </row>
    <row r="135" spans="2:14" x14ac:dyDescent="0.35">
      <c r="B135" s="1"/>
      <c r="C135" s="1"/>
      <c r="D135" s="6"/>
      <c r="E135" s="6"/>
      <c r="F135" s="6"/>
      <c r="G135" s="6"/>
      <c r="H135" s="6"/>
      <c r="J135" s="6"/>
      <c r="K135" s="6"/>
      <c r="L135" s="6"/>
      <c r="M135" s="6"/>
      <c r="N135" s="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9765625" defaultRowHeight="12.75" x14ac:dyDescent="0.3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9765625" defaultRowHeight="12.75" x14ac:dyDescent="0.3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James Kiley</cp:lastModifiedBy>
  <cp:revision/>
  <dcterms:created xsi:type="dcterms:W3CDTF">2016-09-19T10:41:46Z</dcterms:created>
  <dcterms:modified xsi:type="dcterms:W3CDTF">2022-01-19T23:22:08Z</dcterms:modified>
  <cp:category/>
  <cp:contentStatus/>
</cp:coreProperties>
</file>