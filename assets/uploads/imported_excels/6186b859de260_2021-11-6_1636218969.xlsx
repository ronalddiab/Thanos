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M9" i="7" s="1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8" i="7" l="1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<sst xmlns="http://schemas.openxmlformats.org/spreadsheetml/2006/main" count="313" uniqueCount="148">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</sst>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913.91849999999999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 t="str">
        <f>IF(LPG!J13-LPG!J10&lt;0,"0",(LPG!J13-LPG!J10)*1.8315)</f>
        <v>0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888.27749999999992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 t="str">
        <f>'FS Desroches Daily'!CF8</f>
        <v/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>
        <f>'FS Desroches Daily'!CF9</f>
        <v>0</v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15899.999999999804</v>
      </c>
      <c r="F33" s="17">
        <f t="shared" ref="F33:BC33" si="1">SUM(F2:F32)</f>
        <v>16500.000000000182</v>
      </c>
      <c r="G33" s="17">
        <f t="shared" si="1"/>
        <v>14800.000000000146</v>
      </c>
      <c r="H33" s="17">
        <f t="shared" si="1"/>
        <v>7800.0000000000291</v>
      </c>
      <c r="I33" s="17">
        <f t="shared" si="1"/>
        <v>10800.000000000144</v>
      </c>
      <c r="J33" s="17">
        <f t="shared" si="1"/>
        <v>7700.00000000004</v>
      </c>
      <c r="K33" s="17">
        <f t="shared" si="1"/>
        <v>35</v>
      </c>
      <c r="L33" s="17">
        <f t="shared" si="1"/>
        <v>26</v>
      </c>
      <c r="M33" s="17">
        <f t="shared" si="1"/>
        <v>5.6999999999998181</v>
      </c>
      <c r="N33" s="17">
        <f t="shared" si="1"/>
        <v>1799.2999999999884</v>
      </c>
      <c r="O33" s="17">
        <f t="shared" si="1"/>
        <v>1800.0000000000682</v>
      </c>
      <c r="P33" s="17">
        <f t="shared" si="1"/>
        <v>14699.999999999935</v>
      </c>
      <c r="Q33" s="17">
        <f t="shared" si="1"/>
        <v>2080.0000000000409</v>
      </c>
      <c r="R33" s="17">
        <f t="shared" si="1"/>
        <v>2629.9999999999955</v>
      </c>
      <c r="S33" s="17">
        <f t="shared" si="1"/>
        <v>2470.0000000000273</v>
      </c>
      <c r="T33" s="17">
        <f t="shared" si="1"/>
        <v>181</v>
      </c>
      <c r="U33" s="35">
        <f t="shared" si="1"/>
        <v>3240.0000000000091</v>
      </c>
      <c r="V33" s="35">
        <f t="shared" si="1"/>
        <v>1359.9999999999852</v>
      </c>
      <c r="W33" s="35">
        <f t="shared" si="1"/>
        <v>1299.9999999999829</v>
      </c>
      <c r="X33" s="35">
        <f t="shared" si="1"/>
        <v>1270.0000000000102</v>
      </c>
      <c r="Y33" s="35">
        <f t="shared" si="1"/>
        <v>1199.9999999999886</v>
      </c>
      <c r="Z33" s="35">
        <f t="shared" si="1"/>
        <v>1350.0000000000227</v>
      </c>
      <c r="AA33" s="35">
        <f t="shared" si="1"/>
        <v>1350.0000000000227</v>
      </c>
      <c r="AB33" s="35">
        <f t="shared" si="1"/>
        <v>1360.0000000000136</v>
      </c>
      <c r="AC33" s="35">
        <f t="shared" si="1"/>
        <v>949.99999999998863</v>
      </c>
      <c r="AD33" s="35">
        <f t="shared" si="1"/>
        <v>1030.0000000000296</v>
      </c>
      <c r="AE33" s="35">
        <f t="shared" si="1"/>
        <v>600.00000000002274</v>
      </c>
      <c r="AF33" s="17">
        <f t="shared" si="1"/>
        <v>135</v>
      </c>
      <c r="AG33" s="32">
        <f t="shared" si="1"/>
        <v>199.99999999998863</v>
      </c>
      <c r="AH33" s="32">
        <f t="shared" si="1"/>
        <v>120.00000000000455</v>
      </c>
      <c r="AI33" s="32">
        <f t="shared" si="1"/>
        <v>250</v>
      </c>
      <c r="AJ33" s="32">
        <f t="shared" si="1"/>
        <v>180.00000000000682</v>
      </c>
      <c r="AK33" s="32">
        <f t="shared" si="1"/>
        <v>280.00000000002956</v>
      </c>
      <c r="AL33" s="32">
        <f t="shared" si="1"/>
        <v>155</v>
      </c>
      <c r="AM33" s="32">
        <f t="shared" si="1"/>
        <v>190.00000000002615</v>
      </c>
      <c r="AN33" s="32">
        <f t="shared" si="1"/>
        <v>167</v>
      </c>
      <c r="AO33" s="32">
        <f t="shared" si="1"/>
        <v>200.00000000001705</v>
      </c>
      <c r="AP33" s="32">
        <f t="shared" si="1"/>
        <v>204</v>
      </c>
      <c r="AQ33" s="17">
        <f t="shared" si="1"/>
        <v>294.09999999999854</v>
      </c>
      <c r="AR33" s="17">
        <f t="shared" si="1"/>
        <v>54.200000000000728</v>
      </c>
      <c r="AS33" s="17">
        <f t="shared" si="1"/>
        <v>33.600000000000364</v>
      </c>
      <c r="AT33" s="17">
        <f t="shared" si="1"/>
        <v>191.40000000000873</v>
      </c>
      <c r="AU33" s="17">
        <f t="shared" si="1"/>
        <v>1458</v>
      </c>
      <c r="AV33" s="17">
        <f t="shared" si="1"/>
        <v>3449.9999999999318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25.640999999999998</v>
      </c>
      <c r="BC33" s="17">
        <f t="shared" si="1"/>
        <v>151</v>
      </c>
    </row>
    <row r="35" spans="5:55" x14ac:dyDescent="0.25">
      <c r="E35" s="38">
        <f>E33/E37</f>
        <v>0.29533043575169476</v>
      </c>
      <c r="G35" s="29">
        <f>G33-M36</f>
        <v>12995.000000000156</v>
      </c>
      <c r="AE35" s="35">
        <f>SUM(U33:AE33)</f>
        <v>15010.000000000076</v>
      </c>
      <c r="AG35" s="32">
        <f>SUM(AG33:AP33)</f>
        <v>1946.0000000000728</v>
      </c>
    </row>
    <row r="36" spans="5:55" x14ac:dyDescent="0.25">
      <c r="G36" s="29">
        <f>G35-633*14</f>
        <v>4133.0000000001564</v>
      </c>
      <c r="M36" s="29">
        <f>M33+N33</f>
        <v>1804.9999999999882</v>
      </c>
    </row>
    <row r="37" spans="5:55" x14ac:dyDescent="0.25">
      <c r="E37" s="17">
        <f>E33+F33+G33+H33+J33-633*14</f>
        <v>53838.000000000204</v>
      </c>
      <c r="G37" s="37">
        <f>M36/E37</f>
        <v>3.3526505442252337E-2</v>
      </c>
      <c r="M37" s="35">
        <f>AE35</f>
        <v>15010.000000000076</v>
      </c>
    </row>
    <row r="38" spans="5:55" x14ac:dyDescent="0.25">
      <c r="L38" s="27">
        <f>M38/E37</f>
        <v>3.6145473457410482E-2</v>
      </c>
      <c r="M38" s="29">
        <f>AG35</f>
        <v>1946.0000000000728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2" activePane="bottomLeft" state="frozen"/>
      <selection pane="bottomLeft" activeCell="A8" sqref="A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/>
      <c r="CF8" s="67" t="str">
        <f t="shared" si="39"/>
        <v/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4"/>
        <v>0</v>
      </c>
      <c r="M9" s="58"/>
      <c r="N9" s="64" t="str">
        <f t="shared" si="5"/>
        <v/>
      </c>
      <c r="O9" s="58"/>
      <c r="P9" s="67" t="str">
        <f t="shared" si="6"/>
        <v/>
      </c>
      <c r="Q9" s="58"/>
      <c r="R9" s="67" t="str">
        <f t="shared" si="7"/>
        <v/>
      </c>
      <c r="S9" s="58"/>
      <c r="T9" s="67" t="str">
        <f t="shared" si="8"/>
        <v/>
      </c>
      <c r="U9" s="58"/>
      <c r="V9" s="67" t="str">
        <f t="shared" si="9"/>
        <v/>
      </c>
      <c r="W9" s="58"/>
      <c r="X9" s="65" t="str">
        <f t="shared" si="10"/>
        <v/>
      </c>
      <c r="Y9" s="58"/>
      <c r="Z9" s="65" t="str">
        <f t="shared" si="11"/>
        <v/>
      </c>
      <c r="AA9" s="58"/>
      <c r="AB9" s="65" t="str">
        <f t="shared" si="12"/>
        <v/>
      </c>
      <c r="AC9" s="58"/>
      <c r="AD9" s="65" t="str">
        <f t="shared" si="13"/>
        <v/>
      </c>
      <c r="AE9" s="58"/>
      <c r="AF9" s="65" t="str">
        <f t="shared" si="14"/>
        <v/>
      </c>
      <c r="AG9" s="58"/>
      <c r="AH9" s="67" t="str">
        <f t="shared" si="15"/>
        <v/>
      </c>
      <c r="AI9" s="58"/>
      <c r="AJ9" s="65" t="str">
        <f t="shared" si="16"/>
        <v/>
      </c>
      <c r="AK9" s="58"/>
      <c r="AL9" s="65" t="str">
        <f t="shared" si="17"/>
        <v/>
      </c>
      <c r="AM9" s="58"/>
      <c r="AN9" s="65" t="str">
        <f t="shared" si="18"/>
        <v/>
      </c>
      <c r="AO9" s="58"/>
      <c r="AP9" s="65" t="str">
        <f t="shared" si="19"/>
        <v/>
      </c>
      <c r="AQ9" s="58"/>
      <c r="AR9" s="65" t="str">
        <f t="shared" si="20"/>
        <v/>
      </c>
      <c r="AS9" s="58"/>
      <c r="AT9" s="65" t="str">
        <f t="shared" si="21"/>
        <v/>
      </c>
      <c r="AU9" s="58"/>
      <c r="AV9" s="65" t="str">
        <f t="shared" si="22"/>
        <v/>
      </c>
      <c r="AW9" s="58"/>
      <c r="AX9" s="65" t="str">
        <f t="shared" si="23"/>
        <v/>
      </c>
      <c r="AY9" s="58"/>
      <c r="AZ9" s="65" t="str">
        <f t="shared" si="24"/>
        <v/>
      </c>
      <c r="BA9" s="58"/>
      <c r="BB9" s="65" t="str">
        <f t="shared" si="25"/>
        <v/>
      </c>
      <c r="BC9" s="58"/>
      <c r="BD9" s="65" t="str">
        <f t="shared" si="26"/>
        <v/>
      </c>
      <c r="BE9" s="59"/>
      <c r="BF9" s="67" t="str">
        <f t="shared" si="27"/>
        <v/>
      </c>
      <c r="BG9" s="60"/>
      <c r="BH9" s="65" t="str">
        <f t="shared" si="28"/>
        <v/>
      </c>
      <c r="BI9" s="60"/>
      <c r="BJ9" s="65" t="str">
        <f t="shared" si="29"/>
        <v/>
      </c>
      <c r="BK9" s="60"/>
      <c r="BL9" s="65" t="str">
        <f t="shared" si="30"/>
        <v/>
      </c>
      <c r="BM9" s="60"/>
      <c r="BN9" s="65" t="str">
        <f t="shared" si="48"/>
        <v/>
      </c>
      <c r="BO9" s="60"/>
      <c r="BP9" s="65" t="str">
        <f t="shared" si="31"/>
        <v/>
      </c>
      <c r="BQ9" s="60"/>
      <c r="BR9" s="65" t="str">
        <f t="shared" si="32"/>
        <v/>
      </c>
      <c r="BS9" s="60"/>
      <c r="BT9" s="65" t="str">
        <f t="shared" si="33"/>
        <v/>
      </c>
      <c r="BU9" s="60"/>
      <c r="BV9" s="65" t="str">
        <f t="shared" si="34"/>
        <v/>
      </c>
      <c r="BW9" s="60"/>
      <c r="BX9" s="65" t="str">
        <f t="shared" si="35"/>
        <v/>
      </c>
      <c r="BY9" s="60"/>
      <c r="BZ9" s="67" t="str">
        <f t="shared" si="36"/>
        <v/>
      </c>
      <c r="CA9" s="60"/>
      <c r="CB9" s="67" t="str">
        <f t="shared" si="37"/>
        <v/>
      </c>
      <c r="CC9" s="60"/>
      <c r="CD9" s="67" t="str">
        <f t="shared" si="38"/>
        <v/>
      </c>
      <c r="CE9" s="60"/>
      <c r="CF9" s="67">
        <f t="shared" si="39"/>
        <v>0</v>
      </c>
      <c r="CG9" s="60"/>
      <c r="CH9" s="67" t="str">
        <f t="shared" si="40"/>
        <v/>
      </c>
      <c r="CI9" s="60"/>
      <c r="CJ9" s="67" t="str">
        <f t="shared" si="41"/>
        <v/>
      </c>
      <c r="CK9" s="60"/>
      <c r="CL9" s="64" t="str">
        <f t="shared" si="42"/>
        <v/>
      </c>
      <c r="CM9" s="65" t="e">
        <f t="shared" si="43"/>
        <v>#VALUE!</v>
      </c>
      <c r="CN9" s="62"/>
      <c r="CO9" s="62"/>
      <c r="CP9" s="68"/>
      <c r="CQ9" s="67" t="str">
        <f t="shared" si="44"/>
        <v/>
      </c>
      <c r="CR9" s="68"/>
      <c r="CS9" s="67" t="str">
        <f t="shared" si="45"/>
        <v/>
      </c>
      <c r="CT9" s="75"/>
      <c r="CU9" s="67" t="str">
        <f t="shared" si="46"/>
        <v/>
      </c>
      <c r="CV9" s="68"/>
      <c r="CW9" s="67" t="str">
        <f t="shared" si="47"/>
        <v/>
      </c>
    </row>
    <row r="10" spans="1:101" ht="25.5" customHeight="1" thickBot="1" x14ac:dyDescent="0.45">
      <c r="A10" s="63">
        <v>44507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6"/>
        <v>0</v>
      </c>
      <c r="Q10" s="58"/>
      <c r="R10" s="67">
        <f t="shared" si="7"/>
        <v>0</v>
      </c>
      <c r="S10" s="58"/>
      <c r="T10" s="67">
        <f t="shared" si="8"/>
        <v>0</v>
      </c>
      <c r="U10" s="58"/>
      <c r="V10" s="67">
        <f t="shared" si="9"/>
        <v>0</v>
      </c>
      <c r="W10" s="58"/>
      <c r="X10" s="65">
        <f t="shared" si="10"/>
        <v>0</v>
      </c>
      <c r="Y10" s="58"/>
      <c r="Z10" s="65">
        <f t="shared" si="11"/>
        <v>0</v>
      </c>
      <c r="AA10" s="58"/>
      <c r="AB10" s="65">
        <f t="shared" si="12"/>
        <v>0</v>
      </c>
      <c r="AC10" s="58"/>
      <c r="AD10" s="65">
        <f t="shared" si="13"/>
        <v>0</v>
      </c>
      <c r="AE10" s="58"/>
      <c r="AF10" s="65">
        <f t="shared" si="14"/>
        <v>0</v>
      </c>
      <c r="AG10" s="58"/>
      <c r="AH10" s="67">
        <f t="shared" si="15"/>
        <v>0</v>
      </c>
      <c r="AI10" s="58"/>
      <c r="AJ10" s="65">
        <f t="shared" si="16"/>
        <v>0</v>
      </c>
      <c r="AK10" s="58"/>
      <c r="AL10" s="65">
        <f t="shared" si="17"/>
        <v>0</v>
      </c>
      <c r="AM10" s="58"/>
      <c r="AN10" s="65">
        <f t="shared" si="18"/>
        <v>0</v>
      </c>
      <c r="AO10" s="58"/>
      <c r="AP10" s="65">
        <f t="shared" si="19"/>
        <v>0</v>
      </c>
      <c r="AQ10" s="58"/>
      <c r="AR10" s="65">
        <f t="shared" si="20"/>
        <v>0</v>
      </c>
      <c r="AS10" s="58"/>
      <c r="AT10" s="65">
        <f t="shared" si="21"/>
        <v>0</v>
      </c>
      <c r="AU10" s="58"/>
      <c r="AV10" s="65">
        <f t="shared" si="22"/>
        <v>0</v>
      </c>
      <c r="AW10" s="58"/>
      <c r="AX10" s="65">
        <f t="shared" si="23"/>
        <v>0</v>
      </c>
      <c r="AY10" s="58"/>
      <c r="AZ10" s="65">
        <f t="shared" si="24"/>
        <v>0</v>
      </c>
      <c r="BA10" s="58"/>
      <c r="BB10" s="65">
        <f t="shared" si="25"/>
        <v>0</v>
      </c>
      <c r="BC10" s="58"/>
      <c r="BD10" s="65">
        <f t="shared" si="26"/>
        <v>0</v>
      </c>
      <c r="BE10" s="59"/>
      <c r="BF10" s="67">
        <f t="shared" si="27"/>
        <v>0</v>
      </c>
      <c r="BG10" s="60"/>
      <c r="BH10" s="65">
        <f t="shared" si="28"/>
        <v>0</v>
      </c>
      <c r="BI10" s="60"/>
      <c r="BJ10" s="65">
        <f t="shared" si="29"/>
        <v>0</v>
      </c>
      <c r="BK10" s="60"/>
      <c r="BL10" s="65">
        <f t="shared" si="30"/>
        <v>0</v>
      </c>
      <c r="BM10" s="60"/>
      <c r="BN10" s="65">
        <f t="shared" si="48"/>
        <v>0</v>
      </c>
      <c r="BO10" s="60"/>
      <c r="BP10" s="65">
        <f t="shared" si="31"/>
        <v>0</v>
      </c>
      <c r="BQ10" s="60"/>
      <c r="BR10" s="65">
        <f t="shared" si="32"/>
        <v>0</v>
      </c>
      <c r="BS10" s="60"/>
      <c r="BT10" s="65">
        <f t="shared" si="33"/>
        <v>0</v>
      </c>
      <c r="BU10" s="60"/>
      <c r="BV10" s="65">
        <f t="shared" si="34"/>
        <v>0</v>
      </c>
      <c r="BW10" s="60"/>
      <c r="BX10" s="65">
        <f t="shared" si="35"/>
        <v>0</v>
      </c>
      <c r="BY10" s="60"/>
      <c r="BZ10" s="67">
        <f t="shared" si="36"/>
        <v>0</v>
      </c>
      <c r="CA10" s="60"/>
      <c r="CB10" s="67">
        <f t="shared" si="37"/>
        <v>0</v>
      </c>
      <c r="CC10" s="60"/>
      <c r="CD10" s="67">
        <f t="shared" si="38"/>
        <v>0</v>
      </c>
      <c r="CE10" s="60"/>
      <c r="CF10" s="67">
        <f t="shared" si="39"/>
        <v>0</v>
      </c>
      <c r="CG10" s="60"/>
      <c r="CH10" s="67">
        <f t="shared" si="40"/>
        <v>0</v>
      </c>
      <c r="CI10" s="60"/>
      <c r="CJ10" s="67">
        <f t="shared" si="41"/>
        <v>0</v>
      </c>
      <c r="CK10" s="60"/>
      <c r="CL10" s="64">
        <f t="shared" si="42"/>
        <v>0</v>
      </c>
      <c r="CM10" s="65">
        <f t="shared" si="43"/>
        <v>0</v>
      </c>
      <c r="CN10" s="62"/>
      <c r="CO10" s="62"/>
      <c r="CP10" s="68"/>
      <c r="CQ10" s="67">
        <f t="shared" si="44"/>
        <v>0</v>
      </c>
      <c r="CR10" s="68"/>
      <c r="CS10" s="67">
        <f t="shared" si="45"/>
        <v>0</v>
      </c>
      <c r="CT10" s="75"/>
      <c r="CU10" s="67">
        <f t="shared" si="46"/>
        <v>0</v>
      </c>
      <c r="CV10" s="68"/>
      <c r="CW10" s="67">
        <f t="shared" si="47"/>
        <v>0</v>
      </c>
    </row>
    <row r="11" spans="1:101" ht="25.5" customHeight="1" thickBot="1" x14ac:dyDescent="0.45">
      <c r="A11" s="63">
        <v>44508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8"/>
        <v>0</v>
      </c>
      <c r="U11" s="58"/>
      <c r="V11" s="67">
        <f t="shared" si="9"/>
        <v>0</v>
      </c>
      <c r="W11" s="58"/>
      <c r="X11" s="65">
        <f t="shared" si="10"/>
        <v>0</v>
      </c>
      <c r="Y11" s="58"/>
      <c r="Z11" s="65">
        <f t="shared" si="11"/>
        <v>0</v>
      </c>
      <c r="AA11" s="58"/>
      <c r="AB11" s="65">
        <f t="shared" si="12"/>
        <v>0</v>
      </c>
      <c r="AC11" s="58"/>
      <c r="AD11" s="65">
        <f t="shared" si="13"/>
        <v>0</v>
      </c>
      <c r="AE11" s="58"/>
      <c r="AF11" s="65">
        <f t="shared" si="14"/>
        <v>0</v>
      </c>
      <c r="AG11" s="58"/>
      <c r="AH11" s="67">
        <f t="shared" si="15"/>
        <v>0</v>
      </c>
      <c r="AI11" s="58"/>
      <c r="AJ11" s="65">
        <f t="shared" si="16"/>
        <v>0</v>
      </c>
      <c r="AK11" s="58"/>
      <c r="AL11" s="65">
        <f t="shared" si="17"/>
        <v>0</v>
      </c>
      <c r="AM11" s="58"/>
      <c r="AN11" s="65">
        <f t="shared" si="18"/>
        <v>0</v>
      </c>
      <c r="AO11" s="58"/>
      <c r="AP11" s="65">
        <f t="shared" si="19"/>
        <v>0</v>
      </c>
      <c r="AQ11" s="58"/>
      <c r="AR11" s="65">
        <f t="shared" si="20"/>
        <v>0</v>
      </c>
      <c r="AS11" s="58"/>
      <c r="AT11" s="65">
        <f t="shared" si="21"/>
        <v>0</v>
      </c>
      <c r="AU11" s="58"/>
      <c r="AV11" s="65">
        <f t="shared" si="22"/>
        <v>0</v>
      </c>
      <c r="AW11" s="58"/>
      <c r="AX11" s="65">
        <f t="shared" si="23"/>
        <v>0</v>
      </c>
      <c r="AY11" s="58"/>
      <c r="AZ11" s="65">
        <f t="shared" si="24"/>
        <v>0</v>
      </c>
      <c r="BA11" s="58"/>
      <c r="BB11" s="65">
        <f t="shared" si="25"/>
        <v>0</v>
      </c>
      <c r="BC11" s="58"/>
      <c r="BD11" s="65">
        <f t="shared" si="26"/>
        <v>0</v>
      </c>
      <c r="BE11" s="59"/>
      <c r="BF11" s="67">
        <f t="shared" si="27"/>
        <v>0</v>
      </c>
      <c r="BG11" s="60"/>
      <c r="BH11" s="65">
        <f t="shared" si="28"/>
        <v>0</v>
      </c>
      <c r="BI11" s="60"/>
      <c r="BJ11" s="65">
        <f t="shared" si="29"/>
        <v>0</v>
      </c>
      <c r="BK11" s="60"/>
      <c r="BL11" s="65">
        <f t="shared" si="30"/>
        <v>0</v>
      </c>
      <c r="BM11" s="60"/>
      <c r="BN11" s="65">
        <f t="shared" si="48"/>
        <v>0</v>
      </c>
      <c r="BO11" s="60"/>
      <c r="BP11" s="65">
        <f t="shared" si="31"/>
        <v>0</v>
      </c>
      <c r="BQ11" s="60"/>
      <c r="BR11" s="65">
        <f t="shared" si="32"/>
        <v>0</v>
      </c>
      <c r="BS11" s="60"/>
      <c r="BT11" s="65">
        <f t="shared" si="33"/>
        <v>0</v>
      </c>
      <c r="BU11" s="60"/>
      <c r="BV11" s="65">
        <f t="shared" si="34"/>
        <v>0</v>
      </c>
      <c r="BW11" s="60"/>
      <c r="BX11" s="65">
        <f t="shared" si="35"/>
        <v>0</v>
      </c>
      <c r="BY11" s="60"/>
      <c r="BZ11" s="67">
        <f t="shared" si="36"/>
        <v>0</v>
      </c>
      <c r="CA11" s="60"/>
      <c r="CB11" s="67">
        <f t="shared" si="37"/>
        <v>0</v>
      </c>
      <c r="CC11" s="60"/>
      <c r="CD11" s="67">
        <f t="shared" si="38"/>
        <v>0</v>
      </c>
      <c r="CE11" s="60"/>
      <c r="CF11" s="67">
        <f t="shared" si="39"/>
        <v>0</v>
      </c>
      <c r="CG11" s="60"/>
      <c r="CH11" s="67">
        <f t="shared" si="40"/>
        <v>0</v>
      </c>
      <c r="CI11" s="60"/>
      <c r="CJ11" s="67">
        <f t="shared" si="41"/>
        <v>0</v>
      </c>
      <c r="CK11" s="60"/>
      <c r="CL11" s="64">
        <f t="shared" si="42"/>
        <v>0</v>
      </c>
      <c r="CM11" s="65">
        <f t="shared" si="43"/>
        <v>0</v>
      </c>
      <c r="CN11" s="62"/>
      <c r="CO11" s="62"/>
      <c r="CP11" s="68"/>
      <c r="CQ11" s="67">
        <f t="shared" si="44"/>
        <v>0</v>
      </c>
      <c r="CR11" s="68"/>
      <c r="CS11" s="67">
        <f t="shared" si="45"/>
        <v>0</v>
      </c>
      <c r="CT11" s="75"/>
      <c r="CU11" s="67">
        <f t="shared" si="46"/>
        <v>0</v>
      </c>
      <c r="CV11" s="68"/>
      <c r="CW11" s="67">
        <f t="shared" si="47"/>
        <v>0</v>
      </c>
    </row>
    <row r="12" spans="1:101" ht="25.5" customHeight="1" thickBot="1" x14ac:dyDescent="0.45">
      <c r="A12" s="63">
        <v>44509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8"/>
        <v>0</v>
      </c>
      <c r="U12" s="58"/>
      <c r="V12" s="67">
        <f t="shared" si="9"/>
        <v>0</v>
      </c>
      <c r="W12" s="58"/>
      <c r="X12" s="65">
        <f t="shared" si="10"/>
        <v>0</v>
      </c>
      <c r="Y12" s="58"/>
      <c r="Z12" s="65">
        <f t="shared" si="11"/>
        <v>0</v>
      </c>
      <c r="AA12" s="58"/>
      <c r="AB12" s="65">
        <f t="shared" si="12"/>
        <v>0</v>
      </c>
      <c r="AC12" s="58"/>
      <c r="AD12" s="65">
        <f t="shared" si="13"/>
        <v>0</v>
      </c>
      <c r="AE12" s="58"/>
      <c r="AF12" s="65">
        <f t="shared" si="14"/>
        <v>0</v>
      </c>
      <c r="AG12" s="58"/>
      <c r="AH12" s="67">
        <f t="shared" si="15"/>
        <v>0</v>
      </c>
      <c r="AI12" s="58"/>
      <c r="AJ12" s="65">
        <f t="shared" si="16"/>
        <v>0</v>
      </c>
      <c r="AK12" s="58"/>
      <c r="AL12" s="65">
        <f t="shared" si="17"/>
        <v>0</v>
      </c>
      <c r="AM12" s="58"/>
      <c r="AN12" s="65">
        <f t="shared" si="18"/>
        <v>0</v>
      </c>
      <c r="AO12" s="58"/>
      <c r="AP12" s="65">
        <f t="shared" si="19"/>
        <v>0</v>
      </c>
      <c r="AQ12" s="58"/>
      <c r="AR12" s="65">
        <f t="shared" si="20"/>
        <v>0</v>
      </c>
      <c r="AS12" s="58"/>
      <c r="AT12" s="65">
        <f t="shared" si="21"/>
        <v>0</v>
      </c>
      <c r="AU12" s="58"/>
      <c r="AV12" s="65">
        <f t="shared" si="22"/>
        <v>0</v>
      </c>
      <c r="AW12" s="58"/>
      <c r="AX12" s="65">
        <f t="shared" si="23"/>
        <v>0</v>
      </c>
      <c r="AY12" s="58"/>
      <c r="AZ12" s="65">
        <f t="shared" si="24"/>
        <v>0</v>
      </c>
      <c r="BA12" s="58"/>
      <c r="BB12" s="65">
        <f t="shared" si="25"/>
        <v>0</v>
      </c>
      <c r="BC12" s="58"/>
      <c r="BD12" s="65">
        <f t="shared" si="26"/>
        <v>0</v>
      </c>
      <c r="BE12" s="59"/>
      <c r="BF12" s="67">
        <f t="shared" si="27"/>
        <v>0</v>
      </c>
      <c r="BG12" s="60"/>
      <c r="BH12" s="65">
        <f t="shared" si="28"/>
        <v>0</v>
      </c>
      <c r="BI12" s="60"/>
      <c r="BJ12" s="65">
        <f t="shared" si="29"/>
        <v>0</v>
      </c>
      <c r="BK12" s="60"/>
      <c r="BL12" s="65">
        <f t="shared" si="30"/>
        <v>0</v>
      </c>
      <c r="BM12" s="60"/>
      <c r="BN12" s="65">
        <f t="shared" si="48"/>
        <v>0</v>
      </c>
      <c r="BO12" s="60"/>
      <c r="BP12" s="65">
        <f t="shared" si="31"/>
        <v>0</v>
      </c>
      <c r="BQ12" s="60"/>
      <c r="BR12" s="65">
        <f t="shared" si="32"/>
        <v>0</v>
      </c>
      <c r="BS12" s="60"/>
      <c r="BT12" s="65">
        <f t="shared" si="33"/>
        <v>0</v>
      </c>
      <c r="BU12" s="60"/>
      <c r="BV12" s="65">
        <f t="shared" si="34"/>
        <v>0</v>
      </c>
      <c r="BW12" s="60"/>
      <c r="BX12" s="65">
        <f t="shared" si="35"/>
        <v>0</v>
      </c>
      <c r="BY12" s="60"/>
      <c r="BZ12" s="67">
        <f t="shared" si="36"/>
        <v>0</v>
      </c>
      <c r="CA12" s="60"/>
      <c r="CB12" s="67">
        <f t="shared" si="37"/>
        <v>0</v>
      </c>
      <c r="CC12" s="60"/>
      <c r="CD12" s="67">
        <f t="shared" si="38"/>
        <v>0</v>
      </c>
      <c r="CE12" s="60"/>
      <c r="CF12" s="67">
        <f t="shared" si="39"/>
        <v>0</v>
      </c>
      <c r="CG12" s="60"/>
      <c r="CH12" s="67">
        <f t="shared" si="40"/>
        <v>0</v>
      </c>
      <c r="CI12" s="60"/>
      <c r="CJ12" s="67">
        <f t="shared" si="41"/>
        <v>0</v>
      </c>
      <c r="CK12" s="60"/>
      <c r="CL12" s="64">
        <f t="shared" si="42"/>
        <v>0</v>
      </c>
      <c r="CM12" s="65">
        <f t="shared" si="43"/>
        <v>0</v>
      </c>
      <c r="CN12" s="62"/>
      <c r="CO12" s="62"/>
      <c r="CP12" s="68"/>
      <c r="CQ12" s="67">
        <f t="shared" si="44"/>
        <v>0</v>
      </c>
      <c r="CR12" s="68"/>
      <c r="CS12" s="67">
        <f t="shared" si="45"/>
        <v>0</v>
      </c>
      <c r="CT12" s="75"/>
      <c r="CU12" s="67">
        <f t="shared" si="46"/>
        <v>0</v>
      </c>
      <c r="CV12" s="68"/>
      <c r="CW12" s="67">
        <f t="shared" si="47"/>
        <v>0</v>
      </c>
    </row>
    <row r="13" spans="1:101" ht="25.5" customHeight="1" thickBot="1" x14ac:dyDescent="0.45">
      <c r="A13" s="63">
        <v>44510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48"/>
        <v>0</v>
      </c>
      <c r="BO13" s="60"/>
      <c r="BP13" s="65">
        <f t="shared" si="31"/>
        <v>0</v>
      </c>
      <c r="BQ13" s="60"/>
      <c r="BR13" s="65">
        <f t="shared" si="32"/>
        <v>0</v>
      </c>
      <c r="BS13" s="60"/>
      <c r="BT13" s="65">
        <f t="shared" si="33"/>
        <v>0</v>
      </c>
      <c r="BU13" s="60"/>
      <c r="BV13" s="65">
        <f t="shared" si="34"/>
        <v>0</v>
      </c>
      <c r="BW13" s="60"/>
      <c r="BX13" s="65">
        <f t="shared" si="35"/>
        <v>0</v>
      </c>
      <c r="BY13" s="60"/>
      <c r="BZ13" s="67">
        <f t="shared" si="36"/>
        <v>0</v>
      </c>
      <c r="CA13" s="60"/>
      <c r="CB13" s="67">
        <f t="shared" si="37"/>
        <v>0</v>
      </c>
      <c r="CC13" s="60"/>
      <c r="CD13" s="67">
        <f t="shared" si="38"/>
        <v>0</v>
      </c>
      <c r="CE13" s="60"/>
      <c r="CF13" s="67">
        <f t="shared" si="39"/>
        <v>0</v>
      </c>
      <c r="CG13" s="60"/>
      <c r="CH13" s="67">
        <f t="shared" si="40"/>
        <v>0</v>
      </c>
      <c r="CI13" s="60"/>
      <c r="CJ13" s="67">
        <f t="shared" si="41"/>
        <v>0</v>
      </c>
      <c r="CK13" s="60"/>
      <c r="CL13" s="64">
        <f t="shared" si="42"/>
        <v>0</v>
      </c>
      <c r="CM13" s="65">
        <f t="shared" si="43"/>
        <v>0</v>
      </c>
      <c r="CN13" s="62"/>
      <c r="CO13" s="62"/>
      <c r="CP13" s="68"/>
      <c r="CQ13" s="67">
        <f t="shared" si="44"/>
        <v>0</v>
      </c>
      <c r="CR13" s="68"/>
      <c r="CS13" s="67">
        <f t="shared" si="45"/>
        <v>0</v>
      </c>
      <c r="CT13" s="75"/>
      <c r="CU13" s="67">
        <f t="shared" si="46"/>
        <v>0</v>
      </c>
      <c r="CV13" s="68"/>
      <c r="CW13" s="67">
        <f t="shared" si="47"/>
        <v>0</v>
      </c>
    </row>
    <row r="14" spans="1:101" ht="25.5" customHeight="1" thickBot="1" x14ac:dyDescent="0.45">
      <c r="A14" s="63">
        <v>44511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48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</row>
    <row r="15" spans="1:101" ht="25.5" customHeight="1" thickBot="1" x14ac:dyDescent="0.45">
      <c r="A15" s="63">
        <v>44512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48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</row>
    <row r="16" spans="1:101" ht="25.5" customHeight="1" thickBot="1" x14ac:dyDescent="0.45">
      <c r="A16" s="63">
        <v>44513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48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</row>
    <row r="17" spans="1:101" ht="25.5" customHeight="1" thickBot="1" x14ac:dyDescent="0.45">
      <c r="A17" s="63">
        <v>44514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48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</row>
    <row r="18" spans="1:101" ht="25.5" customHeight="1" thickBot="1" x14ac:dyDescent="0.45">
      <c r="A18" s="63">
        <v>44515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48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</row>
    <row r="19" spans="1:101" ht="25.5" customHeight="1" thickBot="1" x14ac:dyDescent="0.45">
      <c r="A19" s="63">
        <v>44516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48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</row>
    <row r="20" spans="1:101" ht="25.5" customHeight="1" thickBot="1" x14ac:dyDescent="0.45">
      <c r="A20" s="63">
        <v>44517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48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3" sqref="B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0"/>
        <v>-218</v>
      </c>
    </row>
    <row r="14" spans="1:20" ht="17.25" customHeight="1" x14ac:dyDescent="0.25">
      <c r="A14" s="73">
        <v>44507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0"/>
        <v>0</v>
      </c>
    </row>
    <row r="15" spans="1:20" x14ac:dyDescent="0.25">
      <c r="A15" s="73">
        <v>44508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0"/>
        <v>0</v>
      </c>
    </row>
    <row r="16" spans="1:20" x14ac:dyDescent="0.25">
      <c r="A16" s="73">
        <v>44509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44513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44514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44516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2021-11-06T16:19:01Z</dcterms:modified>
</cp:coreProperties>
</file>