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28800" windowHeight="124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20" i="119" l="1"/>
  <c r="H20" i="119"/>
  <c r="J20" i="119"/>
  <c r="D20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I17" i="117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G17" i="117"/>
  <c r="E17" i="117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<sst xmlns="http://schemas.openxmlformats.org/spreadsheetml/2006/main" count="61" uniqueCount="29">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</sst>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16" zoomScale="85" zoomScaleNormal="85" workbookViewId="0">
      <selection activeCell="Q26" sqref="Q2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4" t="s">
        <v>7</v>
      </c>
      <c r="J1" s="35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2021</v>
      </c>
      <c r="E2" s="9">
        <f>'Macao Daily'!D5</f>
        <v>36254</v>
      </c>
      <c r="F2" s="36">
        <v>1.1422000000000001</v>
      </c>
      <c r="G2" s="9">
        <f>'Macao Daily'!F5</f>
        <v>208.77419354836456</v>
      </c>
      <c r="H2" s="36">
        <v>7.08</v>
      </c>
      <c r="I2" s="9">
        <f>'Macao Daily'!H5</f>
        <v>10883</v>
      </c>
      <c r="J2" s="36">
        <v>0.16</v>
      </c>
      <c r="K2" s="9">
        <f>'Macao Daily'!J5</f>
        <v>0</v>
      </c>
      <c r="L2" s="36">
        <v>7.7611999999999997</v>
      </c>
      <c r="M2" s="9">
        <f>'Macao Daily'!K5</f>
        <v>337</v>
      </c>
      <c r="N2" s="9">
        <f>'Macao Daily'!L5</f>
        <v>992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2021</v>
      </c>
      <c r="E3" s="9">
        <f>'Macao Daily'!D6</f>
        <v>37573</v>
      </c>
      <c r="F3" s="36">
        <v>1.1422000000000001</v>
      </c>
      <c r="G3" s="9">
        <f>'Macao Daily'!F6</f>
        <v>198.77419354836456</v>
      </c>
      <c r="H3" s="36">
        <v>7.08</v>
      </c>
      <c r="I3" s="9">
        <f>'Macao Daily'!H6</f>
        <v>12539</v>
      </c>
      <c r="J3" s="36">
        <v>0.16</v>
      </c>
      <c r="K3" s="9">
        <f>'Macao Daily'!J6</f>
        <v>0</v>
      </c>
      <c r="L3" s="36">
        <v>7.7611999999999997</v>
      </c>
      <c r="M3" s="9">
        <f>'Macao Daily'!K6</f>
        <v>327</v>
      </c>
      <c r="N3" s="9">
        <f>'Macao Daily'!L6</f>
        <v>1081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</v>
      </c>
      <c r="D4" s="7">
        <v>2021</v>
      </c>
      <c r="E4" s="9">
        <f>'Macao Daily'!D7</f>
        <v>34706</v>
      </c>
      <c r="F4" s="36">
        <v>1.1422000000000001</v>
      </c>
      <c r="G4" s="9">
        <f>'Macao Daily'!F7</f>
        <v>187.77419354836456</v>
      </c>
      <c r="H4" s="36">
        <v>7.08</v>
      </c>
      <c r="I4" s="9">
        <f>'Macao Daily'!H7</f>
        <v>13797</v>
      </c>
      <c r="J4" s="36">
        <v>0.16</v>
      </c>
      <c r="K4" s="9">
        <f>'Macao Daily'!J7</f>
        <v>0</v>
      </c>
      <c r="L4" s="36">
        <v>7.7611999999999997</v>
      </c>
      <c r="M4" s="9">
        <f>'Macao Daily'!K7</f>
        <v>162</v>
      </c>
      <c r="N4" s="9">
        <f>'Macao Daily'!L7</f>
        <v>770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2021</v>
      </c>
      <c r="E5" s="9">
        <f>'Macao Daily'!D8</f>
        <v>35483</v>
      </c>
      <c r="F5" s="36">
        <v>1.1422000000000001</v>
      </c>
      <c r="G5" s="9">
        <f>'Macao Daily'!F8</f>
        <v>178.77419354836456</v>
      </c>
      <c r="H5" s="36">
        <v>7.08</v>
      </c>
      <c r="I5" s="9">
        <f>'Macao Daily'!H8</f>
        <v>16383</v>
      </c>
      <c r="J5" s="36">
        <v>0.16</v>
      </c>
      <c r="K5" s="9">
        <f>'Macao Daily'!J8</f>
        <v>0</v>
      </c>
      <c r="L5" s="36">
        <v>7.7611999999999997</v>
      </c>
      <c r="M5" s="9">
        <f>'Macao Daily'!K8</f>
        <v>108</v>
      </c>
      <c r="N5" s="9">
        <f>'Macao Daily'!L8</f>
        <v>274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2021</v>
      </c>
      <c r="E6" s="9">
        <f>'Macao Daily'!D9</f>
        <v>33983</v>
      </c>
      <c r="F6" s="36">
        <v>1.1422000000000001</v>
      </c>
      <c r="G6" s="9">
        <f>'Macao Daily'!F9</f>
        <v>159.77419354836456</v>
      </c>
      <c r="H6" s="36">
        <v>7.08</v>
      </c>
      <c r="I6" s="9">
        <f>'Macao Daily'!H9</f>
        <v>17257</v>
      </c>
      <c r="J6" s="36">
        <v>0.16</v>
      </c>
      <c r="K6" s="9">
        <f>'Macao Daily'!J9</f>
        <v>0</v>
      </c>
      <c r="L6" s="36">
        <v>7.7611999999999997</v>
      </c>
      <c r="M6" s="9">
        <f>'Macao Daily'!K9</f>
        <v>104</v>
      </c>
      <c r="N6" s="9">
        <f>'Macao Daily'!L9</f>
        <v>288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2021</v>
      </c>
      <c r="E7" s="9">
        <f>'Macao Daily'!D10</f>
        <v>32657</v>
      </c>
      <c r="F7" s="36">
        <v>1.1422000000000001</v>
      </c>
      <c r="G7" s="9">
        <f>'Macao Daily'!F10</f>
        <v>160.77419354836456</v>
      </c>
      <c r="H7" s="36">
        <v>7.08</v>
      </c>
      <c r="I7" s="9">
        <f>'Macao Daily'!H10</f>
        <v>15821</v>
      </c>
      <c r="J7" s="36">
        <v>0.16</v>
      </c>
      <c r="K7" s="9">
        <f>'Macao Daily'!J10</f>
        <v>0</v>
      </c>
      <c r="L7" s="36">
        <v>7.7611999999999997</v>
      </c>
      <c r="M7" s="9">
        <f>'Macao Daily'!K10</f>
        <v>94</v>
      </c>
      <c r="N7" s="9">
        <f>'Macao Daily'!L10</f>
        <v>255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2021</v>
      </c>
      <c r="E8" s="9">
        <f>'Macao Daily'!D11</f>
        <v>34071</v>
      </c>
      <c r="F8" s="36">
        <v>1.1422000000000001</v>
      </c>
      <c r="G8" s="9">
        <f>'Macao Daily'!F11</f>
        <v>181.77419354836456</v>
      </c>
      <c r="H8" s="36">
        <v>7.08</v>
      </c>
      <c r="I8" s="9">
        <f>'Macao Daily'!H11</f>
        <v>14883</v>
      </c>
      <c r="J8" s="36">
        <v>0.16</v>
      </c>
      <c r="K8" s="9">
        <f>'Macao Daily'!J11</f>
        <v>0</v>
      </c>
      <c r="L8" s="36">
        <v>7.7611999999999997</v>
      </c>
      <c r="M8" s="9">
        <f>'Macao Daily'!K11</f>
        <v>95</v>
      </c>
      <c r="N8" s="9">
        <f>'Macao Daily'!L11</f>
        <v>299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2021</v>
      </c>
      <c r="E9" s="9">
        <f>'Macao Daily'!D12</f>
        <v>34144</v>
      </c>
      <c r="F9" s="36">
        <v>1.1422000000000001</v>
      </c>
      <c r="G9" s="9">
        <f>'Macao Daily'!F12</f>
        <v>181.77419354836456</v>
      </c>
      <c r="H9" s="36">
        <v>7.08</v>
      </c>
      <c r="I9" s="9">
        <f>'Macao Daily'!H12</f>
        <v>9023</v>
      </c>
      <c r="J9" s="36">
        <v>0.16</v>
      </c>
      <c r="K9" s="9">
        <f>'Macao Daily'!J12</f>
        <v>0</v>
      </c>
      <c r="L9" s="36">
        <v>7.7611999999999997</v>
      </c>
      <c r="M9" s="9">
        <f>'Macao Daily'!K12</f>
        <v>113</v>
      </c>
      <c r="N9" s="9">
        <f>'Macao Daily'!L12</f>
        <v>382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2021</v>
      </c>
      <c r="E10" s="9">
        <f>'Macao Daily'!D13</f>
        <v>35334</v>
      </c>
      <c r="F10" s="36">
        <v>1.1422000000000001</v>
      </c>
      <c r="G10" s="9">
        <f>'Macao Daily'!F13</f>
        <v>176.77419354836456</v>
      </c>
      <c r="H10" s="36">
        <v>7.08</v>
      </c>
      <c r="I10" s="9">
        <f>'Macao Daily'!H13</f>
        <v>6953</v>
      </c>
      <c r="J10" s="36">
        <v>0.16</v>
      </c>
      <c r="K10" s="9">
        <f>'Macao Daily'!J13</f>
        <v>0</v>
      </c>
      <c r="L10" s="36">
        <v>7.7611999999999997</v>
      </c>
      <c r="M10" s="9">
        <f>'Macao Daily'!K13</f>
        <v>169</v>
      </c>
      <c r="N10" s="9">
        <f>'Macao Daily'!L13</f>
        <v>508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2021</v>
      </c>
      <c r="E11" s="9">
        <f>'Macao Daily'!D14</f>
        <v>34882</v>
      </c>
      <c r="F11" s="36">
        <v>1.1422000000000001</v>
      </c>
      <c r="G11" s="9">
        <f>'Macao Daily'!F14</f>
        <v>176.77419354836456</v>
      </c>
      <c r="H11" s="36">
        <v>7.08</v>
      </c>
      <c r="I11" s="9">
        <f>'Macao Daily'!H14</f>
        <v>9133</v>
      </c>
      <c r="J11" s="36">
        <v>0.16</v>
      </c>
      <c r="K11" s="9">
        <f>'Macao Daily'!J14</f>
        <v>0</v>
      </c>
      <c r="L11" s="36">
        <v>7.7611999999999997</v>
      </c>
      <c r="M11" s="9">
        <f>'Macao Daily'!K14</f>
        <v>113</v>
      </c>
      <c r="N11" s="9">
        <f>'Macao Daily'!L14</f>
        <v>263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2021</v>
      </c>
      <c r="E12" s="9">
        <f>'Macao Daily'!D15</f>
        <v>32624</v>
      </c>
      <c r="F12" s="36">
        <v>1.1422000000000001</v>
      </c>
      <c r="G12" s="9">
        <f>'Macao Daily'!F15</f>
        <v>181.77419354836456</v>
      </c>
      <c r="H12" s="36">
        <v>7.08</v>
      </c>
      <c r="I12" s="9">
        <f>'Macao Daily'!H15</f>
        <v>9422</v>
      </c>
      <c r="J12" s="36">
        <v>0.16</v>
      </c>
      <c r="K12" s="9">
        <f>'Macao Daily'!J15</f>
        <v>0</v>
      </c>
      <c r="L12" s="36">
        <v>7.7611999999999997</v>
      </c>
      <c r="M12" s="9">
        <f>'Macao Daily'!K15</f>
        <v>88</v>
      </c>
      <c r="N12" s="9">
        <f>'Macao Daily'!L15</f>
        <v>127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2021</v>
      </c>
      <c r="E13" s="9">
        <f>'Macao Daily'!D16</f>
        <v>32321</v>
      </c>
      <c r="F13" s="36">
        <v>1.1422000000000001</v>
      </c>
      <c r="G13" s="9">
        <f>'Macao Daily'!F16</f>
        <v>156.77419354836456</v>
      </c>
      <c r="H13" s="36">
        <v>7.08</v>
      </c>
      <c r="I13" s="9">
        <f>'Macao Daily'!H16</f>
        <v>8695</v>
      </c>
      <c r="J13" s="36">
        <v>0.16</v>
      </c>
      <c r="K13" s="9">
        <f>'Macao Daily'!J16</f>
        <v>0</v>
      </c>
      <c r="L13" s="36">
        <v>7.7611999999999997</v>
      </c>
      <c r="M13" s="9">
        <f>'Macao Daily'!K16</f>
        <v>95</v>
      </c>
      <c r="N13" s="9">
        <f>'Macao Daily'!L16</f>
        <v>295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2021</v>
      </c>
      <c r="E14" s="9">
        <f>'Macao Daily'!D17</f>
        <v>35344</v>
      </c>
      <c r="F14" s="36">
        <v>1.1422000000000001</v>
      </c>
      <c r="G14" s="9">
        <f>'Macao Daily'!F17</f>
        <v>176.77419354836456</v>
      </c>
      <c r="H14" s="36">
        <v>7.08</v>
      </c>
      <c r="I14" s="9">
        <f>'Macao Daily'!H17</f>
        <v>10672</v>
      </c>
      <c r="J14" s="36">
        <v>0.16</v>
      </c>
      <c r="K14" s="9">
        <f>'Macao Daily'!J17</f>
        <v>0</v>
      </c>
      <c r="L14" s="36">
        <v>7.7611999999999997</v>
      </c>
      <c r="M14" s="9">
        <f>'Macao Daily'!K17</f>
        <v>95</v>
      </c>
      <c r="N14" s="9">
        <f>'Macao Daily'!L17</f>
        <v>584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2021</v>
      </c>
      <c r="E15" s="9">
        <f>'Macao Daily'!D18</f>
        <v>35337</v>
      </c>
      <c r="F15" s="36">
        <v>1.1422000000000001</v>
      </c>
      <c r="G15" s="9">
        <f>'Macao Daily'!F18</f>
        <v>188.77419354836456</v>
      </c>
      <c r="H15" s="36">
        <v>7.08</v>
      </c>
      <c r="I15" s="9">
        <f>'Macao Daily'!H18</f>
        <v>11195</v>
      </c>
      <c r="J15" s="36">
        <v>0.16</v>
      </c>
      <c r="K15" s="9">
        <f>'Macao Daily'!J18</f>
        <v>0</v>
      </c>
      <c r="L15" s="36">
        <v>7.7611999999999997</v>
      </c>
      <c r="M15" s="9">
        <f>'Macao Daily'!K18</f>
        <v>92</v>
      </c>
      <c r="N15" s="9">
        <f>'Macao Daily'!L18</f>
        <v>326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2021</v>
      </c>
      <c r="E16" s="9">
        <f>'Macao Daily'!D19</f>
        <v>36856</v>
      </c>
      <c r="F16" s="36">
        <v>1.1422000000000001</v>
      </c>
      <c r="G16" s="9">
        <f>'Macao Daily'!F19</f>
        <v>192.77419354836456</v>
      </c>
      <c r="H16" s="36">
        <v>7.08</v>
      </c>
      <c r="I16" s="9">
        <f>'Macao Daily'!H19</f>
        <v>15735</v>
      </c>
      <c r="J16" s="36">
        <v>0.16</v>
      </c>
      <c r="K16" s="9">
        <f>'Macao Daily'!J19</f>
        <v>0</v>
      </c>
      <c r="L16" s="36">
        <v>7.7611999999999997</v>
      </c>
      <c r="M16" s="9">
        <f>'Macao Daily'!K19</f>
        <v>134</v>
      </c>
      <c r="N16" s="9">
        <f>'Macao Daily'!L19</f>
        <v>567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2021</v>
      </c>
      <c r="E17" s="9">
        <f>'Macao Daily'!D20</f>
        <v>32907</v>
      </c>
      <c r="F17" s="36">
        <v>1.1422000000000001</v>
      </c>
      <c r="G17" s="9">
        <f>'Macao Daily'!F20</f>
        <v>189.77419354836456</v>
      </c>
      <c r="H17" s="36">
        <v>7.08</v>
      </c>
      <c r="I17" s="9">
        <f>'Macao Daily'!H20</f>
        <v>13945</v>
      </c>
      <c r="J17" s="36">
        <v>0.16</v>
      </c>
      <c r="K17" s="9">
        <f>'Macao Daily'!J20</f>
        <v>0</v>
      </c>
      <c r="L17" s="36">
        <v>7.7611999999999997</v>
      </c>
      <c r="M17" s="9">
        <f>'Macao Daily'!K20</f>
        <v>179</v>
      </c>
      <c r="N17" s="9">
        <f>'Macao Daily'!L20</f>
        <v>726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2021</v>
      </c>
      <c r="E18" s="9">
        <f>'Macao Daily'!D21</f>
        <v>35474</v>
      </c>
      <c r="F18" s="36">
        <v>1.1422000000000001</v>
      </c>
      <c r="G18" s="9">
        <f>'Macao Daily'!F21</f>
        <v>182.77419354836456</v>
      </c>
      <c r="H18" s="36">
        <v>7.08</v>
      </c>
      <c r="I18" s="9">
        <f>'Macao Daily'!H21</f>
        <v>14133</v>
      </c>
      <c r="J18" s="36">
        <v>0.16</v>
      </c>
      <c r="K18" s="9">
        <f>'Macao Daily'!J21</f>
        <v>0</v>
      </c>
      <c r="L18" s="36">
        <v>7.7611999999999997</v>
      </c>
      <c r="M18" s="9">
        <f>'Macao Daily'!K21</f>
        <v>124</v>
      </c>
      <c r="N18" s="9">
        <f>'Macao Daily'!L21</f>
        <v>758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2021</v>
      </c>
      <c r="E19" s="9">
        <f>'Macao Daily'!D22</f>
        <v>33230</v>
      </c>
      <c r="F19" s="36">
        <v>1.1422000000000001</v>
      </c>
      <c r="G19" s="9">
        <f>'Macao Daily'!F22</f>
        <v>175.77419354836456</v>
      </c>
      <c r="H19" s="36">
        <v>7.08</v>
      </c>
      <c r="I19" s="9">
        <f>'Macao Daily'!H22</f>
        <v>11547</v>
      </c>
      <c r="J19" s="36">
        <v>0.16</v>
      </c>
      <c r="K19" s="9">
        <f>'Macao Daily'!J22</f>
        <v>0</v>
      </c>
      <c r="L19" s="36">
        <v>7.7611999999999997</v>
      </c>
      <c r="M19" s="9">
        <f>'Macao Daily'!K22</f>
        <v>102</v>
      </c>
      <c r="N19" s="9">
        <f>'Macao Daily'!L22</f>
        <v>293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2021</v>
      </c>
      <c r="E20" s="9">
        <f>'Macao Daily'!D23</f>
        <v>31820</v>
      </c>
      <c r="F20" s="36">
        <v>1.1422000000000001</v>
      </c>
      <c r="G20" s="9">
        <f>'Macao Daily'!F23</f>
        <v>161.77419354836456</v>
      </c>
      <c r="H20" s="36">
        <v>7.08</v>
      </c>
      <c r="I20" s="9">
        <f>'Macao Daily'!H23</f>
        <v>11890</v>
      </c>
      <c r="J20" s="36">
        <v>0.16</v>
      </c>
      <c r="K20" s="9">
        <f>'Macao Daily'!J23</f>
        <v>0</v>
      </c>
      <c r="L20" s="36">
        <v>7.7611999999999997</v>
      </c>
      <c r="M20" s="9">
        <f>'Macao Daily'!K23</f>
        <v>94</v>
      </c>
      <c r="N20" s="9">
        <f>'Macao Daily'!L23</f>
        <v>324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2021</v>
      </c>
      <c r="E21" s="9">
        <f>'Macao Daily'!D24</f>
        <v>34054</v>
      </c>
      <c r="F21" s="36">
        <v>1.1422000000000001</v>
      </c>
      <c r="G21" s="9">
        <f>'Macao Daily'!F24</f>
        <v>172.77419354836456</v>
      </c>
      <c r="H21" s="36">
        <v>7.08</v>
      </c>
      <c r="I21" s="9">
        <f>'Macao Daily'!H24</f>
        <v>15149</v>
      </c>
      <c r="J21" s="36">
        <v>0.16</v>
      </c>
      <c r="K21" s="9">
        <f>'Macao Daily'!J24</f>
        <v>0</v>
      </c>
      <c r="L21" s="36">
        <v>7.7611999999999997</v>
      </c>
      <c r="M21" s="9">
        <f>'Macao Daily'!K24</f>
        <v>97</v>
      </c>
      <c r="N21" s="9">
        <f>'Macao Daily'!L24</f>
        <v>139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2021</v>
      </c>
      <c r="E22" s="9">
        <f>'Macao Daily'!D25</f>
        <v>34381</v>
      </c>
      <c r="F22" s="36">
        <v>1.1422000000000001</v>
      </c>
      <c r="G22" s="9">
        <f>'Macao Daily'!F25</f>
        <v>183.77419354836456</v>
      </c>
      <c r="H22" s="36">
        <v>7.08</v>
      </c>
      <c r="I22" s="9">
        <f>'Macao Daily'!H25</f>
        <v>18820</v>
      </c>
      <c r="J22" s="36">
        <v>0.16</v>
      </c>
      <c r="K22" s="9">
        <f>'Macao Daily'!J25</f>
        <v>0</v>
      </c>
      <c r="L22" s="36">
        <v>7.7611999999999997</v>
      </c>
      <c r="M22" s="9">
        <f>'Macao Daily'!K25</f>
        <v>110</v>
      </c>
      <c r="N22" s="9">
        <f>'Macao Daily'!L25</f>
        <v>350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2021</v>
      </c>
      <c r="E23" s="9">
        <f>'Macao Daily'!D26</f>
        <v>37032</v>
      </c>
      <c r="F23" s="36">
        <v>1.1422000000000001</v>
      </c>
      <c r="G23" s="9">
        <f>'Macao Daily'!F26</f>
        <v>189.77419354836456</v>
      </c>
      <c r="H23" s="36">
        <v>7.08</v>
      </c>
      <c r="I23" s="9">
        <f>'Macao Daily'!H26</f>
        <v>22570</v>
      </c>
      <c r="J23" s="36">
        <v>0.16</v>
      </c>
      <c r="K23" s="9">
        <f>'Macao Daily'!J26</f>
        <v>0</v>
      </c>
      <c r="L23" s="36">
        <v>7.7611999999999997</v>
      </c>
      <c r="M23" s="9">
        <f>'Macao Daily'!K26</f>
        <v>128</v>
      </c>
      <c r="N23" s="9">
        <f>'Macao Daily'!L26</f>
        <v>362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2021</v>
      </c>
      <c r="E24" s="9">
        <f>'Macao Daily'!D27</f>
        <v>35102</v>
      </c>
      <c r="F24" s="36">
        <v>1.1422000000000001</v>
      </c>
      <c r="G24" s="9">
        <f>'Macao Daily'!F27</f>
        <v>215.77419354836456</v>
      </c>
      <c r="H24" s="36">
        <v>7.08</v>
      </c>
      <c r="I24" s="9">
        <f>'Macao Daily'!H27</f>
        <v>21407</v>
      </c>
      <c r="J24" s="36">
        <v>0.16</v>
      </c>
      <c r="K24" s="9">
        <f>'Macao Daily'!J27</f>
        <v>0</v>
      </c>
      <c r="L24" s="36">
        <v>7.7611999999999997</v>
      </c>
      <c r="M24" s="9">
        <f>'Macao Daily'!K27</f>
        <v>169</v>
      </c>
      <c r="N24" s="9">
        <f>'Macao Daily'!L27</f>
        <v>842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2021</v>
      </c>
      <c r="E25" s="9">
        <f>'Macao Daily'!D28</f>
        <v>37559</v>
      </c>
      <c r="F25" s="36">
        <v>1.1422000000000001</v>
      </c>
      <c r="G25" s="9">
        <f>'Macao Daily'!F28</f>
        <v>232.77419354836456</v>
      </c>
      <c r="H25" s="36">
        <v>7.08</v>
      </c>
      <c r="I25" s="9">
        <f>'Macao Daily'!H28</f>
        <v>25617</v>
      </c>
      <c r="J25" s="36">
        <v>0.16</v>
      </c>
      <c r="K25" s="9">
        <f>'Macao Daily'!J28</f>
        <v>0</v>
      </c>
      <c r="L25" s="36">
        <v>7.7611999999999997</v>
      </c>
      <c r="M25" s="9">
        <f>'Macao Daily'!K28</f>
        <v>133</v>
      </c>
      <c r="N25" s="9">
        <f>'Macao Daily'!L28</f>
        <v>830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2021</v>
      </c>
      <c r="E26" s="9">
        <f>'Macao Daily'!D29</f>
        <v>33047</v>
      </c>
      <c r="F26" s="36">
        <v>1.1422000000000001</v>
      </c>
      <c r="G26" s="9">
        <f>'Macao Daily'!F29</f>
        <v>188.77419354836456</v>
      </c>
      <c r="H26" s="36">
        <v>7.08</v>
      </c>
      <c r="I26" s="9">
        <f>'Macao Daily'!H29</f>
        <v>20906</v>
      </c>
      <c r="J26" s="36">
        <v>0.16</v>
      </c>
      <c r="K26" s="9">
        <f>'Macao Daily'!J29</f>
        <v>0</v>
      </c>
      <c r="L26" s="36">
        <v>7.7611999999999997</v>
      </c>
      <c r="M26" s="9">
        <f>'Macao Daily'!K29</f>
        <v>106</v>
      </c>
      <c r="N26" s="9">
        <f>'Macao Daily'!L29</f>
        <v>207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2021</v>
      </c>
      <c r="E27" s="9">
        <f>'Macao Daily'!D30</f>
        <v>32579</v>
      </c>
      <c r="F27" s="36">
        <v>1.1422000000000001</v>
      </c>
      <c r="G27" s="9">
        <f>'Macao Daily'!F30</f>
        <v>164.77419354836456</v>
      </c>
      <c r="H27" s="36">
        <v>7.08</v>
      </c>
      <c r="I27" s="9">
        <f>'Macao Daily'!H30</f>
        <v>20031</v>
      </c>
      <c r="J27" s="36">
        <v>0.16</v>
      </c>
      <c r="K27" s="9">
        <f>'Macao Daily'!J30</f>
        <v>0</v>
      </c>
      <c r="L27" s="36">
        <v>7.7611999999999997</v>
      </c>
      <c r="M27" s="9">
        <f>'Macao Daily'!K30</f>
        <v>102</v>
      </c>
      <c r="N27" s="9">
        <f>'Macao Daily'!L30</f>
        <v>194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2021</v>
      </c>
      <c r="E28" s="9">
        <f>'Macao Daily'!D31</f>
        <v>32628</v>
      </c>
      <c r="F28" s="36">
        <v>1.1422000000000001</v>
      </c>
      <c r="G28" s="9">
        <f>'Macao Daily'!F31</f>
        <v>170.77419354836456</v>
      </c>
      <c r="H28" s="36">
        <v>7.08</v>
      </c>
      <c r="I28" s="9">
        <f>'Macao Daily'!H31</f>
        <v>20430</v>
      </c>
      <c r="J28" s="36">
        <v>0.16</v>
      </c>
      <c r="K28" s="9">
        <f>'Macao Daily'!J31</f>
        <v>0</v>
      </c>
      <c r="L28" s="36">
        <v>7.7611999999999997</v>
      </c>
      <c r="M28" s="9">
        <f>'Macao Daily'!K31</f>
        <v>91</v>
      </c>
      <c r="N28" s="9">
        <f>'Macao Daily'!L31</f>
        <v>203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2021</v>
      </c>
      <c r="E29" s="9">
        <f>'Macao Daily'!D32</f>
        <v>33704</v>
      </c>
      <c r="F29" s="36">
        <v>1.1422000000000001</v>
      </c>
      <c r="G29" s="9">
        <f>'Macao Daily'!F32</f>
        <v>189.77419354836456</v>
      </c>
      <c r="H29" s="36">
        <v>7.08</v>
      </c>
      <c r="I29" s="9">
        <f>'Macao Daily'!H32</f>
        <v>19633</v>
      </c>
      <c r="J29" s="36">
        <v>0.16</v>
      </c>
      <c r="K29" s="9">
        <f>'Macao Daily'!J32</f>
        <v>0</v>
      </c>
      <c r="L29" s="36">
        <v>7.7611999999999997</v>
      </c>
      <c r="M29" s="9">
        <f>'Macao Daily'!K32</f>
        <v>92</v>
      </c>
      <c r="N29" s="9">
        <f>'Macao Daily'!L32</f>
        <v>203</v>
      </c>
    </row>
    <row r="30" spans="1:14" ht="15" x14ac:dyDescent="0.25">
      <c r="A30" s="6" t="s">
        <v>13</v>
      </c>
      <c r="B30" s="7">
        <f t="shared" si="0"/>
        <v>29</v>
      </c>
      <c r="C30" s="8">
        <v>1</v>
      </c>
      <c r="D30" s="7">
        <v>2021</v>
      </c>
      <c r="E30" s="9">
        <f>'Macao Daily'!D33</f>
        <v>33926</v>
      </c>
      <c r="F30" s="36">
        <v>1.1422000000000001</v>
      </c>
      <c r="G30" s="9">
        <f>'Macao Daily'!F33</f>
        <v>191.77419354836456</v>
      </c>
      <c r="H30" s="36">
        <v>7.08</v>
      </c>
      <c r="I30" s="9">
        <f>'Macao Daily'!H33</f>
        <v>15515</v>
      </c>
      <c r="J30" s="36">
        <v>0.16</v>
      </c>
      <c r="K30" s="9">
        <f>'Macao Daily'!J33</f>
        <v>0</v>
      </c>
      <c r="L30" s="36">
        <v>7.7611999999999997</v>
      </c>
      <c r="M30" s="9">
        <f>'Macao Daily'!K33</f>
        <v>107</v>
      </c>
      <c r="N30" s="9">
        <f>'Macao Daily'!L33</f>
        <v>250</v>
      </c>
    </row>
    <row r="31" spans="1:14" ht="15" x14ac:dyDescent="0.25">
      <c r="A31" s="6" t="s">
        <v>13</v>
      </c>
      <c r="B31" s="7">
        <f t="shared" si="0"/>
        <v>30</v>
      </c>
      <c r="C31" s="8">
        <v>1</v>
      </c>
      <c r="D31" s="7">
        <v>2021</v>
      </c>
      <c r="E31" s="9">
        <f>'Macao Daily'!D34</f>
        <v>33340</v>
      </c>
      <c r="F31" s="36">
        <v>1.1422000000000001</v>
      </c>
      <c r="G31" s="9">
        <f>'Macao Daily'!F34</f>
        <v>188.77419354836456</v>
      </c>
      <c r="H31" s="36">
        <v>7.08</v>
      </c>
      <c r="I31" s="9">
        <f>'Macao Daily'!H34</f>
        <v>14579</v>
      </c>
      <c r="J31" s="36">
        <v>0.16</v>
      </c>
      <c r="K31" s="9">
        <f>'Macao Daily'!J34</f>
        <v>0</v>
      </c>
      <c r="L31" s="36">
        <v>7.7611999999999997</v>
      </c>
      <c r="M31" s="9">
        <f>'Macao Daily'!K34</f>
        <v>127</v>
      </c>
      <c r="N31" s="9">
        <f>'Macao Daily'!L34</f>
        <v>458</v>
      </c>
    </row>
    <row r="32" spans="1:14" ht="15" x14ac:dyDescent="0.25">
      <c r="A32" s="6" t="s">
        <v>13</v>
      </c>
      <c r="B32" s="7">
        <f t="shared" si="0"/>
        <v>31</v>
      </c>
      <c r="C32" s="8">
        <v>1</v>
      </c>
      <c r="D32" s="7">
        <v>2021</v>
      </c>
      <c r="E32" s="9">
        <f>'Macao Daily'!D35</f>
        <v>34446</v>
      </c>
      <c r="F32" s="36">
        <v>1.1422000000000001</v>
      </c>
      <c r="G32" s="9">
        <f>'Macao Daily'!F35</f>
        <v>190.77419354836456</v>
      </c>
      <c r="H32" s="36">
        <v>7.08</v>
      </c>
      <c r="I32" s="9">
        <f>'Macao Daily'!H35</f>
        <v>15687</v>
      </c>
      <c r="J32" s="36">
        <v>0.16</v>
      </c>
      <c r="K32" s="9">
        <f>'Macao Daily'!J35</f>
        <v>0</v>
      </c>
      <c r="L32" s="36">
        <v>7.7611999999999997</v>
      </c>
      <c r="M32" s="9">
        <f>'Macao Daily'!K35</f>
        <v>96</v>
      </c>
      <c r="N32" s="9">
        <f>'Macao Daily'!L35</f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5"/>
  <sheetViews>
    <sheetView topLeftCell="A25" zoomScale="85" zoomScaleNormal="85" workbookViewId="0">
      <pane xSplit="1" topLeftCell="B1" activePane="topRight" state="frozen"/>
      <selection pane="topRight" activeCell="H7" sqref="H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31" bestFit="1" customWidth="1"/>
    <col min="4" max="4" width="13.5703125" style="32" customWidth="1"/>
    <col min="5" max="5" width="14.85546875" style="13" customWidth="1"/>
    <col min="6" max="8" width="14.85546875" style="31" customWidth="1"/>
    <col min="9" max="9" width="8.85546875" style="13" customWidth="1"/>
    <col min="10" max="10" width="12.5703125" style="13" customWidth="1"/>
    <col min="11" max="12" width="13" style="33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44196</v>
      </c>
      <c r="B4" s="38"/>
      <c r="C4" s="23">
        <v>146264912</v>
      </c>
      <c r="D4" s="24"/>
      <c r="E4" s="23">
        <v>518857.9999999993</v>
      </c>
      <c r="F4" s="25"/>
      <c r="G4" s="23">
        <v>94196183</v>
      </c>
      <c r="H4" s="25"/>
      <c r="I4" s="23">
        <v>0</v>
      </c>
      <c r="K4" s="27"/>
      <c r="L4" s="27"/>
    </row>
    <row r="5" spans="1:12" ht="33" customHeight="1" x14ac:dyDescent="0.25">
      <c r="A5" s="28">
        <v>44197</v>
      </c>
      <c r="B5" s="38"/>
      <c r="C5" s="29">
        <v>146301166</v>
      </c>
      <c r="D5" s="30">
        <f t="shared" ref="D5:D19" si="0">IF((C5-C4&lt;0), "0",C5-C4)</f>
        <v>36254</v>
      </c>
      <c r="E5" s="29">
        <v>519066.77419354767</v>
      </c>
      <c r="F5" s="30">
        <f>IF((E5-E4&lt;0), "0",E5-E4)</f>
        <v>208.77419354836456</v>
      </c>
      <c r="G5" s="29">
        <v>94207066</v>
      </c>
      <c r="H5" s="30">
        <f>IF((G5-G4&lt;0), "0",G5-G4)</f>
        <v>10883</v>
      </c>
      <c r="I5" s="29">
        <v>0</v>
      </c>
      <c r="J5" s="30">
        <f>IF((I5-I4&lt;0), "0",I5-I4)</f>
        <v>0</v>
      </c>
      <c r="K5" s="37">
        <v>337</v>
      </c>
      <c r="L5" s="37">
        <v>992</v>
      </c>
    </row>
    <row r="6" spans="1:12" ht="45" customHeight="1" x14ac:dyDescent="0.25">
      <c r="A6" s="28">
        <v>44198</v>
      </c>
      <c r="B6" s="38"/>
      <c r="C6" s="29">
        <v>146338739</v>
      </c>
      <c r="D6" s="30">
        <f t="shared" si="0"/>
        <v>37573</v>
      </c>
      <c r="E6" s="29">
        <v>519265.54838709603</v>
      </c>
      <c r="F6" s="30">
        <f t="shared" ref="F6:F19" si="1">IF((E6-E5&lt;0), "0",E6-E5)</f>
        <v>198.77419354836456</v>
      </c>
      <c r="G6" s="29">
        <v>94219605</v>
      </c>
      <c r="H6" s="30">
        <f t="shared" ref="H6:H35" si="2">IF((G6-G5&lt;0), "0",G6-G5)</f>
        <v>12539</v>
      </c>
      <c r="I6" s="29">
        <v>0</v>
      </c>
      <c r="J6" s="30">
        <f t="shared" ref="J6:J35" si="3">IF((I6-I5&lt;0), "0",I6-I5)</f>
        <v>0</v>
      </c>
      <c r="K6" s="37">
        <v>327</v>
      </c>
      <c r="L6" s="37">
        <v>1081</v>
      </c>
    </row>
    <row r="7" spans="1:12" ht="45" customHeight="1" x14ac:dyDescent="0.25">
      <c r="A7" s="28">
        <v>44199</v>
      </c>
      <c r="B7" s="38"/>
      <c r="C7" s="29">
        <v>146373445</v>
      </c>
      <c r="D7" s="30">
        <f t="shared" si="0"/>
        <v>34706</v>
      </c>
      <c r="E7" s="29">
        <v>519453.3225806444</v>
      </c>
      <c r="F7" s="30">
        <f t="shared" si="1"/>
        <v>187.77419354836456</v>
      </c>
      <c r="G7" s="29">
        <v>94233402</v>
      </c>
      <c r="H7" s="30">
        <f t="shared" si="2"/>
        <v>13797</v>
      </c>
      <c r="I7" s="29">
        <v>0</v>
      </c>
      <c r="J7" s="30">
        <f t="shared" si="3"/>
        <v>0</v>
      </c>
      <c r="K7" s="37">
        <v>162</v>
      </c>
      <c r="L7" s="37">
        <v>770</v>
      </c>
    </row>
    <row r="8" spans="1:12" ht="45" customHeight="1" x14ac:dyDescent="0.25">
      <c r="A8" s="28">
        <v>44200</v>
      </c>
      <c r="B8" s="38"/>
      <c r="C8" s="29">
        <v>146408928</v>
      </c>
      <c r="D8" s="30">
        <f t="shared" si="0"/>
        <v>35483</v>
      </c>
      <c r="E8" s="29">
        <v>519632.09677419276</v>
      </c>
      <c r="F8" s="30">
        <f t="shared" si="1"/>
        <v>178.77419354836456</v>
      </c>
      <c r="G8" s="29">
        <v>94249785</v>
      </c>
      <c r="H8" s="30">
        <f t="shared" si="2"/>
        <v>16383</v>
      </c>
      <c r="I8" s="29">
        <v>0</v>
      </c>
      <c r="J8" s="30">
        <f t="shared" si="3"/>
        <v>0</v>
      </c>
      <c r="K8" s="37">
        <v>108</v>
      </c>
      <c r="L8" s="37">
        <v>274</v>
      </c>
    </row>
    <row r="9" spans="1:12" ht="45" customHeight="1" x14ac:dyDescent="0.25">
      <c r="A9" s="28">
        <v>44201</v>
      </c>
      <c r="B9" s="38"/>
      <c r="C9" s="29">
        <v>146442911</v>
      </c>
      <c r="D9" s="30">
        <f t="shared" si="0"/>
        <v>33983</v>
      </c>
      <c r="E9" s="29">
        <v>519791.87096774112</v>
      </c>
      <c r="F9" s="30">
        <f t="shared" si="1"/>
        <v>159.77419354836456</v>
      </c>
      <c r="G9" s="29">
        <v>94267042</v>
      </c>
      <c r="H9" s="30">
        <f t="shared" si="2"/>
        <v>17257</v>
      </c>
      <c r="I9" s="29">
        <v>0</v>
      </c>
      <c r="J9" s="30">
        <f t="shared" si="3"/>
        <v>0</v>
      </c>
      <c r="K9" s="37">
        <v>104</v>
      </c>
      <c r="L9" s="37">
        <v>288</v>
      </c>
    </row>
    <row r="10" spans="1:12" ht="45" customHeight="1" x14ac:dyDescent="0.25">
      <c r="A10" s="28">
        <v>44202</v>
      </c>
      <c r="B10" s="38"/>
      <c r="C10" s="29">
        <v>146475568</v>
      </c>
      <c r="D10" s="30">
        <f t="shared" si="0"/>
        <v>32657</v>
      </c>
      <c r="E10" s="29">
        <v>519952.64516128949</v>
      </c>
      <c r="F10" s="30">
        <f t="shared" si="1"/>
        <v>160.77419354836456</v>
      </c>
      <c r="G10" s="29">
        <v>94282863</v>
      </c>
      <c r="H10" s="30">
        <f t="shared" si="2"/>
        <v>15821</v>
      </c>
      <c r="I10" s="29">
        <v>0</v>
      </c>
      <c r="J10" s="30">
        <f t="shared" si="3"/>
        <v>0</v>
      </c>
      <c r="K10" s="37">
        <v>94</v>
      </c>
      <c r="L10" s="37">
        <v>255</v>
      </c>
    </row>
    <row r="11" spans="1:12" ht="45" customHeight="1" x14ac:dyDescent="0.25">
      <c r="A11" s="28">
        <v>44203</v>
      </c>
      <c r="B11" s="38"/>
      <c r="C11" s="29">
        <v>146509639</v>
      </c>
      <c r="D11" s="30">
        <f t="shared" si="0"/>
        <v>34071</v>
      </c>
      <c r="E11" s="29">
        <v>520134.41935483785</v>
      </c>
      <c r="F11" s="30">
        <f t="shared" si="1"/>
        <v>181.77419354836456</v>
      </c>
      <c r="G11" s="29">
        <v>94297746</v>
      </c>
      <c r="H11" s="30">
        <f t="shared" si="2"/>
        <v>14883</v>
      </c>
      <c r="I11" s="29">
        <v>0</v>
      </c>
      <c r="J11" s="30">
        <f t="shared" si="3"/>
        <v>0</v>
      </c>
      <c r="K11" s="37">
        <v>95</v>
      </c>
      <c r="L11" s="37">
        <v>299</v>
      </c>
    </row>
    <row r="12" spans="1:12" ht="45" customHeight="1" x14ac:dyDescent="0.25">
      <c r="A12" s="28">
        <v>44204</v>
      </c>
      <c r="B12" s="38"/>
      <c r="C12" s="29">
        <v>146543783</v>
      </c>
      <c r="D12" s="30">
        <f t="shared" si="0"/>
        <v>34144</v>
      </c>
      <c r="E12" s="29">
        <v>520316.19354838622</v>
      </c>
      <c r="F12" s="30">
        <f t="shared" si="1"/>
        <v>181.77419354836456</v>
      </c>
      <c r="G12" s="29">
        <v>94306769</v>
      </c>
      <c r="H12" s="30">
        <f t="shared" si="2"/>
        <v>9023</v>
      </c>
      <c r="I12" s="29">
        <v>0</v>
      </c>
      <c r="J12" s="30">
        <f t="shared" si="3"/>
        <v>0</v>
      </c>
      <c r="K12" s="37">
        <v>113</v>
      </c>
      <c r="L12" s="37">
        <v>382</v>
      </c>
    </row>
    <row r="13" spans="1:12" ht="45" customHeight="1" x14ac:dyDescent="0.25">
      <c r="A13" s="28">
        <v>44205</v>
      </c>
      <c r="B13" s="38"/>
      <c r="C13" s="29">
        <v>146579117</v>
      </c>
      <c r="D13" s="30">
        <f t="shared" si="0"/>
        <v>35334</v>
      </c>
      <c r="E13" s="29">
        <v>520492.96774193458</v>
      </c>
      <c r="F13" s="30">
        <f t="shared" si="1"/>
        <v>176.77419354836456</v>
      </c>
      <c r="G13" s="29">
        <v>94313722</v>
      </c>
      <c r="H13" s="30">
        <f t="shared" si="2"/>
        <v>6953</v>
      </c>
      <c r="I13" s="29">
        <v>0</v>
      </c>
      <c r="J13" s="30">
        <f t="shared" si="3"/>
        <v>0</v>
      </c>
      <c r="K13" s="37">
        <v>169</v>
      </c>
      <c r="L13" s="37">
        <v>508</v>
      </c>
    </row>
    <row r="14" spans="1:12" ht="45" customHeight="1" x14ac:dyDescent="0.25">
      <c r="A14" s="28">
        <v>44206</v>
      </c>
      <c r="B14" s="38"/>
      <c r="C14" s="29">
        <v>146613999</v>
      </c>
      <c r="D14" s="30">
        <f t="shared" si="0"/>
        <v>34882</v>
      </c>
      <c r="E14" s="29">
        <v>520669.74193548295</v>
      </c>
      <c r="F14" s="30">
        <f t="shared" si="1"/>
        <v>176.77419354836456</v>
      </c>
      <c r="G14" s="29">
        <v>94322855</v>
      </c>
      <c r="H14" s="30">
        <f t="shared" si="2"/>
        <v>9133</v>
      </c>
      <c r="I14" s="29">
        <v>0</v>
      </c>
      <c r="J14" s="30">
        <f t="shared" si="3"/>
        <v>0</v>
      </c>
      <c r="K14" s="37">
        <v>113</v>
      </c>
      <c r="L14" s="37">
        <v>263</v>
      </c>
    </row>
    <row r="15" spans="1:12" ht="45" customHeight="1" x14ac:dyDescent="0.25">
      <c r="A15" s="28">
        <v>44207</v>
      </c>
      <c r="B15" s="38"/>
      <c r="C15" s="29">
        <v>146646623</v>
      </c>
      <c r="D15" s="30">
        <f t="shared" si="0"/>
        <v>32624</v>
      </c>
      <c r="E15" s="29">
        <v>520851.51612903131</v>
      </c>
      <c r="F15" s="30">
        <f t="shared" si="1"/>
        <v>181.77419354836456</v>
      </c>
      <c r="G15" s="29">
        <v>94332277</v>
      </c>
      <c r="H15" s="30">
        <f t="shared" si="2"/>
        <v>9422</v>
      </c>
      <c r="I15" s="29">
        <v>0</v>
      </c>
      <c r="J15" s="30">
        <f t="shared" si="3"/>
        <v>0</v>
      </c>
      <c r="K15" s="37">
        <v>88</v>
      </c>
      <c r="L15" s="37">
        <v>127</v>
      </c>
    </row>
    <row r="16" spans="1:12" ht="45" customHeight="1" x14ac:dyDescent="0.25">
      <c r="A16" s="28">
        <v>44208</v>
      </c>
      <c r="B16" s="38"/>
      <c r="C16" s="29">
        <v>146678944</v>
      </c>
      <c r="D16" s="30">
        <f t="shared" si="0"/>
        <v>32321</v>
      </c>
      <c r="E16" s="29">
        <v>521008.29032257968</v>
      </c>
      <c r="F16" s="30">
        <f t="shared" si="1"/>
        <v>156.77419354836456</v>
      </c>
      <c r="G16" s="29">
        <v>94340972</v>
      </c>
      <c r="H16" s="30">
        <f t="shared" si="2"/>
        <v>8695</v>
      </c>
      <c r="I16" s="29">
        <v>0</v>
      </c>
      <c r="J16" s="30">
        <f t="shared" si="3"/>
        <v>0</v>
      </c>
      <c r="K16" s="37">
        <v>95</v>
      </c>
      <c r="L16" s="37">
        <v>295</v>
      </c>
    </row>
    <row r="17" spans="1:12" ht="45" customHeight="1" x14ac:dyDescent="0.25">
      <c r="A17" s="28">
        <v>44209</v>
      </c>
      <c r="B17" s="38"/>
      <c r="C17" s="29">
        <v>146714288</v>
      </c>
      <c r="D17" s="30">
        <f t="shared" si="0"/>
        <v>35344</v>
      </c>
      <c r="E17" s="29">
        <v>521185.06451612804</v>
      </c>
      <c r="F17" s="30">
        <f t="shared" si="1"/>
        <v>176.77419354836456</v>
      </c>
      <c r="G17" s="29">
        <v>94351644</v>
      </c>
      <c r="H17" s="30">
        <f t="shared" si="2"/>
        <v>10672</v>
      </c>
      <c r="I17" s="29">
        <v>0</v>
      </c>
      <c r="J17" s="30">
        <f t="shared" si="3"/>
        <v>0</v>
      </c>
      <c r="K17" s="37">
        <v>95</v>
      </c>
      <c r="L17" s="37">
        <v>584</v>
      </c>
    </row>
    <row r="18" spans="1:12" ht="45" customHeight="1" x14ac:dyDescent="0.25">
      <c r="A18" s="28">
        <v>44210</v>
      </c>
      <c r="B18" s="38"/>
      <c r="C18" s="29">
        <v>146749625</v>
      </c>
      <c r="D18" s="30">
        <f t="shared" si="0"/>
        <v>35337</v>
      </c>
      <c r="E18" s="29">
        <v>521373.83870967641</v>
      </c>
      <c r="F18" s="30">
        <f t="shared" si="1"/>
        <v>188.77419354836456</v>
      </c>
      <c r="G18" s="29">
        <v>94362839</v>
      </c>
      <c r="H18" s="30">
        <f t="shared" si="2"/>
        <v>11195</v>
      </c>
      <c r="I18" s="29">
        <v>0</v>
      </c>
      <c r="J18" s="30">
        <f t="shared" si="3"/>
        <v>0</v>
      </c>
      <c r="K18" s="37">
        <v>92</v>
      </c>
      <c r="L18" s="37">
        <v>326</v>
      </c>
    </row>
    <row r="19" spans="1:12" ht="45" customHeight="1" x14ac:dyDescent="0.25">
      <c r="A19" s="28">
        <v>44211</v>
      </c>
      <c r="B19" s="38"/>
      <c r="C19" s="29">
        <v>146786481</v>
      </c>
      <c r="D19" s="30">
        <f t="shared" si="0"/>
        <v>36856</v>
      </c>
      <c r="E19" s="29">
        <v>521566.61290322477</v>
      </c>
      <c r="F19" s="30">
        <f t="shared" si="1"/>
        <v>192.77419354836456</v>
      </c>
      <c r="G19" s="29">
        <v>94378574</v>
      </c>
      <c r="H19" s="30">
        <f t="shared" si="2"/>
        <v>15735</v>
      </c>
      <c r="I19" s="29">
        <v>0</v>
      </c>
      <c r="J19" s="30">
        <f t="shared" si="3"/>
        <v>0</v>
      </c>
      <c r="K19" s="37">
        <v>134</v>
      </c>
      <c r="L19" s="37">
        <v>567</v>
      </c>
    </row>
    <row r="20" spans="1:12" ht="45" customHeight="1" x14ac:dyDescent="0.25">
      <c r="A20" s="28">
        <v>44212</v>
      </c>
      <c r="B20" s="38"/>
      <c r="C20" s="29">
        <v>146819388</v>
      </c>
      <c r="D20" s="30">
        <f t="shared" ref="D20:D35" si="4">IF((C20-C19&lt;0), "0",C20-C19)</f>
        <v>32907</v>
      </c>
      <c r="E20" s="29">
        <v>521756.38709677313</v>
      </c>
      <c r="F20" s="30">
        <f t="shared" ref="F20:F35" si="5">IF((E20-E19&lt;0), "0",E20-E19)</f>
        <v>189.77419354836456</v>
      </c>
      <c r="G20" s="29">
        <v>94392519</v>
      </c>
      <c r="H20" s="30">
        <f t="shared" si="2"/>
        <v>13945</v>
      </c>
      <c r="I20" s="29">
        <v>0</v>
      </c>
      <c r="J20" s="30">
        <f t="shared" si="3"/>
        <v>0</v>
      </c>
      <c r="K20" s="37">
        <v>179</v>
      </c>
      <c r="L20" s="37">
        <v>726</v>
      </c>
    </row>
    <row r="21" spans="1:12" ht="45" customHeight="1" x14ac:dyDescent="0.25">
      <c r="A21" s="28">
        <v>44213</v>
      </c>
      <c r="B21" s="38"/>
      <c r="C21" s="29">
        <v>146854862</v>
      </c>
      <c r="D21" s="30">
        <f t="shared" si="4"/>
        <v>35474</v>
      </c>
      <c r="E21" s="29">
        <v>521939.1612903215</v>
      </c>
      <c r="F21" s="30">
        <f t="shared" si="5"/>
        <v>182.77419354836456</v>
      </c>
      <c r="G21" s="29">
        <v>94406652</v>
      </c>
      <c r="H21" s="30">
        <f t="shared" si="2"/>
        <v>14133</v>
      </c>
      <c r="I21" s="29">
        <v>0</v>
      </c>
      <c r="J21" s="30">
        <f t="shared" si="3"/>
        <v>0</v>
      </c>
      <c r="K21" s="37">
        <v>124</v>
      </c>
      <c r="L21" s="37">
        <v>758</v>
      </c>
    </row>
    <row r="22" spans="1:12" ht="45" customHeight="1" x14ac:dyDescent="0.25">
      <c r="A22" s="28">
        <v>44214</v>
      </c>
      <c r="B22" s="38"/>
      <c r="C22" s="29">
        <v>146888092</v>
      </c>
      <c r="D22" s="30">
        <f t="shared" si="4"/>
        <v>33230</v>
      </c>
      <c r="E22" s="29">
        <v>522114.93548386986</v>
      </c>
      <c r="F22" s="30">
        <f t="shared" si="5"/>
        <v>175.77419354836456</v>
      </c>
      <c r="G22" s="29">
        <v>94418199</v>
      </c>
      <c r="H22" s="30">
        <f t="shared" si="2"/>
        <v>11547</v>
      </c>
      <c r="I22" s="29">
        <v>0</v>
      </c>
      <c r="J22" s="30">
        <f t="shared" si="3"/>
        <v>0</v>
      </c>
      <c r="K22" s="37">
        <v>102</v>
      </c>
      <c r="L22" s="37">
        <v>293</v>
      </c>
    </row>
    <row r="23" spans="1:12" ht="45" customHeight="1" x14ac:dyDescent="0.25">
      <c r="A23" s="28">
        <v>44215</v>
      </c>
      <c r="B23" s="38"/>
      <c r="C23" s="29">
        <v>146919912</v>
      </c>
      <c r="D23" s="30">
        <f t="shared" si="4"/>
        <v>31820</v>
      </c>
      <c r="E23" s="29">
        <v>522276.70967741823</v>
      </c>
      <c r="F23" s="30">
        <f t="shared" si="5"/>
        <v>161.77419354836456</v>
      </c>
      <c r="G23" s="29">
        <v>94430089</v>
      </c>
      <c r="H23" s="30">
        <f t="shared" si="2"/>
        <v>11890</v>
      </c>
      <c r="I23" s="29">
        <v>0</v>
      </c>
      <c r="J23" s="30">
        <f t="shared" si="3"/>
        <v>0</v>
      </c>
      <c r="K23" s="37">
        <v>94</v>
      </c>
      <c r="L23" s="37">
        <v>324</v>
      </c>
    </row>
    <row r="24" spans="1:12" ht="45" customHeight="1" x14ac:dyDescent="0.25">
      <c r="A24" s="28">
        <v>44216</v>
      </c>
      <c r="B24" s="38"/>
      <c r="C24" s="29">
        <v>146953966</v>
      </c>
      <c r="D24" s="30">
        <f t="shared" si="4"/>
        <v>34054</v>
      </c>
      <c r="E24" s="29">
        <v>522449.48387096659</v>
      </c>
      <c r="F24" s="30">
        <f t="shared" si="5"/>
        <v>172.77419354836456</v>
      </c>
      <c r="G24" s="29">
        <v>94445238</v>
      </c>
      <c r="H24" s="30">
        <f t="shared" si="2"/>
        <v>15149</v>
      </c>
      <c r="I24" s="29">
        <v>0</v>
      </c>
      <c r="J24" s="30">
        <f t="shared" si="3"/>
        <v>0</v>
      </c>
      <c r="K24" s="37">
        <v>97</v>
      </c>
      <c r="L24" s="37">
        <v>139</v>
      </c>
    </row>
    <row r="25" spans="1:12" ht="45" customHeight="1" x14ac:dyDescent="0.25">
      <c r="A25" s="28">
        <v>44217</v>
      </c>
      <c r="B25" s="38"/>
      <c r="C25" s="29">
        <v>146988347</v>
      </c>
      <c r="D25" s="30">
        <f t="shared" si="4"/>
        <v>34381</v>
      </c>
      <c r="E25" s="29">
        <v>522633.25806451496</v>
      </c>
      <c r="F25" s="30">
        <f t="shared" si="5"/>
        <v>183.77419354836456</v>
      </c>
      <c r="G25" s="29">
        <v>94464058</v>
      </c>
      <c r="H25" s="30">
        <f t="shared" si="2"/>
        <v>18820</v>
      </c>
      <c r="I25" s="29">
        <v>0</v>
      </c>
      <c r="J25" s="30">
        <f t="shared" si="3"/>
        <v>0</v>
      </c>
      <c r="K25" s="37">
        <v>110</v>
      </c>
      <c r="L25" s="37">
        <v>350</v>
      </c>
    </row>
    <row r="26" spans="1:12" ht="45" customHeight="1" x14ac:dyDescent="0.25">
      <c r="A26" s="28">
        <v>44218</v>
      </c>
      <c r="B26" s="38"/>
      <c r="C26" s="29">
        <v>147025379</v>
      </c>
      <c r="D26" s="30">
        <f t="shared" si="4"/>
        <v>37032</v>
      </c>
      <c r="E26" s="29">
        <v>522823.03225806332</v>
      </c>
      <c r="F26" s="30">
        <f t="shared" si="5"/>
        <v>189.77419354836456</v>
      </c>
      <c r="G26" s="29">
        <v>94486628</v>
      </c>
      <c r="H26" s="30">
        <f t="shared" si="2"/>
        <v>22570</v>
      </c>
      <c r="I26" s="29">
        <v>0</v>
      </c>
      <c r="J26" s="30">
        <f t="shared" si="3"/>
        <v>0</v>
      </c>
      <c r="K26" s="37">
        <v>128</v>
      </c>
      <c r="L26" s="37">
        <v>362</v>
      </c>
    </row>
    <row r="27" spans="1:12" ht="45" customHeight="1" x14ac:dyDescent="0.25">
      <c r="A27" s="28">
        <v>44219</v>
      </c>
      <c r="B27" s="38"/>
      <c r="C27" s="29">
        <v>147060481</v>
      </c>
      <c r="D27" s="30">
        <f t="shared" si="4"/>
        <v>35102</v>
      </c>
      <c r="E27" s="29">
        <v>523038.80645161169</v>
      </c>
      <c r="F27" s="30">
        <f t="shared" si="5"/>
        <v>215.77419354836456</v>
      </c>
      <c r="G27" s="29">
        <v>94508035</v>
      </c>
      <c r="H27" s="30">
        <f t="shared" si="2"/>
        <v>21407</v>
      </c>
      <c r="I27" s="29">
        <v>0</v>
      </c>
      <c r="J27" s="30">
        <f t="shared" si="3"/>
        <v>0</v>
      </c>
      <c r="K27" s="37">
        <v>169</v>
      </c>
      <c r="L27" s="37">
        <v>842</v>
      </c>
    </row>
    <row r="28" spans="1:12" ht="45" customHeight="1" x14ac:dyDescent="0.25">
      <c r="A28" s="28">
        <v>44220</v>
      </c>
      <c r="B28" s="38"/>
      <c r="C28" s="29">
        <v>147098040</v>
      </c>
      <c r="D28" s="30">
        <f t="shared" si="4"/>
        <v>37559</v>
      </c>
      <c r="E28" s="29">
        <v>523271.58064516005</v>
      </c>
      <c r="F28" s="30">
        <f t="shared" si="5"/>
        <v>232.77419354836456</v>
      </c>
      <c r="G28" s="29">
        <v>94533652</v>
      </c>
      <c r="H28" s="30">
        <f t="shared" si="2"/>
        <v>25617</v>
      </c>
      <c r="I28" s="29">
        <v>0</v>
      </c>
      <c r="J28" s="30">
        <f t="shared" si="3"/>
        <v>0</v>
      </c>
      <c r="K28" s="37">
        <v>133</v>
      </c>
      <c r="L28" s="37">
        <v>830</v>
      </c>
    </row>
    <row r="29" spans="1:12" ht="45" customHeight="1" x14ac:dyDescent="0.25">
      <c r="A29" s="28">
        <v>44221</v>
      </c>
      <c r="B29" s="38"/>
      <c r="C29" s="29">
        <v>147131087</v>
      </c>
      <c r="D29" s="30">
        <f t="shared" si="4"/>
        <v>33047</v>
      </c>
      <c r="E29" s="29">
        <v>523460.35483870842</v>
      </c>
      <c r="F29" s="30">
        <f t="shared" si="5"/>
        <v>188.77419354836456</v>
      </c>
      <c r="G29" s="29">
        <v>94554558</v>
      </c>
      <c r="H29" s="30">
        <f t="shared" si="2"/>
        <v>20906</v>
      </c>
      <c r="I29" s="29">
        <v>0</v>
      </c>
      <c r="J29" s="30">
        <f t="shared" si="3"/>
        <v>0</v>
      </c>
      <c r="K29" s="37">
        <v>106</v>
      </c>
      <c r="L29" s="37">
        <v>207</v>
      </c>
    </row>
    <row r="30" spans="1:12" ht="45" customHeight="1" x14ac:dyDescent="0.25">
      <c r="A30" s="28">
        <v>44222</v>
      </c>
      <c r="B30" s="38"/>
      <c r="C30" s="29">
        <v>147163666</v>
      </c>
      <c r="D30" s="30">
        <f t="shared" si="4"/>
        <v>32579</v>
      </c>
      <c r="E30" s="29">
        <v>523625.12903225678</v>
      </c>
      <c r="F30" s="30">
        <f t="shared" si="5"/>
        <v>164.77419354836456</v>
      </c>
      <c r="G30" s="29">
        <v>94574589</v>
      </c>
      <c r="H30" s="30">
        <f t="shared" si="2"/>
        <v>20031</v>
      </c>
      <c r="I30" s="29">
        <v>0</v>
      </c>
      <c r="J30" s="30">
        <f t="shared" si="3"/>
        <v>0</v>
      </c>
      <c r="K30" s="37">
        <v>102</v>
      </c>
      <c r="L30" s="37">
        <v>194</v>
      </c>
    </row>
    <row r="31" spans="1:12" ht="45" customHeight="1" x14ac:dyDescent="0.25">
      <c r="A31" s="28">
        <v>44223</v>
      </c>
      <c r="B31" s="38"/>
      <c r="C31" s="29">
        <v>147196294</v>
      </c>
      <c r="D31" s="30">
        <f t="shared" si="4"/>
        <v>32628</v>
      </c>
      <c r="E31" s="29">
        <v>523795.90322580514</v>
      </c>
      <c r="F31" s="30">
        <f t="shared" si="5"/>
        <v>170.77419354836456</v>
      </c>
      <c r="G31" s="29">
        <v>94595019</v>
      </c>
      <c r="H31" s="30">
        <f t="shared" si="2"/>
        <v>20430</v>
      </c>
      <c r="I31" s="29">
        <v>0</v>
      </c>
      <c r="J31" s="30">
        <f t="shared" si="3"/>
        <v>0</v>
      </c>
      <c r="K31" s="37">
        <v>91</v>
      </c>
      <c r="L31" s="37">
        <v>203</v>
      </c>
    </row>
    <row r="32" spans="1:12" ht="45" customHeight="1" x14ac:dyDescent="0.25">
      <c r="A32" s="28">
        <v>44224</v>
      </c>
      <c r="B32" s="38"/>
      <c r="C32" s="29">
        <v>147229998</v>
      </c>
      <c r="D32" s="30">
        <f t="shared" si="4"/>
        <v>33704</v>
      </c>
      <c r="E32" s="29">
        <v>523985.67741935351</v>
      </c>
      <c r="F32" s="30">
        <f t="shared" si="5"/>
        <v>189.77419354836456</v>
      </c>
      <c r="G32" s="29">
        <v>94614652</v>
      </c>
      <c r="H32" s="30">
        <f t="shared" si="2"/>
        <v>19633</v>
      </c>
      <c r="I32" s="29">
        <v>0</v>
      </c>
      <c r="J32" s="30">
        <f t="shared" si="3"/>
        <v>0</v>
      </c>
      <c r="K32" s="37">
        <v>92</v>
      </c>
      <c r="L32" s="37">
        <v>203</v>
      </c>
    </row>
    <row r="33" spans="1:12" ht="36" customHeight="1" x14ac:dyDescent="0.25">
      <c r="A33" s="28">
        <v>44225</v>
      </c>
      <c r="C33" s="29">
        <v>147263924</v>
      </c>
      <c r="D33" s="30">
        <f t="shared" si="4"/>
        <v>33926</v>
      </c>
      <c r="E33" s="29">
        <v>524177.45161290187</v>
      </c>
      <c r="F33" s="30">
        <f t="shared" si="5"/>
        <v>191.77419354836456</v>
      </c>
      <c r="G33" s="29">
        <v>94630167</v>
      </c>
      <c r="H33" s="30">
        <f t="shared" si="2"/>
        <v>15515</v>
      </c>
      <c r="I33" s="29">
        <v>0</v>
      </c>
      <c r="J33" s="30">
        <f t="shared" si="3"/>
        <v>0</v>
      </c>
      <c r="K33" s="37">
        <v>107</v>
      </c>
      <c r="L33" s="37">
        <v>250</v>
      </c>
    </row>
    <row r="34" spans="1:12" ht="45.6" customHeight="1" x14ac:dyDescent="0.25">
      <c r="A34" s="28">
        <v>44226</v>
      </c>
      <c r="C34" s="29">
        <v>147297264</v>
      </c>
      <c r="D34" s="30">
        <f t="shared" si="4"/>
        <v>33340</v>
      </c>
      <c r="E34" s="29">
        <v>524366.22580645024</v>
      </c>
      <c r="F34" s="30">
        <f t="shared" si="5"/>
        <v>188.77419354836456</v>
      </c>
      <c r="G34" s="29">
        <v>94644746</v>
      </c>
      <c r="H34" s="30">
        <f t="shared" si="2"/>
        <v>14579</v>
      </c>
      <c r="I34" s="29">
        <v>0</v>
      </c>
      <c r="J34" s="30">
        <f t="shared" si="3"/>
        <v>0</v>
      </c>
      <c r="K34" s="37">
        <v>127</v>
      </c>
      <c r="L34" s="37">
        <v>458</v>
      </c>
    </row>
    <row r="35" spans="1:12" ht="47.45" customHeight="1" x14ac:dyDescent="0.25">
      <c r="A35" s="28">
        <v>44227</v>
      </c>
      <c r="C35" s="29">
        <v>147331710</v>
      </c>
      <c r="D35" s="30">
        <f t="shared" si="4"/>
        <v>34446</v>
      </c>
      <c r="E35" s="29">
        <v>524556.9999999986</v>
      </c>
      <c r="F35" s="30">
        <f t="shared" si="5"/>
        <v>190.77419354836456</v>
      </c>
      <c r="G35" s="29">
        <v>94660433</v>
      </c>
      <c r="H35" s="30">
        <f t="shared" si="2"/>
        <v>15687</v>
      </c>
      <c r="I35" s="29">
        <v>0</v>
      </c>
      <c r="J35" s="30">
        <f t="shared" si="3"/>
        <v>0</v>
      </c>
      <c r="K35" s="37">
        <v>96</v>
      </c>
      <c r="L35" s="37">
        <v>476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2023-02-23T03:59:27Z</dcterms:modified>
  <cp:category/>
  <cp:contentStatus/>
</cp:coreProperties>
</file>