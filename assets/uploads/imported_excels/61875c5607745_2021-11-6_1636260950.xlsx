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486" documentId="13_ncr:1_{880078EE-7F30-4E20-9AD0-14E37C25B47B}" xr6:coauthVersionLast="47" xr6:coauthVersionMax="47" xr10:uidLastSave="{B928FBF8-57E5-4AAE-8E94-B353D783D8DC}"/>
  <bookViews>
    <workbookView xWindow="-120" yWindow="-120" windowWidth="29040" windowHeight="15840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1" l="1"/>
  <c r="R33" i="1"/>
  <c r="R32" i="1"/>
  <c r="R31" i="1"/>
  <c r="R28" i="1"/>
  <c r="R29" i="1"/>
  <c r="R27" i="1"/>
  <c r="R26" i="1"/>
  <c r="N38" i="1"/>
  <c r="O38" i="1"/>
  <c r="P38" i="1"/>
  <c r="Q38" i="1"/>
  <c r="R38" i="1"/>
  <c r="M38" i="1"/>
  <c r="M40" i="1" s="1"/>
  <c r="R22" i="1"/>
  <c r="R25" i="1"/>
  <c r="R24" i="1"/>
  <c r="R23" i="1"/>
  <c r="R21" i="1"/>
  <c r="R20" i="1"/>
  <c r="R19" i="1"/>
  <c r="R18" i="1"/>
  <c r="R17" i="1"/>
  <c r="R16" i="1"/>
  <c r="R15" i="1"/>
  <c r="R10" i="1"/>
  <c r="R14" i="1"/>
  <c r="R11" i="1"/>
  <c r="R12" i="1"/>
  <c r="R13" i="1"/>
  <c r="R9" i="1"/>
  <c r="M32" i="3"/>
  <c r="L32" i="3"/>
  <c r="J32" i="3"/>
  <c r="I32" i="3"/>
  <c r="H32" i="3"/>
  <c r="B32" i="3"/>
  <c r="R8" i="1"/>
  <c r="R7" i="1"/>
  <c r="R6" i="1"/>
  <c r="R5" i="1"/>
  <c r="R4" i="1"/>
  <c r="R3" i="1"/>
  <c r="AC15" i="1"/>
  <c r="AC10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32" i="3" l="1"/>
  <c r="AB32" i="4" s="1"/>
  <c r="G31" i="3"/>
  <c r="G3" i="3"/>
  <c r="AB3" i="4" s="1"/>
  <c r="G4" i="3"/>
  <c r="AB4" i="4" s="1"/>
  <c r="G5" i="3"/>
  <c r="AB5" i="4" s="1"/>
  <c r="G6" i="3"/>
  <c r="AB6" i="4" s="1"/>
  <c r="G7" i="3"/>
  <c r="AB7" i="4" s="1"/>
  <c r="G8" i="3"/>
  <c r="AB8" i="4" s="1"/>
  <c r="G9" i="3"/>
  <c r="AB9" i="4" s="1"/>
  <c r="G10" i="3"/>
  <c r="AB10" i="4" s="1"/>
  <c r="G11" i="3"/>
  <c r="AB11" i="4" s="1"/>
  <c r="G12" i="3"/>
  <c r="AB12" i="4" s="1"/>
  <c r="G13" i="3"/>
  <c r="AB13" i="4" s="1"/>
  <c r="G14" i="3"/>
  <c r="AB14" i="4" s="1"/>
  <c r="G15" i="3"/>
  <c r="AB15" i="4" s="1"/>
  <c r="G16" i="3"/>
  <c r="AB16" i="4" s="1"/>
  <c r="G17" i="3"/>
  <c r="AB17" i="4" s="1"/>
  <c r="G18" i="3"/>
  <c r="AB18" i="4" s="1"/>
  <c r="G19" i="3"/>
  <c r="AB19" i="4" s="1"/>
  <c r="G20" i="3"/>
  <c r="AB20" i="4" s="1"/>
  <c r="G21" i="3"/>
  <c r="AB21" i="4" s="1"/>
  <c r="G22" i="3"/>
  <c r="AB22" i="4" s="1"/>
  <c r="G23" i="3"/>
  <c r="AB23" i="4" s="1"/>
  <c r="G24" i="3"/>
  <c r="AB24" i="4" s="1"/>
  <c r="G25" i="3"/>
  <c r="AB25" i="4" s="1"/>
  <c r="G26" i="3"/>
  <c r="AB26" i="4" s="1"/>
  <c r="G27" i="3"/>
  <c r="AB27" i="4" s="1"/>
  <c r="G28" i="3"/>
  <c r="AB28" i="4" s="1"/>
  <c r="G29" i="3"/>
  <c r="AB29" i="4" s="1"/>
  <c r="G30" i="3"/>
  <c r="AB30" i="4" s="1"/>
  <c r="AB31" i="4"/>
  <c r="G2" i="3"/>
  <c r="AB2" i="4" s="1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2" i="3" l="1"/>
  <c r="F32" i="3" s="1"/>
  <c r="E31" i="3"/>
  <c r="E4" i="3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F31" i="3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<sst xmlns="http://schemas.openxmlformats.org/spreadsheetml/2006/main" count="140" uniqueCount="73">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</sst>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2" fillId="0" borderId="0" xfId="0" applyFont="1" applyAlignment="1">
      <alignment horizontal="right" wrapText="1"/>
    </xf>
    <xf numFmtId="0" fontId="12" fillId="0" borderId="1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" fontId="17" fillId="0" borderId="11" xfId="0" applyNumberFormat="1" applyFont="1" applyBorder="1" applyAlignment="1">
      <alignment horizontal="right"/>
    </xf>
    <xf numFmtId="4" fontId="14" fillId="0" borderId="0" xfId="0" applyNumberFormat="1" applyFont="1" applyAlignment="1">
      <alignment horizontal="right"/>
    </xf>
    <xf numFmtId="0" fontId="16" fillId="0" borderId="0" xfId="0" applyFont="1" applyAlignment="1">
      <alignment wrapText="1"/>
    </xf>
    <xf numFmtId="0" fontId="13" fillId="9" borderId="2" xfId="0" applyFont="1" applyFill="1" applyBorder="1" applyAlignment="1">
      <alignment horizontal="center" vertical="center"/>
    </xf>
    <xf numFmtId="4" fontId="17" fillId="0" borderId="7" xfId="0" applyNumberFormat="1" applyFont="1" applyBorder="1" applyAlignment="1">
      <alignment horizontal="right"/>
    </xf>
    <xf numFmtId="4" fontId="17" fillId="0" borderId="2" xfId="0" applyNumberFormat="1" applyFont="1" applyBorder="1" applyAlignment="1">
      <alignment horizontal="right"/>
    </xf>
    <xf numFmtId="4" fontId="17" fillId="0" borderId="2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3" workbookViewId="0">
      <selection activeCell="A31" sqref="A31:A3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10</v>
      </c>
      <c r="D2" s="1">
        <v>2021</v>
      </c>
      <c r="E2" s="12">
        <f>'Submetering '!O2+'Submetering '!P2+'Submetering '!Q2+'Submetering '!R2+'Submetering '!S2</f>
        <v>31928</v>
      </c>
      <c r="F2" s="11">
        <f>('FS Seychelles'!R3*'FS Seychelles'!S3)/TOTAL!E2</f>
        <v>0.28724818341267855</v>
      </c>
      <c r="G2" s="12">
        <f>('FS Seychelles'!$AC$10+'FS Seychelles'!$AC$15)/30</f>
        <v>435.26666666666665</v>
      </c>
      <c r="H2" s="11">
        <v>1.08</v>
      </c>
      <c r="I2" s="12">
        <f>'FS Seychelles'!T3+'FS Seychelles'!V3+'FS Seychelles'!W3+'FS Seychelles'!X3</f>
        <v>342</v>
      </c>
      <c r="J2" s="11">
        <v>0</v>
      </c>
      <c r="K2" s="29">
        <f>'Submetering '!Z2</f>
        <v>73</v>
      </c>
      <c r="L2" s="11">
        <v>0</v>
      </c>
      <c r="M2" s="56">
        <f>'FS Seychelles'!B3</f>
        <v>38.96</v>
      </c>
    </row>
    <row r="3" spans="1:13" s="15" customFormat="1">
      <c r="A3" s="1" t="s">
        <v>13</v>
      </c>
      <c r="B3" s="14">
        <f>B2+1</f>
        <v>2</v>
      </c>
      <c r="C3" s="11">
        <v>10</v>
      </c>
      <c r="D3" s="1">
        <v>2021</v>
      </c>
      <c r="E3" s="12">
        <f>'Submetering '!O3+'Submetering '!P3+'Submetering '!Q3+'Submetering '!R3+'Submetering '!S3</f>
        <v>17562</v>
      </c>
      <c r="F3" s="11">
        <f>('FS Seychelles'!R4*'FS Seychelles'!S4)/TOTAL!E3</f>
        <v>0.29797802072656876</v>
      </c>
      <c r="G3" s="12">
        <f>('FS Seychelles'!$AC$10+'FS Seychelles'!$AC$15)/30</f>
        <v>435.26666666666665</v>
      </c>
      <c r="H3" s="11">
        <f>H2</f>
        <v>1.08</v>
      </c>
      <c r="I3" s="12">
        <f>'FS Seychelles'!T4+'FS Seychelles'!V4+'FS Seychelles'!W4+'FS Seychelles'!X4</f>
        <v>303</v>
      </c>
      <c r="J3" s="11">
        <f>J2</f>
        <v>0</v>
      </c>
      <c r="K3" s="29">
        <f>'Submetering '!Z3</f>
        <v>75</v>
      </c>
      <c r="L3" s="11">
        <f>L2</f>
        <v>0</v>
      </c>
      <c r="M3" s="56">
        <f>'FS Seychelles'!B4</f>
        <v>36.36</v>
      </c>
    </row>
    <row r="4" spans="1:13" s="15" customFormat="1">
      <c r="A4" s="1" t="s">
        <v>13</v>
      </c>
      <c r="B4" s="14">
        <f t="shared" ref="B4:C32" si="0">B3+1</f>
        <v>3</v>
      </c>
      <c r="C4" s="11">
        <v>10</v>
      </c>
      <c r="D4" s="1">
        <v>2021</v>
      </c>
      <c r="E4" s="12">
        <f>'Submetering '!O4+'Submetering '!P4+'Submetering '!Q4+'Submetering '!R4+'Submetering '!S4</f>
        <v>23634</v>
      </c>
      <c r="F4" s="11">
        <f>('FS Seychelles'!R5*'FS Seychelles'!S5)/TOTAL!E4</f>
        <v>0.30360793771684863</v>
      </c>
      <c r="G4" s="12">
        <f>('FS Seychelles'!$AC$10+'FS Seychelles'!$AC$15)/30</f>
        <v>435.26666666666665</v>
      </c>
      <c r="H4" s="11">
        <f t="shared" ref="H4:H32" si="1">H3</f>
        <v>1.08</v>
      </c>
      <c r="I4" s="12">
        <f>'FS Seychelles'!T5+'FS Seychelles'!V5+'FS Seychelles'!W5+'FS Seychelles'!X5</f>
        <v>304</v>
      </c>
      <c r="J4" s="11">
        <f t="shared" ref="J4:L32" si="2">J3</f>
        <v>0</v>
      </c>
      <c r="K4" s="29">
        <f>'Submetering '!Z4</f>
        <v>24</v>
      </c>
      <c r="L4" s="11">
        <f t="shared" si="2"/>
        <v>0</v>
      </c>
      <c r="M4" s="56">
        <f>'FS Seychelles'!B5</f>
        <v>43.42</v>
      </c>
    </row>
    <row r="5" spans="1:13" s="15" customFormat="1">
      <c r="A5" s="1" t="s">
        <v>13</v>
      </c>
      <c r="B5" s="14">
        <f t="shared" si="0"/>
        <v>4</v>
      </c>
      <c r="C5" s="11">
        <v>10</v>
      </c>
      <c r="D5" s="1">
        <v>2021</v>
      </c>
      <c r="E5" s="12">
        <f>'Submetering '!O5+'Submetering '!P5+'Submetering '!Q5+'Submetering '!R5+'Submetering '!S5</f>
        <v>28070</v>
      </c>
      <c r="F5" s="11">
        <f>('FS Seychelles'!R6*'FS Seychelles'!S6)/TOTAL!E5</f>
        <v>0.27772283576772355</v>
      </c>
      <c r="G5" s="12">
        <f>('FS Seychelles'!$AC$10+'FS Seychelles'!$AC$15)/30</f>
        <v>435.26666666666665</v>
      </c>
      <c r="H5" s="11">
        <f t="shared" si="1"/>
        <v>1.08</v>
      </c>
      <c r="I5" s="12">
        <f>'FS Seychelles'!T6+'FS Seychelles'!V6+'FS Seychelles'!W6+'FS Seychelles'!X6</f>
        <v>403</v>
      </c>
      <c r="J5" s="11">
        <f t="shared" si="2"/>
        <v>0</v>
      </c>
      <c r="K5" s="29">
        <f>'Submetering '!Z5</f>
        <v>78</v>
      </c>
      <c r="L5" s="11">
        <f t="shared" si="2"/>
        <v>0</v>
      </c>
      <c r="M5" s="56">
        <f>'FS Seychelles'!B6</f>
        <v>38.159999999999997</v>
      </c>
    </row>
    <row r="6" spans="1:13" s="15" customFormat="1">
      <c r="A6" s="1" t="s">
        <v>13</v>
      </c>
      <c r="B6" s="14">
        <f t="shared" si="0"/>
        <v>5</v>
      </c>
      <c r="C6" s="11">
        <v>10</v>
      </c>
      <c r="D6" s="1">
        <v>2021</v>
      </c>
      <c r="E6" s="12">
        <f>'Submetering '!O6+'Submetering '!P6+'Submetering '!Q6+'Submetering '!R6+'Submetering '!S6</f>
        <v>25719</v>
      </c>
      <c r="F6" s="11">
        <f>('FS Seychelles'!R7*'FS Seychelles'!S7)/TOTAL!E6</f>
        <v>0.26738247987868891</v>
      </c>
      <c r="G6" s="12">
        <f>('FS Seychelles'!$AC$10+'FS Seychelles'!$AC$15)/30</f>
        <v>435.26666666666665</v>
      </c>
      <c r="H6" s="11">
        <f t="shared" si="1"/>
        <v>1.08</v>
      </c>
      <c r="I6" s="12">
        <f>'FS Seychelles'!T7+'FS Seychelles'!V7+'FS Seychelles'!W7+'FS Seychelles'!X7</f>
        <v>422</v>
      </c>
      <c r="J6" s="11">
        <f t="shared" si="2"/>
        <v>0</v>
      </c>
      <c r="K6" s="29">
        <f>'Submetering '!Z6</f>
        <v>119</v>
      </c>
      <c r="L6" s="11">
        <f t="shared" si="2"/>
        <v>0</v>
      </c>
      <c r="M6" s="56">
        <f>'FS Seychelles'!B7</f>
        <v>34.21</v>
      </c>
    </row>
    <row r="7" spans="1:13" s="15" customFormat="1">
      <c r="A7" s="1" t="s">
        <v>13</v>
      </c>
      <c r="B7" s="14">
        <f t="shared" si="0"/>
        <v>6</v>
      </c>
      <c r="C7" s="11">
        <v>10</v>
      </c>
      <c r="D7" s="1">
        <v>2021</v>
      </c>
      <c r="E7" s="12">
        <f>'Submetering '!O7+'Submetering '!P7+'Submetering '!Q7+'Submetering '!R7+'Submetering '!S7</f>
        <v>26645</v>
      </c>
      <c r="F7" s="11">
        <f>('FS Seychelles'!R8*'FS Seychelles'!S8)/TOTAL!E7</f>
        <v>0.29482567085757183</v>
      </c>
      <c r="G7" s="12">
        <f>('FS Seychelles'!$AC$10+'FS Seychelles'!$AC$15)/30</f>
        <v>435.26666666666665</v>
      </c>
      <c r="H7" s="11">
        <f t="shared" si="1"/>
        <v>1.08</v>
      </c>
      <c r="I7" s="12">
        <f>'FS Seychelles'!T8+'FS Seychelles'!V8+'FS Seychelles'!W8+'FS Seychelles'!X8</f>
        <v>502</v>
      </c>
      <c r="J7" s="11">
        <f t="shared" si="2"/>
        <v>0</v>
      </c>
      <c r="K7" s="29">
        <f>'Submetering '!Z7</f>
        <v>115</v>
      </c>
      <c r="L7" s="11">
        <f t="shared" si="2"/>
        <v>0</v>
      </c>
      <c r="M7" s="56">
        <f>'FS Seychelles'!B8</f>
        <v>35.53</v>
      </c>
    </row>
    <row r="8" spans="1:13" s="15" customFormat="1">
      <c r="A8" s="1" t="s">
        <v>13</v>
      </c>
      <c r="B8" s="14">
        <f t="shared" si="0"/>
        <v>7</v>
      </c>
      <c r="C8" s="11">
        <v>10</v>
      </c>
      <c r="D8" s="1">
        <v>2021</v>
      </c>
      <c r="E8" s="12">
        <f>'Submetering '!O8+'Submetering '!P8+'Submetering '!Q8+'Submetering '!R8+'Submetering '!S8</f>
        <v>37719</v>
      </c>
      <c r="F8" s="11">
        <f>('FS Seychelles'!R9*'FS Seychelles'!S9)/TOTAL!E8</f>
        <v>0.29146424878708349</v>
      </c>
      <c r="G8" s="12">
        <f>('FS Seychelles'!$AC$10+'FS Seychelles'!$AC$15)/30</f>
        <v>435.26666666666665</v>
      </c>
      <c r="H8" s="11">
        <f t="shared" si="1"/>
        <v>1.08</v>
      </c>
      <c r="I8" s="12">
        <f>'FS Seychelles'!T9+'FS Seychelles'!V9+'FS Seychelles'!W9+'FS Seychelles'!X9</f>
        <v>443</v>
      </c>
      <c r="J8" s="11">
        <f t="shared" si="2"/>
        <v>0</v>
      </c>
      <c r="K8" s="29">
        <f>'Submetering '!Z8</f>
        <v>114</v>
      </c>
      <c r="L8" s="11">
        <f t="shared" si="2"/>
        <v>0</v>
      </c>
      <c r="M8" s="56">
        <f>'FS Seychelles'!B9</f>
        <v>40.79</v>
      </c>
    </row>
    <row r="9" spans="1:13" s="15" customFormat="1">
      <c r="A9" s="1" t="s">
        <v>13</v>
      </c>
      <c r="B9" s="14">
        <f t="shared" si="0"/>
        <v>8</v>
      </c>
      <c r="C9" s="11">
        <v>10</v>
      </c>
      <c r="D9" s="1">
        <v>2021</v>
      </c>
      <c r="E9" s="12">
        <f>'Submetering '!O9+'Submetering '!P9+'Submetering '!Q9+'Submetering '!R9+'Submetering '!S9</f>
        <v>17800</v>
      </c>
      <c r="F9" s="11">
        <f>('FS Seychelles'!R10*'FS Seychelles'!S10)/TOTAL!E9</f>
        <v>0.33998202247191012</v>
      </c>
      <c r="G9" s="12">
        <f>('FS Seychelles'!$AC$10+'FS Seychelles'!$AC$15)/30</f>
        <v>435.26666666666665</v>
      </c>
      <c r="H9" s="11">
        <f t="shared" si="1"/>
        <v>1.08</v>
      </c>
      <c r="I9" s="12">
        <f>'FS Seychelles'!T10+'FS Seychelles'!V10+'FS Seychelles'!W10+'FS Seychelles'!X10</f>
        <v>474</v>
      </c>
      <c r="J9" s="11">
        <f t="shared" si="2"/>
        <v>0</v>
      </c>
      <c r="K9" s="29">
        <f>'Submetering '!Z9</f>
        <v>107</v>
      </c>
      <c r="L9" s="11">
        <f t="shared" si="2"/>
        <v>0</v>
      </c>
      <c r="M9" s="56">
        <f>'FS Seychelles'!B10</f>
        <v>47.38</v>
      </c>
    </row>
    <row r="10" spans="1:13" s="15" customFormat="1">
      <c r="A10" s="1" t="s">
        <v>13</v>
      </c>
      <c r="B10" s="14">
        <f t="shared" si="0"/>
        <v>9</v>
      </c>
      <c r="C10" s="11">
        <v>10</v>
      </c>
      <c r="D10" s="1">
        <v>2021</v>
      </c>
      <c r="E10" s="12">
        <f>'Submetering '!O10+'Submetering '!P10+'Submetering '!Q10+'Submetering '!R10+'Submetering '!S10</f>
        <v>27945</v>
      </c>
      <c r="F10" s="11">
        <f>('FS Seychelles'!R11*'FS Seychelles'!S11)/TOTAL!E10</f>
        <v>0.30287529074968689</v>
      </c>
      <c r="G10" s="12">
        <f>('FS Seychelles'!$AC$10+'FS Seychelles'!$AC$15)/30</f>
        <v>435.26666666666665</v>
      </c>
      <c r="H10" s="11">
        <f t="shared" si="1"/>
        <v>1.08</v>
      </c>
      <c r="I10" s="12">
        <f>'FS Seychelles'!T11+'FS Seychelles'!V11+'FS Seychelles'!W11+'FS Seychelles'!X11</f>
        <v>447</v>
      </c>
      <c r="J10" s="11">
        <f t="shared" si="2"/>
        <v>0</v>
      </c>
      <c r="K10" s="29">
        <f>'Submetering '!Z10</f>
        <v>109</v>
      </c>
      <c r="L10" s="11">
        <f t="shared" si="2"/>
        <v>0</v>
      </c>
      <c r="M10" s="56">
        <f>'FS Seychelles'!B11</f>
        <v>49.33</v>
      </c>
    </row>
    <row r="11" spans="1:13" s="15" customFormat="1">
      <c r="A11" s="1" t="s">
        <v>13</v>
      </c>
      <c r="B11" s="14">
        <f t="shared" si="0"/>
        <v>10</v>
      </c>
      <c r="C11" s="11">
        <v>10</v>
      </c>
      <c r="D11" s="1">
        <v>2021</v>
      </c>
      <c r="E11" s="12">
        <f>'Submetering '!O11+'Submetering '!P11+'Submetering '!Q11+'Submetering '!R11+'Submetering '!S11</f>
        <v>26078</v>
      </c>
      <c r="F11" s="11">
        <f>('FS Seychelles'!R12*'FS Seychelles'!S12)/TOTAL!E11</f>
        <v>0.26687821151928831</v>
      </c>
      <c r="G11" s="12">
        <f>('FS Seychelles'!$AC$10+'FS Seychelles'!$AC$15)/30</f>
        <v>435.26666666666665</v>
      </c>
      <c r="H11" s="11">
        <f t="shared" si="1"/>
        <v>1.08</v>
      </c>
      <c r="I11" s="12">
        <f>'FS Seychelles'!T12+'FS Seychelles'!V12+'FS Seychelles'!W12+'FS Seychelles'!X12</f>
        <v>432</v>
      </c>
      <c r="J11" s="11">
        <f t="shared" si="2"/>
        <v>0</v>
      </c>
      <c r="K11" s="29">
        <f>'Submetering '!Z11</f>
        <v>113</v>
      </c>
      <c r="L11" s="11">
        <f t="shared" si="2"/>
        <v>0</v>
      </c>
      <c r="M11" s="56">
        <f>'FS Seychelles'!B12</f>
        <v>47.37</v>
      </c>
    </row>
    <row r="12" spans="1:13" s="15" customFormat="1">
      <c r="A12" s="1" t="s">
        <v>13</v>
      </c>
      <c r="B12" s="14">
        <f t="shared" si="0"/>
        <v>11</v>
      </c>
      <c r="C12" s="11">
        <v>10</v>
      </c>
      <c r="D12" s="1">
        <v>2021</v>
      </c>
      <c r="E12" s="12">
        <f>'Submetering '!O12+'Submetering '!P12+'Submetering '!Q12+'Submetering '!R12+'Submetering '!S12</f>
        <v>28168</v>
      </c>
      <c r="F12" s="11">
        <f>('FS Seychelles'!R13*'FS Seychelles'!S13)/TOTAL!E12</f>
        <v>0.2795427435387674</v>
      </c>
      <c r="G12" s="12">
        <f>('FS Seychelles'!$AC$10+'FS Seychelles'!$AC$15)/30</f>
        <v>435.26666666666665</v>
      </c>
      <c r="H12" s="11">
        <f t="shared" si="1"/>
        <v>1.08</v>
      </c>
      <c r="I12" s="12">
        <f>'FS Seychelles'!T13+'FS Seychelles'!V13+'FS Seychelles'!W13+'FS Seychelles'!X13</f>
        <v>430</v>
      </c>
      <c r="J12" s="11">
        <f t="shared" si="2"/>
        <v>0</v>
      </c>
      <c r="K12" s="29">
        <f>'Submetering '!Z12</f>
        <v>110</v>
      </c>
      <c r="L12" s="11">
        <f t="shared" si="2"/>
        <v>0</v>
      </c>
      <c r="M12" s="56">
        <f>'FS Seychelles'!B13</f>
        <v>46.75</v>
      </c>
    </row>
    <row r="13" spans="1:13" s="15" customFormat="1">
      <c r="A13" s="1" t="s">
        <v>13</v>
      </c>
      <c r="B13" s="14">
        <f t="shared" si="0"/>
        <v>12</v>
      </c>
      <c r="C13" s="11">
        <v>10</v>
      </c>
      <c r="D13" s="1">
        <v>2021</v>
      </c>
      <c r="E13" s="12">
        <f>'Submetering '!O13+'Submetering '!P13+'Submetering '!Q13+'Submetering '!R13+'Submetering '!S13</f>
        <v>23669</v>
      </c>
      <c r="F13" s="11">
        <f>('FS Seychelles'!R14*'FS Seychelles'!S14)/TOTAL!E13</f>
        <v>0.29072499894376613</v>
      </c>
      <c r="G13" s="12">
        <f>('FS Seychelles'!$AC$10+'FS Seychelles'!$AC$15)/30</f>
        <v>435.26666666666665</v>
      </c>
      <c r="H13" s="11">
        <f t="shared" si="1"/>
        <v>1.08</v>
      </c>
      <c r="I13" s="12">
        <f>'FS Seychelles'!T14+'FS Seychelles'!V14+'FS Seychelles'!W14+'FS Seychelles'!X14</f>
        <v>464</v>
      </c>
      <c r="J13" s="11">
        <f t="shared" si="2"/>
        <v>0</v>
      </c>
      <c r="K13" s="29">
        <f>'Submetering '!Z13</f>
        <v>115</v>
      </c>
      <c r="L13" s="11">
        <f t="shared" si="2"/>
        <v>0</v>
      </c>
      <c r="M13" s="56">
        <f>'FS Seychelles'!B14</f>
        <v>50.67</v>
      </c>
    </row>
    <row r="14" spans="1:13" s="15" customFormat="1">
      <c r="A14" s="1" t="s">
        <v>13</v>
      </c>
      <c r="B14" s="14">
        <f t="shared" si="0"/>
        <v>13</v>
      </c>
      <c r="C14" s="11">
        <v>10</v>
      </c>
      <c r="D14" s="1">
        <v>2021</v>
      </c>
      <c r="E14" s="12">
        <f>'Submetering '!O14+'Submetering '!P14+'Submetering '!Q14+'Submetering '!R14+'Submetering '!S14</f>
        <v>28558</v>
      </c>
      <c r="F14" s="11">
        <f>('FS Seychelles'!R15*'FS Seychelles'!S15)/TOTAL!E14</f>
        <v>0.29019083969465648</v>
      </c>
      <c r="G14" s="12">
        <f>('FS Seychelles'!$AC$10+'FS Seychelles'!$AC$15)/30</f>
        <v>435.26666666666665</v>
      </c>
      <c r="H14" s="11">
        <f t="shared" si="1"/>
        <v>1.08</v>
      </c>
      <c r="I14" s="12">
        <f>'FS Seychelles'!T15+'FS Seychelles'!V15+'FS Seychelles'!W15+'FS Seychelles'!X15</f>
        <v>432</v>
      </c>
      <c r="J14" s="11">
        <f t="shared" si="2"/>
        <v>0</v>
      </c>
      <c r="K14" s="29">
        <f>'Submetering '!Z14</f>
        <v>52</v>
      </c>
      <c r="L14" s="11">
        <f t="shared" si="2"/>
        <v>0</v>
      </c>
      <c r="M14" s="56">
        <f>'FS Seychelles'!B15</f>
        <v>52.63</v>
      </c>
    </row>
    <row r="15" spans="1:13" s="15" customFormat="1">
      <c r="A15" s="1" t="s">
        <v>13</v>
      </c>
      <c r="B15" s="14">
        <f t="shared" si="0"/>
        <v>14</v>
      </c>
      <c r="C15" s="11">
        <v>10</v>
      </c>
      <c r="D15" s="1">
        <v>2021</v>
      </c>
      <c r="E15" s="12">
        <f>'Submetering '!O15+'Submetering '!P15+'Submetering '!Q15+'Submetering '!R15+'Submetering '!S15</f>
        <v>27267</v>
      </c>
      <c r="F15" s="11">
        <f>('FS Seychelles'!R16*'FS Seychelles'!S16)/TOTAL!E15</f>
        <v>0.28162430777129865</v>
      </c>
      <c r="G15" s="12">
        <f>('FS Seychelles'!$AC$10+'FS Seychelles'!$AC$15)/30</f>
        <v>435.26666666666665</v>
      </c>
      <c r="H15" s="11">
        <f t="shared" si="1"/>
        <v>1.08</v>
      </c>
      <c r="I15" s="12">
        <f>'FS Seychelles'!T16+'FS Seychelles'!V16+'FS Seychelles'!W16+'FS Seychelles'!X16</f>
        <v>492</v>
      </c>
      <c r="J15" s="11">
        <f t="shared" si="2"/>
        <v>0</v>
      </c>
      <c r="K15" s="29">
        <f>'Submetering '!Z15</f>
        <v>95</v>
      </c>
      <c r="L15" s="11">
        <f t="shared" si="2"/>
        <v>0</v>
      </c>
      <c r="M15" s="56">
        <f>'FS Seychelles'!B16</f>
        <v>51.31</v>
      </c>
    </row>
    <row r="16" spans="1:13" s="15" customFormat="1">
      <c r="A16" s="1" t="s">
        <v>13</v>
      </c>
      <c r="B16" s="14">
        <f t="shared" si="0"/>
        <v>15</v>
      </c>
      <c r="C16" s="11">
        <v>10</v>
      </c>
      <c r="D16" s="1">
        <v>2021</v>
      </c>
      <c r="E16" s="12">
        <f>'Submetering '!O16+'Submetering '!P16+'Submetering '!Q16+'Submetering '!R16+'Submetering '!S16</f>
        <v>28104</v>
      </c>
      <c r="F16" s="11">
        <f>('FS Seychelles'!R17*'FS Seychelles'!S17)/TOTAL!E16</f>
        <v>0.28847922003985199</v>
      </c>
      <c r="G16" s="12">
        <f>('FS Seychelles'!$AC$10+'FS Seychelles'!$AC$15)/30</f>
        <v>435.26666666666665</v>
      </c>
      <c r="H16" s="11">
        <f t="shared" si="1"/>
        <v>1.08</v>
      </c>
      <c r="I16" s="12">
        <f>'FS Seychelles'!T17+'FS Seychelles'!V17+'FS Seychelles'!W17+'FS Seychelles'!X17</f>
        <v>485</v>
      </c>
      <c r="J16" s="11">
        <f t="shared" si="2"/>
        <v>0</v>
      </c>
      <c r="K16" s="29">
        <f>'Submetering '!Z16</f>
        <v>111</v>
      </c>
      <c r="L16" s="11">
        <f t="shared" si="2"/>
        <v>0</v>
      </c>
      <c r="M16" s="56">
        <f>'FS Seychelles'!B17</f>
        <v>57.89</v>
      </c>
    </row>
    <row r="17" spans="1:13" s="15" customFormat="1">
      <c r="A17" s="1" t="s">
        <v>13</v>
      </c>
      <c r="B17" s="14">
        <f t="shared" si="0"/>
        <v>16</v>
      </c>
      <c r="C17" s="11">
        <v>10</v>
      </c>
      <c r="D17" s="1">
        <v>2021</v>
      </c>
      <c r="E17" s="12">
        <f>'Submetering '!O17+'Submetering '!P17+'Submetering '!Q17+'Submetering '!R17+'Submetering '!S17</f>
        <v>29229</v>
      </c>
      <c r="F17" s="11">
        <f>('FS Seychelles'!R18*'FS Seychelles'!S18)/TOTAL!E17</f>
        <v>0.30195114441137233</v>
      </c>
      <c r="G17" s="12">
        <f>('FS Seychelles'!$AC$10+'FS Seychelles'!$AC$15)/30</f>
        <v>435.26666666666665</v>
      </c>
      <c r="H17" s="11">
        <f t="shared" si="1"/>
        <v>1.08</v>
      </c>
      <c r="I17" s="12">
        <f>'FS Seychelles'!T18+'FS Seychelles'!V18+'FS Seychelles'!W18+'FS Seychelles'!X18</f>
        <v>493</v>
      </c>
      <c r="J17" s="11">
        <f t="shared" si="2"/>
        <v>0</v>
      </c>
      <c r="K17" s="29">
        <f>'Submetering '!Z17</f>
        <v>99</v>
      </c>
      <c r="L17" s="11">
        <f t="shared" si="2"/>
        <v>0</v>
      </c>
      <c r="M17" s="56">
        <f>'FS Seychelles'!B18</f>
        <v>64.47</v>
      </c>
    </row>
    <row r="18" spans="1:13" s="15" customFormat="1">
      <c r="A18" s="1" t="s">
        <v>13</v>
      </c>
      <c r="B18" s="14">
        <f t="shared" si="0"/>
        <v>17</v>
      </c>
      <c r="C18" s="11">
        <v>10</v>
      </c>
      <c r="D18" s="1">
        <v>2021</v>
      </c>
      <c r="E18" s="12">
        <f>'Submetering '!O18+'Submetering '!P18+'Submetering '!Q18+'Submetering '!R18+'Submetering '!S18</f>
        <v>31691</v>
      </c>
      <c r="F18" s="11">
        <f>('FS Seychelles'!R19*'FS Seychelles'!S19)/TOTAL!E18</f>
        <v>0.26841563850935601</v>
      </c>
      <c r="G18" s="12">
        <f>('FS Seychelles'!$AC$10+'FS Seychelles'!$AC$15)/30</f>
        <v>435.26666666666665</v>
      </c>
      <c r="H18" s="11">
        <f t="shared" si="1"/>
        <v>1.08</v>
      </c>
      <c r="I18" s="12">
        <f>'FS Seychelles'!T19+'FS Seychelles'!V19+'FS Seychelles'!W19+'FS Seychelles'!X19</f>
        <v>518</v>
      </c>
      <c r="J18" s="11">
        <f t="shared" si="2"/>
        <v>0</v>
      </c>
      <c r="K18" s="29">
        <f>'Submetering '!Z18</f>
        <v>101</v>
      </c>
      <c r="L18" s="11">
        <f t="shared" si="2"/>
        <v>0</v>
      </c>
      <c r="M18" s="56">
        <f>'FS Seychelles'!B19</f>
        <v>55.26</v>
      </c>
    </row>
    <row r="19" spans="1:13" s="15" customFormat="1">
      <c r="A19" s="1" t="s">
        <v>13</v>
      </c>
      <c r="B19" s="14">
        <f t="shared" si="0"/>
        <v>18</v>
      </c>
      <c r="C19" s="11">
        <v>10</v>
      </c>
      <c r="D19" s="1">
        <v>2021</v>
      </c>
      <c r="E19" s="12">
        <f>'Submetering '!O19+'Submetering '!P19+'Submetering '!Q19+'Submetering '!R19+'Submetering '!S19</f>
        <v>27762</v>
      </c>
      <c r="F19" s="11">
        <f>('FS Seychelles'!R20*'FS Seychelles'!S20)/TOTAL!E19</f>
        <v>0.26694438441034513</v>
      </c>
      <c r="G19" s="12">
        <f>('FS Seychelles'!$AC$10+'FS Seychelles'!$AC$15)/30</f>
        <v>435.26666666666665</v>
      </c>
      <c r="H19" s="11">
        <f t="shared" si="1"/>
        <v>1.08</v>
      </c>
      <c r="I19" s="12">
        <f>'FS Seychelles'!T20+'FS Seychelles'!V20+'FS Seychelles'!W20+'FS Seychelles'!X20</f>
        <v>521</v>
      </c>
      <c r="J19" s="11">
        <f t="shared" si="2"/>
        <v>0</v>
      </c>
      <c r="K19" s="29">
        <f>'Submetering '!Z19</f>
        <v>99</v>
      </c>
      <c r="L19" s="11">
        <f t="shared" si="2"/>
        <v>0</v>
      </c>
      <c r="M19" s="56">
        <f>'FS Seychelles'!B20</f>
        <v>67.11</v>
      </c>
    </row>
    <row r="20" spans="1:13" s="15" customFormat="1">
      <c r="A20" s="1" t="s">
        <v>13</v>
      </c>
      <c r="B20" s="14">
        <f t="shared" si="0"/>
        <v>19</v>
      </c>
      <c r="C20" s="11">
        <v>10</v>
      </c>
      <c r="D20" s="1">
        <v>2021</v>
      </c>
      <c r="E20" s="12">
        <f>'Submetering '!O20+'Submetering '!P20+'Submetering '!Q20+'Submetering '!R20+'Submetering '!S20</f>
        <v>24837</v>
      </c>
      <c r="F20" s="11">
        <f>('FS Seychelles'!R21*'FS Seychelles'!S21)/TOTAL!E20</f>
        <v>0.28302170149373923</v>
      </c>
      <c r="G20" s="12">
        <f>('FS Seychelles'!$AC$10+'FS Seychelles'!$AC$15)/30</f>
        <v>435.26666666666665</v>
      </c>
      <c r="H20" s="11">
        <f t="shared" si="1"/>
        <v>1.08</v>
      </c>
      <c r="I20" s="12">
        <f>'FS Seychelles'!T21+'FS Seychelles'!V21+'FS Seychelles'!W21+'FS Seychelles'!X21</f>
        <v>483</v>
      </c>
      <c r="J20" s="11">
        <f t="shared" si="2"/>
        <v>0</v>
      </c>
      <c r="K20" s="29">
        <f>'Submetering '!Z20</f>
        <v>103</v>
      </c>
      <c r="L20" s="11">
        <f t="shared" si="2"/>
        <v>0</v>
      </c>
      <c r="M20" s="56">
        <f>'FS Seychelles'!B21</f>
        <v>61.84</v>
      </c>
    </row>
    <row r="21" spans="1:13" s="15" customFormat="1">
      <c r="A21" s="1" t="s">
        <v>13</v>
      </c>
      <c r="B21" s="14">
        <f t="shared" si="0"/>
        <v>20</v>
      </c>
      <c r="C21" s="11">
        <v>10</v>
      </c>
      <c r="D21" s="1">
        <v>2021</v>
      </c>
      <c r="E21" s="12">
        <f>'Submetering '!O21+'Submetering '!P21+'Submetering '!Q21+'Submetering '!R21+'Submetering '!S21</f>
        <v>31943</v>
      </c>
      <c r="F21" s="11">
        <f>('FS Seychelles'!R22*'FS Seychelles'!S22)/TOTAL!E21</f>
        <v>0.26745828507028147</v>
      </c>
      <c r="G21" s="12">
        <f>('FS Seychelles'!$AC$10+'FS Seychelles'!$AC$15)/30</f>
        <v>435.26666666666665</v>
      </c>
      <c r="H21" s="11">
        <f t="shared" si="1"/>
        <v>1.08</v>
      </c>
      <c r="I21" s="12">
        <f>'FS Seychelles'!T22+'FS Seychelles'!V22+'FS Seychelles'!W22+'FS Seychelles'!X22</f>
        <v>651</v>
      </c>
      <c r="J21" s="11">
        <f t="shared" si="2"/>
        <v>0</v>
      </c>
      <c r="K21" s="29">
        <f>'Submetering '!Z21</f>
        <v>110</v>
      </c>
      <c r="L21" s="11">
        <f t="shared" si="2"/>
        <v>0</v>
      </c>
      <c r="M21" s="56">
        <f>'FS Seychelles'!B22</f>
        <v>64.47</v>
      </c>
    </row>
    <row r="22" spans="1:13" s="15" customFormat="1">
      <c r="A22" s="1" t="s">
        <v>13</v>
      </c>
      <c r="B22" s="14">
        <f t="shared" si="0"/>
        <v>21</v>
      </c>
      <c r="C22" s="11">
        <v>10</v>
      </c>
      <c r="D22" s="1">
        <v>2021</v>
      </c>
      <c r="E22" s="12">
        <f>'Submetering '!O22+'Submetering '!P22+'Submetering '!Q22+'Submetering '!R22+'Submetering '!S22</f>
        <v>31585</v>
      </c>
      <c r="F22" s="11">
        <f>('FS Seychelles'!R23*'FS Seychelles'!S23)/TOTAL!E22</f>
        <v>0.27470001583029924</v>
      </c>
      <c r="G22" s="12">
        <f>('FS Seychelles'!$AC$10+'FS Seychelles'!$AC$15)/30</f>
        <v>435.26666666666665</v>
      </c>
      <c r="H22" s="11">
        <f t="shared" si="1"/>
        <v>1.08</v>
      </c>
      <c r="I22" s="12">
        <f>'FS Seychelles'!T23+'FS Seychelles'!V23+'FS Seychelles'!W23+'FS Seychelles'!X23</f>
        <v>447</v>
      </c>
      <c r="J22" s="11">
        <f t="shared" si="2"/>
        <v>0</v>
      </c>
      <c r="K22" s="29">
        <f>'Submetering '!Z22</f>
        <v>114</v>
      </c>
      <c r="L22" s="11">
        <f t="shared" si="2"/>
        <v>0</v>
      </c>
      <c r="M22" s="56">
        <f>'FS Seychelles'!B23</f>
        <v>63.16</v>
      </c>
    </row>
    <row r="23" spans="1:13" s="15" customFormat="1">
      <c r="A23" s="1" t="s">
        <v>13</v>
      </c>
      <c r="B23" s="14">
        <f t="shared" si="0"/>
        <v>22</v>
      </c>
      <c r="C23" s="11">
        <v>10</v>
      </c>
      <c r="D23" s="1">
        <v>2021</v>
      </c>
      <c r="E23" s="12">
        <f>'Submetering '!O23+'Submetering '!P23+'Submetering '!Q23+'Submetering '!R23+'Submetering '!S23</f>
        <v>33155</v>
      </c>
      <c r="F23" s="11">
        <f>('FS Seychelles'!R24*'FS Seychelles'!S24)/TOTAL!E23</f>
        <v>0.26415774393002567</v>
      </c>
      <c r="G23" s="12">
        <f>('FS Seychelles'!$AC$10+'FS Seychelles'!$AC$15)/30</f>
        <v>435.26666666666665</v>
      </c>
      <c r="H23" s="11">
        <f t="shared" si="1"/>
        <v>1.08</v>
      </c>
      <c r="I23" s="12">
        <f>'FS Seychelles'!T24+'FS Seychelles'!V24+'FS Seychelles'!W24+'FS Seychelles'!X24</f>
        <v>487</v>
      </c>
      <c r="J23" s="11">
        <f t="shared" si="2"/>
        <v>0</v>
      </c>
      <c r="K23" s="29">
        <f>'Submetering '!Z23</f>
        <v>96</v>
      </c>
      <c r="L23" s="11">
        <f t="shared" si="2"/>
        <v>0</v>
      </c>
      <c r="M23" s="56">
        <f>'FS Seychelles'!B24</f>
        <v>64.47</v>
      </c>
    </row>
    <row r="24" spans="1:13" s="15" customFormat="1">
      <c r="A24" s="1" t="s">
        <v>13</v>
      </c>
      <c r="B24" s="14">
        <f t="shared" si="0"/>
        <v>23</v>
      </c>
      <c r="C24" s="11">
        <v>10</v>
      </c>
      <c r="D24" s="1">
        <v>2021</v>
      </c>
      <c r="E24" s="12">
        <f>'Submetering '!O24+'Submetering '!P24+'Submetering '!Q24+'Submetering '!R24+'Submetering '!S24</f>
        <v>32416</v>
      </c>
      <c r="F24" s="11">
        <f>('FS Seychelles'!R25*'FS Seychelles'!S25)/TOTAL!E24</f>
        <v>0.25545193731490629</v>
      </c>
      <c r="G24" s="12">
        <f>('FS Seychelles'!$AC$10+'FS Seychelles'!$AC$15)/30</f>
        <v>435.26666666666665</v>
      </c>
      <c r="H24" s="11">
        <f t="shared" si="1"/>
        <v>1.08</v>
      </c>
      <c r="I24" s="12">
        <f>'FS Seychelles'!T25+'FS Seychelles'!V25+'FS Seychelles'!W25+'FS Seychelles'!X25</f>
        <v>512</v>
      </c>
      <c r="J24" s="11">
        <f t="shared" si="2"/>
        <v>0</v>
      </c>
      <c r="K24" s="29">
        <f>'Submetering '!Z24</f>
        <v>105</v>
      </c>
      <c r="L24" s="11">
        <f t="shared" si="2"/>
        <v>0</v>
      </c>
      <c r="M24" s="56">
        <f>'FS Seychelles'!B25</f>
        <v>64.47</v>
      </c>
    </row>
    <row r="25" spans="1:13" s="15" customFormat="1">
      <c r="A25" s="1" t="s">
        <v>13</v>
      </c>
      <c r="B25" s="14">
        <f t="shared" si="0"/>
        <v>24</v>
      </c>
      <c r="C25" s="11">
        <v>10</v>
      </c>
      <c r="D25" s="1">
        <v>2021</v>
      </c>
      <c r="E25" s="12">
        <f>'Submetering '!O25+'Submetering '!P25+'Submetering '!Q25+'Submetering '!R25+'Submetering '!S25</f>
        <v>29510</v>
      </c>
      <c r="F25" s="11">
        <f>('FS Seychelles'!R26*'FS Seychelles'!S26)/TOTAL!E25</f>
        <v>0.28689596746865464</v>
      </c>
      <c r="G25" s="12">
        <f>('FS Seychelles'!$AC$10+'FS Seychelles'!$AC$15)/30</f>
        <v>435.26666666666665</v>
      </c>
      <c r="H25" s="11">
        <f t="shared" si="1"/>
        <v>1.08</v>
      </c>
      <c r="I25" s="12">
        <f>'FS Seychelles'!T26+'FS Seychelles'!V26+'FS Seychelles'!W26+'FS Seychelles'!X26</f>
        <v>378</v>
      </c>
      <c r="J25" s="11">
        <f t="shared" si="2"/>
        <v>0</v>
      </c>
      <c r="K25" s="29">
        <f>'Submetering '!Z25</f>
        <v>102</v>
      </c>
      <c r="L25" s="11">
        <f t="shared" si="2"/>
        <v>0</v>
      </c>
      <c r="M25" s="56">
        <f>'FS Seychelles'!B26</f>
        <v>39.76</v>
      </c>
    </row>
    <row r="26" spans="1:13" s="15" customFormat="1">
      <c r="A26" s="1" t="s">
        <v>13</v>
      </c>
      <c r="B26" s="14">
        <f>B25+1</f>
        <v>25</v>
      </c>
      <c r="C26" s="11">
        <v>10</v>
      </c>
      <c r="D26" s="1">
        <v>2021</v>
      </c>
      <c r="E26" s="12">
        <f>'Submetering '!O26+'Submetering '!P26+'Submetering '!Q26+'Submetering '!R26+'Submetering '!S26</f>
        <v>27251</v>
      </c>
      <c r="F26" s="11">
        <f>('FS Seychelles'!R27*'FS Seychelles'!S27)/TOTAL!E26</f>
        <v>0.27949249568823159</v>
      </c>
      <c r="G26" s="12">
        <f>('FS Seychelles'!$AC$10+'FS Seychelles'!$AC$15)/30</f>
        <v>435.26666666666665</v>
      </c>
      <c r="H26" s="11">
        <f t="shared" si="1"/>
        <v>1.08</v>
      </c>
      <c r="I26" s="12">
        <f>'FS Seychelles'!T27+'FS Seychelles'!V27+'FS Seychelles'!W27+'FS Seychelles'!X27</f>
        <v>417</v>
      </c>
      <c r="J26" s="11">
        <f t="shared" si="2"/>
        <v>0</v>
      </c>
      <c r="K26" s="29">
        <f>'Submetering '!Z26</f>
        <v>106</v>
      </c>
      <c r="L26" s="11">
        <f t="shared" si="2"/>
        <v>0</v>
      </c>
      <c r="M26" s="56">
        <f>'FS Seychelles'!B27</f>
        <v>50</v>
      </c>
    </row>
    <row r="27" spans="1:13" s="15" customFormat="1">
      <c r="A27" s="1" t="s">
        <v>13</v>
      </c>
      <c r="B27" s="14">
        <f t="shared" si="0"/>
        <v>26</v>
      </c>
      <c r="C27" s="11">
        <v>10</v>
      </c>
      <c r="D27" s="1">
        <v>2021</v>
      </c>
      <c r="E27" s="12">
        <f>'Submetering '!O27+'Submetering '!P27+'Submetering '!Q27+'Submetering '!R27+'Submetering '!S27</f>
        <v>23066</v>
      </c>
      <c r="F27" s="11">
        <f>('FS Seychelles'!R28*'FS Seychelles'!S28)/TOTAL!E27</f>
        <v>0.28607907742998351</v>
      </c>
      <c r="G27" s="12">
        <f>('FS Seychelles'!$AC$10+'FS Seychelles'!$AC$15)/30</f>
        <v>435.26666666666665</v>
      </c>
      <c r="H27" s="11">
        <f t="shared" si="1"/>
        <v>1.08</v>
      </c>
      <c r="I27" s="12">
        <f>'FS Seychelles'!T28+'FS Seychelles'!V28+'FS Seychelles'!W28+'FS Seychelles'!X28</f>
        <v>315</v>
      </c>
      <c r="J27" s="11">
        <f t="shared" si="2"/>
        <v>0</v>
      </c>
      <c r="K27" s="29">
        <f>'Submetering '!Z27</f>
        <v>106</v>
      </c>
      <c r="L27" s="11">
        <f t="shared" si="2"/>
        <v>0</v>
      </c>
      <c r="M27" s="56">
        <f>'FS Seychelles'!B28</f>
        <v>54.22</v>
      </c>
    </row>
    <row r="28" spans="1:13" s="15" customFormat="1">
      <c r="A28" s="1" t="s">
        <v>13</v>
      </c>
      <c r="B28" s="14">
        <f t="shared" si="0"/>
        <v>27</v>
      </c>
      <c r="C28" s="11">
        <v>10</v>
      </c>
      <c r="D28" s="1">
        <v>2021</v>
      </c>
      <c r="E28" s="12">
        <f>'Submetering '!O28+'Submetering '!P28+'Submetering '!Q28+'Submetering '!R28+'Submetering '!S28</f>
        <v>31287</v>
      </c>
      <c r="F28" s="11">
        <f>('FS Seychelles'!R29*'FS Seychelles'!S29)/TOTAL!E28</f>
        <v>0.29883018506088793</v>
      </c>
      <c r="G28" s="12">
        <f>('FS Seychelles'!$AC$10+'FS Seychelles'!$AC$15)/30</f>
        <v>435.26666666666665</v>
      </c>
      <c r="H28" s="11">
        <f t="shared" si="1"/>
        <v>1.08</v>
      </c>
      <c r="I28" s="12">
        <f>'FS Seychelles'!T29+'FS Seychelles'!V29+'FS Seychelles'!W29+'FS Seychelles'!X29</f>
        <v>470</v>
      </c>
      <c r="J28" s="11">
        <f t="shared" si="2"/>
        <v>0</v>
      </c>
      <c r="K28" s="29">
        <f>'Submetering '!Z28</f>
        <v>106</v>
      </c>
      <c r="L28" s="11">
        <f t="shared" si="2"/>
        <v>0</v>
      </c>
      <c r="M28" s="56">
        <f>'FS Seychelles'!B29</f>
        <v>54.76</v>
      </c>
    </row>
    <row r="29" spans="1:13" s="15" customFormat="1">
      <c r="A29" s="1" t="s">
        <v>13</v>
      </c>
      <c r="B29" s="14">
        <f t="shared" si="0"/>
        <v>28</v>
      </c>
      <c r="C29" s="11">
        <v>10</v>
      </c>
      <c r="D29" s="1">
        <v>2021</v>
      </c>
      <c r="E29" s="12">
        <f>'Submetering '!O29+'Submetering '!P29+'Submetering '!Q29+'Submetering '!R29+'Submetering '!S29</f>
        <v>29399</v>
      </c>
      <c r="F29" s="11">
        <f>('FS Seychelles'!R30*'FS Seychelles'!S30)/TOTAL!E29</f>
        <v>0.28817476784924656</v>
      </c>
      <c r="G29" s="12">
        <f>('FS Seychelles'!$AC$10+'FS Seychelles'!$AC$15)/30</f>
        <v>435.26666666666665</v>
      </c>
      <c r="H29" s="11">
        <f t="shared" si="1"/>
        <v>1.08</v>
      </c>
      <c r="I29" s="12">
        <f>'FS Seychelles'!T30+'FS Seychelles'!V30+'FS Seychelles'!W30+'FS Seychelles'!X30</f>
        <v>549</v>
      </c>
      <c r="J29" s="11">
        <f t="shared" si="2"/>
        <v>0</v>
      </c>
      <c r="K29" s="29">
        <f>'Submetering '!Z29</f>
        <v>104</v>
      </c>
      <c r="L29" s="11">
        <f t="shared" si="2"/>
        <v>0</v>
      </c>
      <c r="M29" s="56">
        <f>'FS Seychelles'!B30</f>
        <v>67.099999999999994</v>
      </c>
    </row>
    <row r="30" spans="1:13" s="15" customFormat="1">
      <c r="A30" s="1" t="s">
        <v>13</v>
      </c>
      <c r="B30" s="14">
        <f t="shared" si="0"/>
        <v>29</v>
      </c>
      <c r="C30" s="11">
        <v>10</v>
      </c>
      <c r="D30" s="1">
        <v>2021</v>
      </c>
      <c r="E30" s="12">
        <f>'Submetering '!O30+'Submetering '!P30+'Submetering '!Q30+'Submetering '!R30+'Submetering '!S30</f>
        <v>31589</v>
      </c>
      <c r="F30" s="11">
        <f>('FS Seychelles'!R31*'FS Seychelles'!S31)/TOTAL!E30</f>
        <v>0.28148406090727784</v>
      </c>
      <c r="G30" s="12">
        <f>('FS Seychelles'!$AC$10+'FS Seychelles'!$AC$15)/30</f>
        <v>435.26666666666665</v>
      </c>
      <c r="H30" s="11">
        <f t="shared" si="1"/>
        <v>1.08</v>
      </c>
      <c r="I30" s="12">
        <f>'FS Seychelles'!T31+'FS Seychelles'!V31+'FS Seychelles'!W31+'FS Seychelles'!X31</f>
        <v>482</v>
      </c>
      <c r="J30" s="11">
        <f t="shared" si="2"/>
        <v>0</v>
      </c>
      <c r="K30" s="29">
        <f>'Submetering '!Z30</f>
        <v>105</v>
      </c>
      <c r="L30" s="11">
        <f t="shared" si="2"/>
        <v>0</v>
      </c>
      <c r="M30" s="56">
        <f>'FS Seychelles'!B31</f>
        <v>64.47</v>
      </c>
    </row>
    <row r="31" spans="1:13" s="13" customFormat="1">
      <c r="A31" s="1" t="s">
        <v>13</v>
      </c>
      <c r="B31" s="14">
        <f t="shared" si="0"/>
        <v>30</v>
      </c>
      <c r="C31" s="11">
        <v>10</v>
      </c>
      <c r="D31" s="1">
        <v>2021</v>
      </c>
      <c r="E31" s="12">
        <f>'Submetering '!O31+'Submetering '!P31+'Submetering '!Q31+'Submetering '!R31+'Submetering '!S31</f>
        <v>30526</v>
      </c>
      <c r="F31" s="11">
        <f>('FS Seychelles'!R32*'FS Seychelles'!S32)/TOTAL!E31</f>
        <v>0.2794568564502391</v>
      </c>
      <c r="G31" s="12">
        <f>('FS Seychelles'!$AC$10+'FS Seychelles'!$AC$15)/30</f>
        <v>435.26666666666665</v>
      </c>
      <c r="H31" s="11">
        <f t="shared" si="1"/>
        <v>1.08</v>
      </c>
      <c r="I31" s="12">
        <f>'FS Seychelles'!T32+'FS Seychelles'!V32+'FS Seychelles'!W32+'FS Seychelles'!X32</f>
        <v>481</v>
      </c>
      <c r="J31" s="11">
        <f t="shared" si="2"/>
        <v>0</v>
      </c>
      <c r="K31" s="29">
        <f>'Submetering '!Z31</f>
        <v>101</v>
      </c>
      <c r="L31" s="11">
        <f t="shared" si="2"/>
        <v>0</v>
      </c>
      <c r="M31" s="56">
        <f>'FS Seychelles'!B32</f>
        <v>60.53</v>
      </c>
    </row>
    <row r="32" spans="1:13">
      <c r="A32" s="1" t="s">
        <v>13</v>
      </c>
      <c r="B32" s="14">
        <f t="shared" si="0"/>
        <v>31</v>
      </c>
      <c r="C32" s="11">
        <v>10</v>
      </c>
      <c r="D32" s="1">
        <v>2021</v>
      </c>
      <c r="E32" s="12">
        <f>'Submetering '!O32+'Submetering '!P32+'Submetering '!Q32+'Submetering '!R32+'Submetering '!S32</f>
        <v>28914</v>
      </c>
      <c r="F32" s="11">
        <f>('FS Seychelles'!R33*'FS Seychelles'!S33)/TOTAL!E32</f>
        <v>0.3108269350487653</v>
      </c>
      <c r="G32" s="12">
        <f>('FS Seychelles'!$AC$10+'FS Seychelles'!$AC$15)/30</f>
        <v>435.26666666666665</v>
      </c>
      <c r="H32" s="11">
        <f t="shared" si="1"/>
        <v>1.08</v>
      </c>
      <c r="I32" s="12">
        <f>'FS Seychelles'!T33+'FS Seychelles'!V33+'FS Seychelles'!W33+'FS Seychelles'!X33</f>
        <v>413</v>
      </c>
      <c r="J32" s="11">
        <f t="shared" si="2"/>
        <v>0</v>
      </c>
      <c r="K32" s="29">
        <f>'Submetering '!Z32</f>
        <v>113</v>
      </c>
      <c r="L32" s="11">
        <f t="shared" si="2"/>
        <v>0</v>
      </c>
      <c r="M32" s="56">
        <f>'FS Seychelles'!B33</f>
        <v>55.26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B33" sqref="B33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10</v>
      </c>
      <c r="D2" s="11">
        <v>2021</v>
      </c>
      <c r="E2" s="18">
        <f>'FS Seychelles'!B3</f>
        <v>38.96</v>
      </c>
      <c r="F2" s="18">
        <f>'FS Seychelles'!D3*1000</f>
        <v>2272.2559999999999</v>
      </c>
      <c r="G2" s="18">
        <f>'FS Seychelles'!E3*1000</f>
        <v>3569.6639999999998</v>
      </c>
      <c r="H2" s="18">
        <f>'FS Seychelles'!F3*1000</f>
        <v>4671.4880000000003</v>
      </c>
      <c r="I2" s="18">
        <f>'FS Seychelles'!G3*1000</f>
        <v>1503.4879999999998</v>
      </c>
      <c r="J2" s="18">
        <f>'FS Seychelles'!H3*1000</f>
        <v>2365.44</v>
      </c>
      <c r="K2" s="18">
        <f>'FS Seychelles'!I3*1000</f>
        <v>2328.3200000000002</v>
      </c>
      <c r="L2" s="18">
        <f>'FS Seychelles'!J3*1000</f>
        <v>1382.9119999999998</v>
      </c>
      <c r="M2" s="18">
        <f>'FS Seychelles'!K3*1000</f>
        <v>1633.0240000000001</v>
      </c>
      <c r="N2" s="18">
        <f>'FS Seychelles'!L3*1000</f>
        <v>3576.8319999999999</v>
      </c>
      <c r="O2" s="18">
        <f>'FS Seychelles'!M3</f>
        <v>2945</v>
      </c>
      <c r="P2" s="18">
        <f>'FS Seychelles'!N3</f>
        <v>5772</v>
      </c>
      <c r="Q2" s="18">
        <f>'FS Seychelles'!O3</f>
        <v>8585</v>
      </c>
      <c r="R2" s="18">
        <f>'FS Seychelles'!P3</f>
        <v>8700</v>
      </c>
      <c r="S2" s="18">
        <f>'FS Seychelles'!Q3</f>
        <v>5926</v>
      </c>
      <c r="T2" s="18">
        <f>'FS Seychelles'!R3</f>
        <v>8414</v>
      </c>
      <c r="U2" s="18">
        <f>'FS Seychelles'!T3</f>
        <v>65</v>
      </c>
      <c r="V2" s="18">
        <f>'FS Seychelles'!U3</f>
        <v>0</v>
      </c>
      <c r="W2" s="18">
        <f>'FS Seychelles'!V3</f>
        <v>81</v>
      </c>
      <c r="X2" s="18">
        <f>'FS Seychelles'!W3</f>
        <v>116</v>
      </c>
      <c r="Y2" s="18">
        <f>'FS Seychelles'!X3</f>
        <v>80</v>
      </c>
      <c r="Z2" s="18">
        <f>'FS Seychelles'!Y3</f>
        <v>73</v>
      </c>
      <c r="AA2" s="18">
        <f>'FS Seychelles'!Z3</f>
        <v>0</v>
      </c>
      <c r="AB2" s="18">
        <f>TOTAL!G2</f>
        <v>435.26666666666665</v>
      </c>
    </row>
    <row r="3" spans="1:28">
      <c r="A3" s="1" t="s">
        <v>13</v>
      </c>
      <c r="B3" s="11">
        <f>B2+1</f>
        <v>2</v>
      </c>
      <c r="C3" s="11">
        <v>10</v>
      </c>
      <c r="D3" s="11">
        <v>2021</v>
      </c>
      <c r="E3" s="18">
        <f>'FS Seychelles'!B4</f>
        <v>36.36</v>
      </c>
      <c r="F3" s="18">
        <f>'FS Seychelles'!D4*1000</f>
        <v>1937.4080000000001</v>
      </c>
      <c r="G3" s="18">
        <f>'FS Seychelles'!E4*1000</f>
        <v>3352.0639999999999</v>
      </c>
      <c r="H3" s="18">
        <f>'FS Seychelles'!F4*1000</f>
        <v>4298.7520000000004</v>
      </c>
      <c r="I3" s="18">
        <f>'FS Seychelles'!G4*1000</f>
        <v>1311.232</v>
      </c>
      <c r="J3" s="18">
        <f>'FS Seychelles'!H4*1000</f>
        <v>1930.4960000000001</v>
      </c>
      <c r="K3" s="18">
        <f>'FS Seychelles'!I4*1000</f>
        <v>2192.8960000000002</v>
      </c>
      <c r="L3" s="18">
        <f>'FS Seychelles'!J4*1000</f>
        <v>1384.96</v>
      </c>
      <c r="M3" s="18">
        <f>'FS Seychelles'!K4*1000</f>
        <v>1593.3440000000001</v>
      </c>
      <c r="N3" s="18">
        <f>'FS Seychelles'!L4*1000</f>
        <v>3524.6080000000002</v>
      </c>
      <c r="O3" s="18">
        <f>'FS Seychelles'!M4</f>
        <v>3460</v>
      </c>
      <c r="P3" s="18">
        <f>'FS Seychelles'!N4</f>
        <v>0</v>
      </c>
      <c r="Q3" s="18">
        <f>'FS Seychelles'!O4</f>
        <v>3815</v>
      </c>
      <c r="R3" s="18">
        <f>'FS Seychelles'!P4</f>
        <v>5451</v>
      </c>
      <c r="S3" s="18">
        <f>'FS Seychelles'!Q4</f>
        <v>4836</v>
      </c>
      <c r="T3" s="18">
        <f>'FS Seychelles'!R4</f>
        <v>4801</v>
      </c>
      <c r="U3" s="18">
        <f>'FS Seychelles'!T4</f>
        <v>57</v>
      </c>
      <c r="V3" s="18">
        <f>'FS Seychelles'!U4</f>
        <v>53</v>
      </c>
      <c r="W3" s="18">
        <f>'FS Seychelles'!V4</f>
        <v>66</v>
      </c>
      <c r="X3" s="18">
        <f>'FS Seychelles'!W4</f>
        <v>99</v>
      </c>
      <c r="Y3" s="18">
        <f>'FS Seychelles'!X4</f>
        <v>81</v>
      </c>
      <c r="Z3" s="18">
        <f>'FS Seychelles'!Y4</f>
        <v>75</v>
      </c>
      <c r="AA3" s="18">
        <f>'FS Seychelles'!Z4</f>
        <v>0</v>
      </c>
      <c r="AB3" s="18">
        <f>TOTAL!G3</f>
        <v>435.26666666666665</v>
      </c>
    </row>
    <row r="4" spans="1:28">
      <c r="A4" s="1" t="s">
        <v>13</v>
      </c>
      <c r="B4" s="11">
        <f t="shared" ref="B4:B31" si="0">B3+1</f>
        <v>3</v>
      </c>
      <c r="C4" s="11">
        <v>10</v>
      </c>
      <c r="D4" s="11">
        <v>2021</v>
      </c>
      <c r="E4" s="18">
        <f>'FS Seychelles'!B5</f>
        <v>43.42</v>
      </c>
      <c r="F4" s="18">
        <f>'FS Seychelles'!D5*1000</f>
        <v>1942.528</v>
      </c>
      <c r="G4" s="18">
        <f>'FS Seychelles'!E5*1000</f>
        <v>3642.3679999999999</v>
      </c>
      <c r="H4" s="18">
        <f>'FS Seychelles'!F5*1000</f>
        <v>4527.616</v>
      </c>
      <c r="I4" s="18">
        <f>'FS Seychelles'!G5*1000</f>
        <v>1449.7279999999998</v>
      </c>
      <c r="J4" s="18">
        <f>'FS Seychelles'!H5*1000</f>
        <v>1973.2479999999998</v>
      </c>
      <c r="K4" s="18">
        <f>'FS Seychelles'!I5*1000</f>
        <v>2163.4560000000001</v>
      </c>
      <c r="L4" s="18">
        <f>'FS Seychelles'!J5*1000</f>
        <v>1349.248</v>
      </c>
      <c r="M4" s="18">
        <f>'FS Seychelles'!K5*1000</f>
        <v>1627.136</v>
      </c>
      <c r="N4" s="18">
        <f>'FS Seychelles'!L5*1000</f>
        <v>3385.8559999999998</v>
      </c>
      <c r="O4" s="18">
        <f>'FS Seychelles'!M5</f>
        <v>2392</v>
      </c>
      <c r="P4" s="18">
        <f>'FS Seychelles'!N5</f>
        <v>0</v>
      </c>
      <c r="Q4" s="18">
        <f>'FS Seychelles'!O5</f>
        <v>2603</v>
      </c>
      <c r="R4" s="18">
        <f>'FS Seychelles'!P5</f>
        <v>8115</v>
      </c>
      <c r="S4" s="18">
        <f>'FS Seychelles'!Q5</f>
        <v>10524</v>
      </c>
      <c r="T4" s="18">
        <f>'FS Seychelles'!R5</f>
        <v>6583</v>
      </c>
      <c r="U4" s="18">
        <f>'FS Seychelles'!T5</f>
        <v>56</v>
      </c>
      <c r="V4" s="18">
        <f>'FS Seychelles'!U5</f>
        <v>28</v>
      </c>
      <c r="W4" s="18">
        <f>'FS Seychelles'!V5</f>
        <v>94</v>
      </c>
      <c r="X4" s="18">
        <f>'FS Seychelles'!W5</f>
        <v>90</v>
      </c>
      <c r="Y4" s="18">
        <f>'FS Seychelles'!X5</f>
        <v>64</v>
      </c>
      <c r="Z4" s="18">
        <f>'FS Seychelles'!Y5</f>
        <v>24</v>
      </c>
      <c r="AA4" s="18">
        <f>'FS Seychelles'!Z5</f>
        <v>0</v>
      </c>
      <c r="AB4" s="18">
        <f>TOTAL!G4</f>
        <v>435.26666666666665</v>
      </c>
    </row>
    <row r="5" spans="1:28">
      <c r="A5" s="1" t="s">
        <v>13</v>
      </c>
      <c r="B5" s="11">
        <f t="shared" si="0"/>
        <v>4</v>
      </c>
      <c r="C5" s="11">
        <v>10</v>
      </c>
      <c r="D5" s="11">
        <v>2021</v>
      </c>
      <c r="E5" s="18">
        <f>'FS Seychelles'!B6</f>
        <v>38.159999999999997</v>
      </c>
      <c r="F5" s="18">
        <f>'FS Seychelles'!D6*1000</f>
        <v>2447.36</v>
      </c>
      <c r="G5" s="18">
        <f>'FS Seychelles'!E6*1000</f>
        <v>4145.6639999999998</v>
      </c>
      <c r="H5" s="18">
        <f>'FS Seychelles'!F6*1000</f>
        <v>4762.6239999999998</v>
      </c>
      <c r="I5" s="18">
        <f>'FS Seychelles'!G6*1000</f>
        <v>1578.752</v>
      </c>
      <c r="J5" s="18">
        <f>'FS Seychelles'!H6*1000</f>
        <v>2436.6080000000002</v>
      </c>
      <c r="K5" s="18">
        <f>'FS Seychelles'!I6*1000</f>
        <v>2648.0640000000003</v>
      </c>
      <c r="L5" s="18">
        <f>'FS Seychelles'!J6*1000</f>
        <v>1401.3439999999998</v>
      </c>
      <c r="M5" s="18">
        <f>'FS Seychelles'!K6*1000</f>
        <v>1663.7439999999999</v>
      </c>
      <c r="N5" s="18">
        <f>'FS Seychelles'!L6*1000</f>
        <v>3688.4480000000003</v>
      </c>
      <c r="O5" s="18">
        <f>'FS Seychelles'!M6</f>
        <v>0</v>
      </c>
      <c r="P5" s="18">
        <f>'FS Seychelles'!N6</f>
        <v>0</v>
      </c>
      <c r="Q5" s="18">
        <f>'FS Seychelles'!O6</f>
        <v>10485</v>
      </c>
      <c r="R5" s="18">
        <f>'FS Seychelles'!P6</f>
        <v>9066</v>
      </c>
      <c r="S5" s="18">
        <f>'FS Seychelles'!Q6</f>
        <v>8519</v>
      </c>
      <c r="T5" s="18">
        <f>'FS Seychelles'!R6</f>
        <v>7152</v>
      </c>
      <c r="U5" s="18">
        <f>'FS Seychelles'!T6</f>
        <v>62</v>
      </c>
      <c r="V5" s="18">
        <f>'FS Seychelles'!U6</f>
        <v>20</v>
      </c>
      <c r="W5" s="18">
        <f>'FS Seychelles'!V6</f>
        <v>119</v>
      </c>
      <c r="X5" s="18">
        <f>'FS Seychelles'!W6</f>
        <v>137</v>
      </c>
      <c r="Y5" s="18">
        <f>'FS Seychelles'!X6</f>
        <v>85</v>
      </c>
      <c r="Z5" s="18">
        <f>'FS Seychelles'!Y6</f>
        <v>78</v>
      </c>
      <c r="AA5" s="18">
        <f>'FS Seychelles'!Z6</f>
        <v>0</v>
      </c>
      <c r="AB5" s="18">
        <f>TOTAL!G5</f>
        <v>435.26666666666665</v>
      </c>
    </row>
    <row r="6" spans="1:28">
      <c r="A6" s="1" t="s">
        <v>13</v>
      </c>
      <c r="B6" s="11">
        <f t="shared" si="0"/>
        <v>5</v>
      </c>
      <c r="C6" s="11">
        <v>10</v>
      </c>
      <c r="D6" s="11">
        <v>2021</v>
      </c>
      <c r="E6" s="18">
        <f>'FS Seychelles'!B7</f>
        <v>34.21</v>
      </c>
      <c r="F6" s="18">
        <f>'FS Seychelles'!D7*1000</f>
        <v>2188.8000000000002</v>
      </c>
      <c r="G6" s="18">
        <f>'FS Seychelles'!E7*1000</f>
        <v>3999.7440000000001</v>
      </c>
      <c r="H6" s="18">
        <f>'FS Seychelles'!F7*1000</f>
        <v>4811.7759999999998</v>
      </c>
      <c r="I6" s="18">
        <f>'FS Seychelles'!G7*1000</f>
        <v>1577.9840000000002</v>
      </c>
      <c r="J6" s="18">
        <f>'FS Seychelles'!H7*1000</f>
        <v>2392.8319999999999</v>
      </c>
      <c r="K6" s="18">
        <f>'FS Seychelles'!I7*1000</f>
        <v>2597.3760000000002</v>
      </c>
      <c r="L6" s="18">
        <f>'FS Seychelles'!J7*1000</f>
        <v>1349.376</v>
      </c>
      <c r="M6" s="18">
        <f>'FS Seychelles'!K7*1000</f>
        <v>1615.104</v>
      </c>
      <c r="N6" s="18">
        <f>'FS Seychelles'!L7*1000</f>
        <v>3616.2559999999999</v>
      </c>
      <c r="O6" s="18">
        <f>'FS Seychelles'!M7</f>
        <v>11074</v>
      </c>
      <c r="P6" s="18">
        <f>'FS Seychelles'!N7</f>
        <v>0</v>
      </c>
      <c r="Q6" s="18">
        <f>'FS Seychelles'!O7</f>
        <v>8749</v>
      </c>
      <c r="R6" s="18">
        <f>'FS Seychelles'!P7</f>
        <v>0</v>
      </c>
      <c r="S6" s="18">
        <f>'FS Seychelles'!Q7</f>
        <v>5896</v>
      </c>
      <c r="T6" s="18">
        <f>'FS Seychelles'!R7</f>
        <v>6309</v>
      </c>
      <c r="U6" s="18">
        <f>'FS Seychelles'!T7</f>
        <v>58</v>
      </c>
      <c r="V6" s="18">
        <f>'FS Seychelles'!U7</f>
        <v>22</v>
      </c>
      <c r="W6" s="18">
        <f>'FS Seychelles'!V7</f>
        <v>132</v>
      </c>
      <c r="X6" s="18">
        <f>'FS Seychelles'!W7</f>
        <v>150</v>
      </c>
      <c r="Y6" s="18">
        <f>'FS Seychelles'!X7</f>
        <v>82</v>
      </c>
      <c r="Z6" s="18">
        <f>'FS Seychelles'!Y7</f>
        <v>119</v>
      </c>
      <c r="AA6" s="18">
        <f>'FS Seychelles'!Z7</f>
        <v>0</v>
      </c>
      <c r="AB6" s="18">
        <f>TOTAL!G6</f>
        <v>435.26666666666665</v>
      </c>
    </row>
    <row r="7" spans="1:28">
      <c r="A7" s="1" t="s">
        <v>13</v>
      </c>
      <c r="B7" s="11">
        <f t="shared" si="0"/>
        <v>6</v>
      </c>
      <c r="C7" s="11">
        <v>10</v>
      </c>
      <c r="D7" s="11">
        <v>2021</v>
      </c>
      <c r="E7" s="18">
        <f>'FS Seychelles'!B8</f>
        <v>35.53</v>
      </c>
      <c r="F7" s="18">
        <f>'FS Seychelles'!D8*1000</f>
        <v>2369.5360000000001</v>
      </c>
      <c r="G7" s="18">
        <f>'FS Seychelles'!E8*1000</f>
        <v>4272.6400000000003</v>
      </c>
      <c r="H7" s="18">
        <f>'FS Seychelles'!F8*1000</f>
        <v>4855.808</v>
      </c>
      <c r="I7" s="18">
        <f>'FS Seychelles'!G8*1000</f>
        <v>1625.6</v>
      </c>
      <c r="J7" s="18">
        <f>'FS Seychelles'!H8*1000</f>
        <v>2454.7840000000001</v>
      </c>
      <c r="K7" s="18">
        <f>'FS Seychelles'!I8*1000</f>
        <v>2606.5920000000001</v>
      </c>
      <c r="L7" s="18">
        <f>'FS Seychelles'!J8*1000</f>
        <v>1374.848</v>
      </c>
      <c r="M7" s="18">
        <f>'FS Seychelles'!K8*1000</f>
        <v>1589.5040000000001</v>
      </c>
      <c r="N7" s="18">
        <f>'FS Seychelles'!L8*1000</f>
        <v>3717.12</v>
      </c>
      <c r="O7" s="18">
        <f>'FS Seychelles'!M8</f>
        <v>2515</v>
      </c>
      <c r="P7" s="18">
        <f>'FS Seychelles'!N8</f>
        <v>6295</v>
      </c>
      <c r="Q7" s="18">
        <f>'FS Seychelles'!O8</f>
        <v>3959</v>
      </c>
      <c r="R7" s="18">
        <f>'FS Seychelles'!P8</f>
        <v>10393</v>
      </c>
      <c r="S7" s="18">
        <f>'FS Seychelles'!Q8</f>
        <v>3483</v>
      </c>
      <c r="T7" s="18">
        <f>'FS Seychelles'!R8</f>
        <v>7207</v>
      </c>
      <c r="U7" s="18">
        <f>'FS Seychelles'!T8</f>
        <v>52</v>
      </c>
      <c r="V7" s="18">
        <f>'FS Seychelles'!U8</f>
        <v>32</v>
      </c>
      <c r="W7" s="18">
        <f>'FS Seychelles'!V8</f>
        <v>142</v>
      </c>
      <c r="X7" s="18">
        <f>'FS Seychelles'!W8</f>
        <v>212</v>
      </c>
      <c r="Y7" s="18">
        <f>'FS Seychelles'!X8</f>
        <v>96</v>
      </c>
      <c r="Z7" s="18">
        <f>'FS Seychelles'!Y8</f>
        <v>115</v>
      </c>
      <c r="AA7" s="18">
        <f>'FS Seychelles'!Z8</f>
        <v>0</v>
      </c>
      <c r="AB7" s="18">
        <f>TOTAL!G7</f>
        <v>435.26666666666665</v>
      </c>
    </row>
    <row r="8" spans="1:28">
      <c r="A8" s="1" t="s">
        <v>13</v>
      </c>
      <c r="B8" s="11">
        <f t="shared" si="0"/>
        <v>7</v>
      </c>
      <c r="C8" s="11">
        <v>10</v>
      </c>
      <c r="D8" s="11">
        <v>2021</v>
      </c>
      <c r="E8" s="18">
        <f>'FS Seychelles'!B9</f>
        <v>40.79</v>
      </c>
      <c r="F8" s="18">
        <f>'FS Seychelles'!D9*1000</f>
        <v>2492.9279999999999</v>
      </c>
      <c r="G8" s="18">
        <f>'FS Seychelles'!E9*1000</f>
        <v>4080.1280000000002</v>
      </c>
      <c r="H8" s="18">
        <f>'FS Seychelles'!F9*1000</f>
        <v>4987.9040000000005</v>
      </c>
      <c r="I8" s="18">
        <f>'FS Seychelles'!G9*1000</f>
        <v>1728.2560000000001</v>
      </c>
      <c r="J8" s="18">
        <f>'FS Seychelles'!H9*1000</f>
        <v>2624.2559999999999</v>
      </c>
      <c r="K8" s="18">
        <f>'FS Seychelles'!I9*1000</f>
        <v>2865.4079999999999</v>
      </c>
      <c r="L8" s="18">
        <f>'FS Seychelles'!J9*1000</f>
        <v>1269.8879999999999</v>
      </c>
      <c r="M8" s="18">
        <f>'FS Seychelles'!K9*1000</f>
        <v>1614.5920000000001</v>
      </c>
      <c r="N8" s="18">
        <f>'FS Seychelles'!L9*1000</f>
        <v>3695.616</v>
      </c>
      <c r="O8" s="18">
        <f>'FS Seychelles'!M9</f>
        <v>13020</v>
      </c>
      <c r="P8" s="18">
        <f>'FS Seychelles'!N9</f>
        <v>7450</v>
      </c>
      <c r="Q8" s="18">
        <f>'FS Seychelles'!O9</f>
        <v>3492</v>
      </c>
      <c r="R8" s="18">
        <f>'FS Seychelles'!P9</f>
        <v>8515</v>
      </c>
      <c r="S8" s="18">
        <f>'FS Seychelles'!Q9</f>
        <v>5242</v>
      </c>
      <c r="T8" s="18">
        <f>'FS Seychelles'!R9</f>
        <v>10086</v>
      </c>
      <c r="U8" s="18">
        <f>'FS Seychelles'!T9</f>
        <v>60</v>
      </c>
      <c r="V8" s="18">
        <f>'FS Seychelles'!U9</f>
        <v>67</v>
      </c>
      <c r="W8" s="18">
        <f>'FS Seychelles'!V9</f>
        <v>129</v>
      </c>
      <c r="X8" s="18">
        <f>'FS Seychelles'!W9</f>
        <v>145</v>
      </c>
      <c r="Y8" s="18">
        <f>'FS Seychelles'!X9</f>
        <v>109</v>
      </c>
      <c r="Z8" s="18">
        <f>'FS Seychelles'!Y9</f>
        <v>114</v>
      </c>
      <c r="AA8" s="18">
        <f>'FS Seychelles'!Z9</f>
        <v>0</v>
      </c>
      <c r="AB8" s="18">
        <f>TOTAL!G8</f>
        <v>435.26666666666665</v>
      </c>
    </row>
    <row r="9" spans="1:28">
      <c r="A9" s="1" t="s">
        <v>13</v>
      </c>
      <c r="B9" s="11">
        <f t="shared" si="0"/>
        <v>8</v>
      </c>
      <c r="C9" s="11">
        <v>10</v>
      </c>
      <c r="D9" s="11">
        <v>2021</v>
      </c>
      <c r="E9" s="18">
        <f>'FS Seychelles'!B10</f>
        <v>47.38</v>
      </c>
      <c r="F9" s="18">
        <f>'FS Seychelles'!D10*1000</f>
        <v>2515.9679999999998</v>
      </c>
      <c r="G9" s="18">
        <f>'FS Seychelles'!E10*1000</f>
        <v>4024.8319999999999</v>
      </c>
      <c r="H9" s="18">
        <f>'FS Seychelles'!F10*1000</f>
        <v>4742.6559999999999</v>
      </c>
      <c r="I9" s="18">
        <f>'FS Seychelles'!G10*1000</f>
        <v>1756.672</v>
      </c>
      <c r="J9" s="18">
        <f>'FS Seychelles'!H10*1000</f>
        <v>2642.1759999999999</v>
      </c>
      <c r="K9" s="18">
        <f>'FS Seychelles'!I10*1000</f>
        <v>2792.192</v>
      </c>
      <c r="L9" s="18">
        <f>'FS Seychelles'!J10*1000</f>
        <v>1404.4160000000002</v>
      </c>
      <c r="M9" s="18">
        <f>'FS Seychelles'!K10*1000</f>
        <v>1624.8320000000001</v>
      </c>
      <c r="N9" s="18">
        <f>'FS Seychelles'!L10*1000</f>
        <v>3843.0719999999997</v>
      </c>
      <c r="O9" s="18">
        <f>'FS Seychelles'!M10</f>
        <v>6658</v>
      </c>
      <c r="P9" s="18">
        <f>'FS Seychelles'!N10</f>
        <v>0</v>
      </c>
      <c r="Q9" s="18">
        <f>'FS Seychelles'!O10</f>
        <v>0</v>
      </c>
      <c r="R9" s="18">
        <f>'FS Seychelles'!P10</f>
        <v>6169</v>
      </c>
      <c r="S9" s="18">
        <f>'FS Seychelles'!Q10</f>
        <v>4973</v>
      </c>
      <c r="T9" s="18">
        <f>'FS Seychelles'!R10</f>
        <v>5552</v>
      </c>
      <c r="U9" s="18">
        <f>'FS Seychelles'!T10</f>
        <v>50</v>
      </c>
      <c r="V9" s="18">
        <f>'FS Seychelles'!U10</f>
        <v>32</v>
      </c>
      <c r="W9" s="18">
        <f>'FS Seychelles'!V10</f>
        <v>141</v>
      </c>
      <c r="X9" s="18">
        <f>'FS Seychelles'!W10</f>
        <v>176</v>
      </c>
      <c r="Y9" s="18">
        <f>'FS Seychelles'!X10</f>
        <v>107</v>
      </c>
      <c r="Z9" s="18">
        <f>'FS Seychelles'!Y10</f>
        <v>107</v>
      </c>
      <c r="AA9" s="18">
        <f>'FS Seychelles'!Z10</f>
        <v>0</v>
      </c>
      <c r="AB9" s="18">
        <f>TOTAL!G9</f>
        <v>435.26666666666665</v>
      </c>
    </row>
    <row r="10" spans="1:28">
      <c r="A10" s="1" t="s">
        <v>13</v>
      </c>
      <c r="B10" s="11">
        <f t="shared" si="0"/>
        <v>9</v>
      </c>
      <c r="C10" s="11">
        <v>10</v>
      </c>
      <c r="D10" s="11">
        <v>2021</v>
      </c>
      <c r="E10" s="18">
        <f>'FS Seychelles'!B11</f>
        <v>49.33</v>
      </c>
      <c r="F10" s="18">
        <f>'FS Seychelles'!D11*1000</f>
        <v>2785.7919999999999</v>
      </c>
      <c r="G10" s="18">
        <f>'FS Seychelles'!E11*1000</f>
        <v>4327.424</v>
      </c>
      <c r="H10" s="18">
        <f>'FS Seychelles'!F11*1000</f>
        <v>4713.4720000000007</v>
      </c>
      <c r="I10" s="18">
        <f>'FS Seychelles'!G11*1000</f>
        <v>1733.6320000000001</v>
      </c>
      <c r="J10" s="18">
        <f>'FS Seychelles'!H11*1000</f>
        <v>2556.1600000000003</v>
      </c>
      <c r="K10" s="18">
        <f>'FS Seychelles'!I11*1000</f>
        <v>2985.4720000000002</v>
      </c>
      <c r="L10" s="18">
        <f>'FS Seychelles'!J11*1000</f>
        <v>1443.5840000000001</v>
      </c>
      <c r="M10" s="18">
        <f>'FS Seychelles'!K11*1000</f>
        <v>1718.528</v>
      </c>
      <c r="N10" s="18">
        <f>'FS Seychelles'!L11*1000</f>
        <v>3768.8320000000003</v>
      </c>
      <c r="O10" s="18">
        <f>'FS Seychelles'!M11</f>
        <v>5328</v>
      </c>
      <c r="P10" s="18">
        <f>'FS Seychelles'!N11</f>
        <v>8075</v>
      </c>
      <c r="Q10" s="18">
        <f>'FS Seychelles'!O11</f>
        <v>985</v>
      </c>
      <c r="R10" s="18">
        <f>'FS Seychelles'!P11</f>
        <v>8186</v>
      </c>
      <c r="S10" s="18">
        <f>'FS Seychelles'!Q11</f>
        <v>5371</v>
      </c>
      <c r="T10" s="18">
        <f>'FS Seychelles'!R11</f>
        <v>7765</v>
      </c>
      <c r="U10" s="18">
        <f>'FS Seychelles'!T11</f>
        <v>51</v>
      </c>
      <c r="V10" s="18">
        <f>'FS Seychelles'!U11</f>
        <v>0</v>
      </c>
      <c r="W10" s="18">
        <f>'FS Seychelles'!V11</f>
        <v>144</v>
      </c>
      <c r="X10" s="18">
        <f>'FS Seychelles'!W11</f>
        <v>184</v>
      </c>
      <c r="Y10" s="18">
        <f>'FS Seychelles'!X11</f>
        <v>68</v>
      </c>
      <c r="Z10" s="18">
        <f>'FS Seychelles'!Y11</f>
        <v>109</v>
      </c>
      <c r="AA10" s="18">
        <f>'FS Seychelles'!Z11</f>
        <v>0</v>
      </c>
      <c r="AB10" s="18">
        <f>TOTAL!G10</f>
        <v>435.26666666666665</v>
      </c>
    </row>
    <row r="11" spans="1:28">
      <c r="A11" s="1" t="s">
        <v>13</v>
      </c>
      <c r="B11" s="11">
        <f t="shared" si="0"/>
        <v>10</v>
      </c>
      <c r="C11" s="11">
        <v>10</v>
      </c>
      <c r="D11" s="11">
        <v>2021</v>
      </c>
      <c r="E11" s="18">
        <f>'FS Seychelles'!B12</f>
        <v>47.37</v>
      </c>
      <c r="F11" s="18">
        <f>'FS Seychelles'!D12*1000</f>
        <v>2401.7919999999999</v>
      </c>
      <c r="G11" s="18">
        <f>'FS Seychelles'!E12*1000</f>
        <v>3593.2159999999999</v>
      </c>
      <c r="H11" s="18">
        <f>'FS Seychelles'!F12*1000</f>
        <v>4619.2640000000001</v>
      </c>
      <c r="I11" s="18">
        <f>'FS Seychelles'!G12*1000</f>
        <v>1599.4880000000001</v>
      </c>
      <c r="J11" s="18">
        <f>'FS Seychelles'!H12*1000</f>
        <v>2324.9919999999997</v>
      </c>
      <c r="K11" s="18">
        <f>'FS Seychelles'!I12*1000</f>
        <v>2568.7039999999997</v>
      </c>
      <c r="L11" s="18">
        <f>'FS Seychelles'!J12*1000</f>
        <v>1429.5040000000001</v>
      </c>
      <c r="M11" s="18">
        <f>'FS Seychelles'!K12*1000</f>
        <v>1638.912</v>
      </c>
      <c r="N11" s="18">
        <f>'FS Seychelles'!L12*1000</f>
        <v>3621.8880000000004</v>
      </c>
      <c r="O11" s="18">
        <f>'FS Seychelles'!M12</f>
        <v>3501</v>
      </c>
      <c r="P11" s="18">
        <f>'FS Seychelles'!N12</f>
        <v>8160</v>
      </c>
      <c r="Q11" s="18">
        <f>'FS Seychelles'!O12</f>
        <v>8086</v>
      </c>
      <c r="R11" s="18">
        <f>'FS Seychelles'!P12</f>
        <v>0</v>
      </c>
      <c r="S11" s="18">
        <f>'FS Seychelles'!Q12</f>
        <v>6331</v>
      </c>
      <c r="T11" s="18">
        <f>'FS Seychelles'!R12</f>
        <v>6385</v>
      </c>
      <c r="U11" s="18">
        <f>'FS Seychelles'!T12</f>
        <v>46</v>
      </c>
      <c r="V11" s="18">
        <f>'FS Seychelles'!U12</f>
        <v>26</v>
      </c>
      <c r="W11" s="18">
        <f>'FS Seychelles'!V12</f>
        <v>125</v>
      </c>
      <c r="X11" s="18">
        <f>'FS Seychelles'!W12</f>
        <v>185</v>
      </c>
      <c r="Y11" s="18">
        <f>'FS Seychelles'!X12</f>
        <v>76</v>
      </c>
      <c r="Z11" s="18">
        <f>'FS Seychelles'!Y12</f>
        <v>113</v>
      </c>
      <c r="AA11" s="18">
        <f>'FS Seychelles'!Z12</f>
        <v>0</v>
      </c>
      <c r="AB11" s="18">
        <f>TOTAL!G11</f>
        <v>435.26666666666665</v>
      </c>
    </row>
    <row r="12" spans="1:28">
      <c r="A12" s="1" t="s">
        <v>13</v>
      </c>
      <c r="B12" s="11">
        <f t="shared" si="0"/>
        <v>11</v>
      </c>
      <c r="C12" s="11">
        <v>10</v>
      </c>
      <c r="D12" s="11">
        <v>2021</v>
      </c>
      <c r="E12" s="18">
        <f>'FS Seychelles'!B13</f>
        <v>46.75</v>
      </c>
      <c r="F12" s="18">
        <f>'FS Seychelles'!D13*1000</f>
        <v>2628.096</v>
      </c>
      <c r="G12" s="18">
        <f>'FS Seychelles'!E13*1000</f>
        <v>3826.1759999999999</v>
      </c>
      <c r="H12" s="18">
        <f>'FS Seychelles'!F13*1000</f>
        <v>5011.9680000000008</v>
      </c>
      <c r="I12" s="18">
        <f>'FS Seychelles'!G13*1000</f>
        <v>1714.944</v>
      </c>
      <c r="J12" s="18">
        <f>'FS Seychelles'!H13*1000</f>
        <v>2732.8</v>
      </c>
      <c r="K12" s="18">
        <f>'FS Seychelles'!I13*1000</f>
        <v>2967.5520000000001</v>
      </c>
      <c r="L12" s="18">
        <f>'FS Seychelles'!J13*1000</f>
        <v>1276.5439999999999</v>
      </c>
      <c r="M12" s="18">
        <f>'FS Seychelles'!K13*1000</f>
        <v>1598.2080000000001</v>
      </c>
      <c r="N12" s="18">
        <f>'FS Seychelles'!L13*1000</f>
        <v>3588.096</v>
      </c>
      <c r="O12" s="18">
        <f>'FS Seychelles'!M13</f>
        <v>6208</v>
      </c>
      <c r="P12" s="18">
        <f>'FS Seychelles'!N13</f>
        <v>3554</v>
      </c>
      <c r="Q12" s="18">
        <f>'FS Seychelles'!O13</f>
        <v>5705</v>
      </c>
      <c r="R12" s="18">
        <f>'FS Seychelles'!P13</f>
        <v>5382</v>
      </c>
      <c r="S12" s="18">
        <f>'FS Seychelles'!Q13</f>
        <v>7319</v>
      </c>
      <c r="T12" s="18">
        <f>'FS Seychelles'!R13</f>
        <v>7224</v>
      </c>
      <c r="U12" s="18">
        <f>'FS Seychelles'!T13</f>
        <v>51</v>
      </c>
      <c r="V12" s="18">
        <f>'FS Seychelles'!U13</f>
        <v>50</v>
      </c>
      <c r="W12" s="18">
        <f>'FS Seychelles'!V13</f>
        <v>149</v>
      </c>
      <c r="X12" s="18">
        <f>'FS Seychelles'!W13</f>
        <v>141</v>
      </c>
      <c r="Y12" s="18">
        <f>'FS Seychelles'!X13</f>
        <v>89</v>
      </c>
      <c r="Z12" s="18">
        <f>'FS Seychelles'!Y13</f>
        <v>110</v>
      </c>
      <c r="AA12" s="18">
        <f>'FS Seychelles'!Z13</f>
        <v>0</v>
      </c>
      <c r="AB12" s="18">
        <f>TOTAL!G12</f>
        <v>435.26666666666665</v>
      </c>
    </row>
    <row r="13" spans="1:28">
      <c r="A13" s="1" t="s">
        <v>13</v>
      </c>
      <c r="B13" s="11">
        <f t="shared" si="0"/>
        <v>12</v>
      </c>
      <c r="C13" s="11">
        <v>10</v>
      </c>
      <c r="D13" s="11">
        <v>2021</v>
      </c>
      <c r="E13" s="18">
        <f>'FS Seychelles'!B14</f>
        <v>50.67</v>
      </c>
      <c r="F13" s="18">
        <f>'FS Seychelles'!D14*1000</f>
        <v>2695.68</v>
      </c>
      <c r="G13" s="18">
        <f>'FS Seychelles'!E14*1000</f>
        <v>3993.6</v>
      </c>
      <c r="H13" s="18">
        <f>'FS Seychelles'!F14*1000</f>
        <v>5081.0880000000006</v>
      </c>
      <c r="I13" s="18">
        <f>'FS Seychelles'!G14*1000</f>
        <v>1756.9280000000001</v>
      </c>
      <c r="J13" s="18">
        <f>'FS Seychelles'!H14*1000</f>
        <v>2837.248</v>
      </c>
      <c r="K13" s="18">
        <f>'FS Seychelles'!I14*1000</f>
        <v>3768.0639999999999</v>
      </c>
      <c r="L13" s="18">
        <f>'FS Seychelles'!J14*1000</f>
        <v>1296.768</v>
      </c>
      <c r="M13" s="18">
        <f>'FS Seychelles'!K14*1000</f>
        <v>1559.296</v>
      </c>
      <c r="N13" s="18">
        <f>'FS Seychelles'!L14*1000</f>
        <v>3587.0720000000001</v>
      </c>
      <c r="O13" s="18">
        <f>'FS Seychelles'!M14</f>
        <v>11869</v>
      </c>
      <c r="P13" s="18">
        <f>'FS Seychelles'!N14</f>
        <v>7982</v>
      </c>
      <c r="Q13" s="18">
        <f>'FS Seychelles'!O14</f>
        <v>0</v>
      </c>
      <c r="R13" s="18">
        <f>'FS Seychelles'!P14</f>
        <v>0</v>
      </c>
      <c r="S13" s="18">
        <f>'FS Seychelles'!Q14</f>
        <v>3818</v>
      </c>
      <c r="T13" s="18">
        <f>'FS Seychelles'!R14</f>
        <v>6313</v>
      </c>
      <c r="U13" s="18">
        <f>'FS Seychelles'!T14</f>
        <v>55</v>
      </c>
      <c r="V13" s="18">
        <f>'FS Seychelles'!U14</f>
        <v>28</v>
      </c>
      <c r="W13" s="18">
        <f>'FS Seychelles'!V14</f>
        <v>163</v>
      </c>
      <c r="X13" s="18">
        <f>'FS Seychelles'!W14</f>
        <v>177</v>
      </c>
      <c r="Y13" s="18">
        <f>'FS Seychelles'!X14</f>
        <v>69</v>
      </c>
      <c r="Z13" s="18">
        <f>'FS Seychelles'!Y14</f>
        <v>115</v>
      </c>
      <c r="AA13" s="18">
        <f>'FS Seychelles'!Z14</f>
        <v>0</v>
      </c>
      <c r="AB13" s="18">
        <f>TOTAL!G13</f>
        <v>435.26666666666665</v>
      </c>
    </row>
    <row r="14" spans="1:28">
      <c r="A14" s="1" t="s">
        <v>13</v>
      </c>
      <c r="B14" s="11">
        <f t="shared" si="0"/>
        <v>13</v>
      </c>
      <c r="C14" s="11">
        <v>10</v>
      </c>
      <c r="D14" s="11">
        <v>2021</v>
      </c>
      <c r="E14" s="18">
        <f>'FS Seychelles'!B15</f>
        <v>52.63</v>
      </c>
      <c r="F14" s="18">
        <f>'FS Seychelles'!D15*1000</f>
        <v>2518.5279999999998</v>
      </c>
      <c r="G14" s="18">
        <f>'FS Seychelles'!E15*1000</f>
        <v>3859.9679999999998</v>
      </c>
      <c r="H14" s="18">
        <f>'FS Seychelles'!F15*1000</f>
        <v>4948.9919999999993</v>
      </c>
      <c r="I14" s="18">
        <f>'FS Seychelles'!G15*1000</f>
        <v>1693.184</v>
      </c>
      <c r="J14" s="18">
        <f>'FS Seychelles'!H15*1000</f>
        <v>2513.4079999999999</v>
      </c>
      <c r="K14" s="18">
        <f>'FS Seychelles'!I15*1000</f>
        <v>3851.0080000000003</v>
      </c>
      <c r="L14" s="18">
        <f>'FS Seychelles'!J15*1000</f>
        <v>1198.848</v>
      </c>
      <c r="M14" s="18">
        <f>'FS Seychelles'!K15*1000</f>
        <v>1548.5439999999999</v>
      </c>
      <c r="N14" s="18">
        <f>'FS Seychelles'!L15*1000</f>
        <v>3500.5440000000003</v>
      </c>
      <c r="O14" s="18">
        <f>'FS Seychelles'!M15</f>
        <v>5095</v>
      </c>
      <c r="P14" s="18">
        <f>'FS Seychelles'!N15</f>
        <v>8086</v>
      </c>
      <c r="Q14" s="18">
        <f>'FS Seychelles'!O15</f>
        <v>4192</v>
      </c>
      <c r="R14" s="18">
        <f>'FS Seychelles'!P15</f>
        <v>5982</v>
      </c>
      <c r="S14" s="18">
        <f>'FS Seychelles'!Q15</f>
        <v>5203</v>
      </c>
      <c r="T14" s="18">
        <f>'FS Seychelles'!R15</f>
        <v>7603</v>
      </c>
      <c r="U14" s="18">
        <f>'FS Seychelles'!T15</f>
        <v>49</v>
      </c>
      <c r="V14" s="18">
        <f>'FS Seychelles'!U15</f>
        <v>47</v>
      </c>
      <c r="W14" s="18">
        <f>'FS Seychelles'!V15</f>
        <v>142</v>
      </c>
      <c r="X14" s="18">
        <f>'FS Seychelles'!W15</f>
        <v>166</v>
      </c>
      <c r="Y14" s="18">
        <f>'FS Seychelles'!X15</f>
        <v>75</v>
      </c>
      <c r="Z14" s="18">
        <f>'FS Seychelles'!Y15</f>
        <v>52</v>
      </c>
      <c r="AA14" s="18">
        <f>'FS Seychelles'!Z15</f>
        <v>0</v>
      </c>
      <c r="AB14" s="18">
        <f>TOTAL!G14</f>
        <v>435.26666666666665</v>
      </c>
    </row>
    <row r="15" spans="1:28">
      <c r="A15" s="1" t="s">
        <v>13</v>
      </c>
      <c r="B15" s="11">
        <f t="shared" si="0"/>
        <v>14</v>
      </c>
      <c r="C15" s="11">
        <v>10</v>
      </c>
      <c r="D15" s="11">
        <v>2021</v>
      </c>
      <c r="E15" s="18">
        <f>'FS Seychelles'!B16</f>
        <v>51.31</v>
      </c>
      <c r="F15" s="18">
        <f>'FS Seychelles'!D16*1000</f>
        <v>2506.752</v>
      </c>
      <c r="G15" s="18">
        <f>'FS Seychelles'!E16*1000</f>
        <v>3926.5279999999998</v>
      </c>
      <c r="H15" s="18">
        <f>'FS Seychelles'!F16*1000</f>
        <v>5034.4960000000001</v>
      </c>
      <c r="I15" s="18">
        <f>'FS Seychelles'!G16*1000</f>
        <v>1831.424</v>
      </c>
      <c r="J15" s="18">
        <f>'FS Seychelles'!H16*1000</f>
        <v>2509.3119999999999</v>
      </c>
      <c r="K15" s="18">
        <f>'FS Seychelles'!I16*1000</f>
        <v>4036.8639999999996</v>
      </c>
      <c r="L15" s="18">
        <f>'FS Seychelles'!J16*1000</f>
        <v>1156.6080000000002</v>
      </c>
      <c r="M15" s="18">
        <f>'FS Seychelles'!K16*1000</f>
        <v>1564.16</v>
      </c>
      <c r="N15" s="18">
        <f>'FS Seychelles'!L16*1000</f>
        <v>3412.9920000000002</v>
      </c>
      <c r="O15" s="18">
        <f>'FS Seychelles'!M16</f>
        <v>3527</v>
      </c>
      <c r="P15" s="18">
        <f>'FS Seychelles'!N16</f>
        <v>5800</v>
      </c>
      <c r="Q15" s="18">
        <f>'FS Seychelles'!O16</f>
        <v>6820</v>
      </c>
      <c r="R15" s="18">
        <f>'FS Seychelles'!P16</f>
        <v>5041</v>
      </c>
      <c r="S15" s="18">
        <f>'FS Seychelles'!Q16</f>
        <v>6079</v>
      </c>
      <c r="T15" s="18">
        <f>'FS Seychelles'!R16</f>
        <v>7045</v>
      </c>
      <c r="U15" s="18">
        <f>'FS Seychelles'!T16</f>
        <v>52</v>
      </c>
      <c r="V15" s="18">
        <f>'FS Seychelles'!U16</f>
        <v>33</v>
      </c>
      <c r="W15" s="18">
        <f>'FS Seychelles'!V16</f>
        <v>149</v>
      </c>
      <c r="X15" s="18">
        <f>'FS Seychelles'!W16</f>
        <v>200</v>
      </c>
      <c r="Y15" s="18">
        <f>'FS Seychelles'!X16</f>
        <v>91</v>
      </c>
      <c r="Z15" s="18">
        <f>'FS Seychelles'!Y16</f>
        <v>95</v>
      </c>
      <c r="AA15" s="18">
        <f>'FS Seychelles'!Z16</f>
        <v>0</v>
      </c>
      <c r="AB15" s="18">
        <f>TOTAL!G15</f>
        <v>435.26666666666665</v>
      </c>
    </row>
    <row r="16" spans="1:28">
      <c r="A16" s="1" t="s">
        <v>13</v>
      </c>
      <c r="B16" s="11">
        <f t="shared" si="0"/>
        <v>15</v>
      </c>
      <c r="C16" s="11">
        <v>10</v>
      </c>
      <c r="D16" s="11">
        <v>2021</v>
      </c>
      <c r="E16" s="18">
        <f>'FS Seychelles'!B17</f>
        <v>57.89</v>
      </c>
      <c r="F16" s="18">
        <f>'FS Seychelles'!D17*1000</f>
        <v>2564.6080000000002</v>
      </c>
      <c r="G16" s="18">
        <f>'FS Seychelles'!E17*1000</f>
        <v>3858.944</v>
      </c>
      <c r="H16" s="18">
        <f>'FS Seychelles'!F17*1000</f>
        <v>5005.3119999999999</v>
      </c>
      <c r="I16" s="18">
        <f>'FS Seychelles'!G17*1000</f>
        <v>1950.9760000000001</v>
      </c>
      <c r="J16" s="18">
        <f>'FS Seychelles'!H17*1000</f>
        <v>2661.6320000000001</v>
      </c>
      <c r="K16" s="18">
        <f>'FS Seychelles'!I17*1000</f>
        <v>4128.768</v>
      </c>
      <c r="L16" s="18">
        <f>'FS Seychelles'!J17*1000</f>
        <v>1473.9199999999998</v>
      </c>
      <c r="M16" s="18">
        <f>'FS Seychelles'!K17*1000</f>
        <v>1542.6559999999999</v>
      </c>
      <c r="N16" s="18">
        <f>'FS Seychelles'!L17*1000</f>
        <v>3710.9760000000001</v>
      </c>
      <c r="O16" s="18">
        <f>'FS Seychelles'!M17</f>
        <v>7514</v>
      </c>
      <c r="P16" s="18">
        <f>'FS Seychelles'!N17</f>
        <v>4827</v>
      </c>
      <c r="Q16" s="18">
        <f>'FS Seychelles'!O17</f>
        <v>5028</v>
      </c>
      <c r="R16" s="18">
        <f>'FS Seychelles'!P17</f>
        <v>976</v>
      </c>
      <c r="S16" s="18">
        <f>'FS Seychelles'!Q17</f>
        <v>9759</v>
      </c>
      <c r="T16" s="18">
        <f>'FS Seychelles'!R17</f>
        <v>7438</v>
      </c>
      <c r="U16" s="18">
        <f>'FS Seychelles'!T17</f>
        <v>61</v>
      </c>
      <c r="V16" s="18">
        <f>'FS Seychelles'!U17</f>
        <v>51</v>
      </c>
      <c r="W16" s="18">
        <f>'FS Seychelles'!V17</f>
        <v>150</v>
      </c>
      <c r="X16" s="18">
        <f>'FS Seychelles'!W17</f>
        <v>178</v>
      </c>
      <c r="Y16" s="18">
        <f>'FS Seychelles'!X17</f>
        <v>96</v>
      </c>
      <c r="Z16" s="18">
        <f>'FS Seychelles'!Y17</f>
        <v>111</v>
      </c>
      <c r="AA16" s="18">
        <f>'FS Seychelles'!Z17</f>
        <v>0</v>
      </c>
      <c r="AB16" s="18">
        <f>TOTAL!G16</f>
        <v>435.26666666666665</v>
      </c>
    </row>
    <row r="17" spans="1:28">
      <c r="A17" s="1" t="s">
        <v>13</v>
      </c>
      <c r="B17" s="11">
        <f t="shared" si="0"/>
        <v>16</v>
      </c>
      <c r="C17" s="11">
        <v>10</v>
      </c>
      <c r="D17" s="11">
        <v>2021</v>
      </c>
      <c r="E17" s="18">
        <f>'FS Seychelles'!B18</f>
        <v>64.47</v>
      </c>
      <c r="F17" s="18">
        <f>'FS Seychelles'!D18*1000</f>
        <v>2792.96</v>
      </c>
      <c r="G17" s="18">
        <f>'FS Seychelles'!E18*1000</f>
        <v>4410.3680000000004</v>
      </c>
      <c r="H17" s="18">
        <f>'FS Seychelles'!F18*1000</f>
        <v>5122.0480000000007</v>
      </c>
      <c r="I17" s="18">
        <f>'FS Seychelles'!G18*1000</f>
        <v>1992.96</v>
      </c>
      <c r="J17" s="18">
        <f>'FS Seychelles'!H18*1000</f>
        <v>2557.6959999999999</v>
      </c>
      <c r="K17" s="18">
        <f>'FS Seychelles'!I18*1000</f>
        <v>4386.8159999999998</v>
      </c>
      <c r="L17" s="18">
        <f>'FS Seychelles'!J18*1000</f>
        <v>1459.328</v>
      </c>
      <c r="M17" s="18">
        <f>'FS Seychelles'!K18*1000</f>
        <v>1704.192</v>
      </c>
      <c r="N17" s="18">
        <f>'FS Seychelles'!L18*1000</f>
        <v>3668.48</v>
      </c>
      <c r="O17" s="18">
        <f>'FS Seychelles'!M18</f>
        <v>4013</v>
      </c>
      <c r="P17" s="18">
        <f>'FS Seychelles'!N18</f>
        <v>10332</v>
      </c>
      <c r="Q17" s="18">
        <f>'FS Seychelles'!O18</f>
        <v>0</v>
      </c>
      <c r="R17" s="18">
        <f>'FS Seychelles'!P18</f>
        <v>10628</v>
      </c>
      <c r="S17" s="18">
        <f>'FS Seychelles'!Q18</f>
        <v>4256</v>
      </c>
      <c r="T17" s="18">
        <f>'FS Seychelles'!R18</f>
        <v>8097</v>
      </c>
      <c r="U17" s="18">
        <f>'FS Seychelles'!T18</f>
        <v>55</v>
      </c>
      <c r="V17" s="18">
        <f>'FS Seychelles'!U18</f>
        <v>0</v>
      </c>
      <c r="W17" s="18">
        <f>'FS Seychelles'!V18</f>
        <v>141</v>
      </c>
      <c r="X17" s="18">
        <f>'FS Seychelles'!W18</f>
        <v>186</v>
      </c>
      <c r="Y17" s="18">
        <f>'FS Seychelles'!X18</f>
        <v>111</v>
      </c>
      <c r="Z17" s="18">
        <f>'FS Seychelles'!Y18</f>
        <v>99</v>
      </c>
      <c r="AA17" s="18">
        <f>'FS Seychelles'!Z18</f>
        <v>0</v>
      </c>
      <c r="AB17" s="18">
        <f>TOTAL!G17</f>
        <v>435.26666666666665</v>
      </c>
    </row>
    <row r="18" spans="1:28">
      <c r="A18" s="1" t="s">
        <v>13</v>
      </c>
      <c r="B18" s="11">
        <f t="shared" si="0"/>
        <v>17</v>
      </c>
      <c r="C18" s="11">
        <v>10</v>
      </c>
      <c r="D18" s="11">
        <v>2021</v>
      </c>
      <c r="E18" s="18">
        <f>'FS Seychelles'!B19</f>
        <v>55.26</v>
      </c>
      <c r="F18" s="18">
        <f>'FS Seychelles'!D19*1000</f>
        <v>2338.3040000000001</v>
      </c>
      <c r="G18" s="18">
        <f>'FS Seychelles'!E19*1000</f>
        <v>3712</v>
      </c>
      <c r="H18" s="18">
        <f>'FS Seychelles'!F19*1000</f>
        <v>4882.4319999999998</v>
      </c>
      <c r="I18" s="18">
        <f>'FS Seychelles'!G19*1000</f>
        <v>1676.288</v>
      </c>
      <c r="J18" s="18">
        <f>'FS Seychelles'!H19*1000</f>
        <v>2352.8959999999997</v>
      </c>
      <c r="K18" s="18">
        <f>'FS Seychelles'!I19*1000</f>
        <v>3404.5439999999999</v>
      </c>
      <c r="L18" s="18">
        <f>'FS Seychelles'!J19*1000</f>
        <v>1530.752</v>
      </c>
      <c r="M18" s="18">
        <f>'FS Seychelles'!K19*1000</f>
        <v>1678.848</v>
      </c>
      <c r="N18" s="18">
        <f>'FS Seychelles'!L19*1000</f>
        <v>3577.8560000000002</v>
      </c>
      <c r="O18" s="18">
        <f>'FS Seychelles'!M19</f>
        <v>12002</v>
      </c>
      <c r="P18" s="18">
        <f>'FS Seychelles'!N19</f>
        <v>5692</v>
      </c>
      <c r="Q18" s="18">
        <f>'FS Seychelles'!O19</f>
        <v>9908</v>
      </c>
      <c r="R18" s="18">
        <f>'FS Seychelles'!P19</f>
        <v>0</v>
      </c>
      <c r="S18" s="18">
        <f>'FS Seychelles'!Q19</f>
        <v>4089</v>
      </c>
      <c r="T18" s="18">
        <f>'FS Seychelles'!R19</f>
        <v>7804</v>
      </c>
      <c r="U18" s="18">
        <f>'FS Seychelles'!T19</f>
        <v>50</v>
      </c>
      <c r="V18" s="18">
        <f>'FS Seychelles'!U19</f>
        <v>34</v>
      </c>
      <c r="W18" s="18">
        <f>'FS Seychelles'!V19</f>
        <v>168</v>
      </c>
      <c r="X18" s="18">
        <f>'FS Seychelles'!W19</f>
        <v>203</v>
      </c>
      <c r="Y18" s="18">
        <f>'FS Seychelles'!X19</f>
        <v>97</v>
      </c>
      <c r="Z18" s="18">
        <f>'FS Seychelles'!Y19</f>
        <v>101</v>
      </c>
      <c r="AA18" s="18">
        <f>'FS Seychelles'!Z19</f>
        <v>0</v>
      </c>
      <c r="AB18" s="18">
        <f>TOTAL!G18</f>
        <v>435.26666666666665</v>
      </c>
    </row>
    <row r="19" spans="1:28">
      <c r="A19" s="1" t="s">
        <v>13</v>
      </c>
      <c r="B19" s="11">
        <f t="shared" si="0"/>
        <v>18</v>
      </c>
      <c r="C19" s="11">
        <v>10</v>
      </c>
      <c r="D19" s="11">
        <v>2021</v>
      </c>
      <c r="E19" s="18">
        <f>'FS Seychelles'!B20</f>
        <v>67.11</v>
      </c>
      <c r="F19" s="18">
        <f>'FS Seychelles'!D20*1000</f>
        <v>2360.3200000000002</v>
      </c>
      <c r="G19" s="18">
        <f>'FS Seychelles'!E20*1000</f>
        <v>3749.8879999999999</v>
      </c>
      <c r="H19" s="18">
        <f>'FS Seychelles'!F20*1000</f>
        <v>4779.0079999999998</v>
      </c>
      <c r="I19" s="18">
        <f>'FS Seychelles'!G20*1000</f>
        <v>1804.2879999999998</v>
      </c>
      <c r="J19" s="18">
        <f>'FS Seychelles'!H20*1000</f>
        <v>2529.2799999999997</v>
      </c>
      <c r="K19" s="18">
        <f>'FS Seychelles'!I20*1000</f>
        <v>3724.5439999999999</v>
      </c>
      <c r="L19" s="18">
        <f>'FS Seychelles'!J20*1000</f>
        <v>1406.336</v>
      </c>
      <c r="M19" s="18">
        <f>'FS Seychelles'!K20*1000</f>
        <v>1577.7280000000001</v>
      </c>
      <c r="N19" s="18">
        <f>'FS Seychelles'!L20*1000</f>
        <v>3771.3920000000003</v>
      </c>
      <c r="O19" s="18">
        <f>'FS Seychelles'!M20</f>
        <v>5688</v>
      </c>
      <c r="P19" s="18">
        <f>'FS Seychelles'!N20</f>
        <v>8177</v>
      </c>
      <c r="Q19" s="18">
        <f>'FS Seychelles'!O20</f>
        <v>9030</v>
      </c>
      <c r="R19" s="18">
        <f>'FS Seychelles'!P20</f>
        <v>0</v>
      </c>
      <c r="S19" s="18">
        <f>'FS Seychelles'!Q20</f>
        <v>4867</v>
      </c>
      <c r="T19" s="18">
        <f>'FS Seychelles'!R20</f>
        <v>6799</v>
      </c>
      <c r="U19" s="18">
        <f>'FS Seychelles'!T20</f>
        <v>56</v>
      </c>
      <c r="V19" s="18">
        <f>'FS Seychelles'!U20</f>
        <v>8</v>
      </c>
      <c r="W19" s="18">
        <f>'FS Seychelles'!V20</f>
        <v>143</v>
      </c>
      <c r="X19" s="18">
        <f>'FS Seychelles'!W20</f>
        <v>240</v>
      </c>
      <c r="Y19" s="18">
        <f>'FS Seychelles'!X20</f>
        <v>82</v>
      </c>
      <c r="Z19" s="18">
        <f>'FS Seychelles'!Y20</f>
        <v>99</v>
      </c>
      <c r="AA19" s="18">
        <f>'FS Seychelles'!Z20</f>
        <v>0</v>
      </c>
      <c r="AB19" s="18">
        <f>TOTAL!G19</f>
        <v>435.26666666666665</v>
      </c>
    </row>
    <row r="20" spans="1:28">
      <c r="A20" s="1" t="s">
        <v>13</v>
      </c>
      <c r="B20" s="11">
        <f t="shared" si="0"/>
        <v>19</v>
      </c>
      <c r="C20" s="11">
        <v>10</v>
      </c>
      <c r="D20" s="11">
        <v>2021</v>
      </c>
      <c r="E20" s="18">
        <f>'FS Seychelles'!B21</f>
        <v>61.84</v>
      </c>
      <c r="F20" s="18">
        <f>'FS Seychelles'!D21*1000</f>
        <v>2616.3200000000002</v>
      </c>
      <c r="G20" s="18">
        <f>'FS Seychelles'!E21*1000</f>
        <v>4058.6239999999998</v>
      </c>
      <c r="H20" s="18">
        <f>'FS Seychelles'!F21*1000</f>
        <v>4775.9359999999997</v>
      </c>
      <c r="I20" s="18">
        <f>'FS Seychelles'!G21*1000</f>
        <v>1888.2559999999999</v>
      </c>
      <c r="J20" s="18">
        <f>'FS Seychelles'!H21*1000</f>
        <v>2876.9279999999999</v>
      </c>
      <c r="K20" s="18">
        <f>'FS Seychelles'!I21*1000</f>
        <v>3976.4479999999999</v>
      </c>
      <c r="L20" s="18">
        <f>'FS Seychelles'!J21*1000</f>
        <v>1508.6079999999999</v>
      </c>
      <c r="M20" s="18">
        <f>'FS Seychelles'!K21*1000</f>
        <v>1440.768</v>
      </c>
      <c r="N20" s="18">
        <f>'FS Seychelles'!L21*1000</f>
        <v>3800.0639999999999</v>
      </c>
      <c r="O20" s="18">
        <f>'FS Seychelles'!M21</f>
        <v>6003</v>
      </c>
      <c r="P20" s="18">
        <f>'FS Seychelles'!N21</f>
        <v>8494</v>
      </c>
      <c r="Q20" s="18">
        <f>'FS Seychelles'!O21</f>
        <v>4803</v>
      </c>
      <c r="R20" s="18">
        <f>'FS Seychelles'!P21</f>
        <v>0</v>
      </c>
      <c r="S20" s="18">
        <f>'FS Seychelles'!Q21</f>
        <v>5537</v>
      </c>
      <c r="T20" s="18">
        <f>'FS Seychelles'!R21</f>
        <v>6449</v>
      </c>
      <c r="U20" s="18">
        <f>'FS Seychelles'!T21</f>
        <v>54</v>
      </c>
      <c r="V20" s="18">
        <f>'FS Seychelles'!U21</f>
        <v>43</v>
      </c>
      <c r="W20" s="18">
        <f>'FS Seychelles'!V21</f>
        <v>153</v>
      </c>
      <c r="X20" s="18">
        <f>'FS Seychelles'!W21</f>
        <v>190</v>
      </c>
      <c r="Y20" s="18">
        <f>'FS Seychelles'!X21</f>
        <v>86</v>
      </c>
      <c r="Z20" s="18">
        <f>'FS Seychelles'!Y21</f>
        <v>103</v>
      </c>
      <c r="AA20" s="18">
        <f>'FS Seychelles'!Z21</f>
        <v>0</v>
      </c>
      <c r="AB20" s="18">
        <f>TOTAL!G20</f>
        <v>435.26666666666665</v>
      </c>
    </row>
    <row r="21" spans="1:28">
      <c r="A21" s="1" t="s">
        <v>13</v>
      </c>
      <c r="B21" s="11">
        <f t="shared" si="0"/>
        <v>20</v>
      </c>
      <c r="C21" s="11">
        <v>10</v>
      </c>
      <c r="D21" s="11">
        <v>2021</v>
      </c>
      <c r="E21" s="18">
        <f>'FS Seychelles'!B22</f>
        <v>64.47</v>
      </c>
      <c r="F21" s="18">
        <f>'FS Seychelles'!D22*1000</f>
        <v>2789.8879999999999</v>
      </c>
      <c r="G21" s="18">
        <f>'FS Seychelles'!E22*1000</f>
        <v>4246.0159999999996</v>
      </c>
      <c r="H21" s="18">
        <f>'FS Seychelles'!F22*1000</f>
        <v>4890.6239999999998</v>
      </c>
      <c r="I21" s="18">
        <f>'FS Seychelles'!G22*1000</f>
        <v>1735.1680000000001</v>
      </c>
      <c r="J21" s="18">
        <f>'FS Seychelles'!H22*1000</f>
        <v>2980.6080000000002</v>
      </c>
      <c r="K21" s="18">
        <f>'FS Seychelles'!I22*1000</f>
        <v>4223.232</v>
      </c>
      <c r="L21" s="18">
        <f>'FS Seychelles'!J22*1000</f>
        <v>1452.9279999999999</v>
      </c>
      <c r="M21" s="18">
        <f>'FS Seychelles'!K22*1000</f>
        <v>1608.192</v>
      </c>
      <c r="N21" s="18">
        <f>'FS Seychelles'!L22*1000</f>
        <v>3851.2640000000001</v>
      </c>
      <c r="O21" s="18">
        <f>'FS Seychelles'!M22</f>
        <v>3076</v>
      </c>
      <c r="P21" s="18">
        <f>'FS Seychelles'!N22</f>
        <v>10013</v>
      </c>
      <c r="Q21" s="18">
        <f>'FS Seychelles'!O22</f>
        <v>10123</v>
      </c>
      <c r="R21" s="18">
        <f>'FS Seychelles'!P22</f>
        <v>0</v>
      </c>
      <c r="S21" s="18">
        <f>'FS Seychelles'!Q23</f>
        <v>8731</v>
      </c>
      <c r="T21" s="18">
        <f>'FS Seychelles'!R22</f>
        <v>7838</v>
      </c>
      <c r="U21" s="18">
        <f>'FS Seychelles'!T22</f>
        <v>54</v>
      </c>
      <c r="V21" s="18">
        <f>'FS Seychelles'!U22</f>
        <v>0</v>
      </c>
      <c r="W21" s="18">
        <f>'FS Seychelles'!V22</f>
        <v>169</v>
      </c>
      <c r="X21" s="18">
        <f>'FS Seychelles'!W22</f>
        <v>230</v>
      </c>
      <c r="Y21" s="18">
        <f>'FS Seychelles'!X22</f>
        <v>198</v>
      </c>
      <c r="Z21" s="18">
        <f>'FS Seychelles'!Y22</f>
        <v>110</v>
      </c>
      <c r="AA21" s="18">
        <f>'FS Seychelles'!Z22</f>
        <v>0</v>
      </c>
      <c r="AB21" s="18">
        <f>TOTAL!G21</f>
        <v>435.26666666666665</v>
      </c>
    </row>
    <row r="22" spans="1:28">
      <c r="A22" s="1" t="s">
        <v>13</v>
      </c>
      <c r="B22" s="11">
        <f t="shared" si="0"/>
        <v>21</v>
      </c>
      <c r="C22" s="11">
        <v>10</v>
      </c>
      <c r="D22" s="11">
        <v>2021</v>
      </c>
      <c r="E22" s="18">
        <f>'FS Seychelles'!B23</f>
        <v>63.16</v>
      </c>
      <c r="F22" s="18">
        <f>'FS Seychelles'!D23*1000</f>
        <v>2941.9520000000002</v>
      </c>
      <c r="G22" s="18">
        <f>'FS Seychelles'!E23*1000</f>
        <v>4311.04</v>
      </c>
      <c r="H22" s="18">
        <f>'FS Seychelles'!F23*1000</f>
        <v>5172.2240000000002</v>
      </c>
      <c r="I22" s="18">
        <f>'FS Seychelles'!G23*1000</f>
        <v>1798.6559999999999</v>
      </c>
      <c r="J22" s="18">
        <f>'FS Seychelles'!H23*1000</f>
        <v>3094.7840000000001</v>
      </c>
      <c r="K22" s="18">
        <f>'FS Seychelles'!I23*1000</f>
        <v>4459.2640000000001</v>
      </c>
      <c r="L22" s="18">
        <f>'FS Seychelles'!J23*1000</f>
        <v>1466.24</v>
      </c>
      <c r="M22" s="18">
        <f>'FS Seychelles'!K23*1000</f>
        <v>1728.5119999999999</v>
      </c>
      <c r="N22" s="18">
        <f>'FS Seychelles'!L23*1000</f>
        <v>3928.576</v>
      </c>
      <c r="O22" s="18">
        <f>'FS Seychelles'!M23</f>
        <v>7911</v>
      </c>
      <c r="P22" s="18">
        <f>'FS Seychelles'!N23</f>
        <v>5758</v>
      </c>
      <c r="Q22" s="18">
        <f>'FS Seychelles'!O23</f>
        <v>9706</v>
      </c>
      <c r="R22" s="18">
        <f>'FS Seychelles'!P23</f>
        <v>0</v>
      </c>
      <c r="S22" s="18">
        <f>'FS Seychelles'!Q24</f>
        <v>8210</v>
      </c>
      <c r="T22" s="18">
        <f>'FS Seychelles'!R23</f>
        <v>7960</v>
      </c>
      <c r="U22" s="18">
        <f>'FS Seychelles'!T23</f>
        <v>61</v>
      </c>
      <c r="V22" s="18">
        <f>'FS Seychelles'!U23</f>
        <v>10</v>
      </c>
      <c r="W22" s="18">
        <f>'FS Seychelles'!V23</f>
        <v>138</v>
      </c>
      <c r="X22" s="18">
        <f>'FS Seychelles'!W23</f>
        <v>157</v>
      </c>
      <c r="Y22" s="18">
        <f>'FS Seychelles'!X23</f>
        <v>91</v>
      </c>
      <c r="Z22" s="18">
        <f>'FS Seychelles'!Y23</f>
        <v>114</v>
      </c>
      <c r="AA22" s="18">
        <f>'FS Seychelles'!Z23</f>
        <v>0</v>
      </c>
      <c r="AB22" s="18">
        <f>TOTAL!G22</f>
        <v>435.26666666666665</v>
      </c>
    </row>
    <row r="23" spans="1:28">
      <c r="A23" s="1" t="s">
        <v>13</v>
      </c>
      <c r="B23" s="11">
        <f t="shared" si="0"/>
        <v>22</v>
      </c>
      <c r="C23" s="11">
        <v>10</v>
      </c>
      <c r="D23" s="11">
        <v>2021</v>
      </c>
      <c r="E23" s="18">
        <f>'FS Seychelles'!B24</f>
        <v>64.47</v>
      </c>
      <c r="F23" s="18">
        <f>'FS Seychelles'!D24*1000</f>
        <v>3098.6240000000003</v>
      </c>
      <c r="G23" s="18">
        <f>'FS Seychelles'!E24*1000</f>
        <v>4475.3919999999998</v>
      </c>
      <c r="H23" s="18">
        <f>'FS Seychelles'!F24*1000</f>
        <v>5188.6080000000002</v>
      </c>
      <c r="I23" s="18">
        <f>'FS Seychelles'!G24*1000</f>
        <v>1915.904</v>
      </c>
      <c r="J23" s="18">
        <f>'FS Seychelles'!H24*1000</f>
        <v>2880.768</v>
      </c>
      <c r="K23" s="18">
        <f>'FS Seychelles'!I24*1000</f>
        <v>4333.0559999999996</v>
      </c>
      <c r="L23" s="18">
        <f>'FS Seychelles'!J24*1000</f>
        <v>1460.48</v>
      </c>
      <c r="M23" s="18">
        <f>'FS Seychelles'!K24*1000</f>
        <v>1754.3679999999999</v>
      </c>
      <c r="N23" s="18">
        <f>'FS Seychelles'!L24*1000</f>
        <v>3770.3679999999999</v>
      </c>
      <c r="O23" s="18">
        <f>'FS Seychelles'!M24</f>
        <v>5739</v>
      </c>
      <c r="P23" s="18">
        <f>'FS Seychelles'!N24</f>
        <v>11884</v>
      </c>
      <c r="Q23" s="18">
        <f>'FS Seychelles'!O24</f>
        <v>5075</v>
      </c>
      <c r="R23" s="18">
        <f>'FS Seychelles'!P24</f>
        <v>0</v>
      </c>
      <c r="S23" s="18">
        <f>'FS Seychelles'!Q25</f>
        <v>10457</v>
      </c>
      <c r="T23" s="18">
        <f>'FS Seychelles'!R24</f>
        <v>8035</v>
      </c>
      <c r="U23" s="18">
        <f>'FS Seychelles'!T24</f>
        <v>61</v>
      </c>
      <c r="V23" s="18">
        <f>'FS Seychelles'!U24</f>
        <v>28</v>
      </c>
      <c r="W23" s="18">
        <f>'FS Seychelles'!V24</f>
        <v>141</v>
      </c>
      <c r="X23" s="18">
        <f>'FS Seychelles'!W24</f>
        <v>164</v>
      </c>
      <c r="Y23" s="18">
        <f>'FS Seychelles'!X24</f>
        <v>121</v>
      </c>
      <c r="Z23" s="18">
        <f>'FS Seychelles'!Y24</f>
        <v>96</v>
      </c>
      <c r="AA23" s="18">
        <f>'FS Seychelles'!Z24</f>
        <v>0</v>
      </c>
      <c r="AB23" s="18">
        <f>TOTAL!G23</f>
        <v>435.26666666666665</v>
      </c>
    </row>
    <row r="24" spans="1:28">
      <c r="A24" s="1" t="s">
        <v>13</v>
      </c>
      <c r="B24" s="11">
        <f t="shared" si="0"/>
        <v>23</v>
      </c>
      <c r="C24" s="11">
        <v>10</v>
      </c>
      <c r="D24" s="11">
        <v>2021</v>
      </c>
      <c r="E24" s="18">
        <f>'FS Seychelles'!B25</f>
        <v>64.47</v>
      </c>
      <c r="F24" s="18">
        <f>'FS Seychelles'!D25*1000</f>
        <v>3058.6880000000001</v>
      </c>
      <c r="G24" s="18">
        <f>'FS Seychelles'!E25*1000</f>
        <v>4324.3519999999999</v>
      </c>
      <c r="H24" s="18">
        <f>'FS Seychelles'!F25*1000</f>
        <v>5285.3760000000002</v>
      </c>
      <c r="I24" s="18">
        <f>'FS Seychelles'!G25*1000</f>
        <v>1967.616</v>
      </c>
      <c r="J24" s="18">
        <f>'FS Seychelles'!H25*1000</f>
        <v>2563.5840000000003</v>
      </c>
      <c r="K24" s="18">
        <f>'FS Seychelles'!I25*1000</f>
        <v>3870.4639999999999</v>
      </c>
      <c r="L24" s="18">
        <f>'FS Seychelles'!J25*1000</f>
        <v>1392.64</v>
      </c>
      <c r="M24" s="18">
        <f>'FS Seychelles'!K25*1000</f>
        <v>1852.9279999999999</v>
      </c>
      <c r="N24" s="18">
        <f>'FS Seychelles'!L25*1000</f>
        <v>3427.328</v>
      </c>
      <c r="O24" s="18">
        <f>'FS Seychelles'!M25</f>
        <v>0</v>
      </c>
      <c r="P24" s="18">
        <f>'FS Seychelles'!N25</f>
        <v>8314</v>
      </c>
      <c r="Q24" s="18">
        <f>'FS Seychelles'!O25</f>
        <v>13645</v>
      </c>
      <c r="R24" s="18">
        <f>'FS Seychelles'!P25</f>
        <v>0</v>
      </c>
      <c r="S24" s="18">
        <f>'FS Seychelles'!Q25</f>
        <v>10457</v>
      </c>
      <c r="T24" s="18">
        <f>'FS Seychelles'!R25</f>
        <v>7597</v>
      </c>
      <c r="U24" s="18">
        <f>'FS Seychelles'!T25</f>
        <v>53</v>
      </c>
      <c r="V24" s="18">
        <f>'FS Seychelles'!U25</f>
        <v>24</v>
      </c>
      <c r="W24" s="18">
        <f>'FS Seychelles'!V25</f>
        <v>166</v>
      </c>
      <c r="X24" s="18">
        <f>'FS Seychelles'!W25</f>
        <v>204</v>
      </c>
      <c r="Y24" s="18">
        <f>'FS Seychelles'!X25</f>
        <v>89</v>
      </c>
      <c r="Z24" s="18">
        <f>'FS Seychelles'!Y25</f>
        <v>105</v>
      </c>
      <c r="AA24" s="18">
        <f>'FS Seychelles'!Z25</f>
        <v>0</v>
      </c>
      <c r="AB24" s="18">
        <f>TOTAL!G24</f>
        <v>435.26666666666665</v>
      </c>
    </row>
    <row r="25" spans="1:28">
      <c r="A25" s="1" t="s">
        <v>13</v>
      </c>
      <c r="B25" s="11">
        <f t="shared" si="0"/>
        <v>24</v>
      </c>
      <c r="C25" s="11">
        <v>10</v>
      </c>
      <c r="D25" s="11">
        <v>2021</v>
      </c>
      <c r="E25" s="18">
        <f>'FS Seychelles'!B26</f>
        <v>39.76</v>
      </c>
      <c r="F25" s="18">
        <f>'FS Seychelles'!D26*1000</f>
        <v>2929.152</v>
      </c>
      <c r="G25" s="18">
        <f>'FS Seychelles'!E26*1000</f>
        <v>4307.4560000000001</v>
      </c>
      <c r="H25" s="18">
        <f>'FS Seychelles'!F26*1000</f>
        <v>5078.5280000000002</v>
      </c>
      <c r="I25" s="18">
        <f>'FS Seychelles'!G26*1000</f>
        <v>1988.864</v>
      </c>
      <c r="J25" s="18">
        <f>'FS Seychelles'!H26*1000</f>
        <v>2580.9920000000002</v>
      </c>
      <c r="K25" s="18">
        <f>'FS Seychelles'!I26*1000</f>
        <v>3246.5920000000001</v>
      </c>
      <c r="L25" s="18">
        <f>'FS Seychelles'!J26*1000</f>
        <v>1433.3440000000001</v>
      </c>
      <c r="M25" s="18">
        <f>'FS Seychelles'!K26*1000</f>
        <v>1664.768</v>
      </c>
      <c r="N25" s="18">
        <f>'FS Seychelles'!L26*1000</f>
        <v>3471.3599999999997</v>
      </c>
      <c r="O25" s="18">
        <f>'FS Seychelles'!M26</f>
        <v>11125</v>
      </c>
      <c r="P25" s="18">
        <f>'FS Seychelles'!N26</f>
        <v>9700</v>
      </c>
      <c r="Q25" s="18">
        <f>'FS Seychelles'!O26</f>
        <v>8685</v>
      </c>
      <c r="R25" s="18">
        <f>'FS Seychelles'!P26</f>
        <v>0</v>
      </c>
      <c r="S25" s="18">
        <f>'FS Seychelles'!Q26</f>
        <v>0</v>
      </c>
      <c r="T25" s="18">
        <f>'FS Seychelles'!R26</f>
        <v>7362</v>
      </c>
      <c r="U25" s="18">
        <f>'FS Seychelles'!T26</f>
        <v>49</v>
      </c>
      <c r="V25" s="18">
        <f>'FS Seychelles'!U26</f>
        <v>24</v>
      </c>
      <c r="W25" s="18">
        <f>'FS Seychelles'!V26</f>
        <v>84</v>
      </c>
      <c r="X25" s="18">
        <f>'FS Seychelles'!W26</f>
        <v>171</v>
      </c>
      <c r="Y25" s="18">
        <f>'FS Seychelles'!X26</f>
        <v>74</v>
      </c>
      <c r="Z25" s="18">
        <f>'FS Seychelles'!Y26</f>
        <v>102</v>
      </c>
      <c r="AA25" s="18">
        <f>'FS Seychelles'!Z26</f>
        <v>0</v>
      </c>
      <c r="AB25" s="18">
        <f>TOTAL!G25</f>
        <v>435.26666666666665</v>
      </c>
    </row>
    <row r="26" spans="1:28">
      <c r="A26" s="1" t="s">
        <v>13</v>
      </c>
      <c r="B26" s="11">
        <f>B25+1</f>
        <v>25</v>
      </c>
      <c r="C26" s="11">
        <v>10</v>
      </c>
      <c r="D26" s="11">
        <v>2021</v>
      </c>
      <c r="E26" s="18">
        <f>'FS Seychelles'!B27</f>
        <v>50</v>
      </c>
      <c r="F26" s="18">
        <f>'FS Seychelles'!D27*1000</f>
        <v>2486.7840000000001</v>
      </c>
      <c r="G26" s="18">
        <f>'FS Seychelles'!E27*1000</f>
        <v>3663.8719999999998</v>
      </c>
      <c r="H26" s="18">
        <f>'FS Seychelles'!F27*1000</f>
        <v>4824.0640000000003</v>
      </c>
      <c r="I26" s="18">
        <f>'FS Seychelles'!G27*1000</f>
        <v>1806.08</v>
      </c>
      <c r="J26" s="18">
        <f>'FS Seychelles'!H27*1000</f>
        <v>2408.4479999999999</v>
      </c>
      <c r="K26" s="18">
        <f>'FS Seychelles'!I27*1000</f>
        <v>2694.4</v>
      </c>
      <c r="L26" s="18">
        <f>'FS Seychelles'!J27*1000</f>
        <v>1456.5119999999999</v>
      </c>
      <c r="M26" s="18">
        <f>'FS Seychelles'!K27*1000</f>
        <v>1645.8239999999998</v>
      </c>
      <c r="N26" s="18">
        <f>'FS Seychelles'!L27*1000</f>
        <v>3748.3520000000003</v>
      </c>
      <c r="O26" s="18">
        <f>'FS Seychelles'!M27</f>
        <v>10369</v>
      </c>
      <c r="P26" s="18">
        <f>'FS Seychelles'!N27</f>
        <v>7108</v>
      </c>
      <c r="Q26" s="18">
        <f>'FS Seychelles'!O27</f>
        <v>9774</v>
      </c>
      <c r="R26" s="18">
        <f>'FS Seychelles'!P27</f>
        <v>0</v>
      </c>
      <c r="S26" s="18">
        <f>'FS Seychelles'!Q27</f>
        <v>0</v>
      </c>
      <c r="T26" s="18">
        <f>'FS Seychelles'!R27</f>
        <v>6623</v>
      </c>
      <c r="U26" s="18">
        <f>'FS Seychelles'!T27</f>
        <v>55</v>
      </c>
      <c r="V26" s="18">
        <f>'FS Seychelles'!U27</f>
        <v>36</v>
      </c>
      <c r="W26" s="18">
        <f>'FS Seychelles'!V27</f>
        <v>89</v>
      </c>
      <c r="X26" s="18">
        <f>'FS Seychelles'!W27</f>
        <v>185</v>
      </c>
      <c r="Y26" s="18">
        <f>'FS Seychelles'!X27</f>
        <v>88</v>
      </c>
      <c r="Z26" s="18">
        <f>'FS Seychelles'!Y27</f>
        <v>106</v>
      </c>
      <c r="AA26" s="18">
        <f>'FS Seychelles'!Z27</f>
        <v>0</v>
      </c>
      <c r="AB26" s="18">
        <f>TOTAL!G26</f>
        <v>435.26666666666665</v>
      </c>
    </row>
    <row r="27" spans="1:28">
      <c r="A27" s="1" t="s">
        <v>13</v>
      </c>
      <c r="B27" s="11">
        <f t="shared" si="0"/>
        <v>26</v>
      </c>
      <c r="C27" s="11">
        <v>10</v>
      </c>
      <c r="D27" s="11">
        <v>2021</v>
      </c>
      <c r="E27" s="18">
        <f>'FS Seychelles'!B28</f>
        <v>54.22</v>
      </c>
      <c r="F27" s="18">
        <f>'FS Seychelles'!D28*1000</f>
        <v>2189.3120000000004</v>
      </c>
      <c r="G27" s="18">
        <f>'FS Seychelles'!E28*1000</f>
        <v>3396.6080000000002</v>
      </c>
      <c r="H27" s="18">
        <f>'FS Seychelles'!F28*1000</f>
        <v>4876.2879999999996</v>
      </c>
      <c r="I27" s="18">
        <f>'FS Seychelles'!G28*1000</f>
        <v>1676.0319999999999</v>
      </c>
      <c r="J27" s="18">
        <f>'FS Seychelles'!H28*1000</f>
        <v>2141.4399999999996</v>
      </c>
      <c r="K27" s="18">
        <f>'FS Seychelles'!I28*1000</f>
        <v>2970.6239999999998</v>
      </c>
      <c r="L27" s="18">
        <f>'FS Seychelles'!J28*1000</f>
        <v>1504.768</v>
      </c>
      <c r="M27" s="18">
        <f>'FS Seychelles'!K28*1000</f>
        <v>1611.52</v>
      </c>
      <c r="N27" s="18">
        <f>'FS Seychelles'!L28*1000</f>
        <v>3587.0720000000001</v>
      </c>
      <c r="O27" s="18">
        <f>'FS Seychelles'!M28</f>
        <v>14728</v>
      </c>
      <c r="P27" s="18">
        <f>'FS Seychelles'!N28</f>
        <v>0</v>
      </c>
      <c r="Q27" s="18">
        <f>'FS Seychelles'!O28</f>
        <v>8338</v>
      </c>
      <c r="R27" s="18">
        <f>'FS Seychelles'!P28</f>
        <v>0</v>
      </c>
      <c r="S27" s="18">
        <f>'FS Seychelles'!Q28</f>
        <v>0</v>
      </c>
      <c r="T27" s="18">
        <f>'FS Seychelles'!R28</f>
        <v>5738</v>
      </c>
      <c r="U27" s="18">
        <f>'FS Seychelles'!T28</f>
        <v>55</v>
      </c>
      <c r="V27" s="18">
        <f>'FS Seychelles'!U28</f>
        <v>10</v>
      </c>
      <c r="W27" s="18">
        <f>'FS Seychelles'!V28</f>
        <v>38</v>
      </c>
      <c r="X27" s="18">
        <f>'FS Seychelles'!W28</f>
        <v>137</v>
      </c>
      <c r="Y27" s="18">
        <f>'FS Seychelles'!X28</f>
        <v>85</v>
      </c>
      <c r="Z27" s="18">
        <f>'FS Seychelles'!Y28</f>
        <v>106</v>
      </c>
      <c r="AA27" s="18">
        <f>'FS Seychelles'!Z28</f>
        <v>0</v>
      </c>
      <c r="AB27" s="18">
        <f>TOTAL!G27</f>
        <v>435.26666666666665</v>
      </c>
    </row>
    <row r="28" spans="1:28">
      <c r="A28" s="1" t="s">
        <v>13</v>
      </c>
      <c r="B28" s="11">
        <f t="shared" si="0"/>
        <v>27</v>
      </c>
      <c r="C28" s="11">
        <v>10</v>
      </c>
      <c r="D28" s="11">
        <v>2021</v>
      </c>
      <c r="E28" s="18">
        <f>'FS Seychelles'!B29</f>
        <v>54.76</v>
      </c>
      <c r="F28" s="18">
        <f>'FS Seychelles'!D29*1000</f>
        <v>2392.576</v>
      </c>
      <c r="G28" s="18">
        <f>'FS Seychelles'!E29*1000</f>
        <v>3991.04</v>
      </c>
      <c r="H28" s="18">
        <f>'FS Seychelles'!F29*1000</f>
        <v>4970.4960000000001</v>
      </c>
      <c r="I28" s="18">
        <f>'FS Seychelles'!G29*1000</f>
        <v>1923.84</v>
      </c>
      <c r="J28" s="18">
        <f>'FS Seychelles'!H29*1000</f>
        <v>2446.3360000000002</v>
      </c>
      <c r="K28" s="18">
        <f>'FS Seychelles'!I29*1000</f>
        <v>3397.3759999999997</v>
      </c>
      <c r="L28" s="18">
        <f>'FS Seychelles'!J29*1000</f>
        <v>1400.8320000000001</v>
      </c>
      <c r="M28" s="18">
        <f>'FS Seychelles'!K29*1000</f>
        <v>1827.84</v>
      </c>
      <c r="N28" s="18">
        <f>'FS Seychelles'!L29*1000</f>
        <v>3569.152</v>
      </c>
      <c r="O28" s="18">
        <f>'FS Seychelles'!M29</f>
        <v>5701</v>
      </c>
      <c r="P28" s="18">
        <f>'FS Seychelles'!N29</f>
        <v>13214</v>
      </c>
      <c r="Q28" s="18">
        <f>'FS Seychelles'!O29</f>
        <v>2428</v>
      </c>
      <c r="R28" s="18">
        <f>'FS Seychelles'!P29</f>
        <v>0</v>
      </c>
      <c r="S28" s="18">
        <f>'FS Seychelles'!Q29</f>
        <v>9944</v>
      </c>
      <c r="T28" s="18">
        <f>'FS Seychelles'!R29</f>
        <v>8130</v>
      </c>
      <c r="U28" s="18">
        <f>'FS Seychelles'!T29</f>
        <v>56</v>
      </c>
      <c r="V28" s="18">
        <f>'FS Seychelles'!U29</f>
        <v>34</v>
      </c>
      <c r="W28" s="18">
        <f>'FS Seychelles'!V29</f>
        <v>116</v>
      </c>
      <c r="X28" s="18">
        <f>'FS Seychelles'!W29</f>
        <v>178</v>
      </c>
      <c r="Y28" s="18">
        <f>'FS Seychelles'!X29</f>
        <v>120</v>
      </c>
      <c r="Z28" s="18">
        <f>'FS Seychelles'!Y29</f>
        <v>106</v>
      </c>
      <c r="AA28" s="18">
        <f>'FS Seychelles'!Z29</f>
        <v>0</v>
      </c>
      <c r="AB28" s="18">
        <f>TOTAL!G28</f>
        <v>435.26666666666665</v>
      </c>
    </row>
    <row r="29" spans="1:28">
      <c r="A29" s="1" t="s">
        <v>13</v>
      </c>
      <c r="B29" s="11">
        <f t="shared" si="0"/>
        <v>28</v>
      </c>
      <c r="C29" s="11">
        <v>10</v>
      </c>
      <c r="D29" s="11">
        <v>2021</v>
      </c>
      <c r="E29" s="18">
        <f>'FS Seychelles'!B30</f>
        <v>67.099999999999994</v>
      </c>
      <c r="F29" s="18">
        <f>'FS Seychelles'!D30*1000</f>
        <v>2714.1120000000001</v>
      </c>
      <c r="G29" s="18">
        <f>'FS Seychelles'!E30*1000</f>
        <v>4088.8319999999999</v>
      </c>
      <c r="H29" s="18">
        <f>'FS Seychelles'!F30*1000</f>
        <v>4989.4400000000005</v>
      </c>
      <c r="I29" s="18">
        <f>'FS Seychelles'!G30*1000</f>
        <v>2130.944</v>
      </c>
      <c r="J29" s="18">
        <f>'FS Seychelles'!H30*1000</f>
        <v>2599.1680000000001</v>
      </c>
      <c r="K29" s="18">
        <f>'FS Seychelles'!I30*1000</f>
        <v>3467.0079999999998</v>
      </c>
      <c r="L29" s="18">
        <f>'FS Seychelles'!J30*1000</f>
        <v>1280.896</v>
      </c>
      <c r="M29" s="18">
        <f>'FS Seychelles'!K30*1000</f>
        <v>1788.672</v>
      </c>
      <c r="N29" s="18">
        <f>'FS Seychelles'!L30*1000</f>
        <v>3553.7919999999999</v>
      </c>
      <c r="O29" s="18">
        <f>'FS Seychelles'!M30</f>
        <v>4006</v>
      </c>
      <c r="P29" s="18">
        <f>'FS Seychelles'!N30</f>
        <v>5239</v>
      </c>
      <c r="Q29" s="18">
        <f>'FS Seychelles'!O30</f>
        <v>8836</v>
      </c>
      <c r="R29" s="18">
        <f>'FS Seychelles'!P30</f>
        <v>0</v>
      </c>
      <c r="S29" s="18">
        <f>'FS Seychelles'!Q30</f>
        <v>11318</v>
      </c>
      <c r="T29" s="18">
        <f>'FS Seychelles'!R30</f>
        <v>7367</v>
      </c>
      <c r="U29" s="18">
        <f>'FS Seychelles'!T30</f>
        <v>60</v>
      </c>
      <c r="V29" s="18">
        <f>'FS Seychelles'!U30</f>
        <v>25</v>
      </c>
      <c r="W29" s="18">
        <f>'FS Seychelles'!V30</f>
        <v>122</v>
      </c>
      <c r="X29" s="18">
        <f>'FS Seychelles'!W30</f>
        <v>223</v>
      </c>
      <c r="Y29" s="18">
        <f>'FS Seychelles'!X30</f>
        <v>144</v>
      </c>
      <c r="Z29" s="18">
        <f>'FS Seychelles'!Y30</f>
        <v>104</v>
      </c>
      <c r="AA29" s="18">
        <f>'FS Seychelles'!Z30</f>
        <v>0</v>
      </c>
      <c r="AB29" s="18">
        <f>TOTAL!G29</f>
        <v>435.26666666666665</v>
      </c>
    </row>
    <row r="30" spans="1:28">
      <c r="A30" s="1" t="s">
        <v>13</v>
      </c>
      <c r="B30" s="11">
        <f t="shared" si="0"/>
        <v>29</v>
      </c>
      <c r="C30" s="11">
        <v>10</v>
      </c>
      <c r="D30" s="11">
        <v>2021</v>
      </c>
      <c r="E30" s="18">
        <f>'FS Seychelles'!B31</f>
        <v>64.47</v>
      </c>
      <c r="F30" s="18">
        <f>'FS Seychelles'!D31*1000</f>
        <v>2792.4479999999999</v>
      </c>
      <c r="G30" s="18">
        <f>'FS Seychelles'!E31*1000</f>
        <v>4042.752</v>
      </c>
      <c r="H30" s="18">
        <f>'FS Seychelles'!F31*1000</f>
        <v>4940.8</v>
      </c>
      <c r="I30" s="18">
        <f>'FS Seychelles'!G31*1000</f>
        <v>2214.1440000000002</v>
      </c>
      <c r="J30" s="18">
        <f>'FS Seychelles'!H31*1000</f>
        <v>2828.0319999999997</v>
      </c>
      <c r="K30" s="18">
        <f>'FS Seychelles'!I31*1000</f>
        <v>3277.8240000000001</v>
      </c>
      <c r="L30" s="18">
        <f>'FS Seychelles'!J31*1000</f>
        <v>1483.904</v>
      </c>
      <c r="M30" s="18">
        <f>'FS Seychelles'!K31*1000</f>
        <v>1712.896</v>
      </c>
      <c r="N30" s="18">
        <f>'FS Seychelles'!L31*1000</f>
        <v>3812.3520000000003</v>
      </c>
      <c r="O30" s="18">
        <f>'FS Seychelles'!M31</f>
        <v>6446</v>
      </c>
      <c r="P30" s="18">
        <f>'FS Seychelles'!N31</f>
        <v>10177</v>
      </c>
      <c r="Q30" s="18">
        <f>'FS Seychelles'!O31</f>
        <v>10951</v>
      </c>
      <c r="R30" s="18">
        <f>'FS Seychelles'!P31</f>
        <v>0</v>
      </c>
      <c r="S30" s="18">
        <f>'FS Seychelles'!Q31</f>
        <v>4015</v>
      </c>
      <c r="T30" s="18">
        <f>'FS Seychelles'!R31</f>
        <v>7732</v>
      </c>
      <c r="U30" s="18">
        <f>'FS Seychelles'!T31</f>
        <v>61</v>
      </c>
      <c r="V30" s="18">
        <f>'FS Seychelles'!U31</f>
        <v>22</v>
      </c>
      <c r="W30" s="18">
        <f>'FS Seychelles'!V31</f>
        <v>124</v>
      </c>
      <c r="X30" s="18">
        <f>'FS Seychelles'!W31</f>
        <v>201</v>
      </c>
      <c r="Y30" s="18">
        <f>'FS Seychelles'!X31</f>
        <v>96</v>
      </c>
      <c r="Z30" s="18">
        <f>'FS Seychelles'!Y31</f>
        <v>105</v>
      </c>
      <c r="AA30" s="18">
        <f>'FS Seychelles'!Z31</f>
        <v>0</v>
      </c>
      <c r="AB30" s="18">
        <f>TOTAL!G30</f>
        <v>435.26666666666665</v>
      </c>
    </row>
    <row r="31" spans="1:28">
      <c r="A31" s="1" t="s">
        <v>13</v>
      </c>
      <c r="B31" s="11">
        <f t="shared" si="0"/>
        <v>30</v>
      </c>
      <c r="C31" s="11">
        <v>10</v>
      </c>
      <c r="D31" s="11">
        <v>2021</v>
      </c>
      <c r="E31" s="18">
        <f>'FS Seychelles'!B32</f>
        <v>60.53</v>
      </c>
      <c r="F31" s="18">
        <f>'FS Seychelles'!D32*1000</f>
        <v>2695.68</v>
      </c>
      <c r="G31" s="18">
        <f>'FS Seychelles'!E32*1000</f>
        <v>4089.8560000000002</v>
      </c>
      <c r="H31" s="18">
        <f>'FS Seychelles'!F32*1000</f>
        <v>5045.7599999999993</v>
      </c>
      <c r="I31" s="18">
        <f>'FS Seychelles'!G32*1000</f>
        <v>2231.2959999999998</v>
      </c>
      <c r="J31" s="18">
        <f>'FS Seychelles'!H32*1000</f>
        <v>2974.4640000000004</v>
      </c>
      <c r="K31" s="18">
        <f>'FS Seychelles'!I32*1000</f>
        <v>3553.7919999999999</v>
      </c>
      <c r="L31" s="18">
        <f>'FS Seychelles'!J32*1000</f>
        <v>1369.7280000000001</v>
      </c>
      <c r="M31" s="18">
        <f>'FS Seychelles'!K32*1000</f>
        <v>1821.184</v>
      </c>
      <c r="N31" s="18">
        <f>'FS Seychelles'!L32*1000</f>
        <v>3509.248</v>
      </c>
      <c r="O31" s="18">
        <f>'FS Seychelles'!M32</f>
        <v>4273</v>
      </c>
      <c r="P31" s="18">
        <f>'FS Seychelles'!N32</f>
        <v>9841</v>
      </c>
      <c r="Q31" s="18">
        <f>'FS Seychelles'!O32</f>
        <v>10404</v>
      </c>
      <c r="R31" s="18">
        <f>'FS Seychelles'!P32</f>
        <v>0</v>
      </c>
      <c r="S31" s="18">
        <f>'FS Seychelles'!Q32</f>
        <v>6008</v>
      </c>
      <c r="T31" s="18">
        <f>'FS Seychelles'!R32</f>
        <v>7418</v>
      </c>
      <c r="U31" s="18">
        <f>'FS Seychelles'!T32</f>
        <v>60</v>
      </c>
      <c r="V31" s="18">
        <f>'FS Seychelles'!U32</f>
        <v>26</v>
      </c>
      <c r="W31" s="18">
        <f>'FS Seychelles'!V32</f>
        <v>81</v>
      </c>
      <c r="X31" s="18">
        <f>'FS Seychelles'!W32</f>
        <v>217</v>
      </c>
      <c r="Y31" s="18">
        <f>'FS Seychelles'!X32</f>
        <v>123</v>
      </c>
      <c r="Z31" s="18">
        <f>'FS Seychelles'!Y32</f>
        <v>101</v>
      </c>
      <c r="AA31" s="18">
        <f>'FS Seychelles'!Z32</f>
        <v>0</v>
      </c>
      <c r="AB31" s="18">
        <f>TOTAL!G31</f>
        <v>435.26666666666665</v>
      </c>
    </row>
    <row r="32" spans="1:28">
      <c r="A32" s="1" t="s">
        <v>13</v>
      </c>
      <c r="B32" s="11">
        <v>31</v>
      </c>
      <c r="C32" s="11">
        <v>10</v>
      </c>
      <c r="D32" s="11">
        <v>2021</v>
      </c>
      <c r="E32" s="18">
        <f>'FS Seychelles'!B33</f>
        <v>55.26</v>
      </c>
      <c r="F32" s="18">
        <f>'FS Seychelles'!D33*1000</f>
        <v>2793.9839999999999</v>
      </c>
      <c r="G32" s="18">
        <f>'FS Seychelles'!E33*1000</f>
        <v>4016.64</v>
      </c>
      <c r="H32" s="18">
        <f>'FS Seychelles'!F33*1000</f>
        <v>4923.3919999999998</v>
      </c>
      <c r="I32" s="18">
        <f>'FS Seychelles'!G33*1000</f>
        <v>2366.4639999999999</v>
      </c>
      <c r="J32" s="18">
        <f>'FS Seychelles'!H33*1000</f>
        <v>2714.88</v>
      </c>
      <c r="K32" s="18">
        <f>'FS Seychelles'!I33*1000</f>
        <v>3831.2959999999998</v>
      </c>
      <c r="L32" s="18">
        <f>'FS Seychelles'!J33*1000</f>
        <v>1427.84</v>
      </c>
      <c r="M32" s="18">
        <f>'FS Seychelles'!K33*1000</f>
        <v>1895.68</v>
      </c>
      <c r="N32" s="18">
        <f>'FS Seychelles'!L33*1000</f>
        <v>3631.1040000000003</v>
      </c>
      <c r="O32" s="18">
        <f>'FS Seychelles'!M33</f>
        <v>5735</v>
      </c>
      <c r="P32" s="18">
        <f>'FS Seychelles'!N33</f>
        <v>8805</v>
      </c>
      <c r="Q32" s="18">
        <f>'FS Seychelles'!O33</f>
        <v>0</v>
      </c>
      <c r="R32" s="18">
        <f>'FS Seychelles'!P33</f>
        <v>4462</v>
      </c>
      <c r="S32" s="18">
        <f>'FS Seychelles'!Q33</f>
        <v>9912</v>
      </c>
      <c r="T32" s="18">
        <f>'FS Seychelles'!R33</f>
        <v>7815</v>
      </c>
      <c r="U32" s="18">
        <f>'FS Seychelles'!T33</f>
        <v>64</v>
      </c>
      <c r="V32" s="18">
        <f>'FS Seychelles'!U33</f>
        <v>31</v>
      </c>
      <c r="W32" s="18">
        <f>'FS Seychelles'!V33</f>
        <v>53</v>
      </c>
      <c r="X32" s="18">
        <f>'FS Seychelles'!W33</f>
        <v>218</v>
      </c>
      <c r="Y32" s="18">
        <f>'FS Seychelles'!X33</f>
        <v>78</v>
      </c>
      <c r="Z32" s="18">
        <f>'FS Seychelles'!Y33</f>
        <v>113</v>
      </c>
      <c r="AA32" s="18">
        <f>'FS Seychelles'!Z33</f>
        <v>0</v>
      </c>
      <c r="AB32" s="18">
        <f>TOTAL!G32</f>
        <v>435.26666666666665</v>
      </c>
    </row>
    <row r="33" spans="15:18">
      <c r="O33" s="18">
        <f>SUM(O2:O32)</f>
        <v>191921</v>
      </c>
      <c r="P33" s="18">
        <f>SUM(P2:P32)</f>
        <v>198749</v>
      </c>
      <c r="Q33" s="18">
        <f>SUM(Q2:Q32)</f>
        <v>194210</v>
      </c>
      <c r="R33" s="18">
        <f>SUM(R2:R32)</f>
        <v>97066</v>
      </c>
    </row>
    <row r="35" spans="15:18">
      <c r="R35" s="18">
        <f>SUM(O33:R33)</f>
        <v>681946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0"/>
  <sheetViews>
    <sheetView tabSelected="1" zoomScaleNormal="100" workbookViewId="0">
      <pane xSplit="1" topLeftCell="P1" activePane="topRight" state="frozen"/>
      <selection pane="topRight" activeCell="AB14" sqref="AB14:AC14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8"/>
      <c r="E1" s="88"/>
      <c r="F1" s="88"/>
      <c r="G1" s="88"/>
      <c r="H1" s="88"/>
      <c r="I1" s="88"/>
      <c r="J1" s="88"/>
      <c r="K1" s="88"/>
      <c r="L1" s="88"/>
    </row>
    <row r="2" spans="1:29" s="23" customFormat="1" ht="31.5" customHeight="1">
      <c r="A2" s="82" t="s">
        <v>38</v>
      </c>
      <c r="B2" s="59" t="s">
        <v>39</v>
      </c>
      <c r="C2" s="71" t="s">
        <v>40</v>
      </c>
      <c r="D2" s="69" t="s">
        <v>41</v>
      </c>
      <c r="E2" s="70" t="s">
        <v>42</v>
      </c>
      <c r="F2" s="70" t="s">
        <v>43</v>
      </c>
      <c r="G2" s="70" t="s">
        <v>44</v>
      </c>
      <c r="H2" s="70" t="s">
        <v>45</v>
      </c>
      <c r="I2" s="70" t="s">
        <v>46</v>
      </c>
      <c r="J2" s="70" t="s">
        <v>47</v>
      </c>
      <c r="K2" s="70" t="s">
        <v>48</v>
      </c>
      <c r="L2" s="70" t="s">
        <v>49</v>
      </c>
      <c r="M2" s="72" t="s">
        <v>50</v>
      </c>
      <c r="N2" s="41" t="s">
        <v>51</v>
      </c>
      <c r="O2" s="41" t="s">
        <v>52</v>
      </c>
      <c r="P2" s="41" t="s">
        <v>53</v>
      </c>
      <c r="Q2" s="41" t="s">
        <v>54</v>
      </c>
      <c r="R2" s="42" t="s">
        <v>55</v>
      </c>
      <c r="S2" s="42" t="s">
        <v>56</v>
      </c>
      <c r="T2" s="40" t="s">
        <v>57</v>
      </c>
      <c r="U2" s="40" t="s">
        <v>58</v>
      </c>
      <c r="V2" s="40" t="s">
        <v>59</v>
      </c>
      <c r="W2" s="40" t="s">
        <v>60</v>
      </c>
      <c r="X2" s="40" t="s">
        <v>61</v>
      </c>
      <c r="Y2" s="40" t="s">
        <v>62</v>
      </c>
      <c r="Z2" s="43" t="s">
        <v>63</v>
      </c>
      <c r="AA2" s="96" t="s">
        <v>37</v>
      </c>
      <c r="AB2" s="96"/>
      <c r="AC2" s="96"/>
    </row>
    <row r="3" spans="1:29" ht="15" customHeight="1">
      <c r="A3" s="57">
        <v>44470</v>
      </c>
      <c r="B3" s="66">
        <v>38.96</v>
      </c>
      <c r="C3" s="66">
        <v>228</v>
      </c>
      <c r="D3" s="67">
        <v>2.2722560000000001</v>
      </c>
      <c r="E3" s="65">
        <v>3.5696639999999999</v>
      </c>
      <c r="F3" s="65">
        <v>4.6714880000000001</v>
      </c>
      <c r="G3" s="65">
        <v>1.5034879999999999</v>
      </c>
      <c r="H3" s="65">
        <v>2.36544</v>
      </c>
      <c r="I3" s="65">
        <v>2.3283200000000002</v>
      </c>
      <c r="J3" s="65">
        <v>1.3829119999999999</v>
      </c>
      <c r="K3" s="65">
        <v>1.633024</v>
      </c>
      <c r="L3" s="65">
        <v>3.576832</v>
      </c>
      <c r="M3" s="73">
        <v>2945</v>
      </c>
      <c r="N3" s="58">
        <v>5772</v>
      </c>
      <c r="O3" s="32">
        <v>8585</v>
      </c>
      <c r="P3" s="32">
        <v>8700</v>
      </c>
      <c r="Q3" s="32">
        <v>5926</v>
      </c>
      <c r="R3" s="21">
        <f>807+1515+1798+2659+1635</f>
        <v>8414</v>
      </c>
      <c r="S3" s="21">
        <v>1.0900000000000001</v>
      </c>
      <c r="T3" s="31">
        <v>65</v>
      </c>
      <c r="U3" s="20">
        <v>0</v>
      </c>
      <c r="V3" s="20">
        <v>81</v>
      </c>
      <c r="W3" s="20">
        <v>116</v>
      </c>
      <c r="X3" s="20">
        <v>80</v>
      </c>
      <c r="Y3" s="31">
        <v>73</v>
      </c>
      <c r="Z3" s="35">
        <v>0</v>
      </c>
      <c r="AA3" s="97" t="s">
        <v>64</v>
      </c>
      <c r="AB3" s="97"/>
      <c r="AC3" s="97"/>
    </row>
    <row r="4" spans="1:29" ht="15" customHeight="1">
      <c r="A4" s="57">
        <v>44471</v>
      </c>
      <c r="B4" s="66">
        <v>36.36</v>
      </c>
      <c r="C4" s="66">
        <v>203</v>
      </c>
      <c r="D4" s="67">
        <v>1.937408</v>
      </c>
      <c r="E4" s="65">
        <v>3.3520639999999999</v>
      </c>
      <c r="F4" s="65">
        <v>4.2987520000000004</v>
      </c>
      <c r="G4" s="65">
        <v>1.311232</v>
      </c>
      <c r="H4" s="65">
        <v>1.930496</v>
      </c>
      <c r="I4" s="65">
        <v>2.1928960000000002</v>
      </c>
      <c r="J4" s="65">
        <v>1.38496</v>
      </c>
      <c r="K4" s="65">
        <v>1.5933440000000001</v>
      </c>
      <c r="L4" s="65">
        <v>3.5246080000000002</v>
      </c>
      <c r="M4" s="73">
        <v>3460</v>
      </c>
      <c r="N4" s="58">
        <v>0</v>
      </c>
      <c r="O4" s="32">
        <v>3815</v>
      </c>
      <c r="P4" s="32">
        <v>5451</v>
      </c>
      <c r="Q4" s="32">
        <v>4836</v>
      </c>
      <c r="R4" s="21">
        <f>940+875+1678+1308</f>
        <v>4801</v>
      </c>
      <c r="S4" s="21">
        <v>1.0900000000000001</v>
      </c>
      <c r="T4" s="31">
        <v>57</v>
      </c>
      <c r="U4" s="20">
        <v>53</v>
      </c>
      <c r="V4" s="20">
        <v>66</v>
      </c>
      <c r="W4" s="20">
        <v>99</v>
      </c>
      <c r="X4" s="20">
        <v>81</v>
      </c>
      <c r="Y4" s="31">
        <v>75</v>
      </c>
      <c r="Z4" s="35">
        <v>0</v>
      </c>
      <c r="AA4" s="33" t="s">
        <v>65</v>
      </c>
      <c r="AB4" s="38" t="s">
        <v>66</v>
      </c>
      <c r="AC4" s="33" t="s">
        <v>67</v>
      </c>
    </row>
    <row r="5" spans="1:29" ht="15" customHeight="1">
      <c r="A5" s="57">
        <v>44472</v>
      </c>
      <c r="B5" s="66">
        <v>43.42</v>
      </c>
      <c r="C5" s="66">
        <v>141</v>
      </c>
      <c r="D5" s="67">
        <v>1.942528</v>
      </c>
      <c r="E5" s="65">
        <v>3.6423679999999998</v>
      </c>
      <c r="F5" s="65">
        <v>4.5276160000000001</v>
      </c>
      <c r="G5" s="65">
        <v>1.4497279999999999</v>
      </c>
      <c r="H5" s="65">
        <v>1.9732479999999999</v>
      </c>
      <c r="I5" s="65">
        <v>2.163456</v>
      </c>
      <c r="J5" s="65">
        <v>1.349248</v>
      </c>
      <c r="K5" s="65">
        <v>1.6271359999999999</v>
      </c>
      <c r="L5" s="65">
        <v>3.385856</v>
      </c>
      <c r="M5" s="64">
        <v>2392</v>
      </c>
      <c r="N5" s="47">
        <v>0</v>
      </c>
      <c r="O5" s="47">
        <v>2603</v>
      </c>
      <c r="P5" s="47">
        <v>8115</v>
      </c>
      <c r="Q5" s="47">
        <v>10524</v>
      </c>
      <c r="R5" s="47">
        <f>670+633+2486+2794</f>
        <v>6583</v>
      </c>
      <c r="S5" s="21">
        <v>1.0900000000000001</v>
      </c>
      <c r="T5" s="31">
        <v>56</v>
      </c>
      <c r="U5" s="31">
        <v>28</v>
      </c>
      <c r="V5" s="31">
        <v>94</v>
      </c>
      <c r="W5" s="31">
        <v>90</v>
      </c>
      <c r="X5" s="31">
        <v>64</v>
      </c>
      <c r="Y5" s="31">
        <v>24</v>
      </c>
      <c r="Z5" s="35">
        <v>0</v>
      </c>
      <c r="AA5" s="34">
        <v>4.5</v>
      </c>
      <c r="AB5" s="77">
        <v>1</v>
      </c>
      <c r="AC5" s="34">
        <v>4.5</v>
      </c>
    </row>
    <row r="6" spans="1:29" ht="15" customHeight="1">
      <c r="A6" s="57">
        <v>44473</v>
      </c>
      <c r="B6" s="66">
        <v>38.159999999999997</v>
      </c>
      <c r="C6" s="66">
        <v>201</v>
      </c>
      <c r="D6" s="67">
        <v>2.4473600000000002</v>
      </c>
      <c r="E6" s="65">
        <v>4.145664</v>
      </c>
      <c r="F6" s="65">
        <v>4.7626239999999997</v>
      </c>
      <c r="G6" s="65">
        <v>1.5787519999999999</v>
      </c>
      <c r="H6" s="65">
        <v>2.4366080000000001</v>
      </c>
      <c r="I6" s="65">
        <v>2.6480640000000002</v>
      </c>
      <c r="J6" s="65">
        <v>1.4013439999999999</v>
      </c>
      <c r="K6" s="65">
        <v>1.6637439999999999</v>
      </c>
      <c r="L6" s="65">
        <v>3.6884480000000002</v>
      </c>
      <c r="M6" s="64">
        <v>0</v>
      </c>
      <c r="N6" s="47">
        <v>0</v>
      </c>
      <c r="O6" s="47">
        <v>10485</v>
      </c>
      <c r="P6" s="47">
        <v>9066</v>
      </c>
      <c r="Q6" s="47">
        <v>8519</v>
      </c>
      <c r="R6" s="47">
        <f>2148+2832+2172</f>
        <v>7152</v>
      </c>
      <c r="S6" s="21">
        <v>1.0900000000000001</v>
      </c>
      <c r="T6" s="31">
        <v>62</v>
      </c>
      <c r="U6" s="31">
        <v>20</v>
      </c>
      <c r="V6" s="31">
        <v>119</v>
      </c>
      <c r="W6" s="31">
        <v>137</v>
      </c>
      <c r="X6" s="31">
        <v>85</v>
      </c>
      <c r="Y6" s="31">
        <v>78</v>
      </c>
      <c r="Z6" s="35">
        <v>0</v>
      </c>
      <c r="AA6" s="34">
        <v>5</v>
      </c>
      <c r="AB6" s="77">
        <v>8</v>
      </c>
      <c r="AC6" s="34">
        <v>40</v>
      </c>
    </row>
    <row r="7" spans="1:29" ht="15" customHeight="1">
      <c r="A7" s="57">
        <v>44474</v>
      </c>
      <c r="B7" s="66">
        <v>34.21</v>
      </c>
      <c r="C7" s="66">
        <v>208</v>
      </c>
      <c r="D7" s="67">
        <v>2.1888000000000001</v>
      </c>
      <c r="E7" s="65">
        <v>3.9997440000000002</v>
      </c>
      <c r="F7" s="65">
        <v>4.8117760000000001</v>
      </c>
      <c r="G7" s="65">
        <v>1.5779840000000001</v>
      </c>
      <c r="H7" s="65">
        <v>2.3928319999999998</v>
      </c>
      <c r="I7" s="65">
        <v>2.5973760000000001</v>
      </c>
      <c r="J7" s="65">
        <v>1.3493759999999999</v>
      </c>
      <c r="K7" s="65">
        <v>1.6151040000000001</v>
      </c>
      <c r="L7" s="65">
        <v>3.6162559999999999</v>
      </c>
      <c r="M7" s="64">
        <v>11074</v>
      </c>
      <c r="N7" s="58">
        <v>0</v>
      </c>
      <c r="O7" s="32">
        <v>8749</v>
      </c>
      <c r="P7" s="32">
        <v>0</v>
      </c>
      <c r="Q7" s="32">
        <v>5896</v>
      </c>
      <c r="R7" s="21">
        <f>2942+1828+1539</f>
        <v>6309</v>
      </c>
      <c r="S7" s="21">
        <v>1.0900000000000001</v>
      </c>
      <c r="T7" s="31">
        <v>58</v>
      </c>
      <c r="U7" s="31">
        <v>22</v>
      </c>
      <c r="V7" s="31">
        <v>132</v>
      </c>
      <c r="W7" s="31">
        <v>150</v>
      </c>
      <c r="X7" s="31">
        <v>82</v>
      </c>
      <c r="Y7" s="31">
        <v>119</v>
      </c>
      <c r="Z7" s="35">
        <v>0</v>
      </c>
      <c r="AA7" s="34">
        <v>10</v>
      </c>
      <c r="AB7" s="78">
        <v>16</v>
      </c>
      <c r="AC7" s="34">
        <v>160</v>
      </c>
    </row>
    <row r="8" spans="1:29" ht="15" customHeight="1">
      <c r="A8" s="57">
        <v>44475</v>
      </c>
      <c r="B8" s="66">
        <v>35.53</v>
      </c>
      <c r="C8" s="66">
        <v>256</v>
      </c>
      <c r="D8" s="67">
        <v>2.3695360000000001</v>
      </c>
      <c r="E8" s="65">
        <v>4.27264</v>
      </c>
      <c r="F8" s="65">
        <v>4.8558079999999997</v>
      </c>
      <c r="G8" s="65">
        <v>1.6255999999999999</v>
      </c>
      <c r="H8" s="65">
        <v>2.4547840000000001</v>
      </c>
      <c r="I8" s="65">
        <v>2.606592</v>
      </c>
      <c r="J8" s="65">
        <v>1.3748480000000001</v>
      </c>
      <c r="K8" s="65">
        <v>1.589504</v>
      </c>
      <c r="L8" s="65">
        <v>3.71712</v>
      </c>
      <c r="M8" s="64">
        <v>2515</v>
      </c>
      <c r="N8" s="58">
        <v>6295</v>
      </c>
      <c r="O8" s="32">
        <v>3959</v>
      </c>
      <c r="P8" s="32">
        <v>10393</v>
      </c>
      <c r="Q8" s="32">
        <v>3483</v>
      </c>
      <c r="R8" s="21">
        <f>444+1677+882+3224+980</f>
        <v>7207</v>
      </c>
      <c r="S8" s="21">
        <v>1.0900000000000001</v>
      </c>
      <c r="T8" s="46">
        <v>52</v>
      </c>
      <c r="U8" s="46">
        <v>32</v>
      </c>
      <c r="V8" s="46">
        <v>142</v>
      </c>
      <c r="W8" s="46">
        <v>212</v>
      </c>
      <c r="X8" s="46">
        <v>96</v>
      </c>
      <c r="Y8" s="46">
        <v>115</v>
      </c>
      <c r="Z8" s="35">
        <v>0</v>
      </c>
      <c r="AA8" s="62">
        <v>12</v>
      </c>
      <c r="AB8" s="76">
        <v>4</v>
      </c>
      <c r="AC8" s="34">
        <v>48</v>
      </c>
    </row>
    <row r="9" spans="1:29" ht="15" customHeight="1">
      <c r="A9" s="57">
        <v>44476</v>
      </c>
      <c r="B9" s="66">
        <v>40.79</v>
      </c>
      <c r="C9" s="66">
        <v>245</v>
      </c>
      <c r="D9" s="67">
        <v>2.492928</v>
      </c>
      <c r="E9" s="65">
        <v>4.0801280000000002</v>
      </c>
      <c r="F9" s="65">
        <v>4.9879040000000003</v>
      </c>
      <c r="G9" s="65">
        <v>1.728256</v>
      </c>
      <c r="H9" s="65">
        <v>2.6242559999999999</v>
      </c>
      <c r="I9" s="65">
        <v>2.865408</v>
      </c>
      <c r="J9" s="65">
        <v>1.2698879999999999</v>
      </c>
      <c r="K9" s="65">
        <v>1.614592</v>
      </c>
      <c r="L9" s="65">
        <v>3.6956159999999998</v>
      </c>
      <c r="M9" s="64">
        <v>13020</v>
      </c>
      <c r="N9" s="58">
        <v>7450</v>
      </c>
      <c r="O9" s="32">
        <v>3492</v>
      </c>
      <c r="P9" s="32">
        <v>8515</v>
      </c>
      <c r="Q9" s="32">
        <v>5242</v>
      </c>
      <c r="R9" s="21">
        <f>3349+1937+782+2657+1361</f>
        <v>10086</v>
      </c>
      <c r="S9" s="21">
        <v>1.0900000000000001</v>
      </c>
      <c r="T9" s="31">
        <v>60</v>
      </c>
      <c r="U9" s="20">
        <v>67</v>
      </c>
      <c r="V9" s="20">
        <v>129</v>
      </c>
      <c r="W9" s="20">
        <v>145</v>
      </c>
      <c r="X9" s="20">
        <v>109</v>
      </c>
      <c r="Y9" s="31">
        <v>114</v>
      </c>
      <c r="Z9" s="35">
        <v>0</v>
      </c>
      <c r="AA9" s="63">
        <v>20</v>
      </c>
      <c r="AB9" s="76">
        <v>68</v>
      </c>
      <c r="AC9" s="34">
        <v>1360</v>
      </c>
    </row>
    <row r="10" spans="1:29" ht="15.75" customHeight="1">
      <c r="A10" s="57">
        <v>44477</v>
      </c>
      <c r="B10" s="66">
        <v>47.38</v>
      </c>
      <c r="C10" s="66">
        <v>269</v>
      </c>
      <c r="D10" s="67">
        <v>2.515968</v>
      </c>
      <c r="E10" s="65">
        <v>4.024832</v>
      </c>
      <c r="F10" s="65">
        <v>4.7426560000000002</v>
      </c>
      <c r="G10" s="65">
        <v>1.756672</v>
      </c>
      <c r="H10" s="65">
        <v>2.6421760000000001</v>
      </c>
      <c r="I10" s="65">
        <v>2.792192</v>
      </c>
      <c r="J10" s="65">
        <v>1.4044160000000001</v>
      </c>
      <c r="K10" s="65">
        <v>1.6248320000000001</v>
      </c>
      <c r="L10" s="65">
        <v>3.8430719999999998</v>
      </c>
      <c r="M10" s="64">
        <v>6658</v>
      </c>
      <c r="N10" s="58">
        <v>0</v>
      </c>
      <c r="O10" s="32">
        <v>0</v>
      </c>
      <c r="P10" s="32">
        <v>6169</v>
      </c>
      <c r="Q10" s="32">
        <v>4973</v>
      </c>
      <c r="R10" s="21">
        <f>2277+1856+1419</f>
        <v>5552</v>
      </c>
      <c r="S10" s="21">
        <v>1.0900000000000001</v>
      </c>
      <c r="T10" s="31">
        <v>50</v>
      </c>
      <c r="U10" s="31">
        <v>32</v>
      </c>
      <c r="V10" s="31">
        <v>141</v>
      </c>
      <c r="W10" s="31">
        <v>176</v>
      </c>
      <c r="X10" s="31">
        <v>107</v>
      </c>
      <c r="Y10" s="31">
        <v>107</v>
      </c>
      <c r="Z10" s="35">
        <v>0</v>
      </c>
      <c r="AA10" s="45"/>
      <c r="AB10" s="60" t="s">
        <v>68</v>
      </c>
      <c r="AC10" s="61">
        <f>SUM(AC6:AC9)</f>
        <v>1608</v>
      </c>
    </row>
    <row r="11" spans="1:29" ht="15" customHeight="1">
      <c r="A11" s="57">
        <v>44478</v>
      </c>
      <c r="B11" s="66">
        <v>49.33</v>
      </c>
      <c r="C11" s="66">
        <v>281</v>
      </c>
      <c r="D11" s="67">
        <v>2.7857919999999998</v>
      </c>
      <c r="E11" s="65">
        <v>4.3274239999999997</v>
      </c>
      <c r="F11" s="65">
        <v>4.7134720000000003</v>
      </c>
      <c r="G11" s="65">
        <v>1.7336320000000001</v>
      </c>
      <c r="H11" s="65">
        <v>2.5561600000000002</v>
      </c>
      <c r="I11" s="65">
        <v>2.9854720000000001</v>
      </c>
      <c r="J11" s="65">
        <v>1.443584</v>
      </c>
      <c r="K11" s="65">
        <v>1.7185280000000001</v>
      </c>
      <c r="L11" s="65">
        <v>3.7688320000000002</v>
      </c>
      <c r="M11" s="64">
        <v>5328</v>
      </c>
      <c r="N11" s="73">
        <v>8075</v>
      </c>
      <c r="O11" s="73">
        <v>985</v>
      </c>
      <c r="P11" s="73">
        <v>8186</v>
      </c>
      <c r="Q11" s="73">
        <v>5371</v>
      </c>
      <c r="R11" s="73">
        <f>1454+2090+222+2546+1453</f>
        <v>7765</v>
      </c>
      <c r="S11" s="21">
        <v>1.0900000000000001</v>
      </c>
      <c r="T11" s="31">
        <v>51</v>
      </c>
      <c r="U11" s="20">
        <v>0</v>
      </c>
      <c r="V11" s="20">
        <v>144</v>
      </c>
      <c r="W11" s="20">
        <v>184</v>
      </c>
      <c r="X11" s="20">
        <v>68</v>
      </c>
      <c r="Y11" s="31">
        <v>109</v>
      </c>
      <c r="Z11" s="35">
        <v>0</v>
      </c>
      <c r="AA11" s="98" t="s">
        <v>69</v>
      </c>
      <c r="AB11" s="99"/>
      <c r="AC11" s="99"/>
    </row>
    <row r="12" spans="1:29" ht="15" customHeight="1">
      <c r="A12" s="57">
        <v>44479</v>
      </c>
      <c r="B12" s="66">
        <v>47.37</v>
      </c>
      <c r="C12" s="66">
        <v>275</v>
      </c>
      <c r="D12" s="67">
        <v>2.4017919999999999</v>
      </c>
      <c r="E12" s="65">
        <v>3.593216</v>
      </c>
      <c r="F12" s="65">
        <v>4.6192640000000003</v>
      </c>
      <c r="G12" s="65">
        <v>1.599488</v>
      </c>
      <c r="H12" s="65">
        <v>2.3249919999999999</v>
      </c>
      <c r="I12" s="65">
        <v>2.5687039999999999</v>
      </c>
      <c r="J12" s="65">
        <v>1.4295040000000001</v>
      </c>
      <c r="K12" s="65">
        <v>1.6389119999999999</v>
      </c>
      <c r="L12" s="65">
        <v>3.6218880000000002</v>
      </c>
      <c r="M12" s="64">
        <v>3501</v>
      </c>
      <c r="N12" s="58">
        <v>8160</v>
      </c>
      <c r="O12" s="32">
        <v>8086</v>
      </c>
      <c r="P12" s="32">
        <v>0</v>
      </c>
      <c r="Q12" s="32">
        <v>6331</v>
      </c>
      <c r="R12" s="21">
        <f>963+2113+1672+1637</f>
        <v>6385</v>
      </c>
      <c r="S12" s="21">
        <v>1.0900000000000001</v>
      </c>
      <c r="T12" s="31">
        <v>46</v>
      </c>
      <c r="U12" s="31">
        <v>26</v>
      </c>
      <c r="V12" s="31">
        <v>125</v>
      </c>
      <c r="W12" s="31">
        <v>185</v>
      </c>
      <c r="X12" s="31">
        <v>76</v>
      </c>
      <c r="Y12" s="31">
        <v>113</v>
      </c>
      <c r="Z12" s="35">
        <v>0</v>
      </c>
      <c r="AA12" s="86"/>
      <c r="AB12" s="100" t="s">
        <v>70</v>
      </c>
      <c r="AC12" s="101"/>
    </row>
    <row r="13" spans="1:29" ht="15" customHeight="1">
      <c r="A13" s="57">
        <v>44480</v>
      </c>
      <c r="B13" s="66">
        <v>46.75</v>
      </c>
      <c r="C13" s="66">
        <v>249</v>
      </c>
      <c r="D13" s="67">
        <v>2.6280960000000002</v>
      </c>
      <c r="E13" s="65">
        <v>3.8261759999999998</v>
      </c>
      <c r="F13" s="65">
        <v>5.0119680000000004</v>
      </c>
      <c r="G13" s="65">
        <v>1.714944</v>
      </c>
      <c r="H13" s="65">
        <v>2.7328000000000001</v>
      </c>
      <c r="I13" s="65">
        <v>2.967552</v>
      </c>
      <c r="J13" s="65">
        <v>1.2765439999999999</v>
      </c>
      <c r="K13" s="65">
        <v>1.5982080000000001</v>
      </c>
      <c r="L13" s="65">
        <v>3.5880960000000002</v>
      </c>
      <c r="M13" s="64">
        <v>6208</v>
      </c>
      <c r="N13" s="58">
        <v>3554</v>
      </c>
      <c r="O13" s="58">
        <v>5705</v>
      </c>
      <c r="P13" s="32">
        <v>5382</v>
      </c>
      <c r="Q13" s="32">
        <v>7319</v>
      </c>
      <c r="R13" s="21">
        <f>1694+894+1184+1706+1746</f>
        <v>7224</v>
      </c>
      <c r="S13" s="21">
        <v>1.0900000000000001</v>
      </c>
      <c r="T13" s="31">
        <v>51</v>
      </c>
      <c r="U13" s="31">
        <v>50</v>
      </c>
      <c r="V13" s="31">
        <v>149</v>
      </c>
      <c r="W13" s="31">
        <v>141</v>
      </c>
      <c r="X13" s="31">
        <v>89</v>
      </c>
      <c r="Y13" s="31">
        <v>110</v>
      </c>
      <c r="Z13" s="35">
        <v>0</v>
      </c>
      <c r="AA13" s="44" t="s">
        <v>71</v>
      </c>
      <c r="AB13" s="89">
        <v>7650</v>
      </c>
      <c r="AC13" s="90"/>
    </row>
    <row r="14" spans="1:29" ht="15" customHeight="1">
      <c r="A14" s="57">
        <v>44481</v>
      </c>
      <c r="B14" s="66">
        <v>50.67</v>
      </c>
      <c r="C14" s="66">
        <v>312</v>
      </c>
      <c r="D14" s="67">
        <v>2.6956799999999999</v>
      </c>
      <c r="E14" s="65">
        <v>3.9935999999999998</v>
      </c>
      <c r="F14" s="65">
        <v>5.0810880000000003</v>
      </c>
      <c r="G14" s="65">
        <v>1.756928</v>
      </c>
      <c r="H14" s="65">
        <v>2.8372480000000002</v>
      </c>
      <c r="I14" s="65">
        <v>3.7680639999999999</v>
      </c>
      <c r="J14" s="65">
        <v>1.2967679999999999</v>
      </c>
      <c r="K14" s="65">
        <v>1.559296</v>
      </c>
      <c r="L14" s="65">
        <v>3.587072</v>
      </c>
      <c r="M14" s="79">
        <v>11869</v>
      </c>
      <c r="N14" s="83">
        <v>7982</v>
      </c>
      <c r="O14" s="84">
        <v>0</v>
      </c>
      <c r="P14" s="84">
        <v>0</v>
      </c>
      <c r="Q14" s="84">
        <v>3818</v>
      </c>
      <c r="R14" s="85">
        <f>3221+2147+945</f>
        <v>6313</v>
      </c>
      <c r="S14" s="21">
        <v>1.0900000000000001</v>
      </c>
      <c r="T14" s="31">
        <v>55</v>
      </c>
      <c r="U14" s="20">
        <v>28</v>
      </c>
      <c r="V14" s="20">
        <v>163</v>
      </c>
      <c r="W14" s="20">
        <v>177</v>
      </c>
      <c r="X14" s="20">
        <v>69</v>
      </c>
      <c r="Y14" s="20">
        <v>115</v>
      </c>
      <c r="Z14" s="35">
        <v>0</v>
      </c>
      <c r="AA14" s="44" t="s">
        <v>72</v>
      </c>
      <c r="AB14" s="89">
        <v>3800</v>
      </c>
      <c r="AC14" s="90"/>
    </row>
    <row r="15" spans="1:29" ht="15">
      <c r="A15" s="57">
        <v>44482</v>
      </c>
      <c r="B15" s="66">
        <v>52.63</v>
      </c>
      <c r="C15" s="66">
        <v>339</v>
      </c>
      <c r="D15" s="67">
        <v>2.5185279999999999</v>
      </c>
      <c r="E15" s="65">
        <v>3.8599679999999998</v>
      </c>
      <c r="F15" s="65">
        <v>4.9489919999999996</v>
      </c>
      <c r="G15" s="65">
        <v>1.693184</v>
      </c>
      <c r="H15" s="65">
        <v>2.5134080000000001</v>
      </c>
      <c r="I15" s="65">
        <v>3.8510080000000002</v>
      </c>
      <c r="J15" s="65">
        <v>1.1988479999999999</v>
      </c>
      <c r="K15" s="65">
        <v>1.5485439999999999</v>
      </c>
      <c r="L15" s="65">
        <v>3.5005440000000001</v>
      </c>
      <c r="M15" s="64">
        <v>5095</v>
      </c>
      <c r="N15" s="49">
        <v>8086</v>
      </c>
      <c r="O15" s="47">
        <v>4192</v>
      </c>
      <c r="P15" s="47">
        <v>5982</v>
      </c>
      <c r="Q15" s="47">
        <v>5203</v>
      </c>
      <c r="R15" s="21">
        <f>1390+2127+878+1787+1421</f>
        <v>7603</v>
      </c>
      <c r="S15" s="21">
        <v>1.0900000000000001</v>
      </c>
      <c r="T15" s="31">
        <v>49</v>
      </c>
      <c r="U15" s="31">
        <v>47</v>
      </c>
      <c r="V15" s="20">
        <v>142</v>
      </c>
      <c r="W15" s="20">
        <v>166</v>
      </c>
      <c r="X15" s="20">
        <v>75</v>
      </c>
      <c r="Y15" s="20">
        <v>52</v>
      </c>
      <c r="Z15" s="35">
        <v>0</v>
      </c>
      <c r="AA15" s="87"/>
      <c r="AB15" s="37" t="s">
        <v>68</v>
      </c>
      <c r="AC15" s="34">
        <f>SUM(AB13:AC14)</f>
        <v>11450</v>
      </c>
    </row>
    <row r="16" spans="1:29" ht="15" customHeight="1">
      <c r="A16" s="57">
        <v>44483</v>
      </c>
      <c r="B16" s="66">
        <v>51.31</v>
      </c>
      <c r="C16" s="66">
        <v>337</v>
      </c>
      <c r="D16" s="67">
        <v>2.5067520000000001</v>
      </c>
      <c r="E16" s="65">
        <v>3.9265279999999998</v>
      </c>
      <c r="F16" s="65">
        <v>5.0344959999999999</v>
      </c>
      <c r="G16" s="65">
        <v>1.8314239999999999</v>
      </c>
      <c r="H16" s="65">
        <v>2.509312</v>
      </c>
      <c r="I16" s="65">
        <v>4.0368639999999996</v>
      </c>
      <c r="J16" s="65">
        <v>1.1566080000000001</v>
      </c>
      <c r="K16" s="65">
        <v>1.56416</v>
      </c>
      <c r="L16" s="65">
        <v>3.412992</v>
      </c>
      <c r="M16" s="64">
        <v>3527</v>
      </c>
      <c r="N16" s="47">
        <v>5800</v>
      </c>
      <c r="O16" s="47">
        <v>6820</v>
      </c>
      <c r="P16" s="47">
        <v>5041</v>
      </c>
      <c r="Q16" s="47">
        <v>6079</v>
      </c>
      <c r="R16" s="47">
        <f>916+1490+1436+1629+1574</f>
        <v>7045</v>
      </c>
      <c r="S16" s="21">
        <v>1.0900000000000001</v>
      </c>
      <c r="T16" s="31">
        <v>52</v>
      </c>
      <c r="U16" s="31">
        <v>33</v>
      </c>
      <c r="V16" s="31">
        <v>149</v>
      </c>
      <c r="W16" s="31">
        <v>200</v>
      </c>
      <c r="X16" s="31">
        <v>91</v>
      </c>
      <c r="Y16" s="31">
        <v>95</v>
      </c>
      <c r="Z16" s="35">
        <v>0</v>
      </c>
      <c r="AA16" s="91"/>
      <c r="AB16" s="88"/>
      <c r="AC16" s="92"/>
    </row>
    <row r="17" spans="1:30" ht="15" customHeight="1">
      <c r="A17" s="57">
        <v>44484</v>
      </c>
      <c r="B17" s="66">
        <v>57.89</v>
      </c>
      <c r="C17" s="66">
        <v>340</v>
      </c>
      <c r="D17" s="67">
        <v>2.5646080000000002</v>
      </c>
      <c r="E17" s="65">
        <v>3.8589440000000002</v>
      </c>
      <c r="F17" s="65">
        <v>5.005312</v>
      </c>
      <c r="G17" s="65">
        <v>1.950976</v>
      </c>
      <c r="H17" s="65">
        <v>2.661632</v>
      </c>
      <c r="I17" s="65">
        <v>4.128768</v>
      </c>
      <c r="J17" s="65">
        <v>1.4739199999999999</v>
      </c>
      <c r="K17" s="65">
        <v>1.542656</v>
      </c>
      <c r="L17" s="65">
        <v>3.7109760000000001</v>
      </c>
      <c r="M17" s="64">
        <v>7514</v>
      </c>
      <c r="N17" s="49">
        <v>4827</v>
      </c>
      <c r="O17" s="47">
        <v>5028</v>
      </c>
      <c r="P17" s="47">
        <v>976</v>
      </c>
      <c r="Q17" s="47">
        <v>9759</v>
      </c>
      <c r="R17" s="21">
        <f>2060+1300+1087+335+2656</f>
        <v>7438</v>
      </c>
      <c r="S17" s="21">
        <v>1.0900000000000001</v>
      </c>
      <c r="T17" s="31">
        <v>61</v>
      </c>
      <c r="U17" s="31">
        <v>51</v>
      </c>
      <c r="V17" s="31">
        <v>150</v>
      </c>
      <c r="W17" s="31">
        <v>178</v>
      </c>
      <c r="X17" s="31">
        <v>96</v>
      </c>
      <c r="Y17" s="31">
        <v>111</v>
      </c>
      <c r="Z17" s="35">
        <v>0</v>
      </c>
      <c r="AA17" s="91"/>
      <c r="AB17" s="88"/>
      <c r="AC17" s="92"/>
    </row>
    <row r="18" spans="1:30" ht="15" customHeight="1">
      <c r="A18" s="57">
        <v>44485</v>
      </c>
      <c r="B18" s="66">
        <v>64.47</v>
      </c>
      <c r="C18" s="66">
        <v>402</v>
      </c>
      <c r="D18" s="67">
        <v>2.7929599999999999</v>
      </c>
      <c r="E18" s="65">
        <v>4.4103680000000001</v>
      </c>
      <c r="F18" s="65">
        <v>5.1220480000000004</v>
      </c>
      <c r="G18" s="65">
        <v>1.9929600000000001</v>
      </c>
      <c r="H18" s="65">
        <v>2.557696</v>
      </c>
      <c r="I18" s="65">
        <v>4.3868159999999996</v>
      </c>
      <c r="J18" s="65">
        <v>1.459328</v>
      </c>
      <c r="K18" s="65">
        <v>1.7041919999999999</v>
      </c>
      <c r="L18" s="65">
        <v>3.6684800000000002</v>
      </c>
      <c r="M18" s="64">
        <v>4013</v>
      </c>
      <c r="N18" s="47">
        <v>10332</v>
      </c>
      <c r="O18" s="47">
        <v>0</v>
      </c>
      <c r="P18" s="47">
        <v>10628</v>
      </c>
      <c r="Q18" s="47">
        <v>4256</v>
      </c>
      <c r="R18" s="21">
        <f>1055+2611+3285+1146</f>
        <v>8097</v>
      </c>
      <c r="S18" s="21">
        <v>1.0900000000000001</v>
      </c>
      <c r="T18" s="31">
        <v>55</v>
      </c>
      <c r="U18" s="31">
        <v>0</v>
      </c>
      <c r="V18" s="31">
        <v>141</v>
      </c>
      <c r="W18" s="31">
        <v>186</v>
      </c>
      <c r="X18" s="31">
        <v>111</v>
      </c>
      <c r="Y18" s="31">
        <v>99</v>
      </c>
      <c r="Z18" s="35">
        <v>0</v>
      </c>
      <c r="AA18" s="91"/>
      <c r="AB18" s="88"/>
      <c r="AC18" s="92"/>
    </row>
    <row r="19" spans="1:30" ht="15" customHeight="1">
      <c r="A19" s="57">
        <v>44486</v>
      </c>
      <c r="B19" s="66">
        <v>55.26</v>
      </c>
      <c r="C19" s="66">
        <v>395</v>
      </c>
      <c r="D19" s="67">
        <v>2.3383039999999999</v>
      </c>
      <c r="E19" s="65">
        <v>3.7120000000000002</v>
      </c>
      <c r="F19" s="65">
        <v>4.8824319999999997</v>
      </c>
      <c r="G19" s="65">
        <v>1.676288</v>
      </c>
      <c r="H19" s="65">
        <v>2.3528959999999999</v>
      </c>
      <c r="I19" s="65">
        <v>3.404544</v>
      </c>
      <c r="J19" s="65">
        <v>1.5307519999999999</v>
      </c>
      <c r="K19" s="65">
        <v>1.6788479999999999</v>
      </c>
      <c r="L19" s="65">
        <v>3.5778560000000001</v>
      </c>
      <c r="M19" s="64">
        <v>12002</v>
      </c>
      <c r="N19" s="47">
        <v>5692</v>
      </c>
      <c r="O19" s="47">
        <v>9908</v>
      </c>
      <c r="P19" s="47">
        <v>0</v>
      </c>
      <c r="Q19" s="47">
        <v>4089</v>
      </c>
      <c r="R19" s="21">
        <f>3204+1481+2030+1089</f>
        <v>7804</v>
      </c>
      <c r="S19" s="21">
        <v>1.0900000000000001</v>
      </c>
      <c r="T19" s="31">
        <v>50</v>
      </c>
      <c r="U19" s="31">
        <v>34</v>
      </c>
      <c r="V19" s="31">
        <v>168</v>
      </c>
      <c r="W19" s="31">
        <v>203</v>
      </c>
      <c r="X19" s="31">
        <v>97</v>
      </c>
      <c r="Y19" s="31">
        <v>101</v>
      </c>
      <c r="Z19" s="35">
        <v>0</v>
      </c>
      <c r="AA19" s="91"/>
      <c r="AB19" s="88"/>
      <c r="AC19" s="92"/>
    </row>
    <row r="20" spans="1:30" ht="15" customHeight="1">
      <c r="A20" s="57">
        <v>44487</v>
      </c>
      <c r="B20" s="66">
        <v>67.11</v>
      </c>
      <c r="C20" s="66">
        <v>370</v>
      </c>
      <c r="D20" s="67">
        <v>2.3603200000000002</v>
      </c>
      <c r="E20" s="65">
        <v>3.7498879999999999</v>
      </c>
      <c r="F20" s="65">
        <v>4.7790080000000001</v>
      </c>
      <c r="G20" s="65">
        <v>1.8042879999999999</v>
      </c>
      <c r="H20" s="65">
        <v>2.52928</v>
      </c>
      <c r="I20" s="65">
        <v>3.7245439999999999</v>
      </c>
      <c r="J20" s="65">
        <v>1.406336</v>
      </c>
      <c r="K20" s="65">
        <v>1.577728</v>
      </c>
      <c r="L20" s="65">
        <v>3.7713920000000001</v>
      </c>
      <c r="M20" s="64">
        <v>5688</v>
      </c>
      <c r="N20" s="47">
        <v>8177</v>
      </c>
      <c r="O20" s="47">
        <v>9030</v>
      </c>
      <c r="P20" s="47">
        <v>0</v>
      </c>
      <c r="Q20" s="47">
        <v>4867</v>
      </c>
      <c r="R20" s="21">
        <f>1534+2101+1841+1323</f>
        <v>6799</v>
      </c>
      <c r="S20" s="21">
        <v>1.0900000000000001</v>
      </c>
      <c r="T20" s="31">
        <v>56</v>
      </c>
      <c r="U20" s="31">
        <v>8</v>
      </c>
      <c r="V20" s="31">
        <v>143</v>
      </c>
      <c r="W20" s="31">
        <v>240</v>
      </c>
      <c r="X20" s="31">
        <v>82</v>
      </c>
      <c r="Y20" s="31">
        <v>99</v>
      </c>
      <c r="Z20" s="35">
        <v>0</v>
      </c>
      <c r="AA20" s="91"/>
      <c r="AB20" s="88"/>
      <c r="AC20" s="92"/>
    </row>
    <row r="21" spans="1:30" ht="15" customHeight="1">
      <c r="A21" s="57">
        <v>44488</v>
      </c>
      <c r="B21" s="66">
        <v>61.84</v>
      </c>
      <c r="C21" s="66">
        <v>373</v>
      </c>
      <c r="D21" s="67">
        <v>2.61632</v>
      </c>
      <c r="E21" s="65">
        <v>4.058624</v>
      </c>
      <c r="F21" s="65">
        <v>4.7759359999999997</v>
      </c>
      <c r="G21" s="65">
        <v>1.8882559999999999</v>
      </c>
      <c r="H21" s="65">
        <v>2.8769279999999999</v>
      </c>
      <c r="I21" s="65">
        <v>3.976448</v>
      </c>
      <c r="J21" s="65">
        <v>1.5086079999999999</v>
      </c>
      <c r="K21" s="65">
        <v>1.440768</v>
      </c>
      <c r="L21" s="65">
        <v>3.8000639999999999</v>
      </c>
      <c r="M21" s="64">
        <v>6003</v>
      </c>
      <c r="N21" s="47">
        <v>8494</v>
      </c>
      <c r="O21" s="47">
        <v>4803</v>
      </c>
      <c r="P21" s="47">
        <v>0</v>
      </c>
      <c r="Q21" s="47">
        <v>5537</v>
      </c>
      <c r="R21" s="21">
        <f>1629+2455+873+1492</f>
        <v>6449</v>
      </c>
      <c r="S21" s="21">
        <v>1.0900000000000001</v>
      </c>
      <c r="T21" s="31">
        <v>54</v>
      </c>
      <c r="U21" s="31">
        <v>43</v>
      </c>
      <c r="V21" s="31">
        <v>153</v>
      </c>
      <c r="W21" s="31">
        <v>190</v>
      </c>
      <c r="X21" s="31">
        <v>86</v>
      </c>
      <c r="Y21" s="31">
        <v>103</v>
      </c>
      <c r="Z21" s="35">
        <v>0</v>
      </c>
      <c r="AA21" s="91"/>
      <c r="AB21" s="88"/>
      <c r="AC21" s="92"/>
      <c r="AD21" s="22"/>
    </row>
    <row r="22" spans="1:30" ht="15" customHeight="1">
      <c r="A22" s="57">
        <v>44489</v>
      </c>
      <c r="B22" s="66">
        <v>64.47</v>
      </c>
      <c r="C22" s="66">
        <v>420</v>
      </c>
      <c r="D22" s="67">
        <v>2.7898879999999999</v>
      </c>
      <c r="E22" s="65">
        <v>4.246016</v>
      </c>
      <c r="F22" s="65">
        <v>4.8906239999999999</v>
      </c>
      <c r="G22" s="65">
        <v>1.735168</v>
      </c>
      <c r="H22" s="65">
        <v>2.9806080000000001</v>
      </c>
      <c r="I22" s="65">
        <v>4.2232320000000003</v>
      </c>
      <c r="J22" s="65">
        <v>1.452928</v>
      </c>
      <c r="K22" s="65">
        <v>1.6081920000000001</v>
      </c>
      <c r="L22" s="65">
        <v>3.851264</v>
      </c>
      <c r="M22" s="64">
        <v>3076</v>
      </c>
      <c r="N22" s="49">
        <v>10013</v>
      </c>
      <c r="O22" s="47">
        <v>10123</v>
      </c>
      <c r="P22" s="47">
        <v>0</v>
      </c>
      <c r="Q22" s="47">
        <v>8842</v>
      </c>
      <c r="R22" s="21">
        <f>807+2572+2121+2338</f>
        <v>7838</v>
      </c>
      <c r="S22" s="21">
        <v>1.0900000000000001</v>
      </c>
      <c r="T22" s="31">
        <v>54</v>
      </c>
      <c r="U22" s="31">
        <v>0</v>
      </c>
      <c r="V22" s="31">
        <v>169</v>
      </c>
      <c r="W22" s="31">
        <v>230</v>
      </c>
      <c r="X22" s="31">
        <v>198</v>
      </c>
      <c r="Y22" s="31">
        <v>110</v>
      </c>
      <c r="Z22" s="35">
        <v>0</v>
      </c>
      <c r="AA22" s="91"/>
      <c r="AB22" s="88"/>
      <c r="AC22" s="92"/>
      <c r="AD22" s="22"/>
    </row>
    <row r="23" spans="1:30" ht="15" customHeight="1">
      <c r="A23" s="57">
        <v>44490</v>
      </c>
      <c r="B23" s="66">
        <v>63.16</v>
      </c>
      <c r="C23" s="66">
        <v>413</v>
      </c>
      <c r="D23" s="67">
        <v>2.9419520000000001</v>
      </c>
      <c r="E23" s="65">
        <v>4.3110400000000002</v>
      </c>
      <c r="F23" s="65">
        <v>5.1722239999999999</v>
      </c>
      <c r="G23" s="65">
        <v>1.798656</v>
      </c>
      <c r="H23" s="65">
        <v>3.0947840000000002</v>
      </c>
      <c r="I23" s="65">
        <v>4.4592640000000001</v>
      </c>
      <c r="J23" s="65">
        <v>1.46624</v>
      </c>
      <c r="K23" s="65">
        <v>1.728512</v>
      </c>
      <c r="L23" s="65">
        <v>3.9285760000000001</v>
      </c>
      <c r="M23" s="64">
        <v>7911</v>
      </c>
      <c r="N23" s="49">
        <v>5758</v>
      </c>
      <c r="O23" s="47">
        <v>9706</v>
      </c>
      <c r="P23" s="47">
        <v>0</v>
      </c>
      <c r="Q23" s="47">
        <v>8731</v>
      </c>
      <c r="R23" s="21">
        <f>2098+1483+2025+2354</f>
        <v>7960</v>
      </c>
      <c r="S23" s="21">
        <v>1.0900000000000001</v>
      </c>
      <c r="T23" s="31">
        <v>61</v>
      </c>
      <c r="U23" s="31">
        <v>10</v>
      </c>
      <c r="V23" s="31">
        <v>138</v>
      </c>
      <c r="W23" s="31">
        <v>157</v>
      </c>
      <c r="X23" s="31">
        <v>91</v>
      </c>
      <c r="Y23" s="31">
        <v>114</v>
      </c>
      <c r="Z23" s="35">
        <v>0</v>
      </c>
      <c r="AA23" s="91"/>
      <c r="AB23" s="88"/>
      <c r="AC23" s="92"/>
      <c r="AD23" s="22"/>
    </row>
    <row r="24" spans="1:30" ht="15" customHeight="1">
      <c r="A24" s="57">
        <v>44491</v>
      </c>
      <c r="B24" s="66">
        <v>64.47</v>
      </c>
      <c r="C24" s="66">
        <v>334</v>
      </c>
      <c r="D24" s="67">
        <v>3.098624</v>
      </c>
      <c r="E24" s="65">
        <v>4.4753920000000003</v>
      </c>
      <c r="F24" s="65">
        <v>5.1886080000000003</v>
      </c>
      <c r="G24" s="65">
        <v>1.9159040000000001</v>
      </c>
      <c r="H24" s="65">
        <v>2.8807680000000002</v>
      </c>
      <c r="I24" s="65">
        <v>4.333056</v>
      </c>
      <c r="J24" s="65">
        <v>1.46048</v>
      </c>
      <c r="K24" s="65">
        <v>1.7543679999999999</v>
      </c>
      <c r="L24" s="65">
        <v>3.7703679999999999</v>
      </c>
      <c r="M24" s="64">
        <v>5739</v>
      </c>
      <c r="N24" s="49">
        <v>11884</v>
      </c>
      <c r="O24" s="47">
        <v>5075</v>
      </c>
      <c r="P24" s="47">
        <v>0</v>
      </c>
      <c r="Q24" s="47">
        <v>8210</v>
      </c>
      <c r="R24" s="21">
        <f>1476+3093+1102+2364</f>
        <v>8035</v>
      </c>
      <c r="S24" s="21">
        <v>1.0900000000000001</v>
      </c>
      <c r="T24" s="31">
        <v>61</v>
      </c>
      <c r="U24" s="31">
        <v>28</v>
      </c>
      <c r="V24" s="20">
        <v>141</v>
      </c>
      <c r="W24" s="20">
        <v>164</v>
      </c>
      <c r="X24" s="20">
        <v>121</v>
      </c>
      <c r="Y24" s="20">
        <v>96</v>
      </c>
      <c r="Z24" s="35">
        <v>0</v>
      </c>
      <c r="AA24" s="91"/>
      <c r="AB24" s="88"/>
      <c r="AC24" s="92"/>
      <c r="AD24" s="22"/>
    </row>
    <row r="25" spans="1:30" ht="15" customHeight="1">
      <c r="A25" s="57">
        <v>44492</v>
      </c>
      <c r="B25" s="66">
        <v>64.47</v>
      </c>
      <c r="C25" s="66">
        <v>316</v>
      </c>
      <c r="D25" s="67">
        <v>3.0586880000000001</v>
      </c>
      <c r="E25" s="65">
        <v>4.3243520000000002</v>
      </c>
      <c r="F25" s="65">
        <v>5.2853760000000003</v>
      </c>
      <c r="G25" s="65">
        <v>1.967616</v>
      </c>
      <c r="H25" s="65">
        <v>2.5635840000000001</v>
      </c>
      <c r="I25" s="65">
        <v>3.8704640000000001</v>
      </c>
      <c r="J25" s="65">
        <v>1.3926400000000001</v>
      </c>
      <c r="K25" s="65">
        <v>1.8529279999999999</v>
      </c>
      <c r="L25" s="65">
        <v>3.4273280000000002</v>
      </c>
      <c r="M25" s="64">
        <v>0</v>
      </c>
      <c r="N25" s="49">
        <v>8314</v>
      </c>
      <c r="O25" s="47">
        <v>13645</v>
      </c>
      <c r="P25" s="47">
        <v>0</v>
      </c>
      <c r="Q25" s="47">
        <v>10457</v>
      </c>
      <c r="R25" s="21">
        <f>2112+2800+2685</f>
        <v>7597</v>
      </c>
      <c r="S25" s="21">
        <v>1.0900000000000001</v>
      </c>
      <c r="T25" s="31">
        <v>53</v>
      </c>
      <c r="U25" s="31">
        <v>24</v>
      </c>
      <c r="V25" s="20">
        <v>166</v>
      </c>
      <c r="W25" s="20">
        <v>204</v>
      </c>
      <c r="X25" s="20">
        <v>89</v>
      </c>
      <c r="Y25" s="20">
        <v>105</v>
      </c>
      <c r="Z25" s="35">
        <v>0</v>
      </c>
      <c r="AA25" s="91"/>
      <c r="AB25" s="88"/>
      <c r="AC25" s="92"/>
      <c r="AD25" s="22"/>
    </row>
    <row r="26" spans="1:30" ht="15" customHeight="1">
      <c r="A26" s="57">
        <v>44493</v>
      </c>
      <c r="B26" s="66">
        <v>39.76</v>
      </c>
      <c r="C26" s="66">
        <v>265</v>
      </c>
      <c r="D26" s="67">
        <v>2.9291520000000002</v>
      </c>
      <c r="E26" s="65">
        <v>4.3074560000000002</v>
      </c>
      <c r="F26" s="65">
        <v>5.0785280000000004</v>
      </c>
      <c r="G26" s="65">
        <v>1.988864</v>
      </c>
      <c r="H26" s="65">
        <v>2.5809920000000002</v>
      </c>
      <c r="I26" s="65">
        <v>3.2465920000000001</v>
      </c>
      <c r="J26" s="65">
        <v>1.433344</v>
      </c>
      <c r="K26" s="65">
        <v>1.664768</v>
      </c>
      <c r="L26" s="65">
        <v>3.4713599999999998</v>
      </c>
      <c r="M26" s="79">
        <v>11125</v>
      </c>
      <c r="N26" s="79">
        <v>9700</v>
      </c>
      <c r="O26" s="79">
        <v>8685</v>
      </c>
      <c r="P26" s="79">
        <v>0</v>
      </c>
      <c r="Q26" s="79">
        <v>0</v>
      </c>
      <c r="R26" s="79">
        <f>3023+2507+1832</f>
        <v>7362</v>
      </c>
      <c r="S26" s="21">
        <v>1.1499999999999999</v>
      </c>
      <c r="T26" s="31">
        <v>49</v>
      </c>
      <c r="U26" s="31">
        <v>24</v>
      </c>
      <c r="V26" s="20">
        <v>84</v>
      </c>
      <c r="W26" s="20">
        <v>171</v>
      </c>
      <c r="X26" s="20">
        <v>74</v>
      </c>
      <c r="Y26" s="20">
        <v>102</v>
      </c>
      <c r="Z26" s="35">
        <v>0</v>
      </c>
      <c r="AA26" s="91"/>
      <c r="AB26" s="88"/>
      <c r="AC26" s="92"/>
      <c r="AD26" s="22"/>
    </row>
    <row r="27" spans="1:30" ht="15" customHeight="1">
      <c r="A27" s="57">
        <v>44494</v>
      </c>
      <c r="B27" s="66">
        <v>50</v>
      </c>
      <c r="C27" s="66">
        <v>250</v>
      </c>
      <c r="D27" s="67">
        <v>2.4867840000000001</v>
      </c>
      <c r="E27" s="65">
        <v>3.663872</v>
      </c>
      <c r="F27" s="65">
        <v>4.8240639999999999</v>
      </c>
      <c r="G27" s="65">
        <v>1.8060799999999999</v>
      </c>
      <c r="H27" s="65">
        <v>2.4084479999999999</v>
      </c>
      <c r="I27" s="65">
        <v>2.6943999999999999</v>
      </c>
      <c r="J27" s="65">
        <v>1.456512</v>
      </c>
      <c r="K27" s="65">
        <v>1.645824</v>
      </c>
      <c r="L27" s="65">
        <v>3.7483520000000001</v>
      </c>
      <c r="M27" s="64">
        <v>10369</v>
      </c>
      <c r="N27" s="49">
        <v>7108</v>
      </c>
      <c r="O27" s="47">
        <v>9774</v>
      </c>
      <c r="P27" s="47">
        <v>0</v>
      </c>
      <c r="Q27" s="47">
        <v>0</v>
      </c>
      <c r="R27" s="21">
        <f>2762+1837+2024</f>
        <v>6623</v>
      </c>
      <c r="S27" s="21">
        <v>1.1499999999999999</v>
      </c>
      <c r="T27" s="31">
        <v>55</v>
      </c>
      <c r="U27" s="31">
        <v>36</v>
      </c>
      <c r="V27" s="20">
        <v>89</v>
      </c>
      <c r="W27" s="20">
        <v>185</v>
      </c>
      <c r="X27" s="20">
        <v>88</v>
      </c>
      <c r="Y27" s="20">
        <v>106</v>
      </c>
      <c r="Z27" s="35">
        <v>0</v>
      </c>
      <c r="AA27" s="91"/>
      <c r="AB27" s="88"/>
      <c r="AC27" s="92"/>
      <c r="AD27" s="22"/>
    </row>
    <row r="28" spans="1:30" ht="15" customHeight="1">
      <c r="A28" s="57">
        <v>44495</v>
      </c>
      <c r="B28" s="66">
        <v>54.22</v>
      </c>
      <c r="C28" s="66">
        <v>282</v>
      </c>
      <c r="D28" s="67">
        <v>2.1893120000000001</v>
      </c>
      <c r="E28" s="65">
        <v>3.3966080000000001</v>
      </c>
      <c r="F28" s="65">
        <v>4.8762879999999997</v>
      </c>
      <c r="G28" s="65">
        <v>1.676032</v>
      </c>
      <c r="H28" s="65">
        <v>2.1414399999999998</v>
      </c>
      <c r="I28" s="65">
        <v>2.9706239999999999</v>
      </c>
      <c r="J28" s="65">
        <v>1.5047680000000001</v>
      </c>
      <c r="K28" s="65">
        <v>1.6115200000000001</v>
      </c>
      <c r="L28" s="65">
        <v>3.587072</v>
      </c>
      <c r="M28" s="64">
        <v>14728</v>
      </c>
      <c r="N28" s="49">
        <v>0</v>
      </c>
      <c r="O28" s="47">
        <v>8338</v>
      </c>
      <c r="P28" s="47">
        <v>0</v>
      </c>
      <c r="Q28" s="47">
        <v>0</v>
      </c>
      <c r="R28" s="21">
        <f>3979+1759</f>
        <v>5738</v>
      </c>
      <c r="S28" s="21">
        <v>1.1499999999999999</v>
      </c>
      <c r="T28" s="31">
        <v>55</v>
      </c>
      <c r="U28" s="31">
        <v>10</v>
      </c>
      <c r="V28" s="20">
        <v>38</v>
      </c>
      <c r="W28" s="20">
        <v>137</v>
      </c>
      <c r="X28" s="20">
        <v>85</v>
      </c>
      <c r="Y28" s="20">
        <v>106</v>
      </c>
      <c r="Z28" s="35">
        <v>0</v>
      </c>
      <c r="AA28" s="91"/>
      <c r="AB28" s="88"/>
      <c r="AC28" s="92"/>
      <c r="AD28" s="22"/>
    </row>
    <row r="29" spans="1:30" ht="15" customHeight="1">
      <c r="A29" s="57">
        <v>44496</v>
      </c>
      <c r="B29" s="66">
        <v>54.76</v>
      </c>
      <c r="C29" s="66">
        <v>318</v>
      </c>
      <c r="D29" s="67">
        <v>2.392576</v>
      </c>
      <c r="E29" s="65">
        <v>3.9910399999999999</v>
      </c>
      <c r="F29" s="65">
        <v>4.9704959999999998</v>
      </c>
      <c r="G29" s="65">
        <v>1.92384</v>
      </c>
      <c r="H29" s="65">
        <v>2.4463360000000001</v>
      </c>
      <c r="I29" s="65">
        <v>3.397376</v>
      </c>
      <c r="J29" s="65">
        <v>1.4008320000000001</v>
      </c>
      <c r="K29" s="65">
        <v>1.8278399999999999</v>
      </c>
      <c r="L29" s="65">
        <v>3.5691519999999999</v>
      </c>
      <c r="M29" s="64">
        <v>5701</v>
      </c>
      <c r="N29" s="49">
        <v>13214</v>
      </c>
      <c r="O29" s="47">
        <v>2428</v>
      </c>
      <c r="P29" s="47">
        <v>0</v>
      </c>
      <c r="Q29" s="47">
        <v>9944</v>
      </c>
      <c r="R29" s="21">
        <f>1516+3393+527+2694</f>
        <v>8130</v>
      </c>
      <c r="S29" s="21">
        <v>1.1499999999999999</v>
      </c>
      <c r="T29" s="31">
        <v>56</v>
      </c>
      <c r="U29" s="31">
        <v>34</v>
      </c>
      <c r="V29" s="31">
        <v>116</v>
      </c>
      <c r="W29" s="31">
        <v>178</v>
      </c>
      <c r="X29" s="31">
        <v>120</v>
      </c>
      <c r="Y29" s="31">
        <v>106</v>
      </c>
      <c r="Z29" s="35">
        <v>0</v>
      </c>
      <c r="AA29" s="91"/>
      <c r="AB29" s="88"/>
      <c r="AC29" s="92"/>
      <c r="AD29" s="22"/>
    </row>
    <row r="30" spans="1:30" ht="15" customHeight="1">
      <c r="A30" s="57">
        <v>44497</v>
      </c>
      <c r="B30" s="66">
        <v>67.099999999999994</v>
      </c>
      <c r="C30" s="66">
        <v>354</v>
      </c>
      <c r="D30" s="67">
        <v>2.7141120000000001</v>
      </c>
      <c r="E30" s="65">
        <v>4.088832</v>
      </c>
      <c r="F30" s="65">
        <v>4.9894400000000001</v>
      </c>
      <c r="G30" s="65">
        <v>2.1309439999999999</v>
      </c>
      <c r="H30" s="65">
        <v>2.5991680000000001</v>
      </c>
      <c r="I30" s="65">
        <v>3.4670079999999999</v>
      </c>
      <c r="J30" s="65">
        <v>1.280896</v>
      </c>
      <c r="K30" s="65">
        <v>1.788672</v>
      </c>
      <c r="L30" s="65">
        <v>3.5537920000000001</v>
      </c>
      <c r="M30" s="64">
        <v>4006</v>
      </c>
      <c r="N30" s="49">
        <v>5239</v>
      </c>
      <c r="O30" s="47">
        <v>8836</v>
      </c>
      <c r="P30" s="47">
        <v>0</v>
      </c>
      <c r="Q30" s="47">
        <v>11318</v>
      </c>
      <c r="R30" s="21">
        <f>1105+1388+1923+2951</f>
        <v>7367</v>
      </c>
      <c r="S30" s="21">
        <v>1.1499999999999999</v>
      </c>
      <c r="T30" s="31">
        <v>60</v>
      </c>
      <c r="U30" s="31">
        <v>25</v>
      </c>
      <c r="V30" s="31">
        <v>122</v>
      </c>
      <c r="W30" s="31">
        <v>223</v>
      </c>
      <c r="X30" s="31">
        <v>144</v>
      </c>
      <c r="Y30" s="31">
        <v>104</v>
      </c>
      <c r="Z30" s="35">
        <v>0</v>
      </c>
      <c r="AA30" s="91"/>
      <c r="AB30" s="88"/>
      <c r="AC30" s="92"/>
      <c r="AD30" s="22"/>
    </row>
    <row r="31" spans="1:30" ht="15" customHeight="1">
      <c r="A31" s="57">
        <v>44498</v>
      </c>
      <c r="B31" s="66">
        <v>64.47</v>
      </c>
      <c r="C31" s="66">
        <v>369</v>
      </c>
      <c r="D31" s="67">
        <v>2.7924479999999998</v>
      </c>
      <c r="E31" s="65">
        <v>4.0427520000000001</v>
      </c>
      <c r="F31" s="65">
        <v>4.9408000000000003</v>
      </c>
      <c r="G31" s="65">
        <v>2.2141440000000001</v>
      </c>
      <c r="H31" s="65">
        <v>2.8280319999999999</v>
      </c>
      <c r="I31" s="65">
        <v>3.2778239999999998</v>
      </c>
      <c r="J31" s="65">
        <v>1.4839039999999999</v>
      </c>
      <c r="K31" s="65">
        <v>1.712896</v>
      </c>
      <c r="L31" s="65">
        <v>3.8123520000000002</v>
      </c>
      <c r="M31" s="64">
        <v>6446</v>
      </c>
      <c r="N31" s="50">
        <v>10177</v>
      </c>
      <c r="O31" s="51">
        <v>10951</v>
      </c>
      <c r="P31" s="47">
        <v>0</v>
      </c>
      <c r="Q31" s="47">
        <v>4015</v>
      </c>
      <c r="R31" s="21">
        <f>1748+2586+2233+1165</f>
        <v>7732</v>
      </c>
      <c r="S31" s="21">
        <v>1.1499999999999999</v>
      </c>
      <c r="T31" s="31">
        <v>61</v>
      </c>
      <c r="U31" s="31">
        <v>22</v>
      </c>
      <c r="V31" s="31">
        <v>124</v>
      </c>
      <c r="W31" s="31">
        <v>201</v>
      </c>
      <c r="X31" s="31">
        <v>96</v>
      </c>
      <c r="Y31" s="31">
        <v>105</v>
      </c>
      <c r="Z31" s="35">
        <v>0</v>
      </c>
      <c r="AA31" s="91"/>
      <c r="AB31" s="88"/>
      <c r="AC31" s="92"/>
      <c r="AD31" s="22"/>
    </row>
    <row r="32" spans="1:30" ht="15" customHeight="1">
      <c r="A32" s="57">
        <v>44499</v>
      </c>
      <c r="B32" s="66">
        <v>60.53</v>
      </c>
      <c r="C32" s="66">
        <v>345</v>
      </c>
      <c r="D32" s="67">
        <v>2.6956799999999999</v>
      </c>
      <c r="E32" s="65">
        <v>4.0898560000000002</v>
      </c>
      <c r="F32" s="65">
        <v>5.0457599999999996</v>
      </c>
      <c r="G32" s="65">
        <v>2.2312959999999999</v>
      </c>
      <c r="H32" s="65">
        <v>2.9744640000000002</v>
      </c>
      <c r="I32" s="65">
        <v>3.5537920000000001</v>
      </c>
      <c r="J32" s="65">
        <v>1.3697280000000001</v>
      </c>
      <c r="K32" s="65">
        <v>1.8211839999999999</v>
      </c>
      <c r="L32" s="65">
        <v>3.5092479999999999</v>
      </c>
      <c r="M32" s="64">
        <v>4273</v>
      </c>
      <c r="N32" s="52">
        <v>9841</v>
      </c>
      <c r="O32" s="53">
        <v>10404</v>
      </c>
      <c r="P32" s="47">
        <v>0</v>
      </c>
      <c r="Q32" s="53">
        <v>6008</v>
      </c>
      <c r="R32" s="21">
        <f>1181+2511+2149+1577</f>
        <v>7418</v>
      </c>
      <c r="S32" s="21">
        <v>1.1499999999999999</v>
      </c>
      <c r="T32" s="31">
        <v>60</v>
      </c>
      <c r="U32" s="31">
        <v>26</v>
      </c>
      <c r="V32" s="31">
        <v>81</v>
      </c>
      <c r="W32" s="31">
        <v>217</v>
      </c>
      <c r="X32" s="31">
        <v>123</v>
      </c>
      <c r="Y32" s="31">
        <v>101</v>
      </c>
      <c r="Z32" s="35">
        <v>0</v>
      </c>
      <c r="AA32" s="91"/>
      <c r="AB32" s="88"/>
      <c r="AC32" s="92"/>
      <c r="AD32" s="22"/>
    </row>
    <row r="33" spans="1:29" ht="15" customHeight="1">
      <c r="A33" s="57">
        <v>44500</v>
      </c>
      <c r="B33" s="48">
        <v>55.26</v>
      </c>
      <c r="C33" s="68">
        <v>409</v>
      </c>
      <c r="D33" s="74">
        <v>2.793984</v>
      </c>
      <c r="E33" s="74">
        <v>4.0166399999999998</v>
      </c>
      <c r="F33" s="74">
        <v>4.9233919999999998</v>
      </c>
      <c r="G33" s="74">
        <v>2.3664640000000001</v>
      </c>
      <c r="H33" s="74">
        <v>2.71488</v>
      </c>
      <c r="I33" s="74">
        <v>3.831296</v>
      </c>
      <c r="J33" s="74">
        <v>1.42784</v>
      </c>
      <c r="K33" s="74">
        <v>1.89568</v>
      </c>
      <c r="L33" s="74">
        <v>3.6311040000000001</v>
      </c>
      <c r="M33" s="64">
        <v>5735</v>
      </c>
      <c r="N33" s="53">
        <v>8805</v>
      </c>
      <c r="O33" s="53">
        <v>0</v>
      </c>
      <c r="P33" s="47">
        <v>4462</v>
      </c>
      <c r="Q33" s="54">
        <v>9912</v>
      </c>
      <c r="R33" s="21">
        <f>1586+2231+2600+1398</f>
        <v>7815</v>
      </c>
      <c r="S33" s="21">
        <v>1.1499999999999999</v>
      </c>
      <c r="T33" s="55">
        <v>64</v>
      </c>
      <c r="U33" s="55">
        <v>31</v>
      </c>
      <c r="V33" s="55">
        <v>53</v>
      </c>
      <c r="W33" s="55">
        <v>218</v>
      </c>
      <c r="X33" s="55">
        <v>78</v>
      </c>
      <c r="Y33" s="55">
        <v>113</v>
      </c>
      <c r="Z33" s="35">
        <v>0</v>
      </c>
      <c r="AA33" s="93"/>
      <c r="AB33" s="94"/>
      <c r="AC33" s="95"/>
    </row>
    <row r="34" spans="1:29">
      <c r="W34" s="75"/>
      <c r="X34" s="75"/>
    </row>
    <row r="35" spans="1:29">
      <c r="T35" s="88"/>
      <c r="U35" s="88"/>
      <c r="V35" s="88"/>
    </row>
    <row r="37" spans="1:29">
      <c r="M37" s="80"/>
      <c r="N37" s="80"/>
      <c r="O37" s="80"/>
    </row>
    <row r="38" spans="1:29">
      <c r="M38" s="80">
        <f>SUM(M3:M33)</f>
        <v>191921</v>
      </c>
      <c r="N38" s="80">
        <f t="shared" ref="N38:R38" si="0">SUM(N3:N33)</f>
        <v>198749</v>
      </c>
      <c r="O38" s="80">
        <f t="shared" si="0"/>
        <v>194210</v>
      </c>
      <c r="P38" s="80">
        <f t="shared" si="0"/>
        <v>97066</v>
      </c>
      <c r="Q38" s="80">
        <f t="shared" si="0"/>
        <v>189465</v>
      </c>
      <c r="R38" s="80">
        <f t="shared" si="0"/>
        <v>224641</v>
      </c>
    </row>
    <row r="39" spans="1:29" ht="15">
      <c r="P39" s="81"/>
    </row>
    <row r="40" spans="1:29">
      <c r="M40" s="22">
        <f>SUM(M38:R38)</f>
        <v>1096052</v>
      </c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3822CE8C-D27C-4464-96CF-5B896DA560F0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2021-11-07T04:52:40Z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