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5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140" documentId="11_C5F5619C06E299C08D23ED2C3B78A570D4149A46" xr6:coauthVersionLast="47" xr6:coauthVersionMax="47" xr10:uidLastSave="{871CEB0B-D653-4C0D-8F4F-2F97FBEC4097}"/>
  <bookViews>
    <workbookView xWindow="0" yWindow="0" windowWidth="15690" windowHeight="8055" firstSheet="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<sst xmlns="http://schemas.openxmlformats.org/spreadsheetml/2006/main" count="606" uniqueCount="76">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</sst>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B158" workbookViewId="0">
      <selection activeCell="K183" sqref="K183"/>
    </sheetView>
  </sheetViews>
  <sheetFormatPr defaultRowHeight="1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176" workbookViewId="0">
      <selection activeCell="M187" sqref="M187"/>
    </sheetView>
  </sheetViews>
  <sheetFormatPr defaultColWidth="9.140625" defaultRowHeight="1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7"/>
    </row>
    <row r="2" spans="1:41" ht="15.75" thickBot="1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8"/>
    </row>
    <row r="22" spans="1:21" ht="15.75" thickBot="1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8"/>
    </row>
    <row r="23" spans="1:21" ht="15.75" thickBot="1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7"/>
    </row>
    <row r="24" spans="1:21" ht="15.75" thickBot="1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8"/>
    </row>
    <row r="27" spans="1:21" ht="15.75" thickBot="1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7"/>
    </row>
    <row r="29" spans="1:21" ht="15.75" thickBot="1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35</v>
      </c>
      <c r="Q30" s="160" t="s">
        <v>36</v>
      </c>
      <c r="R30" s="19">
        <f t="shared" si="7"/>
        <v>1</v>
      </c>
      <c r="S30" s="19">
        <f t="shared" si="8"/>
        <v>0</v>
      </c>
      <c r="T30" s="158"/>
    </row>
    <row r="31" spans="1:21" ht="15.75" thickBot="1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37</v>
      </c>
      <c r="Q32" s="162" t="s">
        <v>38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7"/>
    </row>
    <row r="50" spans="1:20" ht="15.75" thickBot="1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7"/>
    </row>
    <row r="51" spans="1:20" ht="15.75" thickBot="1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8"/>
    </row>
    <row r="52" spans="1:20" ht="15.75" thickBot="1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7"/>
    </row>
    <row r="55" spans="1:20" ht="15.75" thickBot="1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8"/>
    </row>
    <row r="57" spans="1:20" ht="15.75" thickBot="1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35</v>
      </c>
      <c r="Q58" s="160" t="s">
        <v>42</v>
      </c>
      <c r="R58" s="19">
        <f t="shared" si="7"/>
        <v>1</v>
      </c>
      <c r="S58" s="19">
        <f t="shared" si="8"/>
        <v>0</v>
      </c>
      <c r="T58" s="158"/>
    </row>
    <row r="59" spans="1:20" ht="15.75" thickBot="1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37</v>
      </c>
      <c r="Q60" s="162" t="s">
        <v>38</v>
      </c>
      <c r="R60" s="19">
        <f t="shared" si="7"/>
        <v>1</v>
      </c>
      <c r="S60" s="19">
        <f t="shared" si="8"/>
        <v>0</v>
      </c>
      <c r="T60" s="157"/>
    </row>
    <row r="61" spans="1:20" ht="15.75" thickBot="1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8"/>
    </row>
    <row r="82" spans="1:20" ht="15.75" thickBot="1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7"/>
    </row>
    <row r="83" spans="1:20" ht="15.75" thickBot="1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7"/>
    </row>
    <row r="84" spans="1:20" ht="15.75" thickBot="1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8"/>
    </row>
    <row r="87" spans="1:20" ht="15.75" thickBot="1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7"/>
    </row>
    <row r="89" spans="1:20" ht="15.75" thickBot="1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35</v>
      </c>
      <c r="Q90" s="160" t="s">
        <v>42</v>
      </c>
      <c r="R90" s="19">
        <f t="shared" si="39"/>
        <v>1</v>
      </c>
      <c r="S90" s="19">
        <f t="shared" si="40"/>
        <v>0</v>
      </c>
      <c r="T90" s="158"/>
    </row>
    <row r="91" spans="1:20" ht="15.75" thickBot="1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37</v>
      </c>
      <c r="Q92" s="162" t="s">
        <v>38</v>
      </c>
      <c r="R92" s="19">
        <f t="shared" si="39"/>
        <v>1</v>
      </c>
      <c r="S92" s="19">
        <f t="shared" si="40"/>
        <v>0</v>
      </c>
      <c r="T92" s="158"/>
    </row>
    <row r="93" spans="1:20" ht="15.75" thickBot="1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8"/>
    </row>
    <row r="112" spans="1:20" ht="15.75" thickBot="1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8"/>
    </row>
    <row r="113" spans="1:20" ht="15.75" thickBot="1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35</v>
      </c>
      <c r="Q120" s="160" t="s">
        <v>42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37</v>
      </c>
      <c r="Q122" s="162" t="s">
        <v>38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8"/>
    </row>
    <row r="143" spans="1:20" ht="15.75" thickBot="1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7"/>
    </row>
    <row r="144" spans="1:20" ht="15.75" thickBot="1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35</v>
      </c>
      <c r="Q151" s="160" t="s">
        <v>42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37</v>
      </c>
      <c r="Q153" s="162" t="s">
        <v>38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8"/>
    </row>
    <row r="173" spans="1:20" ht="15.75" thickBot="1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8"/>
    </row>
    <row r="174" spans="1:20" ht="15.75" thickBot="1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8"/>
    </row>
    <row r="178" spans="1:20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8"/>
    </row>
    <row r="179" spans="1:20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8"/>
    </row>
    <row r="180" spans="1:20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9" t="s">
        <v>35</v>
      </c>
      <c r="Q181" s="160" t="s">
        <v>42</v>
      </c>
      <c r="R181" s="19">
        <f t="shared" si="78"/>
        <v>1</v>
      </c>
      <c r="S181" s="19">
        <f t="shared" si="71"/>
        <v>0</v>
      </c>
      <c r="T181" s="157"/>
    </row>
    <row r="182" spans="1:20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7"/>
    </row>
    <row r="183" spans="1:20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1" t="s">
        <v>37</v>
      </c>
      <c r="Q183" s="162" t="s">
        <v>38</v>
      </c>
      <c r="R183" s="19">
        <f t="shared" si="78"/>
        <v>1</v>
      </c>
      <c r="S183" s="19">
        <f t="shared" si="71"/>
        <v>0</v>
      </c>
      <c r="T183" s="157"/>
    </row>
    <row r="184" spans="1:20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8"/>
    </row>
    <row r="204" spans="1:20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7"/>
    </row>
    <row r="205" spans="1:20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7"/>
    </row>
    <row r="206" spans="1:20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66072019</v>
      </c>
      <c r="O206" s="58">
        <f t="shared" si="79"/>
        <v>0</v>
      </c>
      <c r="P206" s="66">
        <f>IF(J185="",0,+SUM(J185:J215)/SUM(I185:I215))</f>
        <v>3.3386752136751678E-2</v>
      </c>
      <c r="Q206" s="66">
        <f>IF(L185="",0,+SUM(L185:L215)/SUM(I185:I215))</f>
        <v>3.3386752136751678E-2</v>
      </c>
      <c r="R206" s="19">
        <f t="shared" si="78"/>
        <v>1</v>
      </c>
      <c r="S206" s="19">
        <f t="shared" si="80"/>
        <v>0</v>
      </c>
      <c r="T206" s="158"/>
    </row>
    <row r="207" spans="1:20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8"/>
    </row>
    <row r="208" spans="1:20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8"/>
    </row>
    <row r="209" spans="1:20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7"/>
    </row>
    <row r="211" spans="1:20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9" t="s">
        <v>35</v>
      </c>
      <c r="Q212" s="160" t="s">
        <v>42</v>
      </c>
      <c r="R212" s="19">
        <f t="shared" si="78"/>
        <v>1</v>
      </c>
      <c r="S212" s="19">
        <f t="shared" si="80"/>
        <v>0</v>
      </c>
      <c r="T212" s="157"/>
    </row>
    <row r="213" spans="1:20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1" t="s">
        <v>37</v>
      </c>
      <c r="Q214" s="162" t="s">
        <v>38</v>
      </c>
      <c r="R214" s="19">
        <f t="shared" si="78"/>
        <v>1</v>
      </c>
      <c r="S214" s="19">
        <f t="shared" si="80"/>
        <v>0</v>
      </c>
      <c r="T214" s="157"/>
    </row>
    <row r="215" spans="1:20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8"/>
    </row>
    <row r="235" spans="1:20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7"/>
    </row>
    <row r="236" spans="1:20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7"/>
    </row>
    <row r="237" spans="1:20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8"/>
    </row>
    <row r="240" spans="1:20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7"/>
    </row>
    <row r="242" spans="1:20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9" t="s">
        <v>35</v>
      </c>
      <c r="Q243" s="160" t="s">
        <v>42</v>
      </c>
      <c r="R243" s="19">
        <f t="shared" si="85"/>
        <v>1</v>
      </c>
      <c r="S243" s="19">
        <f t="shared" si="80"/>
        <v>0</v>
      </c>
      <c r="T243" s="157"/>
    </row>
    <row r="244" spans="1:20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1" t="s">
        <v>37</v>
      </c>
      <c r="Q245" s="162" t="s">
        <v>38</v>
      </c>
      <c r="R245" s="19">
        <f t="shared" si="85"/>
        <v>1</v>
      </c>
      <c r="S245" s="19">
        <f t="shared" si="80"/>
        <v>0</v>
      </c>
      <c r="T245" s="157"/>
    </row>
    <row r="246" spans="1:20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9" t="s">
        <v>35</v>
      </c>
      <c r="Q273" s="160" t="s">
        <v>42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1" t="s">
        <v>37</v>
      </c>
      <c r="Q275" s="162" t="s">
        <v>38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50</v>
      </c>
    </row>
    <row r="279" spans="1:2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8"/>
    </row>
    <row r="296" spans="1:20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7"/>
    </row>
    <row r="297" spans="1:20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7"/>
    </row>
    <row r="298" spans="1:20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8"/>
    </row>
    <row r="301" spans="1:20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7"/>
    </row>
    <row r="303" spans="1:20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9" t="s">
        <v>35</v>
      </c>
      <c r="Q304" s="160" t="s">
        <v>42</v>
      </c>
      <c r="R304" s="19">
        <f t="shared" si="88"/>
        <v>1</v>
      </c>
      <c r="S304" s="19">
        <f t="shared" si="91"/>
        <v>0</v>
      </c>
      <c r="T304" s="157"/>
    </row>
    <row r="305" spans="1:20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1" t="s">
        <v>37</v>
      </c>
      <c r="Q306" s="162" t="s">
        <v>38</v>
      </c>
      <c r="R306" s="19">
        <f t="shared" si="88"/>
        <v>1</v>
      </c>
      <c r="S306" s="19">
        <f t="shared" si="91"/>
        <v>0</v>
      </c>
      <c r="T306" s="157"/>
    </row>
    <row r="307" spans="1:20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8"/>
    </row>
    <row r="326" spans="1:20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8"/>
    </row>
    <row r="327" spans="1:20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7"/>
    </row>
    <row r="328" spans="1:20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8"/>
    </row>
    <row r="331" spans="1:20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8"/>
    </row>
    <row r="333" spans="1:20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9" t="s">
        <v>35</v>
      </c>
      <c r="Q334" s="160" t="s">
        <v>42</v>
      </c>
      <c r="R334" s="19">
        <f t="shared" si="98"/>
        <v>1</v>
      </c>
      <c r="S334" s="19">
        <f t="shared" si="101"/>
        <v>0</v>
      </c>
      <c r="T334" s="157"/>
    </row>
    <row r="335" spans="1:20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3" t="s">
        <v>37</v>
      </c>
      <c r="Q336" s="163" t="s">
        <v>38</v>
      </c>
      <c r="R336" s="19">
        <f t="shared" si="98"/>
        <v>1</v>
      </c>
      <c r="S336" s="19">
        <f t="shared" si="101"/>
        <v>0</v>
      </c>
      <c r="T336" s="157"/>
    </row>
    <row r="337" spans="1:20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8"/>
    </row>
    <row r="357" spans="1:20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7"/>
    </row>
    <row r="358" spans="1:20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7"/>
    </row>
    <row r="359" spans="1:20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8"/>
    </row>
    <row r="362" spans="1:20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7"/>
    </row>
    <row r="364" spans="1:20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9" t="s">
        <v>35</v>
      </c>
      <c r="Q365" s="160" t="s">
        <v>42</v>
      </c>
      <c r="R365" s="19">
        <f t="shared" si="98"/>
        <v>1</v>
      </c>
      <c r="S365" s="19">
        <f t="shared" si="101"/>
        <v>0</v>
      </c>
      <c r="T365" s="157"/>
    </row>
    <row r="366" spans="1:20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1" t="s">
        <v>37</v>
      </c>
      <c r="Q367" s="162" t="s">
        <v>38</v>
      </c>
      <c r="R367" s="19">
        <f t="shared" si="98"/>
        <v>1</v>
      </c>
      <c r="S367" s="19">
        <f t="shared" si="101"/>
        <v>0</v>
      </c>
      <c r="T367" s="157"/>
    </row>
    <row r="368" spans="1:20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160" workbookViewId="0">
      <selection activeCell="G188" sqref="G188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74"/>
      <c r="C1" s="174"/>
      <c r="D1" s="174"/>
      <c r="E1" s="174"/>
      <c r="F1" s="174"/>
    </row>
    <row r="2" spans="1:23" s="9" customFormat="1" ht="39.950000000000003" customHeight="1" thickBot="1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4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73</v>
      </c>
      <c r="Q193" s="19">
        <f t="shared" si="90"/>
        <v>1</v>
      </c>
    </row>
    <row r="194" spans="2:17" ht="12.95" customHeight="1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609</v>
      </c>
      <c r="O209" s="30">
        <f>SUM(M186:M216)</f>
        <v>3500</v>
      </c>
      <c r="Q209" s="19">
        <f t="shared" si="96"/>
        <v>1</v>
      </c>
    </row>
    <row r="210" spans="2:17" ht="12.95" customHeight="1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304.5</v>
      </c>
      <c r="O212" s="30">
        <f>AVERAGE(M186:M216)</f>
        <v>1750</v>
      </c>
      <c r="Q212" s="19">
        <f t="shared" si="96"/>
        <v>1</v>
      </c>
    </row>
    <row r="213" spans="2:17" ht="12.95" customHeight="1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5E56A291-D7F4-414F-BBBF-0EF57D90586D}"/>
</file>

<file path=customXml/itemProps3.xml><?xml version="1.0" encoding="utf-8"?>
<ds:datastoreItem xmlns:ds="http://schemas.openxmlformats.org/officeDocument/2006/customXml" ds:itemID="{CEBED28E-7EB1-4939-B257-E9DD061D1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2022-07-03T07:52:47Z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