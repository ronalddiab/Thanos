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3\"/>
    </mc:Choice>
  </mc:AlternateContent>
  <bookViews>
    <workbookView xWindow="0" yWindow="0" windowWidth="28800" windowHeight="12300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I29" i="2" l="1"/>
  <c r="H29" i="2"/>
  <c r="H28" i="2"/>
  <c r="G28" i="2"/>
  <c r="F28" i="2"/>
  <c r="I27" i="2"/>
  <c r="H27" i="2"/>
  <c r="H26" i="2"/>
  <c r="G26" i="2"/>
  <c r="H24" i="2"/>
  <c r="G24" i="2"/>
  <c r="F24" i="2"/>
  <c r="G23" i="2"/>
  <c r="H22" i="2"/>
  <c r="I21" i="2"/>
  <c r="G21" i="2"/>
  <c r="H20" i="2"/>
  <c r="F20" i="2"/>
  <c r="G19" i="2"/>
  <c r="I18" i="2"/>
  <c r="H18" i="2"/>
  <c r="H17" i="2"/>
  <c r="G17" i="2"/>
  <c r="F16" i="2"/>
  <c r="I15" i="2"/>
  <c r="H15" i="2"/>
  <c r="G14" i="2"/>
  <c r="H13" i="2"/>
  <c r="H12" i="2"/>
  <c r="G12" i="2"/>
  <c r="F12" i="2"/>
  <c r="H11" i="2"/>
  <c r="H10" i="2"/>
  <c r="G10" i="2"/>
  <c r="H8" i="2"/>
  <c r="G8" i="2"/>
  <c r="F8" i="2"/>
  <c r="I7" i="2"/>
  <c r="G7" i="2"/>
  <c r="H6" i="2"/>
  <c r="G5" i="2"/>
  <c r="H4" i="2"/>
  <c r="F4" i="2"/>
  <c r="G3" i="2"/>
  <c r="H2" i="2"/>
  <c r="Q30" i="3"/>
  <c r="L29" i="2" s="1"/>
  <c r="I29" i="1" s="1"/>
  <c r="O30" i="3"/>
  <c r="K29" i="2" s="1"/>
  <c r="M30" i="3"/>
  <c r="J29" i="2" s="1"/>
  <c r="K30" i="3"/>
  <c r="I30" i="3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G29" i="3"/>
  <c r="E29" i="3"/>
  <c r="C29" i="3"/>
  <c r="E28" i="2" s="1"/>
  <c r="Q28" i="3"/>
  <c r="L27" i="2" s="1"/>
  <c r="I27" i="1" s="1"/>
  <c r="O28" i="3"/>
  <c r="K27" i="2" s="1"/>
  <c r="M28" i="3"/>
  <c r="J27" i="2" s="1"/>
  <c r="K28" i="3"/>
  <c r="I28" i="3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G27" i="3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G25" i="3"/>
  <c r="E25" i="3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2" i="3"/>
  <c r="H21" i="2" s="1"/>
  <c r="G22" i="3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G21" i="3"/>
  <c r="G20" i="2" s="1"/>
  <c r="E21" i="3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9" i="3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G18" i="3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C17" i="3"/>
  <c r="E16" i="2" s="1"/>
  <c r="Q16" i="3"/>
  <c r="L15" i="2" s="1"/>
  <c r="I15" i="1" s="1"/>
  <c r="O16" i="3"/>
  <c r="K15" i="2" s="1"/>
  <c r="M16" i="3"/>
  <c r="J15" i="2" s="1"/>
  <c r="K16" i="3"/>
  <c r="I16" i="3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G13" i="3"/>
  <c r="E13" i="3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G11" i="3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G9" i="3"/>
  <c r="E9" i="3"/>
  <c r="C9" i="3"/>
  <c r="E8" i="2" s="1"/>
  <c r="Q8" i="3"/>
  <c r="L7" i="2" s="1"/>
  <c r="I7" i="1" s="1"/>
  <c r="O8" i="3"/>
  <c r="K7" i="2" s="1"/>
  <c r="M8" i="3"/>
  <c r="J7" i="2" s="1"/>
  <c r="K8" i="3"/>
  <c r="I8" i="3"/>
  <c r="H7" i="2" s="1"/>
  <c r="G8" i="3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G5" i="3"/>
  <c r="G4" i="2" s="1"/>
  <c r="E5" i="3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G3" i="3"/>
  <c r="G2" i="2" s="1"/>
  <c r="E3" i="3"/>
  <c r="F2" i="2" s="1"/>
  <c r="C3" i="3"/>
  <c r="E2" i="2" s="1"/>
  <c r="G15" i="1" l="1"/>
  <c r="G18" i="1"/>
  <c r="G29" i="1"/>
  <c r="G2" i="1"/>
  <c r="G3" i="1"/>
  <c r="G4" i="1"/>
  <c r="G5" i="1"/>
  <c r="G6" i="1"/>
  <c r="G8" i="1"/>
  <c r="G9" i="1"/>
  <c r="G10" i="1"/>
  <c r="G11" i="1"/>
  <c r="G12" i="1"/>
  <c r="G13" i="1"/>
  <c r="G14" i="1"/>
  <c r="G16" i="1"/>
  <c r="G17" i="1"/>
  <c r="G19" i="1"/>
  <c r="G20" i="1"/>
  <c r="G22" i="1"/>
  <c r="G23" i="1"/>
  <c r="G24" i="1"/>
  <c r="G25" i="1"/>
  <c r="G26" i="1"/>
  <c r="G28" i="1"/>
  <c r="G7" i="1"/>
  <c r="G27" i="1"/>
  <c r="G21" i="1"/>
  <c r="E8" i="1"/>
  <c r="E12" i="1"/>
  <c r="E24" i="1"/>
  <c r="E28" i="1"/>
  <c r="E4" i="1"/>
  <c r="E16" i="1"/>
  <c r="E20" i="1"/>
  <c r="E3" i="1"/>
  <c r="E6" i="1"/>
  <c r="E10" i="1"/>
  <c r="E14" i="1"/>
  <c r="E15" i="1"/>
  <c r="E17" i="1"/>
  <c r="E19" i="1"/>
  <c r="E21" i="1"/>
  <c r="E22" i="1"/>
  <c r="E23" i="1"/>
  <c r="E25" i="1"/>
  <c r="E27" i="1"/>
  <c r="E2" i="1"/>
  <c r="E5" i="1"/>
  <c r="E7" i="1"/>
  <c r="E9" i="1"/>
  <c r="E11" i="1"/>
  <c r="E13" i="1"/>
  <c r="E18" i="1"/>
  <c r="E26" i="1"/>
  <c r="E29" i="1"/>
</calcChain>
</file>

<file path=xl/sharedStrings.xml><?xml version="1.0" encoding="utf-8"?>
<sst xmlns="http://schemas.openxmlformats.org/spreadsheetml/2006/main" count="107" uniqueCount="34">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</sst>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3" borderId="15" xfId="1" applyNumberFormat="1" applyFont="1" applyFill="1" applyBorder="1" applyAlignment="1">
      <alignment horizontal="center"/>
    </xf>
    <xf numFmtId="165" fontId="4" fillId="4" borderId="16" xfId="1" applyNumberFormat="1" applyFont="1" applyFill="1" applyBorder="1" applyAlignment="1">
      <alignment horizontal="center" vertical="center"/>
    </xf>
    <xf numFmtId="165" fontId="4" fillId="3" borderId="8" xfId="1" applyNumberFormat="1" applyFont="1" applyFill="1" applyBorder="1" applyAlignment="1">
      <alignment horizont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166" fontId="6" fillId="0" borderId="17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7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166" fontId="5" fillId="5" borderId="17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S22" sqref="S2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31" t="s">
        <v>13</v>
      </c>
      <c r="B1" s="31" t="s">
        <v>33</v>
      </c>
      <c r="C1" s="31" t="s">
        <v>14</v>
      </c>
      <c r="D1" s="31" t="s">
        <v>15</v>
      </c>
      <c r="E1" s="32" t="s">
        <v>25</v>
      </c>
      <c r="F1" s="32" t="s">
        <v>26</v>
      </c>
      <c r="G1" s="32" t="s">
        <v>27</v>
      </c>
      <c r="H1" s="33" t="s">
        <v>28</v>
      </c>
      <c r="I1" s="32" t="s">
        <v>29</v>
      </c>
      <c r="J1" s="32" t="s">
        <v>30</v>
      </c>
      <c r="K1" s="32" t="s">
        <v>31</v>
      </c>
      <c r="L1" s="32" t="s">
        <v>32</v>
      </c>
    </row>
    <row r="2" spans="1:12" x14ac:dyDescent="0.25">
      <c r="A2" t="s">
        <v>24</v>
      </c>
      <c r="B2">
        <v>1</v>
      </c>
      <c r="C2" s="26">
        <v>2</v>
      </c>
      <c r="D2" s="26">
        <v>2023</v>
      </c>
      <c r="E2" s="27">
        <f>Submetering!E2+Submetering!F2+Submetering!G2+Submetering!H2</f>
        <v>33851</v>
      </c>
      <c r="F2" s="34">
        <v>0.36499999999999999</v>
      </c>
      <c r="G2" s="27">
        <f>Submetering!I2+Submetering!J2+Submetering!K2</f>
        <v>367</v>
      </c>
      <c r="H2" s="29">
        <f>(1/22.25)*72.05</f>
        <v>3.238202247191011</v>
      </c>
      <c r="I2" s="28">
        <f>Submetering!L2</f>
        <v>309</v>
      </c>
      <c r="J2" s="28">
        <v>2.86</v>
      </c>
      <c r="K2" s="35">
        <v>151</v>
      </c>
      <c r="L2" s="35">
        <v>199</v>
      </c>
    </row>
    <row r="3" spans="1:12" x14ac:dyDescent="0.25">
      <c r="A3" t="s">
        <v>24</v>
      </c>
      <c r="B3">
        <v>2</v>
      </c>
      <c r="C3" s="26">
        <v>2</v>
      </c>
      <c r="D3" s="26">
        <v>2023</v>
      </c>
      <c r="E3" s="27">
        <f>Submetering!E3+Submetering!F3+Submetering!G3+Submetering!H3</f>
        <v>34739</v>
      </c>
      <c r="F3" s="34">
        <v>0.36499999999999999</v>
      </c>
      <c r="G3" s="27">
        <f>Submetering!I3+Submetering!J3+Submetering!K3</f>
        <v>399</v>
      </c>
      <c r="H3" s="29">
        <f t="shared" ref="H3:H29" si="0">(1/22.25)*72.05</f>
        <v>3.238202247191011</v>
      </c>
      <c r="I3" s="28">
        <f>Submetering!L3</f>
        <v>306</v>
      </c>
      <c r="J3" s="28">
        <v>2.86</v>
      </c>
      <c r="K3" s="35">
        <v>183</v>
      </c>
      <c r="L3" s="35">
        <v>247</v>
      </c>
    </row>
    <row r="4" spans="1:12" x14ac:dyDescent="0.25">
      <c r="A4" t="s">
        <v>24</v>
      </c>
      <c r="B4">
        <v>3</v>
      </c>
      <c r="C4" s="26">
        <v>2</v>
      </c>
      <c r="D4" s="26">
        <v>2023</v>
      </c>
      <c r="E4" s="27">
        <f>Submetering!E4+Submetering!F4+Submetering!G4+Submetering!H4</f>
        <v>35374</v>
      </c>
      <c r="F4" s="34">
        <v>0.36499999999999999</v>
      </c>
      <c r="G4" s="27">
        <f>Submetering!I4+Submetering!J4+Submetering!K4</f>
        <v>423</v>
      </c>
      <c r="H4" s="29">
        <f t="shared" si="0"/>
        <v>3.238202247191011</v>
      </c>
      <c r="I4" s="28">
        <f>Submetering!L4</f>
        <v>283</v>
      </c>
      <c r="J4" s="28">
        <v>2.86</v>
      </c>
      <c r="K4" s="35">
        <v>168</v>
      </c>
      <c r="L4" s="35">
        <v>238</v>
      </c>
    </row>
    <row r="5" spans="1:12" x14ac:dyDescent="0.25">
      <c r="A5" t="s">
        <v>24</v>
      </c>
      <c r="B5">
        <v>4</v>
      </c>
      <c r="C5" s="26">
        <v>2</v>
      </c>
      <c r="D5" s="26">
        <v>2023</v>
      </c>
      <c r="E5" s="27">
        <f>Submetering!E5+Submetering!F5+Submetering!G5+Submetering!H5</f>
        <v>33092</v>
      </c>
      <c r="F5" s="34">
        <v>0.36499999999999999</v>
      </c>
      <c r="G5" s="27">
        <f>Submetering!I5+Submetering!J5+Submetering!K5</f>
        <v>317</v>
      </c>
      <c r="H5" s="29">
        <f t="shared" si="0"/>
        <v>3.238202247191011</v>
      </c>
      <c r="I5" s="28">
        <f>Submetering!L5</f>
        <v>290</v>
      </c>
      <c r="J5" s="28">
        <v>2.86</v>
      </c>
      <c r="K5" s="35">
        <v>142</v>
      </c>
      <c r="L5" s="35">
        <v>245</v>
      </c>
    </row>
    <row r="6" spans="1:12" x14ac:dyDescent="0.25">
      <c r="A6" t="s">
        <v>24</v>
      </c>
      <c r="B6">
        <v>5</v>
      </c>
      <c r="C6" s="26">
        <v>2</v>
      </c>
      <c r="D6" s="26">
        <v>2023</v>
      </c>
      <c r="E6" s="27">
        <f>Submetering!E6+Submetering!F6+Submetering!G6+Submetering!H6</f>
        <v>33571</v>
      </c>
      <c r="F6" s="34">
        <v>0.36499999999999999</v>
      </c>
      <c r="G6" s="27">
        <f>Submetering!I6+Submetering!J6+Submetering!K6</f>
        <v>414</v>
      </c>
      <c r="H6" s="29">
        <f t="shared" si="0"/>
        <v>3.238202247191011</v>
      </c>
      <c r="I6" s="28">
        <f>Submetering!L6</f>
        <v>303</v>
      </c>
      <c r="J6" s="28">
        <v>2.86</v>
      </c>
      <c r="K6" s="35">
        <v>119</v>
      </c>
      <c r="L6" s="35">
        <v>223</v>
      </c>
    </row>
    <row r="7" spans="1:12" x14ac:dyDescent="0.25">
      <c r="A7" t="s">
        <v>24</v>
      </c>
      <c r="B7">
        <v>6</v>
      </c>
      <c r="C7" s="26">
        <v>2</v>
      </c>
      <c r="D7" s="26">
        <v>2023</v>
      </c>
      <c r="E7" s="27">
        <f>Submetering!E7+Submetering!F7+Submetering!G7+Submetering!H7</f>
        <v>32231</v>
      </c>
      <c r="F7" s="34">
        <v>0.36499999999999999</v>
      </c>
      <c r="G7" s="27">
        <f>Submetering!I7+Submetering!J7+Submetering!K7</f>
        <v>376</v>
      </c>
      <c r="H7" s="29">
        <f t="shared" si="0"/>
        <v>3.238202247191011</v>
      </c>
      <c r="I7" s="28">
        <f>Submetering!L7</f>
        <v>355</v>
      </c>
      <c r="J7" s="28">
        <v>2.86</v>
      </c>
      <c r="K7" s="35">
        <v>125</v>
      </c>
      <c r="L7" s="35">
        <v>195</v>
      </c>
    </row>
    <row r="8" spans="1:12" x14ac:dyDescent="0.25">
      <c r="A8" t="s">
        <v>24</v>
      </c>
      <c r="B8">
        <v>7</v>
      </c>
      <c r="C8" s="26">
        <v>2</v>
      </c>
      <c r="D8" s="26">
        <v>2023</v>
      </c>
      <c r="E8" s="27">
        <f>Submetering!E8+Submetering!F8+Submetering!G8+Submetering!H8</f>
        <v>33110</v>
      </c>
      <c r="F8" s="34">
        <v>0.36499999999999999</v>
      </c>
      <c r="G8" s="27">
        <f>Submetering!I8+Submetering!J8+Submetering!K8</f>
        <v>409</v>
      </c>
      <c r="H8" s="29">
        <f t="shared" si="0"/>
        <v>3.238202247191011</v>
      </c>
      <c r="I8" s="28">
        <f>Submetering!L8</f>
        <v>364</v>
      </c>
      <c r="J8" s="28">
        <v>2.86</v>
      </c>
      <c r="K8" s="35">
        <v>179</v>
      </c>
      <c r="L8" s="35">
        <v>241</v>
      </c>
    </row>
    <row r="9" spans="1:12" x14ac:dyDescent="0.25">
      <c r="A9" t="s">
        <v>24</v>
      </c>
      <c r="B9">
        <v>8</v>
      </c>
      <c r="C9" s="26">
        <v>2</v>
      </c>
      <c r="D9" s="26">
        <v>2023</v>
      </c>
      <c r="E9" s="27">
        <f>Submetering!E9+Submetering!F9+Submetering!G9+Submetering!H9</f>
        <v>33662</v>
      </c>
      <c r="F9" s="34">
        <v>0.36499999999999999</v>
      </c>
      <c r="G9" s="27">
        <f>Submetering!I9+Submetering!J9+Submetering!K9</f>
        <v>385</v>
      </c>
      <c r="H9" s="29">
        <f t="shared" si="0"/>
        <v>3.238202247191011</v>
      </c>
      <c r="I9" s="28">
        <f>Submetering!L9</f>
        <v>350</v>
      </c>
      <c r="J9" s="28">
        <v>2.86</v>
      </c>
      <c r="K9" s="35">
        <v>182</v>
      </c>
      <c r="L9" s="35">
        <v>249</v>
      </c>
    </row>
    <row r="10" spans="1:12" x14ac:dyDescent="0.25">
      <c r="A10" t="s">
        <v>24</v>
      </c>
      <c r="B10">
        <v>9</v>
      </c>
      <c r="C10" s="26">
        <v>2</v>
      </c>
      <c r="D10" s="26">
        <v>2023</v>
      </c>
      <c r="E10" s="27">
        <f>Submetering!E10+Submetering!F10+Submetering!G10+Submetering!H10</f>
        <v>35721</v>
      </c>
      <c r="F10" s="34">
        <v>0.36499999999999999</v>
      </c>
      <c r="G10" s="27">
        <f>Submetering!I10+Submetering!J10+Submetering!K10</f>
        <v>434</v>
      </c>
      <c r="H10" s="29">
        <f t="shared" si="0"/>
        <v>3.238202247191011</v>
      </c>
      <c r="I10" s="28">
        <f>Submetering!L10</f>
        <v>441</v>
      </c>
      <c r="J10" s="28">
        <v>2.86</v>
      </c>
      <c r="K10" s="35">
        <v>176</v>
      </c>
      <c r="L10" s="35">
        <v>264</v>
      </c>
    </row>
    <row r="11" spans="1:12" x14ac:dyDescent="0.25">
      <c r="A11" t="s">
        <v>24</v>
      </c>
      <c r="B11">
        <v>10</v>
      </c>
      <c r="C11" s="26">
        <v>2</v>
      </c>
      <c r="D11" s="26">
        <v>2023</v>
      </c>
      <c r="E11" s="27">
        <f>Submetering!E11+Submetering!F11+Submetering!G11+Submetering!H11</f>
        <v>34743</v>
      </c>
      <c r="F11" s="34">
        <v>0.36499999999999999</v>
      </c>
      <c r="G11" s="27">
        <f>Submetering!I11+Submetering!J11+Submetering!K11</f>
        <v>396</v>
      </c>
      <c r="H11" s="29">
        <f t="shared" si="0"/>
        <v>3.238202247191011</v>
      </c>
      <c r="I11" s="28">
        <f>Submetering!L11</f>
        <v>419</v>
      </c>
      <c r="J11" s="28">
        <v>2.86</v>
      </c>
      <c r="K11" s="35">
        <v>138</v>
      </c>
      <c r="L11" s="35">
        <v>265</v>
      </c>
    </row>
    <row r="12" spans="1:12" x14ac:dyDescent="0.25">
      <c r="A12" t="s">
        <v>24</v>
      </c>
      <c r="B12">
        <v>11</v>
      </c>
      <c r="C12" s="26">
        <v>2</v>
      </c>
      <c r="D12" s="26">
        <v>2023</v>
      </c>
      <c r="E12" s="27">
        <f>Submetering!E12+Submetering!F12+Submetering!G12+Submetering!H12</f>
        <v>33171</v>
      </c>
      <c r="F12" s="34">
        <v>0.36499999999999999</v>
      </c>
      <c r="G12" s="27">
        <f>Submetering!I12+Submetering!J12+Submetering!K12</f>
        <v>423</v>
      </c>
      <c r="H12" s="29">
        <f t="shared" si="0"/>
        <v>3.238202247191011</v>
      </c>
      <c r="I12" s="28">
        <f>Submetering!L12</f>
        <v>449</v>
      </c>
      <c r="J12" s="28">
        <v>2.86</v>
      </c>
      <c r="K12" s="35">
        <v>137</v>
      </c>
      <c r="L12" s="35">
        <v>258</v>
      </c>
    </row>
    <row r="13" spans="1:12" x14ac:dyDescent="0.25">
      <c r="A13" t="s">
        <v>24</v>
      </c>
      <c r="B13">
        <v>12</v>
      </c>
      <c r="C13" s="26">
        <v>2</v>
      </c>
      <c r="D13" s="26">
        <v>2023</v>
      </c>
      <c r="E13" s="27">
        <f>Submetering!E13+Submetering!F13+Submetering!G13+Submetering!H13</f>
        <v>33418</v>
      </c>
      <c r="F13" s="34">
        <v>0.36499999999999999</v>
      </c>
      <c r="G13" s="27">
        <f>Submetering!I13+Submetering!J13+Submetering!K13</f>
        <v>354</v>
      </c>
      <c r="H13" s="29">
        <f t="shared" si="0"/>
        <v>3.238202247191011</v>
      </c>
      <c r="I13" s="28">
        <f>Submetering!L13</f>
        <v>322</v>
      </c>
      <c r="J13" s="28">
        <v>2.86</v>
      </c>
      <c r="K13" s="35">
        <v>111</v>
      </c>
      <c r="L13" s="35">
        <v>199</v>
      </c>
    </row>
    <row r="14" spans="1:12" x14ac:dyDescent="0.25">
      <c r="A14" t="s">
        <v>24</v>
      </c>
      <c r="B14">
        <v>13</v>
      </c>
      <c r="C14" s="26">
        <v>2</v>
      </c>
      <c r="D14" s="26">
        <v>2023</v>
      </c>
      <c r="E14" s="27">
        <f>Submetering!E14+Submetering!F14+Submetering!G14+Submetering!H14</f>
        <v>31801</v>
      </c>
      <c r="F14" s="34">
        <v>0.36499999999999999</v>
      </c>
      <c r="G14" s="27">
        <f>Submetering!I14+Submetering!J14+Submetering!K14</f>
        <v>395</v>
      </c>
      <c r="H14" s="29">
        <f t="shared" si="0"/>
        <v>3.238202247191011</v>
      </c>
      <c r="I14" s="28">
        <f>Submetering!L14</f>
        <v>391</v>
      </c>
      <c r="J14" s="28">
        <v>2.86</v>
      </c>
      <c r="K14" s="35">
        <v>119</v>
      </c>
      <c r="L14" s="35">
        <v>183</v>
      </c>
    </row>
    <row r="15" spans="1:12" x14ac:dyDescent="0.25">
      <c r="A15" t="s">
        <v>24</v>
      </c>
      <c r="B15">
        <v>14</v>
      </c>
      <c r="C15" s="26">
        <v>2</v>
      </c>
      <c r="D15" s="26">
        <v>2023</v>
      </c>
      <c r="E15" s="27">
        <f>Submetering!E15+Submetering!F15+Submetering!G15+Submetering!H15</f>
        <v>33176</v>
      </c>
      <c r="F15" s="34">
        <v>0.36499999999999999</v>
      </c>
      <c r="G15" s="27">
        <f>Submetering!I15+Submetering!J15+Submetering!K15</f>
        <v>470</v>
      </c>
      <c r="H15" s="29">
        <f t="shared" si="0"/>
        <v>3.238202247191011</v>
      </c>
      <c r="I15" s="28">
        <f>Submetering!L15</f>
        <v>315</v>
      </c>
      <c r="J15" s="28">
        <v>2.86</v>
      </c>
      <c r="K15" s="35">
        <v>203</v>
      </c>
      <c r="L15" s="35">
        <v>244</v>
      </c>
    </row>
    <row r="16" spans="1:12" x14ac:dyDescent="0.25">
      <c r="A16" t="s">
        <v>24</v>
      </c>
      <c r="B16">
        <v>15</v>
      </c>
      <c r="C16" s="26">
        <v>2</v>
      </c>
      <c r="D16" s="26">
        <v>2023</v>
      </c>
      <c r="E16" s="27">
        <f>Submetering!E16+Submetering!F16+Submetering!G16+Submetering!H16</f>
        <v>33528</v>
      </c>
      <c r="F16" s="34">
        <v>0.36499999999999999</v>
      </c>
      <c r="G16" s="27">
        <f>Submetering!I16+Submetering!J16+Submetering!K16</f>
        <v>457</v>
      </c>
      <c r="H16" s="29">
        <f t="shared" si="0"/>
        <v>3.238202247191011</v>
      </c>
      <c r="I16" s="28">
        <f>Submetering!L16</f>
        <v>267</v>
      </c>
      <c r="J16" s="28">
        <v>2.86</v>
      </c>
      <c r="K16" s="35">
        <v>195</v>
      </c>
      <c r="L16" s="35">
        <v>239</v>
      </c>
    </row>
    <row r="17" spans="1:12" x14ac:dyDescent="0.25">
      <c r="A17" t="s">
        <v>24</v>
      </c>
      <c r="B17">
        <v>16</v>
      </c>
      <c r="C17" s="26">
        <v>2</v>
      </c>
      <c r="D17" s="26">
        <v>2023</v>
      </c>
      <c r="E17" s="27">
        <f>Submetering!E17+Submetering!F17+Submetering!G17+Submetering!H17</f>
        <v>34287</v>
      </c>
      <c r="F17" s="34">
        <v>0.36499999999999999</v>
      </c>
      <c r="G17" s="27">
        <f>Submetering!I17+Submetering!J17+Submetering!K17</f>
        <v>414</v>
      </c>
      <c r="H17" s="29">
        <f t="shared" si="0"/>
        <v>3.238202247191011</v>
      </c>
      <c r="I17" s="28">
        <f>Submetering!L17</f>
        <v>339</v>
      </c>
      <c r="J17" s="28">
        <v>2.86</v>
      </c>
      <c r="K17" s="35">
        <v>185</v>
      </c>
      <c r="L17" s="35">
        <v>241</v>
      </c>
    </row>
    <row r="18" spans="1:12" x14ac:dyDescent="0.25">
      <c r="A18" t="s">
        <v>24</v>
      </c>
      <c r="B18">
        <v>17</v>
      </c>
      <c r="C18" s="26">
        <v>2</v>
      </c>
      <c r="D18" s="26">
        <v>2023</v>
      </c>
      <c r="E18" s="27">
        <f>Submetering!E18+Submetering!F18+Submetering!G18+Submetering!H18</f>
        <v>33118</v>
      </c>
      <c r="F18" s="34">
        <v>0.36499999999999999</v>
      </c>
      <c r="G18" s="27">
        <f>Submetering!I18+Submetering!J18+Submetering!K18</f>
        <v>396</v>
      </c>
      <c r="H18" s="29">
        <f t="shared" si="0"/>
        <v>3.238202247191011</v>
      </c>
      <c r="I18" s="28">
        <f>Submetering!L18</f>
        <v>373</v>
      </c>
      <c r="J18" s="28">
        <v>2.86</v>
      </c>
      <c r="K18" s="35">
        <v>180</v>
      </c>
      <c r="L18" s="35">
        <v>242</v>
      </c>
    </row>
    <row r="19" spans="1:12" x14ac:dyDescent="0.25">
      <c r="A19" t="s">
        <v>24</v>
      </c>
      <c r="B19">
        <v>18</v>
      </c>
      <c r="C19" s="26">
        <v>2</v>
      </c>
      <c r="D19" s="26">
        <v>2023</v>
      </c>
      <c r="E19" s="27">
        <f>Submetering!E19+Submetering!F19+Submetering!G19+Submetering!H19</f>
        <v>34799</v>
      </c>
      <c r="F19" s="34">
        <v>0.36499999999999999</v>
      </c>
      <c r="G19" s="27">
        <f>Submetering!I19+Submetering!J19+Submetering!K19</f>
        <v>423</v>
      </c>
      <c r="H19" s="29">
        <f t="shared" si="0"/>
        <v>3.238202247191011</v>
      </c>
      <c r="I19" s="28">
        <f>Submetering!L19</f>
        <v>227</v>
      </c>
      <c r="J19" s="28">
        <v>2.86</v>
      </c>
      <c r="K19" s="35">
        <v>144</v>
      </c>
      <c r="L19" s="35">
        <v>263</v>
      </c>
    </row>
    <row r="20" spans="1:12" x14ac:dyDescent="0.25">
      <c r="A20" t="s">
        <v>24</v>
      </c>
      <c r="B20">
        <v>19</v>
      </c>
      <c r="C20" s="26">
        <v>2</v>
      </c>
      <c r="D20" s="26">
        <v>2023</v>
      </c>
      <c r="E20" s="27">
        <f>Submetering!E20+Submetering!F20+Submetering!G20+Submetering!H20</f>
        <v>33678</v>
      </c>
      <c r="F20" s="34">
        <v>0.36499999999999999</v>
      </c>
      <c r="G20" s="27">
        <f>Submetering!I20+Submetering!J20+Submetering!K20</f>
        <v>353</v>
      </c>
      <c r="H20" s="29">
        <f t="shared" si="0"/>
        <v>3.238202247191011</v>
      </c>
      <c r="I20" s="28">
        <f>Submetering!L20</f>
        <v>402</v>
      </c>
      <c r="J20" s="28">
        <v>2.86</v>
      </c>
      <c r="K20" s="35">
        <v>170</v>
      </c>
      <c r="L20" s="35">
        <v>289</v>
      </c>
    </row>
    <row r="21" spans="1:12" x14ac:dyDescent="0.25">
      <c r="A21" t="s">
        <v>24</v>
      </c>
      <c r="B21">
        <v>20</v>
      </c>
      <c r="C21" s="26">
        <v>2</v>
      </c>
      <c r="D21" s="26">
        <v>2023</v>
      </c>
      <c r="E21" s="27">
        <f>Submetering!E21+Submetering!F21+Submetering!G21+Submetering!H21</f>
        <v>34219</v>
      </c>
      <c r="F21" s="34">
        <v>0.36499999999999999</v>
      </c>
      <c r="G21" s="27">
        <f>Submetering!I21+Submetering!J21+Submetering!K21</f>
        <v>377</v>
      </c>
      <c r="H21" s="29">
        <f t="shared" si="0"/>
        <v>3.238202247191011</v>
      </c>
      <c r="I21" s="28">
        <f>Submetering!L21</f>
        <v>345</v>
      </c>
      <c r="J21" s="28">
        <v>2.86</v>
      </c>
      <c r="K21" s="35">
        <v>159</v>
      </c>
      <c r="L21" s="35">
        <v>255</v>
      </c>
    </row>
    <row r="22" spans="1:12" x14ac:dyDescent="0.25">
      <c r="A22" t="s">
        <v>24</v>
      </c>
      <c r="B22">
        <v>21</v>
      </c>
      <c r="C22" s="26">
        <v>2</v>
      </c>
      <c r="D22" s="26">
        <v>2023</v>
      </c>
      <c r="E22" s="27">
        <f>Submetering!E22+Submetering!F22+Submetering!G22+Submetering!H22</f>
        <v>34152</v>
      </c>
      <c r="F22" s="34">
        <v>0.36499999999999999</v>
      </c>
      <c r="G22" s="27">
        <f>Submetering!I22+Submetering!J22+Submetering!K22</f>
        <v>362</v>
      </c>
      <c r="H22" s="29">
        <f t="shared" si="0"/>
        <v>3.238202247191011</v>
      </c>
      <c r="I22" s="28">
        <f>Submetering!L22</f>
        <v>393</v>
      </c>
      <c r="J22" s="28">
        <v>2.86</v>
      </c>
      <c r="K22" s="35">
        <v>169</v>
      </c>
      <c r="L22" s="35">
        <v>270</v>
      </c>
    </row>
    <row r="23" spans="1:12" x14ac:dyDescent="0.25">
      <c r="A23" t="s">
        <v>24</v>
      </c>
      <c r="B23">
        <v>22</v>
      </c>
      <c r="C23" s="26">
        <v>2</v>
      </c>
      <c r="D23" s="26">
        <v>2023</v>
      </c>
      <c r="E23" s="27">
        <f>Submetering!E23+Submetering!F23+Submetering!G23+Submetering!H23</f>
        <v>35629</v>
      </c>
      <c r="F23" s="34">
        <v>0.36499999999999999</v>
      </c>
      <c r="G23" s="27">
        <f>Submetering!I23+Submetering!J23+Submetering!K23</f>
        <v>437</v>
      </c>
      <c r="H23" s="29">
        <f t="shared" si="0"/>
        <v>3.238202247191011</v>
      </c>
      <c r="I23" s="28">
        <f>Submetering!L23</f>
        <v>279</v>
      </c>
      <c r="J23" s="28">
        <v>2.86</v>
      </c>
      <c r="K23" s="35">
        <v>194</v>
      </c>
      <c r="L23" s="35">
        <v>299</v>
      </c>
    </row>
    <row r="24" spans="1:12" x14ac:dyDescent="0.25">
      <c r="A24" t="s">
        <v>24</v>
      </c>
      <c r="B24">
        <v>23</v>
      </c>
      <c r="C24" s="26">
        <v>2</v>
      </c>
      <c r="D24" s="26">
        <v>2023</v>
      </c>
      <c r="E24" s="27">
        <f>Submetering!E24+Submetering!F24+Submetering!G24+Submetering!H24</f>
        <v>33400</v>
      </c>
      <c r="F24" s="34">
        <v>0.36499999999999999</v>
      </c>
      <c r="G24" s="27">
        <f>Submetering!I24+Submetering!J24+Submetering!K24</f>
        <v>402</v>
      </c>
      <c r="H24" s="29">
        <f t="shared" si="0"/>
        <v>3.238202247191011</v>
      </c>
      <c r="I24" s="28">
        <f>Submetering!L24</f>
        <v>310</v>
      </c>
      <c r="J24" s="28">
        <v>2.86</v>
      </c>
      <c r="K24" s="35">
        <v>201</v>
      </c>
      <c r="L24" s="35">
        <v>301</v>
      </c>
    </row>
    <row r="25" spans="1:12" x14ac:dyDescent="0.25">
      <c r="A25" t="s">
        <v>24</v>
      </c>
      <c r="B25">
        <v>24</v>
      </c>
      <c r="C25" s="26">
        <v>2</v>
      </c>
      <c r="D25" s="26">
        <v>2023</v>
      </c>
      <c r="E25" s="27">
        <f>Submetering!E25+Submetering!F25+Submetering!G25+Submetering!H25</f>
        <v>33671</v>
      </c>
      <c r="F25" s="34">
        <v>0.36499999999999999</v>
      </c>
      <c r="G25" s="27">
        <f>Submetering!I25+Submetering!J25+Submetering!K25</f>
        <v>408</v>
      </c>
      <c r="H25" s="29">
        <f t="shared" si="0"/>
        <v>3.238202247191011</v>
      </c>
      <c r="I25" s="28">
        <f>Submetering!L25</f>
        <v>413</v>
      </c>
      <c r="J25" s="28">
        <v>2.86</v>
      </c>
      <c r="K25" s="35">
        <v>212</v>
      </c>
      <c r="L25" s="35">
        <v>292</v>
      </c>
    </row>
    <row r="26" spans="1:12" x14ac:dyDescent="0.25">
      <c r="A26" t="s">
        <v>24</v>
      </c>
      <c r="B26">
        <v>25</v>
      </c>
      <c r="C26" s="26">
        <v>2</v>
      </c>
      <c r="D26" s="26">
        <v>2023</v>
      </c>
      <c r="E26" s="27">
        <f>Submetering!E26+Submetering!F26+Submetering!G26+Submetering!H26</f>
        <v>33795</v>
      </c>
      <c r="F26" s="34">
        <v>0.36499999999999999</v>
      </c>
      <c r="G26" s="27">
        <f>Submetering!I26+Submetering!J26+Submetering!K26</f>
        <v>469</v>
      </c>
      <c r="H26" s="29">
        <f t="shared" si="0"/>
        <v>3.238202247191011</v>
      </c>
      <c r="I26" s="28">
        <f>Submetering!L26</f>
        <v>344</v>
      </c>
      <c r="J26" s="28">
        <v>2.86</v>
      </c>
      <c r="K26" s="35">
        <v>209</v>
      </c>
      <c r="L26" s="35">
        <v>311</v>
      </c>
    </row>
    <row r="27" spans="1:12" x14ac:dyDescent="0.25">
      <c r="A27" t="s">
        <v>24</v>
      </c>
      <c r="B27">
        <v>26</v>
      </c>
      <c r="C27" s="26">
        <v>2</v>
      </c>
      <c r="D27" s="26">
        <v>2023</v>
      </c>
      <c r="E27" s="27">
        <f>Submetering!E27+Submetering!F27+Submetering!G27+Submetering!H27</f>
        <v>31439</v>
      </c>
      <c r="F27" s="34">
        <v>0.36499999999999999</v>
      </c>
      <c r="G27" s="27">
        <f>Submetering!I27+Submetering!J27+Submetering!K27</f>
        <v>330</v>
      </c>
      <c r="H27" s="29">
        <f t="shared" si="0"/>
        <v>3.238202247191011</v>
      </c>
      <c r="I27" s="28">
        <f>Submetering!L27</f>
        <v>302</v>
      </c>
      <c r="J27" s="28">
        <v>2.86</v>
      </c>
      <c r="K27" s="35">
        <v>141</v>
      </c>
      <c r="L27" s="35">
        <v>228</v>
      </c>
    </row>
    <row r="28" spans="1:12" x14ac:dyDescent="0.25">
      <c r="A28" t="s">
        <v>24</v>
      </c>
      <c r="B28">
        <v>27</v>
      </c>
      <c r="C28" s="26">
        <v>2</v>
      </c>
      <c r="D28" s="26">
        <v>2023</v>
      </c>
      <c r="E28" s="27">
        <f>Submetering!E28+Submetering!F28+Submetering!G28+Submetering!H28</f>
        <v>34653</v>
      </c>
      <c r="F28" s="34">
        <v>0.36499999999999999</v>
      </c>
      <c r="G28" s="27">
        <f>Submetering!I28+Submetering!J28+Submetering!K28</f>
        <v>409</v>
      </c>
      <c r="H28" s="29">
        <f t="shared" si="0"/>
        <v>3.238202247191011</v>
      </c>
      <c r="I28" s="28">
        <f>Submetering!L28</f>
        <v>298</v>
      </c>
      <c r="J28" s="28">
        <v>2.86</v>
      </c>
      <c r="K28" s="35">
        <v>146</v>
      </c>
      <c r="L28" s="35">
        <v>229</v>
      </c>
    </row>
    <row r="29" spans="1:12" x14ac:dyDescent="0.25">
      <c r="A29" t="s">
        <v>24</v>
      </c>
      <c r="B29">
        <v>28</v>
      </c>
      <c r="C29" s="26">
        <v>2</v>
      </c>
      <c r="D29" s="26">
        <v>2023</v>
      </c>
      <c r="E29" s="27">
        <f>Submetering!E29+Submetering!F29+Submetering!G29+Submetering!H29</f>
        <v>34050</v>
      </c>
      <c r="F29" s="34">
        <v>0.36499999999999999</v>
      </c>
      <c r="G29" s="27">
        <f>Submetering!I29+Submetering!J29+Submetering!K29</f>
        <v>475</v>
      </c>
      <c r="H29" s="29">
        <f t="shared" si="0"/>
        <v>3.238202247191011</v>
      </c>
      <c r="I29" s="28">
        <f>Submetering!L29</f>
        <v>313</v>
      </c>
      <c r="J29" s="28">
        <v>2.86</v>
      </c>
      <c r="K29" s="35">
        <v>180</v>
      </c>
      <c r="L29" s="35">
        <v>279</v>
      </c>
    </row>
    <row r="30" spans="1:12" x14ac:dyDescent="0.25">
      <c r="C30" s="26"/>
      <c r="D30" s="26"/>
      <c r="E30" s="27"/>
      <c r="F30" s="34"/>
      <c r="G30" s="27"/>
      <c r="H30" s="29"/>
      <c r="I30" s="28"/>
      <c r="J30" s="28"/>
      <c r="K30" s="35"/>
      <c r="L30" s="35"/>
    </row>
    <row r="31" spans="1:12" x14ac:dyDescent="0.25">
      <c r="C31" s="26"/>
      <c r="D31" s="26"/>
      <c r="E31" s="27"/>
      <c r="F31" s="34"/>
      <c r="G31" s="27"/>
      <c r="H31" s="29"/>
      <c r="I31" s="28"/>
      <c r="J31" s="28"/>
      <c r="K31" s="35"/>
      <c r="L31" s="35"/>
    </row>
    <row r="32" spans="1:12" x14ac:dyDescent="0.25">
      <c r="C32" s="26"/>
      <c r="D32" s="26"/>
      <c r="E32" s="27"/>
      <c r="F32" s="34"/>
      <c r="G32" s="27"/>
      <c r="H32" s="29"/>
      <c r="I32" s="28"/>
      <c r="J32" s="28"/>
      <c r="K32" s="35"/>
      <c r="L32" s="35"/>
    </row>
    <row r="33" spans="3:11" x14ac:dyDescent="0.25">
      <c r="C33" s="26"/>
      <c r="D33" s="26"/>
      <c r="E33" s="27"/>
      <c r="F33" s="29"/>
      <c r="G33" s="27"/>
      <c r="H33" s="29"/>
      <c r="I33" s="27"/>
      <c r="J33" s="27"/>
      <c r="K33" s="28"/>
    </row>
    <row r="34" spans="3:11" x14ac:dyDescent="0.25">
      <c r="C34" s="26"/>
      <c r="D34" s="26"/>
      <c r="E34" s="27"/>
      <c r="F34" s="27"/>
      <c r="G34" s="27"/>
      <c r="H34" s="34"/>
      <c r="I34" s="27"/>
      <c r="J34" s="27"/>
      <c r="K34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M2" sqref="M2:M29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3" t="s">
        <v>13</v>
      </c>
      <c r="B1" s="23" t="s">
        <v>33</v>
      </c>
      <c r="C1" s="23" t="s">
        <v>14</v>
      </c>
      <c r="D1" s="23" t="s">
        <v>15</v>
      </c>
      <c r="E1" s="24" t="s">
        <v>16</v>
      </c>
      <c r="F1" s="24" t="s">
        <v>17</v>
      </c>
      <c r="G1" s="24" t="s">
        <v>18</v>
      </c>
      <c r="H1" s="25" t="s">
        <v>19</v>
      </c>
      <c r="I1" s="24" t="s">
        <v>20</v>
      </c>
      <c r="J1" s="24" t="s">
        <v>21</v>
      </c>
      <c r="K1" s="24" t="s">
        <v>22</v>
      </c>
      <c r="L1" s="24" t="s">
        <v>23</v>
      </c>
      <c r="M1" s="32" t="s">
        <v>31</v>
      </c>
    </row>
    <row r="2" spans="1:13" ht="13.5" customHeight="1" x14ac:dyDescent="0.25">
      <c r="A2" t="s">
        <v>24</v>
      </c>
      <c r="B2">
        <v>1</v>
      </c>
      <c r="C2" s="26">
        <v>2</v>
      </c>
      <c r="D2" s="26">
        <v>2023</v>
      </c>
      <c r="E2" s="27">
        <f>'Daily Meter Reading'!C3</f>
        <v>11941</v>
      </c>
      <c r="F2" s="28">
        <f>'Daily Meter Reading'!E3</f>
        <v>9322</v>
      </c>
      <c r="G2" s="27">
        <f>'Daily Meter Reading'!G3</f>
        <v>6006</v>
      </c>
      <c r="H2" s="29">
        <f>'Daily Meter Reading'!I3</f>
        <v>6582</v>
      </c>
      <c r="I2" s="28">
        <f>'Daily Meter Reading'!K3</f>
        <v>197</v>
      </c>
      <c r="J2" s="28">
        <f>'Daily Meter Reading'!M3</f>
        <v>11</v>
      </c>
      <c r="K2" s="28">
        <f>'Daily Meter Reading'!O3</f>
        <v>159</v>
      </c>
      <c r="L2" s="28">
        <f>'Daily Meter Reading'!Q3</f>
        <v>309</v>
      </c>
      <c r="M2" s="35">
        <v>151</v>
      </c>
    </row>
    <row r="3" spans="1:13" ht="13.5" customHeight="1" x14ac:dyDescent="0.25">
      <c r="A3" t="s">
        <v>24</v>
      </c>
      <c r="B3">
        <v>2</v>
      </c>
      <c r="C3" s="26">
        <v>2</v>
      </c>
      <c r="D3" s="26">
        <v>2023</v>
      </c>
      <c r="E3" s="27">
        <f>'Daily Meter Reading'!C4</f>
        <v>11945</v>
      </c>
      <c r="F3" s="28">
        <f>'Daily Meter Reading'!E4</f>
        <v>9685</v>
      </c>
      <c r="G3" s="27">
        <f>'Daily Meter Reading'!G4</f>
        <v>6309</v>
      </c>
      <c r="H3" s="29">
        <f>'Daily Meter Reading'!I4</f>
        <v>6800</v>
      </c>
      <c r="I3" s="28">
        <f>'Daily Meter Reading'!K4</f>
        <v>193</v>
      </c>
      <c r="J3" s="28">
        <f>'Daily Meter Reading'!M4</f>
        <v>16</v>
      </c>
      <c r="K3" s="28">
        <f>'Daily Meter Reading'!O4</f>
        <v>190</v>
      </c>
      <c r="L3" s="28">
        <f>'Daily Meter Reading'!Q4</f>
        <v>306</v>
      </c>
      <c r="M3" s="35">
        <v>183</v>
      </c>
    </row>
    <row r="4" spans="1:13" ht="13.5" customHeight="1" x14ac:dyDescent="0.25">
      <c r="A4" t="s">
        <v>24</v>
      </c>
      <c r="B4">
        <v>3</v>
      </c>
      <c r="C4" s="26">
        <v>2</v>
      </c>
      <c r="D4" s="26">
        <v>2023</v>
      </c>
      <c r="E4" s="27">
        <f>'Daily Meter Reading'!C5</f>
        <v>12209</v>
      </c>
      <c r="F4" s="28">
        <f>'Daily Meter Reading'!E5</f>
        <v>10136</v>
      </c>
      <c r="G4" s="27">
        <f>'Daily Meter Reading'!G5</f>
        <v>6167</v>
      </c>
      <c r="H4" s="29">
        <f>'Daily Meter Reading'!I5</f>
        <v>6862</v>
      </c>
      <c r="I4" s="28">
        <f>'Daily Meter Reading'!K5</f>
        <v>193</v>
      </c>
      <c r="J4" s="28">
        <f>'Daily Meter Reading'!M5</f>
        <v>49</v>
      </c>
      <c r="K4" s="28">
        <f>'Daily Meter Reading'!O5</f>
        <v>181</v>
      </c>
      <c r="L4" s="28">
        <f>'Daily Meter Reading'!Q5</f>
        <v>283</v>
      </c>
      <c r="M4" s="35">
        <v>168</v>
      </c>
    </row>
    <row r="5" spans="1:13" ht="12.75" customHeight="1" x14ac:dyDescent="0.25">
      <c r="A5" t="s">
        <v>24</v>
      </c>
      <c r="B5">
        <v>4</v>
      </c>
      <c r="C5" s="26">
        <v>2</v>
      </c>
      <c r="D5" s="26">
        <v>2023</v>
      </c>
      <c r="E5" s="27">
        <f>'Daily Meter Reading'!C6</f>
        <v>11614</v>
      </c>
      <c r="F5" s="28">
        <f>'Daily Meter Reading'!E6</f>
        <v>9132</v>
      </c>
      <c r="G5" s="27">
        <f>'Daily Meter Reading'!G6</f>
        <v>5629</v>
      </c>
      <c r="H5" s="29">
        <f>'Daily Meter Reading'!I6</f>
        <v>6717</v>
      </c>
      <c r="I5" s="28">
        <f>'Daily Meter Reading'!K6</f>
        <v>201</v>
      </c>
      <c r="J5" s="28">
        <f>'Daily Meter Reading'!M6</f>
        <v>9</v>
      </c>
      <c r="K5" s="28">
        <f>'Daily Meter Reading'!O6</f>
        <v>107</v>
      </c>
      <c r="L5" s="28">
        <f>'Daily Meter Reading'!Q6</f>
        <v>290</v>
      </c>
      <c r="M5" s="35">
        <v>142</v>
      </c>
    </row>
    <row r="6" spans="1:13" x14ac:dyDescent="0.25">
      <c r="A6" t="s">
        <v>24</v>
      </c>
      <c r="B6">
        <v>5</v>
      </c>
      <c r="C6" s="26">
        <v>2</v>
      </c>
      <c r="D6" s="26">
        <v>2023</v>
      </c>
      <c r="E6" s="27">
        <f>'Daily Meter Reading'!C7</f>
        <v>11974</v>
      </c>
      <c r="F6" s="28">
        <f>'Daily Meter Reading'!E7</f>
        <v>8995</v>
      </c>
      <c r="G6" s="27">
        <f>'Daily Meter Reading'!G7</f>
        <v>5780</v>
      </c>
      <c r="H6" s="29">
        <f>'Daily Meter Reading'!I7</f>
        <v>6822</v>
      </c>
      <c r="I6" s="28">
        <f>'Daily Meter Reading'!K7</f>
        <v>218</v>
      </c>
      <c r="J6" s="28">
        <f>'Daily Meter Reading'!M7</f>
        <v>7</v>
      </c>
      <c r="K6" s="28">
        <f>'Daily Meter Reading'!O7</f>
        <v>189</v>
      </c>
      <c r="L6" s="28">
        <f>'Daily Meter Reading'!Q7</f>
        <v>303</v>
      </c>
      <c r="M6" s="35">
        <v>119</v>
      </c>
    </row>
    <row r="7" spans="1:13" x14ac:dyDescent="0.25">
      <c r="A7" t="s">
        <v>24</v>
      </c>
      <c r="B7">
        <v>6</v>
      </c>
      <c r="C7" s="26">
        <v>2</v>
      </c>
      <c r="D7" s="26">
        <v>2023</v>
      </c>
      <c r="E7" s="27">
        <f>'Daily Meter Reading'!C8</f>
        <v>11708</v>
      </c>
      <c r="F7" s="28">
        <f>'Daily Meter Reading'!E8</f>
        <v>8930</v>
      </c>
      <c r="G7" s="27">
        <f>'Daily Meter Reading'!G8</f>
        <v>3785</v>
      </c>
      <c r="H7" s="29">
        <f>'Daily Meter Reading'!I8</f>
        <v>7808</v>
      </c>
      <c r="I7" s="28">
        <f>'Daily Meter Reading'!K8</f>
        <v>185</v>
      </c>
      <c r="J7" s="28">
        <f>'Daily Meter Reading'!M8</f>
        <v>4</v>
      </c>
      <c r="K7" s="28">
        <f>'Daily Meter Reading'!O8</f>
        <v>187</v>
      </c>
      <c r="L7" s="28">
        <f>'Daily Meter Reading'!Q8</f>
        <v>355</v>
      </c>
      <c r="M7" s="35">
        <v>125</v>
      </c>
    </row>
    <row r="8" spans="1:13" x14ac:dyDescent="0.25">
      <c r="A8" t="s">
        <v>24</v>
      </c>
      <c r="B8">
        <v>7</v>
      </c>
      <c r="C8" s="26">
        <v>2</v>
      </c>
      <c r="D8" s="26">
        <v>2023</v>
      </c>
      <c r="E8" s="27">
        <f>'Daily Meter Reading'!C9</f>
        <v>11705</v>
      </c>
      <c r="F8" s="28">
        <f>'Daily Meter Reading'!E9</f>
        <v>9196</v>
      </c>
      <c r="G8" s="27">
        <f>'Daily Meter Reading'!G9</f>
        <v>4061</v>
      </c>
      <c r="H8" s="29">
        <f>'Daily Meter Reading'!I9</f>
        <v>8148</v>
      </c>
      <c r="I8" s="28">
        <f>'Daily Meter Reading'!K9</f>
        <v>201</v>
      </c>
      <c r="J8" s="28">
        <f>'Daily Meter Reading'!M9</f>
        <v>6</v>
      </c>
      <c r="K8" s="28">
        <f>'Daily Meter Reading'!O9</f>
        <v>202</v>
      </c>
      <c r="L8" s="28">
        <f>'Daily Meter Reading'!Q9</f>
        <v>364</v>
      </c>
      <c r="M8" s="35">
        <v>179</v>
      </c>
    </row>
    <row r="9" spans="1:13" x14ac:dyDescent="0.25">
      <c r="A9" t="s">
        <v>24</v>
      </c>
      <c r="B9">
        <v>8</v>
      </c>
      <c r="C9" s="26">
        <v>2</v>
      </c>
      <c r="D9" s="26">
        <v>2023</v>
      </c>
      <c r="E9" s="27">
        <f>'Daily Meter Reading'!C10</f>
        <v>11823</v>
      </c>
      <c r="F9" s="28">
        <f>'Daily Meter Reading'!E10</f>
        <v>9290</v>
      </c>
      <c r="G9" s="27">
        <f>'Daily Meter Reading'!G10</f>
        <v>4165</v>
      </c>
      <c r="H9" s="29">
        <f>'Daily Meter Reading'!I10</f>
        <v>8384</v>
      </c>
      <c r="I9" s="28">
        <f>'Daily Meter Reading'!K10</f>
        <v>191</v>
      </c>
      <c r="J9" s="28">
        <f>'Daily Meter Reading'!M10</f>
        <v>18</v>
      </c>
      <c r="K9" s="28">
        <f>'Daily Meter Reading'!O10</f>
        <v>176</v>
      </c>
      <c r="L9" s="28">
        <f>'Daily Meter Reading'!Q10</f>
        <v>350</v>
      </c>
      <c r="M9" s="35">
        <v>182</v>
      </c>
    </row>
    <row r="10" spans="1:13" x14ac:dyDescent="0.25">
      <c r="A10" t="s">
        <v>24</v>
      </c>
      <c r="B10">
        <v>9</v>
      </c>
      <c r="C10" s="26">
        <v>2</v>
      </c>
      <c r="D10" s="26">
        <v>2023</v>
      </c>
      <c r="E10" s="27">
        <f>'Daily Meter Reading'!C11</f>
        <v>11996</v>
      </c>
      <c r="F10" s="28">
        <f>'Daily Meter Reading'!E11</f>
        <v>10130</v>
      </c>
      <c r="G10" s="27">
        <f>'Daily Meter Reading'!G11</f>
        <v>4692</v>
      </c>
      <c r="H10" s="29">
        <f>'Daily Meter Reading'!I11</f>
        <v>8903</v>
      </c>
      <c r="I10" s="28">
        <f>'Daily Meter Reading'!K11</f>
        <v>172</v>
      </c>
      <c r="J10" s="28">
        <f>'Daily Meter Reading'!M11</f>
        <v>93</v>
      </c>
      <c r="K10" s="28">
        <f>'Daily Meter Reading'!O11</f>
        <v>169</v>
      </c>
      <c r="L10" s="28">
        <f>'Daily Meter Reading'!Q11</f>
        <v>441</v>
      </c>
      <c r="M10" s="35">
        <v>176</v>
      </c>
    </row>
    <row r="11" spans="1:13" x14ac:dyDescent="0.25">
      <c r="A11" t="s">
        <v>24</v>
      </c>
      <c r="B11">
        <v>10</v>
      </c>
      <c r="C11" s="26">
        <v>2</v>
      </c>
      <c r="D11" s="26">
        <v>2023</v>
      </c>
      <c r="E11" s="27">
        <f>'Daily Meter Reading'!C12</f>
        <v>12020</v>
      </c>
      <c r="F11" s="28">
        <f>'Daily Meter Reading'!E12</f>
        <v>9473</v>
      </c>
      <c r="G11" s="27">
        <f>'Daily Meter Reading'!G12</f>
        <v>4627</v>
      </c>
      <c r="H11" s="29">
        <f>'Daily Meter Reading'!I12</f>
        <v>8623</v>
      </c>
      <c r="I11" s="28">
        <f>'Daily Meter Reading'!K12</f>
        <v>236</v>
      </c>
      <c r="J11" s="28">
        <f>'Daily Meter Reading'!M12</f>
        <v>4</v>
      </c>
      <c r="K11" s="28">
        <f>'Daily Meter Reading'!O12</f>
        <v>156</v>
      </c>
      <c r="L11" s="28">
        <f>'Daily Meter Reading'!Q12</f>
        <v>419</v>
      </c>
      <c r="M11" s="35">
        <v>138</v>
      </c>
    </row>
    <row r="12" spans="1:13" x14ac:dyDescent="0.25">
      <c r="A12" t="s">
        <v>24</v>
      </c>
      <c r="B12">
        <v>11</v>
      </c>
      <c r="C12" s="26">
        <v>2</v>
      </c>
      <c r="D12" s="26">
        <v>2023</v>
      </c>
      <c r="E12" s="27">
        <f>'Daily Meter Reading'!C13</f>
        <v>11765</v>
      </c>
      <c r="F12" s="28">
        <f>'Daily Meter Reading'!E13</f>
        <v>9075</v>
      </c>
      <c r="G12" s="27">
        <f>'Daily Meter Reading'!G13</f>
        <v>4122</v>
      </c>
      <c r="H12" s="29">
        <f>'Daily Meter Reading'!I13</f>
        <v>8209</v>
      </c>
      <c r="I12" s="28">
        <f>'Daily Meter Reading'!K13</f>
        <v>207</v>
      </c>
      <c r="J12" s="28">
        <f>'Daily Meter Reading'!M13</f>
        <v>19</v>
      </c>
      <c r="K12" s="28">
        <f>'Daily Meter Reading'!O13</f>
        <v>197</v>
      </c>
      <c r="L12" s="28">
        <f>'Daily Meter Reading'!Q13</f>
        <v>449</v>
      </c>
      <c r="M12" s="35">
        <v>137</v>
      </c>
    </row>
    <row r="13" spans="1:13" x14ac:dyDescent="0.25">
      <c r="A13" t="s">
        <v>24</v>
      </c>
      <c r="B13">
        <v>12</v>
      </c>
      <c r="C13" s="26">
        <v>2</v>
      </c>
      <c r="D13" s="26">
        <v>2023</v>
      </c>
      <c r="E13" s="27">
        <f>'Daily Meter Reading'!C14</f>
        <v>11904</v>
      </c>
      <c r="F13" s="28">
        <f>'Daily Meter Reading'!E14</f>
        <v>9129</v>
      </c>
      <c r="G13" s="27">
        <f>'Daily Meter Reading'!G14</f>
        <v>4354</v>
      </c>
      <c r="H13" s="29">
        <f>'Daily Meter Reading'!I14</f>
        <v>8031</v>
      </c>
      <c r="I13" s="28">
        <f>'Daily Meter Reading'!K14</f>
        <v>220</v>
      </c>
      <c r="J13" s="28">
        <f>'Daily Meter Reading'!M14</f>
        <v>1</v>
      </c>
      <c r="K13" s="28">
        <f>'Daily Meter Reading'!O14</f>
        <v>133</v>
      </c>
      <c r="L13" s="28">
        <f>'Daily Meter Reading'!Q14</f>
        <v>322</v>
      </c>
      <c r="M13" s="35">
        <v>111</v>
      </c>
    </row>
    <row r="14" spans="1:13" x14ac:dyDescent="0.25">
      <c r="A14" t="s">
        <v>24</v>
      </c>
      <c r="B14">
        <v>13</v>
      </c>
      <c r="C14" s="26">
        <v>2</v>
      </c>
      <c r="D14" s="26">
        <v>2023</v>
      </c>
      <c r="E14" s="27">
        <f>'Daily Meter Reading'!C15</f>
        <v>11418</v>
      </c>
      <c r="F14" s="28">
        <f>'Daily Meter Reading'!E15</f>
        <v>8826</v>
      </c>
      <c r="G14" s="27">
        <f>'Daily Meter Reading'!G15</f>
        <v>5578</v>
      </c>
      <c r="H14" s="29">
        <f>'Daily Meter Reading'!I15</f>
        <v>5979</v>
      </c>
      <c r="I14" s="28">
        <f>'Daily Meter Reading'!K15</f>
        <v>194</v>
      </c>
      <c r="J14" s="28">
        <f>'Daily Meter Reading'!M15</f>
        <v>1</v>
      </c>
      <c r="K14" s="28">
        <f>'Daily Meter Reading'!O15</f>
        <v>200</v>
      </c>
      <c r="L14" s="28">
        <f>'Daily Meter Reading'!Q15</f>
        <v>391</v>
      </c>
      <c r="M14" s="35">
        <v>119</v>
      </c>
    </row>
    <row r="15" spans="1:13" x14ac:dyDescent="0.25">
      <c r="A15" t="s">
        <v>24</v>
      </c>
      <c r="B15">
        <v>14</v>
      </c>
      <c r="C15" s="26">
        <v>2</v>
      </c>
      <c r="D15" s="26">
        <v>2023</v>
      </c>
      <c r="E15" s="27">
        <f>'Daily Meter Reading'!C16</f>
        <v>11528</v>
      </c>
      <c r="F15" s="28">
        <f>'Daily Meter Reading'!E16</f>
        <v>9361</v>
      </c>
      <c r="G15" s="27">
        <f>'Daily Meter Reading'!G16</f>
        <v>6077</v>
      </c>
      <c r="H15" s="29">
        <f>'Daily Meter Reading'!I16</f>
        <v>6210</v>
      </c>
      <c r="I15" s="28">
        <f>'Daily Meter Reading'!K16</f>
        <v>223</v>
      </c>
      <c r="J15" s="28">
        <f>'Daily Meter Reading'!M16</f>
        <v>46</v>
      </c>
      <c r="K15" s="28">
        <f>'Daily Meter Reading'!O16</f>
        <v>201</v>
      </c>
      <c r="L15" s="28">
        <f>'Daily Meter Reading'!Q16</f>
        <v>315</v>
      </c>
      <c r="M15" s="35">
        <v>203</v>
      </c>
    </row>
    <row r="16" spans="1:13" x14ac:dyDescent="0.25">
      <c r="A16" t="s">
        <v>24</v>
      </c>
      <c r="B16">
        <v>15</v>
      </c>
      <c r="C16" s="26">
        <v>2</v>
      </c>
      <c r="D16" s="26">
        <v>2023</v>
      </c>
      <c r="E16" s="27">
        <f>'Daily Meter Reading'!C17</f>
        <v>11763</v>
      </c>
      <c r="F16" s="28">
        <f>'Daily Meter Reading'!E17</f>
        <v>9461</v>
      </c>
      <c r="G16" s="27">
        <f>'Daily Meter Reading'!G17</f>
        <v>6009</v>
      </c>
      <c r="H16" s="29">
        <f>'Daily Meter Reading'!I17</f>
        <v>6295</v>
      </c>
      <c r="I16" s="28">
        <f>'Daily Meter Reading'!K17</f>
        <v>210</v>
      </c>
      <c r="J16" s="28">
        <f>'Daily Meter Reading'!M17</f>
        <v>9</v>
      </c>
      <c r="K16" s="28">
        <f>'Daily Meter Reading'!O17</f>
        <v>238</v>
      </c>
      <c r="L16" s="28">
        <f>'Daily Meter Reading'!Q17</f>
        <v>267</v>
      </c>
      <c r="M16" s="35">
        <v>195</v>
      </c>
    </row>
    <row r="17" spans="1:13" x14ac:dyDescent="0.25">
      <c r="A17" t="s">
        <v>24</v>
      </c>
      <c r="B17">
        <v>16</v>
      </c>
      <c r="C17" s="26">
        <v>2</v>
      </c>
      <c r="D17" s="26">
        <v>2023</v>
      </c>
      <c r="E17" s="27">
        <f>'Daily Meter Reading'!C18</f>
        <v>11970</v>
      </c>
      <c r="F17" s="28">
        <f>'Daily Meter Reading'!E18</f>
        <v>10178</v>
      </c>
      <c r="G17" s="27">
        <f>'Daily Meter Reading'!G18</f>
        <v>5720</v>
      </c>
      <c r="H17" s="29">
        <f>'Daily Meter Reading'!I18</f>
        <v>6419</v>
      </c>
      <c r="I17" s="28">
        <f>'Daily Meter Reading'!K18</f>
        <v>194</v>
      </c>
      <c r="J17" s="28">
        <f>'Daily Meter Reading'!M18</f>
        <v>50</v>
      </c>
      <c r="K17" s="28">
        <f>'Daily Meter Reading'!O18</f>
        <v>170</v>
      </c>
      <c r="L17" s="28">
        <f>'Daily Meter Reading'!Q18</f>
        <v>339</v>
      </c>
      <c r="M17" s="35">
        <v>185</v>
      </c>
    </row>
    <row r="18" spans="1:13" x14ac:dyDescent="0.25">
      <c r="A18" t="s">
        <v>24</v>
      </c>
      <c r="B18">
        <v>17</v>
      </c>
      <c r="C18" s="26">
        <v>2</v>
      </c>
      <c r="D18" s="26">
        <v>2023</v>
      </c>
      <c r="E18" s="27">
        <f>'Daily Meter Reading'!C19</f>
        <v>11902</v>
      </c>
      <c r="F18" s="28">
        <f>'Daily Meter Reading'!E19</f>
        <v>9219</v>
      </c>
      <c r="G18" s="27">
        <f>'Daily Meter Reading'!G19</f>
        <v>5479</v>
      </c>
      <c r="H18" s="29">
        <f>'Daily Meter Reading'!I19</f>
        <v>6518</v>
      </c>
      <c r="I18" s="28">
        <f>'Daily Meter Reading'!K19</f>
        <v>224</v>
      </c>
      <c r="J18" s="28">
        <f>'Daily Meter Reading'!M19</f>
        <v>17</v>
      </c>
      <c r="K18" s="28">
        <f>'Daily Meter Reading'!O19</f>
        <v>155</v>
      </c>
      <c r="L18" s="28">
        <f>'Daily Meter Reading'!Q19</f>
        <v>373</v>
      </c>
      <c r="M18" s="35">
        <v>180</v>
      </c>
    </row>
    <row r="19" spans="1:13" x14ac:dyDescent="0.25">
      <c r="A19" t="s">
        <v>24</v>
      </c>
      <c r="B19">
        <v>18</v>
      </c>
      <c r="C19" s="26">
        <v>2</v>
      </c>
      <c r="D19" s="26">
        <v>2023</v>
      </c>
      <c r="E19" s="27">
        <f>'Daily Meter Reading'!C20</f>
        <v>12509</v>
      </c>
      <c r="F19" s="28">
        <f>'Daily Meter Reading'!E20</f>
        <v>9664</v>
      </c>
      <c r="G19" s="27">
        <f>'Daily Meter Reading'!G20</f>
        <v>5531</v>
      </c>
      <c r="H19" s="29">
        <f>'Daily Meter Reading'!I20</f>
        <v>7095</v>
      </c>
      <c r="I19" s="28">
        <f>'Daily Meter Reading'!K20</f>
        <v>194</v>
      </c>
      <c r="J19" s="28">
        <f>'Daily Meter Reading'!M20</f>
        <v>39</v>
      </c>
      <c r="K19" s="28">
        <f>'Daily Meter Reading'!O20</f>
        <v>190</v>
      </c>
      <c r="L19" s="28">
        <f>'Daily Meter Reading'!Q20</f>
        <v>227</v>
      </c>
      <c r="M19" s="35">
        <v>144</v>
      </c>
    </row>
    <row r="20" spans="1:13" x14ac:dyDescent="0.25">
      <c r="A20" t="s">
        <v>24</v>
      </c>
      <c r="B20">
        <v>19</v>
      </c>
      <c r="C20" s="26">
        <v>2</v>
      </c>
      <c r="D20" s="26">
        <v>2023</v>
      </c>
      <c r="E20" s="27">
        <f>'Daily Meter Reading'!C21</f>
        <v>11969</v>
      </c>
      <c r="F20" s="28">
        <f>'Daily Meter Reading'!E21</f>
        <v>9242</v>
      </c>
      <c r="G20" s="27">
        <f>'Daily Meter Reading'!G21</f>
        <v>5694</v>
      </c>
      <c r="H20" s="29">
        <f>'Daily Meter Reading'!I21</f>
        <v>6773</v>
      </c>
      <c r="I20" s="28">
        <f>'Daily Meter Reading'!K21</f>
        <v>201</v>
      </c>
      <c r="J20" s="28">
        <f>'Daily Meter Reading'!M21</f>
        <v>18</v>
      </c>
      <c r="K20" s="28">
        <f>'Daily Meter Reading'!O21</f>
        <v>134</v>
      </c>
      <c r="L20" s="28">
        <f>'Daily Meter Reading'!Q21</f>
        <v>402</v>
      </c>
      <c r="M20" s="35">
        <v>170</v>
      </c>
    </row>
    <row r="21" spans="1:13" x14ac:dyDescent="0.25">
      <c r="A21" t="s">
        <v>24</v>
      </c>
      <c r="B21">
        <v>20</v>
      </c>
      <c r="C21" s="26">
        <v>2</v>
      </c>
      <c r="D21" s="26">
        <v>2023</v>
      </c>
      <c r="E21" s="27">
        <f>'Daily Meter Reading'!C22</f>
        <v>12138</v>
      </c>
      <c r="F21" s="28">
        <f>'Daily Meter Reading'!E22</f>
        <v>9387</v>
      </c>
      <c r="G21" s="27">
        <f>'Daily Meter Reading'!G22</f>
        <v>5687</v>
      </c>
      <c r="H21" s="29">
        <f>'Daily Meter Reading'!I22</f>
        <v>7007</v>
      </c>
      <c r="I21" s="28">
        <f>'Daily Meter Reading'!K22</f>
        <v>179</v>
      </c>
      <c r="J21" s="28">
        <f>'Daily Meter Reading'!M22</f>
        <v>13</v>
      </c>
      <c r="K21" s="28">
        <f>'Daily Meter Reading'!O22</f>
        <v>185</v>
      </c>
      <c r="L21" s="28">
        <f>'Daily Meter Reading'!Q22</f>
        <v>345</v>
      </c>
      <c r="M21" s="35">
        <v>159</v>
      </c>
    </row>
    <row r="22" spans="1:13" x14ac:dyDescent="0.25">
      <c r="A22" t="s">
        <v>24</v>
      </c>
      <c r="B22">
        <v>21</v>
      </c>
      <c r="C22" s="26">
        <v>2</v>
      </c>
      <c r="D22" s="26">
        <v>2023</v>
      </c>
      <c r="E22" s="27">
        <f>'Daily Meter Reading'!C23</f>
        <v>11934</v>
      </c>
      <c r="F22" s="28">
        <f>'Daily Meter Reading'!E23</f>
        <v>9593</v>
      </c>
      <c r="G22" s="27">
        <f>'Daily Meter Reading'!G23</f>
        <v>5092</v>
      </c>
      <c r="H22" s="29">
        <f>'Daily Meter Reading'!I23</f>
        <v>7533</v>
      </c>
      <c r="I22" s="28">
        <f>'Daily Meter Reading'!K23</f>
        <v>184</v>
      </c>
      <c r="J22" s="28">
        <f>'Daily Meter Reading'!M23</f>
        <v>17</v>
      </c>
      <c r="K22" s="28">
        <f>'Daily Meter Reading'!O23</f>
        <v>161</v>
      </c>
      <c r="L22" s="28">
        <f>'Daily Meter Reading'!Q23</f>
        <v>393</v>
      </c>
      <c r="M22" s="35">
        <v>169</v>
      </c>
    </row>
    <row r="23" spans="1:13" x14ac:dyDescent="0.25">
      <c r="A23" t="s">
        <v>24</v>
      </c>
      <c r="B23">
        <v>22</v>
      </c>
      <c r="C23" s="26">
        <v>2</v>
      </c>
      <c r="D23" s="26">
        <v>2023</v>
      </c>
      <c r="E23" s="27">
        <f>'Daily Meter Reading'!C24</f>
        <v>12036</v>
      </c>
      <c r="F23" s="28">
        <f>'Daily Meter Reading'!E24</f>
        <v>10574</v>
      </c>
      <c r="G23" s="27">
        <f>'Daily Meter Reading'!G24</f>
        <v>9328</v>
      </c>
      <c r="H23" s="29">
        <f>'Daily Meter Reading'!I24</f>
        <v>3691</v>
      </c>
      <c r="I23" s="28">
        <f>'Daily Meter Reading'!K24</f>
        <v>216</v>
      </c>
      <c r="J23" s="28">
        <f>'Daily Meter Reading'!M24</f>
        <v>45</v>
      </c>
      <c r="K23" s="28">
        <f>'Daily Meter Reading'!O24</f>
        <v>176</v>
      </c>
      <c r="L23" s="28">
        <f>'Daily Meter Reading'!Q24</f>
        <v>279</v>
      </c>
      <c r="M23" s="35">
        <v>194</v>
      </c>
    </row>
    <row r="24" spans="1:13" x14ac:dyDescent="0.25">
      <c r="A24" t="s">
        <v>24</v>
      </c>
      <c r="B24">
        <v>23</v>
      </c>
      <c r="C24" s="26">
        <v>2</v>
      </c>
      <c r="D24" s="26">
        <v>2023</v>
      </c>
      <c r="E24" s="27">
        <f>'Daily Meter Reading'!C25</f>
        <v>11272</v>
      </c>
      <c r="F24" s="28">
        <f>'Daily Meter Reading'!E25</f>
        <v>9343</v>
      </c>
      <c r="G24" s="27">
        <f>'Daily Meter Reading'!G25</f>
        <v>9647</v>
      </c>
      <c r="H24" s="29">
        <f>'Daily Meter Reading'!I25</f>
        <v>3138</v>
      </c>
      <c r="I24" s="28">
        <f>'Daily Meter Reading'!K25</f>
        <v>196</v>
      </c>
      <c r="J24" s="28">
        <f>'Daily Meter Reading'!M25</f>
        <v>18</v>
      </c>
      <c r="K24" s="28">
        <f>'Daily Meter Reading'!O25</f>
        <v>188</v>
      </c>
      <c r="L24" s="28">
        <f>'Daily Meter Reading'!Q25</f>
        <v>310</v>
      </c>
      <c r="M24" s="35">
        <v>201</v>
      </c>
    </row>
    <row r="25" spans="1:13" x14ac:dyDescent="0.25">
      <c r="A25" t="s">
        <v>24</v>
      </c>
      <c r="B25">
        <v>24</v>
      </c>
      <c r="C25" s="26">
        <v>2</v>
      </c>
      <c r="D25" s="26">
        <v>2023</v>
      </c>
      <c r="E25" s="27">
        <f>'Daily Meter Reading'!C26</f>
        <v>11903</v>
      </c>
      <c r="F25" s="28">
        <f>'Daily Meter Reading'!E26</f>
        <v>9201</v>
      </c>
      <c r="G25" s="27">
        <f>'Daily Meter Reading'!G26</f>
        <v>9097</v>
      </c>
      <c r="H25" s="29">
        <f>'Daily Meter Reading'!I26</f>
        <v>3470</v>
      </c>
      <c r="I25" s="28">
        <f>'Daily Meter Reading'!K26</f>
        <v>183</v>
      </c>
      <c r="J25" s="28">
        <f>'Daily Meter Reading'!M26</f>
        <v>26</v>
      </c>
      <c r="K25" s="28">
        <f>'Daily Meter Reading'!O26</f>
        <v>199</v>
      </c>
      <c r="L25" s="28">
        <f>'Daily Meter Reading'!Q26</f>
        <v>413</v>
      </c>
      <c r="M25" s="35">
        <v>212</v>
      </c>
    </row>
    <row r="26" spans="1:13" x14ac:dyDescent="0.25">
      <c r="A26" t="s">
        <v>24</v>
      </c>
      <c r="B26">
        <v>25</v>
      </c>
      <c r="C26" s="26">
        <v>2</v>
      </c>
      <c r="D26" s="26">
        <v>2023</v>
      </c>
      <c r="E26" s="27">
        <f>'Daily Meter Reading'!C27</f>
        <v>12220</v>
      </c>
      <c r="F26" s="28">
        <f>'Daily Meter Reading'!E27</f>
        <v>9117</v>
      </c>
      <c r="G26" s="27">
        <f>'Daily Meter Reading'!G27</f>
        <v>9504</v>
      </c>
      <c r="H26" s="29">
        <f>'Daily Meter Reading'!I27</f>
        <v>2954</v>
      </c>
      <c r="I26" s="28">
        <f>'Daily Meter Reading'!K27</f>
        <v>195</v>
      </c>
      <c r="J26" s="28">
        <f>'Daily Meter Reading'!M27</f>
        <v>53</v>
      </c>
      <c r="K26" s="28">
        <f>'Daily Meter Reading'!O27</f>
        <v>221</v>
      </c>
      <c r="L26" s="28">
        <f>'Daily Meter Reading'!Q27</f>
        <v>344</v>
      </c>
      <c r="M26" s="35">
        <v>209</v>
      </c>
    </row>
    <row r="27" spans="1:13" x14ac:dyDescent="0.25">
      <c r="A27" t="s">
        <v>24</v>
      </c>
      <c r="B27">
        <v>26</v>
      </c>
      <c r="C27" s="26">
        <v>2</v>
      </c>
      <c r="D27" s="26">
        <v>2023</v>
      </c>
      <c r="E27" s="27">
        <f>'Daily Meter Reading'!C28</f>
        <v>11515</v>
      </c>
      <c r="F27" s="28">
        <f>'Daily Meter Reading'!E28</f>
        <v>8441</v>
      </c>
      <c r="G27" s="27">
        <f>'Daily Meter Reading'!G28</f>
        <v>9187</v>
      </c>
      <c r="H27" s="29">
        <f>'Daily Meter Reading'!I28</f>
        <v>2296</v>
      </c>
      <c r="I27" s="28">
        <f>'Daily Meter Reading'!K28</f>
        <v>190</v>
      </c>
      <c r="J27" s="28">
        <f>'Daily Meter Reading'!M28</f>
        <v>1</v>
      </c>
      <c r="K27" s="28">
        <f>'Daily Meter Reading'!O28</f>
        <v>139</v>
      </c>
      <c r="L27" s="28">
        <f>'Daily Meter Reading'!Q28</f>
        <v>302</v>
      </c>
      <c r="M27" s="35">
        <v>141</v>
      </c>
    </row>
    <row r="28" spans="1:13" x14ac:dyDescent="0.25">
      <c r="A28" t="s">
        <v>24</v>
      </c>
      <c r="B28">
        <v>27</v>
      </c>
      <c r="C28" s="26">
        <v>2</v>
      </c>
      <c r="D28" s="26">
        <v>2023</v>
      </c>
      <c r="E28" s="27">
        <f>'Daily Meter Reading'!C29</f>
        <v>12274</v>
      </c>
      <c r="F28" s="28">
        <f>'Daily Meter Reading'!E29</f>
        <v>9580</v>
      </c>
      <c r="G28" s="27">
        <f>'Daily Meter Reading'!G29</f>
        <v>6274</v>
      </c>
      <c r="H28" s="29">
        <f>'Daily Meter Reading'!I29</f>
        <v>6525</v>
      </c>
      <c r="I28" s="28">
        <f>'Daily Meter Reading'!K29</f>
        <v>198</v>
      </c>
      <c r="J28" s="28">
        <f>'Daily Meter Reading'!M29</f>
        <v>35</v>
      </c>
      <c r="K28" s="28">
        <f>'Daily Meter Reading'!O29</f>
        <v>176</v>
      </c>
      <c r="L28" s="28">
        <f>'Daily Meter Reading'!Q29</f>
        <v>298</v>
      </c>
      <c r="M28" s="35">
        <v>146</v>
      </c>
    </row>
    <row r="29" spans="1:13" x14ac:dyDescent="0.25">
      <c r="A29" t="s">
        <v>24</v>
      </c>
      <c r="B29">
        <v>28</v>
      </c>
      <c r="C29" s="26">
        <v>2</v>
      </c>
      <c r="D29" s="26">
        <v>2023</v>
      </c>
      <c r="E29" s="27">
        <f>'Daily Meter Reading'!C30</f>
        <v>11799</v>
      </c>
      <c r="F29" s="28">
        <f>'Daily Meter Reading'!E30</f>
        <v>9352</v>
      </c>
      <c r="G29" s="27">
        <f>'Daily Meter Reading'!G30</f>
        <v>6397</v>
      </c>
      <c r="H29" s="29">
        <f>'Daily Meter Reading'!I30</f>
        <v>6502</v>
      </c>
      <c r="I29" s="28">
        <f>'Daily Meter Reading'!K30</f>
        <v>192</v>
      </c>
      <c r="J29" s="28">
        <f>'Daily Meter Reading'!M30</f>
        <v>49</v>
      </c>
      <c r="K29" s="28">
        <f>'Daily Meter Reading'!O30</f>
        <v>234</v>
      </c>
      <c r="L29" s="28">
        <f>'Daily Meter Reading'!Q30</f>
        <v>313</v>
      </c>
      <c r="M29" s="35">
        <v>180</v>
      </c>
    </row>
    <row r="30" spans="1:13" x14ac:dyDescent="0.25">
      <c r="C30" s="26"/>
      <c r="D30" s="26"/>
      <c r="E30" s="27"/>
      <c r="F30" s="28"/>
      <c r="G30" s="27"/>
      <c r="H30" s="29"/>
      <c r="I30" s="28"/>
      <c r="J30" s="28"/>
      <c r="K30" s="28"/>
      <c r="L30" s="28"/>
      <c r="M30" s="35"/>
    </row>
    <row r="31" spans="1:13" x14ac:dyDescent="0.25">
      <c r="C31" s="26"/>
      <c r="D31" s="26"/>
      <c r="E31" s="27"/>
      <c r="F31" s="28"/>
      <c r="G31" s="27"/>
      <c r="H31" s="29"/>
      <c r="I31" s="28"/>
      <c r="J31" s="28"/>
      <c r="K31" s="28"/>
      <c r="L31" s="28"/>
      <c r="M31" s="35"/>
    </row>
    <row r="32" spans="1:13" x14ac:dyDescent="0.25">
      <c r="C32" s="26"/>
      <c r="D32" s="26"/>
      <c r="E32" s="27"/>
      <c r="F32" s="28"/>
      <c r="G32" s="27"/>
      <c r="H32" s="29"/>
      <c r="I32" s="28"/>
      <c r="J32" s="28"/>
      <c r="K32" s="28"/>
      <c r="L32" s="28"/>
      <c r="M32" s="35"/>
    </row>
    <row r="33" spans="5:13" x14ac:dyDescent="0.25">
      <c r="E33" s="26"/>
      <c r="G33" s="27"/>
      <c r="H33" s="30"/>
      <c r="M33" s="28"/>
    </row>
    <row r="34" spans="5:13" x14ac:dyDescent="0.25">
      <c r="M3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70" zoomScaleNormal="70" workbookViewId="0">
      <selection activeCell="M40" sqref="M40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8" t="s">
        <v>0</v>
      </c>
      <c r="C1" s="39"/>
      <c r="D1" s="40" t="s">
        <v>1</v>
      </c>
      <c r="E1" s="41"/>
      <c r="F1" s="40" t="s">
        <v>2</v>
      </c>
      <c r="G1" s="41"/>
      <c r="H1" s="38" t="s">
        <v>3</v>
      </c>
      <c r="I1" s="39"/>
      <c r="J1" s="36" t="s">
        <v>4</v>
      </c>
      <c r="K1" s="37"/>
      <c r="L1" s="36" t="s">
        <v>5</v>
      </c>
      <c r="M1" s="37"/>
      <c r="N1" s="36" t="s">
        <v>6</v>
      </c>
      <c r="O1" s="37"/>
      <c r="P1" s="38" t="s">
        <v>7</v>
      </c>
      <c r="Q1" s="39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0">
        <v>5279389</v>
      </c>
      <c r="C3" s="11">
        <f t="shared" ref="C3:C33" si="0">B4-B3</f>
        <v>11941</v>
      </c>
      <c r="D3" s="10">
        <v>8060713</v>
      </c>
      <c r="E3" s="11">
        <f t="shared" ref="E3:E33" si="1">D4-D3</f>
        <v>9322</v>
      </c>
      <c r="F3" s="10">
        <v>4288900</v>
      </c>
      <c r="G3" s="11">
        <f t="shared" ref="G3:G33" si="2">F4-F3</f>
        <v>6006</v>
      </c>
      <c r="H3" s="10">
        <v>8044739</v>
      </c>
      <c r="I3" s="11">
        <f t="shared" ref="I3:I33" si="3">H4-H3</f>
        <v>6582</v>
      </c>
      <c r="J3" s="10">
        <v>171246</v>
      </c>
      <c r="K3" s="12">
        <f>J4-J3</f>
        <v>197</v>
      </c>
      <c r="L3" s="13">
        <v>25388</v>
      </c>
      <c r="M3" s="12">
        <f>L4-L3</f>
        <v>11</v>
      </c>
      <c r="N3" s="13">
        <v>221980</v>
      </c>
      <c r="O3" s="12">
        <f>N4-N3</f>
        <v>159</v>
      </c>
      <c r="P3" s="10">
        <v>532210</v>
      </c>
      <c r="Q3" s="14">
        <f>P4-P3</f>
        <v>309</v>
      </c>
    </row>
    <row r="4" spans="1:17" ht="18" x14ac:dyDescent="0.25">
      <c r="A4" s="9">
        <v>2</v>
      </c>
      <c r="B4" s="10">
        <v>5291330</v>
      </c>
      <c r="C4" s="11">
        <f t="shared" si="0"/>
        <v>11945</v>
      </c>
      <c r="D4" s="10">
        <v>8070035</v>
      </c>
      <c r="E4" s="11">
        <f t="shared" si="1"/>
        <v>9685</v>
      </c>
      <c r="F4" s="10">
        <v>4294906</v>
      </c>
      <c r="G4" s="11">
        <f t="shared" si="2"/>
        <v>6309</v>
      </c>
      <c r="H4" s="10">
        <v>8051321</v>
      </c>
      <c r="I4" s="11">
        <f t="shared" si="3"/>
        <v>6800</v>
      </c>
      <c r="J4" s="10">
        <v>171443</v>
      </c>
      <c r="K4" s="12">
        <f>J5-J4</f>
        <v>193</v>
      </c>
      <c r="L4" s="13">
        <v>25399</v>
      </c>
      <c r="M4" s="12">
        <f t="shared" ref="M4:M31" si="4">L5-L4</f>
        <v>16</v>
      </c>
      <c r="N4" s="13">
        <v>222139</v>
      </c>
      <c r="O4" s="12">
        <f t="shared" ref="O4:O31" si="5">N5-N4</f>
        <v>190</v>
      </c>
      <c r="P4" s="10">
        <v>532519</v>
      </c>
      <c r="Q4" s="14">
        <f t="shared" ref="Q4:Q31" si="6">P5-P4</f>
        <v>306</v>
      </c>
    </row>
    <row r="5" spans="1:17" ht="18" x14ac:dyDescent="0.25">
      <c r="A5" s="9">
        <v>3</v>
      </c>
      <c r="B5" s="10">
        <v>5303275</v>
      </c>
      <c r="C5" s="11">
        <f t="shared" si="0"/>
        <v>12209</v>
      </c>
      <c r="D5" s="10">
        <v>8079720</v>
      </c>
      <c r="E5" s="11">
        <f t="shared" si="1"/>
        <v>10136</v>
      </c>
      <c r="F5" s="10">
        <v>4301215</v>
      </c>
      <c r="G5" s="11">
        <f t="shared" si="2"/>
        <v>6167</v>
      </c>
      <c r="H5" s="10">
        <v>8058121</v>
      </c>
      <c r="I5" s="11">
        <f t="shared" si="3"/>
        <v>6862</v>
      </c>
      <c r="J5" s="10">
        <v>171636</v>
      </c>
      <c r="K5" s="12">
        <f>J6-J5</f>
        <v>193</v>
      </c>
      <c r="L5" s="13">
        <v>25415</v>
      </c>
      <c r="M5" s="12">
        <f t="shared" si="4"/>
        <v>49</v>
      </c>
      <c r="N5" s="13">
        <v>222329</v>
      </c>
      <c r="O5" s="12">
        <f t="shared" si="5"/>
        <v>181</v>
      </c>
      <c r="P5" s="10">
        <v>532825</v>
      </c>
      <c r="Q5" s="14">
        <f t="shared" si="6"/>
        <v>283</v>
      </c>
    </row>
    <row r="6" spans="1:17" ht="18" x14ac:dyDescent="0.25">
      <c r="A6" s="9">
        <v>4</v>
      </c>
      <c r="B6" s="10">
        <v>5315484</v>
      </c>
      <c r="C6" s="11">
        <f t="shared" si="0"/>
        <v>11614</v>
      </c>
      <c r="D6" s="10">
        <v>8089856</v>
      </c>
      <c r="E6" s="11">
        <f t="shared" si="1"/>
        <v>9132</v>
      </c>
      <c r="F6" s="10">
        <v>4307382</v>
      </c>
      <c r="G6" s="11">
        <f t="shared" si="2"/>
        <v>5629</v>
      </c>
      <c r="H6" s="10">
        <v>8064983</v>
      </c>
      <c r="I6" s="11">
        <f t="shared" si="3"/>
        <v>6717</v>
      </c>
      <c r="J6" s="10">
        <v>171829</v>
      </c>
      <c r="K6" s="12">
        <f>J7-J6</f>
        <v>201</v>
      </c>
      <c r="L6" s="13">
        <v>25464</v>
      </c>
      <c r="M6" s="12">
        <f t="shared" si="4"/>
        <v>9</v>
      </c>
      <c r="N6" s="13">
        <v>222510</v>
      </c>
      <c r="O6" s="12">
        <f t="shared" si="5"/>
        <v>107</v>
      </c>
      <c r="P6" s="10">
        <v>533108</v>
      </c>
      <c r="Q6" s="14">
        <f t="shared" si="6"/>
        <v>290</v>
      </c>
    </row>
    <row r="7" spans="1:17" ht="18" x14ac:dyDescent="0.25">
      <c r="A7" s="15">
        <v>5</v>
      </c>
      <c r="B7" s="10">
        <v>5327098</v>
      </c>
      <c r="C7" s="11">
        <f t="shared" si="0"/>
        <v>11974</v>
      </c>
      <c r="D7" s="10">
        <v>8098988</v>
      </c>
      <c r="E7" s="11">
        <f t="shared" si="1"/>
        <v>8995</v>
      </c>
      <c r="F7" s="10">
        <v>4313011</v>
      </c>
      <c r="G7" s="11">
        <f t="shared" si="2"/>
        <v>5780</v>
      </c>
      <c r="H7" s="10">
        <v>8071700</v>
      </c>
      <c r="I7" s="11">
        <f t="shared" si="3"/>
        <v>6822</v>
      </c>
      <c r="J7" s="10">
        <v>172030</v>
      </c>
      <c r="K7" s="12">
        <f t="shared" ref="K7:K20" si="7">SUM(J8-J7)</f>
        <v>218</v>
      </c>
      <c r="L7" s="13">
        <v>25473</v>
      </c>
      <c r="M7" s="12">
        <f t="shared" si="4"/>
        <v>7</v>
      </c>
      <c r="N7" s="13">
        <v>222617</v>
      </c>
      <c r="O7" s="12">
        <f t="shared" si="5"/>
        <v>189</v>
      </c>
      <c r="P7" s="10">
        <v>533398</v>
      </c>
      <c r="Q7" s="14">
        <f t="shared" si="6"/>
        <v>303</v>
      </c>
    </row>
    <row r="8" spans="1:17" ht="18" x14ac:dyDescent="0.25">
      <c r="A8" s="15">
        <v>6</v>
      </c>
      <c r="B8" s="10">
        <v>5339072</v>
      </c>
      <c r="C8" s="11">
        <f t="shared" si="0"/>
        <v>11708</v>
      </c>
      <c r="D8" s="10">
        <v>8107983</v>
      </c>
      <c r="E8" s="11">
        <f t="shared" si="1"/>
        <v>8930</v>
      </c>
      <c r="F8" s="10">
        <v>4318791</v>
      </c>
      <c r="G8" s="11">
        <f t="shared" si="2"/>
        <v>3785</v>
      </c>
      <c r="H8" s="10">
        <v>8078522</v>
      </c>
      <c r="I8" s="11">
        <f t="shared" si="3"/>
        <v>7808</v>
      </c>
      <c r="J8" s="10">
        <v>172248</v>
      </c>
      <c r="K8" s="12">
        <f t="shared" si="7"/>
        <v>185</v>
      </c>
      <c r="L8" s="13">
        <v>25480</v>
      </c>
      <c r="M8" s="12">
        <f t="shared" si="4"/>
        <v>4</v>
      </c>
      <c r="N8" s="13">
        <v>222806</v>
      </c>
      <c r="O8" s="12">
        <f t="shared" si="5"/>
        <v>187</v>
      </c>
      <c r="P8" s="10">
        <v>533701</v>
      </c>
      <c r="Q8" s="14">
        <f t="shared" si="6"/>
        <v>355</v>
      </c>
    </row>
    <row r="9" spans="1:17" ht="18" x14ac:dyDescent="0.25">
      <c r="A9" s="15">
        <v>7</v>
      </c>
      <c r="B9" s="10">
        <v>5350780</v>
      </c>
      <c r="C9" s="11">
        <f t="shared" si="0"/>
        <v>11705</v>
      </c>
      <c r="D9" s="10">
        <v>8116913</v>
      </c>
      <c r="E9" s="11">
        <f t="shared" si="1"/>
        <v>9196</v>
      </c>
      <c r="F9" s="10">
        <v>4322576</v>
      </c>
      <c r="G9" s="11">
        <f t="shared" si="2"/>
        <v>4061</v>
      </c>
      <c r="H9" s="10">
        <v>8086330</v>
      </c>
      <c r="I9" s="11">
        <f t="shared" si="3"/>
        <v>8148</v>
      </c>
      <c r="J9" s="10">
        <v>172433</v>
      </c>
      <c r="K9" s="12">
        <f t="shared" si="7"/>
        <v>201</v>
      </c>
      <c r="L9" s="13">
        <v>25484</v>
      </c>
      <c r="M9" s="12">
        <f t="shared" si="4"/>
        <v>6</v>
      </c>
      <c r="N9" s="13">
        <v>222993</v>
      </c>
      <c r="O9" s="12">
        <f t="shared" si="5"/>
        <v>202</v>
      </c>
      <c r="P9" s="10">
        <v>534056</v>
      </c>
      <c r="Q9" s="14">
        <f t="shared" si="6"/>
        <v>364</v>
      </c>
    </row>
    <row r="10" spans="1:17" ht="18" x14ac:dyDescent="0.25">
      <c r="A10" s="15">
        <v>8</v>
      </c>
      <c r="B10" s="10">
        <v>5362485</v>
      </c>
      <c r="C10" s="11">
        <f t="shared" si="0"/>
        <v>11823</v>
      </c>
      <c r="D10" s="10">
        <v>8126109</v>
      </c>
      <c r="E10" s="11">
        <f t="shared" si="1"/>
        <v>9290</v>
      </c>
      <c r="F10" s="10">
        <v>4326637</v>
      </c>
      <c r="G10" s="11">
        <f t="shared" si="2"/>
        <v>4165</v>
      </c>
      <c r="H10" s="10">
        <v>8094478</v>
      </c>
      <c r="I10" s="11">
        <f t="shared" si="3"/>
        <v>8384</v>
      </c>
      <c r="J10" s="10">
        <v>172634</v>
      </c>
      <c r="K10" s="12">
        <f t="shared" si="7"/>
        <v>191</v>
      </c>
      <c r="L10" s="13">
        <v>25490</v>
      </c>
      <c r="M10" s="12">
        <f t="shared" si="4"/>
        <v>18</v>
      </c>
      <c r="N10" s="13">
        <v>223195</v>
      </c>
      <c r="O10" s="12">
        <f t="shared" si="5"/>
        <v>176</v>
      </c>
      <c r="P10" s="10">
        <v>534420</v>
      </c>
      <c r="Q10" s="14">
        <f t="shared" si="6"/>
        <v>350</v>
      </c>
    </row>
    <row r="11" spans="1:17" ht="18" x14ac:dyDescent="0.25">
      <c r="A11" s="15">
        <v>9</v>
      </c>
      <c r="B11" s="10">
        <v>5374308</v>
      </c>
      <c r="C11" s="11">
        <f t="shared" si="0"/>
        <v>11996</v>
      </c>
      <c r="D11" s="10">
        <v>8135399</v>
      </c>
      <c r="E11" s="11">
        <f t="shared" si="1"/>
        <v>10130</v>
      </c>
      <c r="F11" s="10">
        <v>4330802</v>
      </c>
      <c r="G11" s="11">
        <f t="shared" si="2"/>
        <v>4692</v>
      </c>
      <c r="H11" s="10">
        <v>8102862</v>
      </c>
      <c r="I11" s="11">
        <f t="shared" si="3"/>
        <v>8903</v>
      </c>
      <c r="J11" s="10">
        <v>172825</v>
      </c>
      <c r="K11" s="12">
        <f t="shared" si="7"/>
        <v>172</v>
      </c>
      <c r="L11" s="13">
        <v>25508</v>
      </c>
      <c r="M11" s="12">
        <f t="shared" si="4"/>
        <v>93</v>
      </c>
      <c r="N11" s="13">
        <v>223371</v>
      </c>
      <c r="O11" s="12">
        <f t="shared" si="5"/>
        <v>169</v>
      </c>
      <c r="P11" s="10">
        <v>534770</v>
      </c>
      <c r="Q11" s="14">
        <f t="shared" si="6"/>
        <v>441</v>
      </c>
    </row>
    <row r="12" spans="1:17" ht="18" x14ac:dyDescent="0.25">
      <c r="A12" s="16">
        <v>10</v>
      </c>
      <c r="B12" s="10">
        <v>5386304</v>
      </c>
      <c r="C12" s="11">
        <f t="shared" si="0"/>
        <v>12020</v>
      </c>
      <c r="D12" s="10">
        <v>8145529</v>
      </c>
      <c r="E12" s="11">
        <f t="shared" si="1"/>
        <v>9473</v>
      </c>
      <c r="F12" s="10">
        <v>4335494</v>
      </c>
      <c r="G12" s="11">
        <f t="shared" si="2"/>
        <v>4627</v>
      </c>
      <c r="H12" s="10">
        <v>8111765</v>
      </c>
      <c r="I12" s="11">
        <f t="shared" si="3"/>
        <v>8623</v>
      </c>
      <c r="J12" s="10">
        <v>172997</v>
      </c>
      <c r="K12" s="12">
        <f t="shared" si="7"/>
        <v>236</v>
      </c>
      <c r="L12" s="13">
        <v>25601</v>
      </c>
      <c r="M12" s="12">
        <f t="shared" si="4"/>
        <v>4</v>
      </c>
      <c r="N12" s="13">
        <v>223540</v>
      </c>
      <c r="O12" s="12">
        <f t="shared" si="5"/>
        <v>156</v>
      </c>
      <c r="P12" s="10">
        <v>535211</v>
      </c>
      <c r="Q12" s="14">
        <f t="shared" si="6"/>
        <v>419</v>
      </c>
    </row>
    <row r="13" spans="1:17" ht="18" x14ac:dyDescent="0.25">
      <c r="A13" s="16">
        <v>11</v>
      </c>
      <c r="B13" s="10">
        <v>5398324</v>
      </c>
      <c r="C13" s="11">
        <f t="shared" si="0"/>
        <v>11765</v>
      </c>
      <c r="D13" s="10">
        <v>8155002</v>
      </c>
      <c r="E13" s="11">
        <f t="shared" si="1"/>
        <v>9075</v>
      </c>
      <c r="F13" s="10">
        <v>4340121</v>
      </c>
      <c r="G13" s="11">
        <f t="shared" si="2"/>
        <v>4122</v>
      </c>
      <c r="H13" s="10">
        <v>8120388</v>
      </c>
      <c r="I13" s="11">
        <f t="shared" si="3"/>
        <v>8209</v>
      </c>
      <c r="J13" s="10">
        <v>173233</v>
      </c>
      <c r="K13" s="12">
        <f t="shared" si="7"/>
        <v>207</v>
      </c>
      <c r="L13" s="13">
        <v>25605</v>
      </c>
      <c r="M13" s="12">
        <f t="shared" si="4"/>
        <v>19</v>
      </c>
      <c r="N13" s="13">
        <v>223696</v>
      </c>
      <c r="O13" s="12">
        <f t="shared" si="5"/>
        <v>197</v>
      </c>
      <c r="P13" s="10">
        <v>535630</v>
      </c>
      <c r="Q13" s="14">
        <f t="shared" si="6"/>
        <v>449</v>
      </c>
    </row>
    <row r="14" spans="1:17" ht="18" x14ac:dyDescent="0.25">
      <c r="A14" s="16">
        <v>12</v>
      </c>
      <c r="B14" s="10">
        <v>5410089</v>
      </c>
      <c r="C14" s="11">
        <f t="shared" si="0"/>
        <v>11904</v>
      </c>
      <c r="D14" s="10">
        <v>8164077</v>
      </c>
      <c r="E14" s="11">
        <f t="shared" si="1"/>
        <v>9129</v>
      </c>
      <c r="F14" s="10">
        <v>4344243</v>
      </c>
      <c r="G14" s="11">
        <f t="shared" si="2"/>
        <v>4354</v>
      </c>
      <c r="H14" s="10">
        <v>8128597</v>
      </c>
      <c r="I14" s="11">
        <f t="shared" si="3"/>
        <v>8031</v>
      </c>
      <c r="J14" s="10">
        <v>173440</v>
      </c>
      <c r="K14" s="12">
        <f t="shared" si="7"/>
        <v>220</v>
      </c>
      <c r="L14" s="13">
        <v>25624</v>
      </c>
      <c r="M14" s="12">
        <f t="shared" si="4"/>
        <v>1</v>
      </c>
      <c r="N14" s="13">
        <v>223893</v>
      </c>
      <c r="O14" s="12">
        <f t="shared" si="5"/>
        <v>133</v>
      </c>
      <c r="P14" s="10">
        <v>536079</v>
      </c>
      <c r="Q14" s="14">
        <f t="shared" si="6"/>
        <v>322</v>
      </c>
    </row>
    <row r="15" spans="1:17" ht="18" x14ac:dyDescent="0.25">
      <c r="A15" s="9">
        <v>13</v>
      </c>
      <c r="B15" s="10">
        <v>5421993</v>
      </c>
      <c r="C15" s="11">
        <f t="shared" si="0"/>
        <v>11418</v>
      </c>
      <c r="D15" s="10">
        <v>8173206</v>
      </c>
      <c r="E15" s="11">
        <f t="shared" si="1"/>
        <v>8826</v>
      </c>
      <c r="F15" s="10">
        <v>4348597</v>
      </c>
      <c r="G15" s="11">
        <f t="shared" si="2"/>
        <v>5578</v>
      </c>
      <c r="H15" s="10">
        <v>8136628</v>
      </c>
      <c r="I15" s="11">
        <f t="shared" si="3"/>
        <v>5979</v>
      </c>
      <c r="J15" s="10">
        <v>173660</v>
      </c>
      <c r="K15" s="12">
        <f t="shared" si="7"/>
        <v>194</v>
      </c>
      <c r="L15" s="13">
        <v>25625</v>
      </c>
      <c r="M15" s="12">
        <f t="shared" si="4"/>
        <v>1</v>
      </c>
      <c r="N15" s="13">
        <v>224026</v>
      </c>
      <c r="O15" s="12">
        <f t="shared" si="5"/>
        <v>200</v>
      </c>
      <c r="P15" s="10">
        <v>536401</v>
      </c>
      <c r="Q15" s="14">
        <f t="shared" si="6"/>
        <v>391</v>
      </c>
    </row>
    <row r="16" spans="1:17" ht="18" x14ac:dyDescent="0.25">
      <c r="A16" s="9">
        <v>14</v>
      </c>
      <c r="B16" s="10">
        <v>5433411</v>
      </c>
      <c r="C16" s="11">
        <f t="shared" si="0"/>
        <v>11528</v>
      </c>
      <c r="D16" s="10">
        <v>8182032</v>
      </c>
      <c r="E16" s="11">
        <f t="shared" si="1"/>
        <v>9361</v>
      </c>
      <c r="F16" s="10">
        <v>4354175</v>
      </c>
      <c r="G16" s="11">
        <f t="shared" si="2"/>
        <v>6077</v>
      </c>
      <c r="H16" s="10">
        <v>8142607</v>
      </c>
      <c r="I16" s="11">
        <f t="shared" si="3"/>
        <v>6210</v>
      </c>
      <c r="J16" s="10">
        <v>173854</v>
      </c>
      <c r="K16" s="12">
        <f t="shared" si="7"/>
        <v>223</v>
      </c>
      <c r="L16" s="13">
        <v>25626</v>
      </c>
      <c r="M16" s="12">
        <f t="shared" si="4"/>
        <v>46</v>
      </c>
      <c r="N16" s="13">
        <v>224226</v>
      </c>
      <c r="O16" s="12">
        <f t="shared" si="5"/>
        <v>201</v>
      </c>
      <c r="P16" s="10">
        <v>536792</v>
      </c>
      <c r="Q16" s="14">
        <f t="shared" si="6"/>
        <v>315</v>
      </c>
    </row>
    <row r="17" spans="1:17" ht="18" x14ac:dyDescent="0.25">
      <c r="A17" s="9">
        <v>15</v>
      </c>
      <c r="B17" s="10">
        <v>5444939</v>
      </c>
      <c r="C17" s="11">
        <f t="shared" si="0"/>
        <v>11763</v>
      </c>
      <c r="D17" s="10">
        <v>8191393</v>
      </c>
      <c r="E17" s="11">
        <f t="shared" si="1"/>
        <v>9461</v>
      </c>
      <c r="F17" s="10">
        <v>4360252</v>
      </c>
      <c r="G17" s="11">
        <f t="shared" si="2"/>
        <v>6009</v>
      </c>
      <c r="H17" s="10">
        <v>8148817</v>
      </c>
      <c r="I17" s="11">
        <f t="shared" si="3"/>
        <v>6295</v>
      </c>
      <c r="J17" s="10">
        <v>174077</v>
      </c>
      <c r="K17" s="12">
        <f t="shared" si="7"/>
        <v>210</v>
      </c>
      <c r="L17" s="13">
        <v>25672</v>
      </c>
      <c r="M17" s="12">
        <f t="shared" si="4"/>
        <v>9</v>
      </c>
      <c r="N17" s="13">
        <v>224427</v>
      </c>
      <c r="O17" s="12">
        <f t="shared" si="5"/>
        <v>238</v>
      </c>
      <c r="P17" s="10">
        <v>537107</v>
      </c>
      <c r="Q17" s="14">
        <f t="shared" si="6"/>
        <v>267</v>
      </c>
    </row>
    <row r="18" spans="1:17" ht="18" x14ac:dyDescent="0.25">
      <c r="A18" s="9">
        <v>16</v>
      </c>
      <c r="B18" s="10">
        <v>5456702</v>
      </c>
      <c r="C18" s="11">
        <f t="shared" si="0"/>
        <v>11970</v>
      </c>
      <c r="D18" s="10">
        <v>8200854</v>
      </c>
      <c r="E18" s="11">
        <f t="shared" si="1"/>
        <v>10178</v>
      </c>
      <c r="F18" s="10">
        <v>4366261</v>
      </c>
      <c r="G18" s="11">
        <f t="shared" si="2"/>
        <v>5720</v>
      </c>
      <c r="H18" s="10">
        <v>8155112</v>
      </c>
      <c r="I18" s="11">
        <f t="shared" si="3"/>
        <v>6419</v>
      </c>
      <c r="J18" s="10">
        <v>174287</v>
      </c>
      <c r="K18" s="12">
        <f t="shared" si="7"/>
        <v>194</v>
      </c>
      <c r="L18" s="13">
        <v>25681</v>
      </c>
      <c r="M18" s="12">
        <f t="shared" si="4"/>
        <v>50</v>
      </c>
      <c r="N18" s="13">
        <v>224665</v>
      </c>
      <c r="O18" s="12">
        <f t="shared" si="5"/>
        <v>170</v>
      </c>
      <c r="P18" s="10">
        <v>537374</v>
      </c>
      <c r="Q18" s="14">
        <f t="shared" si="6"/>
        <v>339</v>
      </c>
    </row>
    <row r="19" spans="1:17" ht="18" x14ac:dyDescent="0.25">
      <c r="A19" s="9">
        <v>17</v>
      </c>
      <c r="B19" s="10">
        <v>5468672</v>
      </c>
      <c r="C19" s="11">
        <f t="shared" si="0"/>
        <v>11902</v>
      </c>
      <c r="D19" s="10">
        <v>8211032</v>
      </c>
      <c r="E19" s="11">
        <f t="shared" si="1"/>
        <v>9219</v>
      </c>
      <c r="F19" s="10">
        <v>4371981</v>
      </c>
      <c r="G19" s="11">
        <f t="shared" si="2"/>
        <v>5479</v>
      </c>
      <c r="H19" s="10">
        <v>8161531</v>
      </c>
      <c r="I19" s="11">
        <f t="shared" si="3"/>
        <v>6518</v>
      </c>
      <c r="J19" s="10">
        <v>174481</v>
      </c>
      <c r="K19" s="12">
        <f t="shared" si="7"/>
        <v>224</v>
      </c>
      <c r="L19" s="13">
        <v>25731</v>
      </c>
      <c r="M19" s="12">
        <f t="shared" si="4"/>
        <v>17</v>
      </c>
      <c r="N19" s="13">
        <v>224835</v>
      </c>
      <c r="O19" s="12">
        <f t="shared" si="5"/>
        <v>155</v>
      </c>
      <c r="P19" s="10">
        <v>537713</v>
      </c>
      <c r="Q19" s="14">
        <f t="shared" si="6"/>
        <v>373</v>
      </c>
    </row>
    <row r="20" spans="1:17" ht="18" x14ac:dyDescent="0.25">
      <c r="A20" s="9">
        <v>18</v>
      </c>
      <c r="B20" s="10">
        <v>5480574</v>
      </c>
      <c r="C20" s="11">
        <f t="shared" si="0"/>
        <v>12509</v>
      </c>
      <c r="D20" s="10">
        <v>8220251</v>
      </c>
      <c r="E20" s="11">
        <f t="shared" si="1"/>
        <v>9664</v>
      </c>
      <c r="F20" s="10">
        <v>4377460</v>
      </c>
      <c r="G20" s="11">
        <f t="shared" si="2"/>
        <v>5531</v>
      </c>
      <c r="H20" s="10">
        <v>8168049</v>
      </c>
      <c r="I20" s="11">
        <f t="shared" si="3"/>
        <v>7095</v>
      </c>
      <c r="J20" s="10">
        <v>174705</v>
      </c>
      <c r="K20" s="12">
        <f t="shared" si="7"/>
        <v>194</v>
      </c>
      <c r="L20" s="13">
        <v>25748</v>
      </c>
      <c r="M20" s="12">
        <f t="shared" si="4"/>
        <v>39</v>
      </c>
      <c r="N20" s="13">
        <v>224990</v>
      </c>
      <c r="O20" s="12">
        <f t="shared" si="5"/>
        <v>190</v>
      </c>
      <c r="P20" s="10">
        <v>538086</v>
      </c>
      <c r="Q20" s="14">
        <f t="shared" si="6"/>
        <v>227</v>
      </c>
    </row>
    <row r="21" spans="1:17" ht="18" x14ac:dyDescent="0.25">
      <c r="A21" s="9">
        <v>19</v>
      </c>
      <c r="B21" s="10">
        <v>5493083</v>
      </c>
      <c r="C21" s="11">
        <f t="shared" si="0"/>
        <v>11969</v>
      </c>
      <c r="D21" s="10">
        <v>8229915</v>
      </c>
      <c r="E21" s="11">
        <f t="shared" si="1"/>
        <v>9242</v>
      </c>
      <c r="F21" s="10">
        <v>4382991</v>
      </c>
      <c r="G21" s="11">
        <f t="shared" si="2"/>
        <v>5694</v>
      </c>
      <c r="H21" s="10">
        <v>8175144</v>
      </c>
      <c r="I21" s="11">
        <f t="shared" si="3"/>
        <v>6773</v>
      </c>
      <c r="J21" s="10">
        <v>174899</v>
      </c>
      <c r="K21" s="12">
        <f t="shared" ref="K21:K31" si="8">SUM(J22-J21)</f>
        <v>201</v>
      </c>
      <c r="L21" s="13">
        <v>25787</v>
      </c>
      <c r="M21" s="12">
        <f t="shared" si="4"/>
        <v>18</v>
      </c>
      <c r="N21" s="13">
        <v>225180</v>
      </c>
      <c r="O21" s="12">
        <f t="shared" si="5"/>
        <v>134</v>
      </c>
      <c r="P21" s="10">
        <v>538313</v>
      </c>
      <c r="Q21" s="14">
        <f t="shared" si="6"/>
        <v>402</v>
      </c>
    </row>
    <row r="22" spans="1:17" ht="18" x14ac:dyDescent="0.25">
      <c r="A22" s="9">
        <v>20</v>
      </c>
      <c r="B22" s="10">
        <v>5505052</v>
      </c>
      <c r="C22" s="11">
        <f t="shared" si="0"/>
        <v>12138</v>
      </c>
      <c r="D22" s="10">
        <v>8239157</v>
      </c>
      <c r="E22" s="11">
        <f t="shared" si="1"/>
        <v>9387</v>
      </c>
      <c r="F22" s="10">
        <v>4388685</v>
      </c>
      <c r="G22" s="11">
        <f t="shared" si="2"/>
        <v>5687</v>
      </c>
      <c r="H22" s="10">
        <v>8181917</v>
      </c>
      <c r="I22" s="11">
        <f t="shared" si="3"/>
        <v>7007</v>
      </c>
      <c r="J22" s="10">
        <v>175100</v>
      </c>
      <c r="K22" s="12">
        <f t="shared" si="8"/>
        <v>179</v>
      </c>
      <c r="L22" s="13">
        <v>25805</v>
      </c>
      <c r="M22" s="12">
        <f t="shared" si="4"/>
        <v>13</v>
      </c>
      <c r="N22" s="13">
        <v>225314</v>
      </c>
      <c r="O22" s="12">
        <f t="shared" si="5"/>
        <v>185</v>
      </c>
      <c r="P22" s="17">
        <v>538715</v>
      </c>
      <c r="Q22" s="18">
        <f t="shared" si="6"/>
        <v>345</v>
      </c>
    </row>
    <row r="23" spans="1:17" ht="18" x14ac:dyDescent="0.25">
      <c r="A23" s="9">
        <v>21</v>
      </c>
      <c r="B23" s="10">
        <v>5517190</v>
      </c>
      <c r="C23" s="11">
        <f t="shared" si="0"/>
        <v>11934</v>
      </c>
      <c r="D23" s="10">
        <v>8248544</v>
      </c>
      <c r="E23" s="11">
        <f t="shared" si="1"/>
        <v>9593</v>
      </c>
      <c r="F23" s="10">
        <v>4394372</v>
      </c>
      <c r="G23" s="11">
        <f t="shared" si="2"/>
        <v>5092</v>
      </c>
      <c r="H23" s="10">
        <v>8188924</v>
      </c>
      <c r="I23" s="11">
        <f t="shared" si="3"/>
        <v>7533</v>
      </c>
      <c r="J23" s="10">
        <v>175279</v>
      </c>
      <c r="K23" s="12">
        <f t="shared" si="8"/>
        <v>184</v>
      </c>
      <c r="L23" s="13">
        <v>25818</v>
      </c>
      <c r="M23" s="12">
        <f t="shared" si="4"/>
        <v>17</v>
      </c>
      <c r="N23" s="13">
        <v>225499</v>
      </c>
      <c r="O23" s="12">
        <f t="shared" si="5"/>
        <v>161</v>
      </c>
      <c r="P23" s="10">
        <v>539060</v>
      </c>
      <c r="Q23" s="14">
        <f t="shared" si="6"/>
        <v>393</v>
      </c>
    </row>
    <row r="24" spans="1:17" ht="18" x14ac:dyDescent="0.25">
      <c r="A24" s="9">
        <v>22</v>
      </c>
      <c r="B24" s="10">
        <v>5529124</v>
      </c>
      <c r="C24" s="11">
        <f t="shared" si="0"/>
        <v>12036</v>
      </c>
      <c r="D24" s="10">
        <v>8258137</v>
      </c>
      <c r="E24" s="11">
        <f t="shared" si="1"/>
        <v>10574</v>
      </c>
      <c r="F24" s="10">
        <v>4399464</v>
      </c>
      <c r="G24" s="11">
        <f t="shared" si="2"/>
        <v>9328</v>
      </c>
      <c r="H24" s="10">
        <v>8196457</v>
      </c>
      <c r="I24" s="11">
        <f t="shared" si="3"/>
        <v>3691</v>
      </c>
      <c r="J24" s="10">
        <v>175463</v>
      </c>
      <c r="K24" s="12">
        <f t="shared" si="8"/>
        <v>216</v>
      </c>
      <c r="L24" s="13">
        <v>25835</v>
      </c>
      <c r="M24" s="12">
        <f t="shared" si="4"/>
        <v>45</v>
      </c>
      <c r="N24" s="13">
        <v>225660</v>
      </c>
      <c r="O24" s="12">
        <f>N25-N24</f>
        <v>176</v>
      </c>
      <c r="P24" s="19">
        <v>539453</v>
      </c>
      <c r="Q24" s="20">
        <f t="shared" si="6"/>
        <v>279</v>
      </c>
    </row>
    <row r="25" spans="1:17" ht="18" x14ac:dyDescent="0.25">
      <c r="A25" s="9">
        <v>23</v>
      </c>
      <c r="B25" s="10">
        <v>5541160</v>
      </c>
      <c r="C25" s="11">
        <f t="shared" si="0"/>
        <v>11272</v>
      </c>
      <c r="D25" s="10">
        <v>8268711</v>
      </c>
      <c r="E25" s="11">
        <f t="shared" si="1"/>
        <v>9343</v>
      </c>
      <c r="F25" s="10">
        <v>4408792</v>
      </c>
      <c r="G25" s="11">
        <f t="shared" si="2"/>
        <v>9647</v>
      </c>
      <c r="H25" s="10">
        <v>8200148</v>
      </c>
      <c r="I25" s="11">
        <f t="shared" si="3"/>
        <v>3138</v>
      </c>
      <c r="J25" s="10">
        <v>175679</v>
      </c>
      <c r="K25" s="12">
        <f t="shared" si="8"/>
        <v>196</v>
      </c>
      <c r="L25" s="13">
        <v>25880</v>
      </c>
      <c r="M25" s="12">
        <f t="shared" si="4"/>
        <v>18</v>
      </c>
      <c r="N25" s="13">
        <v>225836</v>
      </c>
      <c r="O25" s="12">
        <f t="shared" si="5"/>
        <v>188</v>
      </c>
      <c r="P25" s="10">
        <v>539732</v>
      </c>
      <c r="Q25" s="14">
        <f t="shared" si="6"/>
        <v>310</v>
      </c>
    </row>
    <row r="26" spans="1:17" ht="18" x14ac:dyDescent="0.25">
      <c r="A26" s="9">
        <v>24</v>
      </c>
      <c r="B26" s="10">
        <v>5552432</v>
      </c>
      <c r="C26" s="11">
        <f t="shared" si="0"/>
        <v>11903</v>
      </c>
      <c r="D26" s="10">
        <v>8278054</v>
      </c>
      <c r="E26" s="11">
        <f t="shared" si="1"/>
        <v>9201</v>
      </c>
      <c r="F26" s="10">
        <v>4418439</v>
      </c>
      <c r="G26" s="11">
        <f t="shared" si="2"/>
        <v>9097</v>
      </c>
      <c r="H26" s="10">
        <v>8203286</v>
      </c>
      <c r="I26" s="11">
        <f t="shared" si="3"/>
        <v>3470</v>
      </c>
      <c r="J26" s="10">
        <v>175875</v>
      </c>
      <c r="K26" s="12">
        <f t="shared" si="8"/>
        <v>183</v>
      </c>
      <c r="L26" s="13">
        <v>25898</v>
      </c>
      <c r="M26" s="12">
        <f t="shared" si="4"/>
        <v>26</v>
      </c>
      <c r="N26" s="13">
        <v>226024</v>
      </c>
      <c r="O26" s="12">
        <f t="shared" si="5"/>
        <v>199</v>
      </c>
      <c r="P26" s="10">
        <v>540042</v>
      </c>
      <c r="Q26" s="14">
        <f t="shared" si="6"/>
        <v>413</v>
      </c>
    </row>
    <row r="27" spans="1:17" ht="18" x14ac:dyDescent="0.25">
      <c r="A27" s="9">
        <v>25</v>
      </c>
      <c r="B27" s="10">
        <v>5564335</v>
      </c>
      <c r="C27" s="11">
        <f t="shared" si="0"/>
        <v>12220</v>
      </c>
      <c r="D27" s="10">
        <v>8287255</v>
      </c>
      <c r="E27" s="11">
        <f t="shared" si="1"/>
        <v>9117</v>
      </c>
      <c r="F27" s="10">
        <v>4427536</v>
      </c>
      <c r="G27" s="11">
        <f t="shared" si="2"/>
        <v>9504</v>
      </c>
      <c r="H27" s="10">
        <v>8206756</v>
      </c>
      <c r="I27" s="11">
        <f t="shared" si="3"/>
        <v>2954</v>
      </c>
      <c r="J27" s="10">
        <v>176058</v>
      </c>
      <c r="K27" s="12">
        <f t="shared" si="8"/>
        <v>195</v>
      </c>
      <c r="L27" s="13">
        <v>25924</v>
      </c>
      <c r="M27" s="12">
        <f t="shared" si="4"/>
        <v>53</v>
      </c>
      <c r="N27" s="13">
        <v>226223</v>
      </c>
      <c r="O27" s="12">
        <f t="shared" si="5"/>
        <v>221</v>
      </c>
      <c r="P27" s="10">
        <v>540455</v>
      </c>
      <c r="Q27" s="14">
        <f t="shared" si="6"/>
        <v>344</v>
      </c>
    </row>
    <row r="28" spans="1:17" ht="18" x14ac:dyDescent="0.25">
      <c r="A28" s="9">
        <v>26</v>
      </c>
      <c r="B28" s="10">
        <v>5576555</v>
      </c>
      <c r="C28" s="11">
        <f t="shared" si="0"/>
        <v>11515</v>
      </c>
      <c r="D28" s="10">
        <v>8296372</v>
      </c>
      <c r="E28" s="11">
        <f t="shared" si="1"/>
        <v>8441</v>
      </c>
      <c r="F28" s="10">
        <v>4437040</v>
      </c>
      <c r="G28" s="11">
        <f t="shared" si="2"/>
        <v>9187</v>
      </c>
      <c r="H28" s="10">
        <v>8209710</v>
      </c>
      <c r="I28" s="11">
        <f t="shared" si="3"/>
        <v>2296</v>
      </c>
      <c r="J28" s="10">
        <v>176253</v>
      </c>
      <c r="K28" s="12">
        <f t="shared" si="8"/>
        <v>190</v>
      </c>
      <c r="L28" s="13">
        <v>25977</v>
      </c>
      <c r="M28" s="12">
        <f t="shared" si="4"/>
        <v>1</v>
      </c>
      <c r="N28" s="13">
        <v>226444</v>
      </c>
      <c r="O28" s="12">
        <f t="shared" si="5"/>
        <v>139</v>
      </c>
      <c r="P28" s="10">
        <v>540799</v>
      </c>
      <c r="Q28" s="14">
        <f t="shared" si="6"/>
        <v>302</v>
      </c>
    </row>
    <row r="29" spans="1:17" ht="18" x14ac:dyDescent="0.25">
      <c r="A29" s="9">
        <v>27</v>
      </c>
      <c r="B29" s="10">
        <v>5588070</v>
      </c>
      <c r="C29" s="11">
        <f t="shared" si="0"/>
        <v>12274</v>
      </c>
      <c r="D29" s="10">
        <v>8304813</v>
      </c>
      <c r="E29" s="11">
        <f t="shared" si="1"/>
        <v>9580</v>
      </c>
      <c r="F29" s="10">
        <v>4446227</v>
      </c>
      <c r="G29" s="11">
        <f t="shared" si="2"/>
        <v>6274</v>
      </c>
      <c r="H29" s="10">
        <v>8212006</v>
      </c>
      <c r="I29" s="11">
        <f t="shared" si="3"/>
        <v>6525</v>
      </c>
      <c r="J29" s="10">
        <v>176443</v>
      </c>
      <c r="K29" s="12">
        <f t="shared" si="8"/>
        <v>198</v>
      </c>
      <c r="L29" s="13">
        <v>25978</v>
      </c>
      <c r="M29" s="12">
        <f t="shared" si="4"/>
        <v>35</v>
      </c>
      <c r="N29" s="13">
        <v>226583</v>
      </c>
      <c r="O29" s="12">
        <f t="shared" si="5"/>
        <v>176</v>
      </c>
      <c r="P29" s="10">
        <v>541101</v>
      </c>
      <c r="Q29" s="14">
        <f t="shared" si="6"/>
        <v>298</v>
      </c>
    </row>
    <row r="30" spans="1:17" ht="18" x14ac:dyDescent="0.25">
      <c r="A30" s="9">
        <v>28</v>
      </c>
      <c r="B30" s="10">
        <v>5600344</v>
      </c>
      <c r="C30" s="11">
        <f t="shared" si="0"/>
        <v>11799</v>
      </c>
      <c r="D30" s="10">
        <v>8314393</v>
      </c>
      <c r="E30" s="11">
        <f t="shared" si="1"/>
        <v>9352</v>
      </c>
      <c r="F30" s="10">
        <v>4452501</v>
      </c>
      <c r="G30" s="11">
        <f t="shared" si="2"/>
        <v>6397</v>
      </c>
      <c r="H30" s="10">
        <v>8218531</v>
      </c>
      <c r="I30" s="11">
        <f t="shared" si="3"/>
        <v>6502</v>
      </c>
      <c r="J30" s="10">
        <v>176641</v>
      </c>
      <c r="K30" s="12">
        <f t="shared" si="8"/>
        <v>192</v>
      </c>
      <c r="L30" s="13">
        <v>26013</v>
      </c>
      <c r="M30" s="12">
        <f t="shared" si="4"/>
        <v>49</v>
      </c>
      <c r="N30" s="13">
        <v>226759</v>
      </c>
      <c r="O30" s="12">
        <f t="shared" si="5"/>
        <v>234</v>
      </c>
      <c r="P30" s="10">
        <v>541399</v>
      </c>
      <c r="Q30" s="14">
        <f t="shared" si="6"/>
        <v>313</v>
      </c>
    </row>
    <row r="31" spans="1:17" ht="18" x14ac:dyDescent="0.25">
      <c r="A31" s="9">
        <v>1</v>
      </c>
      <c r="B31" s="10">
        <v>5612143</v>
      </c>
      <c r="C31" s="11"/>
      <c r="D31" s="10">
        <v>8323745</v>
      </c>
      <c r="E31" s="11"/>
      <c r="F31" s="10">
        <v>4458898</v>
      </c>
      <c r="G31" s="11"/>
      <c r="H31" s="10">
        <v>8225033</v>
      </c>
      <c r="I31" s="11"/>
      <c r="J31" s="10">
        <v>176833</v>
      </c>
      <c r="K31" s="12"/>
      <c r="L31" s="13">
        <v>26062</v>
      </c>
      <c r="M31" s="12"/>
      <c r="N31" s="13">
        <v>226993</v>
      </c>
      <c r="O31" s="12"/>
      <c r="P31" s="10">
        <v>541712</v>
      </c>
      <c r="Q31" s="14"/>
    </row>
    <row r="32" spans="1:17" ht="18" x14ac:dyDescent="0.25">
      <c r="A32" s="16"/>
      <c r="B32" s="10"/>
      <c r="C32" s="11"/>
      <c r="D32" s="10"/>
      <c r="E32" s="11"/>
      <c r="F32" s="10"/>
      <c r="G32" s="11"/>
      <c r="H32" s="10"/>
      <c r="I32" s="11"/>
      <c r="J32" s="10"/>
      <c r="K32" s="12"/>
      <c r="L32" s="13"/>
      <c r="M32" s="12"/>
      <c r="N32" s="13"/>
      <c r="O32" s="12"/>
      <c r="P32" s="10"/>
      <c r="Q32" s="14"/>
    </row>
    <row r="33" spans="1:17" ht="18" x14ac:dyDescent="0.25">
      <c r="A33" s="16"/>
      <c r="B33" s="10"/>
      <c r="C33" s="11"/>
      <c r="D33" s="10"/>
      <c r="E33" s="11"/>
      <c r="F33" s="10"/>
      <c r="G33" s="11"/>
      <c r="H33" s="10"/>
      <c r="I33" s="11"/>
      <c r="J33" s="10"/>
      <c r="K33" s="12"/>
      <c r="L33" s="13"/>
      <c r="M33" s="12"/>
      <c r="N33" s="13"/>
      <c r="O33" s="12"/>
      <c r="P33" s="10"/>
      <c r="Q33" s="14"/>
    </row>
    <row r="34" spans="1:17" ht="18" x14ac:dyDescent="0.25">
      <c r="A34" s="16"/>
      <c r="B34" s="10"/>
      <c r="C34" s="12"/>
      <c r="D34" s="10"/>
      <c r="E34" s="12"/>
      <c r="F34" s="10"/>
      <c r="G34" s="12"/>
      <c r="H34" s="10"/>
      <c r="I34" s="12"/>
      <c r="J34" s="10"/>
      <c r="K34" s="11"/>
      <c r="L34" s="13"/>
      <c r="M34" s="21"/>
      <c r="N34" s="13"/>
      <c r="O34" s="11"/>
      <c r="P34" s="10"/>
      <c r="Q34" s="14"/>
    </row>
    <row r="35" spans="1:17" ht="18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2023-03-07T04:05:55Z</dcterms:modified>
</cp:coreProperties>
</file>