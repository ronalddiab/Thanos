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rgenergy.sharepoint.com/sites/projektek/Megosztott dokumentumok/100_Partnerek/166_Gresham/11_SZR/2022/2022.05.06 - 2022M04/"/>
    </mc:Choice>
  </mc:AlternateContent>
  <xr:revisionPtr revIDLastSave="160" documentId="11_9743BF6CC33D4A77815015AF80CEA529EBE74E7D" xr6:coauthVersionLast="47" xr6:coauthVersionMax="47" xr10:uidLastSave="{5275BD60-42C6-4AFC-B88E-0876A7D30CFD}"/>
  <bookViews>
    <workbookView xWindow="-28920" yWindow="-120" windowWidth="29040" windowHeight="15720" activeTab="2" xr2:uid="{00000000-000D-0000-FFFF-FFFF00000000}"/>
  </bookViews>
  <sheets>
    <sheet name="TOTAL" sheetId="5" r:id="rId1"/>
    <sheet name="Submetering" sheetId="7" r:id="rId2"/>
    <sheet name="FS Budapest" sheetId="6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7" l="1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D4" i="5"/>
  <c r="D5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" i="5"/>
  <c r="C3" i="5" l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K14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L2" i="5"/>
  <c r="K2" i="5"/>
  <c r="E26" i="5"/>
  <c r="I13" i="5"/>
  <c r="I27" i="5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B3" i="5"/>
  <c r="B4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19" i="5" l="1"/>
  <c r="I24" i="5"/>
  <c r="I28" i="5"/>
  <c r="I20" i="5"/>
  <c r="E2" i="5"/>
  <c r="E29" i="5"/>
  <c r="I22" i="5"/>
  <c r="I10" i="5"/>
  <c r="G28" i="5"/>
  <c r="G15" i="5"/>
  <c r="G9" i="5"/>
  <c r="G8" i="5"/>
  <c r="E22" i="5"/>
  <c r="I23" i="5"/>
  <c r="I4" i="5"/>
  <c r="G31" i="5"/>
  <c r="G13" i="5"/>
  <c r="G12" i="5"/>
  <c r="E20" i="5"/>
  <c r="I12" i="5"/>
  <c r="E25" i="5"/>
  <c r="E16" i="5"/>
  <c r="E7" i="5"/>
  <c r="E17" i="5"/>
  <c r="E6" i="5"/>
  <c r="I3" i="5"/>
  <c r="E28" i="5"/>
  <c r="I2" i="5"/>
  <c r="I14" i="5"/>
  <c r="I11" i="5"/>
  <c r="I7" i="5"/>
  <c r="G16" i="5"/>
  <c r="G10" i="5"/>
  <c r="I25" i="5"/>
  <c r="E14" i="5"/>
  <c r="I9" i="5"/>
  <c r="G22" i="5"/>
  <c r="E24" i="5"/>
  <c r="I8" i="5"/>
  <c r="G26" i="5"/>
  <c r="G4" i="5"/>
  <c r="E23" i="5"/>
  <c r="I17" i="5"/>
  <c r="I15" i="5"/>
  <c r="I21" i="5"/>
  <c r="G27" i="5"/>
  <c r="G5" i="5"/>
  <c r="I26" i="5"/>
  <c r="G3" i="5"/>
  <c r="G21" i="5"/>
  <c r="E27" i="5"/>
  <c r="E11" i="5"/>
  <c r="G6" i="5"/>
  <c r="I6" i="5"/>
  <c r="I5" i="5"/>
  <c r="I19" i="5"/>
  <c r="I18" i="5"/>
  <c r="I30" i="5"/>
  <c r="G20" i="5"/>
  <c r="I29" i="5"/>
  <c r="I16" i="5"/>
  <c r="G11" i="5"/>
  <c r="G7" i="5"/>
  <c r="E3" i="5"/>
  <c r="G25" i="5"/>
  <c r="G24" i="5"/>
  <c r="G17" i="5"/>
  <c r="E9" i="5"/>
  <c r="G30" i="5"/>
  <c r="G19" i="5"/>
  <c r="G18" i="5"/>
  <c r="G14" i="5"/>
  <c r="E21" i="5"/>
  <c r="E18" i="5"/>
  <c r="E13" i="5"/>
  <c r="E10" i="5"/>
  <c r="I31" i="5"/>
  <c r="E15" i="5"/>
  <c r="G23" i="5"/>
  <c r="E31" i="5"/>
  <c r="E30" i="5"/>
  <c r="E12" i="5"/>
  <c r="E8" i="5"/>
  <c r="E4" i="5"/>
  <c r="G2" i="5"/>
  <c r="E5" i="5"/>
  <c r="G29" i="5"/>
</calcChain>
</file>

<file path=xl/sharedStrings.xml><?xml version="1.0" encoding="utf-8"?>
<sst xmlns="http://schemas.openxmlformats.org/spreadsheetml/2006/main" count="233" uniqueCount="158">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</sst>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\ _F_t"/>
  </numFmts>
  <fonts count="29" x14ac:knownFonts="1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color indexed="10"/>
      <name val="Arial"/>
      <family val="2"/>
      <charset val="238"/>
    </font>
    <font>
      <sz val="14"/>
      <color indexed="57"/>
      <name val="Arial"/>
      <family val="2"/>
      <charset val="238"/>
    </font>
    <font>
      <sz val="14"/>
      <color indexed="14"/>
      <name val="Arial"/>
      <family val="2"/>
      <charset val="238"/>
    </font>
    <font>
      <sz val="14"/>
      <name val="Arial"/>
      <family val="2"/>
      <charset val="238"/>
    </font>
    <font>
      <b/>
      <sz val="14"/>
      <color indexed="8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  <font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28" fillId="0" borderId="0" applyFont="0" applyFill="0" applyBorder="0" applyAlignment="0" applyProtection="0"/>
  </cellStyleXfs>
  <cellXfs count="175">
    <xf numFmtId="0" fontId="0" fillId="0" borderId="0" xfId="0"/>
    <xf numFmtId="0" fontId="17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wrapText="1"/>
    </xf>
    <xf numFmtId="1" fontId="21" fillId="0" borderId="0" xfId="0" applyNumberFormat="1" applyFont="1" applyAlignment="1">
      <alignment horizontal="center"/>
    </xf>
    <xf numFmtId="0" fontId="22" fillId="0" borderId="1" xfId="0" applyFont="1" applyBorder="1" applyAlignment="1">
      <alignment horizontal="center" vertical="top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49" fontId="1" fillId="15" borderId="6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15" borderId="0" xfId="0" applyFont="1" applyFill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165" fontId="1" fillId="2" borderId="10" xfId="0" applyNumberFormat="1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0" xfId="0" applyFont="1"/>
    <xf numFmtId="0" fontId="3" fillId="0" borderId="11" xfId="0" applyFont="1" applyBorder="1" applyAlignment="1"/>
    <xf numFmtId="0" fontId="3" fillId="0" borderId="8" xfId="0" applyFont="1" applyBorder="1" applyAlignment="1"/>
    <xf numFmtId="0" fontId="3" fillId="0" borderId="12" xfId="0" applyFont="1" applyBorder="1" applyAlignment="1"/>
    <xf numFmtId="0" fontId="1" fillId="2" borderId="13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1" fontId="1" fillId="2" borderId="10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9" fillId="13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5" borderId="7" xfId="0" applyNumberFormat="1" applyFont="1" applyFill="1" applyBorder="1" applyAlignment="1">
      <alignment horizontal="center"/>
    </xf>
    <xf numFmtId="2" fontId="1" fillId="10" borderId="18" xfId="0" applyNumberFormat="1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3" fillId="10" borderId="18" xfId="0" applyFont="1" applyFill="1" applyBorder="1"/>
    <xf numFmtId="0" fontId="22" fillId="0" borderId="1" xfId="0" applyFont="1" applyBorder="1" applyAlignment="1">
      <alignment horizontal="center" vertical="top" wrapText="1"/>
    </xf>
    <xf numFmtId="0" fontId="17" fillId="0" borderId="0" xfId="0" applyFont="1" applyAlignment="1">
      <alignment wrapText="1"/>
    </xf>
    <xf numFmtId="0" fontId="3" fillId="17" borderId="18" xfId="0" applyFont="1" applyFill="1" applyBorder="1"/>
    <xf numFmtId="0" fontId="1" fillId="17" borderId="4" xfId="0" applyNumberFormat="1" applyFont="1" applyFill="1" applyBorder="1" applyAlignment="1">
      <alignment horizontal="center" vertical="center" wrapText="1"/>
    </xf>
    <xf numFmtId="0" fontId="25" fillId="17" borderId="7" xfId="0" applyNumberFormat="1" applyFont="1" applyFill="1" applyBorder="1" applyAlignment="1">
      <alignment horizontal="center" vertical="center"/>
    </xf>
    <xf numFmtId="49" fontId="25" fillId="15" borderId="19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5" fillId="6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0" fontId="1" fillId="18" borderId="7" xfId="0" applyNumberFormat="1" applyFont="1" applyFill="1" applyBorder="1" applyAlignment="1">
      <alignment horizontal="center"/>
    </xf>
    <xf numFmtId="1" fontId="1" fillId="5" borderId="7" xfId="0" applyNumberFormat="1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25" fillId="19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13" borderId="7" xfId="0" applyFont="1" applyFill="1" applyBorder="1" applyAlignment="1">
      <alignment horizontal="center"/>
    </xf>
    <xf numFmtId="0" fontId="8" fillId="19" borderId="7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2" fontId="11" fillId="10" borderId="7" xfId="0" applyNumberFormat="1" applyFont="1" applyFill="1" applyBorder="1" applyAlignment="1">
      <alignment horizontal="center"/>
    </xf>
    <xf numFmtId="0" fontId="11" fillId="0" borderId="7" xfId="0" applyFont="1" applyFill="1" applyBorder="1" applyAlignment="1"/>
    <xf numFmtId="0" fontId="11" fillId="2" borderId="7" xfId="0" applyFont="1" applyFill="1" applyBorder="1" applyAlignment="1"/>
    <xf numFmtId="0" fontId="1" fillId="2" borderId="7" xfId="0" applyFont="1" applyFill="1" applyBorder="1" applyAlignment="1"/>
    <xf numFmtId="165" fontId="11" fillId="2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right"/>
    </xf>
    <xf numFmtId="1" fontId="1" fillId="10" borderId="7" xfId="0" applyNumberFormat="1" applyFont="1" applyFill="1" applyBorder="1" applyAlignment="1">
      <alignment horizontal="center"/>
    </xf>
    <xf numFmtId="1" fontId="1" fillId="11" borderId="7" xfId="0" applyNumberFormat="1" applyFont="1" applyFill="1" applyBorder="1" applyAlignment="1">
      <alignment horizontal="center"/>
    </xf>
    <xf numFmtId="0" fontId="12" fillId="12" borderId="7" xfId="0" applyFont="1" applyFill="1" applyBorder="1" applyAlignment="1">
      <alignment horizontal="center"/>
    </xf>
    <xf numFmtId="2" fontId="12" fillId="0" borderId="7" xfId="0" applyNumberFormat="1" applyFont="1" applyFill="1" applyBorder="1" applyAlignment="1">
      <alignment horizontal="center"/>
    </xf>
    <xf numFmtId="0" fontId="26" fillId="19" borderId="7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6" fillId="6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/>
    </xf>
    <xf numFmtId="0" fontId="9" fillId="13" borderId="21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23" xfId="0" applyFont="1" applyFill="1" applyBorder="1" applyAlignment="1">
      <alignment horizontal="center"/>
    </xf>
    <xf numFmtId="0" fontId="11" fillId="8" borderId="20" xfId="0" applyFont="1" applyFill="1" applyBorder="1" applyAlignment="1">
      <alignment horizontal="center"/>
    </xf>
    <xf numFmtId="0" fontId="1" fillId="5" borderId="20" xfId="0" applyNumberFormat="1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4" borderId="7" xfId="0" applyFont="1" applyFill="1" applyBorder="1" applyAlignment="1">
      <alignment horizontal="center"/>
    </xf>
    <xf numFmtId="0" fontId="25" fillId="3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26" fillId="0" borderId="7" xfId="0" applyFont="1" applyFill="1" applyBorder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2" fontId="11" fillId="2" borderId="7" xfId="0" applyNumberFormat="1" applyFont="1" applyFill="1" applyBorder="1" applyAlignment="1">
      <alignment horizontal="center"/>
    </xf>
    <xf numFmtId="2" fontId="26" fillId="2" borderId="7" xfId="0" applyNumberFormat="1" applyFont="1" applyFill="1" applyBorder="1" applyAlignment="1">
      <alignment horizontal="center"/>
    </xf>
    <xf numFmtId="0" fontId="26" fillId="2" borderId="7" xfId="0" applyFont="1" applyFill="1" applyBorder="1" applyAlignment="1">
      <alignment horizontal="right"/>
    </xf>
    <xf numFmtId="0" fontId="25" fillId="2" borderId="7" xfId="0" applyFont="1" applyFill="1" applyBorder="1" applyAlignment="1">
      <alignment horizontal="center"/>
    </xf>
    <xf numFmtId="1" fontId="25" fillId="11" borderId="7" xfId="0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1" fontId="12" fillId="14" borderId="7" xfId="0" applyNumberFormat="1" applyFont="1" applyFill="1" applyBorder="1" applyAlignment="1">
      <alignment horizontal="center"/>
    </xf>
    <xf numFmtId="0" fontId="25" fillId="0" borderId="7" xfId="0" applyFont="1" applyFill="1" applyBorder="1" applyAlignment="1">
      <alignment horizontal="center"/>
    </xf>
    <xf numFmtId="0" fontId="1" fillId="21" borderId="7" xfId="0" applyNumberFormat="1" applyFont="1" applyFill="1" applyBorder="1" applyAlignment="1">
      <alignment horizontal="center"/>
    </xf>
    <xf numFmtId="1" fontId="25" fillId="21" borderId="7" xfId="0" applyNumberFormat="1" applyFont="1" applyFill="1" applyBorder="1" applyAlignment="1">
      <alignment horizontal="center"/>
    </xf>
    <xf numFmtId="1" fontId="25" fillId="4" borderId="7" xfId="0" applyNumberFormat="1" applyFont="1" applyFill="1" applyBorder="1" applyAlignment="1">
      <alignment horizontal="center"/>
    </xf>
    <xf numFmtId="164" fontId="18" fillId="0" borderId="0" xfId="0" applyNumberFormat="1" applyFont="1" applyFill="1"/>
    <xf numFmtId="0" fontId="19" fillId="17" borderId="0" xfId="0" applyFont="1" applyFill="1" applyAlignment="1">
      <alignment horizontal="center"/>
    </xf>
    <xf numFmtId="0" fontId="23" fillId="17" borderId="0" xfId="0" applyFont="1" applyFill="1" applyAlignment="1">
      <alignment horizontal="center"/>
    </xf>
    <xf numFmtId="10" fontId="23" fillId="0" borderId="0" xfId="1" applyNumberFormat="1" applyFont="1"/>
    <xf numFmtId="0" fontId="1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/>
    <xf numFmtId="0" fontId="3" fillId="9" borderId="15" xfId="0" applyFont="1" applyFill="1" applyBorder="1" applyAlignment="1"/>
    <xf numFmtId="0" fontId="1" fillId="10" borderId="24" xfId="0" applyFont="1" applyFill="1" applyBorder="1" applyAlignment="1">
      <alignment horizontal="center"/>
    </xf>
    <xf numFmtId="0" fontId="3" fillId="10" borderId="18" xfId="0" applyFont="1" applyFill="1" applyBorder="1" applyAlignment="1"/>
    <xf numFmtId="0" fontId="3" fillId="10" borderId="25" xfId="0" applyFont="1" applyFill="1" applyBorder="1" applyAlignment="1"/>
  </cellXfs>
  <cellStyles count="2">
    <cellStyle name="Normál" xfId="0" builtinId="0"/>
    <cellStyle name="Százalék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S32"/>
  <sheetViews>
    <sheetView zoomScaleNormal="100" workbookViewId="0">
      <selection activeCell="C3" sqref="C3"/>
    </sheetView>
  </sheetViews>
  <sheetFormatPr defaultColWidth="11.5546875" defaultRowHeight="14.4" x14ac:dyDescent="0.3"/>
  <cols>
    <col min="1" max="2" width="11.5546875" style="2"/>
    <col min="3" max="3" width="11.5546875" style="11"/>
    <col min="4" max="4" width="13.44140625" style="2" customWidth="1"/>
    <col min="5" max="5" width="13" style="9" customWidth="1"/>
    <col min="6" max="6" width="12.5546875" style="11" customWidth="1"/>
    <col min="7" max="7" width="13" style="4" customWidth="1"/>
    <col min="8" max="8" width="11.5546875" style="11"/>
    <col min="9" max="9" width="11.5546875" style="2"/>
    <col min="10" max="10" width="11.5546875" style="11"/>
    <col min="11" max="11" width="11.5546875" style="2"/>
  </cols>
  <sheetData>
    <row r="1" spans="1:19" s="1" customFormat="1" ht="43.2" x14ac:dyDescent="0.3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92" t="s">
        <v>5</v>
      </c>
      <c r="G1" s="7" t="s">
        <v>6</v>
      </c>
      <c r="H1" s="92" t="s">
        <v>7</v>
      </c>
      <c r="I1" s="6" t="s">
        <v>8</v>
      </c>
      <c r="J1" s="92" t="s">
        <v>9</v>
      </c>
      <c r="K1" s="6" t="s">
        <v>10</v>
      </c>
      <c r="L1" s="6" t="s">
        <v>11</v>
      </c>
    </row>
    <row r="2" spans="1:19" s="14" customFormat="1" x14ac:dyDescent="0.3">
      <c r="A2" s="12" t="s">
        <v>12</v>
      </c>
      <c r="B2" s="12">
        <v>1</v>
      </c>
      <c r="C2" s="160">
        <v>4</v>
      </c>
      <c r="D2" s="161">
        <v>2022</v>
      </c>
      <c r="E2" s="13">
        <f>Submetering!X2+Submetering!Y2</f>
        <v>14520.0000000008</v>
      </c>
      <c r="F2" s="3">
        <v>7.7909227967643713E-2</v>
      </c>
      <c r="G2" s="13">
        <f>Submetering!T2+Submetering!U2</f>
        <v>2413</v>
      </c>
      <c r="H2" s="3">
        <v>0.24162482260951298</v>
      </c>
      <c r="I2" s="13">
        <f>Submetering!E2+Submetering!H2</f>
        <v>115</v>
      </c>
      <c r="J2" s="159">
        <v>1.686569936015061</v>
      </c>
      <c r="K2" s="12">
        <f>Submetering!AF2</f>
        <v>69</v>
      </c>
      <c r="L2" s="12">
        <f>Submetering!AG2</f>
        <v>99</v>
      </c>
      <c r="N2" s="162"/>
      <c r="O2" s="162"/>
      <c r="P2" s="162"/>
    </row>
    <row r="3" spans="1:19" s="16" customFormat="1" x14ac:dyDescent="0.3">
      <c r="A3" s="12" t="s">
        <v>12</v>
      </c>
      <c r="B3" s="15">
        <f>B2+1</f>
        <v>2</v>
      </c>
      <c r="C3" s="3">
        <f>C2</f>
        <v>4</v>
      </c>
      <c r="D3" s="12">
        <f>+D2</f>
        <v>2022</v>
      </c>
      <c r="E3" s="13">
        <f>Submetering!X3+Submetering!Y3</f>
        <v>13771.999999998479</v>
      </c>
      <c r="F3" s="3">
        <v>7.7909227967643713E-2</v>
      </c>
      <c r="G3" s="13">
        <f>Submetering!T3+Submetering!U3</f>
        <v>2699</v>
      </c>
      <c r="H3" s="3">
        <v>0.24162482260951298</v>
      </c>
      <c r="I3" s="13">
        <f>Submetering!E3+Submetering!H3</f>
        <v>80</v>
      </c>
      <c r="J3" s="159">
        <f>J2</f>
        <v>1.686569936015061</v>
      </c>
      <c r="K3" s="12">
        <f>Submetering!AF3</f>
        <v>76</v>
      </c>
      <c r="L3" s="12">
        <f>Submetering!AG3</f>
        <v>106</v>
      </c>
      <c r="N3" s="162"/>
      <c r="O3" s="162"/>
      <c r="P3" s="162"/>
      <c r="R3" s="14"/>
      <c r="S3" s="14"/>
    </row>
    <row r="4" spans="1:19" s="16" customFormat="1" x14ac:dyDescent="0.3">
      <c r="A4" s="12" t="s">
        <v>12</v>
      </c>
      <c r="B4" s="15">
        <f t="shared" ref="B4:B32" si="0">B3+1</f>
        <v>3</v>
      </c>
      <c r="C4" s="3">
        <f t="shared" ref="C4:C32" si="1">C3</f>
        <v>4</v>
      </c>
      <c r="D4" s="12">
        <f t="shared" ref="D4:D32" si="2">+D3</f>
        <v>2022</v>
      </c>
      <c r="E4" s="13">
        <f>Submetering!X4+Submetering!Y4</f>
        <v>13596.00000000064</v>
      </c>
      <c r="F4" s="3">
        <v>7.7909227967643713E-2</v>
      </c>
      <c r="G4" s="13">
        <f>Submetering!T4+Submetering!U4</f>
        <v>2732</v>
      </c>
      <c r="H4" s="3">
        <v>0.24162482260951298</v>
      </c>
      <c r="I4" s="13">
        <f>Submetering!E4+Submetering!H4</f>
        <v>69</v>
      </c>
      <c r="J4" s="159">
        <f t="shared" ref="J4:J32" si="3">J3</f>
        <v>1.686569936015061</v>
      </c>
      <c r="K4" s="12">
        <f>Submetering!AF4</f>
        <v>57</v>
      </c>
      <c r="L4" s="12">
        <f>Submetering!AG4</f>
        <v>67</v>
      </c>
      <c r="N4" s="162"/>
      <c r="O4" s="162"/>
      <c r="P4" s="162"/>
      <c r="R4" s="14"/>
      <c r="S4" s="14"/>
    </row>
    <row r="5" spans="1:19" s="16" customFormat="1" x14ac:dyDescent="0.3">
      <c r="A5" s="12" t="s">
        <v>12</v>
      </c>
      <c r="B5" s="15">
        <f t="shared" si="0"/>
        <v>4</v>
      </c>
      <c r="C5" s="3">
        <f t="shared" si="1"/>
        <v>4</v>
      </c>
      <c r="D5" s="12">
        <f t="shared" si="2"/>
        <v>2022</v>
      </c>
      <c r="E5" s="13">
        <f>Submetering!X5+Submetering!Y5</f>
        <v>13200</v>
      </c>
      <c r="F5" s="3">
        <v>7.7909227967643713E-2</v>
      </c>
      <c r="G5" s="13">
        <f>Submetering!T5+Submetering!U5</f>
        <v>2925</v>
      </c>
      <c r="H5" s="3">
        <v>0.24162482260951298</v>
      </c>
      <c r="I5" s="13">
        <f>Submetering!E5+Submetering!H5</f>
        <v>103</v>
      </c>
      <c r="J5" s="159">
        <f t="shared" si="3"/>
        <v>1.686569936015061</v>
      </c>
      <c r="K5" s="12">
        <f>Submetering!AF5</f>
        <v>83</v>
      </c>
      <c r="L5" s="12">
        <f>Submetering!AG5</f>
        <v>98</v>
      </c>
      <c r="N5" s="162"/>
      <c r="O5" s="162"/>
      <c r="P5" s="162"/>
      <c r="R5" s="14"/>
      <c r="S5" s="14"/>
    </row>
    <row r="6" spans="1:19" s="16" customFormat="1" x14ac:dyDescent="0.3">
      <c r="A6" s="12" t="s">
        <v>12</v>
      </c>
      <c r="B6" s="15">
        <f t="shared" si="0"/>
        <v>5</v>
      </c>
      <c r="C6" s="3">
        <f t="shared" si="1"/>
        <v>4</v>
      </c>
      <c r="D6" s="12">
        <f t="shared" si="2"/>
        <v>2022</v>
      </c>
      <c r="E6" s="13">
        <f>Submetering!X6+Submetering!Y6</f>
        <v>13991.99999999928</v>
      </c>
      <c r="F6" s="3">
        <v>7.7909227967643713E-2</v>
      </c>
      <c r="G6" s="13">
        <f>Submetering!T6+Submetering!U6</f>
        <v>2187</v>
      </c>
      <c r="H6" s="3">
        <v>0.24162482260951298</v>
      </c>
      <c r="I6" s="13">
        <f>Submetering!E6+Submetering!H6</f>
        <v>110</v>
      </c>
      <c r="J6" s="159">
        <f t="shared" si="3"/>
        <v>1.686569936015061</v>
      </c>
      <c r="K6" s="12">
        <f>Submetering!AF6</f>
        <v>90</v>
      </c>
      <c r="L6" s="12">
        <f>Submetering!AG6</f>
        <v>107</v>
      </c>
      <c r="N6" s="162"/>
      <c r="O6" s="162"/>
      <c r="P6" s="162"/>
      <c r="R6" s="14"/>
      <c r="S6" s="14"/>
    </row>
    <row r="7" spans="1:19" s="16" customFormat="1" x14ac:dyDescent="0.3">
      <c r="A7" s="12" t="s">
        <v>12</v>
      </c>
      <c r="B7" s="15">
        <f t="shared" si="0"/>
        <v>6</v>
      </c>
      <c r="C7" s="3">
        <f t="shared" si="1"/>
        <v>4</v>
      </c>
      <c r="D7" s="12">
        <f t="shared" si="2"/>
        <v>2022</v>
      </c>
      <c r="E7" s="13">
        <f>Submetering!X7+Submetering!Y7</f>
        <v>14080.000000001201</v>
      </c>
      <c r="F7" s="3">
        <v>7.7909227967643713E-2</v>
      </c>
      <c r="G7" s="13">
        <f>Submetering!T7+Submetering!U7</f>
        <v>1672</v>
      </c>
      <c r="H7" s="3">
        <v>0.24162482260951298</v>
      </c>
      <c r="I7" s="13">
        <f>Submetering!E7+Submetering!H7</f>
        <v>124</v>
      </c>
      <c r="J7" s="159">
        <f t="shared" si="3"/>
        <v>1.686569936015061</v>
      </c>
      <c r="K7" s="12">
        <f>Submetering!AF7</f>
        <v>60</v>
      </c>
      <c r="L7" s="12">
        <f>Submetering!AG7</f>
        <v>74</v>
      </c>
      <c r="N7" s="162"/>
      <c r="O7" s="162"/>
      <c r="P7" s="162"/>
      <c r="R7" s="14"/>
      <c r="S7" s="14"/>
    </row>
    <row r="8" spans="1:19" s="16" customFormat="1" x14ac:dyDescent="0.3">
      <c r="A8" s="12" t="s">
        <v>12</v>
      </c>
      <c r="B8" s="15">
        <f t="shared" si="0"/>
        <v>7</v>
      </c>
      <c r="C8" s="3">
        <f t="shared" si="1"/>
        <v>4</v>
      </c>
      <c r="D8" s="12">
        <f t="shared" si="2"/>
        <v>2022</v>
      </c>
      <c r="E8" s="13">
        <f>Submetering!X8+Submetering!Y8</f>
        <v>13860.0000000004</v>
      </c>
      <c r="F8" s="3">
        <v>7.7909227967643713E-2</v>
      </c>
      <c r="G8" s="13">
        <f>Submetering!T8+Submetering!U8</f>
        <v>1702</v>
      </c>
      <c r="H8" s="3">
        <v>0.24162482260951298</v>
      </c>
      <c r="I8" s="13">
        <f>Submetering!E8+Submetering!H8</f>
        <v>112</v>
      </c>
      <c r="J8" s="159">
        <f t="shared" si="3"/>
        <v>1.686569936015061</v>
      </c>
      <c r="K8" s="12">
        <f>Submetering!AF8</f>
        <v>71</v>
      </c>
      <c r="L8" s="12">
        <f>Submetering!AG8</f>
        <v>88</v>
      </c>
      <c r="N8" s="162"/>
      <c r="O8" s="162"/>
      <c r="P8" s="162"/>
      <c r="R8" s="14"/>
      <c r="S8" s="14"/>
    </row>
    <row r="9" spans="1:19" s="16" customFormat="1" x14ac:dyDescent="0.3">
      <c r="A9" s="12" t="s">
        <v>12</v>
      </c>
      <c r="B9" s="15">
        <f t="shared" si="0"/>
        <v>8</v>
      </c>
      <c r="C9" s="3">
        <f t="shared" si="1"/>
        <v>4</v>
      </c>
      <c r="D9" s="12">
        <f t="shared" si="2"/>
        <v>2022</v>
      </c>
      <c r="E9" s="13">
        <f>Submetering!X9+Submetering!Y9</f>
        <v>14123.999999998159</v>
      </c>
      <c r="F9" s="3">
        <v>7.7909227967643713E-2</v>
      </c>
      <c r="G9" s="13">
        <f>Submetering!T9+Submetering!U9</f>
        <v>1610</v>
      </c>
      <c r="H9" s="3">
        <v>0.24162482260951298</v>
      </c>
      <c r="I9" s="13">
        <f>Submetering!E9+Submetering!H9</f>
        <v>109</v>
      </c>
      <c r="J9" s="159">
        <f t="shared" si="3"/>
        <v>1.686569936015061</v>
      </c>
      <c r="K9" s="12">
        <f>Submetering!AF9</f>
        <v>82</v>
      </c>
      <c r="L9" s="12">
        <f>Submetering!AG9</f>
        <v>88</v>
      </c>
      <c r="N9" s="162"/>
      <c r="O9" s="162"/>
      <c r="P9" s="162"/>
      <c r="R9" s="14"/>
      <c r="S9" s="14"/>
    </row>
    <row r="10" spans="1:19" s="16" customFormat="1" x14ac:dyDescent="0.3">
      <c r="A10" s="12" t="s">
        <v>12</v>
      </c>
      <c r="B10" s="15">
        <f t="shared" si="0"/>
        <v>9</v>
      </c>
      <c r="C10" s="3">
        <f t="shared" si="1"/>
        <v>4</v>
      </c>
      <c r="D10" s="12">
        <f t="shared" si="2"/>
        <v>2022</v>
      </c>
      <c r="E10" s="13">
        <f>Submetering!X10+Submetering!Y10</f>
        <v>13552.000000001681</v>
      </c>
      <c r="F10" s="3">
        <v>7.7909227967643713E-2</v>
      </c>
      <c r="G10" s="13">
        <f>Submetering!T10+Submetering!U10</f>
        <v>1938</v>
      </c>
      <c r="H10" s="3">
        <v>0.24162482260951298</v>
      </c>
      <c r="I10" s="13">
        <f>Submetering!E10+Submetering!H10</f>
        <v>84</v>
      </c>
      <c r="J10" s="159">
        <f t="shared" si="3"/>
        <v>1.686569936015061</v>
      </c>
      <c r="K10" s="12">
        <f>Submetering!AF10</f>
        <v>94</v>
      </c>
      <c r="L10" s="12">
        <f>Submetering!AG10</f>
        <v>110</v>
      </c>
      <c r="N10" s="162"/>
      <c r="O10" s="162"/>
      <c r="P10" s="162"/>
      <c r="R10" s="14"/>
      <c r="S10" s="14"/>
    </row>
    <row r="11" spans="1:19" s="16" customFormat="1" x14ac:dyDescent="0.3">
      <c r="A11" s="12" t="s">
        <v>12</v>
      </c>
      <c r="B11" s="15">
        <f t="shared" si="0"/>
        <v>10</v>
      </c>
      <c r="C11" s="3">
        <f t="shared" si="1"/>
        <v>4</v>
      </c>
      <c r="D11" s="12">
        <f t="shared" si="2"/>
        <v>2022</v>
      </c>
      <c r="E11" s="13">
        <f>Submetering!X11+Submetering!Y11</f>
        <v>13683.999999998559</v>
      </c>
      <c r="F11" s="3">
        <v>7.7909227967643713E-2</v>
      </c>
      <c r="G11" s="13">
        <f>Submetering!T11+Submetering!U11</f>
        <v>2139</v>
      </c>
      <c r="H11" s="3">
        <v>0.24162482260951298</v>
      </c>
      <c r="I11" s="13">
        <f>Submetering!E11+Submetering!H11</f>
        <v>85</v>
      </c>
      <c r="J11" s="159">
        <f t="shared" si="3"/>
        <v>1.686569936015061</v>
      </c>
      <c r="K11" s="12">
        <f>Submetering!AF11</f>
        <v>104</v>
      </c>
      <c r="L11" s="12">
        <f>Submetering!AG11</f>
        <v>140</v>
      </c>
      <c r="N11" s="162"/>
      <c r="O11" s="162"/>
      <c r="P11" s="162"/>
      <c r="R11" s="14"/>
      <c r="S11" s="14"/>
    </row>
    <row r="12" spans="1:19" s="16" customFormat="1" x14ac:dyDescent="0.3">
      <c r="A12" s="12" t="s">
        <v>12</v>
      </c>
      <c r="B12" s="15">
        <f t="shared" si="0"/>
        <v>11</v>
      </c>
      <c r="C12" s="3">
        <f t="shared" si="1"/>
        <v>4</v>
      </c>
      <c r="D12" s="12">
        <f t="shared" si="2"/>
        <v>2022</v>
      </c>
      <c r="E12" s="13">
        <f>Submetering!X12+Submetering!Y12</f>
        <v>13200</v>
      </c>
      <c r="F12" s="3">
        <v>7.7909227967643713E-2</v>
      </c>
      <c r="G12" s="13">
        <f>Submetering!T12+Submetering!U12</f>
        <v>2491</v>
      </c>
      <c r="H12" s="3">
        <v>0.24162482260951298</v>
      </c>
      <c r="I12" s="13">
        <f>Submetering!E12+Submetering!H12</f>
        <v>110</v>
      </c>
      <c r="J12" s="159">
        <f t="shared" si="3"/>
        <v>1.686569936015061</v>
      </c>
      <c r="K12" s="12">
        <f>Submetering!AF12</f>
        <v>115</v>
      </c>
      <c r="L12" s="12">
        <f>Submetering!AG12</f>
        <v>155</v>
      </c>
      <c r="N12" s="162"/>
      <c r="O12" s="162"/>
      <c r="P12" s="162"/>
      <c r="R12" s="14"/>
      <c r="S12" s="14"/>
    </row>
    <row r="13" spans="1:19" s="16" customFormat="1" x14ac:dyDescent="0.3">
      <c r="A13" s="12" t="s">
        <v>12</v>
      </c>
      <c r="B13" s="15">
        <f t="shared" si="0"/>
        <v>12</v>
      </c>
      <c r="C13" s="3">
        <f t="shared" si="1"/>
        <v>4</v>
      </c>
      <c r="D13" s="12">
        <f t="shared" si="2"/>
        <v>2022</v>
      </c>
      <c r="E13" s="13">
        <f>Submetering!X13+Submetering!Y13</f>
        <v>13684.00000000056</v>
      </c>
      <c r="F13" s="3">
        <v>7.7909227967643713E-2</v>
      </c>
      <c r="G13" s="13">
        <f>Submetering!T13+Submetering!U13</f>
        <v>2126</v>
      </c>
      <c r="H13" s="3">
        <v>0.24162482260951298</v>
      </c>
      <c r="I13" s="13">
        <f>Submetering!E13+Submetering!H13</f>
        <v>138</v>
      </c>
      <c r="J13" s="159">
        <f t="shared" si="3"/>
        <v>1.686569936015061</v>
      </c>
      <c r="K13" s="12">
        <f>Submetering!AF13</f>
        <v>127</v>
      </c>
      <c r="L13" s="12">
        <f>Submetering!AG13</f>
        <v>170</v>
      </c>
      <c r="N13" s="162"/>
      <c r="O13" s="162"/>
      <c r="P13" s="162"/>
      <c r="R13" s="14"/>
      <c r="S13" s="14"/>
    </row>
    <row r="14" spans="1:19" s="16" customFormat="1" x14ac:dyDescent="0.3">
      <c r="A14" s="12" t="s">
        <v>12</v>
      </c>
      <c r="B14" s="15">
        <f t="shared" si="0"/>
        <v>13</v>
      </c>
      <c r="C14" s="3">
        <f t="shared" si="1"/>
        <v>4</v>
      </c>
      <c r="D14" s="12">
        <f t="shared" si="2"/>
        <v>2022</v>
      </c>
      <c r="E14" s="13">
        <f>Submetering!X14+Submetering!Y14</f>
        <v>14124.00000000016</v>
      </c>
      <c r="F14" s="3">
        <v>7.7909227967643713E-2</v>
      </c>
      <c r="G14" s="13">
        <f>Submetering!T14+Submetering!U14</f>
        <v>1935</v>
      </c>
      <c r="H14" s="3">
        <v>0.24162482260951298</v>
      </c>
      <c r="I14" s="13">
        <f>Submetering!E14+Submetering!H14</f>
        <v>138</v>
      </c>
      <c r="J14" s="159">
        <f t="shared" si="3"/>
        <v>1.686569936015061</v>
      </c>
      <c r="K14" s="12">
        <f>Submetering!AF14</f>
        <v>104</v>
      </c>
      <c r="L14" s="12">
        <f>Submetering!AG14</f>
        <v>144</v>
      </c>
      <c r="N14" s="162"/>
      <c r="O14" s="162"/>
      <c r="P14" s="162"/>
      <c r="R14" s="14"/>
      <c r="S14" s="14"/>
    </row>
    <row r="15" spans="1:19" s="16" customFormat="1" x14ac:dyDescent="0.3">
      <c r="A15" s="12" t="s">
        <v>12</v>
      </c>
      <c r="B15" s="15">
        <f t="shared" si="0"/>
        <v>14</v>
      </c>
      <c r="C15" s="3">
        <f t="shared" si="1"/>
        <v>4</v>
      </c>
      <c r="D15" s="12">
        <f t="shared" si="2"/>
        <v>2022</v>
      </c>
      <c r="E15" s="13">
        <f>Submetering!X15+Submetering!Y15</f>
        <v>14124.00000000016</v>
      </c>
      <c r="F15" s="3">
        <v>7.7909227967643713E-2</v>
      </c>
      <c r="G15" s="13">
        <f>Submetering!T15+Submetering!U15</f>
        <v>1830</v>
      </c>
      <c r="H15" s="3">
        <v>0.24162482260951298</v>
      </c>
      <c r="I15" s="13">
        <f>Submetering!E15+Submetering!H15</f>
        <v>143</v>
      </c>
      <c r="J15" s="159">
        <f t="shared" si="3"/>
        <v>1.686569936015061</v>
      </c>
      <c r="K15" s="12">
        <f>Submetering!AF15</f>
        <v>111</v>
      </c>
      <c r="L15" s="12">
        <f>Submetering!AG15</f>
        <v>167</v>
      </c>
      <c r="N15" s="162"/>
      <c r="O15" s="162"/>
      <c r="P15" s="162"/>
      <c r="R15" s="14"/>
      <c r="S15" s="14"/>
    </row>
    <row r="16" spans="1:19" s="16" customFormat="1" x14ac:dyDescent="0.3">
      <c r="A16" s="12" t="s">
        <v>12</v>
      </c>
      <c r="B16" s="15">
        <f t="shared" si="0"/>
        <v>15</v>
      </c>
      <c r="C16" s="3">
        <f t="shared" si="1"/>
        <v>4</v>
      </c>
      <c r="D16" s="12">
        <f t="shared" si="2"/>
        <v>2022</v>
      </c>
      <c r="E16" s="13">
        <f>Submetering!X16+Submetering!Y16</f>
        <v>14343.99999999896</v>
      </c>
      <c r="F16" s="3">
        <v>7.7909227967643713E-2</v>
      </c>
      <c r="G16" s="13">
        <f>Submetering!T16+Submetering!U16</f>
        <v>1819</v>
      </c>
      <c r="H16" s="3">
        <v>0.24162482260951298</v>
      </c>
      <c r="I16" s="13">
        <f>Submetering!E16+Submetering!H16</f>
        <v>134</v>
      </c>
      <c r="J16" s="159">
        <f t="shared" si="3"/>
        <v>1.686569936015061</v>
      </c>
      <c r="K16" s="12">
        <f>Submetering!AF16</f>
        <v>108</v>
      </c>
      <c r="L16" s="12">
        <f>Submetering!AG16</f>
        <v>184</v>
      </c>
      <c r="N16" s="162"/>
      <c r="O16" s="162"/>
      <c r="P16" s="162"/>
      <c r="R16" s="14"/>
      <c r="S16" s="14"/>
    </row>
    <row r="17" spans="1:19" s="16" customFormat="1" x14ac:dyDescent="0.3">
      <c r="A17" s="12" t="s">
        <v>12</v>
      </c>
      <c r="B17" s="15">
        <f t="shared" si="0"/>
        <v>16</v>
      </c>
      <c r="C17" s="3">
        <f t="shared" si="1"/>
        <v>4</v>
      </c>
      <c r="D17" s="12">
        <f t="shared" si="2"/>
        <v>2022</v>
      </c>
      <c r="E17" s="13">
        <f>Submetering!X17+Submetering!Y17</f>
        <v>14168.00000000112</v>
      </c>
      <c r="F17" s="3">
        <v>7.7909227967643713E-2</v>
      </c>
      <c r="G17" s="13">
        <f>Submetering!T17+Submetering!U17</f>
        <v>1845</v>
      </c>
      <c r="H17" s="3">
        <v>0.24162482260951298</v>
      </c>
      <c r="I17" s="13">
        <f>Submetering!E17+Submetering!H17</f>
        <v>108</v>
      </c>
      <c r="J17" s="159">
        <f t="shared" si="3"/>
        <v>1.686569936015061</v>
      </c>
      <c r="K17" s="12">
        <f>Submetering!AF17</f>
        <v>97</v>
      </c>
      <c r="L17" s="12">
        <f>Submetering!AG17</f>
        <v>166</v>
      </c>
      <c r="N17" s="162"/>
      <c r="O17" s="162"/>
      <c r="P17" s="162"/>
      <c r="R17" s="14"/>
      <c r="S17" s="14"/>
    </row>
    <row r="18" spans="1:19" s="16" customFormat="1" x14ac:dyDescent="0.3">
      <c r="A18" s="12" t="s">
        <v>12</v>
      </c>
      <c r="B18" s="15">
        <f t="shared" si="0"/>
        <v>17</v>
      </c>
      <c r="C18" s="3">
        <f t="shared" si="1"/>
        <v>4</v>
      </c>
      <c r="D18" s="12">
        <f t="shared" si="2"/>
        <v>2022</v>
      </c>
      <c r="E18" s="13">
        <f>Submetering!X18+Submetering!Y18</f>
        <v>13639.9999999996</v>
      </c>
      <c r="F18" s="3">
        <v>7.7909227967643713E-2</v>
      </c>
      <c r="G18" s="13">
        <f>Submetering!T18+Submetering!U18</f>
        <v>2018</v>
      </c>
      <c r="H18" s="3">
        <v>0.24162482260951298</v>
      </c>
      <c r="I18" s="13">
        <f>Submetering!E18+Submetering!H18</f>
        <v>91</v>
      </c>
      <c r="J18" s="159">
        <f t="shared" si="3"/>
        <v>1.686569936015061</v>
      </c>
      <c r="K18" s="12">
        <f>Submetering!AF18</f>
        <v>84</v>
      </c>
      <c r="L18" s="12">
        <f>Submetering!AG18</f>
        <v>134</v>
      </c>
      <c r="N18" s="162"/>
      <c r="O18" s="162"/>
      <c r="P18" s="162"/>
      <c r="R18" s="14"/>
      <c r="S18" s="14"/>
    </row>
    <row r="19" spans="1:19" s="16" customFormat="1" x14ac:dyDescent="0.3">
      <c r="A19" s="12" t="s">
        <v>12</v>
      </c>
      <c r="B19" s="15">
        <f t="shared" si="0"/>
        <v>18</v>
      </c>
      <c r="C19" s="3">
        <f t="shared" si="1"/>
        <v>4</v>
      </c>
      <c r="D19" s="12">
        <f t="shared" si="2"/>
        <v>2022</v>
      </c>
      <c r="E19" s="13">
        <f>Submetering!X19+Submetering!Y19</f>
        <v>12408.00000000072</v>
      </c>
      <c r="F19" s="3">
        <v>7.7909227967643713E-2</v>
      </c>
      <c r="G19" s="13">
        <f>Submetering!T19+Submetering!U19</f>
        <v>2033</v>
      </c>
      <c r="H19" s="3">
        <v>0.24162482260951298</v>
      </c>
      <c r="I19" s="13">
        <f>Submetering!E19+Submetering!H19</f>
        <v>111</v>
      </c>
      <c r="J19" s="159">
        <f t="shared" si="3"/>
        <v>1.686569936015061</v>
      </c>
      <c r="K19" s="12">
        <f>Submetering!AF19</f>
        <v>75</v>
      </c>
      <c r="L19" s="12">
        <f>Submetering!AG19</f>
        <v>106</v>
      </c>
      <c r="N19" s="162"/>
      <c r="O19" s="162"/>
      <c r="P19" s="162"/>
      <c r="R19" s="14"/>
      <c r="S19" s="14"/>
    </row>
    <row r="20" spans="1:19" s="16" customFormat="1" x14ac:dyDescent="0.3">
      <c r="A20" s="12" t="s">
        <v>12</v>
      </c>
      <c r="B20" s="15">
        <f t="shared" si="0"/>
        <v>19</v>
      </c>
      <c r="C20" s="3">
        <f t="shared" si="1"/>
        <v>4</v>
      </c>
      <c r="D20" s="12">
        <f t="shared" si="2"/>
        <v>2022</v>
      </c>
      <c r="E20" s="13">
        <f>Submetering!X20+Submetering!Y20</f>
        <v>13331.99999999888</v>
      </c>
      <c r="F20" s="3">
        <v>7.7909227967643713E-2</v>
      </c>
      <c r="G20" s="13">
        <f>Submetering!T20+Submetering!U20</f>
        <v>2551</v>
      </c>
      <c r="H20" s="3">
        <v>0.24162482260951298</v>
      </c>
      <c r="I20" s="13">
        <f>Submetering!E20+Submetering!H20</f>
        <v>112</v>
      </c>
      <c r="J20" s="159">
        <f t="shared" si="3"/>
        <v>1.686569936015061</v>
      </c>
      <c r="K20" s="12">
        <f>Submetering!AF20</f>
        <v>71</v>
      </c>
      <c r="L20" s="12">
        <f>Submetering!AG20</f>
        <v>99</v>
      </c>
      <c r="N20" s="162"/>
      <c r="O20" s="162"/>
      <c r="P20" s="162"/>
      <c r="R20" s="14"/>
      <c r="S20" s="14"/>
    </row>
    <row r="21" spans="1:19" s="16" customFormat="1" x14ac:dyDescent="0.3">
      <c r="A21" s="12" t="s">
        <v>12</v>
      </c>
      <c r="B21" s="15">
        <f t="shared" si="0"/>
        <v>20</v>
      </c>
      <c r="C21" s="3">
        <f t="shared" si="1"/>
        <v>4</v>
      </c>
      <c r="D21" s="12">
        <f t="shared" si="2"/>
        <v>2022</v>
      </c>
      <c r="E21" s="13">
        <f>Submetering!X21+Submetering!Y21</f>
        <v>14344.00000000096</v>
      </c>
      <c r="F21" s="3">
        <v>7.7909227967643713E-2</v>
      </c>
      <c r="G21" s="13">
        <f>Submetering!T21+Submetering!U21</f>
        <v>2285</v>
      </c>
      <c r="H21" s="3">
        <v>0.24162482260951298</v>
      </c>
      <c r="I21" s="13">
        <f>Submetering!E21+Submetering!H21</f>
        <v>120</v>
      </c>
      <c r="J21" s="159">
        <f t="shared" si="3"/>
        <v>1.686569936015061</v>
      </c>
      <c r="K21" s="12">
        <f>Submetering!AF21</f>
        <v>83</v>
      </c>
      <c r="L21" s="12">
        <f>Submetering!AG21</f>
        <v>116</v>
      </c>
      <c r="N21" s="162"/>
      <c r="O21" s="162"/>
      <c r="P21" s="162"/>
      <c r="R21" s="14"/>
      <c r="S21" s="14"/>
    </row>
    <row r="22" spans="1:19" s="16" customFormat="1" x14ac:dyDescent="0.3">
      <c r="A22" s="12" t="s">
        <v>12</v>
      </c>
      <c r="B22" s="15">
        <f t="shared" si="0"/>
        <v>21</v>
      </c>
      <c r="C22" s="3">
        <f t="shared" si="1"/>
        <v>4</v>
      </c>
      <c r="D22" s="12">
        <f t="shared" si="2"/>
        <v>2022</v>
      </c>
      <c r="E22" s="13">
        <f>Submetering!X22+Submetering!Y22</f>
        <v>14695.999999998639</v>
      </c>
      <c r="F22" s="3">
        <v>7.7909227967643713E-2</v>
      </c>
      <c r="G22" s="13">
        <f>Submetering!T22+Submetering!U22</f>
        <v>2029</v>
      </c>
      <c r="H22" s="3">
        <v>0.24162482260951298</v>
      </c>
      <c r="I22" s="13">
        <f>Submetering!E22+Submetering!H22</f>
        <v>122</v>
      </c>
      <c r="J22" s="159">
        <f t="shared" si="3"/>
        <v>1.686569936015061</v>
      </c>
      <c r="K22" s="12">
        <f>Submetering!AF22</f>
        <v>69</v>
      </c>
      <c r="L22" s="12">
        <f>Submetering!AG22</f>
        <v>114</v>
      </c>
      <c r="N22" s="162"/>
      <c r="O22" s="162"/>
      <c r="P22" s="162"/>
      <c r="R22" s="14"/>
      <c r="S22" s="14"/>
    </row>
    <row r="23" spans="1:19" s="16" customFormat="1" x14ac:dyDescent="0.3">
      <c r="A23" s="12" t="s">
        <v>12</v>
      </c>
      <c r="B23" s="15">
        <f t="shared" si="0"/>
        <v>22</v>
      </c>
      <c r="C23" s="3">
        <f t="shared" si="1"/>
        <v>4</v>
      </c>
      <c r="D23" s="12">
        <f t="shared" si="2"/>
        <v>2022</v>
      </c>
      <c r="E23" s="13">
        <f>Submetering!X23+Submetering!Y23</f>
        <v>14608.00000000072</v>
      </c>
      <c r="F23" s="3">
        <v>7.7909227967643713E-2</v>
      </c>
      <c r="G23" s="13">
        <f>Submetering!T23+Submetering!U23</f>
        <v>2173</v>
      </c>
      <c r="H23" s="3">
        <v>0.24162482260951298</v>
      </c>
      <c r="I23" s="13">
        <f>Submetering!E23+Submetering!H23</f>
        <v>118</v>
      </c>
      <c r="J23" s="159">
        <f t="shared" si="3"/>
        <v>1.686569936015061</v>
      </c>
      <c r="K23" s="12">
        <f>Submetering!AF23</f>
        <v>70</v>
      </c>
      <c r="L23" s="12">
        <f>Submetering!AG23</f>
        <v>123</v>
      </c>
      <c r="N23" s="162"/>
      <c r="O23" s="162"/>
      <c r="P23" s="162"/>
      <c r="R23" s="14"/>
      <c r="S23" s="14"/>
    </row>
    <row r="24" spans="1:19" s="16" customFormat="1" x14ac:dyDescent="0.3">
      <c r="A24" s="12" t="s">
        <v>12</v>
      </c>
      <c r="B24" s="15">
        <f t="shared" si="0"/>
        <v>23</v>
      </c>
      <c r="C24" s="3">
        <f t="shared" si="1"/>
        <v>4</v>
      </c>
      <c r="D24" s="12">
        <f t="shared" si="2"/>
        <v>2022</v>
      </c>
      <c r="E24" s="13">
        <f>Submetering!X24+Submetering!Y24</f>
        <v>14608.00000000072</v>
      </c>
      <c r="F24" s="3">
        <v>7.7909227967643713E-2</v>
      </c>
      <c r="G24" s="13">
        <f>Submetering!T24+Submetering!U24</f>
        <v>1435</v>
      </c>
      <c r="H24" s="3">
        <v>0.24162482260951298</v>
      </c>
      <c r="I24" s="13">
        <f>Submetering!E24+Submetering!H24</f>
        <v>88</v>
      </c>
      <c r="J24" s="159">
        <f t="shared" si="3"/>
        <v>1.686569936015061</v>
      </c>
      <c r="K24" s="12">
        <f>Submetering!AF24</f>
        <v>48</v>
      </c>
      <c r="L24" s="12">
        <f>Submetering!AG24</f>
        <v>81</v>
      </c>
      <c r="N24" s="162"/>
      <c r="O24" s="162"/>
      <c r="P24" s="162"/>
      <c r="R24" s="14"/>
      <c r="S24" s="14"/>
    </row>
    <row r="25" spans="1:19" s="16" customFormat="1" x14ac:dyDescent="0.3">
      <c r="A25" s="12" t="s">
        <v>12</v>
      </c>
      <c r="B25" s="15">
        <f t="shared" si="0"/>
        <v>24</v>
      </c>
      <c r="C25" s="3">
        <f t="shared" si="1"/>
        <v>4</v>
      </c>
      <c r="D25" s="12">
        <f t="shared" si="2"/>
        <v>2022</v>
      </c>
      <c r="E25" s="13">
        <f>Submetering!X25+Submetering!Y25</f>
        <v>14343.99999999896</v>
      </c>
      <c r="F25" s="3">
        <v>7.7909227967643713E-2</v>
      </c>
      <c r="G25" s="13">
        <f>Submetering!T25+Submetering!U25</f>
        <v>1269</v>
      </c>
      <c r="H25" s="3">
        <v>0.24162482260951298</v>
      </c>
      <c r="I25" s="13">
        <f>Submetering!E25+Submetering!H25</f>
        <v>83</v>
      </c>
      <c r="J25" s="159">
        <f t="shared" si="3"/>
        <v>1.686569936015061</v>
      </c>
      <c r="K25" s="12">
        <f>Submetering!AF25</f>
        <v>62</v>
      </c>
      <c r="L25" s="12">
        <f>Submetering!AG25</f>
        <v>90</v>
      </c>
      <c r="N25" s="162"/>
      <c r="O25" s="162"/>
      <c r="P25" s="162"/>
      <c r="R25" s="14"/>
      <c r="S25" s="14"/>
    </row>
    <row r="26" spans="1:19" s="16" customFormat="1" x14ac:dyDescent="0.3">
      <c r="A26" s="12" t="s">
        <v>12</v>
      </c>
      <c r="B26" s="15">
        <f>B25+1</f>
        <v>25</v>
      </c>
      <c r="C26" s="3">
        <f t="shared" si="1"/>
        <v>4</v>
      </c>
      <c r="D26" s="12">
        <f t="shared" si="2"/>
        <v>2022</v>
      </c>
      <c r="E26" s="13">
        <f>Submetering!X26+Submetering!Y26</f>
        <v>14168.00000000112</v>
      </c>
      <c r="F26" s="3">
        <v>7.7909227967643713E-2</v>
      </c>
      <c r="G26" s="13">
        <f>Submetering!T26+Submetering!U26</f>
        <v>1720</v>
      </c>
      <c r="H26" s="3">
        <v>0.24162482260951298</v>
      </c>
      <c r="I26" s="13">
        <f>Submetering!E26+Submetering!H26</f>
        <v>124</v>
      </c>
      <c r="J26" s="159">
        <f t="shared" si="3"/>
        <v>1.686569936015061</v>
      </c>
      <c r="K26" s="12">
        <f>Submetering!AF26</f>
        <v>58</v>
      </c>
      <c r="L26" s="12">
        <f>Submetering!AG26</f>
        <v>77</v>
      </c>
      <c r="N26" s="162"/>
      <c r="O26" s="162"/>
      <c r="P26" s="162"/>
      <c r="R26" s="14"/>
      <c r="S26" s="14"/>
    </row>
    <row r="27" spans="1:19" s="16" customFormat="1" x14ac:dyDescent="0.3">
      <c r="A27" s="12" t="s">
        <v>12</v>
      </c>
      <c r="B27" s="15">
        <f t="shared" si="0"/>
        <v>26</v>
      </c>
      <c r="C27" s="3">
        <f t="shared" si="1"/>
        <v>4</v>
      </c>
      <c r="D27" s="12">
        <f t="shared" si="2"/>
        <v>2022</v>
      </c>
      <c r="E27" s="13">
        <f>Submetering!X27+Submetering!Y27</f>
        <v>13859.999999998399</v>
      </c>
      <c r="F27" s="3">
        <v>7.7909227967643713E-2</v>
      </c>
      <c r="G27" s="13">
        <f>Submetering!T27+Submetering!U27</f>
        <v>1617</v>
      </c>
      <c r="H27" s="3">
        <v>0.24162482260951298</v>
      </c>
      <c r="I27" s="13">
        <f>Submetering!E27+Submetering!H27</f>
        <v>114</v>
      </c>
      <c r="J27" s="159">
        <f t="shared" si="3"/>
        <v>1.686569936015061</v>
      </c>
      <c r="K27" s="12">
        <f>Submetering!AF27</f>
        <v>70</v>
      </c>
      <c r="L27" s="12">
        <f>Submetering!AG27</f>
        <v>93</v>
      </c>
      <c r="N27" s="162"/>
      <c r="O27" s="162"/>
      <c r="P27" s="162"/>
      <c r="R27" s="14"/>
      <c r="S27" s="14"/>
    </row>
    <row r="28" spans="1:19" s="16" customFormat="1" x14ac:dyDescent="0.3">
      <c r="A28" s="12" t="s">
        <v>12</v>
      </c>
      <c r="B28" s="15">
        <f t="shared" si="0"/>
        <v>27</v>
      </c>
      <c r="C28" s="3">
        <f t="shared" si="1"/>
        <v>4</v>
      </c>
      <c r="D28" s="12">
        <f t="shared" si="2"/>
        <v>2022</v>
      </c>
      <c r="E28" s="13">
        <f>Submetering!X28+Submetering!Y28</f>
        <v>14124.00000000016</v>
      </c>
      <c r="F28" s="3">
        <v>7.7909227967643713E-2</v>
      </c>
      <c r="G28" s="13">
        <f>Submetering!T28+Submetering!U28</f>
        <v>1887</v>
      </c>
      <c r="H28" s="3">
        <v>0.24162482260951298</v>
      </c>
      <c r="I28" s="13">
        <f>Submetering!E28+Submetering!H28</f>
        <v>112</v>
      </c>
      <c r="J28" s="159">
        <f t="shared" si="3"/>
        <v>1.686569936015061</v>
      </c>
      <c r="K28" s="12">
        <f>Submetering!AF28</f>
        <v>79</v>
      </c>
      <c r="L28" s="12">
        <f>Submetering!AG28</f>
        <v>107</v>
      </c>
      <c r="N28" s="162"/>
      <c r="O28" s="162"/>
      <c r="P28" s="162"/>
      <c r="R28" s="14"/>
      <c r="S28" s="14"/>
    </row>
    <row r="29" spans="1:19" s="16" customFormat="1" x14ac:dyDescent="0.3">
      <c r="A29" s="12" t="s">
        <v>12</v>
      </c>
      <c r="B29" s="15">
        <f t="shared" si="0"/>
        <v>28</v>
      </c>
      <c r="C29" s="3">
        <f t="shared" si="1"/>
        <v>4</v>
      </c>
      <c r="D29" s="12">
        <f t="shared" si="2"/>
        <v>2022</v>
      </c>
      <c r="E29" s="13">
        <f>Submetering!X29+Submetering!Y29</f>
        <v>14784.00000000056</v>
      </c>
      <c r="F29" s="3">
        <v>7.7909227967643713E-2</v>
      </c>
      <c r="G29" s="13">
        <f>Submetering!T29+Submetering!U29</f>
        <v>1800</v>
      </c>
      <c r="H29" s="3">
        <v>0.24162482260951298</v>
      </c>
      <c r="I29" s="13">
        <f>Submetering!E29+Submetering!H29</f>
        <v>131</v>
      </c>
      <c r="J29" s="159">
        <f t="shared" si="3"/>
        <v>1.686569936015061</v>
      </c>
      <c r="K29" s="12">
        <f>Submetering!AF29</f>
        <v>62</v>
      </c>
      <c r="L29" s="12">
        <f>Submetering!AG29</f>
        <v>87</v>
      </c>
      <c r="N29" s="162"/>
      <c r="O29" s="162"/>
      <c r="P29" s="162"/>
      <c r="R29" s="14"/>
      <c r="S29" s="14"/>
    </row>
    <row r="30" spans="1:19" s="16" customFormat="1" x14ac:dyDescent="0.3">
      <c r="A30" s="12" t="s">
        <v>12</v>
      </c>
      <c r="B30" s="15">
        <f t="shared" si="0"/>
        <v>29</v>
      </c>
      <c r="C30" s="3">
        <f t="shared" si="1"/>
        <v>4</v>
      </c>
      <c r="D30" s="12">
        <f t="shared" si="2"/>
        <v>2022</v>
      </c>
      <c r="E30" s="13">
        <f>Submetering!X30+Submetering!Y30</f>
        <v>14784.00000000056</v>
      </c>
      <c r="F30" s="3">
        <v>7.7909227967643713E-2</v>
      </c>
      <c r="G30" s="13">
        <f>Submetering!T30+Submetering!U30</f>
        <v>1634</v>
      </c>
      <c r="H30" s="3">
        <v>0.24162482260951298</v>
      </c>
      <c r="I30" s="13">
        <f>Submetering!E30+Submetering!H30</f>
        <v>173</v>
      </c>
      <c r="J30" s="159">
        <f t="shared" si="3"/>
        <v>1.686569936015061</v>
      </c>
      <c r="K30" s="12">
        <f>Submetering!AF30</f>
        <v>51</v>
      </c>
      <c r="L30" s="12">
        <f>Submetering!AG30</f>
        <v>84</v>
      </c>
      <c r="N30" s="14"/>
    </row>
    <row r="31" spans="1:19" s="14" customFormat="1" x14ac:dyDescent="0.3">
      <c r="A31" s="12" t="s">
        <v>12</v>
      </c>
      <c r="B31" s="15">
        <f t="shared" si="0"/>
        <v>30</v>
      </c>
      <c r="C31" s="3">
        <f t="shared" si="1"/>
        <v>4</v>
      </c>
      <c r="D31" s="12">
        <f t="shared" si="2"/>
        <v>2022</v>
      </c>
      <c r="E31" s="13">
        <f>Submetering!X31+Submetering!Y31</f>
        <v>13551.99999999968</v>
      </c>
      <c r="F31" s="3">
        <v>7.7909227967643713E-2</v>
      </c>
      <c r="G31" s="13">
        <f>Submetering!T31+Submetering!U31</f>
        <v>1383</v>
      </c>
      <c r="H31" s="3">
        <v>0.24162482260951298</v>
      </c>
      <c r="I31" s="13">
        <f>Submetering!E31+Submetering!H31</f>
        <v>153</v>
      </c>
      <c r="J31" s="159">
        <f t="shared" si="3"/>
        <v>1.686569936015061</v>
      </c>
      <c r="K31" s="12">
        <f>Submetering!AF31</f>
        <v>65</v>
      </c>
      <c r="L31" s="12">
        <f>Submetering!AG31</f>
        <v>107</v>
      </c>
    </row>
    <row r="32" spans="1:19" x14ac:dyDescent="0.3">
      <c r="A32" s="12"/>
      <c r="B32" s="15"/>
      <c r="C32" s="3"/>
      <c r="D32" s="12"/>
      <c r="E32" s="13"/>
      <c r="F32" s="3"/>
      <c r="G32" s="13"/>
      <c r="H32" s="3"/>
      <c r="I32" s="13"/>
      <c r="J32" s="159"/>
      <c r="K32" s="12"/>
      <c r="L32" s="12"/>
      <c r="N3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AG57"/>
  <sheetViews>
    <sheetView workbookViewId="0">
      <selection activeCell="J3" sqref="J3"/>
    </sheetView>
  </sheetViews>
  <sheetFormatPr defaultColWidth="11.5546875" defaultRowHeight="14.4" x14ac:dyDescent="0.3"/>
  <cols>
    <col min="1" max="2" width="11.5546875" style="2"/>
    <col min="3" max="3" width="11.5546875" style="11"/>
    <col min="4" max="20" width="13.44140625" style="2" customWidth="1"/>
    <col min="21" max="21" width="13" style="9" customWidth="1"/>
    <col min="22" max="22" width="12.5546875" style="2" customWidth="1"/>
    <col min="23" max="27" width="13" style="4" customWidth="1"/>
    <col min="28" max="32" width="11.5546875" style="2"/>
  </cols>
  <sheetData>
    <row r="1" spans="1:33" s="93" customFormat="1" ht="57.6" x14ac:dyDescent="0.3">
      <c r="A1" s="6" t="s">
        <v>0</v>
      </c>
      <c r="B1" s="6" t="s">
        <v>1</v>
      </c>
      <c r="C1" s="92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3.2" x14ac:dyDescent="0.25">
      <c r="A2" s="12" t="s">
        <v>12</v>
      </c>
      <c r="B2" s="12">
        <v>1</v>
      </c>
      <c r="C2" s="3">
        <f>+TOTAL!C2</f>
        <v>4</v>
      </c>
      <c r="D2" s="12">
        <f>+TOTAL!D2</f>
        <v>2022</v>
      </c>
      <c r="E2" s="12">
        <f>IF(('FS Budapest'!C5-'FS Budapest'!C4)&lt;0,"0",('FS Budapest'!C5-'FS Budapest'!C4))</f>
        <v>30</v>
      </c>
      <c r="F2" s="12">
        <f>IF(('FS Budapest'!D5-'FS Budapest'!D4)&lt;0,"0",('FS Budapest'!D5-'FS Budapest'!D4))</f>
        <v>50</v>
      </c>
      <c r="G2" s="12">
        <f>IF(('FS Budapest'!E5-'FS Budapest'!Y5)&lt;0,"0",('FS Budapest'!E5-'FS Budapest'!Y5))</f>
        <v>39</v>
      </c>
      <c r="H2" s="12">
        <f>IF(('FS Budapest'!H5-'FS Budapest'!H4)&lt;0,"0",('FS Budapest'!H5-'FS Budapest'!H4))</f>
        <v>85</v>
      </c>
      <c r="I2" s="12">
        <f>IF(('FS Budapest'!I5-'FS Budapest'!I4)&lt;0,"0",('FS Budapest'!I5-'FS Budapest'!I4))</f>
        <v>20</v>
      </c>
      <c r="J2" s="12">
        <f>IF(('FS Budapest'!K5-'FS Budapest'!K4)&lt;0,"0",('FS Budapest'!K5-'FS Budapest'!K4))</f>
        <v>5</v>
      </c>
      <c r="K2" s="12">
        <f>IF(('FS Budapest'!M5-'FS Budapest'!M4)&lt;0,"0",('FS Budapest'!M5-'FS Budapest'!M4))</f>
        <v>8</v>
      </c>
      <c r="L2" s="12">
        <f>IF(('FS Budapest'!O5-'FS Budapest'!O4)&lt;0,"0",('FS Budapest'!O5-'FS Budapest'!O4))</f>
        <v>10</v>
      </c>
      <c r="M2" s="12">
        <f>IF(('FS Budapest'!Q5-'FS Budapest'!Q4)&lt;0,"0",('FS Budapest'!Q5-'FS Budapest'!Q4))</f>
        <v>2</v>
      </c>
      <c r="N2" s="12">
        <f>IF(('FS Budapest'!S5-'FS Budapest'!S4)&lt;0,"0",('FS Budapest'!S5-'FS Budapest'!S4))</f>
        <v>1</v>
      </c>
      <c r="O2" s="12">
        <f>IF(('FS Budapest'!V5-'FS Budapest'!V4)&lt;0,"0",('FS Budapest'!V5-'FS Budapest'!V4))</f>
        <v>0</v>
      </c>
      <c r="P2" s="12">
        <f>IF(('FS Budapest'!X5-'FS Budapest'!X4)&lt;0,"0",('FS Budapest'!X5-'FS Budapest'!X4))</f>
        <v>14</v>
      </c>
      <c r="Q2" s="12">
        <f>'FS Budapest'!AB5</f>
        <v>1</v>
      </c>
      <c r="R2" s="12">
        <f>'FS Budapest'!AE5</f>
        <v>1</v>
      </c>
      <c r="S2" s="12">
        <f>'FS Budapest'!AF5</f>
        <v>9</v>
      </c>
      <c r="T2" s="12">
        <f>IF(('FS Budapest'!AK5-'FS Budapest'!AK4)&lt;0,"0",('FS Budapest'!AK5-'FS Budapest'!AK4))</f>
        <v>2361</v>
      </c>
      <c r="U2" s="12">
        <f>IF(('FS Budapest'!AM5-'FS Budapest'!AM4)&lt;0,"0",('FS Budapest'!AM5-'FS Budapest'!AM4))</f>
        <v>52</v>
      </c>
      <c r="V2" s="12">
        <f>IF(('FS Budapest'!AO5-'FS Budapest'!AO4)&lt;0,"0",('FS Budapest'!AO5-'FS Budapest'!AO4))</f>
        <v>536</v>
      </c>
      <c r="W2" s="12">
        <f>IF(('FS Budapest'!AQ5-'FS Budapest'!AQ4)&lt;0,"0",('FS Budapest'!AQ5-'FS Budapest'!AQ4))</f>
        <v>0</v>
      </c>
      <c r="X2" s="12">
        <f>'FS Budapest'!AY5</f>
        <v>0</v>
      </c>
      <c r="Y2" s="12">
        <f>IF(('FS Budapest'!BA5-'FS Budapest'!BA4)&lt;0,"0",('FS Budapest'!BA5-'FS Budapest'!BA4)*4400)</f>
        <v>14520.0000000008</v>
      </c>
      <c r="Z2" s="12">
        <f>'FS Budapest'!BI5</f>
        <v>14520.0000000008</v>
      </c>
      <c r="AA2" s="12">
        <f>'FS Budapest'!BJ5</f>
        <v>14485.0000000008</v>
      </c>
      <c r="AB2" s="12">
        <f>IF(('FS Budapest'!BK5-'FS Budapest'!BK4)&lt;0,"0",('FS Budapest'!BK5-'FS Budapest'!BK4)*100)</f>
        <v>810.00000000003638</v>
      </c>
      <c r="AC2" s="12">
        <f>'FS Budapest'!BM5</f>
        <v>15330.000000000837</v>
      </c>
      <c r="AD2" s="12">
        <f>IF(('FS Budapest'!BP5-'FS Budapest'!BP4)&lt;0,"0",('FS Budapest'!BP5-'FS Budapest'!BP4))</f>
        <v>19</v>
      </c>
      <c r="AE2" s="12">
        <f>IF(('FS Budapest'!BR5-'FS Budapest'!BR4)&lt;0,"0",('FS Budapest'!BR5-'FS Budapest'!BR4))</f>
        <v>16</v>
      </c>
      <c r="AF2" s="12">
        <f>'FS Budapest'!BU5</f>
        <v>69</v>
      </c>
      <c r="AG2" s="12">
        <f>'FS Budapest'!BV5</f>
        <v>99</v>
      </c>
    </row>
    <row r="3" spans="1:33" s="16" customFormat="1" x14ac:dyDescent="0.3">
      <c r="A3" s="12" t="s">
        <v>12</v>
      </c>
      <c r="B3" s="15">
        <f>B2+1</f>
        <v>2</v>
      </c>
      <c r="C3" s="3">
        <f>C2</f>
        <v>4</v>
      </c>
      <c r="D3" s="12">
        <f>+D2</f>
        <v>2022</v>
      </c>
      <c r="E3" s="12">
        <f>IF(('FS Budapest'!C6-'FS Budapest'!C5)&lt;0,"0",('FS Budapest'!C6-'FS Budapest'!C5))</f>
        <v>21</v>
      </c>
      <c r="F3" s="12">
        <f>IF(('FS Budapest'!D6-'FS Budapest'!D5)&lt;0,"0",('FS Budapest'!D6-'FS Budapest'!D5))</f>
        <v>50</v>
      </c>
      <c r="G3" s="12">
        <f>IF(('FS Budapest'!E6-'FS Budapest'!Y6)&lt;0,"0",('FS Budapest'!E6-'FS Budapest'!Y6))</f>
        <v>37</v>
      </c>
      <c r="H3" s="12">
        <f>IF(('FS Budapest'!H6-'FS Budapest'!H5)&lt;0,"0",('FS Budapest'!H6-'FS Budapest'!H5))</f>
        <v>59</v>
      </c>
      <c r="I3" s="12">
        <f>IF(('FS Budapest'!I6-'FS Budapest'!I5)&lt;0,"0",('FS Budapest'!I6-'FS Budapest'!I5))</f>
        <v>2</v>
      </c>
      <c r="J3" s="12">
        <f>IF(('FS Budapest'!K6-'FS Budapest'!K5)&lt;0,"0",('FS Budapest'!K6-'FS Budapest'!K5))</f>
        <v>5</v>
      </c>
      <c r="K3" s="12">
        <f>IF(('FS Budapest'!M6-'FS Budapest'!M5)&lt;0,"0",('FS Budapest'!M6-'FS Budapest'!M5))</f>
        <v>10</v>
      </c>
      <c r="L3" s="12">
        <f>IF(('FS Budapest'!O6-'FS Budapest'!O5)&lt;0,"0",('FS Budapest'!O6-'FS Budapest'!O5))</f>
        <v>11</v>
      </c>
      <c r="M3" s="12">
        <f>IF(('FS Budapest'!Q6-'FS Budapest'!Q5)&lt;0,"0",('FS Budapest'!Q6-'FS Budapest'!Q5))</f>
        <v>0</v>
      </c>
      <c r="N3" s="12">
        <f>IF(('FS Budapest'!S6-'FS Budapest'!S5)&lt;0,"0",('FS Budapest'!S6-'FS Budapest'!S5))</f>
        <v>0</v>
      </c>
      <c r="O3" s="12">
        <f>IF(('FS Budapest'!V6-'FS Budapest'!V5)&lt;0,"0",('FS Budapest'!V6-'FS Budapest'!V5))</f>
        <v>0</v>
      </c>
      <c r="P3" s="12">
        <f>IF(('FS Budapest'!X6-'FS Budapest'!X5)&lt;0,"0",('FS Budapest'!X6-'FS Budapest'!X5))</f>
        <v>13</v>
      </c>
      <c r="Q3" s="12">
        <f>'FS Budapest'!AB6</f>
        <v>2</v>
      </c>
      <c r="R3" s="12">
        <f>'FS Budapest'!AE6</f>
        <v>2</v>
      </c>
      <c r="S3" s="12">
        <f>'FS Budapest'!AF6</f>
        <v>1</v>
      </c>
      <c r="T3" s="12">
        <f>IF(('FS Budapest'!AK6-'FS Budapest'!AK5)&lt;0,"0",('FS Budapest'!AK6-'FS Budapest'!AK5))</f>
        <v>2646</v>
      </c>
      <c r="U3" s="12">
        <f>IF(('FS Budapest'!AM6-'FS Budapest'!AM5)&lt;0,"0",('FS Budapest'!AM6-'FS Budapest'!AM5))</f>
        <v>53</v>
      </c>
      <c r="V3" s="12">
        <f>IF(('FS Budapest'!AO6-'FS Budapest'!AO5)&lt;0,"0",('FS Budapest'!AO6-'FS Budapest'!AO5))</f>
        <v>100</v>
      </c>
      <c r="W3" s="12">
        <f>IF(('FS Budapest'!AQ6-'FS Budapest'!AQ5)&lt;0,"0",('FS Budapest'!AQ6-'FS Budapest'!AQ5))</f>
        <v>0</v>
      </c>
      <c r="X3" s="12">
        <f>'FS Budapest'!AY6</f>
        <v>0</v>
      </c>
      <c r="Y3" s="12">
        <f>IF(('FS Budapest'!BA6-'FS Budapest'!BA5)&lt;0,"0",('FS Budapest'!BA6-'FS Budapest'!BA5)*4400)</f>
        <v>13771.999999998479</v>
      </c>
      <c r="Z3" s="12">
        <f>'FS Budapest'!BI6</f>
        <v>13771.999999998479</v>
      </c>
      <c r="AA3" s="12">
        <f>'FS Budapest'!BJ6</f>
        <v>13734.999999998479</v>
      </c>
      <c r="AB3" s="12">
        <f>IF(('FS Budapest'!BK6-'FS Budapest'!BK5)&lt;0,"0",('FS Budapest'!BK6-'FS Budapest'!BK5)*100)</f>
        <v>847.00000000002547</v>
      </c>
      <c r="AC3" s="12">
        <f>'FS Budapest'!BM6</f>
        <v>14618.999999998505</v>
      </c>
      <c r="AD3" s="12">
        <f>IF(('FS Budapest'!BP6-'FS Budapest'!BP5)&lt;0,"0",('FS Budapest'!BP6-'FS Budapest'!BP5))</f>
        <v>20</v>
      </c>
      <c r="AE3" s="12">
        <f>IF(('FS Budapest'!BR6-'FS Budapest'!BR5)&lt;0,"0",('FS Budapest'!BR6-'FS Budapest'!BR5))</f>
        <v>17</v>
      </c>
      <c r="AF3" s="12">
        <f>'FS Budapest'!BU6</f>
        <v>76</v>
      </c>
      <c r="AG3" s="12">
        <f>'FS Budapest'!BV6</f>
        <v>106</v>
      </c>
    </row>
    <row r="4" spans="1:33" s="16" customFormat="1" x14ac:dyDescent="0.3">
      <c r="A4" s="12" t="s">
        <v>12</v>
      </c>
      <c r="B4" s="15">
        <f t="shared" ref="B4:B31" si="0">B3+1</f>
        <v>3</v>
      </c>
      <c r="C4" s="3">
        <f t="shared" ref="C4:C31" si="1">C3</f>
        <v>4</v>
      </c>
      <c r="D4" s="12">
        <f t="shared" ref="D4:D31" si="2">+D3</f>
        <v>2022</v>
      </c>
      <c r="E4" s="12">
        <f>IF(('FS Budapest'!C7-'FS Budapest'!C6)&lt;0,"0",('FS Budapest'!C7-'FS Budapest'!C6))</f>
        <v>17</v>
      </c>
      <c r="F4" s="12">
        <f>IF(('FS Budapest'!D7-'FS Budapest'!D6)&lt;0,"0",('FS Budapest'!D7-'FS Budapest'!D6))</f>
        <v>41</v>
      </c>
      <c r="G4" s="12">
        <f>IF(('FS Budapest'!E7-'FS Budapest'!Y7)&lt;0,"0",('FS Budapest'!E7-'FS Budapest'!Y7))</f>
        <v>23</v>
      </c>
      <c r="H4" s="12">
        <f>IF(('FS Budapest'!H7-'FS Budapest'!H6)&lt;0,"0",('FS Budapest'!H7-'FS Budapest'!H6))</f>
        <v>52</v>
      </c>
      <c r="I4" s="12">
        <f>IF(('FS Budapest'!I7-'FS Budapest'!I6)&lt;0,"0",('FS Budapest'!I7-'FS Budapest'!I6))</f>
        <v>3</v>
      </c>
      <c r="J4" s="12">
        <f>IF(('FS Budapest'!K7-'FS Budapest'!K6)&lt;0,"0",('FS Budapest'!K7-'FS Budapest'!K6))</f>
        <v>5</v>
      </c>
      <c r="K4" s="12">
        <f>IF(('FS Budapest'!M7-'FS Budapest'!M6)&lt;0,"0",('FS Budapest'!M7-'FS Budapest'!M6))</f>
        <v>9</v>
      </c>
      <c r="L4" s="12">
        <f>IF(('FS Budapest'!O7-'FS Budapest'!O6)&lt;0,"0",('FS Budapest'!O7-'FS Budapest'!O6))</f>
        <v>8</v>
      </c>
      <c r="M4" s="12">
        <f>IF(('FS Budapest'!Q7-'FS Budapest'!Q6)&lt;0,"0",('FS Budapest'!Q7-'FS Budapest'!Q6))</f>
        <v>0</v>
      </c>
      <c r="N4" s="12">
        <f>IF(('FS Budapest'!S7-'FS Budapest'!S6)&lt;0,"0",('FS Budapest'!S7-'FS Budapest'!S6))</f>
        <v>2</v>
      </c>
      <c r="O4" s="12">
        <f>IF(('FS Budapest'!V7-'FS Budapest'!V6)&lt;0,"0",('FS Budapest'!V7-'FS Budapest'!V6))</f>
        <v>0</v>
      </c>
      <c r="P4" s="12">
        <f>IF(('FS Budapest'!X7-'FS Budapest'!X6)&lt;0,"0",('FS Budapest'!X7-'FS Budapest'!X6))</f>
        <v>18</v>
      </c>
      <c r="Q4" s="12">
        <f>'FS Budapest'!AB7</f>
        <v>2</v>
      </c>
      <c r="R4" s="12">
        <f>'FS Budapest'!AE7</f>
        <v>1</v>
      </c>
      <c r="S4" s="12">
        <f>'FS Budapest'!AF7</f>
        <v>3</v>
      </c>
      <c r="T4" s="12">
        <f>IF(('FS Budapest'!AK7-'FS Budapest'!AK6)&lt;0,"0",('FS Budapest'!AK7-'FS Budapest'!AK6))</f>
        <v>2699</v>
      </c>
      <c r="U4" s="12">
        <f>IF(('FS Budapest'!AM7-'FS Budapest'!AM6)&lt;0,"0",('FS Budapest'!AM7-'FS Budapest'!AM6))</f>
        <v>33</v>
      </c>
      <c r="V4" s="12">
        <f>IF(('FS Budapest'!AO7-'FS Budapest'!AO6)&lt;0,"0",('FS Budapest'!AO7-'FS Budapest'!AO6))</f>
        <v>100</v>
      </c>
      <c r="W4" s="12">
        <f>IF(('FS Budapest'!AQ7-'FS Budapest'!AQ6)&lt;0,"0",('FS Budapest'!AQ7-'FS Budapest'!AQ6))</f>
        <v>0</v>
      </c>
      <c r="X4" s="12">
        <f>'FS Budapest'!AY7</f>
        <v>0</v>
      </c>
      <c r="Y4" s="12">
        <f>IF(('FS Budapest'!BA7-'FS Budapest'!BA6)&lt;0,"0",('FS Budapest'!BA7-'FS Budapest'!BA6)*4400)</f>
        <v>13596.00000000064</v>
      </c>
      <c r="Z4" s="12">
        <f>'FS Budapest'!BI7</f>
        <v>13596.00000000064</v>
      </c>
      <c r="AA4" s="12">
        <f>'FS Budapest'!BJ7</f>
        <v>13560.00000000064</v>
      </c>
      <c r="AB4" s="12">
        <f>IF(('FS Budapest'!BK7-'FS Budapest'!BK6)&lt;0,"0",('FS Budapest'!BK7-'FS Budapest'!BK6)*100)</f>
        <v>750</v>
      </c>
      <c r="AC4" s="12">
        <f>'FS Budapest'!BM7</f>
        <v>14346.00000000064</v>
      </c>
      <c r="AD4" s="12">
        <f>IF(('FS Budapest'!BP7-'FS Budapest'!BP6)&lt;0,"0",('FS Budapest'!BP7-'FS Budapest'!BP6))</f>
        <v>20</v>
      </c>
      <c r="AE4" s="12">
        <f>IF(('FS Budapest'!BR7-'FS Budapest'!BR6)&lt;0,"0",('FS Budapest'!BR7-'FS Budapest'!BR6))</f>
        <v>16</v>
      </c>
      <c r="AF4" s="12">
        <f>'FS Budapest'!BU7</f>
        <v>57</v>
      </c>
      <c r="AG4" s="12">
        <f>'FS Budapest'!BV7</f>
        <v>67</v>
      </c>
    </row>
    <row r="5" spans="1:33" s="16" customFormat="1" x14ac:dyDescent="0.3">
      <c r="A5" s="12" t="s">
        <v>12</v>
      </c>
      <c r="B5" s="15">
        <f t="shared" si="0"/>
        <v>4</v>
      </c>
      <c r="C5" s="3">
        <f t="shared" si="1"/>
        <v>4</v>
      </c>
      <c r="D5" s="12">
        <f t="shared" si="2"/>
        <v>2022</v>
      </c>
      <c r="E5" s="12">
        <f>IF(('FS Budapest'!C8-'FS Budapest'!C7)&lt;0,"0",('FS Budapest'!C8-'FS Budapest'!C7))</f>
        <v>28</v>
      </c>
      <c r="F5" s="12">
        <f>IF(('FS Budapest'!D8-'FS Budapest'!D7)&lt;0,"0",('FS Budapest'!D8-'FS Budapest'!D7))</f>
        <v>47</v>
      </c>
      <c r="G5" s="12">
        <f>IF(('FS Budapest'!E8-'FS Budapest'!Y8)&lt;0,"0",('FS Budapest'!E8-'FS Budapest'!Y8))</f>
        <v>37</v>
      </c>
      <c r="H5" s="12">
        <f>IF(('FS Budapest'!H8-'FS Budapest'!H7)&lt;0,"0",('FS Budapest'!H8-'FS Budapest'!H7))</f>
        <v>75</v>
      </c>
      <c r="I5" s="12">
        <f>IF(('FS Budapest'!I8-'FS Budapest'!I7)&lt;0,"0",('FS Budapest'!I8-'FS Budapest'!I7))</f>
        <v>19</v>
      </c>
      <c r="J5" s="12">
        <f>IF(('FS Budapest'!K8-'FS Budapest'!K7)&lt;0,"0",('FS Budapest'!K8-'FS Budapest'!K7))</f>
        <v>5</v>
      </c>
      <c r="K5" s="12">
        <f>IF(('FS Budapest'!M8-'FS Budapest'!M7)&lt;0,"0",('FS Budapest'!M8-'FS Budapest'!M7))</f>
        <v>7</v>
      </c>
      <c r="L5" s="12">
        <f>IF(('FS Budapest'!O8-'FS Budapest'!O7)&lt;0,"0",('FS Budapest'!O8-'FS Budapest'!O7))</f>
        <v>10</v>
      </c>
      <c r="M5" s="12">
        <f>IF(('FS Budapest'!Q8-'FS Budapest'!Q7)&lt;0,"0",('FS Budapest'!Q8-'FS Budapest'!Q7))</f>
        <v>2</v>
      </c>
      <c r="N5" s="12">
        <f>IF(('FS Budapest'!S8-'FS Budapest'!S7)&lt;0,"0",('FS Budapest'!S8-'FS Budapest'!S7))</f>
        <v>0</v>
      </c>
      <c r="O5" s="12">
        <f>IF(('FS Budapest'!V8-'FS Budapest'!V7)&lt;0,"0",('FS Budapest'!V8-'FS Budapest'!V7))</f>
        <v>0</v>
      </c>
      <c r="P5" s="12">
        <f>IF(('FS Budapest'!X8-'FS Budapest'!X7)&lt;0,"0",('FS Budapest'!X8-'FS Budapest'!X7))</f>
        <v>10</v>
      </c>
      <c r="Q5" s="12">
        <f>'FS Budapest'!AB8</f>
        <v>1</v>
      </c>
      <c r="R5" s="12">
        <f>'FS Budapest'!AE8</f>
        <v>1</v>
      </c>
      <c r="S5" s="12">
        <f>'FS Budapest'!AF8</f>
        <v>7</v>
      </c>
      <c r="T5" s="12">
        <f>IF(('FS Budapest'!AK8-'FS Budapest'!AK7)&lt;0,"0",('FS Budapest'!AK8-'FS Budapest'!AK7))</f>
        <v>2888</v>
      </c>
      <c r="U5" s="12">
        <f>IF(('FS Budapest'!AM8-'FS Budapest'!AM7)&lt;0,"0",('FS Budapest'!AM8-'FS Budapest'!AM7))</f>
        <v>37</v>
      </c>
      <c r="V5" s="12">
        <f>IF(('FS Budapest'!AO8-'FS Budapest'!AO7)&lt;0,"0",('FS Budapest'!AO8-'FS Budapest'!AO7))</f>
        <v>483</v>
      </c>
      <c r="W5" s="12">
        <f>IF(('FS Budapest'!AQ8-'FS Budapest'!AQ7)&lt;0,"0",('FS Budapest'!AQ8-'FS Budapest'!AQ7))</f>
        <v>0</v>
      </c>
      <c r="X5" s="12">
        <f>'FS Budapest'!AY8</f>
        <v>0</v>
      </c>
      <c r="Y5" s="12">
        <f>IF(('FS Budapest'!BA8-'FS Budapest'!BA7)&lt;0,"0",('FS Budapest'!BA8-'FS Budapest'!BA7)*4400)</f>
        <v>13200</v>
      </c>
      <c r="Z5" s="12">
        <f>'FS Budapest'!BI8</f>
        <v>13200</v>
      </c>
      <c r="AA5" s="12">
        <f>'FS Budapest'!BJ8</f>
        <v>13160</v>
      </c>
      <c r="AB5" s="12">
        <f>IF(('FS Budapest'!BK8-'FS Budapest'!BK7)&lt;0,"0",('FS Budapest'!BK8-'FS Budapest'!BK7)*100)</f>
        <v>901.99999999995271</v>
      </c>
      <c r="AC5" s="12">
        <f>'FS Budapest'!BM8</f>
        <v>14101.999999999953</v>
      </c>
      <c r="AD5" s="12">
        <f>IF(('FS Budapest'!BP8-'FS Budapest'!BP7)&lt;0,"0",('FS Budapest'!BP8-'FS Budapest'!BP7))</f>
        <v>20</v>
      </c>
      <c r="AE5" s="12">
        <f>IF(('FS Budapest'!BR8-'FS Budapest'!BR7)&lt;0,"0",('FS Budapest'!BR8-'FS Budapest'!BR7))</f>
        <v>20</v>
      </c>
      <c r="AF5" s="12">
        <f>'FS Budapest'!BU8</f>
        <v>83</v>
      </c>
      <c r="AG5" s="12">
        <f>'FS Budapest'!BV8</f>
        <v>98</v>
      </c>
    </row>
    <row r="6" spans="1:33" s="16" customFormat="1" x14ac:dyDescent="0.3">
      <c r="A6" s="12" t="s">
        <v>12</v>
      </c>
      <c r="B6" s="15">
        <f t="shared" si="0"/>
        <v>5</v>
      </c>
      <c r="C6" s="3">
        <f t="shared" si="1"/>
        <v>4</v>
      </c>
      <c r="D6" s="12">
        <f t="shared" si="2"/>
        <v>2022</v>
      </c>
      <c r="E6" s="12">
        <f>IF(('FS Budapest'!C9-'FS Budapest'!C8)&lt;0,"0",('FS Budapest'!C9-'FS Budapest'!C8))</f>
        <v>25</v>
      </c>
      <c r="F6" s="12">
        <f>IF(('FS Budapest'!D9-'FS Budapest'!D8)&lt;0,"0",('FS Budapest'!D9-'FS Budapest'!D8))</f>
        <v>62</v>
      </c>
      <c r="G6" s="12">
        <f>IF(('FS Budapest'!E9-'FS Budapest'!Y9)&lt;0,"0",('FS Budapest'!E9-'FS Budapest'!Y9))</f>
        <v>42</v>
      </c>
      <c r="H6" s="12">
        <f>IF(('FS Budapest'!H9-'FS Budapest'!H8)&lt;0,"0",('FS Budapest'!H9-'FS Budapest'!H8))</f>
        <v>85</v>
      </c>
      <c r="I6" s="12">
        <f>IF(('FS Budapest'!I9-'FS Budapest'!I8)&lt;0,"0",('FS Budapest'!I9-'FS Budapest'!I8))</f>
        <v>22</v>
      </c>
      <c r="J6" s="12">
        <f>IF(('FS Budapest'!K9-'FS Budapest'!K8)&lt;0,"0",('FS Budapest'!K9-'FS Budapest'!K8))</f>
        <v>5</v>
      </c>
      <c r="K6" s="12">
        <f>IF(('FS Budapest'!M9-'FS Budapest'!M8)&lt;0,"0",('FS Budapest'!M9-'FS Budapest'!M8))</f>
        <v>9</v>
      </c>
      <c r="L6" s="12">
        <f>IF(('FS Budapest'!O9-'FS Budapest'!O8)&lt;0,"0",('FS Budapest'!O9-'FS Budapest'!O8))</f>
        <v>11</v>
      </c>
      <c r="M6" s="12">
        <f>IF(('FS Budapest'!Q9-'FS Budapest'!Q8)&lt;0,"0",('FS Budapest'!Q9-'FS Budapest'!Q8))</f>
        <v>3</v>
      </c>
      <c r="N6" s="12">
        <f>IF(('FS Budapest'!S9-'FS Budapest'!S8)&lt;0,"0",('FS Budapest'!S9-'FS Budapest'!S8))</f>
        <v>1</v>
      </c>
      <c r="O6" s="12">
        <f>IF(('FS Budapest'!V9-'FS Budapest'!V8)&lt;0,"0",('FS Budapest'!V9-'FS Budapest'!V8))</f>
        <v>0</v>
      </c>
      <c r="P6" s="12">
        <f>IF(('FS Budapest'!X9-'FS Budapest'!X8)&lt;0,"0",('FS Budapest'!X9-'FS Budapest'!X8))</f>
        <v>20</v>
      </c>
      <c r="Q6" s="12">
        <f>'FS Budapest'!AB9</f>
        <v>3</v>
      </c>
      <c r="R6" s="12">
        <f>'FS Budapest'!AE9</f>
        <v>1</v>
      </c>
      <c r="S6" s="12">
        <f>'FS Budapest'!AF9</f>
        <v>9</v>
      </c>
      <c r="T6" s="12">
        <f>IF(('FS Budapest'!AK9-'FS Budapest'!AK8)&lt;0,"0",('FS Budapest'!AK9-'FS Budapest'!AK8))</f>
        <v>2157</v>
      </c>
      <c r="U6" s="12">
        <f>IF(('FS Budapest'!AM9-'FS Budapest'!AM8)&lt;0,"0",('FS Budapest'!AM9-'FS Budapest'!AM8))</f>
        <v>30</v>
      </c>
      <c r="V6" s="12">
        <f>IF(('FS Budapest'!AO9-'FS Budapest'!AO8)&lt;0,"0",('FS Budapest'!AO9-'FS Budapest'!AO8))</f>
        <v>478</v>
      </c>
      <c r="W6" s="12">
        <f>IF(('FS Budapest'!AQ9-'FS Budapest'!AQ8)&lt;0,"0",('FS Budapest'!AQ9-'FS Budapest'!AQ8))</f>
        <v>0</v>
      </c>
      <c r="X6" s="12">
        <f>'FS Budapest'!AY9</f>
        <v>0</v>
      </c>
      <c r="Y6" s="12">
        <f>IF(('FS Budapest'!BA9-'FS Budapest'!BA8)&lt;0,"0",('FS Budapest'!BA9-'FS Budapest'!BA8)*4400)</f>
        <v>13991.99999999928</v>
      </c>
      <c r="Z6" s="12">
        <f>'FS Budapest'!BI9</f>
        <v>13991.99999999928</v>
      </c>
      <c r="AA6" s="12">
        <f>'FS Budapest'!BJ9</f>
        <v>13956.99999999928</v>
      </c>
      <c r="AB6" s="12">
        <f>IF(('FS Budapest'!BK9-'FS Budapest'!BK8)&lt;0,"0",('FS Budapest'!BK9-'FS Budapest'!BK8)*100)</f>
        <v>910.99999999996726</v>
      </c>
      <c r="AC6" s="12">
        <f>'FS Budapest'!BM9</f>
        <v>14902.999999999247</v>
      </c>
      <c r="AD6" s="12">
        <f>IF(('FS Budapest'!BP9-'FS Budapest'!BP8)&lt;0,"0",('FS Budapest'!BP9-'FS Budapest'!BP8))</f>
        <v>20</v>
      </c>
      <c r="AE6" s="12">
        <f>IF(('FS Budapest'!BR9-'FS Budapest'!BR8)&lt;0,"0",('FS Budapest'!BR9-'FS Budapest'!BR8))</f>
        <v>15</v>
      </c>
      <c r="AF6" s="12">
        <f>'FS Budapest'!BU9</f>
        <v>90</v>
      </c>
      <c r="AG6" s="12">
        <f>'FS Budapest'!BV9</f>
        <v>107</v>
      </c>
    </row>
    <row r="7" spans="1:33" s="16" customFormat="1" x14ac:dyDescent="0.3">
      <c r="A7" s="12" t="s">
        <v>12</v>
      </c>
      <c r="B7" s="15">
        <f t="shared" si="0"/>
        <v>6</v>
      </c>
      <c r="C7" s="3">
        <f t="shared" si="1"/>
        <v>4</v>
      </c>
      <c r="D7" s="12">
        <f t="shared" si="2"/>
        <v>2022</v>
      </c>
      <c r="E7" s="12">
        <f>IF(('FS Budapest'!C10-'FS Budapest'!C9)&lt;0,"0",('FS Budapest'!C10-'FS Budapest'!C9))</f>
        <v>40</v>
      </c>
      <c r="F7" s="12">
        <f>IF(('FS Budapest'!D10-'FS Budapest'!D9)&lt;0,"0",('FS Budapest'!D10-'FS Budapest'!D9))</f>
        <v>63</v>
      </c>
      <c r="G7" s="12">
        <f>IF(('FS Budapest'!E10-'FS Budapest'!Y10)&lt;0,"0",('FS Budapest'!E10-'FS Budapest'!Y10))</f>
        <v>32</v>
      </c>
      <c r="H7" s="12">
        <f>IF(('FS Budapest'!H10-'FS Budapest'!H9)&lt;0,"0",('FS Budapest'!H10-'FS Budapest'!H9))</f>
        <v>84</v>
      </c>
      <c r="I7" s="12">
        <f>IF(('FS Budapest'!I10-'FS Budapest'!I9)&lt;0,"0",('FS Budapest'!I10-'FS Budapest'!I9))</f>
        <v>20</v>
      </c>
      <c r="J7" s="12">
        <f>IF(('FS Budapest'!K10-'FS Budapest'!K9)&lt;0,"0",('FS Budapest'!K10-'FS Budapest'!K9))</f>
        <v>5</v>
      </c>
      <c r="K7" s="12">
        <f>IF(('FS Budapest'!M10-'FS Budapest'!M9)&lt;0,"0",('FS Budapest'!M10-'FS Budapest'!M9))</f>
        <v>10</v>
      </c>
      <c r="L7" s="12">
        <f>IF(('FS Budapest'!O10-'FS Budapest'!O9)&lt;0,"0",('FS Budapest'!O10-'FS Budapest'!O9))</f>
        <v>10</v>
      </c>
      <c r="M7" s="12">
        <f>IF(('FS Budapest'!Q10-'FS Budapest'!Q9)&lt;0,"0",('FS Budapest'!Q10-'FS Budapest'!Q9))</f>
        <v>3</v>
      </c>
      <c r="N7" s="12">
        <f>IF(('FS Budapest'!S10-'FS Budapest'!S9)&lt;0,"0",('FS Budapest'!S10-'FS Budapest'!S9))</f>
        <v>0</v>
      </c>
      <c r="O7" s="12">
        <f>IF(('FS Budapest'!V10-'FS Budapest'!V9)&lt;0,"0",('FS Budapest'!V10-'FS Budapest'!V9))</f>
        <v>0</v>
      </c>
      <c r="P7" s="12">
        <f>IF(('FS Budapest'!X10-'FS Budapest'!X9)&lt;0,"0",('FS Budapest'!X10-'FS Budapest'!X9))</f>
        <v>31</v>
      </c>
      <c r="Q7" s="12">
        <f>'FS Budapest'!AB10</f>
        <v>2</v>
      </c>
      <c r="R7" s="12">
        <f>'FS Budapest'!AE10</f>
        <v>2</v>
      </c>
      <c r="S7" s="12">
        <f>'FS Budapest'!AF10</f>
        <v>10</v>
      </c>
      <c r="T7" s="12">
        <f>IF(('FS Budapest'!AK10-'FS Budapest'!AK9)&lt;0,"0",('FS Budapest'!AK10-'FS Budapest'!AK9))</f>
        <v>1627</v>
      </c>
      <c r="U7" s="12">
        <f>IF(('FS Budapest'!AM10-'FS Budapest'!AM9)&lt;0,"0",('FS Budapest'!AM10-'FS Budapest'!AM9))</f>
        <v>45</v>
      </c>
      <c r="V7" s="12">
        <f>IF(('FS Budapest'!AO10-'FS Budapest'!AO9)&lt;0,"0",('FS Budapest'!AO10-'FS Budapest'!AO9))</f>
        <v>551</v>
      </c>
      <c r="W7" s="12">
        <f>IF(('FS Budapest'!AQ10-'FS Budapest'!AQ9)&lt;0,"0",('FS Budapest'!AQ10-'FS Budapest'!AQ9))</f>
        <v>0</v>
      </c>
      <c r="X7" s="12">
        <f>'FS Budapest'!AY10</f>
        <v>0</v>
      </c>
      <c r="Y7" s="12">
        <f>IF(('FS Budapest'!BA10-'FS Budapest'!BA9)&lt;0,"0",('FS Budapest'!BA10-'FS Budapest'!BA9)*4400)</f>
        <v>14080.000000001201</v>
      </c>
      <c r="Z7" s="12">
        <f>'FS Budapest'!BI10</f>
        <v>14080.000000001201</v>
      </c>
      <c r="AA7" s="12">
        <f>'FS Budapest'!BJ10</f>
        <v>14045.000000001201</v>
      </c>
      <c r="AB7" s="12">
        <f>IF(('FS Budapest'!BK10-'FS Budapest'!BK9)&lt;0,"0",('FS Budapest'!BK10-'FS Budapest'!BK9)*100)</f>
        <v>818.0000000000291</v>
      </c>
      <c r="AC7" s="12">
        <f>'FS Budapest'!BM10</f>
        <v>14898.00000000123</v>
      </c>
      <c r="AD7" s="12">
        <f>IF(('FS Budapest'!BP10-'FS Budapest'!BP9)&lt;0,"0",('FS Budapest'!BP10-'FS Budapest'!BP9))</f>
        <v>19</v>
      </c>
      <c r="AE7" s="12">
        <f>IF(('FS Budapest'!BR10-'FS Budapest'!BR9)&lt;0,"0",('FS Budapest'!BR10-'FS Budapest'!BR9))</f>
        <v>16</v>
      </c>
      <c r="AF7" s="12">
        <f>'FS Budapest'!BU10</f>
        <v>60</v>
      </c>
      <c r="AG7" s="12">
        <f>'FS Budapest'!BV10</f>
        <v>74</v>
      </c>
    </row>
    <row r="8" spans="1:33" s="16" customFormat="1" x14ac:dyDescent="0.3">
      <c r="A8" s="12" t="s">
        <v>12</v>
      </c>
      <c r="B8" s="15">
        <f t="shared" si="0"/>
        <v>7</v>
      </c>
      <c r="C8" s="3">
        <f t="shared" si="1"/>
        <v>4</v>
      </c>
      <c r="D8" s="12">
        <f t="shared" si="2"/>
        <v>2022</v>
      </c>
      <c r="E8" s="12">
        <f>IF(('FS Budapest'!C11-'FS Budapest'!C10)&lt;0,"0",('FS Budapest'!C11-'FS Budapest'!C10))</f>
        <v>30</v>
      </c>
      <c r="F8" s="12">
        <f>IF(('FS Budapest'!D11-'FS Budapest'!D10)&lt;0,"0",('FS Budapest'!D11-'FS Budapest'!D10))</f>
        <v>59</v>
      </c>
      <c r="G8" s="12">
        <f>IF(('FS Budapest'!E11-'FS Budapest'!Y11)&lt;0,"0",('FS Budapest'!E11-'FS Budapest'!Y11))</f>
        <v>32</v>
      </c>
      <c r="H8" s="12">
        <f>IF(('FS Budapest'!H11-'FS Budapest'!H10)&lt;0,"0",('FS Budapest'!H11-'FS Budapest'!H10))</f>
        <v>82</v>
      </c>
      <c r="I8" s="12">
        <f>IF(('FS Budapest'!I11-'FS Budapest'!I10)&lt;0,"0",('FS Budapest'!I11-'FS Budapest'!I10))</f>
        <v>16</v>
      </c>
      <c r="J8" s="12">
        <f>IF(('FS Budapest'!K11-'FS Budapest'!K10)&lt;0,"0",('FS Budapest'!K11-'FS Budapest'!K10))</f>
        <v>5</v>
      </c>
      <c r="K8" s="12">
        <f>IF(('FS Budapest'!M11-'FS Budapest'!M10)&lt;0,"0",('FS Budapest'!M11-'FS Budapest'!M10))</f>
        <v>8</v>
      </c>
      <c r="L8" s="12">
        <f>IF(('FS Budapest'!O11-'FS Budapest'!O10)&lt;0,"0",('FS Budapest'!O11-'FS Budapest'!O10))</f>
        <v>9</v>
      </c>
      <c r="M8" s="12">
        <f>IF(('FS Budapest'!Q11-'FS Budapest'!Q10)&lt;0,"0",('FS Budapest'!Q11-'FS Budapest'!Q10))</f>
        <v>1</v>
      </c>
      <c r="N8" s="12">
        <f>IF(('FS Budapest'!S11-'FS Budapest'!S10)&lt;0,"0",('FS Budapest'!S11-'FS Budapest'!S10))</f>
        <v>1</v>
      </c>
      <c r="O8" s="12">
        <f>IF(('FS Budapest'!V11-'FS Budapest'!V10)&lt;0,"0",('FS Budapest'!V11-'FS Budapest'!V10))</f>
        <v>0</v>
      </c>
      <c r="P8" s="12">
        <f>IF(('FS Budapest'!X11-'FS Budapest'!X10)&lt;0,"0",('FS Budapest'!X11-'FS Budapest'!X10))</f>
        <v>27</v>
      </c>
      <c r="Q8" s="12">
        <f>'FS Budapest'!AB11</f>
        <v>2</v>
      </c>
      <c r="R8" s="12">
        <f>'FS Budapest'!AE11</f>
        <v>3</v>
      </c>
      <c r="S8" s="12">
        <f>'FS Budapest'!AF11</f>
        <v>7</v>
      </c>
      <c r="T8" s="12">
        <f>IF(('FS Budapest'!AK11-'FS Budapest'!AK10)&lt;0,"0",('FS Budapest'!AK11-'FS Budapest'!AK10))</f>
        <v>1653</v>
      </c>
      <c r="U8" s="12">
        <f>IF(('FS Budapest'!AM11-'FS Budapest'!AM10)&lt;0,"0",('FS Budapest'!AM11-'FS Budapest'!AM10))</f>
        <v>49</v>
      </c>
      <c r="V8" s="12">
        <f>IF(('FS Budapest'!AO11-'FS Budapest'!AO10)&lt;0,"0",('FS Budapest'!AO11-'FS Budapest'!AO10))</f>
        <v>494</v>
      </c>
      <c r="W8" s="12">
        <f>IF(('FS Budapest'!AQ11-'FS Budapest'!AQ10)&lt;0,"0",('FS Budapest'!AQ11-'FS Budapest'!AQ10))</f>
        <v>0</v>
      </c>
      <c r="X8" s="12">
        <f>'FS Budapest'!AY11</f>
        <v>0</v>
      </c>
      <c r="Y8" s="12">
        <f>IF(('FS Budapest'!BA11-'FS Budapest'!BA10)&lt;0,"0",('FS Budapest'!BA11-'FS Budapest'!BA10)*4400)</f>
        <v>13860.0000000004</v>
      </c>
      <c r="Z8" s="12">
        <f>'FS Budapest'!BI11</f>
        <v>13860.0000000004</v>
      </c>
      <c r="AA8" s="12">
        <f>'FS Budapest'!BJ11</f>
        <v>13825.0000000004</v>
      </c>
      <c r="AB8" s="12">
        <f>IF(('FS Budapest'!BK11-'FS Budapest'!BK10)&lt;0,"0",('FS Budapest'!BK11-'FS Budapest'!BK10)*100)</f>
        <v>777.00000000004366</v>
      </c>
      <c r="AC8" s="12">
        <f>'FS Budapest'!BM11</f>
        <v>14637.000000000444</v>
      </c>
      <c r="AD8" s="12">
        <f>IF(('FS Budapest'!BP11-'FS Budapest'!BP10)&lt;0,"0",('FS Budapest'!BP11-'FS Budapest'!BP10))</f>
        <v>21</v>
      </c>
      <c r="AE8" s="12">
        <f>IF(('FS Budapest'!BR11-'FS Budapest'!BR10)&lt;0,"0",('FS Budapest'!BR11-'FS Budapest'!BR10))</f>
        <v>14</v>
      </c>
      <c r="AF8" s="12">
        <f>'FS Budapest'!BU11</f>
        <v>71</v>
      </c>
      <c r="AG8" s="12">
        <f>'FS Budapest'!BV11</f>
        <v>88</v>
      </c>
    </row>
    <row r="9" spans="1:33" s="16" customFormat="1" x14ac:dyDescent="0.3">
      <c r="A9" s="12" t="s">
        <v>12</v>
      </c>
      <c r="B9" s="15">
        <f t="shared" si="0"/>
        <v>8</v>
      </c>
      <c r="C9" s="3">
        <f t="shared" si="1"/>
        <v>4</v>
      </c>
      <c r="D9" s="12">
        <f t="shared" si="2"/>
        <v>2022</v>
      </c>
      <c r="E9" s="12">
        <f>IF(('FS Budapest'!C12-'FS Budapest'!C11)&lt;0,"0",('FS Budapest'!C12-'FS Budapest'!C11))</f>
        <v>28</v>
      </c>
      <c r="F9" s="12">
        <f>IF(('FS Budapest'!D12-'FS Budapest'!D11)&lt;0,"0",('FS Budapest'!D12-'FS Budapest'!D11))</f>
        <v>62</v>
      </c>
      <c r="G9" s="12">
        <f>IF(('FS Budapest'!E12-'FS Budapest'!Y12)&lt;0,"0",('FS Budapest'!E12-'FS Budapest'!Y12))</f>
        <v>34</v>
      </c>
      <c r="H9" s="12">
        <f>IF(('FS Budapest'!H12-'FS Budapest'!H11)&lt;0,"0",('FS Budapest'!H12-'FS Budapest'!H11))</f>
        <v>81</v>
      </c>
      <c r="I9" s="12">
        <f>IF(('FS Budapest'!I12-'FS Budapest'!I11)&lt;0,"0",('FS Budapest'!I12-'FS Budapest'!I11))</f>
        <v>11</v>
      </c>
      <c r="J9" s="12">
        <f>IF(('FS Budapest'!K12-'FS Budapest'!K11)&lt;0,"0",('FS Budapest'!K12-'FS Budapest'!K11))</f>
        <v>6</v>
      </c>
      <c r="K9" s="12">
        <f>IF(('FS Budapest'!M12-'FS Budapest'!M11)&lt;0,"0",('FS Budapest'!M12-'FS Budapest'!M11))</f>
        <v>10</v>
      </c>
      <c r="L9" s="12">
        <f>IF(('FS Budapest'!O12-'FS Budapest'!O11)&lt;0,"0",('FS Budapest'!O12-'FS Budapest'!O11))</f>
        <v>8</v>
      </c>
      <c r="M9" s="12">
        <f>IF(('FS Budapest'!Q12-'FS Budapest'!Q11)&lt;0,"0",('FS Budapest'!Q12-'FS Budapest'!Q11))</f>
        <v>1</v>
      </c>
      <c r="N9" s="12">
        <f>IF(('FS Budapest'!S12-'FS Budapest'!S11)&lt;0,"0",('FS Budapest'!S12-'FS Budapest'!S11))</f>
        <v>1</v>
      </c>
      <c r="O9" s="12">
        <f>IF(('FS Budapest'!V12-'FS Budapest'!V11)&lt;0,"0",('FS Budapest'!V12-'FS Budapest'!V11))</f>
        <v>0</v>
      </c>
      <c r="P9" s="12">
        <f>IF(('FS Budapest'!X12-'FS Budapest'!X11)&lt;0,"0",('FS Budapest'!X12-'FS Budapest'!X11))</f>
        <v>28</v>
      </c>
      <c r="Q9" s="12">
        <f>'FS Budapest'!AB12</f>
        <v>2</v>
      </c>
      <c r="R9" s="12">
        <f>'FS Budapest'!AE12</f>
        <v>2</v>
      </c>
      <c r="S9" s="12">
        <f>'FS Budapest'!AF12</f>
        <v>6</v>
      </c>
      <c r="T9" s="12">
        <f>IF(('FS Budapest'!AK12-'FS Budapest'!AK11)&lt;0,"0",('FS Budapest'!AK12-'FS Budapest'!AK11))</f>
        <v>1559</v>
      </c>
      <c r="U9" s="12">
        <f>IF(('FS Budapest'!AM12-'FS Budapest'!AM11)&lt;0,"0",('FS Budapest'!AM12-'FS Budapest'!AM11))</f>
        <v>51</v>
      </c>
      <c r="V9" s="12">
        <f>IF(('FS Budapest'!AO12-'FS Budapest'!AO11)&lt;0,"0",('FS Budapest'!AO12-'FS Budapest'!AO11))</f>
        <v>406</v>
      </c>
      <c r="W9" s="12">
        <f>IF(('FS Budapest'!AQ12-'FS Budapest'!AQ11)&lt;0,"0",('FS Budapest'!AQ12-'FS Budapest'!AQ11))</f>
        <v>0</v>
      </c>
      <c r="X9" s="12">
        <f>'FS Budapest'!AY12</f>
        <v>0</v>
      </c>
      <c r="Y9" s="12">
        <f>IF(('FS Budapest'!BA12-'FS Budapest'!BA11)&lt;0,"0",('FS Budapest'!BA12-'FS Budapest'!BA11)*4400)</f>
        <v>14123.999999998159</v>
      </c>
      <c r="Z9" s="12">
        <f>'FS Budapest'!BI12</f>
        <v>14123.999999998159</v>
      </c>
      <c r="AA9" s="12">
        <f>'FS Budapest'!BJ12</f>
        <v>14091.999999998159</v>
      </c>
      <c r="AB9" s="12">
        <f>IF(('FS Budapest'!BK12-'FS Budapest'!BK11)&lt;0,"0",('FS Budapest'!BK12-'FS Budapest'!BK11)*100)</f>
        <v>815.99999999998545</v>
      </c>
      <c r="AC9" s="12">
        <f>'FS Budapest'!BM12</f>
        <v>14939.999999998145</v>
      </c>
      <c r="AD9" s="12">
        <f>IF(('FS Budapest'!BP12-'FS Budapest'!BP11)&lt;0,"0",('FS Budapest'!BP12-'FS Budapest'!BP11))</f>
        <v>19</v>
      </c>
      <c r="AE9" s="12">
        <f>IF(('FS Budapest'!BR12-'FS Budapest'!BR11)&lt;0,"0",('FS Budapest'!BR12-'FS Budapest'!BR11))</f>
        <v>13</v>
      </c>
      <c r="AF9" s="12">
        <f>'FS Budapest'!BU12</f>
        <v>82</v>
      </c>
      <c r="AG9" s="12">
        <f>'FS Budapest'!BV12</f>
        <v>88</v>
      </c>
    </row>
    <row r="10" spans="1:33" s="16" customFormat="1" x14ac:dyDescent="0.3">
      <c r="A10" s="12" t="s">
        <v>12</v>
      </c>
      <c r="B10" s="15">
        <f t="shared" si="0"/>
        <v>9</v>
      </c>
      <c r="C10" s="3">
        <f t="shared" si="1"/>
        <v>4</v>
      </c>
      <c r="D10" s="12">
        <f t="shared" si="2"/>
        <v>2022</v>
      </c>
      <c r="E10" s="12">
        <f>IF(('FS Budapest'!C13-'FS Budapest'!C12)&lt;0,"0",('FS Budapest'!C13-'FS Budapest'!C12))</f>
        <v>21</v>
      </c>
      <c r="F10" s="12">
        <f>IF(('FS Budapest'!D13-'FS Budapest'!D12)&lt;0,"0",('FS Budapest'!D13-'FS Budapest'!D12))</f>
        <v>52</v>
      </c>
      <c r="G10" s="12">
        <f>IF(('FS Budapest'!E13-'FS Budapest'!Y13)&lt;0,"0",('FS Budapest'!E13-'FS Budapest'!Y13))</f>
        <v>36</v>
      </c>
      <c r="H10" s="12">
        <f>IF(('FS Budapest'!H13-'FS Budapest'!H12)&lt;0,"0",('FS Budapest'!H13-'FS Budapest'!H12))</f>
        <v>63</v>
      </c>
      <c r="I10" s="12">
        <f>IF(('FS Budapest'!I13-'FS Budapest'!I12)&lt;0,"0",('FS Budapest'!I13-'FS Budapest'!I12))</f>
        <v>3</v>
      </c>
      <c r="J10" s="12">
        <f>IF(('FS Budapest'!K13-'FS Budapest'!K12)&lt;0,"0",('FS Budapest'!K13-'FS Budapest'!K12))</f>
        <v>5</v>
      </c>
      <c r="K10" s="12">
        <f>IF(('FS Budapest'!M13-'FS Budapest'!M12)&lt;0,"0",('FS Budapest'!M13-'FS Budapest'!M12))</f>
        <v>8</v>
      </c>
      <c r="L10" s="12">
        <f>IF(('FS Budapest'!O13-'FS Budapest'!O12)&lt;0,"0",('FS Budapest'!O13-'FS Budapest'!O12))</f>
        <v>10</v>
      </c>
      <c r="M10" s="12">
        <f>IF(('FS Budapest'!Q13-'FS Budapest'!Q12)&lt;0,"0",('FS Budapest'!Q13-'FS Budapest'!Q12))</f>
        <v>0</v>
      </c>
      <c r="N10" s="12">
        <f>IF(('FS Budapest'!S13-'FS Budapest'!S12)&lt;0,"0",('FS Budapest'!S13-'FS Budapest'!S12))</f>
        <v>1</v>
      </c>
      <c r="O10" s="12">
        <f>IF(('FS Budapest'!V13-'FS Budapest'!V12)&lt;0,"0",('FS Budapest'!V13-'FS Budapest'!V12))</f>
        <v>0</v>
      </c>
      <c r="P10" s="12">
        <f>IF(('FS Budapest'!X13-'FS Budapest'!X12)&lt;0,"0",('FS Budapest'!X13-'FS Budapest'!X12))</f>
        <v>16</v>
      </c>
      <c r="Q10" s="12">
        <f>'FS Budapest'!AB13</f>
        <v>2</v>
      </c>
      <c r="R10" s="12">
        <f>'FS Budapest'!AE13</f>
        <v>2</v>
      </c>
      <c r="S10" s="12">
        <f>'FS Budapest'!AF13</f>
        <v>2</v>
      </c>
      <c r="T10" s="12">
        <f>IF(('FS Budapest'!AK13-'FS Budapest'!AK12)&lt;0,"0",('FS Budapest'!AK13-'FS Budapest'!AK12))</f>
        <v>1893</v>
      </c>
      <c r="U10" s="12">
        <f>IF(('FS Budapest'!AM13-'FS Budapest'!AM12)&lt;0,"0",('FS Budapest'!AM13-'FS Budapest'!AM12))</f>
        <v>45</v>
      </c>
      <c r="V10" s="12">
        <f>IF(('FS Budapest'!AO13-'FS Budapest'!AO12)&lt;0,"0",('FS Budapest'!AO13-'FS Budapest'!AO12))</f>
        <v>101</v>
      </c>
      <c r="W10" s="12">
        <f>IF(('FS Budapest'!AQ13-'FS Budapest'!AQ12)&lt;0,"0",('FS Budapest'!AQ13-'FS Budapest'!AQ12))</f>
        <v>0</v>
      </c>
      <c r="X10" s="12">
        <f>'FS Budapest'!AY13</f>
        <v>0</v>
      </c>
      <c r="Y10" s="12">
        <f>IF(('FS Budapest'!BA13-'FS Budapest'!BA12)&lt;0,"0",('FS Budapest'!BA13-'FS Budapest'!BA12)*4400)</f>
        <v>13552.000000001681</v>
      </c>
      <c r="Z10" s="12">
        <f>'FS Budapest'!BI13</f>
        <v>13552.000000001681</v>
      </c>
      <c r="AA10" s="12">
        <f>'FS Budapest'!BJ13</f>
        <v>13517.000000001681</v>
      </c>
      <c r="AB10" s="12">
        <f>IF(('FS Budapest'!BK13-'FS Budapest'!BK12)&lt;0,"0",('FS Budapest'!BK13-'FS Budapest'!BK12)*100)</f>
        <v>678.99999999999636</v>
      </c>
      <c r="AC10" s="12">
        <f>'FS Budapest'!BM13</f>
        <v>14231.000000001677</v>
      </c>
      <c r="AD10" s="12">
        <f>IF(('FS Budapest'!BP13-'FS Budapest'!BP12)&lt;0,"0",('FS Budapest'!BP13-'FS Budapest'!BP12))</f>
        <v>19</v>
      </c>
      <c r="AE10" s="12">
        <f>IF(('FS Budapest'!BR13-'FS Budapest'!BR12)&lt;0,"0",('FS Budapest'!BR13-'FS Budapest'!BR12))</f>
        <v>16</v>
      </c>
      <c r="AF10" s="12">
        <f>'FS Budapest'!BU13</f>
        <v>94</v>
      </c>
      <c r="AG10" s="12">
        <f>'FS Budapest'!BV13</f>
        <v>110</v>
      </c>
    </row>
    <row r="11" spans="1:33" s="16" customFormat="1" x14ac:dyDescent="0.3">
      <c r="A11" s="12" t="s">
        <v>12</v>
      </c>
      <c r="B11" s="15">
        <f t="shared" si="0"/>
        <v>10</v>
      </c>
      <c r="C11" s="3">
        <f t="shared" si="1"/>
        <v>4</v>
      </c>
      <c r="D11" s="12">
        <f t="shared" si="2"/>
        <v>2022</v>
      </c>
      <c r="E11" s="12">
        <f>IF(('FS Budapest'!C14-'FS Budapest'!C13)&lt;0,"0",('FS Budapest'!C14-'FS Budapest'!C13))</f>
        <v>22</v>
      </c>
      <c r="F11" s="12">
        <f>IF(('FS Budapest'!D14-'FS Budapest'!D13)&lt;0,"0",('FS Budapest'!D14-'FS Budapest'!D13))</f>
        <v>55</v>
      </c>
      <c r="G11" s="12">
        <f>IF(('FS Budapest'!E14-'FS Budapest'!Y14)&lt;0,"0",('FS Budapest'!E14-'FS Budapest'!Y14))</f>
        <v>37</v>
      </c>
      <c r="H11" s="12">
        <f>IF(('FS Budapest'!H14-'FS Budapest'!H13)&lt;0,"0",('FS Budapest'!H14-'FS Budapest'!H13))</f>
        <v>63</v>
      </c>
      <c r="I11" s="12">
        <f>IF(('FS Budapest'!I14-'FS Budapest'!I13)&lt;0,"0",('FS Budapest'!I14-'FS Budapest'!I13))</f>
        <v>2</v>
      </c>
      <c r="J11" s="12">
        <f>IF(('FS Budapest'!K14-'FS Budapest'!K13)&lt;0,"0",('FS Budapest'!K14-'FS Budapest'!K13))</f>
        <v>5</v>
      </c>
      <c r="K11" s="12">
        <f>IF(('FS Budapest'!M14-'FS Budapest'!M13)&lt;0,"0",('FS Budapest'!M14-'FS Budapest'!M13))</f>
        <v>8</v>
      </c>
      <c r="L11" s="12">
        <f>IF(('FS Budapest'!O14-'FS Budapest'!O13)&lt;0,"0",('FS Budapest'!O14-'FS Budapest'!O13))</f>
        <v>1</v>
      </c>
      <c r="M11" s="12">
        <f>IF(('FS Budapest'!Q14-'FS Budapest'!Q13)&lt;0,"0",('FS Budapest'!Q14-'FS Budapest'!Q13))</f>
        <v>0</v>
      </c>
      <c r="N11" s="12">
        <f>IF(('FS Budapest'!S14-'FS Budapest'!S13)&lt;0,"0",('FS Budapest'!S14-'FS Budapest'!S13))</f>
        <v>1</v>
      </c>
      <c r="O11" s="12">
        <f>IF(('FS Budapest'!V14-'FS Budapest'!V13)&lt;0,"0",('FS Budapest'!V14-'FS Budapest'!V13))</f>
        <v>0</v>
      </c>
      <c r="P11" s="12">
        <f>IF(('FS Budapest'!X14-'FS Budapest'!X13)&lt;0,"0",('FS Budapest'!X14-'FS Budapest'!X13))</f>
        <v>18</v>
      </c>
      <c r="Q11" s="12">
        <f>'FS Budapest'!AB14</f>
        <v>2</v>
      </c>
      <c r="R11" s="12">
        <f>'FS Budapest'!AE14</f>
        <v>2</v>
      </c>
      <c r="S11" s="12">
        <f>'FS Budapest'!AF14</f>
        <v>2</v>
      </c>
      <c r="T11" s="12">
        <f>IF(('FS Budapest'!AK14-'FS Budapest'!AK13)&lt;0,"0",('FS Budapest'!AK14-'FS Budapest'!AK13))</f>
        <v>2104</v>
      </c>
      <c r="U11" s="12">
        <f>IF(('FS Budapest'!AM14-'FS Budapest'!AM13)&lt;0,"0",('FS Budapest'!AM14-'FS Budapest'!AM13))</f>
        <v>35</v>
      </c>
      <c r="V11" s="12">
        <f>IF(('FS Budapest'!AO14-'FS Budapest'!AO13)&lt;0,"0",('FS Budapest'!AO14-'FS Budapest'!AO13))</f>
        <v>101</v>
      </c>
      <c r="W11" s="12">
        <f>IF(('FS Budapest'!AQ14-'FS Budapest'!AQ13)&lt;0,"0",('FS Budapest'!AQ14-'FS Budapest'!AQ13))</f>
        <v>0</v>
      </c>
      <c r="X11" s="12">
        <f>'FS Budapest'!AY14</f>
        <v>0</v>
      </c>
      <c r="Y11" s="12">
        <f>IF(('FS Budapest'!BA14-'FS Budapest'!BA13)&lt;0,"0",('FS Budapest'!BA14-'FS Budapest'!BA13)*4400)</f>
        <v>13683.999999998559</v>
      </c>
      <c r="Z11" s="12">
        <f>'FS Budapest'!BI14</f>
        <v>13683.999999998559</v>
      </c>
      <c r="AA11" s="12">
        <f>'FS Budapest'!BJ14</f>
        <v>13635.999999998559</v>
      </c>
      <c r="AB11" s="12">
        <f>IF(('FS Budapest'!BK14-'FS Budapest'!BK13)&lt;0,"0",('FS Budapest'!BK14-'FS Budapest'!BK13)*100)</f>
        <v>728.99999999999636</v>
      </c>
      <c r="AC11" s="12">
        <f>'FS Budapest'!BM14</f>
        <v>14412.999999998556</v>
      </c>
      <c r="AD11" s="12">
        <f>IF(('FS Budapest'!BP14-'FS Budapest'!BP13)&lt;0,"0",('FS Budapest'!BP14-'FS Budapest'!BP13))</f>
        <v>20</v>
      </c>
      <c r="AE11" s="12">
        <f>IF(('FS Budapest'!BR14-'FS Budapest'!BR13)&lt;0,"0",('FS Budapest'!BR14-'FS Budapest'!BR13))</f>
        <v>28</v>
      </c>
      <c r="AF11" s="12">
        <f>'FS Budapest'!BU14</f>
        <v>104</v>
      </c>
      <c r="AG11" s="12">
        <f>'FS Budapest'!BV14</f>
        <v>140</v>
      </c>
    </row>
    <row r="12" spans="1:33" s="16" customFormat="1" x14ac:dyDescent="0.3">
      <c r="A12" s="12" t="s">
        <v>12</v>
      </c>
      <c r="B12" s="15">
        <f t="shared" si="0"/>
        <v>11</v>
      </c>
      <c r="C12" s="3">
        <f t="shared" si="1"/>
        <v>4</v>
      </c>
      <c r="D12" s="12">
        <f t="shared" si="2"/>
        <v>2022</v>
      </c>
      <c r="E12" s="12">
        <f>IF(('FS Budapest'!C15-'FS Budapest'!C14)&lt;0,"0",('FS Budapest'!C15-'FS Budapest'!C14))</f>
        <v>32</v>
      </c>
      <c r="F12" s="12">
        <f>IF(('FS Budapest'!D15-'FS Budapest'!D14)&lt;0,"0",('FS Budapest'!D15-'FS Budapest'!D14))</f>
        <v>62</v>
      </c>
      <c r="G12" s="12">
        <f>IF(('FS Budapest'!E15-'FS Budapest'!Y15)&lt;0,"0",('FS Budapest'!E15-'FS Budapest'!Y15))</f>
        <v>40</v>
      </c>
      <c r="H12" s="12">
        <f>IF(('FS Budapest'!H15-'FS Budapest'!H14)&lt;0,"0",('FS Budapest'!H15-'FS Budapest'!H14))</f>
        <v>78</v>
      </c>
      <c r="I12" s="12">
        <f>IF(('FS Budapest'!I15-'FS Budapest'!I14)&lt;0,"0",('FS Budapest'!I15-'FS Budapest'!I14))</f>
        <v>22</v>
      </c>
      <c r="J12" s="12">
        <f>IF(('FS Budapest'!K15-'FS Budapest'!K14)&lt;0,"0",('FS Budapest'!K15-'FS Budapest'!K14))</f>
        <v>5</v>
      </c>
      <c r="K12" s="12">
        <f>IF(('FS Budapest'!M15-'FS Budapest'!M14)&lt;0,"0",('FS Budapest'!M15-'FS Budapest'!M14))</f>
        <v>7</v>
      </c>
      <c r="L12" s="12">
        <f>IF(('FS Budapest'!O15-'FS Budapest'!O14)&lt;0,"0",('FS Budapest'!O15-'FS Budapest'!O14))</f>
        <v>25</v>
      </c>
      <c r="M12" s="12">
        <f>IF(('FS Budapest'!Q15-'FS Budapest'!Q14)&lt;0,"0",('FS Budapest'!Q15-'FS Budapest'!Q14))</f>
        <v>1</v>
      </c>
      <c r="N12" s="12">
        <f>IF(('FS Budapest'!S15-'FS Budapest'!S14)&lt;0,"0",('FS Budapest'!S15-'FS Budapest'!S14))</f>
        <v>1</v>
      </c>
      <c r="O12" s="12">
        <f>IF(('FS Budapest'!V15-'FS Budapest'!V14)&lt;0,"0",('FS Budapest'!V15-'FS Budapest'!V14))</f>
        <v>0</v>
      </c>
      <c r="P12" s="12">
        <f>IF(('FS Budapest'!X15-'FS Budapest'!X14)&lt;0,"0",('FS Budapest'!X15-'FS Budapest'!X14))</f>
        <v>22</v>
      </c>
      <c r="Q12" s="12">
        <f>'FS Budapest'!AB15</f>
        <v>2</v>
      </c>
      <c r="R12" s="12">
        <f>'FS Budapest'!AE15</f>
        <v>3</v>
      </c>
      <c r="S12" s="12">
        <f>'FS Budapest'!AF15</f>
        <v>8</v>
      </c>
      <c r="T12" s="12">
        <f>IF(('FS Budapest'!AK15-'FS Budapest'!AK14)&lt;0,"0",('FS Budapest'!AK15-'FS Budapest'!AK14))</f>
        <v>2447</v>
      </c>
      <c r="U12" s="12">
        <f>IF(('FS Budapest'!AM15-'FS Budapest'!AM14)&lt;0,"0",('FS Budapest'!AM15-'FS Budapest'!AM14))</f>
        <v>44</v>
      </c>
      <c r="V12" s="12">
        <f>IF(('FS Budapest'!AO15-'FS Budapest'!AO14)&lt;0,"0",('FS Budapest'!AO15-'FS Budapest'!AO14))</f>
        <v>501</v>
      </c>
      <c r="W12" s="12">
        <f>IF(('FS Budapest'!AQ15-'FS Budapest'!AQ14)&lt;0,"0",('FS Budapest'!AQ15-'FS Budapest'!AQ14))</f>
        <v>0</v>
      </c>
      <c r="X12" s="12">
        <f>'FS Budapest'!AY15</f>
        <v>0</v>
      </c>
      <c r="Y12" s="12">
        <f>IF(('FS Budapest'!BA15-'FS Budapest'!BA14)&lt;0,"0",('FS Budapest'!BA15-'FS Budapest'!BA14)*4400)</f>
        <v>13200</v>
      </c>
      <c r="Z12" s="12">
        <f>'FS Budapest'!BI15</f>
        <v>13200</v>
      </c>
      <c r="AA12" s="12">
        <f>'FS Budapest'!BJ15</f>
        <v>13170</v>
      </c>
      <c r="AB12" s="12">
        <f>IF(('FS Budapest'!BK15-'FS Budapest'!BK14)&lt;0,"0",('FS Budapest'!BK15-'FS Budapest'!BK14)*100)</f>
        <v>781.9999999999709</v>
      </c>
      <c r="AC12" s="12">
        <f>'FS Budapest'!BM15</f>
        <v>13981.999999999971</v>
      </c>
      <c r="AD12" s="12">
        <f>IF(('FS Budapest'!BP15-'FS Budapest'!BP14)&lt;0,"0",('FS Budapest'!BP15-'FS Budapest'!BP14))</f>
        <v>20</v>
      </c>
      <c r="AE12" s="12">
        <f>IF(('FS Budapest'!BR15-'FS Budapest'!BR14)&lt;0,"0",('FS Budapest'!BR15-'FS Budapest'!BR14))</f>
        <v>10</v>
      </c>
      <c r="AF12" s="12">
        <f>'FS Budapest'!BU15</f>
        <v>115</v>
      </c>
      <c r="AG12" s="12">
        <f>'FS Budapest'!BV15</f>
        <v>155</v>
      </c>
    </row>
    <row r="13" spans="1:33" s="16" customFormat="1" x14ac:dyDescent="0.3">
      <c r="A13" s="12" t="s">
        <v>12</v>
      </c>
      <c r="B13" s="15">
        <f t="shared" si="0"/>
        <v>12</v>
      </c>
      <c r="C13" s="3">
        <f t="shared" si="1"/>
        <v>4</v>
      </c>
      <c r="D13" s="12">
        <f t="shared" si="2"/>
        <v>2022</v>
      </c>
      <c r="E13" s="12">
        <f>IF(('FS Budapest'!C16-'FS Budapest'!C15)&lt;0,"0",('FS Budapest'!C16-'FS Budapest'!C15))</f>
        <v>36</v>
      </c>
      <c r="F13" s="12">
        <f>IF(('FS Budapest'!D16-'FS Budapest'!D15)&lt;0,"0",('FS Budapest'!D16-'FS Budapest'!D15))</f>
        <v>72</v>
      </c>
      <c r="G13" s="12">
        <f>IF(('FS Budapest'!E16-'FS Budapest'!Y16)&lt;0,"0",('FS Budapest'!E16-'FS Budapest'!Y16))</f>
        <v>45</v>
      </c>
      <c r="H13" s="12">
        <f>IF(('FS Budapest'!H16-'FS Budapest'!H15)&lt;0,"0",('FS Budapest'!H16-'FS Budapest'!H15))</f>
        <v>102</v>
      </c>
      <c r="I13" s="12">
        <f>IF(('FS Budapest'!I16-'FS Budapest'!I15)&lt;0,"0",('FS Budapest'!I16-'FS Budapest'!I15))</f>
        <v>23</v>
      </c>
      <c r="J13" s="12">
        <f>IF(('FS Budapest'!K16-'FS Budapest'!K15)&lt;0,"0",('FS Budapest'!K16-'FS Budapest'!K15))</f>
        <v>4</v>
      </c>
      <c r="K13" s="12">
        <f>IF(('FS Budapest'!M16-'FS Budapest'!M15)&lt;0,"0",('FS Budapest'!M16-'FS Budapest'!M15))</f>
        <v>9</v>
      </c>
      <c r="L13" s="12">
        <f>IF(('FS Budapest'!O16-'FS Budapest'!O15)&lt;0,"0",('FS Budapest'!O16-'FS Budapest'!O15))</f>
        <v>13</v>
      </c>
      <c r="M13" s="12">
        <f>IF(('FS Budapest'!Q16-'FS Budapest'!Q15)&lt;0,"0",('FS Budapest'!Q16-'FS Budapest'!Q15))</f>
        <v>1</v>
      </c>
      <c r="N13" s="12">
        <f>IF(('FS Budapest'!S16-'FS Budapest'!S15)&lt;0,"0",('FS Budapest'!S16-'FS Budapest'!S15))</f>
        <v>0</v>
      </c>
      <c r="O13" s="12">
        <f>IF(('FS Budapest'!V16-'FS Budapest'!V15)&lt;0,"0",('FS Budapest'!V16-'FS Budapest'!V15))</f>
        <v>0</v>
      </c>
      <c r="P13" s="12">
        <f>IF(('FS Budapest'!X16-'FS Budapest'!X15)&lt;0,"0",('FS Budapest'!X16-'FS Budapest'!X15))</f>
        <v>27</v>
      </c>
      <c r="Q13" s="12">
        <f>'FS Budapest'!AB16</f>
        <v>3</v>
      </c>
      <c r="R13" s="12">
        <f>'FS Budapest'!AE16</f>
        <v>2</v>
      </c>
      <c r="S13" s="12">
        <f>'FS Budapest'!AF16</f>
        <v>8</v>
      </c>
      <c r="T13" s="12">
        <f>IF(('FS Budapest'!AK16-'FS Budapest'!AK15)&lt;0,"0",('FS Budapest'!AK16-'FS Budapest'!AK15))</f>
        <v>2093</v>
      </c>
      <c r="U13" s="12">
        <f>IF(('FS Budapest'!AM16-'FS Budapest'!AM15)&lt;0,"0",('FS Budapest'!AM16-'FS Budapest'!AM15))</f>
        <v>33</v>
      </c>
      <c r="V13" s="12">
        <f>IF(('FS Budapest'!AO16-'FS Budapest'!AO15)&lt;0,"0",('FS Budapest'!AO16-'FS Budapest'!AO15))</f>
        <v>522</v>
      </c>
      <c r="W13" s="12">
        <f>IF(('FS Budapest'!AQ16-'FS Budapest'!AQ15)&lt;0,"0",('FS Budapest'!AQ16-'FS Budapest'!AQ15))</f>
        <v>0</v>
      </c>
      <c r="X13" s="12">
        <f>'FS Budapest'!AY16</f>
        <v>0</v>
      </c>
      <c r="Y13" s="12">
        <f>IF(('FS Budapest'!BA16-'FS Budapest'!BA15)&lt;0,"0",('FS Budapest'!BA16-'FS Budapest'!BA15)*4400)</f>
        <v>13684.00000000056</v>
      </c>
      <c r="Z13" s="12">
        <f>'FS Budapest'!BI16</f>
        <v>13684.00000000056</v>
      </c>
      <c r="AA13" s="12">
        <f>'FS Budapest'!BJ16</f>
        <v>13649.00000000056</v>
      </c>
      <c r="AB13" s="12">
        <f>IF(('FS Budapest'!BK16-'FS Budapest'!BK15)&lt;0,"0",('FS Budapest'!BK16-'FS Budapest'!BK15)*100)</f>
        <v>1009.0000000000146</v>
      </c>
      <c r="AC13" s="12">
        <f>'FS Budapest'!BM16</f>
        <v>14693.000000000575</v>
      </c>
      <c r="AD13" s="12">
        <f>IF(('FS Budapest'!BP16-'FS Budapest'!BP15)&lt;0,"0",('FS Budapest'!BP16-'FS Budapest'!BP15))</f>
        <v>19</v>
      </c>
      <c r="AE13" s="12">
        <f>IF(('FS Budapest'!BR16-'FS Budapest'!BR15)&lt;0,"0",('FS Budapest'!BR16-'FS Budapest'!BR15))</f>
        <v>16</v>
      </c>
      <c r="AF13" s="12">
        <f>'FS Budapest'!BU16</f>
        <v>127</v>
      </c>
      <c r="AG13" s="12">
        <f>'FS Budapest'!BV16</f>
        <v>170</v>
      </c>
    </row>
    <row r="14" spans="1:33" s="16" customFormat="1" x14ac:dyDescent="0.3">
      <c r="A14" s="12" t="s">
        <v>12</v>
      </c>
      <c r="B14" s="15">
        <f t="shared" si="0"/>
        <v>13</v>
      </c>
      <c r="C14" s="3">
        <f t="shared" si="1"/>
        <v>4</v>
      </c>
      <c r="D14" s="12">
        <f t="shared" si="2"/>
        <v>2022</v>
      </c>
      <c r="E14" s="12">
        <f>IF(('FS Budapest'!C17-'FS Budapest'!C16)&lt;0,"0",('FS Budapest'!C17-'FS Budapest'!C16))</f>
        <v>40</v>
      </c>
      <c r="F14" s="12">
        <f>IF(('FS Budapest'!D17-'FS Budapest'!D16)&lt;0,"0",('FS Budapest'!D17-'FS Budapest'!D16))</f>
        <v>76</v>
      </c>
      <c r="G14" s="12">
        <f>IF(('FS Budapest'!E17-'FS Budapest'!Y17)&lt;0,"0",('FS Budapest'!E17-'FS Budapest'!Y17))</f>
        <v>45</v>
      </c>
      <c r="H14" s="12">
        <f>IF(('FS Budapest'!H17-'FS Budapest'!H16)&lt;0,"0",('FS Budapest'!H17-'FS Budapest'!H16))</f>
        <v>98</v>
      </c>
      <c r="I14" s="12">
        <f>IF(('FS Budapest'!I17-'FS Budapest'!I16)&lt;0,"0",('FS Budapest'!I17-'FS Budapest'!I16))</f>
        <v>0</v>
      </c>
      <c r="J14" s="12">
        <f>IF(('FS Budapest'!K17-'FS Budapest'!K16)&lt;0,"0",('FS Budapest'!K17-'FS Budapest'!K16))</f>
        <v>5</v>
      </c>
      <c r="K14" s="12">
        <f>IF(('FS Budapest'!M17-'FS Budapest'!M16)&lt;0,"0",('FS Budapest'!M17-'FS Budapest'!M16))</f>
        <v>8</v>
      </c>
      <c r="L14" s="12">
        <f>IF(('FS Budapest'!O17-'FS Budapest'!O16)&lt;0,"0",('FS Budapest'!O17-'FS Budapest'!O16))</f>
        <v>15</v>
      </c>
      <c r="M14" s="12">
        <f>IF(('FS Budapest'!Q17-'FS Budapest'!Q16)&lt;0,"0",('FS Budapest'!Q17-'FS Budapest'!Q16))</f>
        <v>3</v>
      </c>
      <c r="N14" s="12">
        <f>IF(('FS Budapest'!S17-'FS Budapest'!S16)&lt;0,"0",('FS Budapest'!S17-'FS Budapest'!S16))</f>
        <v>1</v>
      </c>
      <c r="O14" s="12">
        <f>IF(('FS Budapest'!V17-'FS Budapest'!V16)&lt;0,"0",('FS Budapest'!V17-'FS Budapest'!V16))</f>
        <v>0</v>
      </c>
      <c r="P14" s="12">
        <f>IF(('FS Budapest'!X17-'FS Budapest'!X16)&lt;0,"0",('FS Budapest'!X17-'FS Budapest'!X16))</f>
        <v>31</v>
      </c>
      <c r="Q14" s="12">
        <f>'FS Budapest'!AB17</f>
        <v>1</v>
      </c>
      <c r="R14" s="12">
        <f>'FS Budapest'!AE17</f>
        <v>3</v>
      </c>
      <c r="S14" s="12">
        <f>'FS Budapest'!AF17</f>
        <v>10</v>
      </c>
      <c r="T14" s="12">
        <f>IF(('FS Budapest'!AK17-'FS Budapest'!AK16)&lt;0,"0",('FS Budapest'!AK17-'FS Budapest'!AK16))</f>
        <v>1902</v>
      </c>
      <c r="U14" s="12">
        <f>IF(('FS Budapest'!AM17-'FS Budapest'!AM16)&lt;0,"0",('FS Budapest'!AM17-'FS Budapest'!AM16))</f>
        <v>33</v>
      </c>
      <c r="V14" s="12">
        <f>IF(('FS Budapest'!AO17-'FS Budapest'!AO16)&lt;0,"0",('FS Budapest'!AO17-'FS Budapest'!AO16))</f>
        <v>524</v>
      </c>
      <c r="W14" s="12">
        <f>IF(('FS Budapest'!AQ17-'FS Budapest'!AQ16)&lt;0,"0",('FS Budapest'!AQ17-'FS Budapest'!AQ16))</f>
        <v>0</v>
      </c>
      <c r="X14" s="12">
        <f>'FS Budapest'!AY17</f>
        <v>0</v>
      </c>
      <c r="Y14" s="12">
        <f>IF(('FS Budapest'!BA17-'FS Budapest'!BA16)&lt;0,"0",('FS Budapest'!BA17-'FS Budapest'!BA16)*4400)</f>
        <v>14124.00000000016</v>
      </c>
      <c r="Z14" s="12">
        <f>'FS Budapest'!BI17</f>
        <v>14124.00000000016</v>
      </c>
      <c r="AA14" s="12">
        <f>'FS Budapest'!BJ17</f>
        <v>14088.00000000016</v>
      </c>
      <c r="AB14" s="12">
        <f>IF(('FS Budapest'!BK17-'FS Budapest'!BK16)&lt;0,"0",('FS Budapest'!BK17-'FS Budapest'!BK16)*100)</f>
        <v>961.99999999998909</v>
      </c>
      <c r="AC14" s="12">
        <f>'FS Budapest'!BM17</f>
        <v>15086.000000000149</v>
      </c>
      <c r="AD14" s="12">
        <f>IF(('FS Budapest'!BP17-'FS Budapest'!BP16)&lt;0,"0",('FS Budapest'!BP17-'FS Budapest'!BP16))</f>
        <v>20</v>
      </c>
      <c r="AE14" s="12">
        <f>IF(('FS Budapest'!BR17-'FS Budapest'!BR16)&lt;0,"0",('FS Budapest'!BR17-'FS Budapest'!BR16))</f>
        <v>16</v>
      </c>
      <c r="AF14" s="12">
        <f>'FS Budapest'!BU17</f>
        <v>104</v>
      </c>
      <c r="AG14" s="12">
        <f>'FS Budapest'!BV17</f>
        <v>144</v>
      </c>
    </row>
    <row r="15" spans="1:33" s="16" customFormat="1" x14ac:dyDescent="0.3">
      <c r="A15" s="12" t="s">
        <v>12</v>
      </c>
      <c r="B15" s="15">
        <f t="shared" si="0"/>
        <v>14</v>
      </c>
      <c r="C15" s="3">
        <f t="shared" si="1"/>
        <v>4</v>
      </c>
      <c r="D15" s="12">
        <f t="shared" si="2"/>
        <v>2022</v>
      </c>
      <c r="E15" s="12">
        <f>IF(('FS Budapest'!C18-'FS Budapest'!C17)&lt;0,"0",('FS Budapest'!C18-'FS Budapest'!C17))</f>
        <v>41</v>
      </c>
      <c r="F15" s="12">
        <f>IF(('FS Budapest'!D18-'FS Budapest'!D17)&lt;0,"0",('FS Budapest'!D18-'FS Budapest'!D17))</f>
        <v>80</v>
      </c>
      <c r="G15" s="12">
        <f>IF(('FS Budapest'!E18-'FS Budapest'!Y18)&lt;0,"0",('FS Budapest'!E18-'FS Budapest'!Y18))</f>
        <v>45</v>
      </c>
      <c r="H15" s="12">
        <f>IF(('FS Budapest'!H18-'FS Budapest'!H17)&lt;0,"0",('FS Budapest'!H18-'FS Budapest'!H17))</f>
        <v>102</v>
      </c>
      <c r="I15" s="12">
        <f>IF(('FS Budapest'!I18-'FS Budapest'!I17)&lt;0,"0",('FS Budapest'!I18-'FS Budapest'!I17))</f>
        <v>25</v>
      </c>
      <c r="J15" s="12">
        <f>IF(('FS Budapest'!K18-'FS Budapest'!K17)&lt;0,"0",('FS Budapest'!K18-'FS Budapest'!K17))</f>
        <v>5</v>
      </c>
      <c r="K15" s="12">
        <f>IF(('FS Budapest'!M18-'FS Budapest'!M17)&lt;0,"0",('FS Budapest'!M18-'FS Budapest'!M17))</f>
        <v>9</v>
      </c>
      <c r="L15" s="12">
        <f>IF(('FS Budapest'!O18-'FS Budapest'!O17)&lt;0,"0",('FS Budapest'!O18-'FS Budapest'!O17))</f>
        <v>13</v>
      </c>
      <c r="M15" s="12">
        <f>IF(('FS Budapest'!Q18-'FS Budapest'!Q17)&lt;0,"0",('FS Budapest'!Q18-'FS Budapest'!Q17))</f>
        <v>2</v>
      </c>
      <c r="N15" s="12">
        <f>IF(('FS Budapest'!S18-'FS Budapest'!S17)&lt;0,"0",('FS Budapest'!S18-'FS Budapest'!S17))</f>
        <v>1</v>
      </c>
      <c r="O15" s="12">
        <f>IF(('FS Budapest'!V18-'FS Budapest'!V17)&lt;0,"0",('FS Budapest'!V18-'FS Budapest'!V17))</f>
        <v>0</v>
      </c>
      <c r="P15" s="12">
        <f>IF(('FS Budapest'!X18-'FS Budapest'!X17)&lt;0,"0",('FS Budapest'!X18-'FS Budapest'!X17))</f>
        <v>35</v>
      </c>
      <c r="Q15" s="12">
        <f>'FS Budapest'!AB18</f>
        <v>2</v>
      </c>
      <c r="R15" s="12">
        <f>'FS Budapest'!AE18</f>
        <v>1</v>
      </c>
      <c r="S15" s="12">
        <f>'FS Budapest'!AF18</f>
        <v>10</v>
      </c>
      <c r="T15" s="12">
        <f>IF(('FS Budapest'!AK18-'FS Budapest'!AK17)&lt;0,"0",('FS Budapest'!AK18-'FS Budapest'!AK17))</f>
        <v>1775</v>
      </c>
      <c r="U15" s="12">
        <f>IF(('FS Budapest'!AM18-'FS Budapest'!AM17)&lt;0,"0",('FS Budapest'!AM18-'FS Budapest'!AM17))</f>
        <v>55</v>
      </c>
      <c r="V15" s="12">
        <f>IF(('FS Budapest'!AO18-'FS Budapest'!AO17)&lt;0,"0",('FS Budapest'!AO18-'FS Budapest'!AO17))</f>
        <v>544</v>
      </c>
      <c r="W15" s="12">
        <f>IF(('FS Budapest'!AQ18-'FS Budapest'!AQ17)&lt;0,"0",('FS Budapest'!AQ18-'FS Budapest'!AQ17))</f>
        <v>0</v>
      </c>
      <c r="X15" s="12">
        <f>'FS Budapest'!AY18</f>
        <v>0</v>
      </c>
      <c r="Y15" s="12">
        <f>IF(('FS Budapest'!BA18-'FS Budapest'!BA17)&lt;0,"0",('FS Budapest'!BA18-'FS Budapest'!BA17)*4400)</f>
        <v>14124.00000000016</v>
      </c>
      <c r="Z15" s="12">
        <f>'FS Budapest'!BI18</f>
        <v>14124.00000000016</v>
      </c>
      <c r="AA15" s="12">
        <f>'FS Budapest'!BJ18</f>
        <v>13869.00000000016</v>
      </c>
      <c r="AB15" s="12">
        <f>IF(('FS Budapest'!BK18-'FS Budapest'!BK17)&lt;0,"0",('FS Budapest'!BK18-'FS Budapest'!BK17)*100)</f>
        <v>994.99999999998181</v>
      </c>
      <c r="AC15" s="12">
        <f>'FS Budapest'!BM18</f>
        <v>15119.000000000142</v>
      </c>
      <c r="AD15" s="12">
        <f>IF(('FS Budapest'!BP18-'FS Budapest'!BP17)&lt;0,"0",('FS Budapest'!BP18-'FS Budapest'!BP17))</f>
        <v>19</v>
      </c>
      <c r="AE15" s="12">
        <f>IF(('FS Budapest'!BR18-'FS Budapest'!BR17)&lt;0,"0",('FS Budapest'!BR18-'FS Budapest'!BR17))</f>
        <v>236</v>
      </c>
      <c r="AF15" s="12">
        <f>'FS Budapest'!BU18</f>
        <v>111</v>
      </c>
      <c r="AG15" s="12">
        <f>'FS Budapest'!BV18</f>
        <v>167</v>
      </c>
    </row>
    <row r="16" spans="1:33" s="16" customFormat="1" x14ac:dyDescent="0.3">
      <c r="A16" s="12" t="s">
        <v>12</v>
      </c>
      <c r="B16" s="15">
        <f t="shared" si="0"/>
        <v>15</v>
      </c>
      <c r="C16" s="3">
        <f t="shared" si="1"/>
        <v>4</v>
      </c>
      <c r="D16" s="12">
        <f t="shared" si="2"/>
        <v>2022</v>
      </c>
      <c r="E16" s="12">
        <f>IF(('FS Budapest'!C19-'FS Budapest'!C18)&lt;0,"0",('FS Budapest'!C19-'FS Budapest'!C18))</f>
        <v>36</v>
      </c>
      <c r="F16" s="12">
        <f>IF(('FS Budapest'!D19-'FS Budapest'!D18)&lt;0,"0",('FS Budapest'!D19-'FS Budapest'!D18))</f>
        <v>81</v>
      </c>
      <c r="G16" s="12">
        <f>IF(('FS Budapest'!E19-'FS Budapest'!Y19)&lt;0,"0",('FS Budapest'!E19-'FS Budapest'!Y19))</f>
        <v>54</v>
      </c>
      <c r="H16" s="12">
        <f>IF(('FS Budapest'!H19-'FS Budapest'!H18)&lt;0,"0",('FS Budapest'!H19-'FS Budapest'!H18))</f>
        <v>98</v>
      </c>
      <c r="I16" s="12">
        <f>IF(('FS Budapest'!I19-'FS Budapest'!I18)&lt;0,"0",('FS Budapest'!I19-'FS Budapest'!I18))</f>
        <v>24</v>
      </c>
      <c r="J16" s="12">
        <f>IF(('FS Budapest'!K19-'FS Budapest'!K18)&lt;0,"0",('FS Budapest'!K19-'FS Budapest'!K18))</f>
        <v>6</v>
      </c>
      <c r="K16" s="12">
        <f>IF(('FS Budapest'!M19-'FS Budapest'!M18)&lt;0,"0",('FS Budapest'!M19-'FS Budapest'!M18))</f>
        <v>10</v>
      </c>
      <c r="L16" s="12">
        <f>IF(('FS Budapest'!O19-'FS Budapest'!O18)&lt;0,"0",('FS Budapest'!O19-'FS Budapest'!O18))</f>
        <v>16</v>
      </c>
      <c r="M16" s="12">
        <f>IF(('FS Budapest'!Q19-'FS Budapest'!Q18)&lt;0,"0",('FS Budapest'!Q19-'FS Budapest'!Q18))</f>
        <v>2</v>
      </c>
      <c r="N16" s="12">
        <f>IF(('FS Budapest'!S19-'FS Budapest'!S18)&lt;0,"0",('FS Budapest'!S19-'FS Budapest'!S18))</f>
        <v>1</v>
      </c>
      <c r="O16" s="12">
        <f>IF(('FS Budapest'!V19-'FS Budapest'!V18)&lt;0,"0",('FS Budapest'!V19-'FS Budapest'!V18))</f>
        <v>0</v>
      </c>
      <c r="P16" s="12">
        <f>IF(('FS Budapest'!X19-'FS Budapest'!X18)&lt;0,"0",('FS Budapest'!X19-'FS Budapest'!X18))</f>
        <v>27</v>
      </c>
      <c r="Q16" s="12">
        <f>'FS Budapest'!AB19</f>
        <v>2</v>
      </c>
      <c r="R16" s="12">
        <f>'FS Budapest'!AE19</f>
        <v>2</v>
      </c>
      <c r="S16" s="12">
        <f>'FS Budapest'!AF19</f>
        <v>10</v>
      </c>
      <c r="T16" s="12">
        <f>IF(('FS Budapest'!AK19-'FS Budapest'!AK18)&lt;0,"0",('FS Budapest'!AK19-'FS Budapest'!AK18))</f>
        <v>1761</v>
      </c>
      <c r="U16" s="12">
        <f>IF(('FS Budapest'!AM19-'FS Budapest'!AM18)&lt;0,"0",('FS Budapest'!AM19-'FS Budapest'!AM18))</f>
        <v>58</v>
      </c>
      <c r="V16" s="12">
        <f>IF(('FS Budapest'!AO19-'FS Budapest'!AO18)&lt;0,"0",('FS Budapest'!AO19-'FS Budapest'!AO18))</f>
        <v>543</v>
      </c>
      <c r="W16" s="12">
        <f>IF(('FS Budapest'!AQ19-'FS Budapest'!AQ18)&lt;0,"0",('FS Budapest'!AQ19-'FS Budapest'!AQ18))</f>
        <v>0</v>
      </c>
      <c r="X16" s="12">
        <f>'FS Budapest'!AY19</f>
        <v>0</v>
      </c>
      <c r="Y16" s="12">
        <f>IF(('FS Budapest'!BA19-'FS Budapest'!BA18)&lt;0,"0",('FS Budapest'!BA19-'FS Budapest'!BA18)*4400)</f>
        <v>14343.99999999896</v>
      </c>
      <c r="Z16" s="12">
        <f>'FS Budapest'!BI19</f>
        <v>14343.99999999896</v>
      </c>
      <c r="AA16" s="12">
        <f>'FS Budapest'!BJ19</f>
        <v>14307.99999999896</v>
      </c>
      <c r="AB16" s="12">
        <f>IF(('FS Budapest'!BK19-'FS Budapest'!BK18)&lt;0,"0",('FS Budapest'!BK19-'FS Budapest'!BK18)*100)</f>
        <v>863.00000000001091</v>
      </c>
      <c r="AC16" s="12">
        <f>'FS Budapest'!BM19</f>
        <v>15206.99999999897</v>
      </c>
      <c r="AD16" s="12">
        <f>IF(('FS Budapest'!BP19-'FS Budapest'!BP18)&lt;0,"0",('FS Budapest'!BP19-'FS Budapest'!BP18))</f>
        <v>20</v>
      </c>
      <c r="AE16" s="12">
        <f>IF(('FS Budapest'!BR19-'FS Budapest'!BR18)&lt;0,"0",('FS Budapest'!BR19-'FS Budapest'!BR18))</f>
        <v>16</v>
      </c>
      <c r="AF16" s="12">
        <f>'FS Budapest'!BU19</f>
        <v>108</v>
      </c>
      <c r="AG16" s="12">
        <f>'FS Budapest'!BV19</f>
        <v>184</v>
      </c>
    </row>
    <row r="17" spans="1:33" s="16" customFormat="1" x14ac:dyDescent="0.3">
      <c r="A17" s="12" t="s">
        <v>12</v>
      </c>
      <c r="B17" s="15">
        <f t="shared" si="0"/>
        <v>16</v>
      </c>
      <c r="C17" s="3">
        <f t="shared" si="1"/>
        <v>4</v>
      </c>
      <c r="D17" s="12">
        <f t="shared" si="2"/>
        <v>2022</v>
      </c>
      <c r="E17" s="12">
        <f>IF(('FS Budapest'!C20-'FS Budapest'!C19)&lt;0,"0",('FS Budapest'!C20-'FS Budapest'!C19))</f>
        <v>28</v>
      </c>
      <c r="F17" s="12">
        <f>IF(('FS Budapest'!D20-'FS Budapest'!D19)&lt;0,"0",('FS Budapest'!D20-'FS Budapest'!D19))</f>
        <v>76</v>
      </c>
      <c r="G17" s="12">
        <f>IF(('FS Budapest'!E20-'FS Budapest'!Y20)&lt;0,"0",('FS Budapest'!E20-'FS Budapest'!Y20))</f>
        <v>61</v>
      </c>
      <c r="H17" s="12">
        <f>IF(('FS Budapest'!H20-'FS Budapest'!H19)&lt;0,"0",('FS Budapest'!H20-'FS Budapest'!H19))</f>
        <v>80</v>
      </c>
      <c r="I17" s="12">
        <f>IF(('FS Budapest'!I20-'FS Budapest'!I19)&lt;0,"0",('FS Budapest'!I20-'FS Budapest'!I19))</f>
        <v>19</v>
      </c>
      <c r="J17" s="12">
        <f>IF(('FS Budapest'!K20-'FS Budapest'!K19)&lt;0,"0",('FS Budapest'!K20-'FS Budapest'!K19))</f>
        <v>5</v>
      </c>
      <c r="K17" s="12">
        <f>IF(('FS Budapest'!M20-'FS Budapest'!M19)&lt;0,"0",('FS Budapest'!M20-'FS Budapest'!M19))</f>
        <v>7</v>
      </c>
      <c r="L17" s="12">
        <f>IF(('FS Budapest'!O20-'FS Budapest'!O19)&lt;0,"0",('FS Budapest'!O20-'FS Budapest'!O19))</f>
        <v>14</v>
      </c>
      <c r="M17" s="12">
        <f>IF(('FS Budapest'!Q20-'FS Budapest'!Q19)&lt;0,"0",('FS Budapest'!Q20-'FS Budapest'!Q19))</f>
        <v>0</v>
      </c>
      <c r="N17" s="12">
        <f>IF(('FS Budapest'!S20-'FS Budapest'!S19)&lt;0,"0",('FS Budapest'!S20-'FS Budapest'!S19))</f>
        <v>0</v>
      </c>
      <c r="O17" s="12">
        <f>IF(('FS Budapest'!V20-'FS Budapest'!V19)&lt;0,"0",('FS Budapest'!V20-'FS Budapest'!V19))</f>
        <v>0</v>
      </c>
      <c r="P17" s="12">
        <f>IF(('FS Budapest'!X20-'FS Budapest'!X19)&lt;0,"0",('FS Budapest'!X20-'FS Budapest'!X19))</f>
        <v>15</v>
      </c>
      <c r="Q17" s="12">
        <f>'FS Budapest'!AB20</f>
        <v>3</v>
      </c>
      <c r="R17" s="12">
        <f>'FS Budapest'!AE20</f>
        <v>3</v>
      </c>
      <c r="S17" s="12">
        <f>'FS Budapest'!AF20</f>
        <v>0</v>
      </c>
      <c r="T17" s="12">
        <f>IF(('FS Budapest'!AK20-'FS Budapest'!AK19)&lt;0,"0",('FS Budapest'!AK20-'FS Budapest'!AK19))</f>
        <v>1792</v>
      </c>
      <c r="U17" s="12">
        <f>IF(('FS Budapest'!AM20-'FS Budapest'!AM19)&lt;0,"0",('FS Budapest'!AM20-'FS Budapest'!AM19))</f>
        <v>53</v>
      </c>
      <c r="V17" s="12">
        <f>IF(('FS Budapest'!AO20-'FS Budapest'!AO19)&lt;0,"0",('FS Budapest'!AO20-'FS Budapest'!AO19))</f>
        <v>1062</v>
      </c>
      <c r="W17" s="12">
        <f>IF(('FS Budapest'!AQ20-'FS Budapest'!AQ19)&lt;0,"0",('FS Budapest'!AQ20-'FS Budapest'!AQ19))</f>
        <v>0</v>
      </c>
      <c r="X17" s="12">
        <f>'FS Budapest'!AY20</f>
        <v>0</v>
      </c>
      <c r="Y17" s="12">
        <f>IF(('FS Budapest'!BA20-'FS Budapest'!BA19)&lt;0,"0",('FS Budapest'!BA20-'FS Budapest'!BA19)*4400)</f>
        <v>14168.00000000112</v>
      </c>
      <c r="Z17" s="12">
        <f>'FS Budapest'!BI20</f>
        <v>14168.00000000112</v>
      </c>
      <c r="AA17" s="12">
        <f>'FS Budapest'!BJ20</f>
        <v>14137.00000000112</v>
      </c>
      <c r="AB17" s="12">
        <f>IF(('FS Budapest'!BK20-'FS Budapest'!BK19)&lt;0,"0",('FS Budapest'!BK20-'FS Budapest'!BK19)*100)</f>
        <v>928.99999999999636</v>
      </c>
      <c r="AC17" s="12">
        <f>'FS Budapest'!BM20</f>
        <v>15097.000000001117</v>
      </c>
      <c r="AD17" s="12">
        <f>IF(('FS Budapest'!BP20-'FS Budapest'!BP19)&lt;0,"0",('FS Budapest'!BP20-'FS Budapest'!BP19))</f>
        <v>19</v>
      </c>
      <c r="AE17" s="12">
        <f>IF(('FS Budapest'!BR20-'FS Budapest'!BR19)&lt;0,"0",('FS Budapest'!BR20-'FS Budapest'!BR19))</f>
        <v>12</v>
      </c>
      <c r="AF17" s="12">
        <f>'FS Budapest'!BU20</f>
        <v>97</v>
      </c>
      <c r="AG17" s="12">
        <f>'FS Budapest'!BV20</f>
        <v>166</v>
      </c>
    </row>
    <row r="18" spans="1:33" s="16" customFormat="1" x14ac:dyDescent="0.3">
      <c r="A18" s="12" t="s">
        <v>12</v>
      </c>
      <c r="B18" s="15">
        <f t="shared" si="0"/>
        <v>17</v>
      </c>
      <c r="C18" s="3">
        <f t="shared" si="1"/>
        <v>4</v>
      </c>
      <c r="D18" s="12">
        <f t="shared" si="2"/>
        <v>2022</v>
      </c>
      <c r="E18" s="12">
        <f>IF(('FS Budapest'!C21-'FS Budapest'!C20)&lt;0,"0",('FS Budapest'!C21-'FS Budapest'!C20))</f>
        <v>23</v>
      </c>
      <c r="F18" s="12">
        <f>IF(('FS Budapest'!D21-'FS Budapest'!D20)&lt;0,"0",('FS Budapest'!D21-'FS Budapest'!D20))</f>
        <v>66</v>
      </c>
      <c r="G18" s="12">
        <f>IF(('FS Budapest'!E21-'FS Budapest'!Y21)&lt;0,"0",('FS Budapest'!E21-'FS Budapest'!Y21))</f>
        <v>37</v>
      </c>
      <c r="H18" s="12">
        <f>IF(('FS Budapest'!H21-'FS Budapest'!H20)&lt;0,"0",('FS Budapest'!H21-'FS Budapest'!H20))</f>
        <v>68</v>
      </c>
      <c r="I18" s="12">
        <f>IF(('FS Budapest'!I21-'FS Budapest'!I20)&lt;0,"0",('FS Budapest'!I21-'FS Budapest'!I20))</f>
        <v>6</v>
      </c>
      <c r="J18" s="12">
        <f>IF(('FS Budapest'!K21-'FS Budapest'!K20)&lt;0,"0",('FS Budapest'!K21-'FS Budapest'!K20))</f>
        <v>5</v>
      </c>
      <c r="K18" s="12">
        <f>IF(('FS Budapest'!M21-'FS Budapest'!M20)&lt;0,"0",('FS Budapest'!M21-'FS Budapest'!M20))</f>
        <v>12</v>
      </c>
      <c r="L18" s="12">
        <f>IF(('FS Budapest'!O21-'FS Budapest'!O20)&lt;0,"0",('FS Budapest'!O21-'FS Budapest'!O20))</f>
        <v>15</v>
      </c>
      <c r="M18" s="12">
        <f>IF(('FS Budapest'!Q21-'FS Budapest'!Q20)&lt;0,"0",('FS Budapest'!Q21-'FS Budapest'!Q20))</f>
        <v>1</v>
      </c>
      <c r="N18" s="12">
        <f>IF(('FS Budapest'!S21-'FS Budapest'!S20)&lt;0,"0",('FS Budapest'!S21-'FS Budapest'!S20))</f>
        <v>1</v>
      </c>
      <c r="O18" s="12">
        <f>IF(('FS Budapest'!V21-'FS Budapest'!V20)&lt;0,"0",('FS Budapest'!V21-'FS Budapest'!V20))</f>
        <v>0</v>
      </c>
      <c r="P18" s="12">
        <f>IF(('FS Budapest'!X21-'FS Budapest'!X20)&lt;0,"0",('FS Budapest'!X21-'FS Budapest'!X20))</f>
        <v>29</v>
      </c>
      <c r="Q18" s="12">
        <f>'FS Budapest'!AB21</f>
        <v>1</v>
      </c>
      <c r="R18" s="12">
        <f>'FS Budapest'!AE21</f>
        <v>1</v>
      </c>
      <c r="S18" s="12">
        <f>'FS Budapest'!AF21</f>
        <v>3</v>
      </c>
      <c r="T18" s="12">
        <f>IF(('FS Budapest'!AK21-'FS Budapest'!AK20)&lt;0,"0",('FS Budapest'!AK21-'FS Budapest'!AK20))</f>
        <v>1988</v>
      </c>
      <c r="U18" s="12">
        <f>IF(('FS Budapest'!AM21-'FS Budapest'!AM20)&lt;0,"0",('FS Budapest'!AM21-'FS Budapest'!AM20))</f>
        <v>30</v>
      </c>
      <c r="V18" s="12" t="str">
        <f>IF(('FS Budapest'!AO21-'FS Budapest'!AO20)&lt;0,"0",('FS Budapest'!AO21-'FS Budapest'!AO20))</f>
        <v>0</v>
      </c>
      <c r="W18" s="12">
        <f>IF(('FS Budapest'!AQ21-'FS Budapest'!AQ20)&lt;0,"0",('FS Budapest'!AQ21-'FS Budapest'!AQ20))</f>
        <v>0</v>
      </c>
      <c r="X18" s="12">
        <f>'FS Budapest'!AY21</f>
        <v>0</v>
      </c>
      <c r="Y18" s="12">
        <f>IF(('FS Budapest'!BA21-'FS Budapest'!BA20)&lt;0,"0",('FS Budapest'!BA21-'FS Budapest'!BA20)*4400)</f>
        <v>13639.9999999996</v>
      </c>
      <c r="Z18" s="12">
        <f>'FS Budapest'!BI21</f>
        <v>13639.9999999996</v>
      </c>
      <c r="AA18" s="12">
        <f>'FS Budapest'!BJ21</f>
        <v>13603.9999999996</v>
      </c>
      <c r="AB18" s="12">
        <f>IF(('FS Budapest'!BK21-'FS Budapest'!BK20)&lt;0,"0",('FS Budapest'!BK21-'FS Budapest'!BK20)*100)</f>
        <v>911.99999999998909</v>
      </c>
      <c r="AC18" s="12">
        <f>'FS Budapest'!BM21</f>
        <v>14551.999999999589</v>
      </c>
      <c r="AD18" s="12">
        <f>IF(('FS Budapest'!BP21-'FS Budapest'!BP20)&lt;0,"0",('FS Budapest'!BP21-'FS Budapest'!BP20))</f>
        <v>20</v>
      </c>
      <c r="AE18" s="12">
        <f>IF(('FS Budapest'!BR21-'FS Budapest'!BR20)&lt;0,"0",('FS Budapest'!BR21-'FS Budapest'!BR20))</f>
        <v>16</v>
      </c>
      <c r="AF18" s="12">
        <f>'FS Budapest'!BU21</f>
        <v>84</v>
      </c>
      <c r="AG18" s="12">
        <f>'FS Budapest'!BV21</f>
        <v>134</v>
      </c>
    </row>
    <row r="19" spans="1:33" s="16" customFormat="1" x14ac:dyDescent="0.3">
      <c r="A19" s="12" t="s">
        <v>12</v>
      </c>
      <c r="B19" s="15">
        <f t="shared" si="0"/>
        <v>18</v>
      </c>
      <c r="C19" s="3">
        <f t="shared" si="1"/>
        <v>4</v>
      </c>
      <c r="D19" s="12">
        <f t="shared" si="2"/>
        <v>2022</v>
      </c>
      <c r="E19" s="12">
        <f>IF(('FS Budapest'!C22-'FS Budapest'!C21)&lt;0,"0",('FS Budapest'!C22-'FS Budapest'!C21))</f>
        <v>29</v>
      </c>
      <c r="F19" s="12">
        <f>IF(('FS Budapest'!D22-'FS Budapest'!D21)&lt;0,"0",('FS Budapest'!D22-'FS Budapest'!D21))</f>
        <v>59</v>
      </c>
      <c r="G19" s="12">
        <f>IF(('FS Budapest'!E22-'FS Budapest'!Y22)&lt;0,"0",('FS Budapest'!E22-'FS Budapest'!Y22))</f>
        <v>37</v>
      </c>
      <c r="H19" s="12">
        <f>IF(('FS Budapest'!H22-'FS Budapest'!H21)&lt;0,"0",('FS Budapest'!H22-'FS Budapest'!H21))</f>
        <v>82</v>
      </c>
      <c r="I19" s="12">
        <f>IF(('FS Budapest'!I22-'FS Budapest'!I21)&lt;0,"0",('FS Budapest'!I22-'FS Budapest'!I21))</f>
        <v>22</v>
      </c>
      <c r="J19" s="12">
        <f>IF(('FS Budapest'!K22-'FS Budapest'!K21)&lt;0,"0",('FS Budapest'!K22-'FS Budapest'!K21))</f>
        <v>5</v>
      </c>
      <c r="K19" s="12">
        <f>IF(('FS Budapest'!M22-'FS Budapest'!M21)&lt;0,"0",('FS Budapest'!M22-'FS Budapest'!M21))</f>
        <v>8</v>
      </c>
      <c r="L19" s="12">
        <f>IF(('FS Budapest'!O22-'FS Budapest'!O21)&lt;0,"0",('FS Budapest'!O22-'FS Budapest'!O21))</f>
        <v>11</v>
      </c>
      <c r="M19" s="12">
        <f>IF(('FS Budapest'!Q22-'FS Budapest'!Q21)&lt;0,"0",('FS Budapest'!Q22-'FS Budapest'!Q21))</f>
        <v>2</v>
      </c>
      <c r="N19" s="12">
        <f>IF(('FS Budapest'!S22-'FS Budapest'!S21)&lt;0,"0",('FS Budapest'!S22-'FS Budapest'!S21))</f>
        <v>1</v>
      </c>
      <c r="O19" s="12">
        <f>IF(('FS Budapest'!V22-'FS Budapest'!V21)&lt;0,"0",('FS Budapest'!V22-'FS Budapest'!V21))</f>
        <v>0</v>
      </c>
      <c r="P19" s="12">
        <f>IF(('FS Budapest'!X22-'FS Budapest'!X21)&lt;0,"0",('FS Budapest'!X22-'FS Budapest'!X21))</f>
        <v>22</v>
      </c>
      <c r="Q19" s="12">
        <f>'FS Budapest'!AB22</f>
        <v>3</v>
      </c>
      <c r="R19" s="12">
        <f>'FS Budapest'!AE22</f>
        <v>2</v>
      </c>
      <c r="S19" s="12">
        <f>'FS Budapest'!AF22</f>
        <v>9</v>
      </c>
      <c r="T19" s="12">
        <f>IF(('FS Budapest'!AK22-'FS Budapest'!AK21)&lt;0,"0",('FS Budapest'!AK22-'FS Budapest'!AK21))</f>
        <v>2001</v>
      </c>
      <c r="U19" s="12">
        <f>IF(('FS Budapest'!AM22-'FS Budapest'!AM21)&lt;0,"0",('FS Budapest'!AM22-'FS Budapest'!AM21))</f>
        <v>32</v>
      </c>
      <c r="V19" s="12">
        <f>IF(('FS Budapest'!AO22-'FS Budapest'!AO21)&lt;0,"0",('FS Budapest'!AO22-'FS Budapest'!AO21))</f>
        <v>542</v>
      </c>
      <c r="W19" s="12">
        <f>IF(('FS Budapest'!AQ22-'FS Budapest'!AQ21)&lt;0,"0",('FS Budapest'!AQ22-'FS Budapest'!AQ21))</f>
        <v>0</v>
      </c>
      <c r="X19" s="12">
        <f>'FS Budapest'!AY22</f>
        <v>0</v>
      </c>
      <c r="Y19" s="12">
        <f>IF(('FS Budapest'!BA22-'FS Budapest'!BA21)&lt;0,"0",('FS Budapest'!BA22-'FS Budapest'!BA21)*4400)</f>
        <v>12408.00000000072</v>
      </c>
      <c r="Z19" s="12">
        <f>'FS Budapest'!BI22</f>
        <v>12408.00000000072</v>
      </c>
      <c r="AA19" s="12">
        <f>'FS Budapest'!BJ22</f>
        <v>12372.00000000072</v>
      </c>
      <c r="AB19" s="12">
        <f>IF(('FS Budapest'!BK22-'FS Budapest'!BK21)&lt;0,"0",('FS Budapest'!BK22-'FS Budapest'!BK21)*100)</f>
        <v>853.00000000006548</v>
      </c>
      <c r="AC19" s="12">
        <f>'FS Budapest'!BM22</f>
        <v>13261.000000000786</v>
      </c>
      <c r="AD19" s="12">
        <f>IF(('FS Budapest'!BP22-'FS Budapest'!BP21)&lt;0,"0",('FS Budapest'!BP22-'FS Budapest'!BP21))</f>
        <v>19</v>
      </c>
      <c r="AE19" s="12">
        <f>IF(('FS Budapest'!BR22-'FS Budapest'!BR21)&lt;0,"0",('FS Budapest'!BR22-'FS Budapest'!BR21))</f>
        <v>17</v>
      </c>
      <c r="AF19" s="12">
        <f>'FS Budapest'!BU22</f>
        <v>75</v>
      </c>
      <c r="AG19" s="12">
        <f>'FS Budapest'!BV22</f>
        <v>106</v>
      </c>
    </row>
    <row r="20" spans="1:33" s="16" customFormat="1" x14ac:dyDescent="0.3">
      <c r="A20" s="12" t="s">
        <v>12</v>
      </c>
      <c r="B20" s="15">
        <f t="shared" si="0"/>
        <v>19</v>
      </c>
      <c r="C20" s="3">
        <f t="shared" si="1"/>
        <v>4</v>
      </c>
      <c r="D20" s="12">
        <f t="shared" si="2"/>
        <v>2022</v>
      </c>
      <c r="E20" s="12">
        <f>IF(('FS Budapest'!C23-'FS Budapest'!C22)&lt;0,"0",('FS Budapest'!C23-'FS Budapest'!C22))</f>
        <v>30</v>
      </c>
      <c r="F20" s="12">
        <f>IF(('FS Budapest'!D23-'FS Budapest'!D22)&lt;0,"0",('FS Budapest'!D23-'FS Budapest'!D22))</f>
        <v>54</v>
      </c>
      <c r="G20" s="12">
        <f>IF(('FS Budapest'!E23-'FS Budapest'!Y23)&lt;0,"0",('FS Budapest'!E23-'FS Budapest'!Y23))</f>
        <v>37</v>
      </c>
      <c r="H20" s="12">
        <f>IF(('FS Budapest'!H23-'FS Budapest'!H22)&lt;0,"0",('FS Budapest'!H23-'FS Budapest'!H22))</f>
        <v>82</v>
      </c>
      <c r="I20" s="12">
        <f>IF(('FS Budapest'!I23-'FS Budapest'!I22)&lt;0,"0",('FS Budapest'!I23-'FS Budapest'!I22))</f>
        <v>25</v>
      </c>
      <c r="J20" s="12">
        <f>IF(('FS Budapest'!K23-'FS Budapest'!K22)&lt;0,"0",('FS Budapest'!K23-'FS Budapest'!K22))</f>
        <v>5</v>
      </c>
      <c r="K20" s="12">
        <f>IF(('FS Budapest'!M23-'FS Budapest'!M22)&lt;0,"0",('FS Budapest'!M23-'FS Budapest'!M22))</f>
        <v>9</v>
      </c>
      <c r="L20" s="12">
        <f>IF(('FS Budapest'!O23-'FS Budapest'!O22)&lt;0,"0",('FS Budapest'!O23-'FS Budapest'!O22))</f>
        <v>10</v>
      </c>
      <c r="M20" s="12">
        <f>IF(('FS Budapest'!Q23-'FS Budapest'!Q22)&lt;0,"0",('FS Budapest'!Q23-'FS Budapest'!Q22))</f>
        <v>3</v>
      </c>
      <c r="N20" s="12">
        <f>IF(('FS Budapest'!S23-'FS Budapest'!S22)&lt;0,"0",('FS Budapest'!S23-'FS Budapest'!S22))</f>
        <v>1</v>
      </c>
      <c r="O20" s="12">
        <f>IF(('FS Budapest'!V23-'FS Budapest'!V22)&lt;0,"0",('FS Budapest'!V23-'FS Budapest'!V22))</f>
        <v>0</v>
      </c>
      <c r="P20" s="12">
        <f>IF(('FS Budapest'!X23-'FS Budapest'!X22)&lt;0,"0",('FS Budapest'!X23-'FS Budapest'!X22))</f>
        <v>17</v>
      </c>
      <c r="Q20" s="12">
        <f>'FS Budapest'!AB23</f>
        <v>2</v>
      </c>
      <c r="R20" s="12">
        <f>'FS Budapest'!AE23</f>
        <v>2</v>
      </c>
      <c r="S20" s="12">
        <f>'FS Budapest'!AF23</f>
        <v>10</v>
      </c>
      <c r="T20" s="12">
        <f>IF(('FS Budapest'!AK23-'FS Budapest'!AK22)&lt;0,"0",('FS Budapest'!AK23-'FS Budapest'!AK22))</f>
        <v>2524</v>
      </c>
      <c r="U20" s="12">
        <f>IF(('FS Budapest'!AM23-'FS Budapest'!AM22)&lt;0,"0",('FS Budapest'!AM23-'FS Budapest'!AM22))</f>
        <v>27</v>
      </c>
      <c r="V20" s="12">
        <f>IF(('FS Budapest'!AO23-'FS Budapest'!AO22)&lt;0,"0",('FS Budapest'!AO23-'FS Budapest'!AO22))</f>
        <v>538</v>
      </c>
      <c r="W20" s="12">
        <f>IF(('FS Budapest'!AQ23-'FS Budapest'!AQ22)&lt;0,"0",('FS Budapest'!AQ23-'FS Budapest'!AQ22))</f>
        <v>0</v>
      </c>
      <c r="X20" s="12">
        <f>'FS Budapest'!AY23</f>
        <v>0</v>
      </c>
      <c r="Y20" s="12">
        <f>IF(('FS Budapest'!BA23-'FS Budapest'!BA22)&lt;0,"0",('FS Budapest'!BA23-'FS Budapest'!BA22)*4400)</f>
        <v>13331.99999999888</v>
      </c>
      <c r="Z20" s="12">
        <f>'FS Budapest'!BI23</f>
        <v>13331.99999999888</v>
      </c>
      <c r="AA20" s="12">
        <f>'FS Budapest'!BJ23</f>
        <v>13294.99999999888</v>
      </c>
      <c r="AB20" s="12">
        <f>IF(('FS Budapest'!BK23-'FS Budapest'!BK22)&lt;0,"0",('FS Budapest'!BK23-'FS Budapest'!BK22)*100)</f>
        <v>1040.9999999999854</v>
      </c>
      <c r="AC20" s="12">
        <f>'FS Budapest'!BM23</f>
        <v>14372.999999998865</v>
      </c>
      <c r="AD20" s="12">
        <f>IF(('FS Budapest'!BP23-'FS Budapest'!BP22)&lt;0,"0",('FS Budapest'!BP23-'FS Budapest'!BP22))</f>
        <v>20</v>
      </c>
      <c r="AE20" s="12">
        <f>IF(('FS Budapest'!BR23-'FS Budapest'!BR22)&lt;0,"0",('FS Budapest'!BR23-'FS Budapest'!BR22))</f>
        <v>17</v>
      </c>
      <c r="AF20" s="12">
        <f>'FS Budapest'!BU23</f>
        <v>71</v>
      </c>
      <c r="AG20" s="12">
        <f>'FS Budapest'!BV23</f>
        <v>99</v>
      </c>
    </row>
    <row r="21" spans="1:33" s="16" customFormat="1" x14ac:dyDescent="0.3">
      <c r="A21" s="12" t="s">
        <v>12</v>
      </c>
      <c r="B21" s="15">
        <f t="shared" si="0"/>
        <v>20</v>
      </c>
      <c r="C21" s="3">
        <f t="shared" si="1"/>
        <v>4</v>
      </c>
      <c r="D21" s="12">
        <f t="shared" si="2"/>
        <v>2022</v>
      </c>
      <c r="E21" s="12">
        <f>IF(('FS Budapest'!C24-'FS Budapest'!C23)&lt;0,"0",('FS Budapest'!C24-'FS Budapest'!C23))</f>
        <v>33</v>
      </c>
      <c r="F21" s="12">
        <f>IF(('FS Budapest'!D24-'FS Budapest'!D23)&lt;0,"0",('FS Budapest'!D24-'FS Budapest'!D23))</f>
        <v>64</v>
      </c>
      <c r="G21" s="12">
        <f>IF(('FS Budapest'!E24-'FS Budapest'!Y24)&lt;0,"0",('FS Budapest'!E24-'FS Budapest'!Y24))</f>
        <v>42</v>
      </c>
      <c r="H21" s="12">
        <f>IF(('FS Budapest'!H24-'FS Budapest'!H23)&lt;0,"0",('FS Budapest'!H24-'FS Budapest'!H23))</f>
        <v>87</v>
      </c>
      <c r="I21" s="12">
        <f>IF(('FS Budapest'!I24-'FS Budapest'!I23)&lt;0,"0",('FS Budapest'!I24-'FS Budapest'!I23))</f>
        <v>22</v>
      </c>
      <c r="J21" s="12">
        <f>IF(('FS Budapest'!K24-'FS Budapest'!K23)&lt;0,"0",('FS Budapest'!K24-'FS Budapest'!K23))</f>
        <v>3</v>
      </c>
      <c r="K21" s="12">
        <f>IF(('FS Budapest'!M24-'FS Budapest'!M23)&lt;0,"0",('FS Budapest'!M24-'FS Budapest'!M23))</f>
        <v>7</v>
      </c>
      <c r="L21" s="12">
        <f>IF(('FS Budapest'!O24-'FS Budapest'!O23)&lt;0,"0",('FS Budapest'!O24-'FS Budapest'!O23))</f>
        <v>11</v>
      </c>
      <c r="M21" s="12">
        <f>IF(('FS Budapest'!Q24-'FS Budapest'!Q23)&lt;0,"0",('FS Budapest'!Q24-'FS Budapest'!Q23))</f>
        <v>2</v>
      </c>
      <c r="N21" s="12">
        <f>IF(('FS Budapest'!S24-'FS Budapest'!S23)&lt;0,"0",('FS Budapest'!S24-'FS Budapest'!S23))</f>
        <v>1</v>
      </c>
      <c r="O21" s="12">
        <f>IF(('FS Budapest'!V24-'FS Budapest'!V23)&lt;0,"0",('FS Budapest'!V24-'FS Budapest'!V23))</f>
        <v>0</v>
      </c>
      <c r="P21" s="12">
        <f>IF(('FS Budapest'!X24-'FS Budapest'!X23)&lt;0,"0",('FS Budapest'!X24-'FS Budapest'!X23))</f>
        <v>22</v>
      </c>
      <c r="Q21" s="12">
        <f>'FS Budapest'!AB24</f>
        <v>4</v>
      </c>
      <c r="R21" s="12">
        <f>'FS Budapest'!AE24</f>
        <v>3</v>
      </c>
      <c r="S21" s="12">
        <f>'FS Budapest'!AF24</f>
        <v>8</v>
      </c>
      <c r="T21" s="12">
        <f>IF(('FS Budapest'!AK24-'FS Budapest'!AK23)&lt;0,"0",('FS Budapest'!AK24-'FS Budapest'!AK23))</f>
        <v>2283</v>
      </c>
      <c r="U21" s="12">
        <f>IF(('FS Budapest'!AM24-'FS Budapest'!AM23)&lt;0,"0",('FS Budapest'!AM24-'FS Budapest'!AM23))</f>
        <v>2</v>
      </c>
      <c r="V21" s="12">
        <f>IF(('FS Budapest'!AO24-'FS Budapest'!AO23)&lt;0,"0",('FS Budapest'!AO24-'FS Budapest'!AO23))</f>
        <v>455</v>
      </c>
      <c r="W21" s="12">
        <f>IF(('FS Budapest'!AQ24-'FS Budapest'!AQ23)&lt;0,"0",('FS Budapest'!AQ24-'FS Budapest'!AQ23))</f>
        <v>0</v>
      </c>
      <c r="X21" s="12">
        <f>'FS Budapest'!AY24</f>
        <v>0</v>
      </c>
      <c r="Y21" s="12">
        <f>IF(('FS Budapest'!BA24-'FS Budapest'!BA23)&lt;0,"0",('FS Budapest'!BA24-'FS Budapest'!BA23)*4400)</f>
        <v>14344.00000000096</v>
      </c>
      <c r="Z21" s="12">
        <f>'FS Budapest'!BI24</f>
        <v>14344.00000000096</v>
      </c>
      <c r="AA21" s="12">
        <f>'FS Budapest'!BJ24</f>
        <v>14306.00000000096</v>
      </c>
      <c r="AB21" s="12">
        <f>IF(('FS Budapest'!BK24-'FS Budapest'!BK23)&lt;0,"0",('FS Budapest'!BK24-'FS Budapest'!BK23)*100)</f>
        <v>855.99999999994907</v>
      </c>
      <c r="AC21" s="12">
        <f>'FS Budapest'!BM24</f>
        <v>15200.000000000909</v>
      </c>
      <c r="AD21" s="12">
        <f>IF(('FS Budapest'!BP24-'FS Budapest'!BP23)&lt;0,"0",('FS Budapest'!BP24-'FS Budapest'!BP23))</f>
        <v>20</v>
      </c>
      <c r="AE21" s="12">
        <f>IF(('FS Budapest'!BR24-'FS Budapest'!BR23)&lt;0,"0",('FS Budapest'!BR24-'FS Budapest'!BR23))</f>
        <v>18</v>
      </c>
      <c r="AF21" s="12">
        <f>'FS Budapest'!BU24</f>
        <v>83</v>
      </c>
      <c r="AG21" s="12">
        <f>'FS Budapest'!BV24</f>
        <v>116</v>
      </c>
    </row>
    <row r="22" spans="1:33" s="16" customFormat="1" x14ac:dyDescent="0.3">
      <c r="A22" s="12" t="s">
        <v>12</v>
      </c>
      <c r="B22" s="15">
        <f t="shared" si="0"/>
        <v>21</v>
      </c>
      <c r="C22" s="3">
        <f t="shared" si="1"/>
        <v>4</v>
      </c>
      <c r="D22" s="12">
        <f t="shared" si="2"/>
        <v>2022</v>
      </c>
      <c r="E22" s="12">
        <f>IF(('FS Budapest'!C25-'FS Budapest'!C24)&lt;0,"0",('FS Budapest'!C25-'FS Budapest'!C24))</f>
        <v>35</v>
      </c>
      <c r="F22" s="12">
        <f>IF(('FS Budapest'!D25-'FS Budapest'!D24)&lt;0,"0",('FS Budapest'!D25-'FS Budapest'!D24))</f>
        <v>73</v>
      </c>
      <c r="G22" s="12">
        <f>IF(('FS Budapest'!E25-'FS Budapest'!Y25)&lt;0,"0",('FS Budapest'!E25-'FS Budapest'!Y25))</f>
        <v>40</v>
      </c>
      <c r="H22" s="12">
        <f>IF(('FS Budapest'!H25-'FS Budapest'!H24)&lt;0,"0",('FS Budapest'!H25-'FS Budapest'!H24))</f>
        <v>87</v>
      </c>
      <c r="I22" s="12">
        <f>IF(('FS Budapest'!I25-'FS Budapest'!I24)&lt;0,"0",('FS Budapest'!I25-'FS Budapest'!I24))</f>
        <v>23</v>
      </c>
      <c r="J22" s="12">
        <f>IF(('FS Budapest'!K25-'FS Budapest'!K24)&lt;0,"0",('FS Budapest'!K25-'FS Budapest'!K24))</f>
        <v>4</v>
      </c>
      <c r="K22" s="12">
        <f>IF(('FS Budapest'!M25-'FS Budapest'!M24)&lt;0,"0",('FS Budapest'!M25-'FS Budapest'!M24))</f>
        <v>9</v>
      </c>
      <c r="L22" s="12">
        <f>IF(('FS Budapest'!O25-'FS Budapest'!O24)&lt;0,"0",('FS Budapest'!O25-'FS Budapest'!O24))</f>
        <v>13</v>
      </c>
      <c r="M22" s="12">
        <f>IF(('FS Budapest'!Q25-'FS Budapest'!Q24)&lt;0,"0",('FS Budapest'!Q25-'FS Budapest'!Q24))</f>
        <v>2</v>
      </c>
      <c r="N22" s="12">
        <f>IF(('FS Budapest'!S25-'FS Budapest'!S24)&lt;0,"0",('FS Budapest'!S25-'FS Budapest'!S24))</f>
        <v>1</v>
      </c>
      <c r="O22" s="12">
        <f>IF(('FS Budapest'!V25-'FS Budapest'!V24)&lt;0,"0",('FS Budapest'!V25-'FS Budapest'!V24))</f>
        <v>0</v>
      </c>
      <c r="P22" s="12">
        <f>IF(('FS Budapest'!X25-'FS Budapest'!X24)&lt;0,"0",('FS Budapest'!X25-'FS Budapest'!X24))</f>
        <v>33</v>
      </c>
      <c r="Q22" s="12">
        <f>'FS Budapest'!AB25</f>
        <v>1</v>
      </c>
      <c r="R22" s="12">
        <f>'FS Budapest'!AE25</f>
        <v>3</v>
      </c>
      <c r="S22" s="12">
        <f>'FS Budapest'!AF25</f>
        <v>9</v>
      </c>
      <c r="T22" s="12">
        <f>IF(('FS Budapest'!AK25-'FS Budapest'!AK24)&lt;0,"0",('FS Budapest'!AK25-'FS Budapest'!AK24))</f>
        <v>1953</v>
      </c>
      <c r="U22" s="12">
        <f>IF(('FS Budapest'!AM25-'FS Budapest'!AM24)&lt;0,"0",('FS Budapest'!AM25-'FS Budapest'!AM24))</f>
        <v>76</v>
      </c>
      <c r="V22" s="12">
        <f>IF(('FS Budapest'!AO25-'FS Budapest'!AO24)&lt;0,"0",('FS Budapest'!AO25-'FS Budapest'!AO24))</f>
        <v>529</v>
      </c>
      <c r="W22" s="12">
        <f>IF(('FS Budapest'!AQ25-'FS Budapest'!AQ24)&lt;0,"0",('FS Budapest'!AQ25-'FS Budapest'!AQ24))</f>
        <v>0</v>
      </c>
      <c r="X22" s="12">
        <f>'FS Budapest'!AY25</f>
        <v>0</v>
      </c>
      <c r="Y22" s="12">
        <f>IF(('FS Budapest'!BA25-'FS Budapest'!BA24)&lt;0,"0",('FS Budapest'!BA25-'FS Budapest'!BA24)*4400)</f>
        <v>14695.999999998639</v>
      </c>
      <c r="Z22" s="12">
        <f>'FS Budapest'!BI25</f>
        <v>14695.999999998639</v>
      </c>
      <c r="AA22" s="12">
        <f>'FS Budapest'!BJ25</f>
        <v>14658.999999998639</v>
      </c>
      <c r="AB22" s="12">
        <f>IF(('FS Budapest'!BK25-'FS Budapest'!BK24)&lt;0,"0",('FS Budapest'!BK25-'FS Budapest'!BK24)*100)</f>
        <v>1144.0000000000509</v>
      </c>
      <c r="AC22" s="12">
        <f>'FS Budapest'!BM25</f>
        <v>15839.99999999869</v>
      </c>
      <c r="AD22" s="12">
        <f>IF(('FS Budapest'!BP25-'FS Budapest'!BP24)&lt;0,"0",('FS Budapest'!BP25-'FS Budapest'!BP24))</f>
        <v>20</v>
      </c>
      <c r="AE22" s="12">
        <f>IF(('FS Budapest'!BR25-'FS Budapest'!BR24)&lt;0,"0",('FS Budapest'!BR25-'FS Budapest'!BR24))</f>
        <v>17</v>
      </c>
      <c r="AF22" s="12">
        <f>'FS Budapest'!BU25</f>
        <v>69</v>
      </c>
      <c r="AG22" s="12">
        <f>'FS Budapest'!BV25</f>
        <v>114</v>
      </c>
    </row>
    <row r="23" spans="1:33" s="16" customFormat="1" x14ac:dyDescent="0.3">
      <c r="A23" s="12" t="s">
        <v>12</v>
      </c>
      <c r="B23" s="15">
        <f t="shared" si="0"/>
        <v>22</v>
      </c>
      <c r="C23" s="3">
        <f t="shared" si="1"/>
        <v>4</v>
      </c>
      <c r="D23" s="12">
        <f t="shared" si="2"/>
        <v>2022</v>
      </c>
      <c r="E23" s="12">
        <f>IF(('FS Budapest'!C26-'FS Budapest'!C25)&lt;0,"0",('FS Budapest'!C26-'FS Budapest'!C25))</f>
        <v>32</v>
      </c>
      <c r="F23" s="12">
        <f>IF(('FS Budapest'!D26-'FS Budapest'!D25)&lt;0,"0",('FS Budapest'!D26-'FS Budapest'!D25))</f>
        <v>54</v>
      </c>
      <c r="G23" s="12">
        <f>IF(('FS Budapest'!E26-'FS Budapest'!Y26)&lt;0,"0",('FS Budapest'!E26-'FS Budapest'!Y26))</f>
        <v>34</v>
      </c>
      <c r="H23" s="12">
        <f>IF(('FS Budapest'!H26-'FS Budapest'!H25)&lt;0,"0",('FS Budapest'!H26-'FS Budapest'!H25))</f>
        <v>86</v>
      </c>
      <c r="I23" s="12">
        <f>IF(('FS Budapest'!I26-'FS Budapest'!I25)&lt;0,"0",('FS Budapest'!I26-'FS Budapest'!I25))</f>
        <v>22</v>
      </c>
      <c r="J23" s="12">
        <f>IF(('FS Budapest'!K26-'FS Budapest'!K25)&lt;0,"0",('FS Budapest'!K26-'FS Budapest'!K25))</f>
        <v>6</v>
      </c>
      <c r="K23" s="12">
        <f>IF(('FS Budapest'!M26-'FS Budapest'!M25)&lt;0,"0",('FS Budapest'!M26-'FS Budapest'!M25))</f>
        <v>10</v>
      </c>
      <c r="L23" s="12">
        <f>IF(('FS Budapest'!O26-'FS Budapest'!O25)&lt;0,"0",('FS Budapest'!O26-'FS Budapest'!O25))</f>
        <v>10</v>
      </c>
      <c r="M23" s="12">
        <f>IF(('FS Budapest'!Q26-'FS Budapest'!Q25)&lt;0,"0",('FS Budapest'!Q26-'FS Budapest'!Q25))</f>
        <v>2</v>
      </c>
      <c r="N23" s="12">
        <f>IF(('FS Budapest'!S26-'FS Budapest'!S25)&lt;0,"0",('FS Budapest'!S26-'FS Budapest'!S25))</f>
        <v>0</v>
      </c>
      <c r="O23" s="12">
        <f>IF(('FS Budapest'!V26-'FS Budapest'!V25)&lt;0,"0",('FS Budapest'!V26-'FS Budapest'!V25))</f>
        <v>0</v>
      </c>
      <c r="P23" s="12">
        <f>IF(('FS Budapest'!X26-'FS Budapest'!X25)&lt;0,"0",('FS Budapest'!X26-'FS Budapest'!X25))</f>
        <v>20</v>
      </c>
      <c r="Q23" s="12">
        <f>'FS Budapest'!AB26</f>
        <v>2</v>
      </c>
      <c r="R23" s="12">
        <f>'FS Budapest'!AE26</f>
        <v>3</v>
      </c>
      <c r="S23" s="12">
        <f>'FS Budapest'!AF26</f>
        <v>8</v>
      </c>
      <c r="T23" s="12">
        <f>IF(('FS Budapest'!AK26-'FS Budapest'!AK25)&lt;0,"0",('FS Budapest'!AK26-'FS Budapest'!AK25))</f>
        <v>2123</v>
      </c>
      <c r="U23" s="12">
        <f>IF(('FS Budapest'!AM26-'FS Budapest'!AM25)&lt;0,"0",('FS Budapest'!AM26-'FS Budapest'!AM25))</f>
        <v>50</v>
      </c>
      <c r="V23" s="12">
        <f>IF(('FS Budapest'!AO26-'FS Budapest'!AO25)&lt;0,"0",('FS Budapest'!AO26-'FS Budapest'!AO25))</f>
        <v>545</v>
      </c>
      <c r="W23" s="12">
        <f>IF(('FS Budapest'!AQ26-'FS Budapest'!AQ25)&lt;0,"0",('FS Budapest'!AQ26-'FS Budapest'!AQ25))</f>
        <v>0</v>
      </c>
      <c r="X23" s="12">
        <f>'FS Budapest'!AY26</f>
        <v>0</v>
      </c>
      <c r="Y23" s="12">
        <f>IF(('FS Budapest'!BA26-'FS Budapest'!BA25)&lt;0,"0",('FS Budapest'!BA26-'FS Budapest'!BA25)*4400)</f>
        <v>14608.00000000072</v>
      </c>
      <c r="Z23" s="12">
        <f>'FS Budapest'!BI26</f>
        <v>14608.00000000072</v>
      </c>
      <c r="AA23" s="12">
        <f>'FS Budapest'!BJ26</f>
        <v>14613.00000000072</v>
      </c>
      <c r="AB23" s="12">
        <f>IF(('FS Budapest'!BK26-'FS Budapest'!BK25)&lt;0,"0",('FS Budapest'!BK26-'FS Budapest'!BK25)*100)</f>
        <v>925</v>
      </c>
      <c r="AC23" s="12">
        <f>'FS Budapest'!BM26</f>
        <v>15533.00000000072</v>
      </c>
      <c r="AD23" s="12">
        <f>IF(('FS Budapest'!BP26-'FS Budapest'!BP25)&lt;0,"0",('FS Budapest'!BP26-'FS Budapest'!BP25))</f>
        <v>19</v>
      </c>
      <c r="AE23" s="12">
        <f>IF(('FS Budapest'!BR26-'FS Budapest'!BR25)&lt;0,"0",('FS Budapest'!BR26-'FS Budapest'!BR25))</f>
        <v>16</v>
      </c>
      <c r="AF23" s="12">
        <f>'FS Budapest'!BU26</f>
        <v>70</v>
      </c>
      <c r="AG23" s="12">
        <f>'FS Budapest'!BV26</f>
        <v>123</v>
      </c>
    </row>
    <row r="24" spans="1:33" s="16" customFormat="1" x14ac:dyDescent="0.3">
      <c r="A24" s="12" t="s">
        <v>12</v>
      </c>
      <c r="B24" s="15">
        <f t="shared" si="0"/>
        <v>23</v>
      </c>
      <c r="C24" s="3">
        <f t="shared" si="1"/>
        <v>4</v>
      </c>
      <c r="D24" s="12">
        <f t="shared" si="2"/>
        <v>2022</v>
      </c>
      <c r="E24" s="12">
        <f>IF(('FS Budapest'!C27-'FS Budapest'!C26)&lt;0,"0",('FS Budapest'!C27-'FS Budapest'!C26))</f>
        <v>23</v>
      </c>
      <c r="F24" s="12">
        <f>IF(('FS Budapest'!D27-'FS Budapest'!D26)&lt;0,"0",('FS Budapest'!D27-'FS Budapest'!D26))</f>
        <v>57</v>
      </c>
      <c r="G24" s="12">
        <f>IF(('FS Budapest'!E27-'FS Budapest'!Y27)&lt;0,"0",('FS Budapest'!E27-'FS Budapest'!Y27))</f>
        <v>37</v>
      </c>
      <c r="H24" s="12">
        <f>IF(('FS Budapest'!H27-'FS Budapest'!H26)&lt;0,"0",('FS Budapest'!H27-'FS Budapest'!H26))</f>
        <v>65</v>
      </c>
      <c r="I24" s="12">
        <f>IF(('FS Budapest'!I27-'FS Budapest'!I26)&lt;0,"0",('FS Budapest'!I27-'FS Budapest'!I26))</f>
        <v>3</v>
      </c>
      <c r="J24" s="12">
        <f>IF(('FS Budapest'!K27-'FS Budapest'!K26)&lt;0,"0",('FS Budapest'!K27-'FS Budapest'!K26))</f>
        <v>5</v>
      </c>
      <c r="K24" s="12">
        <f>IF(('FS Budapest'!M27-'FS Budapest'!M26)&lt;0,"0",('FS Budapest'!M27-'FS Budapest'!M26))</f>
        <v>9</v>
      </c>
      <c r="L24" s="12">
        <f>IF(('FS Budapest'!O27-'FS Budapest'!O26)&lt;0,"0",('FS Budapest'!O27-'FS Budapest'!O26))</f>
        <v>11</v>
      </c>
      <c r="M24" s="12">
        <f>IF(('FS Budapest'!Q27-'FS Budapest'!Q26)&lt;0,"0",('FS Budapest'!Q27-'FS Budapest'!Q26))</f>
        <v>0</v>
      </c>
      <c r="N24" s="12">
        <f>IF(('FS Budapest'!S27-'FS Budapest'!S26)&lt;0,"0",('FS Budapest'!S27-'FS Budapest'!S26))</f>
        <v>1</v>
      </c>
      <c r="O24" s="12">
        <f>IF(('FS Budapest'!V27-'FS Budapest'!V26)&lt;0,"0",('FS Budapest'!V27-'FS Budapest'!V26))</f>
        <v>0</v>
      </c>
      <c r="P24" s="12">
        <f>IF(('FS Budapest'!X27-'FS Budapest'!X26)&lt;0,"0",('FS Budapest'!X27-'FS Budapest'!X26))</f>
        <v>20</v>
      </c>
      <c r="Q24" s="12">
        <f>'FS Budapest'!AB27</f>
        <v>4</v>
      </c>
      <c r="R24" s="12">
        <f>'FS Budapest'!AE27</f>
        <v>2</v>
      </c>
      <c r="S24" s="12">
        <f>'FS Budapest'!AF27</f>
        <v>2</v>
      </c>
      <c r="T24" s="12">
        <f>IF(('FS Budapest'!AK27-'FS Budapest'!AK26)&lt;0,"0",('FS Budapest'!AK27-'FS Budapest'!AK26))</f>
        <v>1384</v>
      </c>
      <c r="U24" s="12">
        <f>IF(('FS Budapest'!AM27-'FS Budapest'!AM26)&lt;0,"0",('FS Budapest'!AM27-'FS Budapest'!AM26))</f>
        <v>51</v>
      </c>
      <c r="V24" s="12">
        <f>IF(('FS Budapest'!AO27-'FS Budapest'!AO26)&lt;0,"0",('FS Budapest'!AO27-'FS Budapest'!AO26))</f>
        <v>103</v>
      </c>
      <c r="W24" s="12">
        <f>IF(('FS Budapest'!AQ27-'FS Budapest'!AQ26)&lt;0,"0",('FS Budapest'!AQ27-'FS Budapest'!AQ26))</f>
        <v>0</v>
      </c>
      <c r="X24" s="12">
        <f>'FS Budapest'!AY27</f>
        <v>0</v>
      </c>
      <c r="Y24" s="12">
        <f>IF(('FS Budapest'!BA27-'FS Budapest'!BA26)&lt;0,"0",('FS Budapest'!BA27-'FS Budapest'!BA26)*4400)</f>
        <v>14608.00000000072</v>
      </c>
      <c r="Z24" s="12">
        <f>'FS Budapest'!BI27</f>
        <v>14608.00000000072</v>
      </c>
      <c r="AA24" s="12">
        <f>'FS Budapest'!BJ27</f>
        <v>14535.00000000072</v>
      </c>
      <c r="AB24" s="12">
        <f>IF(('FS Budapest'!BK27-'FS Budapest'!BK26)&lt;0,"0",('FS Budapest'!BK27-'FS Budapest'!BK26)*100)</f>
        <v>972.99999999995634</v>
      </c>
      <c r="AC24" s="12">
        <f>'FS Budapest'!BM27</f>
        <v>15581.000000000677</v>
      </c>
      <c r="AD24" s="12">
        <f>IF(('FS Budapest'!BP27-'FS Budapest'!BP26)&lt;0,"0",('FS Budapest'!BP27-'FS Budapest'!BP26))</f>
        <v>19</v>
      </c>
      <c r="AE24" s="12">
        <f>IF(('FS Budapest'!BR27-'FS Budapest'!BR26)&lt;0,"0",('FS Budapest'!BR27-'FS Budapest'!BR26))</f>
        <v>14</v>
      </c>
      <c r="AF24" s="12">
        <f>'FS Budapest'!BU27</f>
        <v>48</v>
      </c>
      <c r="AG24" s="12">
        <f>'FS Budapest'!BV27</f>
        <v>81</v>
      </c>
    </row>
    <row r="25" spans="1:33" s="16" customFormat="1" x14ac:dyDescent="0.3">
      <c r="A25" s="12" t="s">
        <v>12</v>
      </c>
      <c r="B25" s="15">
        <f t="shared" si="0"/>
        <v>24</v>
      </c>
      <c r="C25" s="3">
        <f t="shared" si="1"/>
        <v>4</v>
      </c>
      <c r="D25" s="12">
        <f t="shared" si="2"/>
        <v>2022</v>
      </c>
      <c r="E25" s="12">
        <f>IF(('FS Budapest'!C28-'FS Budapest'!C27)&lt;0,"0",('FS Budapest'!C28-'FS Budapest'!C27))</f>
        <v>21</v>
      </c>
      <c r="F25" s="12">
        <f>IF(('FS Budapest'!D28-'FS Budapest'!D27)&lt;0,"0",('FS Budapest'!D28-'FS Budapest'!D27))</f>
        <v>57</v>
      </c>
      <c r="G25" s="12">
        <f>IF(('FS Budapest'!E28-'FS Budapest'!Y28)&lt;0,"0",('FS Budapest'!E28-'FS Budapest'!Y28))</f>
        <v>34</v>
      </c>
      <c r="H25" s="12">
        <f>IF(('FS Budapest'!H28-'FS Budapest'!H27)&lt;0,"0",('FS Budapest'!H28-'FS Budapest'!H27))</f>
        <v>62</v>
      </c>
      <c r="I25" s="12">
        <f>IF(('FS Budapest'!I28-'FS Budapest'!I27)&lt;0,"0",('FS Budapest'!I28-'FS Budapest'!I27))</f>
        <v>3</v>
      </c>
      <c r="J25" s="12">
        <f>IF(('FS Budapest'!K28-'FS Budapest'!K27)&lt;0,"0",('FS Budapest'!K28-'FS Budapest'!K27))</f>
        <v>4</v>
      </c>
      <c r="K25" s="12">
        <f>IF(('FS Budapest'!M28-'FS Budapest'!M27)&lt;0,"0",('FS Budapest'!M28-'FS Budapest'!M27))</f>
        <v>7</v>
      </c>
      <c r="L25" s="12">
        <f>IF(('FS Budapest'!O28-'FS Budapest'!O27)&lt;0,"0",('FS Budapest'!O28-'FS Budapest'!O27))</f>
        <v>9</v>
      </c>
      <c r="M25" s="12">
        <f>IF(('FS Budapest'!Q28-'FS Budapest'!Q27)&lt;0,"0",('FS Budapest'!Q28-'FS Budapest'!Q27))</f>
        <v>0</v>
      </c>
      <c r="N25" s="12">
        <f>IF(('FS Budapest'!S28-'FS Budapest'!S27)&lt;0,"0",('FS Budapest'!S28-'FS Budapest'!S27))</f>
        <v>1</v>
      </c>
      <c r="O25" s="12">
        <f>IF(('FS Budapest'!V28-'FS Budapest'!V27)&lt;0,"0",('FS Budapest'!V28-'FS Budapest'!V27))</f>
        <v>0</v>
      </c>
      <c r="P25" s="12">
        <f>IF(('FS Budapest'!X28-'FS Budapest'!X27)&lt;0,"0",('FS Budapest'!X28-'FS Budapest'!X27))</f>
        <v>23</v>
      </c>
      <c r="Q25" s="12">
        <f>'FS Budapest'!AB28</f>
        <v>2</v>
      </c>
      <c r="R25" s="12">
        <f>'FS Budapest'!AE28</f>
        <v>2</v>
      </c>
      <c r="S25" s="12">
        <f>'FS Budapest'!AF28</f>
        <v>2</v>
      </c>
      <c r="T25" s="12">
        <f>IF(('FS Budapest'!AK28-'FS Budapest'!AK27)&lt;0,"0",('FS Budapest'!AK28-'FS Budapest'!AK27))</f>
        <v>1233</v>
      </c>
      <c r="U25" s="12">
        <f>IF(('FS Budapest'!AM28-'FS Budapest'!AM27)&lt;0,"0",('FS Budapest'!AM28-'FS Budapest'!AM27))</f>
        <v>36</v>
      </c>
      <c r="V25" s="12">
        <f>IF(('FS Budapest'!AO28-'FS Budapest'!AO27)&lt;0,"0",('FS Budapest'!AO28-'FS Budapest'!AO27))</f>
        <v>101</v>
      </c>
      <c r="W25" s="12">
        <f>IF(('FS Budapest'!AQ28-'FS Budapest'!AQ27)&lt;0,"0",('FS Budapest'!AQ28-'FS Budapest'!AQ27))</f>
        <v>0</v>
      </c>
      <c r="X25" s="12">
        <f>'FS Budapest'!AY28</f>
        <v>0</v>
      </c>
      <c r="Y25" s="12">
        <f>IF(('FS Budapest'!BA28-'FS Budapest'!BA27)&lt;0,"0",('FS Budapest'!BA28-'FS Budapest'!BA27)*4400)</f>
        <v>14343.99999999896</v>
      </c>
      <c r="Z25" s="12">
        <f>'FS Budapest'!BI28</f>
        <v>14343.99999999896</v>
      </c>
      <c r="AA25" s="12">
        <f>'FS Budapest'!BJ28</f>
        <v>14313.99999999896</v>
      </c>
      <c r="AB25" s="12">
        <f>IF(('FS Budapest'!BK28-'FS Budapest'!BK27)&lt;0,"0",('FS Budapest'!BK28-'FS Budapest'!BK27)*100)</f>
        <v>819.99999999998181</v>
      </c>
      <c r="AC25" s="12">
        <f>'FS Budapest'!BM28</f>
        <v>15163.999999998941</v>
      </c>
      <c r="AD25" s="12">
        <f>IF(('FS Budapest'!BP28-'FS Budapest'!BP27)&lt;0,"0",('FS Budapest'!BP28-'FS Budapest'!BP27))</f>
        <v>20</v>
      </c>
      <c r="AE25" s="12">
        <f>IF(('FS Budapest'!BR28-'FS Budapest'!BR27)&lt;0,"0",('FS Budapest'!BR28-'FS Budapest'!BR27))</f>
        <v>10</v>
      </c>
      <c r="AF25" s="12">
        <f>'FS Budapest'!BU28</f>
        <v>62</v>
      </c>
      <c r="AG25" s="12">
        <f>'FS Budapest'!BV28</f>
        <v>90</v>
      </c>
    </row>
    <row r="26" spans="1:33" s="16" customFormat="1" x14ac:dyDescent="0.3">
      <c r="A26" s="12" t="s">
        <v>12</v>
      </c>
      <c r="B26" s="15">
        <f>B25+1</f>
        <v>25</v>
      </c>
      <c r="C26" s="3">
        <f t="shared" si="1"/>
        <v>4</v>
      </c>
      <c r="D26" s="12">
        <f t="shared" si="2"/>
        <v>2022</v>
      </c>
      <c r="E26" s="12">
        <f>IF(('FS Budapest'!C29-'FS Budapest'!C28)&lt;0,"0",('FS Budapest'!C29-'FS Budapest'!C28))</f>
        <v>34</v>
      </c>
      <c r="F26" s="12">
        <f>IF(('FS Budapest'!D29-'FS Budapest'!D28)&lt;0,"0",('FS Budapest'!D29-'FS Budapest'!D28))</f>
        <v>38</v>
      </c>
      <c r="G26" s="12">
        <f>IF(('FS Budapest'!E29-'FS Budapest'!Y29)&lt;0,"0",('FS Budapest'!E29-'FS Budapest'!Y29))</f>
        <v>11</v>
      </c>
      <c r="H26" s="12">
        <f>IF(('FS Budapest'!H29-'FS Budapest'!H28)&lt;0,"0",('FS Budapest'!H29-'FS Budapest'!H28))</f>
        <v>90</v>
      </c>
      <c r="I26" s="12">
        <f>IF(('FS Budapest'!I29-'FS Budapest'!I28)&lt;0,"0",('FS Budapest'!I29-'FS Budapest'!I28))</f>
        <v>22</v>
      </c>
      <c r="J26" s="12">
        <f>IF(('FS Budapest'!K29-'FS Budapest'!K28)&lt;0,"0",('FS Budapest'!K29-'FS Budapest'!K28))</f>
        <v>5</v>
      </c>
      <c r="K26" s="12">
        <f>IF(('FS Budapest'!M29-'FS Budapest'!M28)&lt;0,"0",('FS Budapest'!M29-'FS Budapest'!M28))</f>
        <v>8</v>
      </c>
      <c r="L26" s="12">
        <f>IF(('FS Budapest'!O29-'FS Budapest'!O28)&lt;0,"0",('FS Budapest'!O29-'FS Budapest'!O28))</f>
        <v>8</v>
      </c>
      <c r="M26" s="12">
        <f>IF(('FS Budapest'!Q29-'FS Budapest'!Q28)&lt;0,"0",('FS Budapest'!Q29-'FS Budapest'!Q28))</f>
        <v>1</v>
      </c>
      <c r="N26" s="12">
        <f>IF(('FS Budapest'!S29-'FS Budapest'!S28)&lt;0,"0",('FS Budapest'!S29-'FS Budapest'!S28))</f>
        <v>1</v>
      </c>
      <c r="O26" s="12">
        <f>IF(('FS Budapest'!V29-'FS Budapest'!V28)&lt;0,"0",('FS Budapest'!V29-'FS Budapest'!V28))</f>
        <v>0</v>
      </c>
      <c r="P26" s="12">
        <f>IF(('FS Budapest'!X29-'FS Budapest'!X28)&lt;0,"0",('FS Budapest'!X29-'FS Budapest'!X28))</f>
        <v>27</v>
      </c>
      <c r="Q26" s="12">
        <f>'FS Budapest'!AB29</f>
        <v>2</v>
      </c>
      <c r="R26" s="12">
        <f>'FS Budapest'!AE29</f>
        <v>4</v>
      </c>
      <c r="S26" s="12">
        <f>'FS Budapest'!AF29</f>
        <v>8</v>
      </c>
      <c r="T26" s="12">
        <f>IF(('FS Budapest'!AK29-'FS Budapest'!AK28)&lt;0,"0",('FS Budapest'!AK29-'FS Budapest'!AK28))</f>
        <v>1691</v>
      </c>
      <c r="U26" s="12">
        <f>IF(('FS Budapest'!AM29-'FS Budapest'!AM28)&lt;0,"0",('FS Budapest'!AM29-'FS Budapest'!AM28))</f>
        <v>29</v>
      </c>
      <c r="V26" s="12">
        <f>IF(('FS Budapest'!AO29-'FS Budapest'!AO28)&lt;0,"0",('FS Budapest'!AO29-'FS Budapest'!AO28))</f>
        <v>505</v>
      </c>
      <c r="W26" s="12">
        <f>IF(('FS Budapest'!AQ29-'FS Budapest'!AQ28)&lt;0,"0",('FS Budapest'!AQ29-'FS Budapest'!AQ28))</f>
        <v>0</v>
      </c>
      <c r="X26" s="12">
        <f>'FS Budapest'!AY29</f>
        <v>0</v>
      </c>
      <c r="Y26" s="12">
        <f>IF(('FS Budapest'!BA29-'FS Budapest'!BA28)&lt;0,"0",('FS Budapest'!BA29-'FS Budapest'!BA28)*4400)</f>
        <v>14168.00000000112</v>
      </c>
      <c r="Z26" s="12">
        <f>'FS Budapest'!BI29</f>
        <v>14168.00000000112</v>
      </c>
      <c r="AA26" s="12">
        <f>'FS Budapest'!BJ29</f>
        <v>14137.00000000112</v>
      </c>
      <c r="AB26" s="12">
        <f>IF(('FS Budapest'!BK29-'FS Budapest'!BK28)&lt;0,"0",('FS Budapest'!BK29-'FS Budapest'!BK28)*100)</f>
        <v>909.00000000001455</v>
      </c>
      <c r="AC26" s="12">
        <f>'FS Budapest'!BM29</f>
        <v>15077.000000001135</v>
      </c>
      <c r="AD26" s="12">
        <f>IF(('FS Budapest'!BP29-'FS Budapest'!BP28)&lt;0,"0",('FS Budapest'!BP29-'FS Budapest'!BP28))</f>
        <v>20</v>
      </c>
      <c r="AE26" s="12">
        <f>IF(('FS Budapest'!BR29-'FS Budapest'!BR28)&lt;0,"0",('FS Budapest'!BR29-'FS Budapest'!BR28))</f>
        <v>11</v>
      </c>
      <c r="AF26" s="12">
        <f>'FS Budapest'!BU29</f>
        <v>58</v>
      </c>
      <c r="AG26" s="12">
        <f>'FS Budapest'!BV29</f>
        <v>77</v>
      </c>
    </row>
    <row r="27" spans="1:33" s="16" customFormat="1" x14ac:dyDescent="0.3">
      <c r="A27" s="12" t="s">
        <v>12</v>
      </c>
      <c r="B27" s="15">
        <f t="shared" si="0"/>
        <v>26</v>
      </c>
      <c r="C27" s="3">
        <f t="shared" si="1"/>
        <v>4</v>
      </c>
      <c r="D27" s="12">
        <f t="shared" si="2"/>
        <v>2022</v>
      </c>
      <c r="E27" s="12">
        <f>IF(('FS Budapest'!C30-'FS Budapest'!C29)&lt;0,"0",('FS Budapest'!C30-'FS Budapest'!C29))</f>
        <v>35</v>
      </c>
      <c r="F27" s="12">
        <f>IF(('FS Budapest'!D30-'FS Budapest'!D29)&lt;0,"0",('FS Budapest'!D30-'FS Budapest'!D29))</f>
        <v>82</v>
      </c>
      <c r="G27" s="12">
        <f>IF(('FS Budapest'!E30-'FS Budapest'!Y30)&lt;0,"0",('FS Budapest'!E30-'FS Budapest'!Y30))</f>
        <v>54</v>
      </c>
      <c r="H27" s="12">
        <f>IF(('FS Budapest'!H30-'FS Budapest'!H29)&lt;0,"0",('FS Budapest'!H30-'FS Budapest'!H29))</f>
        <v>79</v>
      </c>
      <c r="I27" s="12">
        <f>IF(('FS Budapest'!I30-'FS Budapest'!I29)&lt;0,"0",('FS Budapest'!I30-'FS Budapest'!I29))</f>
        <v>20</v>
      </c>
      <c r="J27" s="12">
        <f>IF(('FS Budapest'!K30-'FS Budapest'!K29)&lt;0,"0",('FS Budapest'!K30-'FS Budapest'!K29))</f>
        <v>4</v>
      </c>
      <c r="K27" s="12">
        <f>IF(('FS Budapest'!M30-'FS Budapest'!M29)&lt;0,"0",('FS Budapest'!M30-'FS Budapest'!M29))</f>
        <v>8</v>
      </c>
      <c r="L27" s="12">
        <f>IF(('FS Budapest'!O30-'FS Budapest'!O29)&lt;0,"0",('FS Budapest'!O30-'FS Budapest'!O29))</f>
        <v>8</v>
      </c>
      <c r="M27" s="12">
        <f>IF(('FS Budapest'!Q30-'FS Budapest'!Q29)&lt;0,"0",('FS Budapest'!Q30-'FS Budapest'!Q29))</f>
        <v>2</v>
      </c>
      <c r="N27" s="12">
        <f>IF(('FS Budapest'!S30-'FS Budapest'!S29)&lt;0,"0",('FS Budapest'!S30-'FS Budapest'!S29))</f>
        <v>1</v>
      </c>
      <c r="O27" s="12">
        <f>IF(('FS Budapest'!V30-'FS Budapest'!V29)&lt;0,"0",('FS Budapest'!V30-'FS Budapest'!V29))</f>
        <v>0</v>
      </c>
      <c r="P27" s="12">
        <f>IF(('FS Budapest'!X30-'FS Budapest'!X29)&lt;0,"0",('FS Budapest'!X30-'FS Budapest'!X29))</f>
        <v>28</v>
      </c>
      <c r="Q27" s="12">
        <f>'FS Budapest'!AB30</f>
        <v>3</v>
      </c>
      <c r="R27" s="12">
        <f>'FS Budapest'!AE30</f>
        <v>3</v>
      </c>
      <c r="S27" s="12">
        <f>'FS Budapest'!AF30</f>
        <v>9</v>
      </c>
      <c r="T27" s="12">
        <f>IF(('FS Budapest'!AK30-'FS Budapest'!AK29)&lt;0,"0",('FS Budapest'!AK30-'FS Budapest'!AK29))</f>
        <v>1589</v>
      </c>
      <c r="U27" s="12">
        <f>IF(('FS Budapest'!AM30-'FS Budapest'!AM29)&lt;0,"0",('FS Budapest'!AM30-'FS Budapest'!AM29))</f>
        <v>28</v>
      </c>
      <c r="V27" s="12">
        <f>IF(('FS Budapest'!AO30-'FS Budapest'!AO29)&lt;0,"0",('FS Budapest'!AO30-'FS Budapest'!AO29))</f>
        <v>465</v>
      </c>
      <c r="W27" s="12">
        <f>IF(('FS Budapest'!AQ30-'FS Budapest'!AQ29)&lt;0,"0",('FS Budapest'!AQ30-'FS Budapest'!AQ29))</f>
        <v>70</v>
      </c>
      <c r="X27" s="12">
        <f>'FS Budapest'!AY30</f>
        <v>0</v>
      </c>
      <c r="Y27" s="12">
        <f>IF(('FS Budapest'!BA30-'FS Budapest'!BA29)&lt;0,"0",('FS Budapest'!BA30-'FS Budapest'!BA29)*4400)</f>
        <v>13859.999999998399</v>
      </c>
      <c r="Z27" s="12">
        <f>'FS Budapest'!BI30</f>
        <v>13859.999999998399</v>
      </c>
      <c r="AA27" s="12">
        <f>'FS Budapest'!BJ30</f>
        <v>13516.999999998399</v>
      </c>
      <c r="AB27" s="12">
        <f>IF(('FS Budapest'!BK30-'FS Budapest'!BK29)&lt;0,"0",('FS Budapest'!BK30-'FS Budapest'!BK29)*100)</f>
        <v>813.00000000001091</v>
      </c>
      <c r="AC27" s="12">
        <f>'FS Budapest'!BM30</f>
        <v>14672.99999999841</v>
      </c>
      <c r="AD27" s="12">
        <f>IF(('FS Budapest'!BP30-'FS Budapest'!BP29)&lt;0,"0",('FS Budapest'!BP30-'FS Budapest'!BP29))</f>
        <v>19</v>
      </c>
      <c r="AE27" s="12">
        <f>IF(('FS Budapest'!BR30-'FS Budapest'!BR29)&lt;0,"0",('FS Budapest'!BR30-'FS Budapest'!BR29))</f>
        <v>324</v>
      </c>
      <c r="AF27" s="12">
        <f>'FS Budapest'!BU30</f>
        <v>70</v>
      </c>
      <c r="AG27" s="12">
        <f>'FS Budapest'!BV30</f>
        <v>93</v>
      </c>
    </row>
    <row r="28" spans="1:33" s="16" customFormat="1" x14ac:dyDescent="0.3">
      <c r="A28" s="12" t="s">
        <v>12</v>
      </c>
      <c r="B28" s="15">
        <f t="shared" si="0"/>
        <v>27</v>
      </c>
      <c r="C28" s="3">
        <f t="shared" si="1"/>
        <v>4</v>
      </c>
      <c r="D28" s="12">
        <f t="shared" si="2"/>
        <v>2022</v>
      </c>
      <c r="E28" s="12">
        <f>IF(('FS Budapest'!C31-'FS Budapest'!C30)&lt;0,"0",('FS Budapest'!C31-'FS Budapest'!C30))</f>
        <v>32</v>
      </c>
      <c r="F28" s="12">
        <f>IF(('FS Budapest'!D31-'FS Budapest'!D30)&lt;0,"0",('FS Budapest'!D31-'FS Budapest'!D30))</f>
        <v>54</v>
      </c>
      <c r="G28" s="12">
        <f>IF(('FS Budapest'!E31-'FS Budapest'!Y31)&lt;0,"0",('FS Budapest'!E31-'FS Budapest'!Y31))</f>
        <v>34</v>
      </c>
      <c r="H28" s="12">
        <f>IF(('FS Budapest'!H31-'FS Budapest'!H30)&lt;0,"0",('FS Budapest'!H31-'FS Budapest'!H30))</f>
        <v>80</v>
      </c>
      <c r="I28" s="12">
        <f>IF(('FS Budapest'!I31-'FS Budapest'!I30)&lt;0,"0",('FS Budapest'!I31-'FS Budapest'!I30))</f>
        <v>23</v>
      </c>
      <c r="J28" s="12">
        <f>IF(('FS Budapest'!K31-'FS Budapest'!K30)&lt;0,"0",('FS Budapest'!K31-'FS Budapest'!K30))</f>
        <v>5</v>
      </c>
      <c r="K28" s="12">
        <f>IF(('FS Budapest'!M31-'FS Budapest'!M30)&lt;0,"0",('FS Budapest'!M31-'FS Budapest'!M30))</f>
        <v>8</v>
      </c>
      <c r="L28" s="12">
        <f>IF(('FS Budapest'!O31-'FS Budapest'!O30)&lt;0,"0",('FS Budapest'!O31-'FS Budapest'!O30))</f>
        <v>10</v>
      </c>
      <c r="M28" s="12">
        <f>IF(('FS Budapest'!Q31-'FS Budapest'!Q30)&lt;0,"0",('FS Budapest'!Q31-'FS Budapest'!Q30))</f>
        <v>3</v>
      </c>
      <c r="N28" s="12">
        <f>IF(('FS Budapest'!S31-'FS Budapest'!S30)&lt;0,"0",('FS Budapest'!S31-'FS Budapest'!S30))</f>
        <v>0</v>
      </c>
      <c r="O28" s="12">
        <f>IF(('FS Budapest'!V31-'FS Budapest'!V30)&lt;0,"0",('FS Budapest'!V31-'FS Budapest'!V30))</f>
        <v>0</v>
      </c>
      <c r="P28" s="12">
        <f>IF(('FS Budapest'!X31-'FS Budapest'!X30)&lt;0,"0",('FS Budapest'!X31-'FS Budapest'!X30))</f>
        <v>20</v>
      </c>
      <c r="Q28" s="12">
        <f>'FS Budapest'!AB31</f>
        <v>3</v>
      </c>
      <c r="R28" s="12">
        <f>'FS Budapest'!AE31</f>
        <v>2</v>
      </c>
      <c r="S28" s="12">
        <f>'FS Budapest'!AF31</f>
        <v>9</v>
      </c>
      <c r="T28" s="12">
        <f>IF(('FS Budapest'!AK31-'FS Budapest'!AK30)&lt;0,"0",('FS Budapest'!AK31-'FS Budapest'!AK30))</f>
        <v>1861</v>
      </c>
      <c r="U28" s="12">
        <f>IF(('FS Budapest'!AM31-'FS Budapest'!AM30)&lt;0,"0",('FS Budapest'!AM31-'FS Budapest'!AM30))</f>
        <v>26</v>
      </c>
      <c r="V28" s="12">
        <f>IF(('FS Budapest'!AO31-'FS Budapest'!AO30)&lt;0,"0",('FS Budapest'!AO31-'FS Budapest'!AO30))</f>
        <v>491</v>
      </c>
      <c r="W28" s="12">
        <f>IF(('FS Budapest'!AQ31-'FS Budapest'!AQ30)&lt;0,"0",('FS Budapest'!AQ31-'FS Budapest'!AQ30))</f>
        <v>50</v>
      </c>
      <c r="X28" s="12">
        <f>'FS Budapest'!AY31</f>
        <v>0</v>
      </c>
      <c r="Y28" s="12">
        <f>IF(('FS Budapest'!BA31-'FS Budapest'!BA30)&lt;0,"0",('FS Budapest'!BA31-'FS Budapest'!BA30)*4400)</f>
        <v>14124.00000000016</v>
      </c>
      <c r="Z28" s="12">
        <f>'FS Budapest'!BI31</f>
        <v>14124.00000000016</v>
      </c>
      <c r="AA28" s="12">
        <f>'FS Budapest'!BJ31</f>
        <v>14041.00000000016</v>
      </c>
      <c r="AB28" s="12">
        <f>IF(('FS Budapest'!BK31-'FS Budapest'!BK30)&lt;0,"0",('FS Budapest'!BK31-'FS Budapest'!BK30)*100)</f>
        <v>905.00000000001819</v>
      </c>
      <c r="AC28" s="12">
        <f>'FS Budapest'!BM31</f>
        <v>15029.000000000178</v>
      </c>
      <c r="AD28" s="12">
        <f>IF(('FS Budapest'!BP31-'FS Budapest'!BP30)&lt;0,"0",('FS Budapest'!BP31-'FS Budapest'!BP30))</f>
        <v>20</v>
      </c>
      <c r="AE28" s="12">
        <f>IF(('FS Budapest'!BR31-'FS Budapest'!BR30)&lt;0,"0",('FS Budapest'!BR31-'FS Budapest'!BR30))</f>
        <v>63</v>
      </c>
      <c r="AF28" s="12">
        <f>'FS Budapest'!BU31</f>
        <v>79</v>
      </c>
      <c r="AG28" s="12">
        <f>'FS Budapest'!BV31</f>
        <v>107</v>
      </c>
    </row>
    <row r="29" spans="1:33" s="16" customFormat="1" x14ac:dyDescent="0.3">
      <c r="A29" s="12" t="s">
        <v>12</v>
      </c>
      <c r="B29" s="15">
        <f t="shared" si="0"/>
        <v>28</v>
      </c>
      <c r="C29" s="3">
        <f t="shared" si="1"/>
        <v>4</v>
      </c>
      <c r="D29" s="12">
        <f t="shared" si="2"/>
        <v>2022</v>
      </c>
      <c r="E29" s="12">
        <f>IF(('FS Budapest'!C32-'FS Budapest'!C31)&lt;0,"0",('FS Budapest'!C32-'FS Budapest'!C31))</f>
        <v>36</v>
      </c>
      <c r="F29" s="12">
        <f>IF(('FS Budapest'!D32-'FS Budapest'!D31)&lt;0,"0",('FS Budapest'!D32-'FS Budapest'!D31))</f>
        <v>73</v>
      </c>
      <c r="G29" s="12">
        <f>IF(('FS Budapest'!E32-'FS Budapest'!Y32)&lt;0,"0",('FS Budapest'!E32-'FS Budapest'!Y32))</f>
        <v>47</v>
      </c>
      <c r="H29" s="12">
        <f>IF(('FS Budapest'!H32-'FS Budapest'!H31)&lt;0,"0",('FS Budapest'!H32-'FS Budapest'!H31))</f>
        <v>95</v>
      </c>
      <c r="I29" s="12">
        <f>IF(('FS Budapest'!I32-'FS Budapest'!I31)&lt;0,"0",('FS Budapest'!I32-'FS Budapest'!I31))</f>
        <v>23</v>
      </c>
      <c r="J29" s="12">
        <f>IF(('FS Budapest'!K32-'FS Budapest'!K31)&lt;0,"0",('FS Budapest'!K32-'FS Budapest'!K31))</f>
        <v>6</v>
      </c>
      <c r="K29" s="12">
        <f>IF(('FS Budapest'!M32-'FS Budapest'!M31)&lt;0,"0",('FS Budapest'!M32-'FS Budapest'!M31))</f>
        <v>9</v>
      </c>
      <c r="L29" s="12">
        <f>IF(('FS Budapest'!O32-'FS Budapest'!O31)&lt;0,"0",('FS Budapest'!O32-'FS Budapest'!O31))</f>
        <v>13</v>
      </c>
      <c r="M29" s="12">
        <f>IF(('FS Budapest'!Q32-'FS Budapest'!Q31)&lt;0,"0",('FS Budapest'!Q32-'FS Budapest'!Q31))</f>
        <v>4</v>
      </c>
      <c r="N29" s="12">
        <f>IF(('FS Budapest'!S32-'FS Budapest'!S31)&lt;0,"0",('FS Budapest'!S32-'FS Budapest'!S31))</f>
        <v>0</v>
      </c>
      <c r="O29" s="12">
        <f>IF(('FS Budapest'!V32-'FS Budapest'!V31)&lt;0,"0",('FS Budapest'!V32-'FS Budapest'!V31))</f>
        <v>0</v>
      </c>
      <c r="P29" s="12">
        <f>IF(('FS Budapest'!X32-'FS Budapest'!X31)&lt;0,"0",('FS Budapest'!X32-'FS Budapest'!X31))</f>
        <v>26</v>
      </c>
      <c r="Q29" s="12">
        <f>'FS Budapest'!AB32</f>
        <v>2</v>
      </c>
      <c r="R29" s="12">
        <f>'FS Budapest'!AE32</f>
        <v>2</v>
      </c>
      <c r="S29" s="12">
        <f>'FS Budapest'!AF32</f>
        <v>9</v>
      </c>
      <c r="T29" s="12">
        <f>IF(('FS Budapest'!AK32-'FS Budapest'!AK31)&lt;0,"0",('FS Budapest'!AK32-'FS Budapest'!AK31))</f>
        <v>1760</v>
      </c>
      <c r="U29" s="12">
        <f>IF(('FS Budapest'!AM32-'FS Budapest'!AM31)&lt;0,"0",('FS Budapest'!AM32-'FS Budapest'!AM31))</f>
        <v>40</v>
      </c>
      <c r="V29" s="12">
        <f>IF(('FS Budapest'!AO32-'FS Budapest'!AO31)&lt;0,"0",('FS Budapest'!AO32-'FS Budapest'!AO31))</f>
        <v>565</v>
      </c>
      <c r="W29" s="12">
        <f>IF(('FS Budapest'!AQ32-'FS Budapest'!AQ31)&lt;0,"0",('FS Budapest'!AQ32-'FS Budapest'!AQ31))</f>
        <v>0</v>
      </c>
      <c r="X29" s="12">
        <f>'FS Budapest'!AY32</f>
        <v>0</v>
      </c>
      <c r="Y29" s="12">
        <f>IF(('FS Budapest'!BA32-'FS Budapest'!BA31)&lt;0,"0",('FS Budapest'!BA32-'FS Budapest'!BA31)*4400)</f>
        <v>14784.00000000056</v>
      </c>
      <c r="Z29" s="12">
        <f>'FS Budapest'!BI32</f>
        <v>14784.00000000056</v>
      </c>
      <c r="AA29" s="12">
        <f>'FS Budapest'!BJ32</f>
        <v>14547.00000000056</v>
      </c>
      <c r="AB29" s="12">
        <f>IF(('FS Budapest'!BK32-'FS Budapest'!BK31)&lt;0,"0",('FS Budapest'!BK32-'FS Budapest'!BK31)*100)</f>
        <v>800</v>
      </c>
      <c r="AC29" s="12">
        <f>'FS Budapest'!BM32</f>
        <v>15584.00000000056</v>
      </c>
      <c r="AD29" s="12">
        <f>IF(('FS Budapest'!BP32-'FS Budapest'!BP31)&lt;0,"0",('FS Budapest'!BP32-'FS Budapest'!BP31))</f>
        <v>20</v>
      </c>
      <c r="AE29" s="12">
        <f>IF(('FS Budapest'!BR32-'FS Budapest'!BR31)&lt;0,"0",('FS Budapest'!BR32-'FS Budapest'!BR31))</f>
        <v>217</v>
      </c>
      <c r="AF29" s="12">
        <f>'FS Budapest'!BU32</f>
        <v>62</v>
      </c>
      <c r="AG29" s="12">
        <f>'FS Budapest'!BV32</f>
        <v>87</v>
      </c>
    </row>
    <row r="30" spans="1:33" s="16" customFormat="1" x14ac:dyDescent="0.3">
      <c r="A30" s="12" t="s">
        <v>12</v>
      </c>
      <c r="B30" s="15">
        <f t="shared" si="0"/>
        <v>29</v>
      </c>
      <c r="C30" s="3">
        <f t="shared" si="1"/>
        <v>4</v>
      </c>
      <c r="D30" s="12">
        <f t="shared" si="2"/>
        <v>2022</v>
      </c>
      <c r="E30" s="12">
        <f>IF(('FS Budapest'!C33-'FS Budapest'!C32)&lt;0,"0",('FS Budapest'!C33-'FS Budapest'!C32))</f>
        <v>52</v>
      </c>
      <c r="F30" s="12">
        <f>IF(('FS Budapest'!D33-'FS Budapest'!D32)&lt;0,"0",('FS Budapest'!D33-'FS Budapest'!D32))</f>
        <v>71</v>
      </c>
      <c r="G30" s="12">
        <f>IF(('FS Budapest'!E33-'FS Budapest'!Y33)&lt;0,"0",('FS Budapest'!E33-'FS Budapest'!Y33))</f>
        <v>34</v>
      </c>
      <c r="H30" s="12">
        <f>IF(('FS Budapest'!H33-'FS Budapest'!H32)&lt;0,"0",('FS Budapest'!H33-'FS Budapest'!H32))</f>
        <v>121</v>
      </c>
      <c r="I30" s="12">
        <f>IF(('FS Budapest'!I33-'FS Budapest'!I32)&lt;0,"0",('FS Budapest'!I33-'FS Budapest'!I32))</f>
        <v>18</v>
      </c>
      <c r="J30" s="12">
        <f>IF(('FS Budapest'!K33-'FS Budapest'!K32)&lt;0,"0",('FS Budapest'!K33-'FS Budapest'!K32))</f>
        <v>5</v>
      </c>
      <c r="K30" s="12">
        <f>IF(('FS Budapest'!M33-'FS Budapest'!M32)&lt;0,"0",('FS Budapest'!M33-'FS Budapest'!M32))</f>
        <v>9</v>
      </c>
      <c r="L30" s="12">
        <f>IF(('FS Budapest'!O33-'FS Budapest'!O32)&lt;0,"0",('FS Budapest'!O33-'FS Budapest'!O32))</f>
        <v>9</v>
      </c>
      <c r="M30" s="12">
        <f>IF(('FS Budapest'!Q33-'FS Budapest'!Q32)&lt;0,"0",('FS Budapest'!Q33-'FS Budapest'!Q32))</f>
        <v>3</v>
      </c>
      <c r="N30" s="12">
        <f>IF(('FS Budapest'!S33-'FS Budapest'!S32)&lt;0,"0",('FS Budapest'!S33-'FS Budapest'!S32))</f>
        <v>1</v>
      </c>
      <c r="O30" s="12">
        <f>IF(('FS Budapest'!V33-'FS Budapest'!V32)&lt;0,"0",('FS Budapest'!V33-'FS Budapest'!V32))</f>
        <v>0</v>
      </c>
      <c r="P30" s="12">
        <f>IF(('FS Budapest'!X33-'FS Budapest'!X32)&lt;0,"0",('FS Budapest'!X33-'FS Budapest'!X32))</f>
        <v>37</v>
      </c>
      <c r="Q30" s="12">
        <f>'FS Budapest'!AB33</f>
        <v>3</v>
      </c>
      <c r="R30" s="12">
        <f>'FS Budapest'!AE33</f>
        <v>2</v>
      </c>
      <c r="S30" s="12">
        <f>'FS Budapest'!AF33</f>
        <v>11</v>
      </c>
      <c r="T30" s="12">
        <f>IF(('FS Budapest'!AK33-'FS Budapest'!AK32)&lt;0,"0",('FS Budapest'!AK33-'FS Budapest'!AK32))</f>
        <v>1589</v>
      </c>
      <c r="U30" s="12">
        <f>IF(('FS Budapest'!AM33-'FS Budapest'!AM32)&lt;0,"0",('FS Budapest'!AM33-'FS Budapest'!AM32))</f>
        <v>45</v>
      </c>
      <c r="V30" s="12">
        <f>IF(('FS Budapest'!AO33-'FS Budapest'!AO32)&lt;0,"0",('FS Budapest'!AO33-'FS Budapest'!AO32))</f>
        <v>448</v>
      </c>
      <c r="W30" s="12">
        <f>IF(('FS Budapest'!AQ33-'FS Budapest'!AQ32)&lt;0,"0",('FS Budapest'!AQ33-'FS Budapest'!AQ32))</f>
        <v>0</v>
      </c>
      <c r="X30" s="12">
        <f>'FS Budapest'!AY33</f>
        <v>0</v>
      </c>
      <c r="Y30" s="12">
        <f>IF(('FS Budapest'!BA33-'FS Budapest'!BA32)&lt;0,"0",('FS Budapest'!BA33-'FS Budapest'!BA32)*4400)</f>
        <v>14784.00000000056</v>
      </c>
      <c r="Z30" s="12">
        <f>'FS Budapest'!BI33</f>
        <v>14784.00000000056</v>
      </c>
      <c r="AA30" s="12">
        <f>'FS Budapest'!BJ33</f>
        <v>14309.00000000056</v>
      </c>
      <c r="AB30" s="12">
        <f>IF(('FS Budapest'!BK33-'FS Budapest'!BK32)&lt;0,"0",('FS Budapest'!BK33-'FS Budapest'!BK32)*100)</f>
        <v>569.99999999998181</v>
      </c>
      <c r="AC30" s="12">
        <f>'FS Budapest'!BM33</f>
        <v>15354.000000000542</v>
      </c>
      <c r="AD30" s="12">
        <f>IF(('FS Budapest'!BP33-'FS Budapest'!BP32)&lt;0,"0",('FS Budapest'!BP33-'FS Budapest'!BP32))</f>
        <v>19</v>
      </c>
      <c r="AE30" s="12">
        <f>IF(('FS Budapest'!BR33-'FS Budapest'!BR32)&lt;0,"0",('FS Budapest'!BR33-'FS Budapest'!BR32))</f>
        <v>456</v>
      </c>
      <c r="AF30" s="12">
        <f>'FS Budapest'!BU33</f>
        <v>51</v>
      </c>
      <c r="AG30" s="12">
        <f>'FS Budapest'!BV33</f>
        <v>84</v>
      </c>
    </row>
    <row r="31" spans="1:33" s="14" customFormat="1" x14ac:dyDescent="0.3">
      <c r="A31" s="12" t="s">
        <v>12</v>
      </c>
      <c r="B31" s="15">
        <f t="shared" si="0"/>
        <v>30</v>
      </c>
      <c r="C31" s="3">
        <f t="shared" si="1"/>
        <v>4</v>
      </c>
      <c r="D31" s="12">
        <f t="shared" si="2"/>
        <v>2022</v>
      </c>
      <c r="E31" s="12">
        <f>IF(('FS Budapest'!C34-'FS Budapest'!C33)&lt;0,"0",('FS Budapest'!C34-'FS Budapest'!C33))</f>
        <v>42</v>
      </c>
      <c r="F31" s="12">
        <f>IF(('FS Budapest'!D34-'FS Budapest'!D33)&lt;0,"0",('FS Budapest'!D34-'FS Budapest'!D33))</f>
        <v>70</v>
      </c>
      <c r="G31" s="12">
        <f>IF(('FS Budapest'!E34-'FS Budapest'!Y34)&lt;0,"0",('FS Budapest'!E34-'FS Budapest'!Y34))</f>
        <v>33</v>
      </c>
      <c r="H31" s="12">
        <f>IF(('FS Budapest'!H34-'FS Budapest'!H33)&lt;0,"0",('FS Budapest'!H34-'FS Budapest'!H33))</f>
        <v>111</v>
      </c>
      <c r="I31" s="12">
        <f>IF(('FS Budapest'!I34-'FS Budapest'!I33)&lt;0,"0",('FS Budapest'!I34-'FS Budapest'!I33))</f>
        <v>6</v>
      </c>
      <c r="J31" s="12">
        <f>IF(('FS Budapest'!K34-'FS Budapest'!K33)&lt;0,"0",('FS Budapest'!K34-'FS Budapest'!K33))</f>
        <v>5</v>
      </c>
      <c r="K31" s="12">
        <f>IF(('FS Budapest'!M34-'FS Budapest'!M33)&lt;0,"0",('FS Budapest'!M34-'FS Budapest'!M33))</f>
        <v>10</v>
      </c>
      <c r="L31" s="12">
        <f>IF(('FS Budapest'!O34-'FS Budapest'!O33)&lt;0,"0",('FS Budapest'!O34-'FS Budapest'!O33))</f>
        <v>11</v>
      </c>
      <c r="M31" s="12">
        <f>IF(('FS Budapest'!Q34-'FS Budapest'!Q33)&lt;0,"0",('FS Budapest'!Q34-'FS Budapest'!Q33))</f>
        <v>3</v>
      </c>
      <c r="N31" s="12">
        <f>IF(('FS Budapest'!S34-'FS Budapest'!S33)&lt;0,"0",('FS Budapest'!S34-'FS Budapest'!S33))</f>
        <v>0</v>
      </c>
      <c r="O31" s="12">
        <f>IF(('FS Budapest'!V34-'FS Budapest'!V33)&lt;0,"0",('FS Budapest'!V34-'FS Budapest'!V33))</f>
        <v>0</v>
      </c>
      <c r="P31" s="12">
        <f>IF(('FS Budapest'!X34-'FS Budapest'!X33)&lt;0,"0",('FS Budapest'!X34-'FS Budapest'!X33))</f>
        <v>37</v>
      </c>
      <c r="Q31" s="12">
        <f>'FS Budapest'!AB34</f>
        <v>2</v>
      </c>
      <c r="R31" s="12">
        <f>'FS Budapest'!AE34</f>
        <v>3</v>
      </c>
      <c r="S31" s="12">
        <f>'FS Budapest'!AF34</f>
        <v>7</v>
      </c>
      <c r="T31" s="12">
        <f>IF(('FS Budapest'!AK34-'FS Budapest'!AK33)&lt;0,"0",('FS Budapest'!AK34-'FS Budapest'!AK33))</f>
        <v>1335</v>
      </c>
      <c r="U31" s="12">
        <f>IF(('FS Budapest'!AM34-'FS Budapest'!AM33)&lt;0,"0",('FS Budapest'!AM34-'FS Budapest'!AM33))</f>
        <v>48</v>
      </c>
      <c r="V31" s="12">
        <f>IF(('FS Budapest'!AO34-'FS Budapest'!AO33)&lt;0,"0",('FS Budapest'!AO34-'FS Budapest'!AO33))</f>
        <v>413</v>
      </c>
      <c r="W31" s="12">
        <f>IF(('FS Budapest'!AQ34-'FS Budapest'!AQ33)&lt;0,"0",('FS Budapest'!AQ34-'FS Budapest'!AQ33))</f>
        <v>0</v>
      </c>
      <c r="X31" s="12">
        <f>'FS Budapest'!AY34</f>
        <v>0</v>
      </c>
      <c r="Y31" s="12">
        <f>IF(('FS Budapest'!BA34-'FS Budapest'!BA33)&lt;0,"0",('FS Budapest'!BA34-'FS Budapest'!BA33)*4400)</f>
        <v>13551.99999999968</v>
      </c>
      <c r="Z31" s="12">
        <f>'FS Budapest'!BI34</f>
        <v>13551.99999999968</v>
      </c>
      <c r="AA31" s="12">
        <f>'FS Budapest'!BJ34</f>
        <v>13540.99999999968</v>
      </c>
      <c r="AB31" s="12">
        <f>IF(('FS Budapest'!BK34-'FS Budapest'!BK33)&lt;0,"0",('FS Budapest'!BK34-'FS Budapest'!BK33)*100)</f>
        <v>657.99999999999272</v>
      </c>
      <c r="AC31" s="12">
        <f>'FS Budapest'!BM34</f>
        <v>14209.999999999673</v>
      </c>
      <c r="AD31" s="12">
        <f>IF(('FS Budapest'!BP34-'FS Budapest'!BP33)&lt;0,"0",('FS Budapest'!BP34-'FS Budapest'!BP33))</f>
        <v>19</v>
      </c>
      <c r="AE31" s="12">
        <f>IF(('FS Budapest'!BR34-'FS Budapest'!BR33)&lt;0,"0",('FS Budapest'!BR34-'FS Budapest'!BR33))</f>
        <v>2</v>
      </c>
      <c r="AF31" s="12">
        <f>'FS Budapest'!BU34</f>
        <v>65</v>
      </c>
      <c r="AG31" s="12">
        <f>'FS Budapest'!BV34</f>
        <v>107</v>
      </c>
    </row>
    <row r="32" spans="1:33" x14ac:dyDescent="0.3">
      <c r="A32" s="12"/>
      <c r="B32" s="15"/>
      <c r="C32" s="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4:4" x14ac:dyDescent="0.3">
      <c r="D33" s="12"/>
    </row>
    <row r="34" spans="4:4" x14ac:dyDescent="0.3">
      <c r="D34" s="12"/>
    </row>
    <row r="35" spans="4:4" x14ac:dyDescent="0.3">
      <c r="D35" s="12"/>
    </row>
    <row r="36" spans="4:4" x14ac:dyDescent="0.3">
      <c r="D36" s="12"/>
    </row>
    <row r="37" spans="4:4" x14ac:dyDescent="0.3">
      <c r="D37" s="12"/>
    </row>
    <row r="38" spans="4:4" x14ac:dyDescent="0.3">
      <c r="D38" s="12"/>
    </row>
    <row r="39" spans="4:4" x14ac:dyDescent="0.3">
      <c r="D39" s="12"/>
    </row>
    <row r="40" spans="4:4" x14ac:dyDescent="0.3">
      <c r="D40" s="12"/>
    </row>
    <row r="41" spans="4:4" x14ac:dyDescent="0.3">
      <c r="D41" s="12"/>
    </row>
    <row r="42" spans="4:4" x14ac:dyDescent="0.3">
      <c r="D42" s="12"/>
    </row>
    <row r="43" spans="4:4" x14ac:dyDescent="0.3">
      <c r="D43" s="12"/>
    </row>
    <row r="44" spans="4:4" x14ac:dyDescent="0.3">
      <c r="D44" s="12"/>
    </row>
    <row r="45" spans="4:4" x14ac:dyDescent="0.3">
      <c r="D45" s="12"/>
    </row>
    <row r="46" spans="4:4" x14ac:dyDescent="0.3">
      <c r="D46" s="12"/>
    </row>
    <row r="47" spans="4:4" x14ac:dyDescent="0.3">
      <c r="D47" s="12"/>
    </row>
    <row r="48" spans="4:4" x14ac:dyDescent="0.3">
      <c r="D48" s="12"/>
    </row>
    <row r="49" spans="4:4" x14ac:dyDescent="0.3">
      <c r="D49" s="12"/>
    </row>
    <row r="50" spans="4:4" x14ac:dyDescent="0.3">
      <c r="D50" s="12"/>
    </row>
    <row r="51" spans="4:4" x14ac:dyDescent="0.3">
      <c r="D51" s="12"/>
    </row>
    <row r="52" spans="4:4" x14ac:dyDescent="0.3">
      <c r="D52" s="12"/>
    </row>
    <row r="53" spans="4:4" x14ac:dyDescent="0.3">
      <c r="D53" s="12"/>
    </row>
    <row r="54" spans="4:4" x14ac:dyDescent="0.3">
      <c r="D54" s="12"/>
    </row>
    <row r="55" spans="4:4" x14ac:dyDescent="0.3">
      <c r="D55" s="12"/>
    </row>
    <row r="56" spans="4:4" x14ac:dyDescent="0.3">
      <c r="D56" s="12"/>
    </row>
    <row r="57" spans="4:4" x14ac:dyDescent="0.3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V35"/>
  <sheetViews>
    <sheetView tabSelected="1" zoomScale="55" zoomScaleNormal="55" workbookViewId="0">
      <selection activeCell="D11" sqref="D11"/>
    </sheetView>
  </sheetViews>
  <sheetFormatPr defaultColWidth="9.109375" defaultRowHeight="18" x14ac:dyDescent="0.3"/>
  <cols>
    <col min="1" max="1" width="4.44140625" style="52" customWidth="1"/>
    <col min="2" max="2" width="15" style="18" customWidth="1"/>
    <col min="3" max="3" width="18.88671875" style="18" customWidth="1"/>
    <col min="4" max="4" width="20.109375" style="18" customWidth="1"/>
    <col min="5" max="5" width="20.33203125" style="18" customWidth="1"/>
    <col min="6" max="6" width="28.109375" style="18" customWidth="1"/>
    <col min="7" max="8" width="15" style="18" customWidth="1"/>
    <col min="9" max="10" width="23.5546875" style="18" customWidth="1"/>
    <col min="11" max="11" width="18.109375" style="18" customWidth="1"/>
    <col min="12" max="12" width="24.88671875" style="18" customWidth="1"/>
    <col min="13" max="13" width="17.6640625" style="18" customWidth="1"/>
    <col min="14" max="14" width="6" style="53" customWidth="1"/>
    <col min="15" max="15" width="19.33203125" style="54" customWidth="1"/>
    <col min="16" max="16" width="6" style="53" customWidth="1"/>
    <col min="17" max="17" width="21" style="55" customWidth="1"/>
    <col min="18" max="18" width="25.6640625" style="18" customWidth="1"/>
    <col min="19" max="19" width="20.109375" style="18" customWidth="1"/>
    <col min="20" max="20" width="26.88671875" style="18" customWidth="1"/>
    <col min="21" max="21" width="24" style="18" customWidth="1"/>
    <col min="22" max="22" width="24.88671875" style="18" customWidth="1"/>
    <col min="23" max="23" width="25.44140625" style="18" customWidth="1"/>
    <col min="24" max="24" width="15.44140625" style="18" customWidth="1"/>
    <col min="25" max="25" width="22" style="18" customWidth="1"/>
    <col min="26" max="26" width="20.6640625" style="18" customWidth="1"/>
    <col min="27" max="27" width="24.5546875" style="18" customWidth="1"/>
    <col min="28" max="28" width="15.5546875" style="18" customWidth="1"/>
    <col min="29" max="30" width="19.5546875" style="18" customWidth="1"/>
    <col min="31" max="31" width="16.44140625" style="18" customWidth="1"/>
    <col min="32" max="32" width="13.88671875" style="18" customWidth="1"/>
    <col min="33" max="33" width="10.88671875" style="18" customWidth="1"/>
    <col min="34" max="34" width="9.33203125" style="18" bestFit="1" customWidth="1"/>
    <col min="35" max="35" width="13.44140625" style="18" customWidth="1"/>
    <col min="36" max="36" width="17.109375" style="18" customWidth="1"/>
    <col min="37" max="37" width="17" style="18" customWidth="1"/>
    <col min="38" max="38" width="18.109375" style="18" customWidth="1"/>
    <col min="39" max="39" width="17" style="18" customWidth="1"/>
    <col min="40" max="40" width="15.88671875" style="18" customWidth="1"/>
    <col min="41" max="41" width="19" style="18" customWidth="1"/>
    <col min="42" max="42" width="13.33203125" style="18" bestFit="1" customWidth="1"/>
    <col min="43" max="43" width="19" style="18" customWidth="1"/>
    <col min="44" max="44" width="6" style="18" customWidth="1"/>
    <col min="45" max="45" width="12.44140625" style="18" customWidth="1"/>
    <col min="46" max="46" width="9.33203125" style="18" bestFit="1" customWidth="1"/>
    <col min="47" max="47" width="13.44140625" style="18" customWidth="1"/>
    <col min="48" max="48" width="17.109375" style="18" customWidth="1"/>
    <col min="49" max="49" width="5.109375" style="18" customWidth="1"/>
    <col min="50" max="50" width="11" style="18" customWidth="1"/>
    <col min="51" max="51" width="14.33203125" style="18" customWidth="1"/>
    <col min="52" max="52" width="5.109375" style="18" customWidth="1"/>
    <col min="53" max="53" width="14.109375" style="18" customWidth="1"/>
    <col min="54" max="54" width="23.5546875" style="18" customWidth="1"/>
    <col min="55" max="55" width="11.44140625" style="18" customWidth="1"/>
    <col min="56" max="56" width="39.5546875" style="18" customWidth="1"/>
    <col min="57" max="57" width="41.6640625" style="18" customWidth="1"/>
    <col min="58" max="58" width="17.33203125" style="57" customWidth="1"/>
    <col min="59" max="59" width="44.44140625" style="58" customWidth="1"/>
    <col min="60" max="60" width="40.6640625" style="58" customWidth="1"/>
    <col min="61" max="61" width="40.33203125" style="18" bestFit="1" customWidth="1"/>
    <col min="62" max="62" width="48.6640625" style="18" bestFit="1" customWidth="1"/>
    <col min="63" max="63" width="17.33203125" style="18" customWidth="1"/>
    <col min="64" max="64" width="26.88671875" style="18" bestFit="1" customWidth="1"/>
    <col min="65" max="65" width="28.109375" style="18" bestFit="1" customWidth="1"/>
    <col min="66" max="66" width="13.44140625" style="18" customWidth="1"/>
    <col min="67" max="67" width="13.88671875" style="18" bestFit="1" customWidth="1"/>
    <col min="68" max="68" width="12.44140625" style="18" customWidth="1"/>
    <col min="69" max="69" width="18.5546875" style="18" bestFit="1" customWidth="1"/>
    <col min="70" max="70" width="12.44140625" style="18" customWidth="1"/>
    <col min="71" max="71" width="18.5546875" style="18" bestFit="1" customWidth="1"/>
    <col min="72" max="72" width="21.5546875" style="18" bestFit="1" customWidth="1"/>
    <col min="73" max="73" width="18.5546875" style="18" bestFit="1" customWidth="1"/>
    <col min="74" max="74" width="15.6640625" style="18" bestFit="1" customWidth="1"/>
    <col min="75" max="84" width="75.6640625" style="18" customWidth="1"/>
    <col min="85" max="16384" width="9.109375" style="18"/>
  </cols>
  <sheetData>
    <row r="1" spans="1:74" s="67" customFormat="1" ht="30" customHeight="1" thickBot="1" x14ac:dyDescent="0.4">
      <c r="A1" s="59"/>
      <c r="B1" s="166" t="s">
        <v>40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8"/>
      <c r="AK1" s="169" t="s">
        <v>41</v>
      </c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1"/>
      <c r="AW1" s="172" t="s">
        <v>42</v>
      </c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4"/>
      <c r="BO1" s="89"/>
      <c r="BP1" s="90"/>
      <c r="BQ1" s="90"/>
      <c r="BR1" s="90"/>
      <c r="BS1" s="90"/>
      <c r="BT1" s="91"/>
      <c r="BU1" s="94" t="s">
        <v>43</v>
      </c>
      <c r="BV1" s="94" t="s">
        <v>43</v>
      </c>
    </row>
    <row r="2" spans="1:74" s="67" customFormat="1" ht="30" customHeight="1" thickBot="1" x14ac:dyDescent="0.4">
      <c r="A2" s="59"/>
      <c r="B2" s="68"/>
      <c r="C2" s="69" t="s">
        <v>44</v>
      </c>
      <c r="D2" s="69"/>
      <c r="E2" s="69" t="s">
        <v>45</v>
      </c>
      <c r="F2" s="69"/>
      <c r="G2" s="69"/>
      <c r="H2" s="69" t="s">
        <v>46</v>
      </c>
      <c r="I2" s="69" t="s">
        <v>47</v>
      </c>
      <c r="J2" s="69"/>
      <c r="K2" s="69" t="s">
        <v>48</v>
      </c>
      <c r="L2" s="69"/>
      <c r="M2" s="69" t="s">
        <v>49</v>
      </c>
      <c r="N2" s="69"/>
      <c r="O2" s="69" t="s">
        <v>50</v>
      </c>
      <c r="P2" s="69"/>
      <c r="Q2" s="69" t="s">
        <v>51</v>
      </c>
      <c r="R2" s="69"/>
      <c r="S2" s="69" t="s">
        <v>52</v>
      </c>
      <c r="T2" s="69"/>
      <c r="U2" s="69" t="s">
        <v>53</v>
      </c>
      <c r="V2" s="69" t="s">
        <v>54</v>
      </c>
      <c r="W2" s="69"/>
      <c r="X2" s="69" t="s">
        <v>55</v>
      </c>
      <c r="Y2" s="69"/>
      <c r="Z2" s="69" t="s">
        <v>56</v>
      </c>
      <c r="AA2" s="69" t="s">
        <v>57</v>
      </c>
      <c r="AB2" s="69"/>
      <c r="AC2" s="69" t="s">
        <v>58</v>
      </c>
      <c r="AD2" s="69" t="s">
        <v>59</v>
      </c>
      <c r="AE2" s="69"/>
      <c r="AF2" s="69"/>
      <c r="AG2" s="69"/>
      <c r="AH2" s="70"/>
      <c r="AI2" s="71"/>
      <c r="AJ2" s="17"/>
      <c r="AK2" s="72" t="s">
        <v>60</v>
      </c>
      <c r="AL2" s="72"/>
      <c r="AM2" s="72" t="s">
        <v>61</v>
      </c>
      <c r="AN2" s="72"/>
      <c r="AO2" s="72" t="s">
        <v>62</v>
      </c>
      <c r="AP2" s="72"/>
      <c r="AQ2" s="72" t="s">
        <v>63</v>
      </c>
      <c r="AR2" s="17"/>
      <c r="AS2" s="19"/>
      <c r="AT2" s="19"/>
      <c r="AU2" s="60"/>
      <c r="AV2" s="60"/>
      <c r="AW2" s="163" t="s">
        <v>64</v>
      </c>
      <c r="AX2" s="164"/>
      <c r="AY2" s="165"/>
      <c r="AZ2" s="163" t="s">
        <v>65</v>
      </c>
      <c r="BA2" s="164"/>
      <c r="BB2" s="165"/>
      <c r="BC2" s="61"/>
      <c r="BD2" s="62"/>
      <c r="BE2" s="63"/>
      <c r="BF2" s="64"/>
      <c r="BG2" s="62"/>
      <c r="BH2" s="73"/>
      <c r="BI2" s="74"/>
      <c r="BJ2" s="74"/>
      <c r="BK2" s="75" t="s">
        <v>66</v>
      </c>
      <c r="BL2" s="76"/>
      <c r="BM2" s="61"/>
      <c r="BN2" s="77"/>
      <c r="BO2" s="65"/>
      <c r="BP2" s="62" t="s">
        <v>67</v>
      </c>
      <c r="BQ2" s="62"/>
      <c r="BR2" s="62" t="s">
        <v>68</v>
      </c>
      <c r="BS2" s="62"/>
      <c r="BT2" s="66"/>
    </row>
    <row r="3" spans="1:74" ht="63.75" customHeight="1" thickBot="1" x14ac:dyDescent="0.35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7" t="s">
        <v>80</v>
      </c>
      <c r="P3" s="28" t="s">
        <v>79</v>
      </c>
      <c r="Q3" s="29" t="s">
        <v>81</v>
      </c>
      <c r="R3" s="30" t="s">
        <v>82</v>
      </c>
      <c r="S3" s="31" t="s">
        <v>83</v>
      </c>
      <c r="T3" s="32" t="s">
        <v>84</v>
      </c>
      <c r="U3" s="33" t="s">
        <v>85</v>
      </c>
      <c r="V3" s="33" t="s">
        <v>86</v>
      </c>
      <c r="W3" s="30" t="s">
        <v>87</v>
      </c>
      <c r="X3" s="31" t="s">
        <v>88</v>
      </c>
      <c r="Y3" s="32" t="s">
        <v>89</v>
      </c>
      <c r="Z3" s="34" t="s">
        <v>90</v>
      </c>
      <c r="AA3" s="35" t="s">
        <v>91</v>
      </c>
      <c r="AB3" s="34" t="s">
        <v>92</v>
      </c>
      <c r="AC3" s="31" t="s">
        <v>93</v>
      </c>
      <c r="AD3" s="31" t="s">
        <v>94</v>
      </c>
      <c r="AE3" s="32" t="s">
        <v>95</v>
      </c>
      <c r="AF3" s="36" t="s">
        <v>96</v>
      </c>
      <c r="AG3" s="37" t="s">
        <v>97</v>
      </c>
      <c r="AH3" s="25" t="s">
        <v>98</v>
      </c>
      <c r="AI3" s="37" t="s">
        <v>99</v>
      </c>
      <c r="AJ3" s="37" t="s">
        <v>100</v>
      </c>
      <c r="AK3" s="38" t="s">
        <v>101</v>
      </c>
      <c r="AL3" s="38" t="s">
        <v>102</v>
      </c>
      <c r="AM3" s="38" t="s">
        <v>103</v>
      </c>
      <c r="AN3" s="38" t="s">
        <v>104</v>
      </c>
      <c r="AO3" s="39" t="s">
        <v>105</v>
      </c>
      <c r="AP3" s="39"/>
      <c r="AQ3" s="39" t="s">
        <v>106</v>
      </c>
      <c r="AR3" s="39"/>
      <c r="AS3" s="39" t="s">
        <v>97</v>
      </c>
      <c r="AT3" s="40" t="s">
        <v>98</v>
      </c>
      <c r="AU3" s="37" t="s">
        <v>99</v>
      </c>
      <c r="AV3" s="37" t="s">
        <v>100</v>
      </c>
      <c r="AW3" s="41" t="s">
        <v>107</v>
      </c>
      <c r="AX3" s="42">
        <v>18</v>
      </c>
      <c r="AY3" s="43" t="s">
        <v>108</v>
      </c>
      <c r="AZ3" s="41" t="s">
        <v>107</v>
      </c>
      <c r="BA3" s="42">
        <v>18</v>
      </c>
      <c r="BB3" s="43" t="s">
        <v>109</v>
      </c>
      <c r="BC3" s="44" t="s">
        <v>110</v>
      </c>
      <c r="BD3" s="39" t="s">
        <v>111</v>
      </c>
      <c r="BE3" s="39" t="s">
        <v>112</v>
      </c>
      <c r="BF3" s="45" t="s">
        <v>113</v>
      </c>
      <c r="BG3" s="46" t="s">
        <v>114</v>
      </c>
      <c r="BH3" s="46" t="s">
        <v>115</v>
      </c>
      <c r="BI3" s="47" t="s">
        <v>116</v>
      </c>
      <c r="BJ3" s="48" t="s">
        <v>117</v>
      </c>
      <c r="BK3" s="39" t="s">
        <v>118</v>
      </c>
      <c r="BL3" s="39" t="s">
        <v>119</v>
      </c>
      <c r="BM3" s="49" t="s">
        <v>120</v>
      </c>
      <c r="BN3" s="37" t="s">
        <v>99</v>
      </c>
      <c r="BO3" s="37" t="s">
        <v>100</v>
      </c>
      <c r="BP3" s="50" t="s">
        <v>121</v>
      </c>
      <c r="BQ3" s="50" t="s">
        <v>122</v>
      </c>
      <c r="BR3" s="50" t="s">
        <v>123</v>
      </c>
      <c r="BS3" s="50" t="s">
        <v>124</v>
      </c>
      <c r="BT3" s="50" t="s">
        <v>125</v>
      </c>
      <c r="BU3" s="95" t="s">
        <v>43</v>
      </c>
      <c r="BV3" s="95" t="s">
        <v>126</v>
      </c>
    </row>
    <row r="4" spans="1:74" s="67" customFormat="1" ht="30" customHeight="1" x14ac:dyDescent="0.4">
      <c r="A4" s="97" t="s">
        <v>127</v>
      </c>
      <c r="B4" s="78"/>
      <c r="C4" s="78">
        <v>89022</v>
      </c>
      <c r="D4" s="78">
        <v>263075</v>
      </c>
      <c r="E4" s="139">
        <v>51</v>
      </c>
      <c r="F4" s="140">
        <v>28</v>
      </c>
      <c r="G4" s="78">
        <v>2</v>
      </c>
      <c r="H4" s="78">
        <v>169055</v>
      </c>
      <c r="I4" s="78">
        <v>82964</v>
      </c>
      <c r="J4" s="141">
        <v>20</v>
      </c>
      <c r="K4" s="78">
        <v>17271</v>
      </c>
      <c r="L4" s="140">
        <v>5</v>
      </c>
      <c r="M4" s="101">
        <v>3734</v>
      </c>
      <c r="N4" s="99">
        <v>10</v>
      </c>
      <c r="O4" s="101">
        <v>4221</v>
      </c>
      <c r="P4" s="99">
        <v>11</v>
      </c>
      <c r="Q4" s="142">
        <v>59158</v>
      </c>
      <c r="R4" s="113">
        <v>6</v>
      </c>
      <c r="S4" s="142">
        <v>25593</v>
      </c>
      <c r="T4" s="113">
        <v>1</v>
      </c>
      <c r="U4" s="142">
        <v>10798</v>
      </c>
      <c r="V4" s="143">
        <v>2367</v>
      </c>
      <c r="W4" s="113">
        <v>9</v>
      </c>
      <c r="X4" s="143">
        <v>47974</v>
      </c>
      <c r="Y4" s="113">
        <v>23</v>
      </c>
      <c r="Z4" s="144">
        <v>8690</v>
      </c>
      <c r="AA4" s="144">
        <v>7408</v>
      </c>
      <c r="AB4" s="113">
        <v>2</v>
      </c>
      <c r="AC4" s="142">
        <v>3285</v>
      </c>
      <c r="AD4" s="143">
        <v>2324</v>
      </c>
      <c r="AE4" s="113">
        <v>-3</v>
      </c>
      <c r="AF4" s="83">
        <v>16</v>
      </c>
      <c r="AG4" s="145">
        <v>258079</v>
      </c>
      <c r="AH4" s="104">
        <v>109</v>
      </c>
      <c r="AI4" s="110">
        <v>90</v>
      </c>
      <c r="AJ4" s="110">
        <v>-19</v>
      </c>
      <c r="AK4" s="86">
        <v>680030</v>
      </c>
      <c r="AL4" s="146">
        <v>1933</v>
      </c>
      <c r="AM4" s="86">
        <v>8265</v>
      </c>
      <c r="AN4" s="147">
        <v>42</v>
      </c>
      <c r="AO4" s="86">
        <v>232367</v>
      </c>
      <c r="AP4" s="113">
        <v>700</v>
      </c>
      <c r="AQ4" s="86">
        <v>184761</v>
      </c>
      <c r="AR4" s="113">
        <v>0</v>
      </c>
      <c r="AS4" s="86">
        <v>690228</v>
      </c>
      <c r="AT4" s="114">
        <v>1975</v>
      </c>
      <c r="AU4" s="110">
        <v>1700</v>
      </c>
      <c r="AV4" s="110">
        <v>-275</v>
      </c>
      <c r="AW4" s="86">
        <v>27.45</v>
      </c>
      <c r="AX4" s="86">
        <v>0</v>
      </c>
      <c r="AY4" s="146">
        <v>0</v>
      </c>
      <c r="AZ4" s="84"/>
      <c r="BA4" s="148">
        <v>2208.71</v>
      </c>
      <c r="BB4" s="149">
        <v>14124.00000000016</v>
      </c>
      <c r="BC4" s="117">
        <v>27.45</v>
      </c>
      <c r="BD4" s="118">
        <v>0</v>
      </c>
      <c r="BE4" s="119">
        <v>0</v>
      </c>
      <c r="BF4" s="146">
        <v>2208.71</v>
      </c>
      <c r="BG4" s="150">
        <v>3.2100000000000364</v>
      </c>
      <c r="BH4" s="151">
        <v>14124.00000000016</v>
      </c>
      <c r="BI4" s="151">
        <v>14124.00000000016</v>
      </c>
      <c r="BJ4" s="152">
        <v>14092.00000000016</v>
      </c>
      <c r="BK4" s="153">
        <v>5241.7</v>
      </c>
      <c r="BL4" s="151">
        <v>761.99999999998909</v>
      </c>
      <c r="BM4" s="154">
        <v>14886.000000000149</v>
      </c>
      <c r="BN4" s="110">
        <v>14000</v>
      </c>
      <c r="BO4" s="155">
        <v>-886.00000000014916</v>
      </c>
      <c r="BP4" s="156">
        <v>3142245</v>
      </c>
      <c r="BQ4" s="157">
        <v>20</v>
      </c>
      <c r="BR4" s="156">
        <v>4390271</v>
      </c>
      <c r="BS4" s="157">
        <v>12</v>
      </c>
      <c r="BT4" s="158">
        <v>32</v>
      </c>
      <c r="BU4" s="102">
        <v>74</v>
      </c>
      <c r="BV4" s="102">
        <v>97</v>
      </c>
    </row>
    <row r="5" spans="1:74" ht="24.9" customHeight="1" x14ac:dyDescent="0.4">
      <c r="A5" s="51" t="s">
        <v>128</v>
      </c>
      <c r="B5" s="78"/>
      <c r="C5" s="78">
        <v>89052</v>
      </c>
      <c r="D5" s="78">
        <v>263125</v>
      </c>
      <c r="E5" s="98">
        <v>50</v>
      </c>
      <c r="F5" s="98">
        <v>39</v>
      </c>
      <c r="G5" s="78">
        <v>0</v>
      </c>
      <c r="H5" s="78">
        <v>169140</v>
      </c>
      <c r="I5" s="103">
        <v>82984</v>
      </c>
      <c r="J5" s="79">
        <v>20</v>
      </c>
      <c r="K5" s="104">
        <v>17276</v>
      </c>
      <c r="L5" s="105">
        <v>5</v>
      </c>
      <c r="M5" s="101">
        <v>3742</v>
      </c>
      <c r="N5" s="105">
        <v>8</v>
      </c>
      <c r="O5" s="101">
        <v>4231</v>
      </c>
      <c r="P5" s="105">
        <v>10</v>
      </c>
      <c r="Q5" s="106">
        <v>59160</v>
      </c>
      <c r="R5" s="126">
        <v>2</v>
      </c>
      <c r="S5" s="107">
        <v>25594</v>
      </c>
      <c r="T5" s="108">
        <v>1</v>
      </c>
      <c r="U5" s="80">
        <v>10804</v>
      </c>
      <c r="V5" s="80">
        <v>2367</v>
      </c>
      <c r="W5" s="81">
        <v>6</v>
      </c>
      <c r="X5" s="82">
        <v>47988</v>
      </c>
      <c r="Y5" s="109">
        <v>11</v>
      </c>
      <c r="Z5" s="100">
        <v>8691</v>
      </c>
      <c r="AA5" s="100">
        <v>7408</v>
      </c>
      <c r="AB5" s="81">
        <v>1</v>
      </c>
      <c r="AC5" s="82">
        <v>3286</v>
      </c>
      <c r="AD5" s="82">
        <v>2324</v>
      </c>
      <c r="AE5" s="109">
        <v>1</v>
      </c>
      <c r="AF5" s="83">
        <v>9</v>
      </c>
      <c r="AG5" s="84">
        <v>258192</v>
      </c>
      <c r="AH5" s="85">
        <v>113</v>
      </c>
      <c r="AI5" s="110">
        <v>50</v>
      </c>
      <c r="AJ5" s="110">
        <v>-63</v>
      </c>
      <c r="AK5" s="111">
        <v>682391</v>
      </c>
      <c r="AL5" s="112">
        <v>2361</v>
      </c>
      <c r="AM5" s="111">
        <v>8317</v>
      </c>
      <c r="AN5" s="112">
        <v>52</v>
      </c>
      <c r="AO5" s="86">
        <v>232903</v>
      </c>
      <c r="AP5" s="113">
        <v>536</v>
      </c>
      <c r="AQ5" s="86">
        <v>184761</v>
      </c>
      <c r="AR5" s="113">
        <v>0</v>
      </c>
      <c r="AS5" s="86">
        <v>693069</v>
      </c>
      <c r="AT5" s="114">
        <v>2413</v>
      </c>
      <c r="AU5" s="110">
        <v>800</v>
      </c>
      <c r="AV5" s="110">
        <v>-1613</v>
      </c>
      <c r="AW5" s="115"/>
      <c r="AX5" s="115">
        <v>0</v>
      </c>
      <c r="AY5" s="115">
        <v>0</v>
      </c>
      <c r="AZ5" s="115"/>
      <c r="BA5" s="116">
        <v>2212.0100000000002</v>
      </c>
      <c r="BB5" s="116">
        <v>14520.0000000008</v>
      </c>
      <c r="BC5" s="117">
        <v>0</v>
      </c>
      <c r="BD5" s="118">
        <v>0</v>
      </c>
      <c r="BE5" s="119">
        <v>0</v>
      </c>
      <c r="BF5" s="120">
        <v>2212.0100000000002</v>
      </c>
      <c r="BG5" s="121">
        <v>3.3000000000001819</v>
      </c>
      <c r="BH5" s="87">
        <v>14520.0000000008</v>
      </c>
      <c r="BI5" s="122">
        <v>14520.0000000008</v>
      </c>
      <c r="BJ5" s="123">
        <v>14485.0000000008</v>
      </c>
      <c r="BK5" s="87">
        <v>5249.8</v>
      </c>
      <c r="BL5" s="87">
        <v>810.00000000003638</v>
      </c>
      <c r="BM5" s="124">
        <v>15330.000000000837</v>
      </c>
      <c r="BN5" s="110">
        <v>6000</v>
      </c>
      <c r="BO5" s="125">
        <v>-9330.0000000008367</v>
      </c>
      <c r="BP5" s="88">
        <v>3142264</v>
      </c>
      <c r="BQ5" s="88">
        <v>19</v>
      </c>
      <c r="BR5" s="88">
        <v>4390287</v>
      </c>
      <c r="BS5" s="88">
        <v>16</v>
      </c>
      <c r="BT5" s="88">
        <v>35</v>
      </c>
      <c r="BU5" s="96">
        <v>69</v>
      </c>
      <c r="BV5" s="96">
        <v>99</v>
      </c>
    </row>
    <row r="6" spans="1:74" ht="24.9" customHeight="1" x14ac:dyDescent="0.4">
      <c r="A6" s="51" t="s">
        <v>129</v>
      </c>
      <c r="B6" s="78"/>
      <c r="C6" s="78">
        <v>89073</v>
      </c>
      <c r="D6" s="78">
        <v>263175</v>
      </c>
      <c r="E6" s="98">
        <v>50</v>
      </c>
      <c r="F6" s="98">
        <v>37</v>
      </c>
      <c r="G6" s="78">
        <v>0</v>
      </c>
      <c r="H6" s="78">
        <v>169199</v>
      </c>
      <c r="I6" s="103">
        <v>82986</v>
      </c>
      <c r="J6" s="79">
        <v>2</v>
      </c>
      <c r="K6" s="104">
        <v>17281</v>
      </c>
      <c r="L6" s="105">
        <v>5</v>
      </c>
      <c r="M6" s="101">
        <v>3752</v>
      </c>
      <c r="N6" s="105">
        <v>10</v>
      </c>
      <c r="O6" s="101">
        <v>4242</v>
      </c>
      <c r="P6" s="105">
        <v>11</v>
      </c>
      <c r="Q6" s="106">
        <v>59160</v>
      </c>
      <c r="R6" s="126">
        <v>0</v>
      </c>
      <c r="S6" s="107">
        <v>25594</v>
      </c>
      <c r="T6" s="108">
        <v>0</v>
      </c>
      <c r="U6" s="80">
        <v>10805</v>
      </c>
      <c r="V6" s="80">
        <v>2367</v>
      </c>
      <c r="W6" s="81">
        <v>1</v>
      </c>
      <c r="X6" s="82">
        <v>48001</v>
      </c>
      <c r="Y6" s="109">
        <v>13</v>
      </c>
      <c r="Z6" s="100">
        <v>8693</v>
      </c>
      <c r="AA6" s="100">
        <v>7408</v>
      </c>
      <c r="AB6" s="81">
        <v>2</v>
      </c>
      <c r="AC6" s="82">
        <v>3287</v>
      </c>
      <c r="AD6" s="82">
        <v>2325</v>
      </c>
      <c r="AE6" s="109">
        <v>2</v>
      </c>
      <c r="AF6" s="83">
        <v>1</v>
      </c>
      <c r="AG6" s="84">
        <v>258272</v>
      </c>
      <c r="AH6" s="85">
        <v>80</v>
      </c>
      <c r="AI6" s="110">
        <v>50</v>
      </c>
      <c r="AJ6" s="110">
        <v>-30</v>
      </c>
      <c r="AK6" s="111">
        <v>685037</v>
      </c>
      <c r="AL6" s="112">
        <v>2646</v>
      </c>
      <c r="AM6" s="111">
        <v>8370</v>
      </c>
      <c r="AN6" s="112">
        <v>53</v>
      </c>
      <c r="AO6" s="86">
        <v>233003</v>
      </c>
      <c r="AP6" s="113">
        <v>100</v>
      </c>
      <c r="AQ6" s="86">
        <v>184761</v>
      </c>
      <c r="AR6" s="113">
        <v>0</v>
      </c>
      <c r="AS6" s="86">
        <v>696053</v>
      </c>
      <c r="AT6" s="114">
        <v>2699</v>
      </c>
      <c r="AU6" s="110">
        <v>800</v>
      </c>
      <c r="AV6" s="110">
        <v>-1899</v>
      </c>
      <c r="AW6" s="115"/>
      <c r="AX6" s="115">
        <v>0</v>
      </c>
      <c r="AY6" s="115">
        <v>0</v>
      </c>
      <c r="AZ6" s="115"/>
      <c r="BA6" s="116">
        <v>2215.14</v>
      </c>
      <c r="BB6" s="116">
        <v>13771.999999998479</v>
      </c>
      <c r="BC6" s="117">
        <v>0</v>
      </c>
      <c r="BD6" s="118">
        <v>0</v>
      </c>
      <c r="BE6" s="119">
        <v>0</v>
      </c>
      <c r="BF6" s="120">
        <v>2215.14</v>
      </c>
      <c r="BG6" s="121">
        <v>3.1299999999996544</v>
      </c>
      <c r="BH6" s="87">
        <v>13771.999999998479</v>
      </c>
      <c r="BI6" s="122">
        <v>13771.999999998479</v>
      </c>
      <c r="BJ6" s="123">
        <v>13734.999999998479</v>
      </c>
      <c r="BK6" s="87">
        <v>5258.27</v>
      </c>
      <c r="BL6" s="87">
        <v>847.00000000002547</v>
      </c>
      <c r="BM6" s="124">
        <v>14618.999999998505</v>
      </c>
      <c r="BN6" s="110">
        <v>6000</v>
      </c>
      <c r="BO6" s="125">
        <v>-8618.9999999985048</v>
      </c>
      <c r="BP6" s="88">
        <v>3142284</v>
      </c>
      <c r="BQ6" s="88">
        <v>20</v>
      </c>
      <c r="BR6" s="88">
        <v>4390304</v>
      </c>
      <c r="BS6" s="88">
        <v>17</v>
      </c>
      <c r="BT6" s="88">
        <v>37</v>
      </c>
      <c r="BU6" s="96">
        <v>76</v>
      </c>
      <c r="BV6" s="96">
        <v>106</v>
      </c>
    </row>
    <row r="7" spans="1:74" ht="24.9" customHeight="1" x14ac:dyDescent="0.4">
      <c r="A7" s="51" t="s">
        <v>130</v>
      </c>
      <c r="B7" s="78"/>
      <c r="C7" s="78">
        <v>89090</v>
      </c>
      <c r="D7" s="78">
        <v>263216</v>
      </c>
      <c r="E7" s="98">
        <v>41</v>
      </c>
      <c r="F7" s="98">
        <v>23</v>
      </c>
      <c r="G7" s="78">
        <v>0</v>
      </c>
      <c r="H7" s="78">
        <v>169251</v>
      </c>
      <c r="I7" s="79">
        <v>82989</v>
      </c>
      <c r="J7" s="79">
        <v>3</v>
      </c>
      <c r="K7" s="104">
        <v>17286</v>
      </c>
      <c r="L7" s="105">
        <v>5</v>
      </c>
      <c r="M7" s="101">
        <v>3761</v>
      </c>
      <c r="N7" s="105">
        <v>9</v>
      </c>
      <c r="O7" s="101">
        <v>4250</v>
      </c>
      <c r="P7" s="105">
        <v>8</v>
      </c>
      <c r="Q7" s="106">
        <v>59160</v>
      </c>
      <c r="R7" s="126">
        <v>0</v>
      </c>
      <c r="S7" s="107">
        <v>25596</v>
      </c>
      <c r="T7" s="108">
        <v>2</v>
      </c>
      <c r="U7" s="80">
        <v>10806</v>
      </c>
      <c r="V7" s="80">
        <v>2367</v>
      </c>
      <c r="W7" s="81">
        <v>1</v>
      </c>
      <c r="X7" s="82">
        <v>48019</v>
      </c>
      <c r="Y7" s="109">
        <v>18</v>
      </c>
      <c r="Z7" s="100">
        <v>8695</v>
      </c>
      <c r="AA7" s="100">
        <v>7408</v>
      </c>
      <c r="AB7" s="81">
        <v>2</v>
      </c>
      <c r="AC7" s="82">
        <v>3288</v>
      </c>
      <c r="AD7" s="82">
        <v>2325</v>
      </c>
      <c r="AE7" s="109">
        <v>1</v>
      </c>
      <c r="AF7" s="83">
        <v>3</v>
      </c>
      <c r="AG7" s="84">
        <v>258341</v>
      </c>
      <c r="AH7" s="85">
        <v>69</v>
      </c>
      <c r="AI7" s="110">
        <v>50</v>
      </c>
      <c r="AJ7" s="110">
        <v>-19</v>
      </c>
      <c r="AK7" s="111">
        <v>687736</v>
      </c>
      <c r="AL7" s="112">
        <v>2699</v>
      </c>
      <c r="AM7" s="111">
        <v>8403</v>
      </c>
      <c r="AN7" s="112">
        <v>33</v>
      </c>
      <c r="AO7" s="86">
        <v>233103</v>
      </c>
      <c r="AP7" s="113">
        <v>100</v>
      </c>
      <c r="AQ7" s="86">
        <v>184761</v>
      </c>
      <c r="AR7" s="113">
        <v>0</v>
      </c>
      <c r="AS7" s="86">
        <v>698838</v>
      </c>
      <c r="AT7" s="114">
        <v>2732</v>
      </c>
      <c r="AU7" s="110">
        <v>800</v>
      </c>
      <c r="AV7" s="110">
        <v>-1932</v>
      </c>
      <c r="AW7" s="115"/>
      <c r="AX7" s="115">
        <v>0</v>
      </c>
      <c r="AY7" s="115">
        <v>0</v>
      </c>
      <c r="AZ7" s="115"/>
      <c r="BA7" s="116">
        <v>2218.23</v>
      </c>
      <c r="BB7" s="116">
        <v>13596.00000000064</v>
      </c>
      <c r="BC7" s="117">
        <v>0</v>
      </c>
      <c r="BD7" s="118">
        <v>0</v>
      </c>
      <c r="BE7" s="119">
        <v>0</v>
      </c>
      <c r="BF7" s="120">
        <v>2218.23</v>
      </c>
      <c r="BG7" s="121">
        <v>3.0900000000001455</v>
      </c>
      <c r="BH7" s="87">
        <v>13596.00000000064</v>
      </c>
      <c r="BI7" s="122">
        <v>13596.00000000064</v>
      </c>
      <c r="BJ7" s="123">
        <v>13560.00000000064</v>
      </c>
      <c r="BK7" s="87">
        <v>5265.77</v>
      </c>
      <c r="BL7" s="87">
        <v>750</v>
      </c>
      <c r="BM7" s="124">
        <v>14346.00000000064</v>
      </c>
      <c r="BN7" s="110">
        <v>6000</v>
      </c>
      <c r="BO7" s="125">
        <v>-8346.0000000006403</v>
      </c>
      <c r="BP7" s="88">
        <v>3142304</v>
      </c>
      <c r="BQ7" s="88">
        <v>20</v>
      </c>
      <c r="BR7" s="88">
        <v>4390320</v>
      </c>
      <c r="BS7" s="88">
        <v>16</v>
      </c>
      <c r="BT7" s="88">
        <v>36</v>
      </c>
      <c r="BU7" s="96">
        <v>57</v>
      </c>
      <c r="BV7" s="96">
        <v>67</v>
      </c>
    </row>
    <row r="8" spans="1:74" ht="24.9" customHeight="1" x14ac:dyDescent="0.4">
      <c r="A8" s="51" t="s">
        <v>131</v>
      </c>
      <c r="B8" s="78"/>
      <c r="C8" s="78">
        <v>89118</v>
      </c>
      <c r="D8" s="78">
        <v>263263</v>
      </c>
      <c r="E8" s="98">
        <v>47</v>
      </c>
      <c r="F8" s="98">
        <v>37</v>
      </c>
      <c r="G8" s="78">
        <v>0</v>
      </c>
      <c r="H8" s="78">
        <v>169326</v>
      </c>
      <c r="I8" s="79">
        <v>83008</v>
      </c>
      <c r="J8" s="79">
        <v>19</v>
      </c>
      <c r="K8" s="104">
        <v>17291</v>
      </c>
      <c r="L8" s="105">
        <v>5</v>
      </c>
      <c r="M8" s="101">
        <v>3768</v>
      </c>
      <c r="N8" s="105">
        <v>7</v>
      </c>
      <c r="O8" s="101">
        <v>4260</v>
      </c>
      <c r="P8" s="105">
        <v>10</v>
      </c>
      <c r="Q8" s="106">
        <v>59162</v>
      </c>
      <c r="R8" s="126">
        <v>2</v>
      </c>
      <c r="S8" s="107">
        <v>25596</v>
      </c>
      <c r="T8" s="108">
        <v>0</v>
      </c>
      <c r="U8" s="80">
        <v>10811</v>
      </c>
      <c r="V8" s="80">
        <v>2367</v>
      </c>
      <c r="W8" s="81">
        <v>5</v>
      </c>
      <c r="X8" s="82">
        <v>48029</v>
      </c>
      <c r="Y8" s="109">
        <v>10</v>
      </c>
      <c r="Z8" s="100">
        <v>8696</v>
      </c>
      <c r="AA8" s="100">
        <v>7408</v>
      </c>
      <c r="AB8" s="81">
        <v>1</v>
      </c>
      <c r="AC8" s="82">
        <v>3289</v>
      </c>
      <c r="AD8" s="82">
        <v>2325</v>
      </c>
      <c r="AE8" s="109">
        <v>1</v>
      </c>
      <c r="AF8" s="83">
        <v>7</v>
      </c>
      <c r="AG8" s="84">
        <v>258444</v>
      </c>
      <c r="AH8" s="85">
        <v>103</v>
      </c>
      <c r="AI8" s="110">
        <v>50</v>
      </c>
      <c r="AJ8" s="110">
        <v>-53</v>
      </c>
      <c r="AK8" s="111">
        <v>690624</v>
      </c>
      <c r="AL8" s="112">
        <v>2888</v>
      </c>
      <c r="AM8" s="111">
        <v>8440</v>
      </c>
      <c r="AN8" s="112">
        <v>37</v>
      </c>
      <c r="AO8" s="86">
        <v>233586</v>
      </c>
      <c r="AP8" s="113">
        <v>483</v>
      </c>
      <c r="AQ8" s="86">
        <v>184761</v>
      </c>
      <c r="AR8" s="113">
        <v>0</v>
      </c>
      <c r="AS8" s="86">
        <v>701952</v>
      </c>
      <c r="AT8" s="114">
        <v>2925</v>
      </c>
      <c r="AU8" s="110">
        <v>800</v>
      </c>
      <c r="AV8" s="110">
        <v>-2125</v>
      </c>
      <c r="AW8" s="115"/>
      <c r="AX8" s="115">
        <v>0</v>
      </c>
      <c r="AY8" s="115">
        <v>0</v>
      </c>
      <c r="AZ8" s="115"/>
      <c r="BA8" s="116">
        <v>2221.23</v>
      </c>
      <c r="BB8" s="116">
        <v>13200</v>
      </c>
      <c r="BC8" s="117">
        <v>0</v>
      </c>
      <c r="BD8" s="118">
        <v>0</v>
      </c>
      <c r="BE8" s="119">
        <v>0</v>
      </c>
      <c r="BF8" s="120">
        <v>2221.23</v>
      </c>
      <c r="BG8" s="121">
        <v>3</v>
      </c>
      <c r="BH8" s="87">
        <v>13200</v>
      </c>
      <c r="BI8" s="122">
        <v>13200</v>
      </c>
      <c r="BJ8" s="123">
        <v>13160</v>
      </c>
      <c r="BK8" s="87">
        <v>5274.79</v>
      </c>
      <c r="BL8" s="87">
        <v>901.99999999995271</v>
      </c>
      <c r="BM8" s="124">
        <v>14101.999999999953</v>
      </c>
      <c r="BN8" s="110">
        <v>6000</v>
      </c>
      <c r="BO8" s="125">
        <v>-8101.9999999999527</v>
      </c>
      <c r="BP8" s="88">
        <v>3142324</v>
      </c>
      <c r="BQ8" s="88">
        <v>20</v>
      </c>
      <c r="BR8" s="88">
        <v>4390340</v>
      </c>
      <c r="BS8" s="88">
        <v>20</v>
      </c>
      <c r="BT8" s="88">
        <v>40</v>
      </c>
      <c r="BU8" s="96">
        <v>83</v>
      </c>
      <c r="BV8" s="96">
        <v>98</v>
      </c>
    </row>
    <row r="9" spans="1:74" ht="24.9" customHeight="1" x14ac:dyDescent="0.4">
      <c r="A9" s="51" t="s">
        <v>132</v>
      </c>
      <c r="B9" s="78"/>
      <c r="C9" s="78">
        <v>89143</v>
      </c>
      <c r="D9" s="78">
        <v>263325</v>
      </c>
      <c r="E9" s="98">
        <v>62</v>
      </c>
      <c r="F9" s="98">
        <v>42</v>
      </c>
      <c r="G9" s="78">
        <v>0</v>
      </c>
      <c r="H9" s="78">
        <v>169411</v>
      </c>
      <c r="I9" s="79">
        <v>83030</v>
      </c>
      <c r="J9" s="79">
        <v>22</v>
      </c>
      <c r="K9" s="104">
        <v>17296</v>
      </c>
      <c r="L9" s="105">
        <v>5</v>
      </c>
      <c r="M9" s="101">
        <v>3777</v>
      </c>
      <c r="N9" s="105">
        <v>9</v>
      </c>
      <c r="O9" s="101">
        <v>4271</v>
      </c>
      <c r="P9" s="105">
        <v>11</v>
      </c>
      <c r="Q9" s="106">
        <v>59165</v>
      </c>
      <c r="R9" s="126">
        <v>3</v>
      </c>
      <c r="S9" s="107">
        <v>25597</v>
      </c>
      <c r="T9" s="108">
        <v>1</v>
      </c>
      <c r="U9" s="80">
        <v>10816</v>
      </c>
      <c r="V9" s="80">
        <v>2367</v>
      </c>
      <c r="W9" s="81">
        <v>5</v>
      </c>
      <c r="X9" s="82">
        <v>48049</v>
      </c>
      <c r="Y9" s="109">
        <v>20</v>
      </c>
      <c r="Z9" s="100">
        <v>8698</v>
      </c>
      <c r="AA9" s="100">
        <v>7409</v>
      </c>
      <c r="AB9" s="81">
        <v>3</v>
      </c>
      <c r="AC9" s="82">
        <v>3289</v>
      </c>
      <c r="AD9" s="82">
        <v>2326</v>
      </c>
      <c r="AE9" s="109">
        <v>1</v>
      </c>
      <c r="AF9" s="83">
        <v>9</v>
      </c>
      <c r="AG9" s="84">
        <v>258554</v>
      </c>
      <c r="AH9" s="85">
        <v>110</v>
      </c>
      <c r="AI9" s="110">
        <v>50</v>
      </c>
      <c r="AJ9" s="110">
        <v>-60</v>
      </c>
      <c r="AK9" s="111">
        <v>692781</v>
      </c>
      <c r="AL9" s="112">
        <v>2157</v>
      </c>
      <c r="AM9" s="111">
        <v>8470</v>
      </c>
      <c r="AN9" s="112">
        <v>30</v>
      </c>
      <c r="AO9" s="86">
        <v>234064</v>
      </c>
      <c r="AP9" s="113">
        <v>478</v>
      </c>
      <c r="AQ9" s="86">
        <v>184761</v>
      </c>
      <c r="AR9" s="113">
        <v>0</v>
      </c>
      <c r="AS9" s="86">
        <v>703408</v>
      </c>
      <c r="AT9" s="114">
        <v>2187</v>
      </c>
      <c r="AU9" s="110">
        <v>800</v>
      </c>
      <c r="AV9" s="110">
        <v>-1387</v>
      </c>
      <c r="AW9" s="115"/>
      <c r="AX9" s="115">
        <v>0</v>
      </c>
      <c r="AY9" s="115">
        <v>0</v>
      </c>
      <c r="AZ9" s="115"/>
      <c r="BA9" s="116">
        <v>2224.41</v>
      </c>
      <c r="BB9" s="116">
        <v>13991.99999999928</v>
      </c>
      <c r="BC9" s="117">
        <v>0</v>
      </c>
      <c r="BD9" s="118">
        <v>0</v>
      </c>
      <c r="BE9" s="119">
        <v>0</v>
      </c>
      <c r="BF9" s="120">
        <v>2224.41</v>
      </c>
      <c r="BG9" s="121">
        <v>3.1799999999998363</v>
      </c>
      <c r="BH9" s="87">
        <v>13991.99999999928</v>
      </c>
      <c r="BI9" s="122">
        <v>13991.99999999928</v>
      </c>
      <c r="BJ9" s="123">
        <v>13956.99999999928</v>
      </c>
      <c r="BK9" s="87">
        <v>5283.9</v>
      </c>
      <c r="BL9" s="87">
        <v>910.99999999996726</v>
      </c>
      <c r="BM9" s="124">
        <v>14902.999999999247</v>
      </c>
      <c r="BN9" s="110">
        <v>6000</v>
      </c>
      <c r="BO9" s="125">
        <v>-8902.9999999992469</v>
      </c>
      <c r="BP9" s="88">
        <v>3142344</v>
      </c>
      <c r="BQ9" s="88">
        <v>20</v>
      </c>
      <c r="BR9" s="88">
        <v>4390355</v>
      </c>
      <c r="BS9" s="88">
        <v>15</v>
      </c>
      <c r="BT9" s="88">
        <v>35</v>
      </c>
      <c r="BU9" s="96">
        <v>90</v>
      </c>
      <c r="BV9" s="96">
        <v>107</v>
      </c>
    </row>
    <row r="10" spans="1:74" ht="24.9" customHeight="1" x14ac:dyDescent="0.4">
      <c r="A10" s="51" t="s">
        <v>133</v>
      </c>
      <c r="B10" s="78"/>
      <c r="C10" s="78">
        <v>89183</v>
      </c>
      <c r="D10" s="78">
        <v>263388</v>
      </c>
      <c r="E10" s="98">
        <v>63</v>
      </c>
      <c r="F10" s="98">
        <v>32</v>
      </c>
      <c r="G10" s="78">
        <v>0</v>
      </c>
      <c r="H10" s="78">
        <v>169495</v>
      </c>
      <c r="I10" s="79">
        <v>83050</v>
      </c>
      <c r="J10" s="79">
        <v>20</v>
      </c>
      <c r="K10" s="104">
        <v>17301</v>
      </c>
      <c r="L10" s="105">
        <v>5</v>
      </c>
      <c r="M10" s="101">
        <v>3787</v>
      </c>
      <c r="N10" s="105">
        <v>10</v>
      </c>
      <c r="O10" s="101">
        <v>4281</v>
      </c>
      <c r="P10" s="105">
        <v>10</v>
      </c>
      <c r="Q10" s="106">
        <v>59168</v>
      </c>
      <c r="R10" s="126">
        <v>3</v>
      </c>
      <c r="S10" s="107">
        <v>25597</v>
      </c>
      <c r="T10" s="108">
        <v>0</v>
      </c>
      <c r="U10" s="80">
        <v>10823</v>
      </c>
      <c r="V10" s="80">
        <v>2367</v>
      </c>
      <c r="W10" s="81">
        <v>7</v>
      </c>
      <c r="X10" s="82">
        <v>48080</v>
      </c>
      <c r="Y10" s="109">
        <v>31</v>
      </c>
      <c r="Z10" s="100">
        <v>8700</v>
      </c>
      <c r="AA10" s="100">
        <v>7409</v>
      </c>
      <c r="AB10" s="81">
        <v>2</v>
      </c>
      <c r="AC10" s="82">
        <v>3290</v>
      </c>
      <c r="AD10" s="82">
        <v>2327</v>
      </c>
      <c r="AE10" s="109">
        <v>2</v>
      </c>
      <c r="AF10" s="83">
        <v>10</v>
      </c>
      <c r="AG10" s="84">
        <v>258678</v>
      </c>
      <c r="AH10" s="85">
        <v>124</v>
      </c>
      <c r="AI10" s="110">
        <v>50</v>
      </c>
      <c r="AJ10" s="110">
        <v>-74</v>
      </c>
      <c r="AK10" s="111">
        <v>694408</v>
      </c>
      <c r="AL10" s="112">
        <v>1627</v>
      </c>
      <c r="AM10" s="111">
        <v>8515</v>
      </c>
      <c r="AN10" s="112">
        <v>45</v>
      </c>
      <c r="AO10" s="86">
        <v>234615</v>
      </c>
      <c r="AP10" s="113">
        <v>551</v>
      </c>
      <c r="AQ10" s="86">
        <v>184761</v>
      </c>
      <c r="AR10" s="113">
        <v>0</v>
      </c>
      <c r="AS10" s="86">
        <v>704550</v>
      </c>
      <c r="AT10" s="114">
        <v>1672</v>
      </c>
      <c r="AU10" s="110">
        <v>800</v>
      </c>
      <c r="AV10" s="110">
        <v>-872</v>
      </c>
      <c r="AW10" s="115"/>
      <c r="AX10" s="115">
        <v>0</v>
      </c>
      <c r="AY10" s="115">
        <v>0</v>
      </c>
      <c r="AZ10" s="115"/>
      <c r="BA10" s="116">
        <v>2227.61</v>
      </c>
      <c r="BB10" s="116">
        <v>14080.000000001201</v>
      </c>
      <c r="BC10" s="117">
        <v>0</v>
      </c>
      <c r="BD10" s="118">
        <v>0</v>
      </c>
      <c r="BE10" s="119">
        <v>0</v>
      </c>
      <c r="BF10" s="120">
        <v>2227.61</v>
      </c>
      <c r="BG10" s="121">
        <v>3.2000000000002728</v>
      </c>
      <c r="BH10" s="87">
        <v>14080.000000001201</v>
      </c>
      <c r="BI10" s="122">
        <v>14080.000000001201</v>
      </c>
      <c r="BJ10" s="123">
        <v>14045.000000001201</v>
      </c>
      <c r="BK10" s="87">
        <v>5292.08</v>
      </c>
      <c r="BL10" s="87">
        <v>818.0000000000291</v>
      </c>
      <c r="BM10" s="124">
        <v>14898.00000000123</v>
      </c>
      <c r="BN10" s="110">
        <v>6000</v>
      </c>
      <c r="BO10" s="125">
        <v>-8898.0000000012296</v>
      </c>
      <c r="BP10" s="88">
        <v>3142363</v>
      </c>
      <c r="BQ10" s="88">
        <v>19</v>
      </c>
      <c r="BR10" s="88">
        <v>4390371</v>
      </c>
      <c r="BS10" s="88">
        <v>16</v>
      </c>
      <c r="BT10" s="88">
        <v>35</v>
      </c>
      <c r="BU10" s="96">
        <v>60</v>
      </c>
      <c r="BV10" s="96">
        <v>74</v>
      </c>
    </row>
    <row r="11" spans="1:74" ht="24.9" customHeight="1" x14ac:dyDescent="0.4">
      <c r="A11" s="51" t="s">
        <v>134</v>
      </c>
      <c r="B11" s="78"/>
      <c r="C11" s="78">
        <v>89213</v>
      </c>
      <c r="D11" s="78">
        <v>263447</v>
      </c>
      <c r="E11" s="98">
        <v>59</v>
      </c>
      <c r="F11" s="98">
        <v>32</v>
      </c>
      <c r="G11" s="78">
        <v>0</v>
      </c>
      <c r="H11" s="78">
        <v>169577</v>
      </c>
      <c r="I11" s="79">
        <v>83066</v>
      </c>
      <c r="J11" s="79">
        <v>16</v>
      </c>
      <c r="K11" s="104">
        <v>17306</v>
      </c>
      <c r="L11" s="105">
        <v>5</v>
      </c>
      <c r="M11" s="101">
        <v>3795</v>
      </c>
      <c r="N11" s="105">
        <v>8</v>
      </c>
      <c r="O11" s="101">
        <v>4290</v>
      </c>
      <c r="P11" s="105">
        <v>9</v>
      </c>
      <c r="Q11" s="106">
        <v>59169</v>
      </c>
      <c r="R11" s="126">
        <v>1</v>
      </c>
      <c r="S11" s="107">
        <v>25598</v>
      </c>
      <c r="T11" s="108">
        <v>1</v>
      </c>
      <c r="U11" s="80">
        <v>10828</v>
      </c>
      <c r="V11" s="80">
        <v>2367</v>
      </c>
      <c r="W11" s="81">
        <v>5</v>
      </c>
      <c r="X11" s="82">
        <v>48107</v>
      </c>
      <c r="Y11" s="109">
        <v>27</v>
      </c>
      <c r="Z11" s="100">
        <v>8702</v>
      </c>
      <c r="AA11" s="100">
        <v>7409</v>
      </c>
      <c r="AB11" s="81">
        <v>2</v>
      </c>
      <c r="AC11" s="82">
        <v>3292</v>
      </c>
      <c r="AD11" s="82">
        <v>2328</v>
      </c>
      <c r="AE11" s="109">
        <v>3</v>
      </c>
      <c r="AF11" s="83">
        <v>7</v>
      </c>
      <c r="AG11" s="84">
        <v>258790</v>
      </c>
      <c r="AH11" s="85">
        <v>112</v>
      </c>
      <c r="AI11" s="110">
        <v>50</v>
      </c>
      <c r="AJ11" s="110">
        <v>-62</v>
      </c>
      <c r="AK11" s="111">
        <v>696061</v>
      </c>
      <c r="AL11" s="112">
        <v>1653</v>
      </c>
      <c r="AM11" s="111">
        <v>8564</v>
      </c>
      <c r="AN11" s="112">
        <v>49</v>
      </c>
      <c r="AO11" s="86">
        <v>235109</v>
      </c>
      <c r="AP11" s="113">
        <v>494</v>
      </c>
      <c r="AQ11" s="86">
        <v>184761</v>
      </c>
      <c r="AR11" s="113">
        <v>0</v>
      </c>
      <c r="AS11" s="86">
        <v>706278</v>
      </c>
      <c r="AT11" s="114">
        <v>1702</v>
      </c>
      <c r="AU11" s="110">
        <v>800</v>
      </c>
      <c r="AV11" s="110">
        <v>-902</v>
      </c>
      <c r="AW11" s="115"/>
      <c r="AX11" s="115">
        <v>0</v>
      </c>
      <c r="AY11" s="115">
        <v>0</v>
      </c>
      <c r="AZ11" s="115"/>
      <c r="BA11" s="116">
        <v>2230.7600000000002</v>
      </c>
      <c r="BB11" s="116">
        <v>13860.0000000004</v>
      </c>
      <c r="BC11" s="117">
        <v>0</v>
      </c>
      <c r="BD11" s="118">
        <v>0</v>
      </c>
      <c r="BE11" s="119">
        <v>0</v>
      </c>
      <c r="BF11" s="120">
        <v>2230.7600000000002</v>
      </c>
      <c r="BG11" s="121">
        <v>3.1500000000000909</v>
      </c>
      <c r="BH11" s="87">
        <v>13860.0000000004</v>
      </c>
      <c r="BI11" s="122">
        <v>13860.0000000004</v>
      </c>
      <c r="BJ11" s="123">
        <v>13825.0000000004</v>
      </c>
      <c r="BK11" s="87">
        <v>5299.85</v>
      </c>
      <c r="BL11" s="87">
        <v>777.00000000004366</v>
      </c>
      <c r="BM11" s="124">
        <v>14637.000000000444</v>
      </c>
      <c r="BN11" s="110">
        <v>6000</v>
      </c>
      <c r="BO11" s="125">
        <v>-8637.0000000004438</v>
      </c>
      <c r="BP11" s="88">
        <v>3142384</v>
      </c>
      <c r="BQ11" s="88">
        <v>21</v>
      </c>
      <c r="BR11" s="88">
        <v>4390385</v>
      </c>
      <c r="BS11" s="88">
        <v>14</v>
      </c>
      <c r="BT11" s="88">
        <v>35</v>
      </c>
      <c r="BU11" s="96">
        <v>71</v>
      </c>
      <c r="BV11" s="96">
        <v>88</v>
      </c>
    </row>
    <row r="12" spans="1:74" ht="24.9" customHeight="1" x14ac:dyDescent="0.4">
      <c r="A12" s="51" t="s">
        <v>135</v>
      </c>
      <c r="B12" s="78"/>
      <c r="C12" s="78">
        <v>89241</v>
      </c>
      <c r="D12" s="78">
        <v>263509</v>
      </c>
      <c r="E12" s="98">
        <v>62</v>
      </c>
      <c r="F12" s="98">
        <v>34</v>
      </c>
      <c r="G12" s="78">
        <v>0</v>
      </c>
      <c r="H12" s="78">
        <v>169658</v>
      </c>
      <c r="I12" s="79">
        <v>83077</v>
      </c>
      <c r="J12" s="79">
        <v>11</v>
      </c>
      <c r="K12" s="104">
        <v>17312</v>
      </c>
      <c r="L12" s="105">
        <v>6</v>
      </c>
      <c r="M12" s="101">
        <v>3805</v>
      </c>
      <c r="N12" s="105">
        <v>10</v>
      </c>
      <c r="O12" s="101">
        <v>4298</v>
      </c>
      <c r="P12" s="105">
        <v>8</v>
      </c>
      <c r="Q12" s="106">
        <v>59170</v>
      </c>
      <c r="R12" s="126">
        <v>1</v>
      </c>
      <c r="S12" s="107">
        <v>25599</v>
      </c>
      <c r="T12" s="108">
        <v>1</v>
      </c>
      <c r="U12" s="80">
        <v>10832</v>
      </c>
      <c r="V12" s="80">
        <v>2367</v>
      </c>
      <c r="W12" s="81">
        <v>4</v>
      </c>
      <c r="X12" s="82">
        <v>48135</v>
      </c>
      <c r="Y12" s="109">
        <v>28</v>
      </c>
      <c r="Z12" s="100">
        <v>8704</v>
      </c>
      <c r="AA12" s="100">
        <v>7409</v>
      </c>
      <c r="AB12" s="81">
        <v>2</v>
      </c>
      <c r="AC12" s="82">
        <v>3293</v>
      </c>
      <c r="AD12" s="82">
        <v>2329</v>
      </c>
      <c r="AE12" s="109">
        <v>2</v>
      </c>
      <c r="AF12" s="83">
        <v>6</v>
      </c>
      <c r="AG12" s="84">
        <v>258899</v>
      </c>
      <c r="AH12" s="85">
        <v>109</v>
      </c>
      <c r="AI12" s="110">
        <v>50</v>
      </c>
      <c r="AJ12" s="110">
        <v>-59</v>
      </c>
      <c r="AK12" s="111">
        <v>697620</v>
      </c>
      <c r="AL12" s="112">
        <v>1559</v>
      </c>
      <c r="AM12" s="111">
        <v>8615</v>
      </c>
      <c r="AN12" s="112">
        <v>51</v>
      </c>
      <c r="AO12" s="86">
        <v>235515</v>
      </c>
      <c r="AP12" s="113">
        <v>406</v>
      </c>
      <c r="AQ12" s="86">
        <v>184761</v>
      </c>
      <c r="AR12" s="113">
        <v>0</v>
      </c>
      <c r="AS12" s="86">
        <v>707794</v>
      </c>
      <c r="AT12" s="114">
        <v>1610</v>
      </c>
      <c r="AU12" s="110">
        <v>800</v>
      </c>
      <c r="AV12" s="110">
        <v>-810</v>
      </c>
      <c r="AW12" s="115"/>
      <c r="AX12" s="115">
        <v>0</v>
      </c>
      <c r="AY12" s="115">
        <v>0</v>
      </c>
      <c r="AZ12" s="115"/>
      <c r="BA12" s="116">
        <v>2233.9699999999998</v>
      </c>
      <c r="BB12" s="116">
        <v>14123.999999998159</v>
      </c>
      <c r="BC12" s="117">
        <v>0</v>
      </c>
      <c r="BD12" s="118">
        <v>0</v>
      </c>
      <c r="BE12" s="119">
        <v>0</v>
      </c>
      <c r="BF12" s="120">
        <v>2233.9699999999998</v>
      </c>
      <c r="BG12" s="121">
        <v>3.2099999999995816</v>
      </c>
      <c r="BH12" s="87">
        <v>14123.999999998159</v>
      </c>
      <c r="BI12" s="122">
        <v>14123.999999998159</v>
      </c>
      <c r="BJ12" s="123">
        <v>14091.999999998159</v>
      </c>
      <c r="BK12" s="87">
        <v>5308.01</v>
      </c>
      <c r="BL12" s="87">
        <v>815.99999999998545</v>
      </c>
      <c r="BM12" s="124">
        <v>14939.999999998145</v>
      </c>
      <c r="BN12" s="110">
        <v>6000</v>
      </c>
      <c r="BO12" s="125">
        <v>-8939.9999999981446</v>
      </c>
      <c r="BP12" s="88">
        <v>3142403</v>
      </c>
      <c r="BQ12" s="88">
        <v>19</v>
      </c>
      <c r="BR12" s="88">
        <v>4390398</v>
      </c>
      <c r="BS12" s="88">
        <v>13</v>
      </c>
      <c r="BT12" s="88">
        <v>32</v>
      </c>
      <c r="BU12" s="96">
        <v>82</v>
      </c>
      <c r="BV12" s="96">
        <v>88</v>
      </c>
    </row>
    <row r="13" spans="1:74" ht="24.9" customHeight="1" x14ac:dyDescent="0.4">
      <c r="A13" s="51" t="s">
        <v>136</v>
      </c>
      <c r="B13" s="78"/>
      <c r="C13" s="78">
        <v>89262</v>
      </c>
      <c r="D13" s="78">
        <v>263561</v>
      </c>
      <c r="E13" s="98">
        <v>52</v>
      </c>
      <c r="F13" s="98">
        <v>36</v>
      </c>
      <c r="G13" s="78">
        <v>0</v>
      </c>
      <c r="H13" s="78">
        <v>169721</v>
      </c>
      <c r="I13" s="79">
        <v>83080</v>
      </c>
      <c r="J13" s="79">
        <v>3</v>
      </c>
      <c r="K13" s="104">
        <v>17317</v>
      </c>
      <c r="L13" s="105">
        <v>5</v>
      </c>
      <c r="M13" s="101">
        <v>3813</v>
      </c>
      <c r="N13" s="105">
        <v>8</v>
      </c>
      <c r="O13" s="101">
        <v>4308</v>
      </c>
      <c r="P13" s="105">
        <v>10</v>
      </c>
      <c r="Q13" s="106">
        <v>59170</v>
      </c>
      <c r="R13" s="126">
        <v>0</v>
      </c>
      <c r="S13" s="107">
        <v>25600</v>
      </c>
      <c r="T13" s="108">
        <v>1</v>
      </c>
      <c r="U13" s="80">
        <v>10833</v>
      </c>
      <c r="V13" s="80">
        <v>2367</v>
      </c>
      <c r="W13" s="81">
        <v>1</v>
      </c>
      <c r="X13" s="82">
        <v>48151</v>
      </c>
      <c r="Y13" s="109">
        <v>16</v>
      </c>
      <c r="Z13" s="100">
        <v>8705</v>
      </c>
      <c r="AA13" s="100">
        <v>7410</v>
      </c>
      <c r="AB13" s="81">
        <v>2</v>
      </c>
      <c r="AC13" s="82">
        <v>3294</v>
      </c>
      <c r="AD13" s="82">
        <v>2330</v>
      </c>
      <c r="AE13" s="109">
        <v>2</v>
      </c>
      <c r="AF13" s="83">
        <v>2</v>
      </c>
      <c r="AG13" s="84">
        <v>258983</v>
      </c>
      <c r="AH13" s="85">
        <v>84</v>
      </c>
      <c r="AI13" s="110">
        <v>50</v>
      </c>
      <c r="AJ13" s="110">
        <v>-34</v>
      </c>
      <c r="AK13" s="111">
        <v>699513</v>
      </c>
      <c r="AL13" s="112">
        <v>1893</v>
      </c>
      <c r="AM13" s="111">
        <v>8660</v>
      </c>
      <c r="AN13" s="112">
        <v>45</v>
      </c>
      <c r="AO13" s="86">
        <v>235616</v>
      </c>
      <c r="AP13" s="113">
        <v>101</v>
      </c>
      <c r="AQ13" s="86">
        <v>184761</v>
      </c>
      <c r="AR13" s="113">
        <v>0</v>
      </c>
      <c r="AS13" s="86">
        <v>710066</v>
      </c>
      <c r="AT13" s="114">
        <v>1938</v>
      </c>
      <c r="AU13" s="110">
        <v>800</v>
      </c>
      <c r="AV13" s="110">
        <v>-1138</v>
      </c>
      <c r="AW13" s="115"/>
      <c r="AX13" s="115">
        <v>0</v>
      </c>
      <c r="AY13" s="115">
        <v>0</v>
      </c>
      <c r="AZ13" s="115"/>
      <c r="BA13" s="116">
        <v>2237.0500000000002</v>
      </c>
      <c r="BB13" s="116">
        <v>13552.000000001681</v>
      </c>
      <c r="BC13" s="117">
        <v>0</v>
      </c>
      <c r="BD13" s="118">
        <v>0</v>
      </c>
      <c r="BE13" s="119">
        <v>0</v>
      </c>
      <c r="BF13" s="120">
        <v>2237.0500000000002</v>
      </c>
      <c r="BG13" s="121">
        <v>3.080000000000382</v>
      </c>
      <c r="BH13" s="87">
        <v>13552.000000001681</v>
      </c>
      <c r="BI13" s="122">
        <v>13552.000000001681</v>
      </c>
      <c r="BJ13" s="123">
        <v>13517.000000001681</v>
      </c>
      <c r="BK13" s="87">
        <v>5314.8</v>
      </c>
      <c r="BL13" s="87">
        <v>678.99999999999636</v>
      </c>
      <c r="BM13" s="124">
        <v>14231.000000001677</v>
      </c>
      <c r="BN13" s="110">
        <v>6000</v>
      </c>
      <c r="BO13" s="125">
        <v>-8231.0000000016771</v>
      </c>
      <c r="BP13" s="88">
        <v>3142422</v>
      </c>
      <c r="BQ13" s="88">
        <v>19</v>
      </c>
      <c r="BR13" s="88">
        <v>4390414</v>
      </c>
      <c r="BS13" s="88">
        <v>16</v>
      </c>
      <c r="BT13" s="88">
        <v>35</v>
      </c>
      <c r="BU13" s="96">
        <v>94</v>
      </c>
      <c r="BV13" s="96">
        <v>110</v>
      </c>
    </row>
    <row r="14" spans="1:74" ht="24.9" customHeight="1" x14ac:dyDescent="0.4">
      <c r="A14" s="51" t="s">
        <v>137</v>
      </c>
      <c r="B14" s="78"/>
      <c r="C14" s="78">
        <v>89284</v>
      </c>
      <c r="D14" s="78">
        <v>263616</v>
      </c>
      <c r="E14" s="98">
        <v>55</v>
      </c>
      <c r="F14" s="98">
        <v>37</v>
      </c>
      <c r="G14" s="78">
        <v>0</v>
      </c>
      <c r="H14" s="78">
        <v>169784</v>
      </c>
      <c r="I14" s="79">
        <v>83082</v>
      </c>
      <c r="J14" s="79">
        <v>2</v>
      </c>
      <c r="K14" s="104">
        <v>17322</v>
      </c>
      <c r="L14" s="105">
        <v>5</v>
      </c>
      <c r="M14" s="101">
        <v>3821</v>
      </c>
      <c r="N14" s="105">
        <v>8</v>
      </c>
      <c r="O14" s="101">
        <v>4309</v>
      </c>
      <c r="P14" s="105">
        <v>1</v>
      </c>
      <c r="Q14" s="106">
        <v>59170</v>
      </c>
      <c r="R14" s="126">
        <v>0</v>
      </c>
      <c r="S14" s="107">
        <v>25601</v>
      </c>
      <c r="T14" s="108">
        <v>1</v>
      </c>
      <c r="U14" s="80">
        <v>10834</v>
      </c>
      <c r="V14" s="80">
        <v>2367</v>
      </c>
      <c r="W14" s="81">
        <v>1</v>
      </c>
      <c r="X14" s="82">
        <v>48169</v>
      </c>
      <c r="Y14" s="109">
        <v>18</v>
      </c>
      <c r="Z14" s="100">
        <v>8707</v>
      </c>
      <c r="AA14" s="100">
        <v>7410</v>
      </c>
      <c r="AB14" s="81">
        <v>2</v>
      </c>
      <c r="AC14" s="82">
        <v>3295</v>
      </c>
      <c r="AD14" s="82">
        <v>2331</v>
      </c>
      <c r="AE14" s="109">
        <v>2</v>
      </c>
      <c r="AF14" s="83">
        <v>2</v>
      </c>
      <c r="AG14" s="84">
        <v>259068</v>
      </c>
      <c r="AH14" s="85">
        <v>85</v>
      </c>
      <c r="AI14" s="110">
        <v>50</v>
      </c>
      <c r="AJ14" s="110">
        <v>-35</v>
      </c>
      <c r="AK14" s="111">
        <v>701617</v>
      </c>
      <c r="AL14" s="112">
        <v>2104</v>
      </c>
      <c r="AM14" s="111">
        <v>8695</v>
      </c>
      <c r="AN14" s="112">
        <v>35</v>
      </c>
      <c r="AO14" s="86">
        <v>235717</v>
      </c>
      <c r="AP14" s="113">
        <v>101</v>
      </c>
      <c r="AQ14" s="86">
        <v>184761</v>
      </c>
      <c r="AR14" s="113">
        <v>0</v>
      </c>
      <c r="AS14" s="86">
        <v>712416</v>
      </c>
      <c r="AT14" s="114">
        <v>2139</v>
      </c>
      <c r="AU14" s="110">
        <v>800</v>
      </c>
      <c r="AV14" s="110">
        <v>-1339</v>
      </c>
      <c r="AW14" s="115"/>
      <c r="AX14" s="115">
        <v>0</v>
      </c>
      <c r="AY14" s="115">
        <v>0</v>
      </c>
      <c r="AZ14" s="115"/>
      <c r="BA14" s="116">
        <v>2240.16</v>
      </c>
      <c r="BB14" s="116">
        <v>13683.999999998559</v>
      </c>
      <c r="BC14" s="117">
        <v>0</v>
      </c>
      <c r="BD14" s="118">
        <v>0</v>
      </c>
      <c r="BE14" s="119">
        <v>0</v>
      </c>
      <c r="BF14" s="120">
        <v>2240.16</v>
      </c>
      <c r="BG14" s="121">
        <v>3.1099999999996726</v>
      </c>
      <c r="BH14" s="87">
        <v>13683.999999998559</v>
      </c>
      <c r="BI14" s="122">
        <v>13683.999999998559</v>
      </c>
      <c r="BJ14" s="123">
        <v>13635.999999998559</v>
      </c>
      <c r="BK14" s="87">
        <v>5322.09</v>
      </c>
      <c r="BL14" s="87">
        <v>728.99999999999636</v>
      </c>
      <c r="BM14" s="124">
        <v>14412.999999998556</v>
      </c>
      <c r="BN14" s="110">
        <v>6000</v>
      </c>
      <c r="BO14" s="125">
        <v>-8412.9999999985557</v>
      </c>
      <c r="BP14" s="88">
        <v>3142442</v>
      </c>
      <c r="BQ14" s="88">
        <v>20</v>
      </c>
      <c r="BR14" s="88">
        <v>4390442</v>
      </c>
      <c r="BS14" s="88">
        <v>28</v>
      </c>
      <c r="BT14" s="88">
        <v>48</v>
      </c>
      <c r="BU14" s="96">
        <v>104</v>
      </c>
      <c r="BV14" s="96">
        <v>140</v>
      </c>
    </row>
    <row r="15" spans="1:74" ht="24.9" customHeight="1" x14ac:dyDescent="0.4">
      <c r="A15" s="51" t="s">
        <v>138</v>
      </c>
      <c r="B15" s="78"/>
      <c r="C15" s="78">
        <v>89316</v>
      </c>
      <c r="D15" s="78">
        <v>263678</v>
      </c>
      <c r="E15" s="98">
        <v>62</v>
      </c>
      <c r="F15" s="98">
        <v>40</v>
      </c>
      <c r="G15" s="78">
        <v>0</v>
      </c>
      <c r="H15" s="78">
        <v>169862</v>
      </c>
      <c r="I15" s="79">
        <v>83104</v>
      </c>
      <c r="J15" s="79">
        <v>22</v>
      </c>
      <c r="K15" s="104">
        <v>17327</v>
      </c>
      <c r="L15" s="105">
        <v>5</v>
      </c>
      <c r="M15" s="101">
        <v>3828</v>
      </c>
      <c r="N15" s="105">
        <v>7</v>
      </c>
      <c r="O15" s="101">
        <v>4334</v>
      </c>
      <c r="P15" s="105">
        <v>25</v>
      </c>
      <c r="Q15" s="106">
        <v>59171</v>
      </c>
      <c r="R15" s="126">
        <v>1</v>
      </c>
      <c r="S15" s="107">
        <v>25602</v>
      </c>
      <c r="T15" s="108">
        <v>1</v>
      </c>
      <c r="U15" s="80">
        <v>10840</v>
      </c>
      <c r="V15" s="80">
        <v>2367</v>
      </c>
      <c r="W15" s="81">
        <v>6</v>
      </c>
      <c r="X15" s="82">
        <v>48191</v>
      </c>
      <c r="Y15" s="109">
        <v>22</v>
      </c>
      <c r="Z15" s="100">
        <v>8709</v>
      </c>
      <c r="AA15" s="100">
        <v>7410</v>
      </c>
      <c r="AB15" s="81">
        <v>2</v>
      </c>
      <c r="AC15" s="82">
        <v>3298</v>
      </c>
      <c r="AD15" s="82">
        <v>2331</v>
      </c>
      <c r="AE15" s="109">
        <v>3</v>
      </c>
      <c r="AF15" s="83">
        <v>8</v>
      </c>
      <c r="AG15" s="84">
        <v>259178</v>
      </c>
      <c r="AH15" s="85">
        <v>110</v>
      </c>
      <c r="AI15" s="110">
        <v>50</v>
      </c>
      <c r="AJ15" s="110">
        <v>-60</v>
      </c>
      <c r="AK15" s="111">
        <v>704064</v>
      </c>
      <c r="AL15" s="112">
        <v>2447</v>
      </c>
      <c r="AM15" s="111">
        <v>8739</v>
      </c>
      <c r="AN15" s="112">
        <v>44</v>
      </c>
      <c r="AO15" s="86">
        <v>236218</v>
      </c>
      <c r="AP15" s="113">
        <v>501</v>
      </c>
      <c r="AQ15" s="86">
        <v>184761</v>
      </c>
      <c r="AR15" s="113">
        <v>0</v>
      </c>
      <c r="AS15" s="86">
        <v>715250</v>
      </c>
      <c r="AT15" s="114">
        <v>2491</v>
      </c>
      <c r="AU15" s="110">
        <v>800</v>
      </c>
      <c r="AV15" s="110">
        <v>-1691</v>
      </c>
      <c r="AW15" s="115"/>
      <c r="AX15" s="115">
        <v>0</v>
      </c>
      <c r="AY15" s="115">
        <v>0</v>
      </c>
      <c r="AZ15" s="115"/>
      <c r="BA15" s="116">
        <v>2243.16</v>
      </c>
      <c r="BB15" s="116">
        <v>13200</v>
      </c>
      <c r="BC15" s="117">
        <v>0</v>
      </c>
      <c r="BD15" s="118">
        <v>0</v>
      </c>
      <c r="BE15" s="119">
        <v>0</v>
      </c>
      <c r="BF15" s="120">
        <v>2243.16</v>
      </c>
      <c r="BG15" s="121">
        <v>3</v>
      </c>
      <c r="BH15" s="87">
        <v>13200</v>
      </c>
      <c r="BI15" s="122">
        <v>13200</v>
      </c>
      <c r="BJ15" s="123">
        <v>13170</v>
      </c>
      <c r="BK15" s="87">
        <v>5329.91</v>
      </c>
      <c r="BL15" s="87">
        <v>781.9999999999709</v>
      </c>
      <c r="BM15" s="124">
        <v>13981.999999999971</v>
      </c>
      <c r="BN15" s="110">
        <v>6000</v>
      </c>
      <c r="BO15" s="125">
        <v>-7981.9999999999709</v>
      </c>
      <c r="BP15" s="88">
        <v>3142462</v>
      </c>
      <c r="BQ15" s="88">
        <v>20</v>
      </c>
      <c r="BR15" s="88">
        <v>4390452</v>
      </c>
      <c r="BS15" s="88">
        <v>10</v>
      </c>
      <c r="BT15" s="88">
        <v>30</v>
      </c>
      <c r="BU15" s="96">
        <v>115</v>
      </c>
      <c r="BV15" s="96">
        <v>155</v>
      </c>
    </row>
    <row r="16" spans="1:74" ht="24.9" customHeight="1" x14ac:dyDescent="0.4">
      <c r="A16" s="51" t="s">
        <v>139</v>
      </c>
      <c r="B16" s="78"/>
      <c r="C16" s="78">
        <v>89352</v>
      </c>
      <c r="D16" s="78">
        <v>263750</v>
      </c>
      <c r="E16" s="98">
        <v>72</v>
      </c>
      <c r="F16" s="98">
        <v>45</v>
      </c>
      <c r="G16" s="78">
        <v>0</v>
      </c>
      <c r="H16" s="78">
        <v>169964</v>
      </c>
      <c r="I16" s="79">
        <v>83127</v>
      </c>
      <c r="J16" s="79">
        <v>23</v>
      </c>
      <c r="K16" s="104">
        <v>17331</v>
      </c>
      <c r="L16" s="105">
        <v>4</v>
      </c>
      <c r="M16" s="101">
        <v>3837</v>
      </c>
      <c r="N16" s="105">
        <v>9</v>
      </c>
      <c r="O16" s="101">
        <v>4347</v>
      </c>
      <c r="P16" s="105">
        <v>13</v>
      </c>
      <c r="Q16" s="106">
        <v>59172</v>
      </c>
      <c r="R16" s="126">
        <v>1</v>
      </c>
      <c r="S16" s="107">
        <v>25602</v>
      </c>
      <c r="T16" s="108">
        <v>0</v>
      </c>
      <c r="U16" s="80">
        <v>10847</v>
      </c>
      <c r="V16" s="80">
        <v>2367</v>
      </c>
      <c r="W16" s="81">
        <v>7</v>
      </c>
      <c r="X16" s="82">
        <v>48218</v>
      </c>
      <c r="Y16" s="109">
        <v>27</v>
      </c>
      <c r="Z16" s="100">
        <v>8711</v>
      </c>
      <c r="AA16" s="100">
        <v>7411</v>
      </c>
      <c r="AB16" s="81">
        <v>3</v>
      </c>
      <c r="AC16" s="82">
        <v>3299</v>
      </c>
      <c r="AD16" s="82">
        <v>2332</v>
      </c>
      <c r="AE16" s="109">
        <v>2</v>
      </c>
      <c r="AF16" s="83">
        <v>8</v>
      </c>
      <c r="AG16" s="84">
        <v>259316</v>
      </c>
      <c r="AH16" s="85">
        <v>138</v>
      </c>
      <c r="AI16" s="110">
        <v>50</v>
      </c>
      <c r="AJ16" s="110">
        <v>-88</v>
      </c>
      <c r="AK16" s="111">
        <v>706157</v>
      </c>
      <c r="AL16" s="112">
        <v>2093</v>
      </c>
      <c r="AM16" s="111">
        <v>8772</v>
      </c>
      <c r="AN16" s="112">
        <v>33</v>
      </c>
      <c r="AO16" s="86">
        <v>236740</v>
      </c>
      <c r="AP16" s="113">
        <v>522</v>
      </c>
      <c r="AQ16" s="86">
        <v>184761</v>
      </c>
      <c r="AR16" s="113">
        <v>0</v>
      </c>
      <c r="AS16" s="86">
        <v>717022</v>
      </c>
      <c r="AT16" s="114">
        <v>2126</v>
      </c>
      <c r="AU16" s="110">
        <v>800</v>
      </c>
      <c r="AV16" s="110">
        <v>-1326</v>
      </c>
      <c r="AW16" s="115"/>
      <c r="AX16" s="115">
        <v>0</v>
      </c>
      <c r="AY16" s="115">
        <v>0</v>
      </c>
      <c r="AZ16" s="115"/>
      <c r="BA16" s="116">
        <v>2246.27</v>
      </c>
      <c r="BB16" s="116">
        <v>13684.00000000056</v>
      </c>
      <c r="BC16" s="117">
        <v>0</v>
      </c>
      <c r="BD16" s="118">
        <v>0</v>
      </c>
      <c r="BE16" s="119">
        <v>0</v>
      </c>
      <c r="BF16" s="120">
        <v>2246.27</v>
      </c>
      <c r="BG16" s="121">
        <v>3.1100000000001273</v>
      </c>
      <c r="BH16" s="87">
        <v>13684.00000000056</v>
      </c>
      <c r="BI16" s="122">
        <v>13684.00000000056</v>
      </c>
      <c r="BJ16" s="123">
        <v>13649.00000000056</v>
      </c>
      <c r="BK16" s="87">
        <v>5340</v>
      </c>
      <c r="BL16" s="87">
        <v>1009.0000000000146</v>
      </c>
      <c r="BM16" s="124">
        <v>14693.000000000575</v>
      </c>
      <c r="BN16" s="110">
        <v>6000</v>
      </c>
      <c r="BO16" s="125">
        <v>-8693.0000000005748</v>
      </c>
      <c r="BP16" s="88">
        <v>3142481</v>
      </c>
      <c r="BQ16" s="88">
        <v>19</v>
      </c>
      <c r="BR16" s="88">
        <v>4390468</v>
      </c>
      <c r="BS16" s="88">
        <v>16</v>
      </c>
      <c r="BT16" s="88">
        <v>35</v>
      </c>
      <c r="BU16" s="96">
        <v>127</v>
      </c>
      <c r="BV16" s="96">
        <v>170</v>
      </c>
    </row>
    <row r="17" spans="1:74" ht="24.9" customHeight="1" x14ac:dyDescent="0.4">
      <c r="A17" s="51" t="s">
        <v>140</v>
      </c>
      <c r="B17" s="78"/>
      <c r="C17" s="78">
        <v>89392</v>
      </c>
      <c r="D17" s="78">
        <v>263826</v>
      </c>
      <c r="E17" s="98">
        <v>76</v>
      </c>
      <c r="F17" s="98">
        <v>45</v>
      </c>
      <c r="G17" s="78">
        <v>0</v>
      </c>
      <c r="H17" s="78">
        <v>170062</v>
      </c>
      <c r="I17" s="79">
        <v>83127</v>
      </c>
      <c r="J17" s="79">
        <v>0</v>
      </c>
      <c r="K17" s="104">
        <v>17336</v>
      </c>
      <c r="L17" s="105">
        <v>5</v>
      </c>
      <c r="M17" s="101">
        <v>3845</v>
      </c>
      <c r="N17" s="105">
        <v>8</v>
      </c>
      <c r="O17" s="101">
        <v>4362</v>
      </c>
      <c r="P17" s="105">
        <v>15</v>
      </c>
      <c r="Q17" s="106">
        <v>59175</v>
      </c>
      <c r="R17" s="126">
        <v>3</v>
      </c>
      <c r="S17" s="107">
        <v>25603</v>
      </c>
      <c r="T17" s="108">
        <v>1</v>
      </c>
      <c r="U17" s="80">
        <v>10853</v>
      </c>
      <c r="V17" s="80">
        <v>2367</v>
      </c>
      <c r="W17" s="81">
        <v>6</v>
      </c>
      <c r="X17" s="82">
        <v>48249</v>
      </c>
      <c r="Y17" s="109">
        <v>31</v>
      </c>
      <c r="Z17" s="100">
        <v>8712</v>
      </c>
      <c r="AA17" s="100">
        <v>7411</v>
      </c>
      <c r="AB17" s="81">
        <v>1</v>
      </c>
      <c r="AC17" s="82">
        <v>3301</v>
      </c>
      <c r="AD17" s="82">
        <v>2333</v>
      </c>
      <c r="AE17" s="109">
        <v>3</v>
      </c>
      <c r="AF17" s="83">
        <v>10</v>
      </c>
      <c r="AG17" s="84">
        <v>259454</v>
      </c>
      <c r="AH17" s="85">
        <v>138</v>
      </c>
      <c r="AI17" s="110">
        <v>51</v>
      </c>
      <c r="AJ17" s="110">
        <v>-87</v>
      </c>
      <c r="AK17" s="111">
        <v>708059</v>
      </c>
      <c r="AL17" s="112">
        <v>1902</v>
      </c>
      <c r="AM17" s="111">
        <v>8805</v>
      </c>
      <c r="AN17" s="112">
        <v>33</v>
      </c>
      <c r="AO17" s="86">
        <v>237264</v>
      </c>
      <c r="AP17" s="113">
        <v>524</v>
      </c>
      <c r="AQ17" s="86">
        <v>184761</v>
      </c>
      <c r="AR17" s="113">
        <v>0</v>
      </c>
      <c r="AS17" s="86">
        <v>718766</v>
      </c>
      <c r="AT17" s="114">
        <v>1935</v>
      </c>
      <c r="AU17" s="110">
        <v>800</v>
      </c>
      <c r="AV17" s="110">
        <v>-1135</v>
      </c>
      <c r="AW17" s="115"/>
      <c r="AX17" s="115">
        <v>0</v>
      </c>
      <c r="AY17" s="115">
        <v>0</v>
      </c>
      <c r="AZ17" s="115"/>
      <c r="BA17" s="116">
        <v>2249.48</v>
      </c>
      <c r="BB17" s="116">
        <v>14124.00000000016</v>
      </c>
      <c r="BC17" s="117">
        <v>0</v>
      </c>
      <c r="BD17" s="118">
        <v>0</v>
      </c>
      <c r="BE17" s="119">
        <v>0</v>
      </c>
      <c r="BF17" s="120">
        <v>2249.48</v>
      </c>
      <c r="BG17" s="121">
        <v>3.2100000000000364</v>
      </c>
      <c r="BH17" s="87">
        <v>14124.00000000016</v>
      </c>
      <c r="BI17" s="122">
        <v>14124.00000000016</v>
      </c>
      <c r="BJ17" s="123">
        <v>14088.00000000016</v>
      </c>
      <c r="BK17" s="87">
        <v>5349.62</v>
      </c>
      <c r="BL17" s="87">
        <v>961.99999999998909</v>
      </c>
      <c r="BM17" s="124">
        <v>15086.000000000149</v>
      </c>
      <c r="BN17" s="110">
        <v>6000</v>
      </c>
      <c r="BO17" s="125">
        <v>-9086.0000000001492</v>
      </c>
      <c r="BP17" s="88">
        <v>3142501</v>
      </c>
      <c r="BQ17" s="88">
        <v>20</v>
      </c>
      <c r="BR17" s="88">
        <v>4390484</v>
      </c>
      <c r="BS17" s="88">
        <v>16</v>
      </c>
      <c r="BT17" s="88">
        <v>36</v>
      </c>
      <c r="BU17" s="96">
        <v>104</v>
      </c>
      <c r="BV17" s="96">
        <v>144</v>
      </c>
    </row>
    <row r="18" spans="1:74" ht="24.9" customHeight="1" x14ac:dyDescent="0.4">
      <c r="A18" s="51" t="s">
        <v>141</v>
      </c>
      <c r="B18" s="78"/>
      <c r="C18" s="78">
        <v>89433</v>
      </c>
      <c r="D18" s="78">
        <v>263906</v>
      </c>
      <c r="E18" s="98">
        <v>80</v>
      </c>
      <c r="F18" s="98">
        <v>45</v>
      </c>
      <c r="G18" s="78">
        <v>0</v>
      </c>
      <c r="H18" s="78">
        <v>170164</v>
      </c>
      <c r="I18" s="79">
        <v>83152</v>
      </c>
      <c r="J18" s="79">
        <v>25</v>
      </c>
      <c r="K18" s="104">
        <v>17341</v>
      </c>
      <c r="L18" s="105">
        <v>5</v>
      </c>
      <c r="M18" s="101">
        <v>3854</v>
      </c>
      <c r="N18" s="105">
        <v>9</v>
      </c>
      <c r="O18" s="101">
        <v>4375</v>
      </c>
      <c r="P18" s="105">
        <v>13</v>
      </c>
      <c r="Q18" s="106">
        <v>59177</v>
      </c>
      <c r="R18" s="126">
        <v>2</v>
      </c>
      <c r="S18" s="107">
        <v>25604</v>
      </c>
      <c r="T18" s="108">
        <v>1</v>
      </c>
      <c r="U18" s="80">
        <v>10860</v>
      </c>
      <c r="V18" s="80">
        <v>2367</v>
      </c>
      <c r="W18" s="81">
        <v>7</v>
      </c>
      <c r="X18" s="82">
        <v>48284</v>
      </c>
      <c r="Y18" s="109">
        <v>35</v>
      </c>
      <c r="Z18" s="100">
        <v>8714</v>
      </c>
      <c r="AA18" s="100">
        <v>7411</v>
      </c>
      <c r="AB18" s="81">
        <v>2</v>
      </c>
      <c r="AC18" s="82">
        <v>3302</v>
      </c>
      <c r="AD18" s="82">
        <v>2333</v>
      </c>
      <c r="AE18" s="109">
        <v>1</v>
      </c>
      <c r="AF18" s="83">
        <v>10</v>
      </c>
      <c r="AG18" s="84">
        <v>259597</v>
      </c>
      <c r="AH18" s="85">
        <v>143</v>
      </c>
      <c r="AI18" s="110">
        <v>52</v>
      </c>
      <c r="AJ18" s="110">
        <v>-91</v>
      </c>
      <c r="AK18" s="111">
        <v>709834</v>
      </c>
      <c r="AL18" s="112">
        <v>1775</v>
      </c>
      <c r="AM18" s="111">
        <v>8860</v>
      </c>
      <c r="AN18" s="112">
        <v>55</v>
      </c>
      <c r="AO18" s="86">
        <v>237808</v>
      </c>
      <c r="AP18" s="113">
        <v>544</v>
      </c>
      <c r="AQ18" s="86">
        <v>184761</v>
      </c>
      <c r="AR18" s="113">
        <v>0</v>
      </c>
      <c r="AS18" s="86">
        <v>720469</v>
      </c>
      <c r="AT18" s="114">
        <v>1830</v>
      </c>
      <c r="AU18" s="110">
        <v>800</v>
      </c>
      <c r="AV18" s="110">
        <v>-1030</v>
      </c>
      <c r="AW18" s="115"/>
      <c r="AX18" s="115">
        <v>0</v>
      </c>
      <c r="AY18" s="115">
        <v>0</v>
      </c>
      <c r="AZ18" s="115"/>
      <c r="BA18" s="116">
        <v>2252.69</v>
      </c>
      <c r="BB18" s="116">
        <v>14124.00000000016</v>
      </c>
      <c r="BC18" s="117">
        <v>0</v>
      </c>
      <c r="BD18" s="118">
        <v>0</v>
      </c>
      <c r="BE18" s="119">
        <v>0</v>
      </c>
      <c r="BF18" s="120">
        <v>2252.69</v>
      </c>
      <c r="BG18" s="121">
        <v>3.2100000000000364</v>
      </c>
      <c r="BH18" s="87">
        <v>14124.00000000016</v>
      </c>
      <c r="BI18" s="122">
        <v>14124.00000000016</v>
      </c>
      <c r="BJ18" s="123">
        <v>13869.00000000016</v>
      </c>
      <c r="BK18" s="87">
        <v>5359.57</v>
      </c>
      <c r="BL18" s="87">
        <v>994.99999999998181</v>
      </c>
      <c r="BM18" s="124">
        <v>15119.000000000142</v>
      </c>
      <c r="BN18" s="110">
        <v>6000</v>
      </c>
      <c r="BO18" s="125">
        <v>-9119.0000000001419</v>
      </c>
      <c r="BP18" s="88">
        <v>3142520</v>
      </c>
      <c r="BQ18" s="88">
        <v>19</v>
      </c>
      <c r="BR18" s="88">
        <v>4390720</v>
      </c>
      <c r="BS18" s="88">
        <v>236</v>
      </c>
      <c r="BT18" s="88">
        <v>255</v>
      </c>
      <c r="BU18" s="96">
        <v>111</v>
      </c>
      <c r="BV18" s="96">
        <v>167</v>
      </c>
    </row>
    <row r="19" spans="1:74" ht="24.9" customHeight="1" x14ac:dyDescent="0.4">
      <c r="A19" s="51" t="s">
        <v>142</v>
      </c>
      <c r="B19" s="78"/>
      <c r="C19" s="78">
        <v>89469</v>
      </c>
      <c r="D19" s="78">
        <v>263987</v>
      </c>
      <c r="E19" s="98">
        <v>81</v>
      </c>
      <c r="F19" s="98">
        <v>54</v>
      </c>
      <c r="G19" s="78">
        <v>0</v>
      </c>
      <c r="H19" s="78">
        <v>170262</v>
      </c>
      <c r="I19" s="79">
        <v>83176</v>
      </c>
      <c r="J19" s="79">
        <v>24</v>
      </c>
      <c r="K19" s="104">
        <v>17347</v>
      </c>
      <c r="L19" s="105">
        <v>6</v>
      </c>
      <c r="M19" s="101">
        <v>3864</v>
      </c>
      <c r="N19" s="105">
        <v>10</v>
      </c>
      <c r="O19" s="101">
        <v>4391</v>
      </c>
      <c r="P19" s="105">
        <v>16</v>
      </c>
      <c r="Q19" s="106">
        <v>59179</v>
      </c>
      <c r="R19" s="126">
        <v>2</v>
      </c>
      <c r="S19" s="107">
        <v>25605</v>
      </c>
      <c r="T19" s="108">
        <v>1</v>
      </c>
      <c r="U19" s="80">
        <v>10867</v>
      </c>
      <c r="V19" s="80">
        <v>2367</v>
      </c>
      <c r="W19" s="81">
        <v>7</v>
      </c>
      <c r="X19" s="82">
        <v>48311</v>
      </c>
      <c r="Y19" s="109">
        <v>27</v>
      </c>
      <c r="Z19" s="100">
        <v>8716</v>
      </c>
      <c r="AA19" s="100">
        <v>7411</v>
      </c>
      <c r="AB19" s="81">
        <v>2</v>
      </c>
      <c r="AC19" s="82">
        <v>3303</v>
      </c>
      <c r="AD19" s="82">
        <v>2334</v>
      </c>
      <c r="AE19" s="109">
        <v>2</v>
      </c>
      <c r="AF19" s="83">
        <v>10</v>
      </c>
      <c r="AG19" s="84">
        <v>259731</v>
      </c>
      <c r="AH19" s="85">
        <v>134</v>
      </c>
      <c r="AI19" s="110">
        <v>53</v>
      </c>
      <c r="AJ19" s="110">
        <v>-81</v>
      </c>
      <c r="AK19" s="111">
        <v>711595</v>
      </c>
      <c r="AL19" s="112">
        <v>1761</v>
      </c>
      <c r="AM19" s="111">
        <v>8918</v>
      </c>
      <c r="AN19" s="112">
        <v>58</v>
      </c>
      <c r="AO19" s="86">
        <v>238351</v>
      </c>
      <c r="AP19" s="113">
        <v>543</v>
      </c>
      <c r="AQ19" s="86">
        <v>184761</v>
      </c>
      <c r="AR19" s="113">
        <v>0</v>
      </c>
      <c r="AS19" s="86">
        <v>722274</v>
      </c>
      <c r="AT19" s="114">
        <v>1819</v>
      </c>
      <c r="AU19" s="110">
        <v>800</v>
      </c>
      <c r="AV19" s="110">
        <v>-1019</v>
      </c>
      <c r="AW19" s="115"/>
      <c r="AX19" s="115">
        <v>0</v>
      </c>
      <c r="AY19" s="115">
        <v>0</v>
      </c>
      <c r="AZ19" s="115"/>
      <c r="BA19" s="116">
        <v>2255.9499999999998</v>
      </c>
      <c r="BB19" s="116">
        <v>14343.99999999896</v>
      </c>
      <c r="BC19" s="117">
        <v>0</v>
      </c>
      <c r="BD19" s="118">
        <v>0</v>
      </c>
      <c r="BE19" s="119">
        <v>0</v>
      </c>
      <c r="BF19" s="120">
        <v>2255.9499999999998</v>
      </c>
      <c r="BG19" s="121">
        <v>3.2599999999997635</v>
      </c>
      <c r="BH19" s="87">
        <v>14343.99999999896</v>
      </c>
      <c r="BI19" s="122">
        <v>14343.99999999896</v>
      </c>
      <c r="BJ19" s="123">
        <v>14307.99999999896</v>
      </c>
      <c r="BK19" s="87">
        <v>5368.2</v>
      </c>
      <c r="BL19" s="87">
        <v>863.00000000001091</v>
      </c>
      <c r="BM19" s="124">
        <v>15206.99999999897</v>
      </c>
      <c r="BN19" s="110">
        <v>6000</v>
      </c>
      <c r="BO19" s="125">
        <v>-9206.9999999989705</v>
      </c>
      <c r="BP19" s="88">
        <v>3142540</v>
      </c>
      <c r="BQ19" s="88">
        <v>20</v>
      </c>
      <c r="BR19" s="88">
        <v>4390736</v>
      </c>
      <c r="BS19" s="88">
        <v>16</v>
      </c>
      <c r="BT19" s="88">
        <v>36</v>
      </c>
      <c r="BU19" s="96">
        <v>108</v>
      </c>
      <c r="BV19" s="96">
        <v>184</v>
      </c>
    </row>
    <row r="20" spans="1:74" ht="24.9" customHeight="1" x14ac:dyDescent="0.4">
      <c r="A20" s="51" t="s">
        <v>143</v>
      </c>
      <c r="B20" s="78"/>
      <c r="C20" s="78">
        <v>89497</v>
      </c>
      <c r="D20" s="78">
        <v>264063</v>
      </c>
      <c r="E20" s="98">
        <v>76</v>
      </c>
      <c r="F20" s="98">
        <v>61</v>
      </c>
      <c r="G20" s="78">
        <v>0</v>
      </c>
      <c r="H20" s="78">
        <v>170342</v>
      </c>
      <c r="I20" s="79">
        <v>83195</v>
      </c>
      <c r="J20" s="79">
        <v>19</v>
      </c>
      <c r="K20" s="104">
        <v>17352</v>
      </c>
      <c r="L20" s="105">
        <v>5</v>
      </c>
      <c r="M20" s="101">
        <v>3871</v>
      </c>
      <c r="N20" s="105">
        <v>7</v>
      </c>
      <c r="O20" s="101">
        <v>4405</v>
      </c>
      <c r="P20" s="105">
        <v>14</v>
      </c>
      <c r="Q20" s="106">
        <v>59179</v>
      </c>
      <c r="R20" s="126">
        <v>0</v>
      </c>
      <c r="S20" s="107">
        <v>25605</v>
      </c>
      <c r="T20" s="108">
        <v>0</v>
      </c>
      <c r="U20" s="80">
        <v>10867</v>
      </c>
      <c r="V20" s="80">
        <v>2367</v>
      </c>
      <c r="W20" s="81">
        <v>0</v>
      </c>
      <c r="X20" s="82">
        <v>48326</v>
      </c>
      <c r="Y20" s="109">
        <v>15</v>
      </c>
      <c r="Z20" s="100">
        <v>8718</v>
      </c>
      <c r="AA20" s="100">
        <v>7412</v>
      </c>
      <c r="AB20" s="81">
        <v>3</v>
      </c>
      <c r="AC20" s="82">
        <v>3305</v>
      </c>
      <c r="AD20" s="82">
        <v>2335</v>
      </c>
      <c r="AE20" s="109">
        <v>3</v>
      </c>
      <c r="AF20" s="83">
        <v>0</v>
      </c>
      <c r="AG20" s="84">
        <v>259839</v>
      </c>
      <c r="AH20" s="85">
        <v>108</v>
      </c>
      <c r="AI20" s="110">
        <v>54</v>
      </c>
      <c r="AJ20" s="110">
        <v>-54</v>
      </c>
      <c r="AK20" s="111">
        <v>713387</v>
      </c>
      <c r="AL20" s="112">
        <v>1792</v>
      </c>
      <c r="AM20" s="111">
        <v>8971</v>
      </c>
      <c r="AN20" s="112">
        <v>53</v>
      </c>
      <c r="AO20" s="86">
        <v>239413</v>
      </c>
      <c r="AP20" s="113">
        <v>1062</v>
      </c>
      <c r="AQ20" s="86">
        <v>184761</v>
      </c>
      <c r="AR20" s="113">
        <v>0</v>
      </c>
      <c r="AS20" s="86">
        <v>724150</v>
      </c>
      <c r="AT20" s="114">
        <v>1845</v>
      </c>
      <c r="AU20" s="110">
        <v>800</v>
      </c>
      <c r="AV20" s="110">
        <v>-1045</v>
      </c>
      <c r="AW20" s="115"/>
      <c r="AX20" s="115">
        <v>0</v>
      </c>
      <c r="AY20" s="115">
        <v>0</v>
      </c>
      <c r="AZ20" s="115"/>
      <c r="BA20" s="116">
        <v>2259.17</v>
      </c>
      <c r="BB20" s="116">
        <v>14168.00000000112</v>
      </c>
      <c r="BC20" s="117">
        <v>0</v>
      </c>
      <c r="BD20" s="118">
        <v>0</v>
      </c>
      <c r="BE20" s="119">
        <v>0</v>
      </c>
      <c r="BF20" s="120">
        <v>2259.17</v>
      </c>
      <c r="BG20" s="121">
        <v>3.2200000000002547</v>
      </c>
      <c r="BH20" s="87">
        <v>14168.00000000112</v>
      </c>
      <c r="BI20" s="122">
        <v>14168.00000000112</v>
      </c>
      <c r="BJ20" s="123">
        <v>14137.00000000112</v>
      </c>
      <c r="BK20" s="87">
        <v>5377.49</v>
      </c>
      <c r="BL20" s="87">
        <v>928.99999999999636</v>
      </c>
      <c r="BM20" s="124">
        <v>15097.000000001117</v>
      </c>
      <c r="BN20" s="110">
        <v>6000</v>
      </c>
      <c r="BO20" s="125">
        <v>-9097.0000000011169</v>
      </c>
      <c r="BP20" s="88">
        <v>3142559</v>
      </c>
      <c r="BQ20" s="88">
        <v>19</v>
      </c>
      <c r="BR20" s="88">
        <v>4390748</v>
      </c>
      <c r="BS20" s="88">
        <v>12</v>
      </c>
      <c r="BT20" s="88">
        <v>31</v>
      </c>
      <c r="BU20" s="96">
        <v>97</v>
      </c>
      <c r="BV20" s="96">
        <v>166</v>
      </c>
    </row>
    <row r="21" spans="1:74" ht="24.9" customHeight="1" x14ac:dyDescent="0.4">
      <c r="A21" s="51" t="s">
        <v>144</v>
      </c>
      <c r="B21" s="78"/>
      <c r="C21" s="78">
        <v>89520</v>
      </c>
      <c r="D21" s="78">
        <v>264129</v>
      </c>
      <c r="E21" s="98">
        <v>66</v>
      </c>
      <c r="F21" s="98">
        <v>37</v>
      </c>
      <c r="G21" s="78">
        <v>0</v>
      </c>
      <c r="H21" s="78">
        <v>170410</v>
      </c>
      <c r="I21" s="79">
        <v>83201</v>
      </c>
      <c r="J21" s="79">
        <v>6</v>
      </c>
      <c r="K21" s="104">
        <v>17357</v>
      </c>
      <c r="L21" s="105">
        <v>5</v>
      </c>
      <c r="M21" s="101">
        <v>3883</v>
      </c>
      <c r="N21" s="105">
        <v>12</v>
      </c>
      <c r="O21" s="101">
        <v>4420</v>
      </c>
      <c r="P21" s="105">
        <v>15</v>
      </c>
      <c r="Q21" s="106">
        <v>59180</v>
      </c>
      <c r="R21" s="126">
        <v>1</v>
      </c>
      <c r="S21" s="107">
        <v>25606</v>
      </c>
      <c r="T21" s="108">
        <v>1</v>
      </c>
      <c r="U21" s="80">
        <v>10868</v>
      </c>
      <c r="V21" s="80">
        <v>2367</v>
      </c>
      <c r="W21" s="81">
        <v>1</v>
      </c>
      <c r="X21" s="82">
        <v>48355</v>
      </c>
      <c r="Y21" s="109">
        <v>29</v>
      </c>
      <c r="Z21" s="100">
        <v>8719</v>
      </c>
      <c r="AA21" s="100">
        <v>7412</v>
      </c>
      <c r="AB21" s="81">
        <v>1</v>
      </c>
      <c r="AC21" s="82">
        <v>3306</v>
      </c>
      <c r="AD21" s="82">
        <v>2335</v>
      </c>
      <c r="AE21" s="109">
        <v>1</v>
      </c>
      <c r="AF21" s="83">
        <v>3</v>
      </c>
      <c r="AG21" s="84">
        <v>259930</v>
      </c>
      <c r="AH21" s="85">
        <v>91</v>
      </c>
      <c r="AI21" s="110">
        <v>55</v>
      </c>
      <c r="AJ21" s="110">
        <v>-36</v>
      </c>
      <c r="AK21" s="111">
        <v>715375</v>
      </c>
      <c r="AL21" s="112">
        <v>1988</v>
      </c>
      <c r="AM21" s="111">
        <v>9001</v>
      </c>
      <c r="AN21" s="112">
        <v>30</v>
      </c>
      <c r="AO21" s="86">
        <v>238541</v>
      </c>
      <c r="AP21" s="113">
        <v>-872</v>
      </c>
      <c r="AQ21" s="86">
        <v>184761</v>
      </c>
      <c r="AR21" s="113">
        <v>0</v>
      </c>
      <c r="AS21" s="86">
        <v>726364</v>
      </c>
      <c r="AT21" s="114">
        <v>2018</v>
      </c>
      <c r="AU21" s="110">
        <v>800</v>
      </c>
      <c r="AV21" s="110">
        <v>-1218</v>
      </c>
      <c r="AW21" s="115"/>
      <c r="AX21" s="115">
        <v>0</v>
      </c>
      <c r="AY21" s="115">
        <v>0</v>
      </c>
      <c r="AZ21" s="115"/>
      <c r="BA21" s="116">
        <v>2262.27</v>
      </c>
      <c r="BB21" s="116">
        <v>13639.9999999996</v>
      </c>
      <c r="BC21" s="117">
        <v>0</v>
      </c>
      <c r="BD21" s="118">
        <v>0</v>
      </c>
      <c r="BE21" s="119">
        <v>0</v>
      </c>
      <c r="BF21" s="120">
        <v>2262.27</v>
      </c>
      <c r="BG21" s="121">
        <v>3.0999999999999091</v>
      </c>
      <c r="BH21" s="87">
        <v>13639.9999999996</v>
      </c>
      <c r="BI21" s="122">
        <v>13639.9999999996</v>
      </c>
      <c r="BJ21" s="123">
        <v>13603.9999999996</v>
      </c>
      <c r="BK21" s="87">
        <v>5386.61</v>
      </c>
      <c r="BL21" s="87">
        <v>911.99999999998909</v>
      </c>
      <c r="BM21" s="124">
        <v>14551.999999999589</v>
      </c>
      <c r="BN21" s="110">
        <v>6000</v>
      </c>
      <c r="BO21" s="125">
        <v>-8551.9999999995889</v>
      </c>
      <c r="BP21" s="88">
        <v>3142579</v>
      </c>
      <c r="BQ21" s="88">
        <v>20</v>
      </c>
      <c r="BR21" s="88">
        <v>4390764</v>
      </c>
      <c r="BS21" s="88">
        <v>16</v>
      </c>
      <c r="BT21" s="88">
        <v>36</v>
      </c>
      <c r="BU21" s="96">
        <v>84</v>
      </c>
      <c r="BV21" s="96">
        <v>134</v>
      </c>
    </row>
    <row r="22" spans="1:74" ht="24.9" customHeight="1" x14ac:dyDescent="0.4">
      <c r="A22" s="51" t="s">
        <v>145</v>
      </c>
      <c r="B22" s="78"/>
      <c r="C22" s="78">
        <v>89549</v>
      </c>
      <c r="D22" s="78">
        <v>264188</v>
      </c>
      <c r="E22" s="98">
        <v>59</v>
      </c>
      <c r="F22" s="98">
        <v>37</v>
      </c>
      <c r="G22" s="78">
        <v>0</v>
      </c>
      <c r="H22" s="78">
        <v>170492</v>
      </c>
      <c r="I22" s="79">
        <v>83223</v>
      </c>
      <c r="J22" s="79">
        <v>22</v>
      </c>
      <c r="K22" s="104">
        <v>17362</v>
      </c>
      <c r="L22" s="105">
        <v>5</v>
      </c>
      <c r="M22" s="101">
        <v>3891</v>
      </c>
      <c r="N22" s="105">
        <v>8</v>
      </c>
      <c r="O22" s="101">
        <v>4431</v>
      </c>
      <c r="P22" s="105">
        <v>11</v>
      </c>
      <c r="Q22" s="106">
        <v>59182</v>
      </c>
      <c r="R22" s="126">
        <v>2</v>
      </c>
      <c r="S22" s="107">
        <v>25607</v>
      </c>
      <c r="T22" s="108">
        <v>1</v>
      </c>
      <c r="U22" s="80">
        <v>10874</v>
      </c>
      <c r="V22" s="80">
        <v>2367</v>
      </c>
      <c r="W22" s="81">
        <v>6</v>
      </c>
      <c r="X22" s="82">
        <v>48377</v>
      </c>
      <c r="Y22" s="109">
        <v>22</v>
      </c>
      <c r="Z22" s="100">
        <v>8721</v>
      </c>
      <c r="AA22" s="100">
        <v>7413</v>
      </c>
      <c r="AB22" s="81">
        <v>3</v>
      </c>
      <c r="AC22" s="82">
        <v>3307</v>
      </c>
      <c r="AD22" s="82">
        <v>2336</v>
      </c>
      <c r="AE22" s="109">
        <v>2</v>
      </c>
      <c r="AF22" s="83">
        <v>9</v>
      </c>
      <c r="AG22" s="84">
        <v>260041</v>
      </c>
      <c r="AH22" s="85">
        <v>111</v>
      </c>
      <c r="AI22" s="110">
        <v>56</v>
      </c>
      <c r="AJ22" s="110">
        <v>-55</v>
      </c>
      <c r="AK22" s="111">
        <v>717376</v>
      </c>
      <c r="AL22" s="112">
        <v>2001</v>
      </c>
      <c r="AM22" s="111">
        <v>9033</v>
      </c>
      <c r="AN22" s="112">
        <v>32</v>
      </c>
      <c r="AO22" s="86">
        <v>239083</v>
      </c>
      <c r="AP22" s="113">
        <v>542</v>
      </c>
      <c r="AQ22" s="86">
        <v>184761</v>
      </c>
      <c r="AR22" s="113">
        <v>0</v>
      </c>
      <c r="AS22" s="86">
        <v>728410</v>
      </c>
      <c r="AT22" s="114">
        <v>2033</v>
      </c>
      <c r="AU22" s="110">
        <v>800</v>
      </c>
      <c r="AV22" s="110">
        <v>-1233</v>
      </c>
      <c r="AW22" s="115"/>
      <c r="AX22" s="115">
        <v>0</v>
      </c>
      <c r="AY22" s="115">
        <v>0</v>
      </c>
      <c r="AZ22" s="115"/>
      <c r="BA22" s="116">
        <v>2265.09</v>
      </c>
      <c r="BB22" s="116">
        <v>12408.00000000072</v>
      </c>
      <c r="BC22" s="117">
        <v>0</v>
      </c>
      <c r="BD22" s="118">
        <v>0</v>
      </c>
      <c r="BE22" s="119">
        <v>0</v>
      </c>
      <c r="BF22" s="120">
        <v>2265.09</v>
      </c>
      <c r="BG22" s="121">
        <v>2.8200000000001637</v>
      </c>
      <c r="BH22" s="87">
        <v>12408.00000000072</v>
      </c>
      <c r="BI22" s="122">
        <v>12408.00000000072</v>
      </c>
      <c r="BJ22" s="123">
        <v>12372.00000000072</v>
      </c>
      <c r="BK22" s="87">
        <v>5395.14</v>
      </c>
      <c r="BL22" s="87">
        <v>853.00000000006548</v>
      </c>
      <c r="BM22" s="124">
        <v>13261.000000000786</v>
      </c>
      <c r="BN22" s="110">
        <v>6000</v>
      </c>
      <c r="BO22" s="125">
        <v>-7261.0000000007858</v>
      </c>
      <c r="BP22" s="88">
        <v>3142598</v>
      </c>
      <c r="BQ22" s="88">
        <v>19</v>
      </c>
      <c r="BR22" s="88">
        <v>4390781</v>
      </c>
      <c r="BS22" s="88">
        <v>17</v>
      </c>
      <c r="BT22" s="88">
        <v>36</v>
      </c>
      <c r="BU22" s="96">
        <v>75</v>
      </c>
      <c r="BV22" s="96">
        <v>106</v>
      </c>
    </row>
    <row r="23" spans="1:74" ht="24.9" customHeight="1" x14ac:dyDescent="0.4">
      <c r="A23" s="51" t="s">
        <v>146</v>
      </c>
      <c r="B23" s="78"/>
      <c r="C23" s="78">
        <v>89579</v>
      </c>
      <c r="D23" s="78">
        <v>264242</v>
      </c>
      <c r="E23" s="98">
        <v>54</v>
      </c>
      <c r="F23" s="98">
        <v>37</v>
      </c>
      <c r="G23" s="78">
        <v>0</v>
      </c>
      <c r="H23" s="78">
        <v>170574</v>
      </c>
      <c r="I23" s="79">
        <v>83248</v>
      </c>
      <c r="J23" s="79">
        <v>25</v>
      </c>
      <c r="K23" s="104">
        <v>17367</v>
      </c>
      <c r="L23" s="105">
        <v>5</v>
      </c>
      <c r="M23" s="101">
        <v>3900</v>
      </c>
      <c r="N23" s="105">
        <v>9</v>
      </c>
      <c r="O23" s="101">
        <v>4441</v>
      </c>
      <c r="P23" s="105">
        <v>10</v>
      </c>
      <c r="Q23" s="106">
        <v>59185</v>
      </c>
      <c r="R23" s="126">
        <v>3</v>
      </c>
      <c r="S23" s="107">
        <v>25608</v>
      </c>
      <c r="T23" s="108">
        <v>1</v>
      </c>
      <c r="U23" s="80">
        <v>10880</v>
      </c>
      <c r="V23" s="80">
        <v>2367</v>
      </c>
      <c r="W23" s="81">
        <v>6</v>
      </c>
      <c r="X23" s="82">
        <v>48394</v>
      </c>
      <c r="Y23" s="109">
        <v>17</v>
      </c>
      <c r="Z23" s="100">
        <v>8723</v>
      </c>
      <c r="AA23" s="100">
        <v>7413</v>
      </c>
      <c r="AB23" s="81">
        <v>2</v>
      </c>
      <c r="AC23" s="82">
        <v>3309</v>
      </c>
      <c r="AD23" s="82">
        <v>2336</v>
      </c>
      <c r="AE23" s="109">
        <v>2</v>
      </c>
      <c r="AF23" s="83">
        <v>10</v>
      </c>
      <c r="AG23" s="84">
        <v>260153</v>
      </c>
      <c r="AH23" s="85">
        <v>112</v>
      </c>
      <c r="AI23" s="110">
        <v>57</v>
      </c>
      <c r="AJ23" s="110">
        <v>-55</v>
      </c>
      <c r="AK23" s="111">
        <v>719900</v>
      </c>
      <c r="AL23" s="112">
        <v>2524</v>
      </c>
      <c r="AM23" s="111">
        <v>9060</v>
      </c>
      <c r="AN23" s="112">
        <v>27</v>
      </c>
      <c r="AO23" s="86">
        <v>239621</v>
      </c>
      <c r="AP23" s="113">
        <v>538</v>
      </c>
      <c r="AQ23" s="86">
        <v>184761</v>
      </c>
      <c r="AR23" s="113">
        <v>0</v>
      </c>
      <c r="AS23" s="86">
        <v>731484</v>
      </c>
      <c r="AT23" s="114">
        <v>2551</v>
      </c>
      <c r="AU23" s="110">
        <v>800</v>
      </c>
      <c r="AV23" s="110">
        <v>-1751</v>
      </c>
      <c r="AW23" s="115"/>
      <c r="AX23" s="115">
        <v>0</v>
      </c>
      <c r="AY23" s="115">
        <v>0</v>
      </c>
      <c r="AZ23" s="115"/>
      <c r="BA23" s="116">
        <v>2268.12</v>
      </c>
      <c r="BB23" s="116">
        <v>13331.99999999888</v>
      </c>
      <c r="BC23" s="117">
        <v>0</v>
      </c>
      <c r="BD23" s="118">
        <v>0</v>
      </c>
      <c r="BE23" s="119">
        <v>0</v>
      </c>
      <c r="BF23" s="120">
        <v>2268.12</v>
      </c>
      <c r="BG23" s="121">
        <v>3.0299999999997453</v>
      </c>
      <c r="BH23" s="87">
        <v>13331.99999999888</v>
      </c>
      <c r="BI23" s="122">
        <v>13331.99999999888</v>
      </c>
      <c r="BJ23" s="123">
        <v>13294.99999999888</v>
      </c>
      <c r="BK23" s="87">
        <v>5405.55</v>
      </c>
      <c r="BL23" s="87">
        <v>1040.9999999999854</v>
      </c>
      <c r="BM23" s="124">
        <v>14372.999999998865</v>
      </c>
      <c r="BN23" s="110">
        <v>6000</v>
      </c>
      <c r="BO23" s="125">
        <v>-8372.999999998865</v>
      </c>
      <c r="BP23" s="88">
        <v>3142618</v>
      </c>
      <c r="BQ23" s="88">
        <v>20</v>
      </c>
      <c r="BR23" s="88">
        <v>4390798</v>
      </c>
      <c r="BS23" s="88">
        <v>17</v>
      </c>
      <c r="BT23" s="88">
        <v>37</v>
      </c>
      <c r="BU23" s="96">
        <v>71</v>
      </c>
      <c r="BV23" s="96">
        <v>99</v>
      </c>
    </row>
    <row r="24" spans="1:74" ht="24.9" customHeight="1" x14ac:dyDescent="0.4">
      <c r="A24" s="51" t="s">
        <v>147</v>
      </c>
      <c r="B24" s="78"/>
      <c r="C24" s="78">
        <v>89612</v>
      </c>
      <c r="D24" s="78">
        <v>264306</v>
      </c>
      <c r="E24" s="98">
        <v>64</v>
      </c>
      <c r="F24" s="98">
        <v>42</v>
      </c>
      <c r="G24" s="78">
        <v>0</v>
      </c>
      <c r="H24" s="78">
        <v>170661</v>
      </c>
      <c r="I24" s="79">
        <v>83270</v>
      </c>
      <c r="J24" s="79">
        <v>22</v>
      </c>
      <c r="K24" s="104">
        <v>17370</v>
      </c>
      <c r="L24" s="105">
        <v>3</v>
      </c>
      <c r="M24" s="101">
        <v>3907</v>
      </c>
      <c r="N24" s="105">
        <v>7</v>
      </c>
      <c r="O24" s="101">
        <v>4452</v>
      </c>
      <c r="P24" s="105">
        <v>11</v>
      </c>
      <c r="Q24" s="106">
        <v>59187</v>
      </c>
      <c r="R24" s="126">
        <v>2</v>
      </c>
      <c r="S24" s="107">
        <v>25609</v>
      </c>
      <c r="T24" s="108">
        <v>1</v>
      </c>
      <c r="U24" s="80">
        <v>10885</v>
      </c>
      <c r="V24" s="80">
        <v>2367</v>
      </c>
      <c r="W24" s="81">
        <v>5</v>
      </c>
      <c r="X24" s="82">
        <v>48416</v>
      </c>
      <c r="Y24" s="109">
        <v>22</v>
      </c>
      <c r="Z24" s="100">
        <v>8725</v>
      </c>
      <c r="AA24" s="100">
        <v>7415</v>
      </c>
      <c r="AB24" s="81">
        <v>4</v>
      </c>
      <c r="AC24" s="82">
        <v>3311</v>
      </c>
      <c r="AD24" s="82">
        <v>2337</v>
      </c>
      <c r="AE24" s="109">
        <v>3</v>
      </c>
      <c r="AF24" s="83">
        <v>8</v>
      </c>
      <c r="AG24" s="84">
        <v>260273</v>
      </c>
      <c r="AH24" s="85">
        <v>120</v>
      </c>
      <c r="AI24" s="110">
        <v>58</v>
      </c>
      <c r="AJ24" s="110">
        <v>-62</v>
      </c>
      <c r="AK24" s="111">
        <v>722183</v>
      </c>
      <c r="AL24" s="112">
        <v>2283</v>
      </c>
      <c r="AM24" s="111">
        <v>9062</v>
      </c>
      <c r="AN24" s="112">
        <v>2</v>
      </c>
      <c r="AO24" s="86">
        <v>240076</v>
      </c>
      <c r="AP24" s="113">
        <v>455</v>
      </c>
      <c r="AQ24" s="86">
        <v>184761</v>
      </c>
      <c r="AR24" s="113">
        <v>0</v>
      </c>
      <c r="AS24" s="86">
        <v>733528</v>
      </c>
      <c r="AT24" s="114">
        <v>2285</v>
      </c>
      <c r="AU24" s="110">
        <v>800</v>
      </c>
      <c r="AV24" s="110">
        <v>-1485</v>
      </c>
      <c r="AW24" s="115"/>
      <c r="AX24" s="115">
        <v>0</v>
      </c>
      <c r="AY24" s="115">
        <v>0</v>
      </c>
      <c r="AZ24" s="115"/>
      <c r="BA24" s="116">
        <v>2271.38</v>
      </c>
      <c r="BB24" s="116">
        <v>14344.00000000096</v>
      </c>
      <c r="BC24" s="117">
        <v>0</v>
      </c>
      <c r="BD24" s="118">
        <v>0</v>
      </c>
      <c r="BE24" s="119">
        <v>0</v>
      </c>
      <c r="BF24" s="120">
        <v>2271.38</v>
      </c>
      <c r="BG24" s="121">
        <v>3.2600000000002183</v>
      </c>
      <c r="BH24" s="87">
        <v>14344.00000000096</v>
      </c>
      <c r="BI24" s="122">
        <v>14344.00000000096</v>
      </c>
      <c r="BJ24" s="123">
        <v>14306.00000000096</v>
      </c>
      <c r="BK24" s="87">
        <v>5414.11</v>
      </c>
      <c r="BL24" s="87">
        <v>855.99999999994907</v>
      </c>
      <c r="BM24" s="124">
        <v>15200.000000000909</v>
      </c>
      <c r="BN24" s="110">
        <v>6000</v>
      </c>
      <c r="BO24" s="125">
        <v>-9200.0000000009095</v>
      </c>
      <c r="BP24" s="88">
        <v>3142638</v>
      </c>
      <c r="BQ24" s="88">
        <v>20</v>
      </c>
      <c r="BR24" s="88">
        <v>4390816</v>
      </c>
      <c r="BS24" s="88">
        <v>18</v>
      </c>
      <c r="BT24" s="88">
        <v>38</v>
      </c>
      <c r="BU24" s="96">
        <v>83</v>
      </c>
      <c r="BV24" s="96">
        <v>116</v>
      </c>
    </row>
    <row r="25" spans="1:74" ht="24.9" customHeight="1" x14ac:dyDescent="0.4">
      <c r="A25" s="51" t="s">
        <v>148</v>
      </c>
      <c r="B25" s="78"/>
      <c r="C25" s="78">
        <v>89647</v>
      </c>
      <c r="D25" s="78">
        <v>264379</v>
      </c>
      <c r="E25" s="98">
        <v>73</v>
      </c>
      <c r="F25" s="98">
        <v>40</v>
      </c>
      <c r="G25" s="78">
        <v>0</v>
      </c>
      <c r="H25" s="78">
        <v>170748</v>
      </c>
      <c r="I25" s="79">
        <v>83293</v>
      </c>
      <c r="J25" s="79">
        <v>23</v>
      </c>
      <c r="K25" s="104">
        <v>17374</v>
      </c>
      <c r="L25" s="105">
        <v>4</v>
      </c>
      <c r="M25" s="101">
        <v>3916</v>
      </c>
      <c r="N25" s="105">
        <v>9</v>
      </c>
      <c r="O25" s="101">
        <v>4465</v>
      </c>
      <c r="P25" s="105">
        <v>13</v>
      </c>
      <c r="Q25" s="106">
        <v>59189</v>
      </c>
      <c r="R25" s="126">
        <v>2</v>
      </c>
      <c r="S25" s="107">
        <v>25610</v>
      </c>
      <c r="T25" s="108">
        <v>1</v>
      </c>
      <c r="U25" s="80">
        <v>10891</v>
      </c>
      <c r="V25" s="80">
        <v>2367</v>
      </c>
      <c r="W25" s="81">
        <v>6</v>
      </c>
      <c r="X25" s="82">
        <v>48449</v>
      </c>
      <c r="Y25" s="109">
        <v>33</v>
      </c>
      <c r="Z25" s="100">
        <v>8726</v>
      </c>
      <c r="AA25" s="100">
        <v>7415</v>
      </c>
      <c r="AB25" s="81">
        <v>1</v>
      </c>
      <c r="AC25" s="82">
        <v>3313</v>
      </c>
      <c r="AD25" s="82">
        <v>2338</v>
      </c>
      <c r="AE25" s="109">
        <v>3</v>
      </c>
      <c r="AF25" s="83">
        <v>9</v>
      </c>
      <c r="AG25" s="84">
        <v>260395</v>
      </c>
      <c r="AH25" s="85">
        <v>122</v>
      </c>
      <c r="AI25" s="110">
        <v>59</v>
      </c>
      <c r="AJ25" s="110">
        <v>-63</v>
      </c>
      <c r="AK25" s="111">
        <v>724136</v>
      </c>
      <c r="AL25" s="112">
        <v>1953</v>
      </c>
      <c r="AM25" s="111">
        <v>9138</v>
      </c>
      <c r="AN25" s="112">
        <v>76</v>
      </c>
      <c r="AO25" s="86">
        <v>240605</v>
      </c>
      <c r="AP25" s="113">
        <v>529</v>
      </c>
      <c r="AQ25" s="86">
        <v>184761</v>
      </c>
      <c r="AR25" s="113">
        <v>0</v>
      </c>
      <c r="AS25" s="86">
        <v>735227</v>
      </c>
      <c r="AT25" s="114">
        <v>2029</v>
      </c>
      <c r="AU25" s="110">
        <v>800</v>
      </c>
      <c r="AV25" s="110">
        <v>-1229</v>
      </c>
      <c r="AW25" s="115"/>
      <c r="AX25" s="115">
        <v>0</v>
      </c>
      <c r="AY25" s="115">
        <v>0</v>
      </c>
      <c r="AZ25" s="115"/>
      <c r="BA25" s="116">
        <v>2274.7199999999998</v>
      </c>
      <c r="BB25" s="116">
        <v>14695.999999998639</v>
      </c>
      <c r="BC25" s="117">
        <v>0</v>
      </c>
      <c r="BD25" s="118">
        <v>0</v>
      </c>
      <c r="BE25" s="119">
        <v>0</v>
      </c>
      <c r="BF25" s="120">
        <v>2274.7199999999998</v>
      </c>
      <c r="BG25" s="121">
        <v>3.3399999999996908</v>
      </c>
      <c r="BH25" s="87">
        <v>14695.999999998639</v>
      </c>
      <c r="BI25" s="122">
        <v>14695.999999998639</v>
      </c>
      <c r="BJ25" s="123">
        <v>14658.999999998639</v>
      </c>
      <c r="BK25" s="87">
        <v>5425.55</v>
      </c>
      <c r="BL25" s="87">
        <v>1144.0000000000509</v>
      </c>
      <c r="BM25" s="124">
        <v>15839.99999999869</v>
      </c>
      <c r="BN25" s="110">
        <v>6000</v>
      </c>
      <c r="BO25" s="125">
        <v>-9839.9999999986903</v>
      </c>
      <c r="BP25" s="88">
        <v>3142658</v>
      </c>
      <c r="BQ25" s="88">
        <v>20</v>
      </c>
      <c r="BR25" s="88">
        <v>4390833</v>
      </c>
      <c r="BS25" s="88">
        <v>17</v>
      </c>
      <c r="BT25" s="88">
        <v>37</v>
      </c>
      <c r="BU25" s="96">
        <v>69</v>
      </c>
      <c r="BV25" s="96">
        <v>114</v>
      </c>
    </row>
    <row r="26" spans="1:74" ht="24.9" customHeight="1" x14ac:dyDescent="0.4">
      <c r="A26" s="51" t="s">
        <v>149</v>
      </c>
      <c r="B26" s="78"/>
      <c r="C26" s="78">
        <v>89679</v>
      </c>
      <c r="D26" s="78">
        <v>264433</v>
      </c>
      <c r="E26" s="98">
        <v>54</v>
      </c>
      <c r="F26" s="98">
        <v>34</v>
      </c>
      <c r="G26" s="78">
        <v>0</v>
      </c>
      <c r="H26" s="78">
        <v>170834</v>
      </c>
      <c r="I26" s="79">
        <v>83315</v>
      </c>
      <c r="J26" s="79">
        <v>22</v>
      </c>
      <c r="K26" s="104">
        <v>17380</v>
      </c>
      <c r="L26" s="105">
        <v>6</v>
      </c>
      <c r="M26" s="101">
        <v>3926</v>
      </c>
      <c r="N26" s="105">
        <v>10</v>
      </c>
      <c r="O26" s="101">
        <v>4475</v>
      </c>
      <c r="P26" s="105">
        <v>10</v>
      </c>
      <c r="Q26" s="106">
        <v>59191</v>
      </c>
      <c r="R26" s="126">
        <v>2</v>
      </c>
      <c r="S26" s="107">
        <v>25610</v>
      </c>
      <c r="T26" s="108">
        <v>0</v>
      </c>
      <c r="U26" s="80">
        <v>10897</v>
      </c>
      <c r="V26" s="80">
        <v>2367</v>
      </c>
      <c r="W26" s="81">
        <v>6</v>
      </c>
      <c r="X26" s="82">
        <v>48469</v>
      </c>
      <c r="Y26" s="109">
        <v>20</v>
      </c>
      <c r="Z26" s="100">
        <v>8728</v>
      </c>
      <c r="AA26" s="100">
        <v>7415</v>
      </c>
      <c r="AB26" s="81">
        <v>2</v>
      </c>
      <c r="AC26" s="82">
        <v>3315</v>
      </c>
      <c r="AD26" s="82">
        <v>2339</v>
      </c>
      <c r="AE26" s="109">
        <v>3</v>
      </c>
      <c r="AF26" s="83">
        <v>8</v>
      </c>
      <c r="AG26" s="84">
        <v>260513</v>
      </c>
      <c r="AH26" s="85">
        <v>118</v>
      </c>
      <c r="AI26" s="110">
        <v>60</v>
      </c>
      <c r="AJ26" s="110">
        <v>-58</v>
      </c>
      <c r="AK26" s="111">
        <v>726259</v>
      </c>
      <c r="AL26" s="112">
        <v>2123</v>
      </c>
      <c r="AM26" s="111">
        <v>9188</v>
      </c>
      <c r="AN26" s="112">
        <v>50</v>
      </c>
      <c r="AO26" s="86">
        <v>241150</v>
      </c>
      <c r="AP26" s="113">
        <v>545</v>
      </c>
      <c r="AQ26" s="86">
        <v>184761</v>
      </c>
      <c r="AR26" s="113">
        <v>0</v>
      </c>
      <c r="AS26" s="86">
        <v>737570</v>
      </c>
      <c r="AT26" s="114">
        <v>2173</v>
      </c>
      <c r="AU26" s="110">
        <v>800</v>
      </c>
      <c r="AV26" s="110">
        <v>-1373</v>
      </c>
      <c r="AW26" s="115"/>
      <c r="AX26" s="115">
        <v>0</v>
      </c>
      <c r="AY26" s="115">
        <v>0</v>
      </c>
      <c r="AZ26" s="115"/>
      <c r="BA26" s="116">
        <v>2278.04</v>
      </c>
      <c r="BB26" s="116">
        <v>14608.00000000072</v>
      </c>
      <c r="BC26" s="117">
        <v>0</v>
      </c>
      <c r="BD26" s="118">
        <v>0</v>
      </c>
      <c r="BE26" s="119">
        <v>0</v>
      </c>
      <c r="BF26" s="120">
        <v>2278.04</v>
      </c>
      <c r="BG26" s="121">
        <v>3.3200000000001637</v>
      </c>
      <c r="BH26" s="87">
        <v>14608.00000000072</v>
      </c>
      <c r="BI26" s="122">
        <v>14608.00000000072</v>
      </c>
      <c r="BJ26" s="123">
        <v>14613.00000000072</v>
      </c>
      <c r="BK26" s="87">
        <v>5434.8</v>
      </c>
      <c r="BL26" s="87">
        <v>925</v>
      </c>
      <c r="BM26" s="124">
        <v>15533.00000000072</v>
      </c>
      <c r="BN26" s="110">
        <v>6000</v>
      </c>
      <c r="BO26" s="125">
        <v>-9533.0000000007203</v>
      </c>
      <c r="BP26" s="88">
        <v>3142677</v>
      </c>
      <c r="BQ26" s="88">
        <v>19</v>
      </c>
      <c r="BR26" s="88">
        <v>4390849</v>
      </c>
      <c r="BS26" s="88">
        <v>16</v>
      </c>
      <c r="BT26" s="88">
        <v>35</v>
      </c>
      <c r="BU26" s="96">
        <v>70</v>
      </c>
      <c r="BV26" s="96">
        <v>123</v>
      </c>
    </row>
    <row r="27" spans="1:74" ht="24.9" customHeight="1" x14ac:dyDescent="0.4">
      <c r="A27" s="51" t="s">
        <v>150</v>
      </c>
      <c r="B27" s="78"/>
      <c r="C27" s="78">
        <v>89702</v>
      </c>
      <c r="D27" s="78">
        <v>264490</v>
      </c>
      <c r="E27" s="98">
        <v>57</v>
      </c>
      <c r="F27" s="98">
        <v>37</v>
      </c>
      <c r="G27" s="78">
        <v>0</v>
      </c>
      <c r="H27" s="78">
        <v>170899</v>
      </c>
      <c r="I27" s="79">
        <v>83318</v>
      </c>
      <c r="J27" s="79">
        <v>3</v>
      </c>
      <c r="K27" s="104">
        <v>17385</v>
      </c>
      <c r="L27" s="105">
        <v>5</v>
      </c>
      <c r="M27" s="101">
        <v>3935</v>
      </c>
      <c r="N27" s="105">
        <v>9</v>
      </c>
      <c r="O27" s="101">
        <v>4486</v>
      </c>
      <c r="P27" s="105">
        <v>11</v>
      </c>
      <c r="Q27" s="106">
        <v>59191</v>
      </c>
      <c r="R27" s="126">
        <v>0</v>
      </c>
      <c r="S27" s="107">
        <v>25611</v>
      </c>
      <c r="T27" s="108">
        <v>1</v>
      </c>
      <c r="U27" s="80">
        <v>10898</v>
      </c>
      <c r="V27" s="80">
        <v>2367</v>
      </c>
      <c r="W27" s="81">
        <v>1</v>
      </c>
      <c r="X27" s="82">
        <v>48489</v>
      </c>
      <c r="Y27" s="109">
        <v>20</v>
      </c>
      <c r="Z27" s="100">
        <v>8730</v>
      </c>
      <c r="AA27" s="100">
        <v>7417</v>
      </c>
      <c r="AB27" s="81">
        <v>4</v>
      </c>
      <c r="AC27" s="82">
        <v>3316</v>
      </c>
      <c r="AD27" s="82">
        <v>2340</v>
      </c>
      <c r="AE27" s="109">
        <v>2</v>
      </c>
      <c r="AF27" s="83">
        <v>2</v>
      </c>
      <c r="AG27" s="84">
        <v>260601</v>
      </c>
      <c r="AH27" s="85">
        <v>88</v>
      </c>
      <c r="AI27" s="110">
        <v>61</v>
      </c>
      <c r="AJ27" s="110">
        <v>-27</v>
      </c>
      <c r="AK27" s="111">
        <v>727643</v>
      </c>
      <c r="AL27" s="112">
        <v>1384</v>
      </c>
      <c r="AM27" s="111">
        <v>9239</v>
      </c>
      <c r="AN27" s="112">
        <v>51</v>
      </c>
      <c r="AO27" s="86">
        <v>241253</v>
      </c>
      <c r="AP27" s="113">
        <v>103</v>
      </c>
      <c r="AQ27" s="86">
        <v>184761</v>
      </c>
      <c r="AR27" s="113">
        <v>0</v>
      </c>
      <c r="AS27" s="86">
        <v>738266</v>
      </c>
      <c r="AT27" s="114">
        <v>1435</v>
      </c>
      <c r="AU27" s="110">
        <v>800</v>
      </c>
      <c r="AV27" s="110">
        <v>-635</v>
      </c>
      <c r="AW27" s="115"/>
      <c r="AX27" s="115">
        <v>0</v>
      </c>
      <c r="AY27" s="115">
        <v>0</v>
      </c>
      <c r="AZ27" s="115"/>
      <c r="BA27" s="116">
        <v>2281.36</v>
      </c>
      <c r="BB27" s="116">
        <v>14608.00000000072</v>
      </c>
      <c r="BC27" s="117">
        <v>0</v>
      </c>
      <c r="BD27" s="118">
        <v>0</v>
      </c>
      <c r="BE27" s="119">
        <v>0</v>
      </c>
      <c r="BF27" s="120">
        <v>2281.36</v>
      </c>
      <c r="BG27" s="121">
        <v>3.3200000000001637</v>
      </c>
      <c r="BH27" s="87">
        <v>14608.00000000072</v>
      </c>
      <c r="BI27" s="122">
        <v>14608.00000000072</v>
      </c>
      <c r="BJ27" s="123">
        <v>14535.00000000072</v>
      </c>
      <c r="BK27" s="87">
        <v>5444.53</v>
      </c>
      <c r="BL27" s="87">
        <v>972.99999999995634</v>
      </c>
      <c r="BM27" s="124">
        <v>15581.000000000677</v>
      </c>
      <c r="BN27" s="110">
        <v>6000</v>
      </c>
      <c r="BO27" s="125">
        <v>-9581.0000000006767</v>
      </c>
      <c r="BP27" s="88">
        <v>3142696</v>
      </c>
      <c r="BQ27" s="88">
        <v>19</v>
      </c>
      <c r="BR27" s="88">
        <v>4390863</v>
      </c>
      <c r="BS27" s="88">
        <v>14</v>
      </c>
      <c r="BT27" s="88">
        <v>33</v>
      </c>
      <c r="BU27" s="96">
        <v>48</v>
      </c>
      <c r="BV27" s="96">
        <v>81</v>
      </c>
    </row>
    <row r="28" spans="1:74" ht="24.9" customHeight="1" x14ac:dyDescent="0.4">
      <c r="A28" s="51" t="s">
        <v>151</v>
      </c>
      <c r="B28" s="78"/>
      <c r="C28" s="78">
        <v>89723</v>
      </c>
      <c r="D28" s="78">
        <v>264547</v>
      </c>
      <c r="E28" s="98">
        <v>57</v>
      </c>
      <c r="F28" s="98">
        <v>34</v>
      </c>
      <c r="G28" s="78">
        <v>0</v>
      </c>
      <c r="H28" s="78">
        <v>170961</v>
      </c>
      <c r="I28" s="79">
        <v>83321</v>
      </c>
      <c r="J28" s="79">
        <v>3</v>
      </c>
      <c r="K28" s="104">
        <v>17389</v>
      </c>
      <c r="L28" s="105">
        <v>4</v>
      </c>
      <c r="M28" s="101">
        <v>3942</v>
      </c>
      <c r="N28" s="105">
        <v>7</v>
      </c>
      <c r="O28" s="101">
        <v>4495</v>
      </c>
      <c r="P28" s="105">
        <v>9</v>
      </c>
      <c r="Q28" s="106">
        <v>59191</v>
      </c>
      <c r="R28" s="126">
        <v>0</v>
      </c>
      <c r="S28" s="107">
        <v>25612</v>
      </c>
      <c r="T28" s="108">
        <v>1</v>
      </c>
      <c r="U28" s="80">
        <v>10899</v>
      </c>
      <c r="V28" s="80">
        <v>2367</v>
      </c>
      <c r="W28" s="81">
        <v>1</v>
      </c>
      <c r="X28" s="82">
        <v>48512</v>
      </c>
      <c r="Y28" s="109">
        <v>23</v>
      </c>
      <c r="Z28" s="100">
        <v>8731</v>
      </c>
      <c r="AA28" s="100">
        <v>7418</v>
      </c>
      <c r="AB28" s="81">
        <v>2</v>
      </c>
      <c r="AC28" s="82">
        <v>3318</v>
      </c>
      <c r="AD28" s="82">
        <v>2340</v>
      </c>
      <c r="AE28" s="109">
        <v>2</v>
      </c>
      <c r="AF28" s="83">
        <v>2</v>
      </c>
      <c r="AG28" s="84">
        <v>260684</v>
      </c>
      <c r="AH28" s="85">
        <v>83</v>
      </c>
      <c r="AI28" s="110">
        <v>62</v>
      </c>
      <c r="AJ28" s="110">
        <v>-21</v>
      </c>
      <c r="AK28" s="111">
        <v>728876</v>
      </c>
      <c r="AL28" s="112">
        <v>1233</v>
      </c>
      <c r="AM28" s="111">
        <v>9275</v>
      </c>
      <c r="AN28" s="112">
        <v>36</v>
      </c>
      <c r="AO28" s="86">
        <v>241354</v>
      </c>
      <c r="AP28" s="113">
        <v>101</v>
      </c>
      <c r="AQ28" s="86">
        <v>184761</v>
      </c>
      <c r="AR28" s="113">
        <v>0</v>
      </c>
      <c r="AS28" s="86">
        <v>739384</v>
      </c>
      <c r="AT28" s="114">
        <v>1269</v>
      </c>
      <c r="AU28" s="110">
        <v>800</v>
      </c>
      <c r="AV28" s="110">
        <v>-469</v>
      </c>
      <c r="AW28" s="115"/>
      <c r="AX28" s="115">
        <v>0</v>
      </c>
      <c r="AY28" s="115">
        <v>0</v>
      </c>
      <c r="AZ28" s="115"/>
      <c r="BA28" s="116">
        <v>2284.62</v>
      </c>
      <c r="BB28" s="116">
        <v>14343.99999999896</v>
      </c>
      <c r="BC28" s="117">
        <v>0</v>
      </c>
      <c r="BD28" s="118">
        <v>0</v>
      </c>
      <c r="BE28" s="119">
        <v>0</v>
      </c>
      <c r="BF28" s="120">
        <v>2284.62</v>
      </c>
      <c r="BG28" s="121">
        <v>3.2599999999997635</v>
      </c>
      <c r="BH28" s="87">
        <v>14343.99999999896</v>
      </c>
      <c r="BI28" s="122">
        <v>14343.99999999896</v>
      </c>
      <c r="BJ28" s="123">
        <v>14313.99999999896</v>
      </c>
      <c r="BK28" s="87">
        <v>5452.73</v>
      </c>
      <c r="BL28" s="87">
        <v>819.99999999998181</v>
      </c>
      <c r="BM28" s="124">
        <v>15163.999999998941</v>
      </c>
      <c r="BN28" s="110">
        <v>6000</v>
      </c>
      <c r="BO28" s="125">
        <v>-9163.9999999989413</v>
      </c>
      <c r="BP28" s="88">
        <v>3142716</v>
      </c>
      <c r="BQ28" s="88">
        <v>20</v>
      </c>
      <c r="BR28" s="88">
        <v>4390873</v>
      </c>
      <c r="BS28" s="88">
        <v>10</v>
      </c>
      <c r="BT28" s="88">
        <v>30</v>
      </c>
      <c r="BU28" s="96">
        <v>62</v>
      </c>
      <c r="BV28" s="96">
        <v>90</v>
      </c>
    </row>
    <row r="29" spans="1:74" ht="24.9" customHeight="1" x14ac:dyDescent="0.4">
      <c r="A29" s="51" t="s">
        <v>152</v>
      </c>
      <c r="B29" s="78"/>
      <c r="C29" s="78">
        <v>89757</v>
      </c>
      <c r="D29" s="78">
        <v>264585</v>
      </c>
      <c r="E29" s="98">
        <v>38</v>
      </c>
      <c r="F29" s="98">
        <v>11</v>
      </c>
      <c r="G29" s="78">
        <v>1</v>
      </c>
      <c r="H29" s="78">
        <v>171051</v>
      </c>
      <c r="I29" s="79">
        <v>83343</v>
      </c>
      <c r="J29" s="79">
        <v>22</v>
      </c>
      <c r="K29" s="104">
        <v>17394</v>
      </c>
      <c r="L29" s="105">
        <v>5</v>
      </c>
      <c r="M29" s="101">
        <v>3950</v>
      </c>
      <c r="N29" s="105">
        <v>8</v>
      </c>
      <c r="O29" s="101">
        <v>4503</v>
      </c>
      <c r="P29" s="105">
        <v>8</v>
      </c>
      <c r="Q29" s="106">
        <v>59192</v>
      </c>
      <c r="R29" s="126">
        <v>1</v>
      </c>
      <c r="S29" s="107">
        <v>25613</v>
      </c>
      <c r="T29" s="108">
        <v>1</v>
      </c>
      <c r="U29" s="80">
        <v>10905</v>
      </c>
      <c r="V29" s="80">
        <v>2367</v>
      </c>
      <c r="W29" s="81">
        <v>6</v>
      </c>
      <c r="X29" s="82">
        <v>48539</v>
      </c>
      <c r="Y29" s="109">
        <v>27</v>
      </c>
      <c r="Z29" s="100">
        <v>8733</v>
      </c>
      <c r="AA29" s="100">
        <v>7418</v>
      </c>
      <c r="AB29" s="81">
        <v>2</v>
      </c>
      <c r="AC29" s="82">
        <v>3320</v>
      </c>
      <c r="AD29" s="82">
        <v>2342</v>
      </c>
      <c r="AE29" s="109">
        <v>4</v>
      </c>
      <c r="AF29" s="83">
        <v>8</v>
      </c>
      <c r="AG29" s="84">
        <v>260809</v>
      </c>
      <c r="AH29" s="85">
        <v>125</v>
      </c>
      <c r="AI29" s="110">
        <v>63</v>
      </c>
      <c r="AJ29" s="110">
        <v>-62</v>
      </c>
      <c r="AK29" s="111">
        <v>730567</v>
      </c>
      <c r="AL29" s="112">
        <v>1691</v>
      </c>
      <c r="AM29" s="111">
        <v>9304</v>
      </c>
      <c r="AN29" s="112">
        <v>29</v>
      </c>
      <c r="AO29" s="86">
        <v>241859</v>
      </c>
      <c r="AP29" s="113">
        <v>505</v>
      </c>
      <c r="AQ29" s="86">
        <v>184761</v>
      </c>
      <c r="AR29" s="113">
        <v>0</v>
      </c>
      <c r="AS29" s="86">
        <v>741562</v>
      </c>
      <c r="AT29" s="114">
        <v>1720</v>
      </c>
      <c r="AU29" s="110">
        <v>800</v>
      </c>
      <c r="AV29" s="110">
        <v>-920</v>
      </c>
      <c r="AW29" s="115"/>
      <c r="AX29" s="115">
        <v>0</v>
      </c>
      <c r="AY29" s="115">
        <v>0</v>
      </c>
      <c r="AZ29" s="115"/>
      <c r="BA29" s="116">
        <v>2287.84</v>
      </c>
      <c r="BB29" s="116">
        <v>14168.00000000112</v>
      </c>
      <c r="BC29" s="117">
        <v>0</v>
      </c>
      <c r="BD29" s="118">
        <v>0</v>
      </c>
      <c r="BE29" s="119">
        <v>0</v>
      </c>
      <c r="BF29" s="120">
        <v>2287.84</v>
      </c>
      <c r="BG29" s="121">
        <v>3.2200000000002547</v>
      </c>
      <c r="BH29" s="87">
        <v>14168.00000000112</v>
      </c>
      <c r="BI29" s="122">
        <v>14168.00000000112</v>
      </c>
      <c r="BJ29" s="123">
        <v>14137.00000000112</v>
      </c>
      <c r="BK29" s="87">
        <v>5461.82</v>
      </c>
      <c r="BL29" s="87">
        <v>909.00000000001455</v>
      </c>
      <c r="BM29" s="124">
        <v>15077.000000001135</v>
      </c>
      <c r="BN29" s="110">
        <v>6000</v>
      </c>
      <c r="BO29" s="125">
        <v>-9077.000000001135</v>
      </c>
      <c r="BP29" s="88">
        <v>3142736</v>
      </c>
      <c r="BQ29" s="88">
        <v>20</v>
      </c>
      <c r="BR29" s="88">
        <v>4390884</v>
      </c>
      <c r="BS29" s="88">
        <v>11</v>
      </c>
      <c r="BT29" s="88">
        <v>31</v>
      </c>
      <c r="BU29" s="96">
        <v>58</v>
      </c>
      <c r="BV29" s="96">
        <v>77</v>
      </c>
    </row>
    <row r="30" spans="1:74" ht="24.9" customHeight="1" x14ac:dyDescent="0.4">
      <c r="A30" s="51" t="s">
        <v>153</v>
      </c>
      <c r="B30" s="78"/>
      <c r="C30" s="78">
        <v>89792</v>
      </c>
      <c r="D30" s="78">
        <v>264667</v>
      </c>
      <c r="E30" s="98">
        <v>82</v>
      </c>
      <c r="F30" s="98">
        <v>54</v>
      </c>
      <c r="G30" s="78">
        <v>1</v>
      </c>
      <c r="H30" s="78">
        <v>171130</v>
      </c>
      <c r="I30" s="79">
        <v>83363</v>
      </c>
      <c r="J30" s="79">
        <v>20</v>
      </c>
      <c r="K30" s="104">
        <v>17398</v>
      </c>
      <c r="L30" s="105">
        <v>4</v>
      </c>
      <c r="M30" s="101">
        <v>3958</v>
      </c>
      <c r="N30" s="105">
        <v>8</v>
      </c>
      <c r="O30" s="101">
        <v>4511</v>
      </c>
      <c r="P30" s="105">
        <v>8</v>
      </c>
      <c r="Q30" s="106">
        <v>59194</v>
      </c>
      <c r="R30" s="126">
        <v>2</v>
      </c>
      <c r="S30" s="107">
        <v>25614</v>
      </c>
      <c r="T30" s="108">
        <v>1</v>
      </c>
      <c r="U30" s="80">
        <v>10911</v>
      </c>
      <c r="V30" s="80">
        <v>2367</v>
      </c>
      <c r="W30" s="81">
        <v>6</v>
      </c>
      <c r="X30" s="82">
        <v>48567</v>
      </c>
      <c r="Y30" s="109">
        <v>28</v>
      </c>
      <c r="Z30" s="100">
        <v>8735</v>
      </c>
      <c r="AA30" s="100">
        <v>7419</v>
      </c>
      <c r="AB30" s="81">
        <v>3</v>
      </c>
      <c r="AC30" s="82">
        <v>3321</v>
      </c>
      <c r="AD30" s="82">
        <v>2344</v>
      </c>
      <c r="AE30" s="109">
        <v>3</v>
      </c>
      <c r="AF30" s="83">
        <v>9</v>
      </c>
      <c r="AG30" s="84">
        <v>260923</v>
      </c>
      <c r="AH30" s="85">
        <v>114</v>
      </c>
      <c r="AI30" s="110">
        <v>63</v>
      </c>
      <c r="AJ30" s="110">
        <v>-51</v>
      </c>
      <c r="AK30" s="111">
        <v>732156</v>
      </c>
      <c r="AL30" s="112">
        <v>1589</v>
      </c>
      <c r="AM30" s="111">
        <v>9332</v>
      </c>
      <c r="AN30" s="112">
        <v>28</v>
      </c>
      <c r="AO30" s="86">
        <v>242324</v>
      </c>
      <c r="AP30" s="113">
        <v>465</v>
      </c>
      <c r="AQ30" s="86">
        <v>184831</v>
      </c>
      <c r="AR30" s="113">
        <v>70</v>
      </c>
      <c r="AS30" s="86">
        <v>743077</v>
      </c>
      <c r="AT30" s="114">
        <v>1617</v>
      </c>
      <c r="AU30" s="110">
        <v>800</v>
      </c>
      <c r="AV30" s="110">
        <v>-817</v>
      </c>
      <c r="AW30" s="115"/>
      <c r="AX30" s="115">
        <v>0</v>
      </c>
      <c r="AY30" s="115">
        <v>0</v>
      </c>
      <c r="AZ30" s="115"/>
      <c r="BA30" s="116">
        <v>2290.9899999999998</v>
      </c>
      <c r="BB30" s="116">
        <v>13859.999999998399</v>
      </c>
      <c r="BC30" s="117">
        <v>0</v>
      </c>
      <c r="BD30" s="118">
        <v>0</v>
      </c>
      <c r="BE30" s="119">
        <v>0</v>
      </c>
      <c r="BF30" s="120">
        <v>2290.9899999999998</v>
      </c>
      <c r="BG30" s="121">
        <v>3.1499999999996362</v>
      </c>
      <c r="BH30" s="87">
        <v>13859.999999998399</v>
      </c>
      <c r="BI30" s="122">
        <v>13859.999999998399</v>
      </c>
      <c r="BJ30" s="123">
        <v>13516.999999998399</v>
      </c>
      <c r="BK30" s="87">
        <v>5469.95</v>
      </c>
      <c r="BL30" s="87">
        <v>813.00000000001091</v>
      </c>
      <c r="BM30" s="124">
        <v>14672.99999999841</v>
      </c>
      <c r="BN30" s="110">
        <v>6000</v>
      </c>
      <c r="BO30" s="125">
        <v>-8672.9999999984102</v>
      </c>
      <c r="BP30" s="88">
        <v>3142755</v>
      </c>
      <c r="BQ30" s="88">
        <v>19</v>
      </c>
      <c r="BR30" s="88">
        <v>4391208</v>
      </c>
      <c r="BS30" s="88">
        <v>324</v>
      </c>
      <c r="BT30" s="88">
        <v>343</v>
      </c>
      <c r="BU30" s="96">
        <v>70</v>
      </c>
      <c r="BV30" s="96">
        <v>93</v>
      </c>
    </row>
    <row r="31" spans="1:74" ht="24.9" customHeight="1" x14ac:dyDescent="0.4">
      <c r="A31" s="51" t="s">
        <v>154</v>
      </c>
      <c r="B31" s="78"/>
      <c r="C31" s="78">
        <v>89824</v>
      </c>
      <c r="D31" s="78">
        <v>264721</v>
      </c>
      <c r="E31" s="98">
        <v>54</v>
      </c>
      <c r="F31" s="98">
        <v>34</v>
      </c>
      <c r="G31" s="78">
        <v>1</v>
      </c>
      <c r="H31" s="78">
        <v>171210</v>
      </c>
      <c r="I31" s="79">
        <v>83386</v>
      </c>
      <c r="J31" s="79">
        <v>23</v>
      </c>
      <c r="K31" s="104">
        <v>17403</v>
      </c>
      <c r="L31" s="105">
        <v>5</v>
      </c>
      <c r="M31" s="101">
        <v>3966</v>
      </c>
      <c r="N31" s="105">
        <v>8</v>
      </c>
      <c r="O31" s="101">
        <v>4521</v>
      </c>
      <c r="P31" s="105">
        <v>10</v>
      </c>
      <c r="Q31" s="106">
        <v>59197</v>
      </c>
      <c r="R31" s="126">
        <v>3</v>
      </c>
      <c r="S31" s="107">
        <v>25614</v>
      </c>
      <c r="T31" s="108">
        <v>0</v>
      </c>
      <c r="U31" s="80">
        <v>10917</v>
      </c>
      <c r="V31" s="80">
        <v>2367</v>
      </c>
      <c r="W31" s="81">
        <v>6</v>
      </c>
      <c r="X31" s="82">
        <v>48587</v>
      </c>
      <c r="Y31" s="109">
        <v>20</v>
      </c>
      <c r="Z31" s="100">
        <v>8737</v>
      </c>
      <c r="AA31" s="100">
        <v>7420</v>
      </c>
      <c r="AB31" s="81">
        <v>3</v>
      </c>
      <c r="AC31" s="82">
        <v>3323</v>
      </c>
      <c r="AD31" s="82">
        <v>2344</v>
      </c>
      <c r="AE31" s="109">
        <v>2</v>
      </c>
      <c r="AF31" s="83">
        <v>9</v>
      </c>
      <c r="AG31" s="84">
        <v>261035</v>
      </c>
      <c r="AH31" s="85">
        <v>112</v>
      </c>
      <c r="AI31" s="110">
        <v>63</v>
      </c>
      <c r="AJ31" s="110">
        <v>-49</v>
      </c>
      <c r="AK31" s="111">
        <v>734017</v>
      </c>
      <c r="AL31" s="112">
        <v>1861</v>
      </c>
      <c r="AM31" s="111">
        <v>9358</v>
      </c>
      <c r="AN31" s="112">
        <v>26</v>
      </c>
      <c r="AO31" s="86">
        <v>242815</v>
      </c>
      <c r="AP31" s="113">
        <v>491</v>
      </c>
      <c r="AQ31" s="86">
        <v>184881</v>
      </c>
      <c r="AR31" s="113">
        <v>50</v>
      </c>
      <c r="AS31" s="86">
        <v>745236</v>
      </c>
      <c r="AT31" s="114">
        <v>1887</v>
      </c>
      <c r="AU31" s="110">
        <v>800</v>
      </c>
      <c r="AV31" s="110">
        <v>-1087</v>
      </c>
      <c r="AW31" s="115"/>
      <c r="AX31" s="115">
        <v>0</v>
      </c>
      <c r="AY31" s="115">
        <v>0</v>
      </c>
      <c r="AZ31" s="115"/>
      <c r="BA31" s="116">
        <v>2294.1999999999998</v>
      </c>
      <c r="BB31" s="116">
        <v>14124.00000000016</v>
      </c>
      <c r="BC31" s="117">
        <v>0</v>
      </c>
      <c r="BD31" s="118">
        <v>0</v>
      </c>
      <c r="BE31" s="119">
        <v>0</v>
      </c>
      <c r="BF31" s="120">
        <v>2294.1999999999998</v>
      </c>
      <c r="BG31" s="121">
        <v>3.2100000000000364</v>
      </c>
      <c r="BH31" s="87">
        <v>14124.00000000016</v>
      </c>
      <c r="BI31" s="122">
        <v>14124.00000000016</v>
      </c>
      <c r="BJ31" s="123">
        <v>14041.00000000016</v>
      </c>
      <c r="BK31" s="87">
        <v>5479</v>
      </c>
      <c r="BL31" s="87">
        <v>905.00000000001819</v>
      </c>
      <c r="BM31" s="124">
        <v>15029.000000000178</v>
      </c>
      <c r="BN31" s="110">
        <v>6000</v>
      </c>
      <c r="BO31" s="125">
        <v>-9029.0000000001783</v>
      </c>
      <c r="BP31" s="88">
        <v>3142775</v>
      </c>
      <c r="BQ31" s="88">
        <v>20</v>
      </c>
      <c r="BR31" s="88">
        <v>4391271</v>
      </c>
      <c r="BS31" s="88">
        <v>63</v>
      </c>
      <c r="BT31" s="88">
        <v>83</v>
      </c>
      <c r="BU31" s="96">
        <v>79</v>
      </c>
      <c r="BV31" s="96">
        <v>107</v>
      </c>
    </row>
    <row r="32" spans="1:74" ht="24.9" customHeight="1" x14ac:dyDescent="0.4">
      <c r="A32" s="51" t="s">
        <v>155</v>
      </c>
      <c r="B32" s="78"/>
      <c r="C32" s="78">
        <v>89860</v>
      </c>
      <c r="D32" s="78">
        <v>264794</v>
      </c>
      <c r="E32" s="98">
        <v>73</v>
      </c>
      <c r="F32" s="98">
        <v>47</v>
      </c>
      <c r="G32" s="78">
        <v>1</v>
      </c>
      <c r="H32" s="78">
        <v>171305</v>
      </c>
      <c r="I32" s="79">
        <v>83409</v>
      </c>
      <c r="J32" s="79">
        <v>23</v>
      </c>
      <c r="K32" s="104">
        <v>17409</v>
      </c>
      <c r="L32" s="105">
        <v>6</v>
      </c>
      <c r="M32" s="101">
        <v>3975</v>
      </c>
      <c r="N32" s="105">
        <v>9</v>
      </c>
      <c r="O32" s="101">
        <v>4534</v>
      </c>
      <c r="P32" s="105">
        <v>13</v>
      </c>
      <c r="Q32" s="106">
        <v>59201</v>
      </c>
      <c r="R32" s="126">
        <v>4</v>
      </c>
      <c r="S32" s="107">
        <v>25614</v>
      </c>
      <c r="T32" s="108">
        <v>0</v>
      </c>
      <c r="U32" s="80">
        <v>10922</v>
      </c>
      <c r="V32" s="80">
        <v>2367</v>
      </c>
      <c r="W32" s="81">
        <v>5</v>
      </c>
      <c r="X32" s="82">
        <v>48613</v>
      </c>
      <c r="Y32" s="109">
        <v>26</v>
      </c>
      <c r="Z32" s="100">
        <v>8738</v>
      </c>
      <c r="AA32" s="100">
        <v>7421</v>
      </c>
      <c r="AB32" s="81">
        <v>2</v>
      </c>
      <c r="AC32" s="82">
        <v>3324</v>
      </c>
      <c r="AD32" s="82">
        <v>2345</v>
      </c>
      <c r="AE32" s="109">
        <v>2</v>
      </c>
      <c r="AF32" s="83">
        <v>9</v>
      </c>
      <c r="AG32" s="84">
        <v>261166</v>
      </c>
      <c r="AH32" s="85">
        <v>131</v>
      </c>
      <c r="AI32" s="110">
        <v>63</v>
      </c>
      <c r="AJ32" s="110">
        <v>-68</v>
      </c>
      <c r="AK32" s="111">
        <v>735777</v>
      </c>
      <c r="AL32" s="112">
        <v>1760</v>
      </c>
      <c r="AM32" s="111">
        <v>9398</v>
      </c>
      <c r="AN32" s="112">
        <v>40</v>
      </c>
      <c r="AO32" s="86">
        <v>243380</v>
      </c>
      <c r="AP32" s="113">
        <v>565</v>
      </c>
      <c r="AQ32" s="86">
        <v>184881</v>
      </c>
      <c r="AR32" s="113">
        <v>0</v>
      </c>
      <c r="AS32" s="86">
        <v>746935</v>
      </c>
      <c r="AT32" s="114">
        <v>1800</v>
      </c>
      <c r="AU32" s="110">
        <v>800</v>
      </c>
      <c r="AV32" s="110">
        <v>-1000</v>
      </c>
      <c r="AW32" s="115"/>
      <c r="AX32" s="115">
        <v>0</v>
      </c>
      <c r="AY32" s="115">
        <v>0</v>
      </c>
      <c r="AZ32" s="115"/>
      <c r="BA32" s="116">
        <v>2297.56</v>
      </c>
      <c r="BB32" s="116">
        <v>14784.00000000056</v>
      </c>
      <c r="BC32" s="117">
        <v>0</v>
      </c>
      <c r="BD32" s="118">
        <v>0</v>
      </c>
      <c r="BE32" s="119">
        <v>0</v>
      </c>
      <c r="BF32" s="120">
        <v>2297.56</v>
      </c>
      <c r="BG32" s="121">
        <v>3.3600000000001273</v>
      </c>
      <c r="BH32" s="87">
        <v>14784.00000000056</v>
      </c>
      <c r="BI32" s="122">
        <v>14784.00000000056</v>
      </c>
      <c r="BJ32" s="123">
        <v>14547.00000000056</v>
      </c>
      <c r="BK32" s="87">
        <v>5487</v>
      </c>
      <c r="BL32" s="87">
        <v>800</v>
      </c>
      <c r="BM32" s="124">
        <v>15584.00000000056</v>
      </c>
      <c r="BN32" s="110">
        <v>6000</v>
      </c>
      <c r="BO32" s="125">
        <v>-9584.0000000005602</v>
      </c>
      <c r="BP32" s="88">
        <v>3142795</v>
      </c>
      <c r="BQ32" s="88">
        <v>20</v>
      </c>
      <c r="BR32" s="88">
        <v>4391488</v>
      </c>
      <c r="BS32" s="88">
        <v>217</v>
      </c>
      <c r="BT32" s="88">
        <v>237</v>
      </c>
      <c r="BU32" s="96">
        <v>62</v>
      </c>
      <c r="BV32" s="96">
        <v>87</v>
      </c>
    </row>
    <row r="33" spans="1:74" ht="24.9" customHeight="1" x14ac:dyDescent="0.4">
      <c r="A33" s="51" t="s">
        <v>156</v>
      </c>
      <c r="B33" s="78"/>
      <c r="C33" s="78">
        <v>89912</v>
      </c>
      <c r="D33" s="78">
        <v>264865</v>
      </c>
      <c r="E33" s="98">
        <v>71</v>
      </c>
      <c r="F33" s="98">
        <v>34</v>
      </c>
      <c r="G33" s="78">
        <v>1</v>
      </c>
      <c r="H33" s="78">
        <v>171426</v>
      </c>
      <c r="I33" s="79">
        <v>83427</v>
      </c>
      <c r="J33" s="79">
        <v>18</v>
      </c>
      <c r="K33" s="104">
        <v>17414</v>
      </c>
      <c r="L33" s="105">
        <v>5</v>
      </c>
      <c r="M33" s="101">
        <v>3984</v>
      </c>
      <c r="N33" s="105">
        <v>9</v>
      </c>
      <c r="O33" s="101">
        <v>4543</v>
      </c>
      <c r="P33" s="105">
        <v>9</v>
      </c>
      <c r="Q33" s="106">
        <v>59204</v>
      </c>
      <c r="R33" s="126">
        <v>3</v>
      </c>
      <c r="S33" s="107">
        <v>25615</v>
      </c>
      <c r="T33" s="108">
        <v>1</v>
      </c>
      <c r="U33" s="80">
        <v>10929</v>
      </c>
      <c r="V33" s="80">
        <v>2367</v>
      </c>
      <c r="W33" s="81">
        <v>7</v>
      </c>
      <c r="X33" s="82">
        <v>48650</v>
      </c>
      <c r="Y33" s="109">
        <v>37</v>
      </c>
      <c r="Z33" s="100">
        <v>8740</v>
      </c>
      <c r="AA33" s="100">
        <v>7422</v>
      </c>
      <c r="AB33" s="81">
        <v>3</v>
      </c>
      <c r="AC33" s="82">
        <v>3325</v>
      </c>
      <c r="AD33" s="82">
        <v>2346</v>
      </c>
      <c r="AE33" s="109">
        <v>2</v>
      </c>
      <c r="AF33" s="83">
        <v>11</v>
      </c>
      <c r="AG33" s="84">
        <v>261339</v>
      </c>
      <c r="AH33" s="85">
        <v>173</v>
      </c>
      <c r="AI33" s="110">
        <v>63</v>
      </c>
      <c r="AJ33" s="110">
        <v>-110</v>
      </c>
      <c r="AK33" s="111">
        <v>737366</v>
      </c>
      <c r="AL33" s="112">
        <v>1589</v>
      </c>
      <c r="AM33" s="111">
        <v>9443</v>
      </c>
      <c r="AN33" s="112">
        <v>45</v>
      </c>
      <c r="AO33" s="86">
        <v>243828</v>
      </c>
      <c r="AP33" s="113">
        <v>448</v>
      </c>
      <c r="AQ33" s="86">
        <v>184881</v>
      </c>
      <c r="AR33" s="113">
        <v>0</v>
      </c>
      <c r="AS33" s="86">
        <v>748398</v>
      </c>
      <c r="AT33" s="114">
        <v>1634</v>
      </c>
      <c r="AU33" s="110">
        <v>800</v>
      </c>
      <c r="AV33" s="110">
        <v>-834</v>
      </c>
      <c r="AW33" s="115"/>
      <c r="AX33" s="115">
        <v>0</v>
      </c>
      <c r="AY33" s="115">
        <v>0</v>
      </c>
      <c r="AZ33" s="115"/>
      <c r="BA33" s="116">
        <v>2300.92</v>
      </c>
      <c r="BB33" s="116">
        <v>14784.00000000056</v>
      </c>
      <c r="BC33" s="117">
        <v>0</v>
      </c>
      <c r="BD33" s="118">
        <v>0</v>
      </c>
      <c r="BE33" s="119">
        <v>0</v>
      </c>
      <c r="BF33" s="120">
        <v>2300.92</v>
      </c>
      <c r="BG33" s="121">
        <v>3.3600000000001273</v>
      </c>
      <c r="BH33" s="87">
        <v>14784.00000000056</v>
      </c>
      <c r="BI33" s="122">
        <v>14784.00000000056</v>
      </c>
      <c r="BJ33" s="123">
        <v>14309.00000000056</v>
      </c>
      <c r="BK33" s="87">
        <v>5492.7</v>
      </c>
      <c r="BL33" s="87">
        <v>569.99999999998181</v>
      </c>
      <c r="BM33" s="124">
        <v>15354.000000000542</v>
      </c>
      <c r="BN33" s="110">
        <v>6000</v>
      </c>
      <c r="BO33" s="125">
        <v>-9354.0000000005421</v>
      </c>
      <c r="BP33" s="88">
        <v>3142814</v>
      </c>
      <c r="BQ33" s="88">
        <v>19</v>
      </c>
      <c r="BR33" s="88">
        <v>4391944</v>
      </c>
      <c r="BS33" s="88">
        <v>456</v>
      </c>
      <c r="BT33" s="88">
        <v>475</v>
      </c>
      <c r="BU33" s="96">
        <v>51</v>
      </c>
      <c r="BV33" s="96">
        <v>84</v>
      </c>
    </row>
    <row r="34" spans="1:74" ht="24.9" customHeight="1" thickBot="1" x14ac:dyDescent="0.45">
      <c r="A34" s="51" t="s">
        <v>157</v>
      </c>
      <c r="B34" s="127"/>
      <c r="C34" s="128">
        <v>89954</v>
      </c>
      <c r="D34" s="128">
        <v>264935</v>
      </c>
      <c r="E34" s="98">
        <v>70</v>
      </c>
      <c r="F34" s="98">
        <v>33</v>
      </c>
      <c r="G34" s="78">
        <v>1</v>
      </c>
      <c r="H34" s="128">
        <v>171537</v>
      </c>
      <c r="I34" s="129">
        <v>83433</v>
      </c>
      <c r="J34" s="79">
        <v>6</v>
      </c>
      <c r="K34" s="130">
        <v>17419</v>
      </c>
      <c r="L34" s="105">
        <v>5</v>
      </c>
      <c r="M34" s="131">
        <v>3994</v>
      </c>
      <c r="N34" s="105">
        <v>10</v>
      </c>
      <c r="O34" s="131">
        <v>4554</v>
      </c>
      <c r="P34" s="105">
        <v>11</v>
      </c>
      <c r="Q34" s="132">
        <v>59207</v>
      </c>
      <c r="R34" s="126">
        <v>3</v>
      </c>
      <c r="S34" s="107">
        <v>25615</v>
      </c>
      <c r="T34" s="108">
        <v>0</v>
      </c>
      <c r="U34" s="80">
        <v>10933</v>
      </c>
      <c r="V34" s="133">
        <v>2367</v>
      </c>
      <c r="W34" s="81">
        <v>4</v>
      </c>
      <c r="X34" s="134">
        <v>48687</v>
      </c>
      <c r="Y34" s="109">
        <v>37</v>
      </c>
      <c r="Z34" s="135">
        <v>8741</v>
      </c>
      <c r="AA34" s="136">
        <v>7423</v>
      </c>
      <c r="AB34" s="81">
        <v>2</v>
      </c>
      <c r="AC34" s="82">
        <v>3327</v>
      </c>
      <c r="AD34" s="82">
        <v>2347</v>
      </c>
      <c r="AE34" s="109">
        <v>3</v>
      </c>
      <c r="AF34" s="83">
        <v>7</v>
      </c>
      <c r="AG34" s="84">
        <v>261492</v>
      </c>
      <c r="AH34" s="85">
        <v>153</v>
      </c>
      <c r="AI34" s="110">
        <v>63</v>
      </c>
      <c r="AJ34" s="110">
        <v>-90</v>
      </c>
      <c r="AK34" s="137">
        <v>738701</v>
      </c>
      <c r="AL34" s="112">
        <v>1335</v>
      </c>
      <c r="AM34" s="111">
        <v>9491</v>
      </c>
      <c r="AN34" s="112">
        <v>48</v>
      </c>
      <c r="AO34" s="86">
        <v>244241</v>
      </c>
      <c r="AP34" s="113">
        <v>413</v>
      </c>
      <c r="AQ34" s="86">
        <v>184881</v>
      </c>
      <c r="AR34" s="113">
        <v>0</v>
      </c>
      <c r="AS34" s="86">
        <v>749527</v>
      </c>
      <c r="AT34" s="114">
        <v>1383</v>
      </c>
      <c r="AU34" s="110">
        <v>800</v>
      </c>
      <c r="AV34" s="110">
        <v>-583</v>
      </c>
      <c r="AW34" s="115"/>
      <c r="AX34" s="115">
        <v>0</v>
      </c>
      <c r="AY34" s="115">
        <v>0</v>
      </c>
      <c r="AZ34" s="115"/>
      <c r="BA34" s="116">
        <v>2304</v>
      </c>
      <c r="BB34" s="116">
        <v>13551.99999999968</v>
      </c>
      <c r="BC34" s="117">
        <v>0</v>
      </c>
      <c r="BD34" s="118">
        <v>0</v>
      </c>
      <c r="BE34" s="119">
        <v>0</v>
      </c>
      <c r="BF34" s="120">
        <v>2304</v>
      </c>
      <c r="BG34" s="121">
        <v>3.0799999999999272</v>
      </c>
      <c r="BH34" s="87">
        <v>13551.99999999968</v>
      </c>
      <c r="BI34" s="122">
        <v>13551.99999999968</v>
      </c>
      <c r="BJ34" s="123">
        <v>13540.99999999968</v>
      </c>
      <c r="BK34" s="87">
        <v>5499.28</v>
      </c>
      <c r="BL34" s="87">
        <v>657.99999999999272</v>
      </c>
      <c r="BM34" s="124">
        <v>14209.999999999673</v>
      </c>
      <c r="BN34" s="110">
        <v>6000</v>
      </c>
      <c r="BO34" s="125">
        <v>-8209.9999999996726</v>
      </c>
      <c r="BP34" s="138">
        <v>3142833</v>
      </c>
      <c r="BQ34" s="88">
        <v>19</v>
      </c>
      <c r="BR34" s="138">
        <v>4391946</v>
      </c>
      <c r="BS34" s="88">
        <v>2</v>
      </c>
      <c r="BT34" s="88">
        <v>21</v>
      </c>
      <c r="BU34" s="96">
        <v>65</v>
      </c>
      <c r="BV34" s="96">
        <v>107</v>
      </c>
    </row>
    <row r="35" spans="1:74" x14ac:dyDescent="0.3">
      <c r="AH35" s="56"/>
      <c r="AI35" s="56"/>
      <c r="AJ35" s="56"/>
      <c r="AT35" s="56"/>
      <c r="AU35" s="56"/>
      <c r="AV35" s="56"/>
      <c r="BM35" s="56"/>
      <c r="BN35" s="56"/>
      <c r="BO35" s="56"/>
    </row>
  </sheetData>
  <mergeCells count="5">
    <mergeCell ref="AW2:AY2"/>
    <mergeCell ref="AZ2:BB2"/>
    <mergeCell ref="B1:AJ1"/>
    <mergeCell ref="AK1:AV1"/>
    <mergeCell ref="AW1:BN1"/>
  </mergeCells>
  <conditionalFormatting sqref="AH5:AH3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5:AT3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4">
    <cfRule type="colorScale" priority="3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J4">
    <cfRule type="colorScale" priority="2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1164099A2784E45BCBC8818E86541AD" ma:contentTypeVersion="14" ma:contentTypeDescription="Új dokumentum létrehozása." ma:contentTypeScope="" ma:versionID="3ffea3713e87522293bf3e6a8d8d7a99">
  <xsd:schema xmlns:xsd="http://www.w3.org/2001/XMLSchema" xmlns:xs="http://www.w3.org/2001/XMLSchema" xmlns:p="http://schemas.microsoft.com/office/2006/metadata/properties" xmlns:ns2="79405527-da4b-42fd-abaf-b35b941fb2e8" xmlns:ns3="38a33c00-717a-4fb9-8e59-67aa6d5a023c" targetNamespace="http://schemas.microsoft.com/office/2006/metadata/properties" ma:root="true" ma:fieldsID="27414d1b402eef25b54d85e01ab5e161" ns2:_="" ns3:_="">
    <xsd:import namespace="79405527-da4b-42fd-abaf-b35b941fb2e8"/>
    <xsd:import namespace="38a33c00-717a-4fb9-8e59-67aa6d5a0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Pertner" minOccurs="0"/>
                <xsd:element ref="ns2:_x00c1_llapot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05527-da4b-42fd-abaf-b35b941fb2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Pertner" ma:index="16" nillable="true" ma:displayName="Partner" ma:description="Ibiden" ma:format="Dropdown" ma:internalName="Pertner">
      <xsd:simpleType>
        <xsd:restriction base="dms:Text">
          <xsd:maxLength value="255"/>
        </xsd:restriction>
      </xsd:simpleType>
    </xsd:element>
    <xsd:element name="_x00c1_llapot" ma:index="17" nillable="true" ma:displayName="Állapot" ma:default="Munkaközi" ma:format="Dropdown" ma:internalName="_x00c1_llapot">
      <xsd:simpleType>
        <xsd:restriction base="dms:Choice">
          <xsd:enumeration value="Template"/>
          <xsd:enumeration value="Munkaközi"/>
          <xsd:enumeration value="Ellenőrzésre"/>
          <xsd:enumeration value="Hibás"/>
          <xsd:enumeration value="Kiadható"/>
          <xsd:enumeration value="Közzétett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33c00-717a-4fb9-8e59-67aa6d5a023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llapot xmlns="79405527-da4b-42fd-abaf-b35b941fb2e8">Munkaközi</_x00c1_llapot>
    <Pertner xmlns="79405527-da4b-42fd-abaf-b35b941fb2e8" xsi:nil="true"/>
  </documentManagement>
</p:properties>
</file>

<file path=customXml/itemProps1.xml><?xml version="1.0" encoding="utf-8"?>
<ds:datastoreItem xmlns:ds="http://schemas.openxmlformats.org/officeDocument/2006/customXml" ds:itemID="{8580B9EF-177A-4108-8619-AFA4FB27C3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16D661-F09C-48B6-A056-9A0A3188B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405527-da4b-42fd-abaf-b35b941fb2e8"/>
    <ds:schemaRef ds:uri="38a33c00-717a-4fb9-8e59-67aa6d5a0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07DCCB-4F64-4EED-9DEC-D390BADE6F3A}">
  <ds:schemaRefs>
    <ds:schemaRef ds:uri="http://schemas.microsoft.com/office/2006/metadata/properties"/>
    <ds:schemaRef ds:uri="http://schemas.microsoft.com/office/infopath/2007/PartnerControls"/>
    <ds:schemaRef ds:uri="79405527-da4b-42fd-abaf-b35b941fb2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Gábor Gáti</cp:lastModifiedBy>
  <cp:revision/>
  <dcterms:created xsi:type="dcterms:W3CDTF">2017-05-22T13:08:25Z</dcterms:created>
  <dcterms:modified xsi:type="dcterms:W3CDTF">2022-05-06T16:31:44Z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0x010100B1164099A2784E45BCBC8818E86541AD</vt:lpwstr>
  </property>
</Properties>
</file>