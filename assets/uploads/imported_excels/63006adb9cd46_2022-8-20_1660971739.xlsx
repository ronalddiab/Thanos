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398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14" i="2"/>
  <c r="T5" i="2" l="1"/>
  <c r="T7" i="2" s="1"/>
  <c r="T8" i="2" s="1"/>
  <c r="T13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13" i="2" s="1"/>
  <c r="N13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3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3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3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3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3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3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<sst xmlns="http://schemas.openxmlformats.org/spreadsheetml/2006/main" count="514" uniqueCount="151">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</sst>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19" sqref="K1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88070.495272</v>
      </c>
      <c r="F18" s="138">
        <v>1.27</v>
      </c>
      <c r="G18" s="36">
        <f>Gas!C19*0.9147</f>
        <v>1632.7394999999999</v>
      </c>
      <c r="H18" s="139">
        <v>3.65</v>
      </c>
      <c r="I18" s="141">
        <f>Submetering!H18+Submetering!AD18+Submetering!AE18</f>
        <v>995.99999999999977</v>
      </c>
      <c r="J18" s="141">
        <v>10.029999999999999</v>
      </c>
      <c r="K18" s="36">
        <v>231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63708.418472000005</v>
      </c>
      <c r="F19" s="138">
        <v>1.27</v>
      </c>
      <c r="G19" s="36">
        <f>Gas!C20*0.9147</f>
        <v>1684.8773999999999</v>
      </c>
      <c r="H19" s="139">
        <v>3.65</v>
      </c>
      <c r="I19" s="141">
        <f>Submetering!H19+Submetering!AD19+Submetering!AE19</f>
        <v>896</v>
      </c>
      <c r="J19" s="141">
        <v>10.029999999999999</v>
      </c>
      <c r="K19" s="36">
        <f>ELECT.!B20</f>
        <v>155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38">
        <v>1.27</v>
      </c>
      <c r="G20" s="36">
        <f>Gas!C21*0.9147</f>
        <v>1448.8848</v>
      </c>
      <c r="H20" s="139">
        <v>3.65</v>
      </c>
      <c r="I20" s="141">
        <f>Submetering!H20+Submetering!AD20+Submetering!AE20</f>
        <v>976</v>
      </c>
      <c r="J20" s="141">
        <v>10.029999999999999</v>
      </c>
      <c r="K20" s="36">
        <f>ELECT.!B21</f>
        <v>160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17" sqref="I1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1190</v>
      </c>
      <c r="F18" s="36">
        <f>Water!E19</f>
        <v>520</v>
      </c>
      <c r="G18" s="36">
        <f>Water!G19</f>
        <v>585.9</v>
      </c>
      <c r="H18" s="36">
        <f>Water!I19</f>
        <v>4.266</v>
      </c>
      <c r="I18" s="36">
        <f>ELECT.!F19</f>
        <v>28295</v>
      </c>
      <c r="J18" s="36">
        <f>ELECT.!H19</f>
        <v>63021</v>
      </c>
      <c r="K18" s="36">
        <f>ELECT.!K19</f>
        <v>13476</v>
      </c>
      <c r="L18" s="36">
        <f>ELECT.!M19</f>
        <v>7949</v>
      </c>
      <c r="M18" s="36">
        <f>ELECT.!O19</f>
        <v>20126</v>
      </c>
      <c r="N18" s="36">
        <f>ELECT.!Q19</f>
        <v>15903</v>
      </c>
      <c r="O18" s="36">
        <f>ELECT.!S19</f>
        <v>2260</v>
      </c>
      <c r="P18" s="36">
        <f>ELECT.!W19*2</f>
        <v>26798</v>
      </c>
      <c r="Q18" s="36">
        <f>ELECT.!D19</f>
        <v>640</v>
      </c>
      <c r="R18" s="141">
        <f>BTU!C19</f>
        <v>14.099999999998545</v>
      </c>
      <c r="S18" s="141">
        <f>BTU!F19</f>
        <v>4.01299999999992</v>
      </c>
      <c r="T18" s="141">
        <f>BTU!I19</f>
        <v>9</v>
      </c>
      <c r="U18" s="141">
        <f>BTU!O19</f>
        <v>2.2649999999998727</v>
      </c>
      <c r="V18" s="141">
        <f>BTU!L19</f>
        <v>2.2000000000007276</v>
      </c>
      <c r="W18" s="141">
        <f>BTU!R19</f>
        <v>0.8000000000001819</v>
      </c>
      <c r="X18" s="34">
        <f>ELECT.!B19</f>
        <v>150</v>
      </c>
      <c r="Y18" s="34">
        <f t="shared" si="0"/>
        <v>4804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130.71054119999999</v>
      </c>
      <c r="AE18" s="34">
        <f t="shared" si="2"/>
        <v>861.02345879999984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1090</v>
      </c>
      <c r="F19" s="36">
        <f>Water!E20</f>
        <v>320</v>
      </c>
      <c r="G19" s="36">
        <f>Water!G20</f>
        <v>585.9</v>
      </c>
      <c r="H19" s="36">
        <f>Water!I20</f>
        <v>3.915</v>
      </c>
      <c r="I19" s="36">
        <f>ELECT.!F20</f>
        <v>20714</v>
      </c>
      <c r="J19" s="36">
        <f>ELECT.!H20</f>
        <v>46644</v>
      </c>
      <c r="K19" s="36">
        <f>ELECT.!K20</f>
        <v>9720</v>
      </c>
      <c r="L19" s="36">
        <f>ELECT.!M20</f>
        <v>5720</v>
      </c>
      <c r="M19" s="36">
        <f>ELECT.!O20</f>
        <v>14790</v>
      </c>
      <c r="N19" s="36">
        <f>ELECT.!Q20</f>
        <v>11821</v>
      </c>
      <c r="O19" s="36">
        <f>ELECT.!S20</f>
        <v>19070</v>
      </c>
      <c r="P19" s="36">
        <f>ELECT.!W20*2</f>
        <v>19888</v>
      </c>
      <c r="Q19" s="36">
        <f>ELECT.!D20</f>
        <v>800</v>
      </c>
      <c r="R19" s="141">
        <f>BTU!C20</f>
        <v>13.754000000000815</v>
      </c>
      <c r="S19" s="141">
        <f>BTU!F20</f>
        <v>3.2380000000002838</v>
      </c>
      <c r="T19" s="141">
        <f>BTU!I20</f>
        <v>8</v>
      </c>
      <c r="U19" s="141">
        <f>BTU!O20</f>
        <v>2.1280000000001564</v>
      </c>
      <c r="V19" s="141">
        <f>BTU!L20</f>
        <v>3.3899999999994179</v>
      </c>
      <c r="W19" s="141">
        <f>BTU!R20</f>
        <v>0.98999999999978172</v>
      </c>
      <c r="X19" s="34">
        <f>ELECT.!B20</f>
        <v>155</v>
      </c>
      <c r="Y19" s="34">
        <f t="shared" si="0"/>
        <v>-13651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4">
        <f t="shared" si="1"/>
        <v>117.576803</v>
      </c>
      <c r="AE19" s="34">
        <f t="shared" si="2"/>
        <v>774.508197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1170</v>
      </c>
      <c r="F20" s="36">
        <f>Water!E21</f>
        <v>570</v>
      </c>
      <c r="G20" s="36">
        <f>Water!G21</f>
        <v>610.20000000000005</v>
      </c>
      <c r="H20" s="36">
        <f>Water!I21</f>
        <v>2.8889999999999998</v>
      </c>
      <c r="I20" s="36">
        <f>ELECT.!F21</f>
        <v>26303</v>
      </c>
      <c r="J20" s="36">
        <f>ELECT.!H21</f>
        <v>59608</v>
      </c>
      <c r="K20" s="36">
        <f>ELECT.!K21</f>
        <v>11180</v>
      </c>
      <c r="L20" s="36">
        <f>ELECT.!M21</f>
        <v>7104</v>
      </c>
      <c r="M20" s="36">
        <f>ELECT.!O21</f>
        <v>18928</v>
      </c>
      <c r="N20" s="36">
        <f>ELECT.!Q21</f>
        <v>15559</v>
      </c>
      <c r="O20" s="36">
        <f>ELECT.!S21</f>
        <v>11733</v>
      </c>
      <c r="P20" s="36">
        <f>ELECT.!W21*2</f>
        <v>25346</v>
      </c>
      <c r="Q20" s="36">
        <f>ELECT.!D21</f>
        <v>640</v>
      </c>
      <c r="R20" s="141">
        <f>BTU!C21</f>
        <v>11.96900000000096</v>
      </c>
      <c r="S20" s="141">
        <f>BTU!F21</f>
        <v>1.2150000000001455</v>
      </c>
      <c r="T20" s="141">
        <f>BTU!I21</f>
        <v>7</v>
      </c>
      <c r="U20" s="141">
        <f>BTU!O21</f>
        <v>1.9659999999998945</v>
      </c>
      <c r="V20" s="141">
        <f>BTU!L21</f>
        <v>2.2700000000004366</v>
      </c>
      <c r="W20" s="141">
        <f>BTU!R21</f>
        <v>0.84000000000014552</v>
      </c>
      <c r="X20" s="34">
        <f>ELECT.!B21</f>
        <v>160</v>
      </c>
      <c r="Y20" s="34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4">
        <f t="shared" si="1"/>
        <v>128.25602980000002</v>
      </c>
      <c r="AE20" s="34">
        <f t="shared" si="2"/>
        <v>844.85497020000003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 t="str">
        <f>ELECT.!F22</f>
        <v>0</v>
      </c>
      <c r="J21" s="36" t="str">
        <f>ELECT.!H22</f>
        <v>0</v>
      </c>
      <c r="K21" s="36">
        <f>ELECT.!K22</f>
        <v>0</v>
      </c>
      <c r="L21" s="36" t="str">
        <f>ELECT.!M22</f>
        <v>0</v>
      </c>
      <c r="M21" s="36">
        <f>ELECT.!O22</f>
        <v>0</v>
      </c>
      <c r="N21" s="36" t="str">
        <f>ELECT.!Q22</f>
        <v>0</v>
      </c>
      <c r="O21" s="36" t="str">
        <f>ELECT.!S22</f>
        <v>0</v>
      </c>
      <c r="P21" s="36">
        <f>ELECT.!W22*2</f>
        <v>0</v>
      </c>
      <c r="Q21" s="36">
        <f>ELECT.!D22</f>
        <v>0</v>
      </c>
      <c r="R21" s="141" t="str">
        <f>BTU!C22</f>
        <v>0</v>
      </c>
      <c r="S21" s="141" t="str">
        <f>BTU!F22</f>
        <v>0</v>
      </c>
      <c r="T21" s="141" t="str">
        <f>BTU!I22</f>
        <v>0</v>
      </c>
      <c r="U21" s="141" t="str">
        <f>BTU!O22</f>
        <v>0</v>
      </c>
      <c r="V21" s="141" t="str">
        <f>BTU!L22</f>
        <v>0</v>
      </c>
      <c r="W21" s="141" t="str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1" sqref="U2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v>47447</v>
      </c>
      <c r="C19" s="14">
        <f t="shared" si="3"/>
        <v>800</v>
      </c>
      <c r="D19" s="32">
        <v>40882</v>
      </c>
      <c r="E19" s="14">
        <f t="shared" si="4"/>
        <v>480</v>
      </c>
      <c r="F19" s="32">
        <v>21964</v>
      </c>
      <c r="G19" s="14">
        <f t="shared" si="5"/>
        <v>60</v>
      </c>
      <c r="H19" s="32">
        <v>257645</v>
      </c>
      <c r="I19" s="14">
        <f t="shared" si="6"/>
        <v>35</v>
      </c>
      <c r="J19" s="32">
        <v>328434</v>
      </c>
      <c r="K19" s="14">
        <f t="shared" si="7"/>
        <v>168</v>
      </c>
      <c r="L19" s="32">
        <v>26406</v>
      </c>
      <c r="M19" s="14">
        <f t="shared" si="8"/>
        <v>180</v>
      </c>
      <c r="N19" s="32">
        <v>226285</v>
      </c>
      <c r="O19" s="14">
        <f t="shared" si="9"/>
        <v>3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v>4037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44791</v>
      </c>
      <c r="B20" s="32">
        <v>47451</v>
      </c>
      <c r="C20" s="14">
        <f t="shared" si="3"/>
        <v>640</v>
      </c>
      <c r="D20" s="32">
        <v>40885</v>
      </c>
      <c r="E20" s="14">
        <f t="shared" si="4"/>
        <v>480</v>
      </c>
      <c r="F20" s="32">
        <v>21968</v>
      </c>
      <c r="G20" s="14">
        <f t="shared" si="5"/>
        <v>80</v>
      </c>
      <c r="H20" s="32">
        <v>257668</v>
      </c>
      <c r="I20" s="14">
        <f t="shared" si="6"/>
        <v>23</v>
      </c>
      <c r="J20" s="32">
        <v>328593</v>
      </c>
      <c r="K20" s="14">
        <f t="shared" si="7"/>
        <v>159</v>
      </c>
      <c r="L20" s="32">
        <v>26409</v>
      </c>
      <c r="M20" s="14">
        <f t="shared" si="8"/>
        <v>180</v>
      </c>
      <c r="N20" s="32">
        <v>226288</v>
      </c>
      <c r="O20" s="14">
        <f t="shared" si="9"/>
        <v>3</v>
      </c>
      <c r="P20" s="32">
        <v>165777</v>
      </c>
      <c r="Q20" s="14">
        <f t="shared" si="2"/>
        <v>1426</v>
      </c>
      <c r="R20" s="1">
        <v>55047</v>
      </c>
      <c r="S20" s="14">
        <f t="shared" si="11"/>
        <v>0</v>
      </c>
      <c r="T20" s="32">
        <v>4037</v>
      </c>
      <c r="U20" s="14">
        <f t="shared" si="10"/>
        <v>0</v>
      </c>
    </row>
    <row r="21" spans="1:23" ht="13.5" thickBot="1" x14ac:dyDescent="0.25">
      <c r="A21" s="9">
        <v>44792</v>
      </c>
      <c r="B21" s="32">
        <v>47456</v>
      </c>
      <c r="C21" s="14">
        <f t="shared" si="3"/>
        <v>800</v>
      </c>
      <c r="D21" s="32">
        <v>40888</v>
      </c>
      <c r="E21" s="14">
        <f t="shared" si="4"/>
        <v>480</v>
      </c>
      <c r="F21" s="32">
        <v>21973</v>
      </c>
      <c r="G21" s="14">
        <f t="shared" si="5"/>
        <v>100</v>
      </c>
      <c r="H21" s="32">
        <v>257708</v>
      </c>
      <c r="I21" s="14">
        <f t="shared" si="6"/>
        <v>40</v>
      </c>
      <c r="J21" s="32">
        <v>328700</v>
      </c>
      <c r="K21" s="14">
        <f t="shared" si="7"/>
        <v>107</v>
      </c>
      <c r="L21" s="32">
        <v>26411</v>
      </c>
      <c r="M21" s="14">
        <f t="shared" si="8"/>
        <v>120</v>
      </c>
      <c r="N21" s="32">
        <v>226291</v>
      </c>
      <c r="O21" s="14">
        <f t="shared" si="9"/>
        <v>3</v>
      </c>
      <c r="P21" s="32">
        <v>165891</v>
      </c>
      <c r="Q21" s="14">
        <f t="shared" si="2"/>
        <v>114</v>
      </c>
      <c r="R21" s="1">
        <f t="shared" si="13"/>
        <v>55047</v>
      </c>
      <c r="S21" s="14">
        <f t="shared" si="11"/>
        <v>0</v>
      </c>
      <c r="T21" s="32">
        <v>4038</v>
      </c>
      <c r="U21" s="14">
        <f t="shared" si="10"/>
        <v>160</v>
      </c>
    </row>
    <row r="22" spans="1:23" ht="13.5" thickBot="1" x14ac:dyDescent="0.25">
      <c r="A22" s="9">
        <v>44793</v>
      </c>
      <c r="B22" s="32">
        <f t="shared" si="15"/>
        <v>47456</v>
      </c>
      <c r="C22" s="14">
        <f t="shared" si="3"/>
        <v>0</v>
      </c>
      <c r="D22" s="32">
        <f t="shared" si="16"/>
        <v>40888</v>
      </c>
      <c r="E22" s="14">
        <f t="shared" si="4"/>
        <v>0</v>
      </c>
      <c r="F22" s="32">
        <f t="shared" si="17"/>
        <v>21973</v>
      </c>
      <c r="G22" s="14">
        <f t="shared" si="5"/>
        <v>0</v>
      </c>
      <c r="H22" s="32">
        <f t="shared" si="18"/>
        <v>257708</v>
      </c>
      <c r="I22" s="14">
        <f t="shared" si="6"/>
        <v>0</v>
      </c>
      <c r="J22" s="32">
        <f t="shared" si="19"/>
        <v>328700</v>
      </c>
      <c r="K22" s="14">
        <f t="shared" si="7"/>
        <v>0</v>
      </c>
      <c r="L22" s="32">
        <f t="shared" si="20"/>
        <v>26411</v>
      </c>
      <c r="M22" s="14">
        <f t="shared" si="8"/>
        <v>0</v>
      </c>
      <c r="N22" s="32">
        <f t="shared" si="21"/>
        <v>226291</v>
      </c>
      <c r="O22" s="14">
        <f t="shared" si="9"/>
        <v>0</v>
      </c>
      <c r="P22" s="32">
        <f t="shared" si="22"/>
        <v>165891</v>
      </c>
      <c r="Q22" s="14">
        <f t="shared" si="2"/>
        <v>0</v>
      </c>
      <c r="R22" s="1">
        <f t="shared" si="13"/>
        <v>55047</v>
      </c>
      <c r="S22" s="14">
        <f t="shared" si="11"/>
        <v>0</v>
      </c>
      <c r="T22" s="32">
        <f t="shared" si="14"/>
        <v>4038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5"/>
        <v>47456</v>
      </c>
      <c r="C23" s="14">
        <f t="shared" si="3"/>
        <v>0</v>
      </c>
      <c r="D23" s="32">
        <f t="shared" si="16"/>
        <v>40888</v>
      </c>
      <c r="E23" s="14">
        <f t="shared" si="4"/>
        <v>0</v>
      </c>
      <c r="F23" s="32">
        <f t="shared" si="17"/>
        <v>21973</v>
      </c>
      <c r="G23" s="14">
        <f t="shared" si="5"/>
        <v>0</v>
      </c>
      <c r="H23" s="32">
        <f t="shared" si="18"/>
        <v>257708</v>
      </c>
      <c r="I23" s="14">
        <f t="shared" si="6"/>
        <v>0</v>
      </c>
      <c r="J23" s="32">
        <f t="shared" si="19"/>
        <v>328700</v>
      </c>
      <c r="K23" s="14">
        <f t="shared" si="7"/>
        <v>0</v>
      </c>
      <c r="L23" s="32">
        <f t="shared" si="20"/>
        <v>26411</v>
      </c>
      <c r="M23" s="14">
        <f t="shared" si="8"/>
        <v>0</v>
      </c>
      <c r="N23" s="32">
        <f t="shared" si="21"/>
        <v>226291</v>
      </c>
      <c r="O23" s="14">
        <f t="shared" si="9"/>
        <v>0</v>
      </c>
      <c r="P23" s="32">
        <f t="shared" si="22"/>
        <v>165891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f t="shared" si="14"/>
        <v>4038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5"/>
        <v>47456</v>
      </c>
      <c r="C24" s="14">
        <f t="shared" si="3"/>
        <v>0</v>
      </c>
      <c r="D24" s="32">
        <f t="shared" si="16"/>
        <v>40888</v>
      </c>
      <c r="E24" s="14">
        <f t="shared" si="4"/>
        <v>0</v>
      </c>
      <c r="F24" s="32">
        <f t="shared" si="17"/>
        <v>21973</v>
      </c>
      <c r="G24" s="14">
        <f t="shared" si="5"/>
        <v>0</v>
      </c>
      <c r="H24" s="32">
        <f t="shared" si="18"/>
        <v>257708</v>
      </c>
      <c r="I24" s="14">
        <f t="shared" si="6"/>
        <v>0</v>
      </c>
      <c r="J24" s="32">
        <f t="shared" si="19"/>
        <v>328700</v>
      </c>
      <c r="K24" s="14">
        <f t="shared" si="7"/>
        <v>0</v>
      </c>
      <c r="L24" s="32">
        <f t="shared" si="20"/>
        <v>26411</v>
      </c>
      <c r="M24" s="14">
        <f t="shared" si="8"/>
        <v>0</v>
      </c>
      <c r="N24" s="32">
        <f t="shared" si="21"/>
        <v>226291</v>
      </c>
      <c r="O24" s="14">
        <f t="shared" si="9"/>
        <v>0</v>
      </c>
      <c r="P24" s="32">
        <f t="shared" si="22"/>
        <v>165891</v>
      </c>
      <c r="Q24" s="14">
        <f t="shared" si="2"/>
        <v>0</v>
      </c>
      <c r="R24" s="1">
        <f t="shared" si="13"/>
        <v>55047</v>
      </c>
      <c r="S24" s="14">
        <f t="shared" si="11"/>
        <v>0</v>
      </c>
      <c r="T24" s="32">
        <f t="shared" si="14"/>
        <v>4038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5"/>
        <v>47456</v>
      </c>
      <c r="C25" s="14">
        <f t="shared" si="3"/>
        <v>0</v>
      </c>
      <c r="D25" s="32">
        <f t="shared" si="16"/>
        <v>40888</v>
      </c>
      <c r="E25" s="14">
        <f t="shared" si="4"/>
        <v>0</v>
      </c>
      <c r="F25" s="32">
        <f t="shared" si="17"/>
        <v>21973</v>
      </c>
      <c r="G25" s="14">
        <f t="shared" si="5"/>
        <v>0</v>
      </c>
      <c r="H25" s="32">
        <f t="shared" si="18"/>
        <v>257708</v>
      </c>
      <c r="I25" s="14">
        <f t="shared" si="6"/>
        <v>0</v>
      </c>
      <c r="J25" s="32">
        <f t="shared" si="19"/>
        <v>328700</v>
      </c>
      <c r="K25" s="14">
        <f t="shared" si="7"/>
        <v>0</v>
      </c>
      <c r="L25" s="32">
        <f t="shared" si="20"/>
        <v>26411</v>
      </c>
      <c r="M25" s="14">
        <f t="shared" si="8"/>
        <v>0</v>
      </c>
      <c r="N25" s="32">
        <f t="shared" si="21"/>
        <v>226291</v>
      </c>
      <c r="O25" s="14">
        <f t="shared" si="9"/>
        <v>0</v>
      </c>
      <c r="P25" s="32">
        <f t="shared" si="22"/>
        <v>165891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f t="shared" si="14"/>
        <v>4038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5"/>
        <v>47456</v>
      </c>
      <c r="C26" s="14">
        <f t="shared" si="3"/>
        <v>0</v>
      </c>
      <c r="D26" s="32">
        <f t="shared" si="16"/>
        <v>40888</v>
      </c>
      <c r="E26" s="14">
        <f t="shared" si="4"/>
        <v>0</v>
      </c>
      <c r="F26" s="32">
        <f t="shared" si="17"/>
        <v>21973</v>
      </c>
      <c r="G26" s="14">
        <f t="shared" si="5"/>
        <v>0</v>
      </c>
      <c r="H26" s="32">
        <f t="shared" si="18"/>
        <v>257708</v>
      </c>
      <c r="I26" s="14">
        <f t="shared" si="6"/>
        <v>0</v>
      </c>
      <c r="J26" s="32">
        <f t="shared" si="19"/>
        <v>328700</v>
      </c>
      <c r="K26" s="14">
        <f t="shared" si="7"/>
        <v>0</v>
      </c>
      <c r="L26" s="32">
        <f t="shared" si="20"/>
        <v>26411</v>
      </c>
      <c r="M26" s="14">
        <f t="shared" si="8"/>
        <v>0</v>
      </c>
      <c r="N26" s="32">
        <f t="shared" si="21"/>
        <v>226291</v>
      </c>
      <c r="O26" s="14">
        <f t="shared" si="9"/>
        <v>0</v>
      </c>
      <c r="P26" s="32">
        <f t="shared" si="22"/>
        <v>165891</v>
      </c>
      <c r="Q26" s="14">
        <f t="shared" si="2"/>
        <v>0</v>
      </c>
      <c r="R26" s="1">
        <f t="shared" si="13"/>
        <v>55047</v>
      </c>
      <c r="S26" s="14">
        <f t="shared" si="11"/>
        <v>0</v>
      </c>
      <c r="T26" s="32">
        <f t="shared" si="14"/>
        <v>4038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5"/>
        <v>47456</v>
      </c>
      <c r="C27" s="14">
        <f t="shared" si="3"/>
        <v>0</v>
      </c>
      <c r="D27" s="32">
        <f t="shared" si="16"/>
        <v>40888</v>
      </c>
      <c r="E27" s="14">
        <f t="shared" si="4"/>
        <v>0</v>
      </c>
      <c r="F27" s="32">
        <f t="shared" si="17"/>
        <v>21973</v>
      </c>
      <c r="G27" s="14">
        <f t="shared" si="5"/>
        <v>0</v>
      </c>
      <c r="H27" s="32">
        <f t="shared" si="18"/>
        <v>257708</v>
      </c>
      <c r="I27" s="14">
        <f t="shared" si="6"/>
        <v>0</v>
      </c>
      <c r="J27" s="32">
        <f t="shared" si="19"/>
        <v>328700</v>
      </c>
      <c r="K27" s="14">
        <f t="shared" si="7"/>
        <v>0</v>
      </c>
      <c r="L27" s="32">
        <f t="shared" si="20"/>
        <v>26411</v>
      </c>
      <c r="M27" s="14">
        <f t="shared" si="8"/>
        <v>0</v>
      </c>
      <c r="N27" s="32">
        <f t="shared" si="21"/>
        <v>226291</v>
      </c>
      <c r="O27" s="14">
        <f t="shared" si="9"/>
        <v>0</v>
      </c>
      <c r="P27" s="32">
        <f t="shared" si="22"/>
        <v>165891</v>
      </c>
      <c r="Q27" s="14">
        <f t="shared" si="2"/>
        <v>0</v>
      </c>
      <c r="R27" s="1">
        <f t="shared" si="13"/>
        <v>55047</v>
      </c>
      <c r="S27" s="14">
        <f t="shared" si="11"/>
        <v>0</v>
      </c>
      <c r="T27" s="32">
        <f t="shared" si="14"/>
        <v>4038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5"/>
        <v>47456</v>
      </c>
      <c r="C28" s="14">
        <f t="shared" si="3"/>
        <v>0</v>
      </c>
      <c r="D28" s="32">
        <f t="shared" si="16"/>
        <v>40888</v>
      </c>
      <c r="E28" s="14">
        <f t="shared" si="4"/>
        <v>0</v>
      </c>
      <c r="F28" s="32">
        <f t="shared" si="17"/>
        <v>21973</v>
      </c>
      <c r="G28" s="14">
        <f t="shared" si="5"/>
        <v>0</v>
      </c>
      <c r="H28" s="32">
        <f t="shared" si="18"/>
        <v>257708</v>
      </c>
      <c r="I28" s="14">
        <f t="shared" si="6"/>
        <v>0</v>
      </c>
      <c r="J28" s="32">
        <f t="shared" si="19"/>
        <v>328700</v>
      </c>
      <c r="K28" s="14">
        <f t="shared" si="7"/>
        <v>0</v>
      </c>
      <c r="L28" s="32">
        <f t="shared" si="20"/>
        <v>26411</v>
      </c>
      <c r="M28" s="14">
        <f t="shared" si="8"/>
        <v>0</v>
      </c>
      <c r="N28" s="32">
        <f t="shared" si="21"/>
        <v>226291</v>
      </c>
      <c r="O28" s="14">
        <f t="shared" si="9"/>
        <v>0</v>
      </c>
      <c r="P28" s="32">
        <f t="shared" si="22"/>
        <v>165891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14"/>
        <v>4038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5"/>
        <v>47456</v>
      </c>
      <c r="C29" s="14">
        <f t="shared" si="3"/>
        <v>0</v>
      </c>
      <c r="D29" s="32">
        <f t="shared" si="16"/>
        <v>40888</v>
      </c>
      <c r="E29" s="14">
        <f t="shared" si="4"/>
        <v>0</v>
      </c>
      <c r="F29" s="32">
        <f t="shared" si="17"/>
        <v>21973</v>
      </c>
      <c r="G29" s="14">
        <f t="shared" si="5"/>
        <v>0</v>
      </c>
      <c r="H29" s="32">
        <f t="shared" si="18"/>
        <v>257708</v>
      </c>
      <c r="I29" s="14">
        <f t="shared" si="6"/>
        <v>0</v>
      </c>
      <c r="J29" s="32">
        <f t="shared" si="19"/>
        <v>328700</v>
      </c>
      <c r="K29" s="14">
        <f t="shared" si="7"/>
        <v>0</v>
      </c>
      <c r="L29" s="32">
        <f t="shared" si="20"/>
        <v>26411</v>
      </c>
      <c r="M29" s="14">
        <f t="shared" si="8"/>
        <v>0</v>
      </c>
      <c r="N29" s="32">
        <f t="shared" si="21"/>
        <v>226291</v>
      </c>
      <c r="O29" s="14">
        <f t="shared" si="9"/>
        <v>0</v>
      </c>
      <c r="P29" s="32">
        <f t="shared" si="22"/>
        <v>165891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14"/>
        <v>4038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5"/>
        <v>47456</v>
      </c>
      <c r="C30" s="14">
        <f t="shared" si="3"/>
        <v>0</v>
      </c>
      <c r="D30" s="32">
        <f t="shared" si="16"/>
        <v>40888</v>
      </c>
      <c r="E30" s="14">
        <f t="shared" si="4"/>
        <v>0</v>
      </c>
      <c r="F30" s="32">
        <f t="shared" si="17"/>
        <v>21973</v>
      </c>
      <c r="G30" s="14">
        <f t="shared" si="5"/>
        <v>0</v>
      </c>
      <c r="H30" s="32">
        <f t="shared" si="18"/>
        <v>257708</v>
      </c>
      <c r="I30" s="14">
        <f t="shared" si="6"/>
        <v>0</v>
      </c>
      <c r="J30" s="32">
        <f t="shared" si="19"/>
        <v>328700</v>
      </c>
      <c r="K30" s="14">
        <f t="shared" si="7"/>
        <v>0</v>
      </c>
      <c r="L30" s="32">
        <f t="shared" si="20"/>
        <v>26411</v>
      </c>
      <c r="M30" s="14">
        <f t="shared" si="8"/>
        <v>0</v>
      </c>
      <c r="N30" s="32">
        <f t="shared" si="21"/>
        <v>226291</v>
      </c>
      <c r="O30" s="14">
        <f t="shared" si="9"/>
        <v>0</v>
      </c>
      <c r="P30" s="32">
        <f t="shared" si="22"/>
        <v>165891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4038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47456</v>
      </c>
      <c r="C31" s="14">
        <f t="shared" si="3"/>
        <v>0</v>
      </c>
      <c r="D31" s="32">
        <f t="shared" si="16"/>
        <v>40888</v>
      </c>
      <c r="E31" s="14">
        <f t="shared" si="4"/>
        <v>0</v>
      </c>
      <c r="F31" s="32">
        <f t="shared" si="17"/>
        <v>21973</v>
      </c>
      <c r="G31" s="14">
        <f t="shared" si="5"/>
        <v>0</v>
      </c>
      <c r="H31" s="32">
        <f t="shared" si="18"/>
        <v>257708</v>
      </c>
      <c r="I31" s="14">
        <f t="shared" si="6"/>
        <v>0</v>
      </c>
      <c r="J31" s="32">
        <f t="shared" si="19"/>
        <v>328700</v>
      </c>
      <c r="K31" s="14">
        <f t="shared" si="7"/>
        <v>0</v>
      </c>
      <c r="L31" s="32">
        <f t="shared" si="20"/>
        <v>26411</v>
      </c>
      <c r="M31" s="14">
        <f t="shared" si="8"/>
        <v>0</v>
      </c>
      <c r="N31" s="32">
        <f t="shared" si="21"/>
        <v>226291</v>
      </c>
      <c r="O31" s="14">
        <f t="shared" si="9"/>
        <v>0</v>
      </c>
      <c r="P31" s="32">
        <f t="shared" si="22"/>
        <v>165891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4038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47456</v>
      </c>
      <c r="C32" s="14">
        <f t="shared" si="3"/>
        <v>0</v>
      </c>
      <c r="D32" s="32">
        <f t="shared" si="16"/>
        <v>40888</v>
      </c>
      <c r="E32" s="14">
        <f t="shared" si="4"/>
        <v>0</v>
      </c>
      <c r="F32" s="32">
        <f t="shared" si="17"/>
        <v>21973</v>
      </c>
      <c r="G32" s="14">
        <f t="shared" si="5"/>
        <v>0</v>
      </c>
      <c r="H32" s="32">
        <f t="shared" si="18"/>
        <v>257708</v>
      </c>
      <c r="I32" s="14">
        <f t="shared" si="6"/>
        <v>0</v>
      </c>
      <c r="J32" s="32">
        <f t="shared" si="19"/>
        <v>328700</v>
      </c>
      <c r="K32" s="14">
        <f t="shared" si="7"/>
        <v>0</v>
      </c>
      <c r="L32" s="32">
        <f t="shared" si="20"/>
        <v>26411</v>
      </c>
      <c r="M32" s="14">
        <f t="shared" si="8"/>
        <v>0</v>
      </c>
      <c r="N32" s="32">
        <f t="shared" si="21"/>
        <v>226291</v>
      </c>
      <c r="O32" s="14">
        <f t="shared" si="9"/>
        <v>0</v>
      </c>
      <c r="P32" s="32">
        <f t="shared" si="22"/>
        <v>165891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4038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47456</v>
      </c>
      <c r="C33" s="14">
        <f t="shared" si="3"/>
        <v>0</v>
      </c>
      <c r="D33" s="32">
        <f t="shared" si="16"/>
        <v>40888</v>
      </c>
      <c r="E33" s="14">
        <f t="shared" si="4"/>
        <v>0</v>
      </c>
      <c r="F33" s="32">
        <f t="shared" si="17"/>
        <v>21973</v>
      </c>
      <c r="G33" s="14">
        <f t="shared" si="5"/>
        <v>0</v>
      </c>
      <c r="H33" s="32">
        <f t="shared" si="18"/>
        <v>257708</v>
      </c>
      <c r="I33" s="14">
        <f t="shared" si="6"/>
        <v>0</v>
      </c>
      <c r="J33" s="32">
        <f t="shared" si="19"/>
        <v>328700</v>
      </c>
      <c r="K33" s="14">
        <f t="shared" si="7"/>
        <v>0</v>
      </c>
      <c r="L33" s="32">
        <f t="shared" si="20"/>
        <v>26411</v>
      </c>
      <c r="M33" s="14">
        <f t="shared" si="8"/>
        <v>0</v>
      </c>
      <c r="N33" s="32">
        <f t="shared" si="21"/>
        <v>226291</v>
      </c>
      <c r="O33" s="14">
        <f t="shared" si="9"/>
        <v>0</v>
      </c>
      <c r="P33" s="32">
        <f t="shared" si="22"/>
        <v>165891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4038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13760</v>
      </c>
      <c r="D34" s="14"/>
      <c r="E34" s="14">
        <f>SUM(E3:E33)</f>
        <v>8960</v>
      </c>
      <c r="F34" s="14"/>
      <c r="G34" s="14">
        <f>SUM(G3:G33)</f>
        <v>1420</v>
      </c>
      <c r="H34" s="14"/>
      <c r="I34" s="14">
        <f>SUM(I3:I33)</f>
        <v>672</v>
      </c>
      <c r="J34" s="14"/>
      <c r="K34" s="14">
        <f>SUM(K3:K33)</f>
        <v>2985</v>
      </c>
      <c r="L34" s="14"/>
      <c r="M34" s="14">
        <f>SUM(M3:M33)</f>
        <v>3420</v>
      </c>
      <c r="N34" s="14"/>
      <c r="O34" s="14">
        <f>SUM(O3:O33)</f>
        <v>61</v>
      </c>
      <c r="P34" s="14"/>
      <c r="Q34" s="14">
        <f>SUM(Q3:Q33)</f>
        <v>3280</v>
      </c>
      <c r="R34" s="14"/>
      <c r="S34" s="14">
        <f>SUM(S3:S33)</f>
        <v>0</v>
      </c>
      <c r="T34" s="14"/>
      <c r="U34" s="14">
        <f>SUM(U3:U33)</f>
        <v>1440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E1" zoomScaleNormal="100" zoomScaleSheetLayoutView="110" workbookViewId="0">
      <pane ySplit="1" topLeftCell="A2" activePane="bottomLeft" state="frozen"/>
      <selection pane="bottomLeft" activeCell="Z21" sqref="Z21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50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50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50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50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50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50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50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50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50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50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50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50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50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1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2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3">
        <f t="shared" si="13"/>
        <v>7585</v>
      </c>
      <c r="Z17" s="154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1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2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3">
        <f t="shared" si="13"/>
        <v>5612</v>
      </c>
      <c r="Z18" s="154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>
        <v>150</v>
      </c>
      <c r="C19" s="144">
        <v>20001</v>
      </c>
      <c r="D19" s="38">
        <f t="shared" si="4"/>
        <v>640</v>
      </c>
      <c r="E19" s="145">
        <v>32866411</v>
      </c>
      <c r="F19" s="38">
        <f t="shared" si="5"/>
        <v>28295</v>
      </c>
      <c r="G19" s="146">
        <v>3884530</v>
      </c>
      <c r="H19" s="38">
        <f t="shared" si="6"/>
        <v>63021</v>
      </c>
      <c r="I19" s="151">
        <f t="shared" si="7"/>
        <v>91316</v>
      </c>
      <c r="J19" s="145">
        <v>342982</v>
      </c>
      <c r="K19" s="129">
        <f t="shared" si="15"/>
        <v>13476</v>
      </c>
      <c r="L19" s="148">
        <v>610869</v>
      </c>
      <c r="M19" s="129">
        <f t="shared" si="8"/>
        <v>7949</v>
      </c>
      <c r="N19" s="145">
        <v>7265827</v>
      </c>
      <c r="O19" s="129">
        <f t="shared" si="16"/>
        <v>20126</v>
      </c>
      <c r="P19" s="148">
        <v>7709448</v>
      </c>
      <c r="Q19" s="129">
        <f t="shared" si="9"/>
        <v>15903</v>
      </c>
      <c r="R19" s="145">
        <v>22047106</v>
      </c>
      <c r="S19" s="129">
        <f t="shared" si="10"/>
        <v>2260</v>
      </c>
      <c r="T19" s="152">
        <v>0</v>
      </c>
      <c r="U19" s="149"/>
      <c r="V19" s="145">
        <v>71657</v>
      </c>
      <c r="W19" s="129">
        <f t="shared" si="11"/>
        <v>13399</v>
      </c>
      <c r="X19" s="19">
        <f t="shared" si="12"/>
        <v>73113</v>
      </c>
      <c r="Y19" s="153">
        <f t="shared" si="13"/>
        <v>18203</v>
      </c>
      <c r="Z19" s="154">
        <f t="shared" si="14"/>
        <v>9016.5235888000007</v>
      </c>
      <c r="AA19" s="3">
        <f>SUM(Z1:Z19)</f>
        <v>171518.59526880001</v>
      </c>
    </row>
    <row r="20" spans="1:27" s="130" customFormat="1" ht="16.5" thickBot="1" x14ac:dyDescent="0.3">
      <c r="A20" s="9">
        <v>44791</v>
      </c>
      <c r="B20" s="38">
        <v>155</v>
      </c>
      <c r="C20" s="144">
        <v>20006</v>
      </c>
      <c r="D20" s="38">
        <f t="shared" si="4"/>
        <v>800</v>
      </c>
      <c r="E20" s="145">
        <v>32887125</v>
      </c>
      <c r="F20" s="38">
        <f t="shared" si="5"/>
        <v>20714</v>
      </c>
      <c r="G20" s="146">
        <v>3931174</v>
      </c>
      <c r="H20" s="38">
        <f t="shared" si="6"/>
        <v>46644</v>
      </c>
      <c r="I20" s="151">
        <f t="shared" si="7"/>
        <v>67358</v>
      </c>
      <c r="J20" s="145">
        <v>347842</v>
      </c>
      <c r="K20" s="129">
        <f t="shared" si="15"/>
        <v>9720</v>
      </c>
      <c r="L20" s="148">
        <v>616589</v>
      </c>
      <c r="M20" s="129">
        <f t="shared" si="8"/>
        <v>5720</v>
      </c>
      <c r="N20" s="145">
        <v>7273222</v>
      </c>
      <c r="O20" s="129">
        <f t="shared" si="16"/>
        <v>14790</v>
      </c>
      <c r="P20" s="148">
        <v>7721269</v>
      </c>
      <c r="Q20" s="129">
        <f t="shared" si="9"/>
        <v>11821</v>
      </c>
      <c r="R20" s="145">
        <v>22066176</v>
      </c>
      <c r="S20" s="129">
        <f t="shared" si="10"/>
        <v>19070</v>
      </c>
      <c r="T20" s="152">
        <v>0</v>
      </c>
      <c r="U20" s="149"/>
      <c r="V20" s="145">
        <v>81601</v>
      </c>
      <c r="W20" s="129">
        <f t="shared" si="11"/>
        <v>9944</v>
      </c>
      <c r="X20" s="19">
        <f t="shared" si="12"/>
        <v>71065</v>
      </c>
      <c r="Y20" s="153">
        <f t="shared" si="13"/>
        <v>-3707</v>
      </c>
      <c r="Z20" s="154">
        <f t="shared" si="14"/>
        <v>10894.5600608</v>
      </c>
      <c r="AA20" s="3">
        <f>SUM(Z1:Z20)</f>
        <v>182413.15532960001</v>
      </c>
    </row>
    <row r="21" spans="1:27" s="130" customFormat="1" ht="16.5" thickBot="1" x14ac:dyDescent="0.3">
      <c r="A21" s="9">
        <v>44792</v>
      </c>
      <c r="B21" s="38">
        <v>160</v>
      </c>
      <c r="C21" s="144">
        <v>20010</v>
      </c>
      <c r="D21" s="38">
        <f t="shared" si="4"/>
        <v>640</v>
      </c>
      <c r="E21" s="145">
        <v>32913428</v>
      </c>
      <c r="F21" s="38">
        <f t="shared" si="5"/>
        <v>26303</v>
      </c>
      <c r="G21" s="146">
        <v>3990782</v>
      </c>
      <c r="H21" s="38">
        <f t="shared" si="6"/>
        <v>59608</v>
      </c>
      <c r="I21" s="151">
        <f t="shared" si="7"/>
        <v>85911</v>
      </c>
      <c r="J21" s="145">
        <v>353432</v>
      </c>
      <c r="K21" s="129">
        <f t="shared" si="15"/>
        <v>11180</v>
      </c>
      <c r="L21" s="148">
        <v>623693</v>
      </c>
      <c r="M21" s="129">
        <f t="shared" si="8"/>
        <v>7104</v>
      </c>
      <c r="N21" s="145">
        <v>7282686</v>
      </c>
      <c r="O21" s="129">
        <f t="shared" si="16"/>
        <v>18928</v>
      </c>
      <c r="P21" s="148">
        <v>7736828</v>
      </c>
      <c r="Q21" s="129">
        <f t="shared" si="9"/>
        <v>15559</v>
      </c>
      <c r="R21" s="145">
        <v>22077909</v>
      </c>
      <c r="S21" s="129">
        <f t="shared" si="10"/>
        <v>11733</v>
      </c>
      <c r="T21" s="152">
        <v>0</v>
      </c>
      <c r="U21" s="149"/>
      <c r="V21" s="145">
        <v>94274</v>
      </c>
      <c r="W21" s="129">
        <f t="shared" si="11"/>
        <v>12673</v>
      </c>
      <c r="X21" s="19">
        <f t="shared" si="12"/>
        <v>77177</v>
      </c>
      <c r="Y21" s="153">
        <f t="shared" si="13"/>
        <v>8734</v>
      </c>
      <c r="Z21" s="154">
        <f t="shared" si="14"/>
        <v>10916.321187200001</v>
      </c>
      <c r="AA21" s="3">
        <f>SUM(Z1:Z21)</f>
        <v>193329.4765168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 t="str">
        <f t="shared" si="5"/>
        <v>0</v>
      </c>
      <c r="G22" s="146"/>
      <c r="H22" s="38" t="str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 t="str">
        <f t="shared" si="8"/>
        <v>0</v>
      </c>
      <c r="N22" s="145"/>
      <c r="O22" s="38">
        <f t="shared" si="16"/>
        <v>0</v>
      </c>
      <c r="P22" s="148"/>
      <c r="Q22" s="38" t="str">
        <f t="shared" si="9"/>
        <v>0</v>
      </c>
      <c r="R22" s="145"/>
      <c r="S22" s="38" t="str">
        <f t="shared" si="10"/>
        <v>0</v>
      </c>
      <c r="T22" s="145">
        <v>0</v>
      </c>
      <c r="U22" s="149"/>
      <c r="V22" s="145"/>
      <c r="W22" s="38" t="str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193329.4765168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193329.4765168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193329.4765168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193329.4765168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193329.4765168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193329.4765168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193329.4765168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193329.4765168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193329.4765168</v>
      </c>
    </row>
    <row r="31" spans="1:27" ht="16.5" thickBot="1" x14ac:dyDescent="0.3">
      <c r="A31" s="9">
        <v>44802</v>
      </c>
      <c r="B31" s="38"/>
      <c r="C31" s="144"/>
      <c r="D31" s="38">
        <f t="shared" ref="D31:D33" si="27">IF((C31-C30)&lt;0,"0",(C31-C30))*160</f>
        <v>0</v>
      </c>
      <c r="E31" s="145"/>
      <c r="F31" s="38">
        <f t="shared" ref="F31:F33" si="28">IF((E31-E30)&lt;0,"0",(E31-E30))</f>
        <v>0</v>
      </c>
      <c r="G31" s="146"/>
      <c r="H31" s="38">
        <f t="shared" si="6"/>
        <v>0</v>
      </c>
      <c r="I31" s="147">
        <f t="shared" ref="I31:I33" si="29">F31+H31</f>
        <v>0</v>
      </c>
      <c r="J31" s="145"/>
      <c r="K31" s="129">
        <f t="shared" si="15"/>
        <v>0</v>
      </c>
      <c r="L31" s="148"/>
      <c r="M31" s="38">
        <f t="shared" ref="M31:M33" si="30">IF((L31-L30)&lt;0,"0",(L31-L30))</f>
        <v>0</v>
      </c>
      <c r="N31" s="145"/>
      <c r="O31" s="38">
        <f t="shared" ref="O31:O33" si="31">(IF((N31-N30)&lt;0,"0",(N31-N30)))*2</f>
        <v>0</v>
      </c>
      <c r="P31" s="148"/>
      <c r="Q31" s="38">
        <f t="shared" ref="Q31:Q33" si="32">IF((P31-P30)&lt;0,"0",(P31-P30))</f>
        <v>0</v>
      </c>
      <c r="R31" s="145"/>
      <c r="S31" s="38">
        <f t="shared" ref="S31:S33" si="33">IF((R31-R30)&lt;0,"0",(R31-R30))</f>
        <v>0</v>
      </c>
      <c r="T31" s="145">
        <v>0</v>
      </c>
      <c r="U31" s="149"/>
      <c r="V31" s="145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0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193329.4765168</v>
      </c>
    </row>
    <row r="32" spans="1:27" ht="16.5" thickBot="1" x14ac:dyDescent="0.3">
      <c r="A32" s="9">
        <v>44803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50">
        <f t="shared" si="36"/>
        <v>0</v>
      </c>
      <c r="Z32" s="3">
        <f t="shared" si="37"/>
        <v>0</v>
      </c>
      <c r="AA32" s="3">
        <f>SUM(Z1:Z32)</f>
        <v>193329.4765168</v>
      </c>
    </row>
    <row r="33" spans="1:27" ht="16.5" thickBot="1" x14ac:dyDescent="0.3">
      <c r="A33" s="9">
        <v>44804</v>
      </c>
      <c r="B33" s="38"/>
      <c r="C33" s="144"/>
      <c r="D33" s="38">
        <f t="shared" si="27"/>
        <v>0</v>
      </c>
      <c r="E33" s="145"/>
      <c r="F33" s="38">
        <f t="shared" si="28"/>
        <v>0</v>
      </c>
      <c r="G33" s="146"/>
      <c r="H33" s="38">
        <f t="shared" si="6"/>
        <v>0</v>
      </c>
      <c r="I33" s="147">
        <f t="shared" si="29"/>
        <v>0</v>
      </c>
      <c r="J33" s="145"/>
      <c r="K33" s="129">
        <f t="shared" si="15"/>
        <v>0</v>
      </c>
      <c r="L33" s="148"/>
      <c r="M33" s="38">
        <f t="shared" si="30"/>
        <v>0</v>
      </c>
      <c r="N33" s="145"/>
      <c r="O33" s="38">
        <f t="shared" si="31"/>
        <v>0</v>
      </c>
      <c r="P33" s="148"/>
      <c r="Q33" s="38">
        <f t="shared" si="32"/>
        <v>0</v>
      </c>
      <c r="R33" s="145"/>
      <c r="S33" s="38">
        <f t="shared" si="33"/>
        <v>0</v>
      </c>
      <c r="T33" s="145">
        <v>0</v>
      </c>
      <c r="U33" s="55"/>
      <c r="V33" s="145"/>
      <c r="W33" s="38">
        <f t="shared" si="34"/>
        <v>0</v>
      </c>
      <c r="X33" s="19">
        <f t="shared" si="35"/>
        <v>0</v>
      </c>
      <c r="Y33" s="150">
        <f t="shared" si="36"/>
        <v>0</v>
      </c>
      <c r="Z33" s="3">
        <f t="shared" si="37"/>
        <v>0</v>
      </c>
      <c r="AA33" s="3">
        <f>SUM(Z2:Z33)</f>
        <v>193329.4765168</v>
      </c>
    </row>
    <row r="34" spans="1:27" ht="16.5" thickBot="1" x14ac:dyDescent="0.3">
      <c r="A34" s="136" t="s">
        <v>23</v>
      </c>
      <c r="B34" s="136">
        <f>SUM(B3:B33)</f>
        <v>3540</v>
      </c>
      <c r="C34" s="136">
        <v>0</v>
      </c>
      <c r="D34" s="136">
        <f>SUM(D3:D33)</f>
        <v>13280</v>
      </c>
      <c r="E34" s="55">
        <v>0</v>
      </c>
      <c r="F34" s="136">
        <f>SUM(F3:F33)</f>
        <v>467658</v>
      </c>
      <c r="G34" s="55">
        <v>0</v>
      </c>
      <c r="H34" s="136">
        <f>SUM(H3:H33)</f>
        <v>1061441</v>
      </c>
      <c r="I34" s="55">
        <v>92693</v>
      </c>
      <c r="J34" s="55">
        <v>0</v>
      </c>
      <c r="K34" s="136">
        <f>SUM(K3:K33)</f>
        <v>216796</v>
      </c>
      <c r="L34" s="55">
        <v>0</v>
      </c>
      <c r="M34" s="136">
        <f>SUM(M3:M33)</f>
        <v>126006</v>
      </c>
      <c r="N34" s="55">
        <v>0</v>
      </c>
      <c r="O34" s="136">
        <f>SUM(O3:O33)</f>
        <v>337658</v>
      </c>
      <c r="P34" s="55">
        <v>0</v>
      </c>
      <c r="Q34" s="136">
        <f>SUM(Q3:Q33)</f>
        <v>268877</v>
      </c>
      <c r="R34" s="55">
        <v>0</v>
      </c>
      <c r="S34" s="136">
        <f>SUM(S3:S33)</f>
        <v>207153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227606</v>
      </c>
      <c r="X34" s="136">
        <f>SUM(X3:X33)</f>
        <v>1384096</v>
      </c>
      <c r="Y34" s="136">
        <f>SUM(Y3:Y33)</f>
        <v>145003</v>
      </c>
      <c r="Z34" s="136">
        <f>SUM(Z3:Z33)</f>
        <v>193329.4765168</v>
      </c>
      <c r="AA34" s="136">
        <f>SUM(AA3:AA33)</f>
        <v>4253131.2973967995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21" sqref="J2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>
        <v>458274</v>
      </c>
      <c r="C19" s="38">
        <f t="shared" si="7"/>
        <v>1190</v>
      </c>
      <c r="D19" s="3">
        <v>12339</v>
      </c>
      <c r="E19" s="38">
        <f t="shared" ref="E19:E33" si="8">(IF((D19-D18)&lt;0,"0",(D19-D18)))*10</f>
        <v>520</v>
      </c>
      <c r="F19" s="3">
        <v>10895300</v>
      </c>
      <c r="G19" s="38">
        <f t="shared" si="5"/>
        <v>585.9</v>
      </c>
      <c r="H19" s="3">
        <v>806235</v>
      </c>
      <c r="I19" s="43">
        <f t="shared" si="6"/>
        <v>4.266</v>
      </c>
      <c r="J19" s="19">
        <f t="shared" si="3"/>
        <v>2300.1660000000002</v>
      </c>
      <c r="K19" s="20">
        <f t="shared" si="4"/>
        <v>13478.972760000002</v>
      </c>
      <c r="Q19" t="s">
        <v>12</v>
      </c>
    </row>
    <row r="20" spans="1:25" ht="16.5" thickBot="1" x14ac:dyDescent="0.3">
      <c r="A20" s="9">
        <v>44791</v>
      </c>
      <c r="B20" s="3">
        <v>458383</v>
      </c>
      <c r="C20" s="38">
        <f t="shared" si="7"/>
        <v>1090</v>
      </c>
      <c r="D20" s="3">
        <v>12371</v>
      </c>
      <c r="E20" s="38">
        <f t="shared" si="8"/>
        <v>320</v>
      </c>
      <c r="F20" s="3">
        <v>10917000</v>
      </c>
      <c r="G20" s="38">
        <f t="shared" si="5"/>
        <v>585.9</v>
      </c>
      <c r="H20" s="3">
        <v>806380</v>
      </c>
      <c r="I20" s="43">
        <f t="shared" si="6"/>
        <v>3.915</v>
      </c>
      <c r="J20" s="19">
        <f t="shared" si="3"/>
        <v>1999.8150000000001</v>
      </c>
      <c r="K20" s="20">
        <f t="shared" si="4"/>
        <v>11718.915900000002</v>
      </c>
    </row>
    <row r="21" spans="1:25" ht="16.5" thickBot="1" x14ac:dyDescent="0.3">
      <c r="A21" s="9">
        <v>44792</v>
      </c>
      <c r="B21" s="3">
        <v>458500</v>
      </c>
      <c r="C21" s="38">
        <f t="shared" si="7"/>
        <v>1170</v>
      </c>
      <c r="D21" s="3">
        <v>12428</v>
      </c>
      <c r="E21" s="38">
        <f t="shared" si="8"/>
        <v>570</v>
      </c>
      <c r="F21" s="3">
        <v>10939600</v>
      </c>
      <c r="G21" s="38">
        <f t="shared" si="5"/>
        <v>610.20000000000005</v>
      </c>
      <c r="H21" s="3">
        <v>806487</v>
      </c>
      <c r="I21" s="43">
        <f t="shared" si="6"/>
        <v>2.8889999999999998</v>
      </c>
      <c r="J21" s="19">
        <f t="shared" si="3"/>
        <v>2353.0889999999999</v>
      </c>
      <c r="K21" s="20">
        <f t="shared" si="4"/>
        <v>13789.10154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19740</v>
      </c>
      <c r="D34" s="55"/>
      <c r="E34" s="55">
        <f>SUM(E3:E33)</f>
        <v>8220</v>
      </c>
      <c r="F34" s="55"/>
      <c r="G34" s="55">
        <f>SUM(G3:G33)</f>
        <v>11126.699999999999</v>
      </c>
      <c r="H34" s="55"/>
      <c r="I34" s="55">
        <f>SUM(I3:I33)</f>
        <v>65.421000000000006</v>
      </c>
      <c r="J34" s="55">
        <v>0</v>
      </c>
      <c r="K34" s="55">
        <f>SUM(K4:K33)</f>
        <v>215640.76290000003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22" sqref="B2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5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>
        <v>18453158</v>
      </c>
      <c r="C19" s="44">
        <f t="shared" si="0"/>
        <v>1785</v>
      </c>
    </row>
    <row r="20" spans="1:9" ht="24" thickBot="1" x14ac:dyDescent="0.4">
      <c r="A20" s="9">
        <v>44791</v>
      </c>
      <c r="B20" s="132">
        <v>18455000</v>
      </c>
      <c r="C20" s="44">
        <f t="shared" si="0"/>
        <v>1842</v>
      </c>
    </row>
    <row r="21" spans="1:9" ht="24" thickBot="1" x14ac:dyDescent="0.4">
      <c r="A21" s="9">
        <v>44792</v>
      </c>
      <c r="B21" s="132">
        <v>18456584</v>
      </c>
      <c r="C21" s="44">
        <f t="shared" si="0"/>
        <v>1584</v>
      </c>
    </row>
    <row r="22" spans="1:9" ht="24" thickBot="1" x14ac:dyDescent="0.4">
      <c r="A22" s="9">
        <v>44793</v>
      </c>
      <c r="B22" s="132"/>
      <c r="C22" s="44" t="str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33500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H1" zoomScale="90" zoomScaleNormal="90" workbookViewId="0">
      <pane ySplit="1" topLeftCell="A2" activePane="bottomLeft" state="frozen"/>
      <selection pane="bottomLeft" activeCell="AF22" sqref="AF22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6">
        <v>44776</v>
      </c>
      <c r="X5" s="157">
        <v>194727</v>
      </c>
      <c r="Y5" s="162">
        <f t="shared" si="21"/>
        <v>449</v>
      </c>
      <c r="Z5" s="157">
        <v>9689</v>
      </c>
      <c r="AA5" s="162">
        <f t="shared" si="21"/>
        <v>12</v>
      </c>
      <c r="AB5" s="157">
        <v>31</v>
      </c>
      <c r="AC5" s="162">
        <f t="shared" si="21"/>
        <v>0</v>
      </c>
      <c r="AD5" s="157">
        <v>654</v>
      </c>
      <c r="AE5" s="162">
        <f t="shared" si="21"/>
        <v>1</v>
      </c>
      <c r="AF5" s="157">
        <v>8468</v>
      </c>
      <c r="AG5" s="162">
        <f t="shared" si="21"/>
        <v>12</v>
      </c>
    </row>
    <row r="6" spans="1:33" ht="16.5" thickBot="1" x14ac:dyDescent="0.25">
      <c r="A6" s="9">
        <v>44777</v>
      </c>
      <c r="B6" s="159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6">
        <v>44777</v>
      </c>
      <c r="X6" s="157">
        <v>194973</v>
      </c>
      <c r="Y6" s="162">
        <f t="shared" si="21"/>
        <v>246</v>
      </c>
      <c r="Z6" s="157">
        <v>9695</v>
      </c>
      <c r="AA6" s="162">
        <f t="shared" si="21"/>
        <v>6</v>
      </c>
      <c r="AB6" s="157">
        <v>31</v>
      </c>
      <c r="AC6" s="162">
        <f t="shared" si="21"/>
        <v>0</v>
      </c>
      <c r="AD6" s="157">
        <v>655</v>
      </c>
      <c r="AE6" s="162">
        <f t="shared" si="21"/>
        <v>1</v>
      </c>
      <c r="AF6" s="157">
        <v>8468</v>
      </c>
      <c r="AG6" s="162">
        <f t="shared" si="21"/>
        <v>0</v>
      </c>
    </row>
    <row r="7" spans="1:33" ht="16.5" thickBot="1" x14ac:dyDescent="0.25">
      <c r="A7" s="9">
        <v>44778</v>
      </c>
      <c r="B7" s="159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6">
        <v>44778</v>
      </c>
      <c r="X7" s="157">
        <v>195273</v>
      </c>
      <c r="Y7" s="162">
        <f t="shared" si="21"/>
        <v>300</v>
      </c>
      <c r="Z7" s="157">
        <v>9699</v>
      </c>
      <c r="AA7" s="162">
        <f t="shared" si="21"/>
        <v>4</v>
      </c>
      <c r="AB7" s="157">
        <v>31</v>
      </c>
      <c r="AC7" s="162">
        <f t="shared" si="21"/>
        <v>0</v>
      </c>
      <c r="AD7" s="157">
        <v>656</v>
      </c>
      <c r="AE7" s="162">
        <f t="shared" si="21"/>
        <v>1</v>
      </c>
      <c r="AF7" s="157">
        <v>8498</v>
      </c>
      <c r="AG7" s="162">
        <f t="shared" si="21"/>
        <v>30</v>
      </c>
    </row>
    <row r="8" spans="1:33" ht="16.5" thickBot="1" x14ac:dyDescent="0.25">
      <c r="A8" s="9">
        <v>44779</v>
      </c>
      <c r="B8" s="159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6">
        <v>44779</v>
      </c>
      <c r="X8" s="157">
        <v>195567</v>
      </c>
      <c r="Y8" s="162">
        <f t="shared" si="21"/>
        <v>294</v>
      </c>
      <c r="Z8" s="157">
        <v>9704</v>
      </c>
      <c r="AA8" s="162">
        <f t="shared" si="21"/>
        <v>5</v>
      </c>
      <c r="AB8" s="157">
        <v>31</v>
      </c>
      <c r="AC8" s="162">
        <f t="shared" si="21"/>
        <v>0</v>
      </c>
      <c r="AD8" s="157">
        <v>657</v>
      </c>
      <c r="AE8" s="162">
        <f t="shared" si="21"/>
        <v>1</v>
      </c>
      <c r="AF8" s="157">
        <v>8498</v>
      </c>
      <c r="AG8" s="162">
        <f t="shared" si="21"/>
        <v>0</v>
      </c>
    </row>
    <row r="9" spans="1:33" ht="16.5" thickBot="1" x14ac:dyDescent="0.25">
      <c r="A9" s="9">
        <v>44780</v>
      </c>
      <c r="B9" s="159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6">
        <v>44780</v>
      </c>
      <c r="X9" s="157">
        <v>195993</v>
      </c>
      <c r="Y9" s="162">
        <f t="shared" si="21"/>
        <v>426</v>
      </c>
      <c r="Z9" s="157">
        <v>9710</v>
      </c>
      <c r="AA9" s="162">
        <f t="shared" si="21"/>
        <v>6</v>
      </c>
      <c r="AB9" s="157">
        <v>31</v>
      </c>
      <c r="AC9" s="162">
        <f t="shared" si="21"/>
        <v>0</v>
      </c>
      <c r="AD9" s="157">
        <v>659</v>
      </c>
      <c r="AE9" s="162">
        <f t="shared" si="21"/>
        <v>2</v>
      </c>
      <c r="AF9" s="157">
        <v>8529</v>
      </c>
      <c r="AG9" s="162">
        <f t="shared" si="21"/>
        <v>31</v>
      </c>
    </row>
    <row r="10" spans="1:33" ht="16.5" thickBot="1" x14ac:dyDescent="0.25">
      <c r="A10" s="9">
        <v>44781</v>
      </c>
      <c r="B10" s="159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6">
        <v>44781</v>
      </c>
      <c r="X10" s="157">
        <v>196229</v>
      </c>
      <c r="Y10" s="162">
        <f t="shared" si="21"/>
        <v>236</v>
      </c>
      <c r="Z10" s="157">
        <v>9715</v>
      </c>
      <c r="AA10" s="162">
        <f t="shared" si="21"/>
        <v>5</v>
      </c>
      <c r="AB10" s="157">
        <v>31</v>
      </c>
      <c r="AC10" s="162">
        <f t="shared" si="21"/>
        <v>0</v>
      </c>
      <c r="AD10" s="157">
        <v>662</v>
      </c>
      <c r="AE10" s="162">
        <f t="shared" si="21"/>
        <v>3</v>
      </c>
      <c r="AF10" s="157">
        <v>8541</v>
      </c>
      <c r="AG10" s="162">
        <f t="shared" si="21"/>
        <v>12</v>
      </c>
    </row>
    <row r="11" spans="1:33" ht="16.5" thickBot="1" x14ac:dyDescent="0.25">
      <c r="A11" s="9">
        <v>44782</v>
      </c>
      <c r="B11" s="159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6">
        <v>44782</v>
      </c>
      <c r="X11" s="157">
        <v>196529</v>
      </c>
      <c r="Y11" s="162">
        <f t="shared" si="21"/>
        <v>300</v>
      </c>
      <c r="Z11" s="157">
        <v>9720</v>
      </c>
      <c r="AA11" s="162">
        <f t="shared" si="21"/>
        <v>5</v>
      </c>
      <c r="AB11" s="157">
        <v>31</v>
      </c>
      <c r="AC11" s="162">
        <f t="shared" si="21"/>
        <v>0</v>
      </c>
      <c r="AD11" s="157">
        <v>665</v>
      </c>
      <c r="AE11" s="162">
        <f t="shared" si="21"/>
        <v>3</v>
      </c>
      <c r="AF11" s="157">
        <v>8551</v>
      </c>
      <c r="AG11" s="162">
        <f t="shared" si="21"/>
        <v>10</v>
      </c>
    </row>
    <row r="12" spans="1:33" ht="16.5" thickBot="1" x14ac:dyDescent="0.25">
      <c r="A12" s="9">
        <v>44783</v>
      </c>
      <c r="B12" s="159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6">
        <v>44783</v>
      </c>
      <c r="X12" s="157">
        <v>196857</v>
      </c>
      <c r="Y12" s="162">
        <f t="shared" si="21"/>
        <v>328</v>
      </c>
      <c r="Z12" s="157">
        <v>9725</v>
      </c>
      <c r="AA12" s="162">
        <f t="shared" si="21"/>
        <v>5</v>
      </c>
      <c r="AB12" s="157">
        <v>31</v>
      </c>
      <c r="AC12" s="162">
        <f t="shared" si="21"/>
        <v>0</v>
      </c>
      <c r="AD12" s="157">
        <v>668</v>
      </c>
      <c r="AE12" s="162">
        <f t="shared" si="21"/>
        <v>3</v>
      </c>
      <c r="AF12" s="157">
        <v>8565</v>
      </c>
      <c r="AG12" s="162">
        <f t="shared" si="21"/>
        <v>14</v>
      </c>
    </row>
    <row r="13" spans="1:33" ht="16.5" thickBot="1" x14ac:dyDescent="0.25">
      <c r="A13" s="9">
        <v>44784</v>
      </c>
      <c r="B13" s="159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6">
        <v>44784</v>
      </c>
      <c r="X13" s="157">
        <v>197206</v>
      </c>
      <c r="Y13" s="162">
        <f t="shared" si="21"/>
        <v>349</v>
      </c>
      <c r="Z13" s="157">
        <v>9730</v>
      </c>
      <c r="AA13" s="162">
        <f t="shared" si="21"/>
        <v>5</v>
      </c>
      <c r="AB13" s="157">
        <v>31</v>
      </c>
      <c r="AC13" s="162">
        <f t="shared" si="21"/>
        <v>0</v>
      </c>
      <c r="AD13" s="157">
        <v>671</v>
      </c>
      <c r="AE13" s="162">
        <f t="shared" si="21"/>
        <v>3</v>
      </c>
      <c r="AF13" s="157">
        <v>8574</v>
      </c>
      <c r="AG13" s="162">
        <f t="shared" si="21"/>
        <v>9</v>
      </c>
    </row>
    <row r="14" spans="1:33" ht="16.5" thickBot="1" x14ac:dyDescent="0.25">
      <c r="A14" s="9">
        <v>44785</v>
      </c>
      <c r="B14" s="159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6">
        <v>44785</v>
      </c>
      <c r="X14" s="157">
        <v>197488</v>
      </c>
      <c r="Y14" s="162">
        <f t="shared" si="21"/>
        <v>282</v>
      </c>
      <c r="Z14" s="157">
        <v>9734</v>
      </c>
      <c r="AA14" s="162">
        <f t="shared" si="21"/>
        <v>4</v>
      </c>
      <c r="AB14" s="157">
        <v>31.5</v>
      </c>
      <c r="AC14" s="162">
        <f t="shared" si="21"/>
        <v>0.5</v>
      </c>
      <c r="AD14" s="157">
        <v>674</v>
      </c>
      <c r="AE14" s="162">
        <f t="shared" si="21"/>
        <v>3</v>
      </c>
      <c r="AF14" s="157">
        <v>8584</v>
      </c>
      <c r="AG14" s="162">
        <f t="shared" si="21"/>
        <v>10</v>
      </c>
    </row>
    <row r="15" spans="1:33" ht="16.5" thickBot="1" x14ac:dyDescent="0.25">
      <c r="A15" s="9">
        <v>44786</v>
      </c>
      <c r="B15" s="159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6">
        <v>44786</v>
      </c>
      <c r="X15" s="157">
        <v>197802</v>
      </c>
      <c r="Y15" s="162">
        <f t="shared" si="21"/>
        <v>314</v>
      </c>
      <c r="Z15" s="157">
        <v>9740</v>
      </c>
      <c r="AA15" s="162">
        <f t="shared" si="21"/>
        <v>6</v>
      </c>
      <c r="AB15" s="157">
        <v>31.5</v>
      </c>
      <c r="AC15" s="162">
        <f t="shared" si="21"/>
        <v>0</v>
      </c>
      <c r="AD15" s="157">
        <v>680</v>
      </c>
      <c r="AE15" s="162">
        <f t="shared" si="21"/>
        <v>6</v>
      </c>
      <c r="AF15" s="157">
        <v>8583</v>
      </c>
      <c r="AG15" s="162" t="str">
        <f t="shared" si="21"/>
        <v>0</v>
      </c>
    </row>
    <row r="16" spans="1:33" ht="16.5" thickBot="1" x14ac:dyDescent="0.25">
      <c r="A16" s="9">
        <v>44787</v>
      </c>
      <c r="B16" s="159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6">
        <v>44787</v>
      </c>
      <c r="X16" s="157">
        <v>198113</v>
      </c>
      <c r="Y16" s="162">
        <f t="shared" si="21"/>
        <v>311</v>
      </c>
      <c r="Z16" s="157">
        <v>9746</v>
      </c>
      <c r="AA16" s="162">
        <f t="shared" si="21"/>
        <v>6</v>
      </c>
      <c r="AB16" s="157">
        <v>31.5</v>
      </c>
      <c r="AC16" s="162">
        <f t="shared" si="21"/>
        <v>0</v>
      </c>
      <c r="AD16" s="157">
        <v>682</v>
      </c>
      <c r="AE16" s="162">
        <f t="shared" si="21"/>
        <v>2</v>
      </c>
      <c r="AF16" s="157">
        <v>8607</v>
      </c>
      <c r="AG16" s="162">
        <f t="shared" si="21"/>
        <v>24</v>
      </c>
    </row>
    <row r="17" spans="1:33" ht="16.5" thickBot="1" x14ac:dyDescent="0.25">
      <c r="A17" s="9">
        <v>44788</v>
      </c>
      <c r="B17" s="159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6">
        <v>44788</v>
      </c>
      <c r="X17" s="157">
        <v>198494</v>
      </c>
      <c r="Y17" s="162">
        <f t="shared" si="21"/>
        <v>381</v>
      </c>
      <c r="Z17" s="157">
        <v>9764</v>
      </c>
      <c r="AA17" s="162">
        <f t="shared" si="21"/>
        <v>18</v>
      </c>
      <c r="AB17" s="157">
        <v>31.5</v>
      </c>
      <c r="AC17" s="162">
        <f t="shared" si="21"/>
        <v>0</v>
      </c>
      <c r="AD17" s="157">
        <v>685</v>
      </c>
      <c r="AE17" s="162">
        <f t="shared" si="21"/>
        <v>3</v>
      </c>
      <c r="AF17" s="157">
        <v>8621</v>
      </c>
      <c r="AG17" s="162">
        <f t="shared" si="21"/>
        <v>14</v>
      </c>
    </row>
    <row r="18" spans="1:33" ht="16.5" thickBot="1" x14ac:dyDescent="0.25">
      <c r="A18" s="9">
        <v>44789</v>
      </c>
      <c r="B18" s="159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6">
        <v>44789</v>
      </c>
      <c r="X18" s="157">
        <v>198842</v>
      </c>
      <c r="Y18" s="162">
        <f t="shared" si="21"/>
        <v>348</v>
      </c>
      <c r="Z18" s="157">
        <v>9769</v>
      </c>
      <c r="AA18" s="162">
        <f t="shared" si="21"/>
        <v>5</v>
      </c>
      <c r="AB18" s="157">
        <v>31.5</v>
      </c>
      <c r="AC18" s="162">
        <f t="shared" si="21"/>
        <v>0</v>
      </c>
      <c r="AD18" s="157">
        <v>686</v>
      </c>
      <c r="AE18" s="162">
        <f t="shared" si="21"/>
        <v>1</v>
      </c>
      <c r="AF18" s="157">
        <v>8634</v>
      </c>
      <c r="AG18" s="162">
        <f t="shared" si="21"/>
        <v>13</v>
      </c>
    </row>
    <row r="19" spans="1:33" ht="16.5" thickBot="1" x14ac:dyDescent="0.25">
      <c r="A19" s="9">
        <v>44790</v>
      </c>
      <c r="B19" s="159">
        <v>24538</v>
      </c>
      <c r="C19" s="43">
        <f t="shared" si="22"/>
        <v>14.099999999998545</v>
      </c>
      <c r="D19" s="28">
        <f t="shared" si="23"/>
        <v>26789.999999997235</v>
      </c>
      <c r="E19" s="1">
        <v>4453.5069999999996</v>
      </c>
      <c r="F19" s="43">
        <f t="shared" si="24"/>
        <v>4.01299999999992</v>
      </c>
      <c r="G19" s="28">
        <f t="shared" si="25"/>
        <v>7624.6999999998479</v>
      </c>
      <c r="H19" s="1">
        <v>5872</v>
      </c>
      <c r="I19" s="43">
        <f t="shared" si="26"/>
        <v>9</v>
      </c>
      <c r="J19" s="28">
        <f t="shared" si="27"/>
        <v>17099.999999999996</v>
      </c>
      <c r="K19" s="7">
        <v>14162</v>
      </c>
      <c r="L19" s="43">
        <f t="shared" si="28"/>
        <v>2.2000000000007276</v>
      </c>
      <c r="M19" s="28">
        <f t="shared" si="29"/>
        <v>4180.0000000013824</v>
      </c>
      <c r="N19" s="7">
        <v>3690.6</v>
      </c>
      <c r="O19" s="43">
        <f t="shared" si="30"/>
        <v>2.2649999999998727</v>
      </c>
      <c r="P19" s="28">
        <f t="shared" si="31"/>
        <v>4303.4999999997581</v>
      </c>
      <c r="Q19" s="7">
        <v>5494.2</v>
      </c>
      <c r="R19" s="43">
        <f t="shared" si="32"/>
        <v>0.8000000000001819</v>
      </c>
      <c r="S19" s="28">
        <f t="shared" si="33"/>
        <v>1520.0000000003456</v>
      </c>
      <c r="T19" s="8">
        <f t="shared" si="35"/>
        <v>32.377999999999247</v>
      </c>
      <c r="U19" s="30">
        <f t="shared" si="34"/>
        <v>61518.199999998564</v>
      </c>
      <c r="W19" s="156">
        <v>44790</v>
      </c>
      <c r="X19" s="157">
        <v>199148</v>
      </c>
      <c r="Y19" s="162">
        <f t="shared" si="21"/>
        <v>306</v>
      </c>
      <c r="Z19" s="157">
        <v>9773</v>
      </c>
      <c r="AA19" s="162">
        <f t="shared" si="21"/>
        <v>4</v>
      </c>
      <c r="AB19" s="157">
        <v>31.5</v>
      </c>
      <c r="AC19" s="162">
        <f t="shared" si="21"/>
        <v>0</v>
      </c>
      <c r="AD19" s="157">
        <v>688</v>
      </c>
      <c r="AE19" s="162">
        <f t="shared" si="21"/>
        <v>2</v>
      </c>
      <c r="AF19" s="157">
        <v>8651</v>
      </c>
      <c r="AG19" s="162">
        <f t="shared" si="21"/>
        <v>17</v>
      </c>
    </row>
    <row r="20" spans="1:33" ht="16.5" thickBot="1" x14ac:dyDescent="0.25">
      <c r="A20" s="9">
        <v>44791</v>
      </c>
      <c r="B20" s="159">
        <v>24551.754000000001</v>
      </c>
      <c r="C20" s="43">
        <f t="shared" si="22"/>
        <v>13.754000000000815</v>
      </c>
      <c r="D20" s="28">
        <f t="shared" si="23"/>
        <v>26132.600000001545</v>
      </c>
      <c r="E20" s="1">
        <v>4456.7449999999999</v>
      </c>
      <c r="F20" s="43">
        <f t="shared" si="24"/>
        <v>3.2380000000002838</v>
      </c>
      <c r="G20" s="28">
        <f t="shared" si="25"/>
        <v>6152.2000000005391</v>
      </c>
      <c r="H20" s="1">
        <v>5880</v>
      </c>
      <c r="I20" s="43">
        <f t="shared" si="26"/>
        <v>8</v>
      </c>
      <c r="J20" s="28">
        <f t="shared" si="27"/>
        <v>15200</v>
      </c>
      <c r="K20" s="7">
        <v>14165.39</v>
      </c>
      <c r="L20" s="43">
        <f t="shared" si="28"/>
        <v>3.3899999999994179</v>
      </c>
      <c r="M20" s="28">
        <f t="shared" si="29"/>
        <v>6440.9999999988941</v>
      </c>
      <c r="N20" s="7">
        <v>3692.7280000000001</v>
      </c>
      <c r="O20" s="43">
        <f t="shared" si="30"/>
        <v>2.1280000000001564</v>
      </c>
      <c r="P20" s="28">
        <f t="shared" si="31"/>
        <v>4043.2000000002972</v>
      </c>
      <c r="Q20" s="7">
        <v>5495.19</v>
      </c>
      <c r="R20" s="43">
        <f t="shared" si="32"/>
        <v>0.98999999999978172</v>
      </c>
      <c r="S20" s="28">
        <f t="shared" si="33"/>
        <v>1880.9999999995853</v>
      </c>
      <c r="T20" s="8">
        <f t="shared" si="35"/>
        <v>31.500000000000455</v>
      </c>
      <c r="U20" s="30">
        <f t="shared" si="34"/>
        <v>59850.000000000859</v>
      </c>
      <c r="W20" s="156">
        <v>44791</v>
      </c>
      <c r="X20" s="157">
        <v>199449</v>
      </c>
      <c r="Y20" s="162">
        <f t="shared" si="21"/>
        <v>301</v>
      </c>
      <c r="Z20" s="157">
        <v>9778</v>
      </c>
      <c r="AA20" s="162">
        <f t="shared" si="21"/>
        <v>5</v>
      </c>
      <c r="AB20" s="157">
        <v>31.5</v>
      </c>
      <c r="AC20" s="162">
        <f t="shared" si="21"/>
        <v>0</v>
      </c>
      <c r="AD20" s="157">
        <v>689</v>
      </c>
      <c r="AE20" s="162">
        <f t="shared" si="21"/>
        <v>1</v>
      </c>
      <c r="AF20" s="157">
        <v>8660</v>
      </c>
      <c r="AG20" s="162">
        <f t="shared" si="21"/>
        <v>9</v>
      </c>
    </row>
    <row r="21" spans="1:33" ht="16.5" thickBot="1" x14ac:dyDescent="0.25">
      <c r="A21" s="9">
        <v>44792</v>
      </c>
      <c r="B21" s="159">
        <v>24563.723000000002</v>
      </c>
      <c r="C21" s="43">
        <f t="shared" si="22"/>
        <v>11.96900000000096</v>
      </c>
      <c r="D21" s="28">
        <f t="shared" si="23"/>
        <v>22741.100000001825</v>
      </c>
      <c r="E21" s="1">
        <v>4457.96</v>
      </c>
      <c r="F21" s="43">
        <f t="shared" si="24"/>
        <v>1.2150000000001455</v>
      </c>
      <c r="G21" s="28">
        <f t="shared" si="25"/>
        <v>2308.500000000276</v>
      </c>
      <c r="H21" s="1">
        <v>5887</v>
      </c>
      <c r="I21" s="43">
        <f t="shared" si="26"/>
        <v>7</v>
      </c>
      <c r="J21" s="28">
        <f t="shared" si="27"/>
        <v>13299.999999999998</v>
      </c>
      <c r="K21" s="7">
        <v>14167.66</v>
      </c>
      <c r="L21" s="43">
        <f t="shared" si="28"/>
        <v>2.2700000000004366</v>
      </c>
      <c r="M21" s="28">
        <f t="shared" si="29"/>
        <v>4313.0000000008295</v>
      </c>
      <c r="N21" s="7">
        <v>3694.694</v>
      </c>
      <c r="O21" s="43">
        <f t="shared" si="30"/>
        <v>1.9659999999998945</v>
      </c>
      <c r="P21" s="28">
        <f t="shared" si="31"/>
        <v>3735.3999999997995</v>
      </c>
      <c r="Q21" s="7">
        <v>5496.03</v>
      </c>
      <c r="R21" s="43">
        <f t="shared" si="32"/>
        <v>0.84000000000014552</v>
      </c>
      <c r="S21" s="28">
        <f t="shared" si="33"/>
        <v>1596.0000000002763</v>
      </c>
      <c r="T21" s="8">
        <f t="shared" si="35"/>
        <v>25.260000000001583</v>
      </c>
      <c r="U21" s="30">
        <f t="shared" si="34"/>
        <v>47994.000000003005</v>
      </c>
      <c r="W21" s="156">
        <v>44792</v>
      </c>
      <c r="X21" s="157">
        <v>199755</v>
      </c>
      <c r="Y21" s="162">
        <f t="shared" si="21"/>
        <v>306</v>
      </c>
      <c r="Z21" s="157">
        <v>9784</v>
      </c>
      <c r="AA21" s="162">
        <f t="shared" si="21"/>
        <v>6</v>
      </c>
      <c r="AB21" s="157">
        <v>31.6</v>
      </c>
      <c r="AC21" s="162">
        <f t="shared" si="21"/>
        <v>0.10000000000000142</v>
      </c>
      <c r="AD21" s="157">
        <v>690</v>
      </c>
      <c r="AE21" s="162">
        <f t="shared" si="21"/>
        <v>1</v>
      </c>
      <c r="AF21" s="157">
        <v>8677</v>
      </c>
      <c r="AG21" s="162">
        <f t="shared" si="21"/>
        <v>17</v>
      </c>
    </row>
    <row r="22" spans="1:33" ht="16.5" thickBot="1" x14ac:dyDescent="0.25">
      <c r="A22" s="9">
        <v>44793</v>
      </c>
      <c r="B22" s="159"/>
      <c r="C22" s="43" t="str">
        <f t="shared" si="22"/>
        <v>0</v>
      </c>
      <c r="D22" s="28">
        <f t="shared" si="23"/>
        <v>0</v>
      </c>
      <c r="E22" s="1"/>
      <c r="F22" s="43" t="str">
        <f t="shared" si="24"/>
        <v>0</v>
      </c>
      <c r="G22" s="28">
        <f t="shared" si="25"/>
        <v>0</v>
      </c>
      <c r="H22" s="1"/>
      <c r="I22" s="43" t="str">
        <f t="shared" si="26"/>
        <v>0</v>
      </c>
      <c r="J22" s="28">
        <f t="shared" si="27"/>
        <v>0</v>
      </c>
      <c r="K22" s="7"/>
      <c r="L22" s="43" t="str">
        <f t="shared" si="28"/>
        <v>0</v>
      </c>
      <c r="M22" s="28">
        <f t="shared" si="29"/>
        <v>0</v>
      </c>
      <c r="N22" s="7"/>
      <c r="O22" s="43" t="str">
        <f t="shared" si="30"/>
        <v>0</v>
      </c>
      <c r="P22" s="28">
        <f t="shared" si="31"/>
        <v>0</v>
      </c>
      <c r="Q22" s="7"/>
      <c r="R22" s="43" t="str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 t="str">
        <f t="shared" si="21"/>
        <v>0</v>
      </c>
      <c r="Z22" s="157"/>
      <c r="AA22" s="162" t="str">
        <f t="shared" si="21"/>
        <v>0</v>
      </c>
      <c r="AB22" s="157"/>
      <c r="AC22" s="162" t="str">
        <f t="shared" si="21"/>
        <v>0</v>
      </c>
      <c r="AD22" s="157"/>
      <c r="AE22" s="162" t="str">
        <f t="shared" si="21"/>
        <v>0</v>
      </c>
      <c r="AF22" s="157"/>
      <c r="AG22" s="162" t="str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266.70800000000236</v>
      </c>
      <c r="D34" s="136">
        <f>SUM(D4:D33)</f>
        <v>476797.40000000672</v>
      </c>
      <c r="E34" s="136"/>
      <c r="F34" s="136">
        <f>SUM(F3:F33)</f>
        <v>56.41399999999976</v>
      </c>
      <c r="G34" s="136">
        <f>SUM(G4:G33)</f>
        <v>100069.19999999937</v>
      </c>
      <c r="H34" s="136"/>
      <c r="I34" s="136">
        <f>SUM(I3:I33)</f>
        <v>153</v>
      </c>
      <c r="J34" s="136">
        <f>SUM(J4:J33)</f>
        <v>275500</v>
      </c>
      <c r="K34" s="136"/>
      <c r="L34" s="136">
        <f>SUM(L3:L33)</f>
        <v>48.940000000000509</v>
      </c>
      <c r="M34" s="136">
        <f>SUM(M4:M33)</f>
        <v>87703.999999999724</v>
      </c>
      <c r="N34" s="136"/>
      <c r="O34" s="136">
        <f>SUM(O3:O33)</f>
        <v>37.903999999999996</v>
      </c>
      <c r="P34" s="136">
        <f>SUM(P4:P33)</f>
        <v>68324.000000000058</v>
      </c>
      <c r="Q34" s="136"/>
      <c r="R34" s="136">
        <v>2.21</v>
      </c>
      <c r="S34" s="136">
        <f>SUM(S4:S33)</f>
        <v>47424.000000000065</v>
      </c>
      <c r="T34" s="136">
        <v>22.454999999999998</v>
      </c>
      <c r="U34" s="136">
        <f>SUM(U4:U33)</f>
        <v>1055818.6000000057</v>
      </c>
      <c r="V34"/>
      <c r="W34" s="136" t="s">
        <v>141</v>
      </c>
      <c r="X34" s="136"/>
      <c r="Y34" s="136">
        <f>SUM(Y3:Y33)</f>
        <v>6155</v>
      </c>
      <c r="Z34" s="136"/>
      <c r="AA34" s="136">
        <f>SUM(AA3:AA33)</f>
        <v>128</v>
      </c>
      <c r="AB34" s="136"/>
      <c r="AC34" s="136">
        <f>SUM(AC3:AC33)</f>
        <v>0.60000000000000142</v>
      </c>
      <c r="AD34" s="136"/>
      <c r="AE34" s="136">
        <f>SUM(AE3:AE33)</f>
        <v>39</v>
      </c>
      <c r="AF34" s="136">
        <v>0</v>
      </c>
      <c r="AG34" s="136">
        <f>SUM(AG3:AG33)</f>
        <v>252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2407341</v>
      </c>
      <c r="D7" s="104">
        <f t="shared" si="0"/>
        <v>3057323.07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21372</v>
      </c>
      <c r="D8" s="104">
        <f t="shared" si="0"/>
        <v>27142.44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4486</v>
      </c>
      <c r="D9" s="104">
        <f t="shared" si="0"/>
        <v>5697.22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9120</v>
      </c>
      <c r="D10" s="104">
        <f t="shared" si="0"/>
        <v>11582.4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3280</v>
      </c>
      <c r="D11" s="104">
        <f t="shared" si="0"/>
        <v>4165.6000000000004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4038</v>
      </c>
      <c r="K16" s="93">
        <f>(J16-I16)*160</f>
        <v>1440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328700</v>
      </c>
      <c r="K17" s="93">
        <f>(J17-I17)</f>
        <v>2985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26411</v>
      </c>
      <c r="K18" s="93">
        <f>(J18-I18)*160</f>
        <v>9120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165891</v>
      </c>
      <c r="K19" s="93">
        <f>J19-I19</f>
        <v>3280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47456</v>
      </c>
      <c r="K21" s="93">
        <f>(J21-I21)*120</f>
        <v>10320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40888</v>
      </c>
      <c r="K22" s="93">
        <f>(J22-I22)*160</f>
        <v>8960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21973</v>
      </c>
      <c r="K23" s="93">
        <f>(J23-I23)*20</f>
        <v>1420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257708</v>
      </c>
      <c r="K24" s="93">
        <f>J24-I24</f>
        <v>672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226291</v>
      </c>
      <c r="K25" s="93">
        <f>J25-I25</f>
        <v>61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2022-08-20T02:14:02Z</dcterms:modified>
</cp:coreProperties>
</file>