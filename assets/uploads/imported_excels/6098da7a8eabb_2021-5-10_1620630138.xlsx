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75" yWindow="-30" windowWidth="14115" windowHeight="10995" tabRatio="581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11" i="2"/>
  <c r="A14" i="5"/>
  <c r="E11" i="2"/>
  <c r="AN12" l="1"/>
  <c r="AN11"/>
  <c r="AL13"/>
  <c r="AL14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12"/>
  <c r="AN9" l="1"/>
  <c r="AN10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H32" i="81" l="1"/>
  <c r="I32"/>
  <c r="J32"/>
  <c r="M32"/>
  <c r="H7" i="82"/>
  <c r="AO8" i="2"/>
  <c r="AN6"/>
  <c r="AN7"/>
  <c r="AN8"/>
  <c r="S35" i="3"/>
  <c r="K35"/>
  <c r="P34"/>
  <c r="N43" i="74"/>
  <c r="J43"/>
  <c r="K43"/>
  <c r="O43"/>
  <c r="AU37" i="7"/>
  <c r="AS37"/>
  <c r="AT37"/>
  <c r="AT38" s="1"/>
  <c r="W16" i="76"/>
  <c r="W15"/>
  <c r="Y14"/>
  <c r="X14"/>
  <c r="W14"/>
  <c r="AD10"/>
  <c r="AD11"/>
  <c r="AD9"/>
  <c r="AB14"/>
  <c r="AB10"/>
  <c r="AC10"/>
  <c r="AB11"/>
  <c r="AC11"/>
  <c r="AC9"/>
  <c r="AB16"/>
  <c r="AC14"/>
  <c r="AB13"/>
  <c r="AB9"/>
  <c r="AA10"/>
  <c r="AA11"/>
  <c r="AA12"/>
  <c r="AA9"/>
  <c r="Y10"/>
  <c r="Y11"/>
  <c r="Y9"/>
  <c r="V10"/>
  <c r="W10"/>
  <c r="V11"/>
  <c r="W11"/>
  <c r="W9"/>
  <c r="V9"/>
  <c r="AO12" i="2" l="1"/>
  <c r="H11" i="82" s="1"/>
  <c r="AO7" i="2"/>
  <c r="E6" i="3"/>
  <c r="AO11" i="2" l="1"/>
  <c r="H10" i="82" s="1"/>
  <c r="AO10" i="2"/>
  <c r="H9" i="82" s="1"/>
  <c r="AO9" i="2"/>
  <c r="H8" i="82" s="1"/>
  <c r="D9" i="2" l="1"/>
  <c r="D10" s="1"/>
  <c r="D11" s="1"/>
  <c r="D12" s="1"/>
  <c r="D13" s="1"/>
  <c r="D14" s="1"/>
  <c r="AO13"/>
  <c r="H12" i="82" s="1"/>
  <c r="AO14" i="2"/>
  <c r="H13" i="82" s="1"/>
  <c r="K5" i="73"/>
  <c r="G5"/>
  <c r="D5"/>
  <c r="AZ5" i="7"/>
  <c r="BA5"/>
  <c r="BB5"/>
  <c r="AO15" i="2" l="1"/>
  <c r="H14" i="82" s="1"/>
  <c r="AM39" i="5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D15" i="2" l="1"/>
  <c r="AO16"/>
  <c r="H15" i="82" s="1"/>
  <c r="J13" i="76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H13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1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C34"/>
  <c r="AB34"/>
  <c r="A34"/>
  <c r="T4" i="3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4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T3"/>
  <c r="R3"/>
  <c r="D1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B12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J33"/>
  <c r="X33"/>
  <c r="P33"/>
  <c r="M33"/>
  <c r="L33"/>
  <c r="K33"/>
  <c r="J33"/>
  <c r="Q33" s="1"/>
  <c r="H33"/>
  <c r="A33"/>
  <c r="A33" i="2"/>
  <c r="AZ36" i="7" s="1"/>
  <c r="BA36"/>
  <c r="BB36"/>
  <c r="D16" i="2" l="1"/>
  <c r="AO17"/>
  <c r="H16" i="82" s="1"/>
  <c r="W26" i="76"/>
  <c r="I34"/>
  <c r="M34" s="1"/>
  <c r="W27"/>
  <c r="G34"/>
  <c r="L34" s="1"/>
  <c r="W28"/>
  <c r="S33" i="3"/>
  <c r="U33" s="1"/>
  <c r="AA33" s="1"/>
  <c r="Y33"/>
  <c r="I33"/>
  <c r="C33"/>
  <c r="F33" s="1"/>
  <c r="N33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M24" i="5"/>
  <c r="A36" i="73"/>
  <c r="K36"/>
  <c r="G36"/>
  <c r="D36"/>
  <c r="K7" i="5"/>
  <c r="K6"/>
  <c r="A35" i="79"/>
  <c r="L35" s="1"/>
  <c r="M35"/>
  <c r="O35"/>
  <c r="A36"/>
  <c r="L36" s="1"/>
  <c r="M36"/>
  <c r="O36" s="1"/>
  <c r="H8"/>
  <c r="H9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34" i="5" s="1"/>
  <c r="H6" i="79"/>
  <c r="AX15" i="5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5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1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S6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3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6" s="1"/>
  <c r="AG6"/>
  <c r="AE6"/>
  <c r="AC7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7"/>
  <c r="AB8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/>
  <c r="Z10"/>
  <c r="Z11" s="1"/>
  <c r="Z12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B6"/>
  <c r="Z6"/>
  <c r="X7"/>
  <c r="X11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V7" i="5"/>
  <c r="V8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7"/>
  <c r="T8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7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7"/>
  <c r="M8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G7"/>
  <c r="G9" s="1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36"/>
  <c r="AM36"/>
  <c r="AN36"/>
  <c r="AP36"/>
  <c r="V6"/>
  <c r="T6"/>
  <c r="O6"/>
  <c r="M6"/>
  <c r="B6"/>
  <c r="X6" i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AB35" s="1"/>
  <c r="Z6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Q8"/>
  <c r="Q11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P8"/>
  <c r="P11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M7"/>
  <c r="M10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35" s="1"/>
  <c r="K7"/>
  <c r="K10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35" s="1"/>
  <c r="H6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35" s="1"/>
  <c r="F6"/>
  <c r="F8" s="1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35" s="1"/>
  <c r="J35" s="1"/>
  <c r="Z5"/>
  <c r="X5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i="7" s="1"/>
  <c r="C36" s="1"/>
  <c r="C14" i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A35"/>
  <c r="O35"/>
  <c r="AC35"/>
  <c r="AD35" s="1"/>
  <c r="AG35" s="1"/>
  <c r="AE35"/>
  <c r="AF35" s="1"/>
  <c r="AJ35"/>
  <c r="AN35"/>
  <c r="AO35"/>
  <c r="AT35" s="1"/>
  <c r="AU35" s="1"/>
  <c r="AP35"/>
  <c r="AQ35" s="1"/>
  <c r="AR35"/>
  <c r="AS35"/>
  <c r="AC6" i="2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33" s="1"/>
  <c r="AA12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Y4"/>
  <c r="Y5"/>
  <c r="Y8" s="1"/>
  <c r="Y9" s="1"/>
  <c r="Y10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33" s="1"/>
  <c r="W4"/>
  <c r="W5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33" s="1"/>
  <c r="P12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I33" s="1"/>
  <c r="L12" i="2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12" i="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12" i="2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12" i="2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Y3" i="2"/>
  <c r="S3"/>
  <c r="U33"/>
  <c r="V33" s="1"/>
  <c r="B32" i="82"/>
  <c r="B32" i="81"/>
  <c r="F37" i="73"/>
  <c r="X27" i="3"/>
  <c r="O32" i="81" l="1"/>
  <c r="L32" i="82"/>
  <c r="D17" i="2"/>
  <c r="AO18"/>
  <c r="H17" i="82" s="1"/>
  <c r="K22" i="5"/>
  <c r="K31"/>
  <c r="K23"/>
  <c r="K15"/>
  <c r="K32"/>
  <c r="K24"/>
  <c r="K16"/>
  <c r="K8"/>
  <c r="I17" i="79"/>
  <c r="K14" i="5"/>
  <c r="H35" i="79"/>
  <c r="K33" i="5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AB33" i="3"/>
  <c r="Z33"/>
  <c r="D36" i="7"/>
  <c r="H36" i="79"/>
  <c r="K36" i="5" s="1"/>
  <c r="AI36"/>
  <c r="AA36"/>
  <c r="AJ36"/>
  <c r="Q36"/>
  <c r="E36"/>
  <c r="D36"/>
  <c r="I36"/>
  <c r="V35" i="1"/>
  <c r="C35"/>
  <c r="Z36" i="7" s="1"/>
  <c r="AB36" s="1"/>
  <c r="AD36" s="1"/>
  <c r="AH35" i="1"/>
  <c r="U35"/>
  <c r="AL35"/>
  <c r="AM35"/>
  <c r="AF33" i="2"/>
  <c r="O33"/>
  <c r="L17" i="1"/>
  <c r="E26" i="3"/>
  <c r="AL36" i="5" l="1"/>
  <c r="K32" i="82"/>
  <c r="J36" i="5"/>
  <c r="L32" i="81" s="1"/>
  <c r="K32"/>
  <c r="D18" i="2"/>
  <c r="AO19"/>
  <c r="H18" i="82" s="1"/>
  <c r="I35" i="79"/>
  <c r="K35" i="5"/>
  <c r="AA36" i="7"/>
  <c r="D35" i="1"/>
  <c r="E35" s="1"/>
  <c r="AC36" i="7"/>
  <c r="AC33" i="3"/>
  <c r="AK33"/>
  <c r="AE33"/>
  <c r="AF33" s="1"/>
  <c r="AG33" s="1"/>
  <c r="E36" i="7"/>
  <c r="F36"/>
  <c r="AE36"/>
  <c r="AF36"/>
  <c r="I36" i="79"/>
  <c r="AI35" i="1"/>
  <c r="Q15" i="2"/>
  <c r="D19" l="1"/>
  <c r="AO20"/>
  <c r="H19" i="82" s="1"/>
  <c r="AK35" i="1"/>
  <c r="AW36" i="7"/>
  <c r="G32" i="81" s="1"/>
  <c r="AH33" i="3"/>
  <c r="G36" i="7"/>
  <c r="H36"/>
  <c r="AG36"/>
  <c r="AH36"/>
  <c r="Q20" i="2"/>
  <c r="D20" l="1"/>
  <c r="AO21"/>
  <c r="H20" i="82" s="1"/>
  <c r="J36" i="7"/>
  <c r="I36"/>
  <c r="AI36"/>
  <c r="AJ36"/>
  <c r="G15" i="73"/>
  <c r="D21" i="2" l="1"/>
  <c r="AO22"/>
  <c r="H21" i="82" s="1"/>
  <c r="L36" i="7"/>
  <c r="K36"/>
  <c r="AK36"/>
  <c r="AL36"/>
  <c r="AM36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D22" i="2" l="1"/>
  <c r="D23" s="1"/>
  <c r="AO23"/>
  <c r="H22" i="82" s="1"/>
  <c r="G43" i="74"/>
  <c r="F43"/>
  <c r="AO36" i="7"/>
  <c r="AN36" s="1"/>
  <c r="N36"/>
  <c r="M36"/>
  <c r="C19" i="77"/>
  <c r="C18"/>
  <c r="C17"/>
  <c r="C16"/>
  <c r="C15"/>
  <c r="C14"/>
  <c r="AO24" i="2" l="1"/>
  <c r="H23" i="82" s="1"/>
  <c r="O36" i="7"/>
  <c r="P36"/>
  <c r="W13" i="76"/>
  <c r="V26"/>
  <c r="S3" i="3"/>
  <c r="BC5" i="7"/>
  <c r="BD5"/>
  <c r="BE5"/>
  <c r="BF5"/>
  <c r="BG5"/>
  <c r="BH5"/>
  <c r="A2" i="2"/>
  <c r="B2" s="1"/>
  <c r="AX4" i="1"/>
  <c r="D24" i="2" l="1"/>
  <c r="AO25"/>
  <c r="H24" i="82" s="1"/>
  <c r="Q36" i="7"/>
  <c r="R36"/>
  <c r="D25" i="2" l="1"/>
  <c r="AO26"/>
  <c r="H25" i="82" s="1"/>
  <c r="T36" i="7"/>
  <c r="S36"/>
  <c r="D26" i="2" l="1"/>
  <c r="AO27"/>
  <c r="H26" i="82" s="1"/>
  <c r="Y36" i="7"/>
  <c r="AR36" s="1"/>
  <c r="U36"/>
  <c r="V36"/>
  <c r="W36" s="1"/>
  <c r="D27" i="2" l="1"/>
  <c r="D28" s="1"/>
  <c r="AO28"/>
  <c r="H27" i="82" s="1"/>
  <c r="X36" i="7"/>
  <c r="AO29" i="2" l="1"/>
  <c r="H28" i="82" s="1"/>
  <c r="AQ36" i="7"/>
  <c r="D29" i="2" l="1"/>
  <c r="D30" s="1"/>
  <c r="AO30"/>
  <c r="H29" i="82" s="1"/>
  <c r="A32" i="2"/>
  <c r="B32" s="1"/>
  <c r="A31"/>
  <c r="B31" s="1"/>
  <c r="AO31" l="1"/>
  <c r="H30" i="82" s="1"/>
  <c r="D31" i="73"/>
  <c r="A25" i="3"/>
  <c r="AJ25"/>
  <c r="D31" i="2" l="1"/>
  <c r="E31" s="1"/>
  <c r="AO33"/>
  <c r="H32" i="82" s="1"/>
  <c r="AO32" i="2"/>
  <c r="H31" i="82" s="1"/>
  <c r="A23" i="3"/>
  <c r="AJ23"/>
  <c r="A23" i="1"/>
  <c r="D32" i="2" l="1"/>
  <c r="D33" s="1"/>
  <c r="E33" s="1"/>
  <c r="N33" s="1"/>
  <c r="E32" i="81" s="1"/>
  <c r="I7" i="77"/>
  <c r="S34" i="76" l="1"/>
  <c r="T34" s="1"/>
  <c r="F32" i="81" s="1"/>
  <c r="R33" i="2"/>
  <c r="AI33" s="1"/>
  <c r="L30" i="82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O31" i="2"/>
  <c r="O32"/>
  <c r="S4"/>
  <c r="S5" s="1"/>
  <c r="S6" s="1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S23" i="3" l="1"/>
  <c r="U23" s="1"/>
  <c r="E25"/>
  <c r="K29" i="76"/>
  <c r="V31" i="2"/>
  <c r="M31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N31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S43" i="74" l="1"/>
  <c r="AB14" s="1"/>
  <c r="B14" i="77" s="1"/>
  <c r="R43" i="74"/>
  <c r="AA14" s="1"/>
  <c r="B15" i="77" s="1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F3" s="1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0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X58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L11" i="82" l="1"/>
  <c r="O12" i="2"/>
  <c r="C35" i="76"/>
  <c r="F4" i="77"/>
  <c r="Y34" i="7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R35" i="7" l="1"/>
  <c r="AS36" s="1"/>
  <c r="AX36" s="1"/>
  <c r="X34"/>
  <c r="AR34"/>
  <c r="AF12" i="2"/>
  <c r="B11" i="63" s="1"/>
  <c r="AF5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C7" i="3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4" l="1"/>
  <c r="AS35"/>
  <c r="AX35" s="1"/>
  <c r="AY36"/>
  <c r="Q34" i="76"/>
  <c r="AG12" i="2"/>
  <c r="AG5"/>
  <c r="H14" i="65"/>
  <c r="B4" i="63"/>
  <c r="AF13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4" i="2" l="1"/>
  <c r="AG13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N14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8" i="65" l="1"/>
  <c r="AG17" i="2"/>
  <c r="AF17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E18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E19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E20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7" l="1"/>
  <c r="AS12"/>
  <c r="AG20" i="2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N20" i="2"/>
  <c r="R20" s="1"/>
  <c r="AI18"/>
  <c r="J20" i="65"/>
  <c r="C18" i="63"/>
  <c r="D18" s="1"/>
  <c r="E18" i="81"/>
  <c r="AQ7" i="7"/>
  <c r="X12"/>
  <c r="Y6"/>
  <c r="AR6" s="1"/>
  <c r="AS6" s="1"/>
  <c r="AS9" l="1"/>
  <c r="AS11"/>
  <c r="AS13"/>
  <c r="AS14"/>
  <c r="AS10"/>
  <c r="H22" i="65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G22" i="2"/>
  <c r="AF2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E23"/>
  <c r="J22" i="65"/>
  <c r="AI20" i="2"/>
  <c r="BC6" i="7"/>
  <c r="AX7"/>
  <c r="AY12"/>
  <c r="BJ7" l="1"/>
  <c r="Q5" i="76"/>
  <c r="H24" i="65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E24"/>
  <c r="AY7" i="7"/>
  <c r="H25" i="65" l="1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E25"/>
  <c r="J24" i="65"/>
  <c r="AI22" i="2"/>
  <c r="E22" i="81"/>
  <c r="C22" i="63"/>
  <c r="D22" s="1"/>
  <c r="AG24" i="2" l="1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S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N26"/>
  <c r="R26" s="1"/>
  <c r="J26" i="65"/>
  <c r="AI24" i="2"/>
  <c r="E24" i="81"/>
  <c r="C24" i="63"/>
  <c r="D24" s="1"/>
  <c r="B25" l="1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C35" s="1"/>
  <c r="U34" s="1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E25" i="81"/>
  <c r="C25" i="63"/>
  <c r="D25" s="1"/>
  <c r="J27" i="65"/>
  <c r="AI25" i="2"/>
  <c r="B26" i="63" l="1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S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E30"/>
  <c r="C27" i="63"/>
  <c r="D27" s="1"/>
  <c r="E27" i="81"/>
  <c r="AG29" i="2" l="1"/>
  <c r="H31" i="65"/>
  <c r="AG30" i="2"/>
  <c r="AF30"/>
  <c r="H32" i="65" s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V32" i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7" i="7"/>
  <c r="AM36" i="1"/>
  <c r="F35" i="75"/>
  <c r="G35" s="1"/>
  <c r="AY33" i="7"/>
  <c r="AY37" s="1"/>
  <c r="AH36" i="1"/>
  <c r="C34" i="65"/>
  <c r="E34" s="1"/>
  <c r="AI37" i="1" l="1"/>
  <c r="AX42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Y26" l="1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Q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AQ34" i="1"/>
  <c r="AU32"/>
  <c r="I29" i="81" s="1"/>
  <c r="AT33" i="1"/>
  <c r="AT34" l="1"/>
  <c r="AU34" s="1"/>
  <c r="I31" i="81" s="1"/>
  <c r="AE31" i="3"/>
  <c r="AF31" s="1"/>
  <c r="AG31" s="1"/>
  <c r="AK31"/>
  <c r="Z32"/>
  <c r="Z34" s="1"/>
  <c r="B18" i="77" s="1"/>
  <c r="W33" i="76" s="1"/>
  <c r="X33" s="1"/>
  <c r="Y33" s="1"/>
  <c r="N32" i="3"/>
  <c r="AB32" s="1"/>
  <c r="AU33" i="1"/>
  <c r="I30" i="81" s="1"/>
  <c r="E18" i="77" l="1"/>
  <c r="B19"/>
  <c r="F18"/>
  <c r="AK32" i="3"/>
  <c r="AE32"/>
  <c r="AF32" s="1"/>
  <c r="AG32" s="1"/>
  <c r="AU5" i="1" l="1"/>
  <c r="AU36" l="1"/>
  <c r="AU38" s="1"/>
  <c r="I2" i="81"/>
  <c r="F2" i="63" l="1"/>
  <c r="AV6" i="7" l="1"/>
  <c r="H2" i="81" l="1"/>
  <c r="AV7" i="7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H5" i="81" l="1"/>
  <c r="AV10" i="7"/>
  <c r="P6" i="5"/>
  <c r="Q6" s="1"/>
  <c r="M2" i="81" s="1"/>
  <c r="N6" i="5"/>
  <c r="M4" i="3"/>
  <c r="AA4" s="1"/>
  <c r="AC4" s="1"/>
  <c r="AH4" s="1"/>
  <c r="C6" i="5"/>
  <c r="G2" i="63"/>
  <c r="H6" i="81" l="1"/>
  <c r="AV11" i="7"/>
  <c r="M5" i="3"/>
  <c r="AA5" s="1"/>
  <c r="AC5" s="1"/>
  <c r="AH5" s="1"/>
  <c r="P7" i="5"/>
  <c r="C7"/>
  <c r="N7"/>
  <c r="D6"/>
  <c r="E6"/>
  <c r="I6"/>
  <c r="G3" i="63"/>
  <c r="AV12" i="7" l="1"/>
  <c r="H7" i="81"/>
  <c r="M6" i="3"/>
  <c r="I7" i="5"/>
  <c r="E7"/>
  <c r="G4" i="63"/>
  <c r="D7" i="5"/>
  <c r="P8"/>
  <c r="C8"/>
  <c r="K2" i="81"/>
  <c r="J6" i="5"/>
  <c r="L2" i="81" s="1"/>
  <c r="N8" i="5"/>
  <c r="Q7"/>
  <c r="AV13" i="7" l="1"/>
  <c r="H8" i="81"/>
  <c r="P9" i="5"/>
  <c r="J7"/>
  <c r="L3" i="81" s="1"/>
  <c r="K3"/>
  <c r="M3"/>
  <c r="C9" i="5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AV15" i="7"/>
  <c r="H10" i="8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H11" i="8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D37"/>
  <c r="D39"/>
  <c r="C38"/>
  <c r="B6" i="77"/>
  <c r="N35" i="5"/>
  <c r="I37"/>
  <c r="J33"/>
  <c r="L29" i="81" s="1"/>
  <c r="K29"/>
  <c r="Q34" i="5"/>
  <c r="M30" i="81" s="1"/>
  <c r="I38" i="5" l="1"/>
  <c r="O38"/>
  <c r="G6" i="77"/>
  <c r="D6"/>
  <c r="E6" s="1"/>
  <c r="F6" s="1"/>
  <c r="E35" i="5"/>
  <c r="I35"/>
  <c r="D35"/>
  <c r="K30" i="81"/>
  <c r="J34" i="5"/>
  <c r="L30" i="81" s="1"/>
  <c r="G39" i="5"/>
  <c r="K39" s="1"/>
  <c r="AJ39"/>
  <c r="H39"/>
  <c r="Q35"/>
  <c r="M31" i="81" s="1"/>
  <c r="K31" l="1"/>
  <c r="J35" i="5"/>
  <c r="L31" i="81" s="1"/>
  <c r="AC28" i="76" l="1"/>
  <c r="AC27"/>
  <c r="AC26" l="1"/>
  <c r="AC29" s="1"/>
  <c r="O34" l="1"/>
  <c r="P34" s="1"/>
  <c r="R34" s="1"/>
  <c r="AC33"/>
  <c r="AB33" s="1"/>
  <c r="O30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O24"/>
  <c r="P24" s="1"/>
  <c r="R24" s="1"/>
  <c r="T24" s="1"/>
  <c r="F22" i="81" s="1"/>
  <c r="O16" i="7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O33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P20" s="1"/>
  <c r="R20" s="1"/>
  <c r="T20" s="1"/>
  <c r="F18" i="81" s="1"/>
  <c r="O12" i="76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7"/>
  <c r="R17" s="1"/>
  <c r="T17" s="1"/>
  <c r="F15" i="81" s="1"/>
  <c r="P15" i="76"/>
  <c r="R15" s="1"/>
  <c r="T15" s="1"/>
  <c r="F13" i="81" s="1"/>
  <c r="P33" i="76"/>
  <c r="R33" s="1"/>
  <c r="T33" s="1"/>
  <c r="F31" i="81" s="1"/>
  <c r="P5" i="76"/>
  <c r="R5" s="1"/>
  <c r="T5" s="1"/>
  <c r="F3" i="81" s="1"/>
  <c r="P7" i="76"/>
  <c r="R7" s="1"/>
  <c r="T7" s="1"/>
  <c r="F5" i="81" s="1"/>
  <c r="P11" i="76"/>
  <c r="R11" s="1"/>
  <c r="T11" s="1"/>
  <c r="F9" i="81" s="1"/>
  <c r="AD35" i="76" l="1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5" i="7" l="1"/>
  <c r="AW5" l="1"/>
  <c r="AX5" l="1"/>
  <c r="AY5" l="1"/>
</calcChain>
</file>

<file path=xl/comments1.xml><?xml version="1.0" encoding="utf-8"?>
<comments xmlns="http://schemas.openxmlformats.org/spreadsheetml/2006/main">
  <authors>
    <author>amjad.abouhassan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<sst xmlns="http://schemas.openxmlformats.org/spreadsheetml/2006/main" count="664" uniqueCount="422">
  <si>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</si>
  <si>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</si>
  <si>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</si>
  <si>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</si>
  <si>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</si>
  <si>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</si>
  <si>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</si>
  <si>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</si>
  <si>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</si>
  <si>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</si>
  <si>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</si>
  <si>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</si>
  <si>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</si>
  <si>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</si>
  <si>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</si>
  <si>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</si>
  <si>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</si>
  <si>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</si>
  <si>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</si>
  <si>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</si>
  <si>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</si>
  <si>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</si>
  <si>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</si>
  <si>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</si>
  <si>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</si>
  <si>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</si>
  <si>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</si>
  <si>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</si>
  <si>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</si>
  <si>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</si>
  <si>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</si>
  <si>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</si>
  <si>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</si>
  <si>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</si>
  <si>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</si>
  <si>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</si>
  <si>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</si>
  <si>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</si>
  <si>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</si>
  <si>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</si>
  <si>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</si>
  <si>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</si>
  <si>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</si>
  <si>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</si>
  <si>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</si>
  <si>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</si>
  <si>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</si>
  <si>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</si>
  <si>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</si>
  <si>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</si>
  <si>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</si>
  <si>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</si>
  <si>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</si>
  <si>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</si>
  <si>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</si>
  <si>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</si>
  <si>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</si>
  <si>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</si>
  <si>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</si>
  <si>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</si>
  <si>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</si>
  <si>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</si>
  <si>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</si>
  <si>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</si>
  <si>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</si>
  <si>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</si>
  <si>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</si>
  <si>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</si>
  <si>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</si>
  <si>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</si>
  <si>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</si>
  <si>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</si>
  <si>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</si>
  <si>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</si>
  <si>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</si>
  <si>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</si>
  <si>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</si>
  <si>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</si>
  <si>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</si>
  <si>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</si>
  <si>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</si>
  <si>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</si>
  <si>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</si>
  <si>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</si>
  <si>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</si>
  <si>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</si>
  <si>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</si>
  <si>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</si>
  <si>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</si>
  <si>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</si>
  <si>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</si>
  <si>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</si>
  <si>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</si>
  <si>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</si>
  <si>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</si>
  <si>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</si>
  <si>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</si>
  <si>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</si>
  <si>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</si>
  <si>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</si>
  <si>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</si>
  <si>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</si>
  <si>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</si>
  <si>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</si>
  <si>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</si>
  <si>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</si>
  <si>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</si>
  <si>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</si>
  <si>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</si>
  <si>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</si>
  <si>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</si>
  <si>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</si>
  <si>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</si>
  <si>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</si>
  <si>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</si>
  <si>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</si>
  <si>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</si>
  <si>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</si>
  <si>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</si>
  <si>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</si>
  <si>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</si>
  <si>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</si>
  <si>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</si>
  <si>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</si>
  <si>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</si>
  <si>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</si>
  <si>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</si>
  <si>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</si>
  <si>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</si>
  <si>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</si>
  <si>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</si>
  <si>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</si>
  <si>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</si>
  <si>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</si>
  <si>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</si>
  <si>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</si>
  <si>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</si>
  <si>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</si>
  <si>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</si>
  <si>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</si>
  <si>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</si>
  <si>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</si>
  <si>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</si>
  <si>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</si>
  <si>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</si>
  <si>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</si>
  <si>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</si>
  <si>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</si>
  <si>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</si>
  <si>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</si>
  <si>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</si>
  <si>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</si>
  <si>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</si>
  <si>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</si>
  <si>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</si>
  <si>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</si>
  <si>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</si>
  <si>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</si>
  <si>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</si>
  <si>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</si>
  <si>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</si>
  <si>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</si>
  <si>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</si>
  <si>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</si>
  <si>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</si>
  <si>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</si>
  <si>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</si>
  <si>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</si>
  <si>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</si>
  <si>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</si>
  <si>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</si>
  <si>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</si>
  <si>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</si>
  <si>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</si>
  <si>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</si>
  <si>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</si>
  <si>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</si>
  <si>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</si>
  <si>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</si>
  <si>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</si>
  <si>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</si>
  <si>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</si>
  <si>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</si>
  <si>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</si>
  <si>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</si>
  <si>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</si>
  <si>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</si>
  <si>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</si>
  <si>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</si>
  <si>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</si>
  <si>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</si>
  <si>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</si>
  <si>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</si>
  <si>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</si>
  <si>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</si>
  <si>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</si>
  <si>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</si>
  <si>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</si>
  <si>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</si>
  <si>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</si>
  <si>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</si>
  <si>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</si>
  <si>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</si>
  <si>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</si>
  <si>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</si>
  <si>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</si>
  <si>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</si>
  <si>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</si>
  <si>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</si>
  <si>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</si>
  <si>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</si>
  <si>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</si>
  <si>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</si>
  <si>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</si>
  <si>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</si>
  <si>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</si>
  <si>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</si>
  <si>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</si>
  <si>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</si>
  <si>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</si>
  <si>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</si>
  <si>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</si>
  <si>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</si>
  <si>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</si>
  <si>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</si>
  <si>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</si>
  <si>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</si>
  <si>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</si>
  <si>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</si>
  <si>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</si>
  <si>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</si>
  <si>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</si>
  <si>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</si>
  <si>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</si>
  <si>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</si>
  <si>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</si>
  <si>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</si>
  <si>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</si>
  <si>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</si>
  <si>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</si>
  <si>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</si>
  <si>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</si>
  <si>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</si>
  <si>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</si>
  <si>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</si>
  <si>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</si>
  <si>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</si>
  <si>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</si>
  <si>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</si>
  <si>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</si>
  <si>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</si>
  <si>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</si>
  <si>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</si>
  <si>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</si>
  <si>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</si>
  <si>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</si>
  <si>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</si>
  <si>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</si>
  <si>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</si>
  <si>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</si>
  <si>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</si>
  <si>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</si>
  <si>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</si>
  <si>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</si>
  <si>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</si>
  <si>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</si>
  <si>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</si>
  <si>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</si>
  <si>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</si>
  <si>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</si>
  <si>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</si>
  <si>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</si>
  <si>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</si>
  <si>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</si>
  <si>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</si>
  <si>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</si>
  <si>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</si>
  <si>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</si>
  <si>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</si>
  <si>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</si>
  <si>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</si>
  <si>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</si>
  <si>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</si>
  <si>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</si>
  <si>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</si>
  <si>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</si>
  <si>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</si>
  <si>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</si>
  <si>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</si>
  <si>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</si>
  <si>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</si>
  <si>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</si>
  <si>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</si>
  <si>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</si>
  <si>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</si>
  <si>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</si>
  <si>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</si>
  <si>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</si>
  <si>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</si>
  <si>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</si>
  <si>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</si>
  <si>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</si>
  <si>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</si>
  <si>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</si>
  <si>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</si>
  <si>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</si>
  <si>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</si>
  <si>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</si>
  <si>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</si>
  <si>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</si>
  <si>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</si>
  <si>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</si>
  <si>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</si>
  <si>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</si>
  <si>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</si>
  <si>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</si>
  <si>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</si>
  <si>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</si>
  <si>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</si>
  <si>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</si>
  <si>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</si>
  <si>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</si>
  <si>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</si>
  <si>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</si>
  <si>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</si>
  <si>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</si>
  <si>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</si>
  <si>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</si>
  <si>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</si>
  <si>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</si>
  <si>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</si>
  <si>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</si>
  <si>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</si>
  <si>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</si>
  <si>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</si>
  <si>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</si>
  <si>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</si>
  <si>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</si>
  <si>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</si>
  <si>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</si>
  <si>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</si>
  <si>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</si>
  <si>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</si>
  <si>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</si>
  <si>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</si>
  <si>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</si>
  <si>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</si>
  <si>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</si>
  <si>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</si>
  <si>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</si>
  <si>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</si>
  <si>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</si>
  <si>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</si>
  <si>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</si>
  <si>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</si>
  <si>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</si>
  <si>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</si>
  <si>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</si>
  <si>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</si>
  <si>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</si>
  <si>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</si>
  <si>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</si>
  <si>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</si>
  <si>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</si>
  <si>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</si>
  <si>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</si>
  <si>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</si>
  <si>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</si>
  <si>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</si>
  <si>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</si>
  <si>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</si>
  <si>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</si>
  <si>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</si>
  <si>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</si>
  <si>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</si>
  <si>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</si>
  <si>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</si>
  <si>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</si>
  <si>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</si>
  <si>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</si>
  <si>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</si>
  <si>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</si>
  <si>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</si>
  <si>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</si>
  <si>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</si>
  <si>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</si>
  <si>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</si>
  <si>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</si>
  <si>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</si>
  <si>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</si>
  <si>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</si>
  <si>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</si>
  <si>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</si>
  <si>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</si>
  <si>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</si>
  <si>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</si>
  <si>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</si>
  <si>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</si>
  <si>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</si>
  <si>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</si>
  <si>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</si>
  <si>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</si>
  <si>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</si>
  <si>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</si>
  <si>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</si>
  <si>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</si>
  <si>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</si>
  <si>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</si>
  <si>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</si>
  <si>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</si>
  <si>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</si>
  <si>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</si>
  <si>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</si>
  <si>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</si>
  <si>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</si>
  <si>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</si>
  <si>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</si>
  <si>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</si>
  <si>
    <t xml:space="preserve">Normal </t>
  </si>
  <si>
    <t xml:space="preserve">Emergency </t>
  </si>
  <si>
    <t xml:space="preserve">Deference </t>
  </si>
  <si>
    <t xml:space="preserve">ATS 4 till power meter is for MDB 3 is replaced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</si>
</sst>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0" fontId="0" fillId="0" borderId="73" xfId="0" applyBorder="1" applyAlignment="1">
      <alignment horizontal="left"/>
    </xf>
    <xf numFmtId="0" fontId="0" fillId="0" borderId="76" xfId="0" applyBorder="1" applyAlignment="1">
      <alignment horizontal="left"/>
    </xf>
    <xf numFmtId="0" fontId="0" fillId="2" borderId="77" xfId="0" applyFont="1" applyFill="1" applyBorder="1"/>
    <xf numFmtId="14" fontId="0" fillId="0" borderId="76" xfId="0" applyNumberFormat="1" applyBorder="1" applyAlignment="1">
      <alignment horizontal="left"/>
    </xf>
    <xf numFmtId="0" fontId="0" fillId="0" borderId="77" xfId="0" applyBorder="1"/>
    <xf numFmtId="0" fontId="0" fillId="0" borderId="78" xfId="0" applyBorder="1"/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4" borderId="43" xfId="0" applyFill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1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74" xfId="0" applyFont="1" applyFill="1" applyBorder="1" applyAlignment="1">
      <alignment horizontal="center"/>
    </xf>
    <xf numFmtId="0" fontId="0" fillId="2" borderId="75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  <xf numFmtId="41" fontId="0" fillId="8" borderId="1" xfId="0" applyNumberFormat="1" applyFill="1" applyBorder="1" applyAlignment="1">
      <alignment wrapText="1"/>
    </xf>
    <xf numFmtId="0" fontId="0" fillId="0" borderId="15" xfId="0" applyBorder="1" applyAlignment="1">
      <alignment horizontal="center"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2506240"/>
        <c:axId val="142520320"/>
      </c:lineChart>
      <c:catAx>
        <c:axId val="14250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20320"/>
        <c:crosses val="autoZero"/>
        <c:auto val="1"/>
        <c:lblAlgn val="ctr"/>
        <c:lblOffset val="100"/>
      </c:catAx>
      <c:valAx>
        <c:axId val="142520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0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1049472"/>
        <c:axId val="121051008"/>
      </c:lineChart>
      <c:catAx>
        <c:axId val="12104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51008"/>
        <c:crosses val="autoZero"/>
        <c:auto val="1"/>
        <c:lblAlgn val="ctr"/>
        <c:lblOffset val="100"/>
      </c:catAx>
      <c:valAx>
        <c:axId val="121051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4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445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1083776"/>
        <c:axId val="121085312"/>
      </c:lineChart>
      <c:catAx>
        <c:axId val="12108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85312"/>
        <c:crosses val="autoZero"/>
        <c:auto val="1"/>
        <c:lblAlgn val="ctr"/>
        <c:lblOffset val="100"/>
      </c:catAx>
      <c:valAx>
        <c:axId val="1210853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8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96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1109888"/>
        <c:axId val="141952128"/>
      </c:lineChart>
      <c:catAx>
        <c:axId val="12110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52128"/>
        <c:crosses val="autoZero"/>
        <c:auto val="1"/>
        <c:lblAlgn val="ctr"/>
        <c:lblOffset val="100"/>
      </c:catAx>
      <c:valAx>
        <c:axId val="141952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0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088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1988992"/>
        <c:axId val="141990528"/>
      </c:lineChart>
      <c:catAx>
        <c:axId val="14198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90528"/>
        <c:crosses val="autoZero"/>
        <c:auto val="1"/>
        <c:lblAlgn val="ctr"/>
        <c:lblOffset val="100"/>
      </c:catAx>
      <c:valAx>
        <c:axId val="141990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8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94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1416704"/>
        <c:axId val="121422592"/>
      </c:lineChart>
      <c:catAx>
        <c:axId val="12141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22592"/>
        <c:crosses val="autoZero"/>
        <c:auto val="1"/>
        <c:lblAlgn val="ctr"/>
        <c:lblOffset val="100"/>
      </c:catAx>
      <c:valAx>
        <c:axId val="12142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1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1516800"/>
        <c:axId val="121518336"/>
      </c:lineChart>
      <c:catAx>
        <c:axId val="12151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18336"/>
        <c:crosses val="autoZero"/>
        <c:auto val="1"/>
        <c:lblAlgn val="ctr"/>
        <c:lblOffset val="100"/>
      </c:catAx>
      <c:valAx>
        <c:axId val="12151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1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1542528"/>
        <c:axId val="121544064"/>
      </c:lineChart>
      <c:catAx>
        <c:axId val="12154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44064"/>
        <c:crosses val="autoZero"/>
        <c:auto val="1"/>
        <c:lblAlgn val="ctr"/>
        <c:lblOffset val="100"/>
      </c:catAx>
      <c:valAx>
        <c:axId val="12154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4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1564544"/>
        <c:axId val="121595008"/>
      </c:lineChart>
      <c:catAx>
        <c:axId val="12156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95008"/>
        <c:crosses val="autoZero"/>
        <c:auto val="1"/>
        <c:lblAlgn val="ctr"/>
        <c:lblOffset val="100"/>
      </c:catAx>
      <c:valAx>
        <c:axId val="121595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7993"/>
          <c:w val="0.1272403315177445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1439360"/>
        <c:axId val="121440896"/>
      </c:lineChart>
      <c:catAx>
        <c:axId val="12143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40896"/>
        <c:crosses val="autoZero"/>
        <c:auto val="1"/>
        <c:lblAlgn val="ctr"/>
        <c:lblOffset val="100"/>
      </c:catAx>
      <c:valAx>
        <c:axId val="12144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3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95</c:v>
                </c:pt>
                <c:pt idx="5">
                  <c:v>164</c:v>
                </c:pt>
                <c:pt idx="6">
                  <c:v>155</c:v>
                </c:pt>
                <c:pt idx="7">
                  <c:v>166</c:v>
                </c:pt>
                <c:pt idx="8">
                  <c:v>156</c:v>
                </c:pt>
                <c:pt idx="9">
                  <c:v>112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1703040"/>
        <c:axId val="121717120"/>
      </c:lineChart>
      <c:catAx>
        <c:axId val="12170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17120"/>
        <c:crosses val="autoZero"/>
        <c:auto val="1"/>
        <c:lblAlgn val="ctr"/>
        <c:lblOffset val="100"/>
      </c:catAx>
      <c:valAx>
        <c:axId val="12171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0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7993"/>
          <c:w val="0.1354168853893592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1745792"/>
        <c:axId val="121747328"/>
      </c:lineChart>
      <c:catAx>
        <c:axId val="12174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47328"/>
        <c:crosses val="autoZero"/>
        <c:auto val="1"/>
        <c:lblAlgn val="ctr"/>
        <c:lblOffset val="100"/>
      </c:catAx>
      <c:valAx>
        <c:axId val="1217473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4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799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0207616"/>
        <c:axId val="120217600"/>
      </c:lineChart>
      <c:catAx>
        <c:axId val="12020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17600"/>
        <c:crosses val="autoZero"/>
        <c:auto val="1"/>
        <c:lblAlgn val="ctr"/>
        <c:lblOffset val="100"/>
      </c:catAx>
      <c:valAx>
        <c:axId val="120217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0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0266752"/>
        <c:axId val="120268288"/>
      </c:lineChart>
      <c:catAx>
        <c:axId val="12026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68288"/>
        <c:crosses val="autoZero"/>
        <c:auto val="1"/>
        <c:lblAlgn val="ctr"/>
        <c:lblOffset val="100"/>
      </c:catAx>
      <c:valAx>
        <c:axId val="12026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6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7993"/>
          <c:w val="0.1354168853893592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1472512"/>
        <c:axId val="121474048"/>
      </c:lineChart>
      <c:catAx>
        <c:axId val="12147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74048"/>
        <c:crosses val="autoZero"/>
        <c:auto val="1"/>
        <c:lblAlgn val="ctr"/>
        <c:lblOffset val="100"/>
      </c:catAx>
      <c:valAx>
        <c:axId val="1214740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7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192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-1534.3870967741823</c:v>
                </c:pt>
                <c:pt idx="1">
                  <c:v>-850.03225806451519</c:v>
                </c:pt>
                <c:pt idx="2">
                  <c:v>-990.03225806450064</c:v>
                </c:pt>
                <c:pt idx="3">
                  <c:v>-1770.0645161290595</c:v>
                </c:pt>
                <c:pt idx="4">
                  <c:v>-1910.0645161290304</c:v>
                </c:pt>
                <c:pt idx="5">
                  <c:v>-1156.7096774193415</c:v>
                </c:pt>
                <c:pt idx="6">
                  <c:v>-2146.7419354838858</c:v>
                </c:pt>
                <c:pt idx="7">
                  <c:v>-2146.7419354838494</c:v>
                </c:pt>
                <c:pt idx="8">
                  <c:v>-1910.0645161290522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21797632"/>
        <c:axId val="121807616"/>
      </c:lineChart>
      <c:catAx>
        <c:axId val="12179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07616"/>
        <c:crosses val="autoZero"/>
        <c:auto val="1"/>
        <c:lblAlgn val="ctr"/>
        <c:lblOffset val="100"/>
      </c:catAx>
      <c:valAx>
        <c:axId val="121807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9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49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1971840"/>
        <c:axId val="121973376"/>
      </c:lineChart>
      <c:catAx>
        <c:axId val="12197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73376"/>
        <c:crosses val="autoZero"/>
        <c:auto val="1"/>
        <c:lblAlgn val="ctr"/>
        <c:lblOffset val="100"/>
      </c:catAx>
      <c:valAx>
        <c:axId val="12197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7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9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2002048"/>
        <c:axId val="122016128"/>
      </c:lineChart>
      <c:catAx>
        <c:axId val="12200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16128"/>
        <c:crosses val="autoZero"/>
        <c:auto val="1"/>
        <c:lblAlgn val="ctr"/>
        <c:lblOffset val="100"/>
      </c:catAx>
      <c:valAx>
        <c:axId val="1220161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0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13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2048896"/>
        <c:axId val="122050432"/>
      </c:lineChart>
      <c:catAx>
        <c:axId val="12204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50432"/>
        <c:crosses val="autoZero"/>
        <c:auto val="1"/>
        <c:lblAlgn val="ctr"/>
        <c:lblOffset val="100"/>
      </c:catAx>
      <c:valAx>
        <c:axId val="1220504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4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2087296"/>
        <c:axId val="122088832"/>
      </c:lineChart>
      <c:catAx>
        <c:axId val="12208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88832"/>
        <c:crosses val="autoZero"/>
        <c:auto val="1"/>
        <c:lblAlgn val="ctr"/>
        <c:lblOffset val="100"/>
      </c:catAx>
      <c:valAx>
        <c:axId val="12208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8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66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1912704"/>
        <c:axId val="121939072"/>
      </c:lineChart>
      <c:catAx>
        <c:axId val="12191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9072"/>
        <c:crosses val="autoZero"/>
        <c:auto val="1"/>
        <c:lblAlgn val="ctr"/>
        <c:lblOffset val="100"/>
      </c:catAx>
      <c:valAx>
        <c:axId val="121939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1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799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2098816"/>
        <c:axId val="122100352"/>
      </c:lineChart>
      <c:catAx>
        <c:axId val="12209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00352"/>
        <c:crosses val="autoZero"/>
        <c:auto val="1"/>
        <c:lblAlgn val="ctr"/>
        <c:lblOffset val="100"/>
      </c:catAx>
      <c:valAx>
        <c:axId val="12210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9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0883"/>
          <c:w val="0.123431181980934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-420.90000000000015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39.099999999999994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2138624"/>
        <c:axId val="122140160"/>
      </c:lineChart>
      <c:catAx>
        <c:axId val="1221386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40160"/>
        <c:crosses val="autoZero"/>
        <c:auto val="1"/>
        <c:lblAlgn val="ctr"/>
        <c:lblOffset val="100"/>
      </c:catAx>
      <c:valAx>
        <c:axId val="1221401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3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447"/>
          <c:w val="0.1569039853282256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2172544"/>
        <c:axId val="122174080"/>
      </c:lineChart>
      <c:catAx>
        <c:axId val="12217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74080"/>
        <c:crosses val="autoZero"/>
        <c:auto val="1"/>
        <c:lblAlgn val="ctr"/>
        <c:lblOffset val="100"/>
      </c:catAx>
      <c:valAx>
        <c:axId val="1221740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7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59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2260480"/>
        <c:axId val="122278656"/>
      </c:lineChart>
      <c:catAx>
        <c:axId val="12226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78656"/>
        <c:crosses val="autoZero"/>
        <c:auto val="1"/>
        <c:lblAlgn val="ctr"/>
        <c:lblOffset val="100"/>
      </c:catAx>
      <c:valAx>
        <c:axId val="12227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6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375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2607104"/>
        <c:axId val="122608640"/>
      </c:lineChart>
      <c:catAx>
        <c:axId val="12260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08640"/>
        <c:crosses val="autoZero"/>
        <c:auto val="1"/>
        <c:lblAlgn val="ctr"/>
        <c:lblOffset val="100"/>
      </c:catAx>
      <c:valAx>
        <c:axId val="122608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0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3116544"/>
        <c:axId val="123118336"/>
      </c:lineChart>
      <c:catAx>
        <c:axId val="12311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18336"/>
        <c:crosses val="autoZero"/>
        <c:auto val="1"/>
        <c:lblAlgn val="ctr"/>
        <c:lblOffset val="100"/>
      </c:catAx>
      <c:valAx>
        <c:axId val="12311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1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56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-420.90000000000015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39.099999999999994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0166656"/>
        <c:axId val="120172544"/>
      </c:lineChart>
      <c:catAx>
        <c:axId val="1201666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72544"/>
        <c:crosses val="autoZero"/>
        <c:auto val="1"/>
        <c:lblAlgn val="ctr"/>
        <c:lblOffset val="100"/>
      </c:catAx>
      <c:valAx>
        <c:axId val="1201725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6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44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26">
          <cell r="V26">
            <v>344256</v>
          </cell>
          <cell r="W26">
            <v>365756</v>
          </cell>
          <cell r="Y26">
            <v>80</v>
          </cell>
          <cell r="AA26">
            <v>21500</v>
          </cell>
          <cell r="AB26">
            <v>1720000</v>
          </cell>
          <cell r="AC26">
            <v>1033333</v>
          </cell>
          <cell r="AD26">
            <v>0.41224067185642516</v>
          </cell>
        </row>
        <row r="27">
          <cell r="V27">
            <v>468436</v>
          </cell>
          <cell r="W27">
            <v>492400</v>
          </cell>
          <cell r="Y27">
            <v>112</v>
          </cell>
          <cell r="AA27">
            <v>23964</v>
          </cell>
          <cell r="AB27">
            <v>2683968</v>
          </cell>
          <cell r="AC27">
            <v>6200000</v>
          </cell>
          <cell r="AD27">
            <v>0.45948537024964525</v>
          </cell>
        </row>
        <row r="28">
          <cell r="V28">
            <v>143963</v>
          </cell>
          <cell r="W28">
            <v>150653</v>
          </cell>
          <cell r="Y28">
            <v>320</v>
          </cell>
          <cell r="AA28">
            <v>6690</v>
          </cell>
          <cell r="AB28">
            <v>2140800</v>
          </cell>
          <cell r="AC28">
            <v>1000</v>
          </cell>
          <cell r="AD28">
            <v>0.12827395789392951</v>
          </cell>
        </row>
        <row r="29">
          <cell r="AA29">
            <v>52154</v>
          </cell>
        </row>
        <row r="30">
          <cell r="AB30">
            <v>6544768</v>
          </cell>
        </row>
        <row r="33">
          <cell r="W33">
            <v>240</v>
          </cell>
          <cell r="X33">
            <v>8</v>
          </cell>
          <cell r="Y33">
            <v>4</v>
          </cell>
          <cell r="AB33">
            <v>13779101</v>
          </cell>
          <cell r="AC33">
            <v>7234333</v>
          </cell>
        </row>
        <row r="35">
          <cell r="AB35">
            <v>9140.3655058043114</v>
          </cell>
        </row>
      </sheetData>
      <sheetData sheetId="13" refreshError="1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>
        <row r="33">
          <cell r="Z33">
            <v>85.510000000000218</v>
          </cell>
        </row>
      </sheetData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1" sqref="D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4.5178817204429268E-2</v>
      </c>
      <c r="G2" s="203">
        <f>-tanks!AW6</f>
        <v>195</v>
      </c>
      <c r="H2" s="330">
        <f>SUM(tanks!AV6)</f>
        <v>0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5.4935825924861667E-2</v>
      </c>
      <c r="G3" s="203">
        <f>-tanks!AW7</f>
        <v>153</v>
      </c>
      <c r="H3" s="330">
        <f>SUM(tanks!AV7)</f>
        <v>0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4.8755949152890075E-2</v>
      </c>
      <c r="G4" s="203">
        <f>-tanks!AW8</f>
        <v>141</v>
      </c>
      <c r="H4" s="330">
        <f>SUM(tanks!AV8)</f>
        <v>0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8383</v>
      </c>
      <c r="F5" s="330">
        <f>SUM('EDl log'!T7)</f>
        <v>3.4472164260819352E-2</v>
      </c>
      <c r="G5" s="203">
        <f>-tanks!AW9</f>
        <v>95</v>
      </c>
      <c r="H5" s="330">
        <f>SUM(tanks!AV9)</f>
        <v>0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4768</v>
      </c>
      <c r="F6" s="330">
        <f>SUM('EDl log'!T8)</f>
        <v>7.2181261011102379E-2</v>
      </c>
      <c r="G6" s="203">
        <f>-tanks!AW10</f>
        <v>164</v>
      </c>
      <c r="H6" s="330">
        <f>SUM(tanks!AV10)</f>
        <v>0</v>
      </c>
      <c r="I6" s="10">
        <f>('B5'!AU9)*0.51</f>
        <v>0</v>
      </c>
      <c r="J6" s="309">
        <f>'B5'!AX9/0.51</f>
        <v>1.5686274509803921</v>
      </c>
      <c r="K6" s="203">
        <f>WATER!I10</f>
        <v>295</v>
      </c>
      <c r="L6" s="331">
        <f>SUM(WATER!J10)</f>
        <v>0.82012028430836525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3912</v>
      </c>
      <c r="F7" s="330">
        <f>SUM('EDl log'!T9)</f>
        <v>8.1979601082040596E-2</v>
      </c>
      <c r="G7" s="203">
        <f>-tanks!AW11</f>
        <v>155</v>
      </c>
      <c r="H7" s="330">
        <f>SUM(tanks!AV11)</f>
        <v>0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8995.3999999999069</v>
      </c>
      <c r="F8" s="330">
        <f>SUM('EDl log'!T10)</f>
        <v>3.2883995925182166E-2</v>
      </c>
      <c r="G8" s="203">
        <f>-tanks!AW12</f>
        <v>166</v>
      </c>
      <c r="H8" s="330">
        <f>SUM(tanks!AV12)</f>
        <v>0</v>
      </c>
      <c r="I8" s="10">
        <f>('B5'!AU11)*0.51</f>
        <v>0</v>
      </c>
      <c r="J8" s="309">
        <f>'B5'!AX11/0.51</f>
        <v>1.5686274509803921</v>
      </c>
      <c r="K8" s="203">
        <f>WATER!I12</f>
        <v>293</v>
      </c>
      <c r="L8" s="331">
        <f>SUM(WATER!J12)</f>
        <v>0.82571837498623801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8249.8000000002794</v>
      </c>
      <c r="F9" s="330">
        <f>SUM('EDl log'!T11)</f>
        <v>3.253030914384477E-2</v>
      </c>
      <c r="G9" s="203">
        <f>-tanks!AW13</f>
        <v>156</v>
      </c>
      <c r="H9" s="330">
        <f>SUM(tanks!AV13)</f>
        <v>0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9025.7999999998137</v>
      </c>
      <c r="F10" s="330">
        <f>SUM('EDl log'!T12)</f>
        <v>3.2422815101236811E-2</v>
      </c>
      <c r="G10" s="203">
        <f>-tanks!AW14</f>
        <v>112</v>
      </c>
      <c r="H10" s="330">
        <f>SUM(tanks!AV14)</f>
        <v>0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2022</v>
      </c>
      <c r="E32" s="203">
        <f>ELEC!N33</f>
        <v>0</v>
      </c>
      <c r="F32" s="330">
        <f>SUM('EDl log'!T34)</f>
        <v>0</v>
      </c>
      <c r="G32" s="203">
        <f>-tanks!AW36</f>
        <v>0</v>
      </c>
      <c r="H32" s="330">
        <f>SUM(tanks!AV36)</f>
        <v>0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1652</v>
      </c>
      <c r="F5" s="203">
        <f>ELEC!K6</f>
        <v>2336</v>
      </c>
      <c r="G5" s="203">
        <f>ELEC!I6</f>
        <v>788</v>
      </c>
      <c r="H5" s="203">
        <f>ELEC!E6</f>
        <v>2984</v>
      </c>
      <c r="I5" s="203">
        <f>ELEC!G6</f>
        <v>623</v>
      </c>
      <c r="J5" s="203">
        <f>WATER!Y9</f>
        <v>1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1880</v>
      </c>
      <c r="F6" s="203">
        <f>ELEC!K7</f>
        <v>1312</v>
      </c>
      <c r="G6" s="203">
        <f>ELEC!I7</f>
        <v>912</v>
      </c>
      <c r="H6" s="203">
        <f>ELEC!E7</f>
        <v>0</v>
      </c>
      <c r="I6" s="203">
        <f>ELEC!G7</f>
        <v>664</v>
      </c>
      <c r="J6" s="203">
        <f>WATER!Y10</f>
        <v>105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1498</v>
      </c>
      <c r="F7" s="203">
        <f>ELEC!K8</f>
        <v>924</v>
      </c>
      <c r="G7" s="203">
        <f>ELEC!I8</f>
        <v>792</v>
      </c>
      <c r="H7" s="203">
        <f>ELEC!AO8</f>
        <v>5767</v>
      </c>
      <c r="I7" s="203">
        <f>ELEC!G8</f>
        <v>698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1848</v>
      </c>
      <c r="F8" s="203">
        <f>ELEC!K9</f>
        <v>1228</v>
      </c>
      <c r="G8" s="203">
        <f>ELEC!I9</f>
        <v>968</v>
      </c>
      <c r="H8" s="203">
        <f>ELEC!AO9</f>
        <v>4201</v>
      </c>
      <c r="I8" s="203">
        <f>ELEC!G9</f>
        <v>750.39999999990687</v>
      </c>
      <c r="J8" s="203">
        <f>WATER!Y12</f>
        <v>145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1638</v>
      </c>
      <c r="F9" s="203">
        <f>ELEC!K10</f>
        <v>1186</v>
      </c>
      <c r="G9" s="203">
        <f>ELEC!I10</f>
        <v>792</v>
      </c>
      <c r="H9" s="203">
        <f>ELEC!AO10</f>
        <v>3953</v>
      </c>
      <c r="I9" s="203">
        <f>ELEC!G10</f>
        <v>680.8000000002794</v>
      </c>
      <c r="J9" s="203">
        <f>WATER!Y13</f>
        <v>0</v>
      </c>
      <c r="K9" s="203">
        <f>WATER!AJ13</f>
        <v>32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1780</v>
      </c>
      <c r="F10" s="203">
        <f>ELEC!K11</f>
        <v>1272</v>
      </c>
      <c r="G10" s="203">
        <f>ELEC!I11</f>
        <v>796</v>
      </c>
      <c r="H10" s="203">
        <f>ELEC!AO11</f>
        <v>4500</v>
      </c>
      <c r="I10" s="203">
        <f>ELEC!G11</f>
        <v>677.79999999981374</v>
      </c>
      <c r="J10" s="203">
        <f>WATER!Y14</f>
        <v>26</v>
      </c>
      <c r="K10" s="203">
        <f>WATER!AJ14</f>
        <v>11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ELEC!AO12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ELEC!AO13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ELEC!AO14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ELEC!AO15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ELEC!AO16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ELEC!AO17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ELEC!AO18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ELEC!AO19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ELEC!AO20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ELEC!AO21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ELEC!AO22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ELEC!AO23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ELEC!AO24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ELEC!AO25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ELEC!AO26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ELEC!AO27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ELEC!AO28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ELEC!AO29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ELEC!AO30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ELEC!AO31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ELEC!AO32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ELEC!AO33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topLeftCell="S1" zoomScale="90" zoomScaleNormal="90" zoomScaleSheetLayoutView="100" workbookViewId="0">
      <pane ySplit="1" topLeftCell="A2" activePane="bottomLeft" state="frozen"/>
      <selection activeCell="C1" sqref="C1"/>
      <selection pane="bottomLeft" activeCell="Y12" sqref="Y12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36" width="9.140625" style="465"/>
    <col min="37" max="37" width="12.42578125" style="465" customWidth="1"/>
    <col min="38" max="38" width="11.42578125" style="465" customWidth="1"/>
    <col min="39" max="40" width="9.140625" style="465"/>
    <col min="41" max="41" width="21.140625" style="465" customWidth="1"/>
    <col min="42" max="16384" width="9.140625" style="465"/>
  </cols>
  <sheetData>
    <row r="1" spans="1:41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41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4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41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1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41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1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33" si="10">W3</f>
        <v>32312</v>
      </c>
      <c r="X4" s="448">
        <f t="shared" si="5"/>
        <v>0</v>
      </c>
      <c r="Y4" s="444">
        <f t="shared" ref="Y4:Y33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  <c r="AK4" s="637"/>
      <c r="AL4" s="653" t="s">
        <v>421</v>
      </c>
      <c r="AM4" s="653"/>
      <c r="AN4" s="653"/>
      <c r="AO4" s="654"/>
    </row>
    <row r="5" spans="1:41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1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  <c r="AK5" s="638"/>
      <c r="AL5" s="635" t="s">
        <v>419</v>
      </c>
      <c r="AM5" s="636" t="s">
        <v>418</v>
      </c>
      <c r="AN5" s="636" t="s">
        <v>391</v>
      </c>
      <c r="AO5" s="639" t="s">
        <v>420</v>
      </c>
    </row>
    <row r="6" spans="1:41">
      <c r="A6" s="456">
        <f>'General information '!F9</f>
        <v>0</v>
      </c>
      <c r="B6" s="450">
        <f t="shared" si="8"/>
        <v>0</v>
      </c>
      <c r="C6" s="457">
        <v>44320</v>
      </c>
      <c r="D6" s="444">
        <v>32832310</v>
      </c>
      <c r="E6" s="311">
        <f t="shared" si="13"/>
        <v>2984</v>
      </c>
      <c r="F6" s="444">
        <v>4012196</v>
      </c>
      <c r="G6" s="312">
        <f t="shared" si="1"/>
        <v>623</v>
      </c>
      <c r="H6" s="444">
        <v>17859302</v>
      </c>
      <c r="I6" s="312">
        <f t="shared" si="14"/>
        <v>788</v>
      </c>
      <c r="J6" s="444">
        <v>29017114</v>
      </c>
      <c r="K6" s="312">
        <f t="shared" si="15"/>
        <v>2336</v>
      </c>
      <c r="L6" s="444">
        <v>24182410</v>
      </c>
      <c r="M6" s="312">
        <f t="shared" si="16"/>
        <v>1652</v>
      </c>
      <c r="N6" s="310">
        <f t="shared" si="17"/>
        <v>8383</v>
      </c>
      <c r="O6" s="466">
        <f t="shared" si="2"/>
        <v>0</v>
      </c>
      <c r="P6" s="591">
        <v>16985.990000000002</v>
      </c>
      <c r="Q6" s="448">
        <f t="shared" si="3"/>
        <v>4211.0000000029686</v>
      </c>
      <c r="R6" s="448">
        <f t="shared" ref="R6:R12" si="21">N6-Q6</f>
        <v>4171.9999999970314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v>32317</v>
      </c>
      <c r="X6" s="448">
        <f t="shared" si="5"/>
        <v>5</v>
      </c>
      <c r="Y6" s="444">
        <v>722633</v>
      </c>
      <c r="Z6" s="448">
        <f t="shared" ref="Z6:Z30" si="22">Y6-Y5</f>
        <v>1269</v>
      </c>
      <c r="AA6" s="444">
        <v>35896</v>
      </c>
      <c r="AB6" s="448">
        <f t="shared" si="19"/>
        <v>0</v>
      </c>
      <c r="AC6" s="444">
        <f t="shared" ref="AC6:AC33" si="23">AC5</f>
        <v>952602</v>
      </c>
      <c r="AD6" s="448">
        <f t="shared" si="20"/>
        <v>0</v>
      </c>
      <c r="AE6" s="471">
        <f t="shared" si="12"/>
        <v>5</v>
      </c>
      <c r="AF6" s="472">
        <f t="shared" si="6"/>
        <v>1269</v>
      </c>
      <c r="AG6" s="464">
        <f t="shared" si="7"/>
        <v>253.8</v>
      </c>
      <c r="AI6" s="465">
        <f>R6-'EDl log'!B4</f>
        <v>-1007025.000000003</v>
      </c>
      <c r="AK6" s="640">
        <v>44320</v>
      </c>
      <c r="AL6" s="17">
        <v>270643</v>
      </c>
      <c r="AM6" s="17">
        <v>409413</v>
      </c>
      <c r="AN6" s="17">
        <f>AM6+AL6</f>
        <v>680056</v>
      </c>
      <c r="AO6" s="641"/>
    </row>
    <row r="7" spans="1:41">
      <c r="A7" s="456">
        <f>'General information '!F10</f>
        <v>0</v>
      </c>
      <c r="B7" s="450">
        <f t="shared" si="8"/>
        <v>0</v>
      </c>
      <c r="C7" s="457">
        <v>44321</v>
      </c>
      <c r="D7" s="444">
        <v>32832310</v>
      </c>
      <c r="E7" s="311">
        <f t="shared" si="13"/>
        <v>0</v>
      </c>
      <c r="F7" s="444">
        <v>4012860</v>
      </c>
      <c r="G7" s="312">
        <f t="shared" si="1"/>
        <v>664</v>
      </c>
      <c r="H7" s="444">
        <v>17860214</v>
      </c>
      <c r="I7" s="312">
        <f t="shared" si="14"/>
        <v>912</v>
      </c>
      <c r="J7" s="444">
        <v>29018426</v>
      </c>
      <c r="K7" s="312">
        <f t="shared" si="15"/>
        <v>1312</v>
      </c>
      <c r="L7" s="444">
        <v>24184290</v>
      </c>
      <c r="M7" s="312">
        <f t="shared" si="16"/>
        <v>1880</v>
      </c>
      <c r="N7" s="310">
        <f t="shared" si="17"/>
        <v>4768</v>
      </c>
      <c r="O7" s="466">
        <f t="shared" si="2"/>
        <v>0</v>
      </c>
      <c r="P7" s="591">
        <v>16991.599999999999</v>
      </c>
      <c r="Q7" s="448">
        <f t="shared" si="3"/>
        <v>5609.9999999969441</v>
      </c>
      <c r="R7" s="448">
        <f t="shared" si="21"/>
        <v>-841.9999999969441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v>32317</v>
      </c>
      <c r="X7" s="448">
        <f t="shared" si="5"/>
        <v>0</v>
      </c>
      <c r="Y7" s="444">
        <v>722652</v>
      </c>
      <c r="Z7" s="448">
        <f t="shared" si="22"/>
        <v>19</v>
      </c>
      <c r="AA7" s="444">
        <v>35905</v>
      </c>
      <c r="AB7" s="448">
        <f t="shared" si="19"/>
        <v>9</v>
      </c>
      <c r="AC7" s="444">
        <v>954371</v>
      </c>
      <c r="AD7" s="448">
        <f t="shared" si="20"/>
        <v>1769</v>
      </c>
      <c r="AE7" s="471">
        <f t="shared" si="12"/>
        <v>9</v>
      </c>
      <c r="AF7" s="472">
        <f t="shared" si="6"/>
        <v>1788</v>
      </c>
      <c r="AG7" s="464">
        <f t="shared" si="7"/>
        <v>198.66666666666666</v>
      </c>
      <c r="AI7" s="465">
        <f>R7-'EDl log'!B5</f>
        <v>-1014455.999999997</v>
      </c>
      <c r="AK7" s="640">
        <v>44321</v>
      </c>
      <c r="AL7" s="17">
        <v>270643</v>
      </c>
      <c r="AM7" s="17">
        <v>409413</v>
      </c>
      <c r="AN7" s="17">
        <f>AM7+AL7</f>
        <v>680056</v>
      </c>
      <c r="AO7" s="641">
        <f>AN7-AN6</f>
        <v>0</v>
      </c>
    </row>
    <row r="8" spans="1:41">
      <c r="A8" s="456">
        <f>'General information '!F11</f>
        <v>0</v>
      </c>
      <c r="B8" s="450">
        <f t="shared" si="8"/>
        <v>0</v>
      </c>
      <c r="C8" s="457">
        <v>44322</v>
      </c>
      <c r="D8" s="444">
        <v>32832310</v>
      </c>
      <c r="E8" s="311">
        <f t="shared" si="13"/>
        <v>0</v>
      </c>
      <c r="F8" s="651">
        <v>4013558</v>
      </c>
      <c r="G8" s="312">
        <f t="shared" si="1"/>
        <v>698</v>
      </c>
      <c r="H8" s="444">
        <v>17861006</v>
      </c>
      <c r="I8" s="312">
        <f t="shared" si="14"/>
        <v>792</v>
      </c>
      <c r="J8" s="651">
        <v>29019350</v>
      </c>
      <c r="K8" s="312">
        <f t="shared" si="15"/>
        <v>924</v>
      </c>
      <c r="L8" s="444">
        <v>24185788</v>
      </c>
      <c r="M8" s="312">
        <f t="shared" si="16"/>
        <v>1498</v>
      </c>
      <c r="N8" s="310">
        <f t="shared" si="17"/>
        <v>3912</v>
      </c>
      <c r="O8" s="466">
        <f t="shared" si="2"/>
        <v>0</v>
      </c>
      <c r="P8" s="591">
        <v>16995.081999999999</v>
      </c>
      <c r="Q8" s="448">
        <f t="shared" si="3"/>
        <v>3481.9999999999709</v>
      </c>
      <c r="R8" s="448">
        <f t="shared" si="21"/>
        <v>430.0000000000291</v>
      </c>
      <c r="S8" s="444"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32317</v>
      </c>
      <c r="X8" s="448">
        <f t="shared" si="5"/>
        <v>0</v>
      </c>
      <c r="Y8" s="444">
        <f t="shared" si="11"/>
        <v>722652</v>
      </c>
      <c r="Z8" s="448">
        <f t="shared" si="22"/>
        <v>0</v>
      </c>
      <c r="AA8" s="444">
        <v>35909</v>
      </c>
      <c r="AB8" s="448">
        <f t="shared" si="19"/>
        <v>4</v>
      </c>
      <c r="AC8" s="651">
        <v>955297</v>
      </c>
      <c r="AD8" s="448">
        <f t="shared" si="20"/>
        <v>926</v>
      </c>
      <c r="AE8" s="471">
        <f t="shared" si="12"/>
        <v>4</v>
      </c>
      <c r="AF8" s="472">
        <f t="shared" si="6"/>
        <v>926</v>
      </c>
      <c r="AG8" s="464">
        <f t="shared" si="7"/>
        <v>231.5</v>
      </c>
      <c r="AI8" s="465">
        <f>R8-'EDl log'!B6</f>
        <v>-1015450</v>
      </c>
      <c r="AK8" s="640">
        <v>44322</v>
      </c>
      <c r="AL8" s="17">
        <v>274499</v>
      </c>
      <c r="AM8" s="17">
        <v>411324</v>
      </c>
      <c r="AN8" s="17">
        <f>AM8+AL8</f>
        <v>685823</v>
      </c>
      <c r="AO8" s="641">
        <f>AN8-AN7</f>
        <v>5767</v>
      </c>
    </row>
    <row r="9" spans="1:41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ref="D9:D33" si="24">D8+AO9</f>
        <v>32836511</v>
      </c>
      <c r="E9" s="311">
        <f t="shared" si="13"/>
        <v>4201</v>
      </c>
      <c r="F9" s="444">
        <v>4014308.4</v>
      </c>
      <c r="G9" s="312">
        <f t="shared" si="1"/>
        <v>750.39999999990687</v>
      </c>
      <c r="H9" s="444">
        <v>17861974</v>
      </c>
      <c r="I9" s="312">
        <f t="shared" si="14"/>
        <v>968</v>
      </c>
      <c r="J9" s="444">
        <v>29020578</v>
      </c>
      <c r="K9" s="312">
        <f t="shared" si="15"/>
        <v>1228</v>
      </c>
      <c r="L9" s="444">
        <v>24187636</v>
      </c>
      <c r="M9" s="312">
        <f t="shared" si="16"/>
        <v>1848</v>
      </c>
      <c r="N9" s="310">
        <f t="shared" si="17"/>
        <v>8995.3999999999069</v>
      </c>
      <c r="O9" s="466">
        <f t="shared" si="2"/>
        <v>0</v>
      </c>
      <c r="P9" s="591">
        <v>17000.937000000002</v>
      </c>
      <c r="Q9" s="448">
        <f t="shared" si="3"/>
        <v>5855.0000000032014</v>
      </c>
      <c r="R9" s="448">
        <f t="shared" si="21"/>
        <v>3140.3999999967054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32317</v>
      </c>
      <c r="X9" s="448">
        <f t="shared" ref="X9:X30" si="25">W9-W8</f>
        <v>0</v>
      </c>
      <c r="Y9" s="444">
        <f t="shared" si="11"/>
        <v>722652</v>
      </c>
      <c r="Z9" s="448">
        <f t="shared" si="22"/>
        <v>0</v>
      </c>
      <c r="AA9" s="444">
        <v>35917</v>
      </c>
      <c r="AB9" s="448">
        <f t="shared" si="19"/>
        <v>8</v>
      </c>
      <c r="AC9" s="444">
        <v>956869</v>
      </c>
      <c r="AD9" s="448">
        <f t="shared" si="20"/>
        <v>1572</v>
      </c>
      <c r="AE9" s="471">
        <f t="shared" si="12"/>
        <v>8</v>
      </c>
      <c r="AF9" s="472">
        <f t="shared" si="6"/>
        <v>1572</v>
      </c>
      <c r="AG9" s="464">
        <f t="shared" si="7"/>
        <v>196.5</v>
      </c>
      <c r="AI9" s="465">
        <f>R9-'EDl log'!B7</f>
        <v>-1014626.6000000034</v>
      </c>
      <c r="AK9" s="640">
        <v>44323</v>
      </c>
      <c r="AL9" s="17">
        <v>277740</v>
      </c>
      <c r="AM9" s="17">
        <v>412284</v>
      </c>
      <c r="AN9" s="17">
        <f t="shared" ref="AN9:AN33" si="26">AM9+AL9</f>
        <v>690024</v>
      </c>
      <c r="AO9" s="641">
        <f t="shared" ref="AO9:AO33" si="27">AN9-AN8</f>
        <v>4201</v>
      </c>
    </row>
    <row r="10" spans="1:41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4"/>
        <v>32840464</v>
      </c>
      <c r="E10" s="311">
        <f t="shared" si="13"/>
        <v>3953</v>
      </c>
      <c r="F10" s="444">
        <v>4014989.2</v>
      </c>
      <c r="G10" s="312">
        <f t="shared" si="1"/>
        <v>680.8000000002794</v>
      </c>
      <c r="H10" s="444">
        <v>17862766</v>
      </c>
      <c r="I10" s="312">
        <f t="shared" si="14"/>
        <v>792</v>
      </c>
      <c r="J10" s="444">
        <v>29021764</v>
      </c>
      <c r="K10" s="312">
        <f t="shared" si="15"/>
        <v>1186</v>
      </c>
      <c r="L10" s="444">
        <v>24189274</v>
      </c>
      <c r="M10" s="312">
        <f t="shared" si="16"/>
        <v>1638</v>
      </c>
      <c r="N10" s="310">
        <f t="shared" si="17"/>
        <v>8249.8000000002794</v>
      </c>
      <c r="O10" s="466">
        <f t="shared" ref="O10:O30" si="28">IF(B10&gt;0,N10/B10,0)</f>
        <v>0</v>
      </c>
      <c r="P10" s="591">
        <v>17006.446</v>
      </c>
      <c r="Q10" s="448">
        <f t="shared" si="3"/>
        <v>5508.9999999981956</v>
      </c>
      <c r="R10" s="448">
        <f t="shared" si="21"/>
        <v>2740.8000000020838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32317</v>
      </c>
      <c r="X10" s="448">
        <f t="shared" si="25"/>
        <v>0</v>
      </c>
      <c r="Y10" s="444">
        <f t="shared" si="11"/>
        <v>722652</v>
      </c>
      <c r="Z10" s="448">
        <f t="shared" si="22"/>
        <v>0</v>
      </c>
      <c r="AA10" s="444">
        <v>35924</v>
      </c>
      <c r="AB10" s="448">
        <f t="shared" si="19"/>
        <v>7</v>
      </c>
      <c r="AC10" s="444">
        <v>958420</v>
      </c>
      <c r="AD10" s="448">
        <f t="shared" si="20"/>
        <v>1551</v>
      </c>
      <c r="AE10" s="471">
        <f t="shared" si="12"/>
        <v>7</v>
      </c>
      <c r="AF10" s="472">
        <f t="shared" si="6"/>
        <v>1551</v>
      </c>
      <c r="AG10" s="464">
        <f t="shared" ref="AG10:AG30" si="29">IF(AE10&gt;0,AF10/AE10,0)</f>
        <v>221.57142857142858</v>
      </c>
      <c r="AI10" s="465">
        <f>R10-'EDl log'!B8</f>
        <v>-1017112.1999999979</v>
      </c>
      <c r="AK10" s="640">
        <v>44324</v>
      </c>
      <c r="AL10" s="17">
        <v>280877</v>
      </c>
      <c r="AM10" s="17">
        <v>413100</v>
      </c>
      <c r="AN10" s="17">
        <f t="shared" si="26"/>
        <v>693977</v>
      </c>
      <c r="AO10" s="641">
        <f t="shared" si="27"/>
        <v>3953</v>
      </c>
    </row>
    <row r="11" spans="1:41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4"/>
        <v>32844964</v>
      </c>
      <c r="E11" s="311">
        <f>D11-D10</f>
        <v>4500</v>
      </c>
      <c r="F11" s="651">
        <v>4015667</v>
      </c>
      <c r="G11" s="312">
        <f t="shared" si="1"/>
        <v>677.79999999981374</v>
      </c>
      <c r="H11" s="444">
        <v>17863562</v>
      </c>
      <c r="I11" s="312">
        <f t="shared" si="14"/>
        <v>796</v>
      </c>
      <c r="J11" s="651">
        <v>29023036</v>
      </c>
      <c r="K11" s="312">
        <f t="shared" si="15"/>
        <v>1272</v>
      </c>
      <c r="L11" s="444">
        <v>24191054</v>
      </c>
      <c r="M11" s="312">
        <f t="shared" si="16"/>
        <v>1780</v>
      </c>
      <c r="N11" s="310">
        <f>M11+K11+I11+G11+E11</f>
        <v>9025.7999999998137</v>
      </c>
      <c r="O11" s="466">
        <f t="shared" si="28"/>
        <v>0</v>
      </c>
      <c r="P11" s="591">
        <v>17012.749</v>
      </c>
      <c r="Q11" s="448">
        <f t="shared" si="3"/>
        <v>6302.9999999998836</v>
      </c>
      <c r="R11" s="448">
        <f t="shared" si="21"/>
        <v>2722.7999999999302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32317</v>
      </c>
      <c r="X11" s="448">
        <f t="shared" si="25"/>
        <v>0</v>
      </c>
      <c r="Y11" s="444">
        <f t="shared" si="11"/>
        <v>722652</v>
      </c>
      <c r="Z11" s="448">
        <f t="shared" si="22"/>
        <v>0</v>
      </c>
      <c r="AA11" s="444">
        <v>35932</v>
      </c>
      <c r="AB11" s="448">
        <f t="shared" si="19"/>
        <v>8</v>
      </c>
      <c r="AC11" s="651">
        <v>960238</v>
      </c>
      <c r="AD11" s="448">
        <f t="shared" si="20"/>
        <v>1818</v>
      </c>
      <c r="AE11" s="471">
        <f t="shared" si="12"/>
        <v>8</v>
      </c>
      <c r="AF11" s="472">
        <f t="shared" si="6"/>
        <v>1818</v>
      </c>
      <c r="AG11" s="464">
        <f t="shared" si="29"/>
        <v>227.25</v>
      </c>
      <c r="AI11" s="465">
        <f>R11-'EDl log'!B9</f>
        <v>-1019084.2000000001</v>
      </c>
      <c r="AK11" s="640">
        <v>44325</v>
      </c>
      <c r="AL11" s="17">
        <v>284469</v>
      </c>
      <c r="AM11" s="17">
        <v>414008</v>
      </c>
      <c r="AN11" s="17">
        <f>AM11+AL11</f>
        <v>698477</v>
      </c>
      <c r="AO11" s="641">
        <f t="shared" si="27"/>
        <v>4500</v>
      </c>
    </row>
    <row r="12" spans="1:41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4"/>
        <v>32844964</v>
      </c>
      <c r="E12" s="311">
        <f t="shared" si="13"/>
        <v>0</v>
      </c>
      <c r="F12" s="444">
        <f t="shared" ref="F11:F33" si="30">F11</f>
        <v>4015667</v>
      </c>
      <c r="G12" s="312">
        <f t="shared" si="1"/>
        <v>0</v>
      </c>
      <c r="H12" s="444">
        <f t="shared" ref="H11:H33" si="31">H11</f>
        <v>17863562</v>
      </c>
      <c r="I12" s="312">
        <f t="shared" si="14"/>
        <v>0</v>
      </c>
      <c r="J12" s="444">
        <f t="shared" ref="J11:J33" si="32">J11</f>
        <v>29023036</v>
      </c>
      <c r="K12" s="312">
        <f t="shared" si="15"/>
        <v>0</v>
      </c>
      <c r="L12" s="444">
        <f t="shared" ref="L11:L33" si="33">L11</f>
        <v>24191054</v>
      </c>
      <c r="M12" s="312">
        <f t="shared" si="16"/>
        <v>0</v>
      </c>
      <c r="N12" s="310">
        <f>M12+K12+I12+G12+E12</f>
        <v>0</v>
      </c>
      <c r="O12" s="466">
        <f t="shared" si="28"/>
        <v>0</v>
      </c>
      <c r="P12" s="591">
        <f t="shared" ref="P11:P33" si="34">P11</f>
        <v>17012.749</v>
      </c>
      <c r="Q12" s="448">
        <f t="shared" si="3"/>
        <v>0</v>
      </c>
      <c r="R12" s="448">
        <f t="shared" si="21"/>
        <v>0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f t="shared" si="10"/>
        <v>32317</v>
      </c>
      <c r="X12" s="448">
        <f t="shared" si="25"/>
        <v>0</v>
      </c>
      <c r="Y12" s="444">
        <f t="shared" si="11"/>
        <v>722652</v>
      </c>
      <c r="Z12" s="448">
        <f t="shared" si="22"/>
        <v>0</v>
      </c>
      <c r="AA12" s="444">
        <f t="shared" ref="AA11:AA33" si="35">AA11</f>
        <v>35932</v>
      </c>
      <c r="AB12" s="448">
        <f t="shared" si="19"/>
        <v>0</v>
      </c>
      <c r="AC12" s="444">
        <f t="shared" si="23"/>
        <v>960238</v>
      </c>
      <c r="AD12" s="448">
        <f t="shared" si="20"/>
        <v>0</v>
      </c>
      <c r="AE12" s="471">
        <f t="shared" si="12"/>
        <v>0</v>
      </c>
      <c r="AF12" s="472">
        <f t="shared" si="6"/>
        <v>0</v>
      </c>
      <c r="AG12" s="464">
        <f t="shared" si="29"/>
        <v>0</v>
      </c>
      <c r="AI12" s="465">
        <f>R12-'EDl log'!B10</f>
        <v>-1023553</v>
      </c>
      <c r="AK12" s="640">
        <v>44326</v>
      </c>
      <c r="AL12" s="17">
        <f>AL11</f>
        <v>284469</v>
      </c>
      <c r="AM12" s="17">
        <v>414008</v>
      </c>
      <c r="AN12" s="17">
        <f>AM12+AL12</f>
        <v>698477</v>
      </c>
      <c r="AO12" s="641">
        <f t="shared" si="27"/>
        <v>0</v>
      </c>
    </row>
    <row r="13" spans="1:41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4"/>
        <v>32844964</v>
      </c>
      <c r="E13" s="311">
        <f t="shared" si="13"/>
        <v>0</v>
      </c>
      <c r="F13" s="444">
        <f t="shared" si="30"/>
        <v>4015667</v>
      </c>
      <c r="G13" s="312">
        <f t="shared" si="1"/>
        <v>0</v>
      </c>
      <c r="H13" s="444">
        <f t="shared" si="31"/>
        <v>17863562</v>
      </c>
      <c r="I13" s="312">
        <f t="shared" si="14"/>
        <v>0</v>
      </c>
      <c r="J13" s="444">
        <f t="shared" si="32"/>
        <v>29023036</v>
      </c>
      <c r="K13" s="312">
        <f t="shared" si="15"/>
        <v>0</v>
      </c>
      <c r="L13" s="444">
        <f t="shared" si="33"/>
        <v>24191054</v>
      </c>
      <c r="M13" s="312">
        <f t="shared" si="16"/>
        <v>0</v>
      </c>
      <c r="N13" s="310">
        <f t="shared" si="17"/>
        <v>0</v>
      </c>
      <c r="O13" s="466">
        <f t="shared" si="28"/>
        <v>0</v>
      </c>
      <c r="P13" s="591">
        <f t="shared" si="34"/>
        <v>17012.749</v>
      </c>
      <c r="Q13" s="448">
        <f>(P13-P12)*1000</f>
        <v>0</v>
      </c>
      <c r="R13" s="448">
        <f t="shared" ref="R13" si="36">N13-Q13</f>
        <v>0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f t="shared" si="10"/>
        <v>32317</v>
      </c>
      <c r="X13" s="448">
        <f t="shared" si="25"/>
        <v>0</v>
      </c>
      <c r="Y13" s="444">
        <f t="shared" si="11"/>
        <v>722652</v>
      </c>
      <c r="Z13" s="448">
        <f t="shared" si="22"/>
        <v>0</v>
      </c>
      <c r="AA13" s="444">
        <f t="shared" si="35"/>
        <v>35932</v>
      </c>
      <c r="AB13" s="448">
        <f t="shared" si="19"/>
        <v>0</v>
      </c>
      <c r="AC13" s="444">
        <f t="shared" si="23"/>
        <v>960238</v>
      </c>
      <c r="AD13" s="448">
        <f t="shared" si="20"/>
        <v>0</v>
      </c>
      <c r="AE13" s="471">
        <f t="shared" si="12"/>
        <v>0</v>
      </c>
      <c r="AF13" s="472">
        <f t="shared" si="6"/>
        <v>0</v>
      </c>
      <c r="AG13" s="464">
        <f t="shared" si="29"/>
        <v>0</v>
      </c>
      <c r="AI13" s="465">
        <f>R13-'EDl log'!B11</f>
        <v>-1025137</v>
      </c>
      <c r="AK13" s="640">
        <v>44327</v>
      </c>
      <c r="AL13" s="17">
        <f t="shared" ref="AL13:AL33" si="37">AL12</f>
        <v>284469</v>
      </c>
      <c r="AM13" s="17">
        <v>414008</v>
      </c>
      <c r="AN13" s="17">
        <f t="shared" si="26"/>
        <v>698477</v>
      </c>
      <c r="AO13" s="641">
        <f t="shared" si="27"/>
        <v>0</v>
      </c>
    </row>
    <row r="14" spans="1:41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4"/>
        <v>32844964</v>
      </c>
      <c r="E14" s="311">
        <f t="shared" si="13"/>
        <v>0</v>
      </c>
      <c r="F14" s="444">
        <f t="shared" si="30"/>
        <v>4015667</v>
      </c>
      <c r="G14" s="312">
        <f t="shared" si="1"/>
        <v>0</v>
      </c>
      <c r="H14" s="444">
        <f t="shared" si="31"/>
        <v>17863562</v>
      </c>
      <c r="I14" s="312">
        <f t="shared" si="14"/>
        <v>0</v>
      </c>
      <c r="J14" s="444">
        <f t="shared" si="32"/>
        <v>29023036</v>
      </c>
      <c r="K14" s="312">
        <f t="shared" si="15"/>
        <v>0</v>
      </c>
      <c r="L14" s="444">
        <f t="shared" si="33"/>
        <v>24191054</v>
      </c>
      <c r="M14" s="312">
        <f t="shared" si="16"/>
        <v>0</v>
      </c>
      <c r="N14" s="310">
        <f t="shared" si="17"/>
        <v>0</v>
      </c>
      <c r="O14" s="466">
        <f t="shared" si="28"/>
        <v>0</v>
      </c>
      <c r="P14" s="591">
        <f t="shared" si="34"/>
        <v>17012.749</v>
      </c>
      <c r="Q14" s="448">
        <f t="shared" ref="Q14:Q30" si="38">(P14-P13)*1000</f>
        <v>0</v>
      </c>
      <c r="R14" s="448">
        <f t="shared" ref="R14:R30" si="39">N14-Q14</f>
        <v>0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f t="shared" si="10"/>
        <v>32317</v>
      </c>
      <c r="X14" s="448">
        <f t="shared" si="25"/>
        <v>0</v>
      </c>
      <c r="Y14" s="444">
        <f t="shared" si="11"/>
        <v>722652</v>
      </c>
      <c r="Z14" s="448">
        <f t="shared" si="22"/>
        <v>0</v>
      </c>
      <c r="AA14" s="444">
        <f t="shared" si="35"/>
        <v>35932</v>
      </c>
      <c r="AB14" s="448">
        <f t="shared" si="19"/>
        <v>0</v>
      </c>
      <c r="AC14" s="444">
        <f t="shared" si="23"/>
        <v>960238</v>
      </c>
      <c r="AD14" s="448">
        <f t="shared" si="20"/>
        <v>0</v>
      </c>
      <c r="AE14" s="471">
        <f t="shared" si="12"/>
        <v>0</v>
      </c>
      <c r="AF14" s="472">
        <f t="shared" si="6"/>
        <v>0</v>
      </c>
      <c r="AG14" s="464">
        <f t="shared" si="29"/>
        <v>0</v>
      </c>
      <c r="AI14" s="465">
        <f>R14-'EDl log'!B12</f>
        <v>-1026689</v>
      </c>
      <c r="AK14" s="640">
        <v>44328</v>
      </c>
      <c r="AL14" s="17">
        <f t="shared" si="37"/>
        <v>284469</v>
      </c>
      <c r="AM14" s="17">
        <v>414008</v>
      </c>
      <c r="AN14" s="17">
        <f t="shared" si="26"/>
        <v>698477</v>
      </c>
      <c r="AO14" s="641">
        <f t="shared" si="27"/>
        <v>0</v>
      </c>
    </row>
    <row r="15" spans="1:41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4"/>
        <v>32844964</v>
      </c>
      <c r="E15" s="311">
        <f t="shared" si="13"/>
        <v>0</v>
      </c>
      <c r="F15" s="444">
        <f t="shared" si="30"/>
        <v>4015667</v>
      </c>
      <c r="G15" s="312">
        <f t="shared" si="1"/>
        <v>0</v>
      </c>
      <c r="H15" s="444">
        <f t="shared" si="31"/>
        <v>17863562</v>
      </c>
      <c r="I15" s="312">
        <f t="shared" si="14"/>
        <v>0</v>
      </c>
      <c r="J15" s="444">
        <f t="shared" si="32"/>
        <v>29023036</v>
      </c>
      <c r="K15" s="312">
        <f t="shared" si="15"/>
        <v>0</v>
      </c>
      <c r="L15" s="444">
        <f t="shared" si="33"/>
        <v>24191054</v>
      </c>
      <c r="M15" s="312">
        <f t="shared" si="16"/>
        <v>0</v>
      </c>
      <c r="N15" s="310">
        <f t="shared" si="17"/>
        <v>0</v>
      </c>
      <c r="O15" s="466">
        <f t="shared" si="28"/>
        <v>0</v>
      </c>
      <c r="P15" s="591">
        <f t="shared" si="34"/>
        <v>17012.749</v>
      </c>
      <c r="Q15" s="448">
        <f>(P15-P14)*1000</f>
        <v>0</v>
      </c>
      <c r="R15" s="448">
        <f t="shared" si="39"/>
        <v>0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f t="shared" si="10"/>
        <v>32317</v>
      </c>
      <c r="X15" s="448">
        <f t="shared" si="25"/>
        <v>0</v>
      </c>
      <c r="Y15" s="444">
        <f t="shared" si="11"/>
        <v>722652</v>
      </c>
      <c r="Z15" s="448">
        <f t="shared" si="22"/>
        <v>0</v>
      </c>
      <c r="AA15" s="444">
        <f t="shared" si="35"/>
        <v>35932</v>
      </c>
      <c r="AB15" s="448">
        <f t="shared" si="19"/>
        <v>0</v>
      </c>
      <c r="AC15" s="444">
        <f t="shared" si="23"/>
        <v>960238</v>
      </c>
      <c r="AD15" s="448">
        <f t="shared" si="20"/>
        <v>0</v>
      </c>
      <c r="AE15" s="471">
        <f t="shared" si="12"/>
        <v>0</v>
      </c>
      <c r="AF15" s="472">
        <f t="shared" si="6"/>
        <v>0</v>
      </c>
      <c r="AG15" s="464">
        <f t="shared" si="29"/>
        <v>0</v>
      </c>
      <c r="AI15" s="465">
        <f>R15-'EDl log'!B13</f>
        <v>-1026689</v>
      </c>
      <c r="AK15" s="640">
        <v>44329</v>
      </c>
      <c r="AL15" s="17">
        <f t="shared" si="37"/>
        <v>284469</v>
      </c>
      <c r="AM15" s="17">
        <v>414008</v>
      </c>
      <c r="AN15" s="17">
        <f t="shared" si="26"/>
        <v>698477</v>
      </c>
      <c r="AO15" s="641">
        <f t="shared" si="27"/>
        <v>0</v>
      </c>
    </row>
    <row r="16" spans="1:41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4"/>
        <v>32844964</v>
      </c>
      <c r="E16" s="311">
        <f t="shared" si="13"/>
        <v>0</v>
      </c>
      <c r="F16" s="444">
        <f t="shared" si="30"/>
        <v>4015667</v>
      </c>
      <c r="G16" s="312">
        <f t="shared" si="1"/>
        <v>0</v>
      </c>
      <c r="H16" s="444">
        <f t="shared" si="31"/>
        <v>17863562</v>
      </c>
      <c r="I16" s="312">
        <f t="shared" si="14"/>
        <v>0</v>
      </c>
      <c r="J16" s="444">
        <f t="shared" si="32"/>
        <v>29023036</v>
      </c>
      <c r="K16" s="312">
        <f t="shared" si="15"/>
        <v>0</v>
      </c>
      <c r="L16" s="444">
        <f t="shared" si="33"/>
        <v>24191054</v>
      </c>
      <c r="M16" s="312">
        <f t="shared" si="16"/>
        <v>0</v>
      </c>
      <c r="N16" s="310">
        <f t="shared" si="17"/>
        <v>0</v>
      </c>
      <c r="O16" s="466">
        <f t="shared" si="28"/>
        <v>0</v>
      </c>
      <c r="P16" s="591">
        <f t="shared" si="34"/>
        <v>17012.749</v>
      </c>
      <c r="Q16" s="448">
        <f t="shared" si="38"/>
        <v>0</v>
      </c>
      <c r="R16" s="448">
        <f t="shared" si="39"/>
        <v>0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f t="shared" si="10"/>
        <v>32317</v>
      </c>
      <c r="X16" s="448">
        <f>W16-W15</f>
        <v>0</v>
      </c>
      <c r="Y16" s="444">
        <f t="shared" si="11"/>
        <v>722652</v>
      </c>
      <c r="Z16" s="448">
        <f>Y16-Y15</f>
        <v>0</v>
      </c>
      <c r="AA16" s="444">
        <f t="shared" si="35"/>
        <v>35932</v>
      </c>
      <c r="AB16" s="448">
        <f>AA16-AA15</f>
        <v>0</v>
      </c>
      <c r="AC16" s="444">
        <f t="shared" si="23"/>
        <v>960238</v>
      </c>
      <c r="AD16" s="448">
        <f t="shared" si="20"/>
        <v>0</v>
      </c>
      <c r="AE16" s="471">
        <f t="shared" si="12"/>
        <v>0</v>
      </c>
      <c r="AF16" s="472">
        <f t="shared" si="6"/>
        <v>0</v>
      </c>
      <c r="AG16" s="464">
        <f t="shared" si="29"/>
        <v>0</v>
      </c>
      <c r="AI16" s="465">
        <f>R16-'EDl log'!B14</f>
        <v>-1026689</v>
      </c>
      <c r="AK16" s="640">
        <v>44330</v>
      </c>
      <c r="AL16" s="17">
        <f t="shared" si="37"/>
        <v>284469</v>
      </c>
      <c r="AM16" s="17">
        <v>414008</v>
      </c>
      <c r="AN16" s="17">
        <f t="shared" si="26"/>
        <v>698477</v>
      </c>
      <c r="AO16" s="641">
        <f t="shared" si="27"/>
        <v>0</v>
      </c>
    </row>
    <row r="17" spans="1:41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4"/>
        <v>32844964</v>
      </c>
      <c r="E17" s="311">
        <f t="shared" si="13"/>
        <v>0</v>
      </c>
      <c r="F17" s="444">
        <f t="shared" si="30"/>
        <v>4015667</v>
      </c>
      <c r="G17" s="312">
        <f t="shared" si="1"/>
        <v>0</v>
      </c>
      <c r="H17" s="444">
        <f t="shared" si="31"/>
        <v>17863562</v>
      </c>
      <c r="I17" s="312">
        <f t="shared" si="14"/>
        <v>0</v>
      </c>
      <c r="J17" s="444">
        <f t="shared" si="32"/>
        <v>29023036</v>
      </c>
      <c r="K17" s="312">
        <f t="shared" si="15"/>
        <v>0</v>
      </c>
      <c r="L17" s="444">
        <f t="shared" si="33"/>
        <v>24191054</v>
      </c>
      <c r="M17" s="312">
        <f t="shared" si="16"/>
        <v>0</v>
      </c>
      <c r="N17" s="310">
        <f t="shared" si="17"/>
        <v>0</v>
      </c>
      <c r="O17" s="466">
        <f t="shared" si="28"/>
        <v>0</v>
      </c>
      <c r="P17" s="591">
        <f t="shared" si="34"/>
        <v>17012.749</v>
      </c>
      <c r="Q17" s="448">
        <f t="shared" si="38"/>
        <v>0</v>
      </c>
      <c r="R17" s="448">
        <f t="shared" si="39"/>
        <v>0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f t="shared" si="10"/>
        <v>32317</v>
      </c>
      <c r="X17" s="448">
        <f t="shared" si="25"/>
        <v>0</v>
      </c>
      <c r="Y17" s="444">
        <f t="shared" si="11"/>
        <v>722652</v>
      </c>
      <c r="Z17" s="448">
        <f t="shared" si="22"/>
        <v>0</v>
      </c>
      <c r="AA17" s="444">
        <f t="shared" si="35"/>
        <v>35932</v>
      </c>
      <c r="AB17" s="448">
        <f t="shared" si="19"/>
        <v>0</v>
      </c>
      <c r="AC17" s="444">
        <f t="shared" si="23"/>
        <v>960238</v>
      </c>
      <c r="AD17" s="448">
        <f t="shared" ref="AD17:AD30" si="40">AC17-AC16</f>
        <v>0</v>
      </c>
      <c r="AE17" s="471">
        <f t="shared" si="12"/>
        <v>0</v>
      </c>
      <c r="AF17" s="472">
        <f t="shared" si="6"/>
        <v>0</v>
      </c>
      <c r="AG17" s="464">
        <f t="shared" si="29"/>
        <v>0</v>
      </c>
      <c r="AI17" s="465">
        <f>R17-'EDl log'!B15</f>
        <v>-1026689</v>
      </c>
      <c r="AK17" s="640">
        <v>44331</v>
      </c>
      <c r="AL17" s="17">
        <f t="shared" si="37"/>
        <v>284469</v>
      </c>
      <c r="AM17" s="17">
        <v>414008</v>
      </c>
      <c r="AN17" s="17">
        <f t="shared" si="26"/>
        <v>698477</v>
      </c>
      <c r="AO17" s="641">
        <f t="shared" si="27"/>
        <v>0</v>
      </c>
    </row>
    <row r="18" spans="1:41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4"/>
        <v>32844964</v>
      </c>
      <c r="E18" s="311">
        <f t="shared" si="13"/>
        <v>0</v>
      </c>
      <c r="F18" s="444">
        <f t="shared" si="30"/>
        <v>4015667</v>
      </c>
      <c r="G18" s="312">
        <f t="shared" si="1"/>
        <v>0</v>
      </c>
      <c r="H18" s="444">
        <f t="shared" si="31"/>
        <v>17863562</v>
      </c>
      <c r="I18" s="312">
        <f t="shared" si="14"/>
        <v>0</v>
      </c>
      <c r="J18" s="444">
        <f t="shared" si="32"/>
        <v>29023036</v>
      </c>
      <c r="K18" s="312">
        <f t="shared" si="15"/>
        <v>0</v>
      </c>
      <c r="L18" s="444">
        <f t="shared" si="33"/>
        <v>24191054</v>
      </c>
      <c r="M18" s="312">
        <f t="shared" si="16"/>
        <v>0</v>
      </c>
      <c r="N18" s="310">
        <f t="shared" si="17"/>
        <v>0</v>
      </c>
      <c r="O18" s="466">
        <f t="shared" si="28"/>
        <v>0</v>
      </c>
      <c r="P18" s="591">
        <f t="shared" si="34"/>
        <v>17012.749</v>
      </c>
      <c r="Q18" s="448">
        <f t="shared" si="38"/>
        <v>0</v>
      </c>
      <c r="R18" s="448">
        <f t="shared" si="39"/>
        <v>0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f t="shared" si="10"/>
        <v>32317</v>
      </c>
      <c r="X18" s="448">
        <f t="shared" si="25"/>
        <v>0</v>
      </c>
      <c r="Y18" s="444">
        <f t="shared" si="11"/>
        <v>722652</v>
      </c>
      <c r="Z18" s="448">
        <f t="shared" si="22"/>
        <v>0</v>
      </c>
      <c r="AA18" s="444">
        <f t="shared" si="35"/>
        <v>35932</v>
      </c>
      <c r="AB18" s="448">
        <f t="shared" si="19"/>
        <v>0</v>
      </c>
      <c r="AC18" s="444">
        <f t="shared" si="23"/>
        <v>960238</v>
      </c>
      <c r="AD18" s="448">
        <f t="shared" si="40"/>
        <v>0</v>
      </c>
      <c r="AE18" s="471">
        <f t="shared" si="12"/>
        <v>0</v>
      </c>
      <c r="AF18" s="472">
        <f t="shared" si="6"/>
        <v>0</v>
      </c>
      <c r="AG18" s="464">
        <f t="shared" si="29"/>
        <v>0</v>
      </c>
      <c r="AI18" s="465">
        <f>R18-'EDl log'!B16</f>
        <v>-1026689</v>
      </c>
      <c r="AK18" s="640">
        <v>44332</v>
      </c>
      <c r="AL18" s="17">
        <f t="shared" si="37"/>
        <v>284469</v>
      </c>
      <c r="AM18" s="17">
        <v>414008</v>
      </c>
      <c r="AN18" s="17">
        <f t="shared" si="26"/>
        <v>698477</v>
      </c>
      <c r="AO18" s="641">
        <f t="shared" si="27"/>
        <v>0</v>
      </c>
    </row>
    <row r="19" spans="1:41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4"/>
        <v>32844964</v>
      </c>
      <c r="E19" s="311">
        <f t="shared" si="13"/>
        <v>0</v>
      </c>
      <c r="F19" s="444">
        <f t="shared" si="30"/>
        <v>4015667</v>
      </c>
      <c r="G19" s="312">
        <f t="shared" si="1"/>
        <v>0</v>
      </c>
      <c r="H19" s="444">
        <f t="shared" si="31"/>
        <v>17863562</v>
      </c>
      <c r="I19" s="312">
        <f t="shared" si="14"/>
        <v>0</v>
      </c>
      <c r="J19" s="444">
        <f t="shared" si="32"/>
        <v>29023036</v>
      </c>
      <c r="K19" s="312">
        <f t="shared" si="15"/>
        <v>0</v>
      </c>
      <c r="L19" s="444">
        <f t="shared" si="33"/>
        <v>24191054</v>
      </c>
      <c r="M19" s="312">
        <f t="shared" si="16"/>
        <v>0</v>
      </c>
      <c r="N19" s="310">
        <f t="shared" si="17"/>
        <v>0</v>
      </c>
      <c r="O19" s="466">
        <f t="shared" si="28"/>
        <v>0</v>
      </c>
      <c r="P19" s="591">
        <f t="shared" si="34"/>
        <v>17012.749</v>
      </c>
      <c r="Q19" s="448">
        <f t="shared" si="38"/>
        <v>0</v>
      </c>
      <c r="R19" s="448">
        <f t="shared" si="39"/>
        <v>0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f t="shared" si="10"/>
        <v>32317</v>
      </c>
      <c r="X19" s="448">
        <f t="shared" si="25"/>
        <v>0</v>
      </c>
      <c r="Y19" s="444">
        <f t="shared" si="11"/>
        <v>722652</v>
      </c>
      <c r="Z19" s="448">
        <f t="shared" si="22"/>
        <v>0</v>
      </c>
      <c r="AA19" s="444">
        <f t="shared" si="35"/>
        <v>35932</v>
      </c>
      <c r="AB19" s="448">
        <f t="shared" si="19"/>
        <v>0</v>
      </c>
      <c r="AC19" s="444">
        <f t="shared" si="23"/>
        <v>960238</v>
      </c>
      <c r="AD19" s="448">
        <f t="shared" si="40"/>
        <v>0</v>
      </c>
      <c r="AE19" s="471">
        <f t="shared" si="12"/>
        <v>0</v>
      </c>
      <c r="AF19" s="472">
        <f t="shared" si="6"/>
        <v>0</v>
      </c>
      <c r="AG19" s="464">
        <f t="shared" si="29"/>
        <v>0</v>
      </c>
      <c r="AI19" s="465">
        <f>R19-'EDl log'!B17</f>
        <v>-1026689</v>
      </c>
      <c r="AK19" s="640">
        <v>44333</v>
      </c>
      <c r="AL19" s="17">
        <f t="shared" si="37"/>
        <v>284469</v>
      </c>
      <c r="AM19" s="17">
        <v>414008</v>
      </c>
      <c r="AN19" s="17">
        <f t="shared" si="26"/>
        <v>698477</v>
      </c>
      <c r="AO19" s="641">
        <f t="shared" si="27"/>
        <v>0</v>
      </c>
    </row>
    <row r="20" spans="1:41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4"/>
        <v>32844964</v>
      </c>
      <c r="E20" s="311">
        <f t="shared" si="13"/>
        <v>0</v>
      </c>
      <c r="F20" s="444">
        <f t="shared" si="30"/>
        <v>4015667</v>
      </c>
      <c r="G20" s="312">
        <f t="shared" si="1"/>
        <v>0</v>
      </c>
      <c r="H20" s="444">
        <f t="shared" si="31"/>
        <v>17863562</v>
      </c>
      <c r="I20" s="312">
        <f t="shared" si="14"/>
        <v>0</v>
      </c>
      <c r="J20" s="444">
        <f t="shared" si="32"/>
        <v>29023036</v>
      </c>
      <c r="K20" s="312">
        <f t="shared" si="15"/>
        <v>0</v>
      </c>
      <c r="L20" s="444">
        <f t="shared" si="33"/>
        <v>24191054</v>
      </c>
      <c r="M20" s="312">
        <f t="shared" si="16"/>
        <v>0</v>
      </c>
      <c r="N20" s="310">
        <f t="shared" si="17"/>
        <v>0</v>
      </c>
      <c r="O20" s="466">
        <f t="shared" si="28"/>
        <v>0</v>
      </c>
      <c r="P20" s="591">
        <f t="shared" si="34"/>
        <v>17012.749</v>
      </c>
      <c r="Q20" s="448">
        <f>(P20-P19)*1000</f>
        <v>0</v>
      </c>
      <c r="R20" s="448">
        <f t="shared" si="39"/>
        <v>0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f t="shared" si="10"/>
        <v>32317</v>
      </c>
      <c r="X20" s="448">
        <f t="shared" si="25"/>
        <v>0</v>
      </c>
      <c r="Y20" s="444">
        <f t="shared" si="11"/>
        <v>722652</v>
      </c>
      <c r="Z20" s="448">
        <f t="shared" si="22"/>
        <v>0</v>
      </c>
      <c r="AA20" s="444">
        <f t="shared" si="35"/>
        <v>35932</v>
      </c>
      <c r="AB20" s="448">
        <f t="shared" si="19"/>
        <v>0</v>
      </c>
      <c r="AC20" s="444">
        <f t="shared" si="23"/>
        <v>960238</v>
      </c>
      <c r="AD20" s="448">
        <f t="shared" si="40"/>
        <v>0</v>
      </c>
      <c r="AE20" s="471">
        <f t="shared" si="12"/>
        <v>0</v>
      </c>
      <c r="AF20" s="472">
        <f t="shared" si="6"/>
        <v>0</v>
      </c>
      <c r="AG20" s="464">
        <f t="shared" si="29"/>
        <v>0</v>
      </c>
      <c r="AI20" s="465">
        <f>R20-'EDl log'!B18</f>
        <v>-1026689</v>
      </c>
      <c r="AK20" s="640">
        <v>44334</v>
      </c>
      <c r="AL20" s="17">
        <f t="shared" si="37"/>
        <v>284469</v>
      </c>
      <c r="AM20" s="17">
        <v>414008</v>
      </c>
      <c r="AN20" s="17">
        <f t="shared" si="26"/>
        <v>698477</v>
      </c>
      <c r="AO20" s="641">
        <f t="shared" si="27"/>
        <v>0</v>
      </c>
    </row>
    <row r="21" spans="1:41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4"/>
        <v>32844964</v>
      </c>
      <c r="E21" s="311">
        <f t="shared" si="13"/>
        <v>0</v>
      </c>
      <c r="F21" s="444">
        <f t="shared" si="30"/>
        <v>4015667</v>
      </c>
      <c r="G21" s="312">
        <f t="shared" si="1"/>
        <v>0</v>
      </c>
      <c r="H21" s="444">
        <f t="shared" si="31"/>
        <v>17863562</v>
      </c>
      <c r="I21" s="312">
        <f t="shared" si="14"/>
        <v>0</v>
      </c>
      <c r="J21" s="444">
        <f t="shared" si="32"/>
        <v>29023036</v>
      </c>
      <c r="K21" s="312">
        <f t="shared" si="15"/>
        <v>0</v>
      </c>
      <c r="L21" s="444">
        <f t="shared" si="33"/>
        <v>24191054</v>
      </c>
      <c r="M21" s="312">
        <f t="shared" si="16"/>
        <v>0</v>
      </c>
      <c r="N21" s="310">
        <f t="shared" si="17"/>
        <v>0</v>
      </c>
      <c r="O21" s="466">
        <f t="shared" si="28"/>
        <v>0</v>
      </c>
      <c r="P21" s="591">
        <f t="shared" si="34"/>
        <v>17012.749</v>
      </c>
      <c r="Q21" s="448">
        <f t="shared" si="38"/>
        <v>0</v>
      </c>
      <c r="R21" s="448">
        <f t="shared" si="39"/>
        <v>0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f t="shared" si="10"/>
        <v>32317</v>
      </c>
      <c r="X21" s="448">
        <f t="shared" si="25"/>
        <v>0</v>
      </c>
      <c r="Y21" s="444">
        <f t="shared" si="11"/>
        <v>722652</v>
      </c>
      <c r="Z21" s="448">
        <f t="shared" si="22"/>
        <v>0</v>
      </c>
      <c r="AA21" s="444">
        <f t="shared" si="35"/>
        <v>35932</v>
      </c>
      <c r="AB21" s="448">
        <f t="shared" si="19"/>
        <v>0</v>
      </c>
      <c r="AC21" s="444">
        <f t="shared" si="23"/>
        <v>960238</v>
      </c>
      <c r="AD21" s="448">
        <f t="shared" si="40"/>
        <v>0</v>
      </c>
      <c r="AE21" s="471">
        <f t="shared" si="12"/>
        <v>0</v>
      </c>
      <c r="AF21" s="472">
        <f t="shared" si="6"/>
        <v>0</v>
      </c>
      <c r="AG21" s="464">
        <f t="shared" si="29"/>
        <v>0</v>
      </c>
      <c r="AI21" s="465">
        <f>R21-'EDl log'!B19</f>
        <v>-1026689</v>
      </c>
      <c r="AK21" s="640">
        <v>44335</v>
      </c>
      <c r="AL21" s="17">
        <f t="shared" si="37"/>
        <v>284469</v>
      </c>
      <c r="AM21" s="17">
        <v>414008</v>
      </c>
      <c r="AN21" s="17">
        <f t="shared" si="26"/>
        <v>698477</v>
      </c>
      <c r="AO21" s="641">
        <f t="shared" si="27"/>
        <v>0</v>
      </c>
    </row>
    <row r="22" spans="1:41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4"/>
        <v>32844964</v>
      </c>
      <c r="E22" s="311">
        <f t="shared" si="13"/>
        <v>0</v>
      </c>
      <c r="F22" s="444">
        <f t="shared" si="30"/>
        <v>4015667</v>
      </c>
      <c r="G22" s="312">
        <f t="shared" si="1"/>
        <v>0</v>
      </c>
      <c r="H22" s="444">
        <f t="shared" si="31"/>
        <v>17863562</v>
      </c>
      <c r="I22" s="312">
        <f t="shared" si="14"/>
        <v>0</v>
      </c>
      <c r="J22" s="444">
        <f t="shared" si="32"/>
        <v>29023036</v>
      </c>
      <c r="K22" s="312">
        <f t="shared" si="15"/>
        <v>0</v>
      </c>
      <c r="L22" s="444">
        <f t="shared" si="33"/>
        <v>24191054</v>
      </c>
      <c r="M22" s="312">
        <f t="shared" si="16"/>
        <v>0</v>
      </c>
      <c r="N22" s="310">
        <f t="shared" si="17"/>
        <v>0</v>
      </c>
      <c r="O22" s="466">
        <f t="shared" si="28"/>
        <v>0</v>
      </c>
      <c r="P22" s="591">
        <f t="shared" si="34"/>
        <v>17012.749</v>
      </c>
      <c r="Q22" s="448">
        <f t="shared" si="38"/>
        <v>0</v>
      </c>
      <c r="R22" s="448">
        <f t="shared" si="39"/>
        <v>0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f t="shared" si="10"/>
        <v>32317</v>
      </c>
      <c r="X22" s="448">
        <f t="shared" si="25"/>
        <v>0</v>
      </c>
      <c r="Y22" s="444">
        <f t="shared" si="11"/>
        <v>722652</v>
      </c>
      <c r="Z22" s="448">
        <f t="shared" si="22"/>
        <v>0</v>
      </c>
      <c r="AA22" s="444">
        <f t="shared" si="35"/>
        <v>35932</v>
      </c>
      <c r="AB22" s="448">
        <f t="shared" si="19"/>
        <v>0</v>
      </c>
      <c r="AC22" s="444">
        <f t="shared" si="23"/>
        <v>960238</v>
      </c>
      <c r="AD22" s="448">
        <f t="shared" si="40"/>
        <v>0</v>
      </c>
      <c r="AE22" s="471">
        <f t="shared" si="12"/>
        <v>0</v>
      </c>
      <c r="AF22" s="472">
        <f t="shared" si="6"/>
        <v>0</v>
      </c>
      <c r="AG22" s="464">
        <f t="shared" si="29"/>
        <v>0</v>
      </c>
      <c r="AI22" s="465">
        <f>R22-'EDl log'!B20</f>
        <v>-1026689</v>
      </c>
      <c r="AK22" s="640">
        <v>44336</v>
      </c>
      <c r="AL22" s="17">
        <f t="shared" si="37"/>
        <v>284469</v>
      </c>
      <c r="AM22" s="17">
        <v>414008</v>
      </c>
      <c r="AN22" s="17">
        <f t="shared" si="26"/>
        <v>698477</v>
      </c>
      <c r="AO22" s="641">
        <f t="shared" si="27"/>
        <v>0</v>
      </c>
    </row>
    <row r="23" spans="1:41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4"/>
        <v>32844964</v>
      </c>
      <c r="E23" s="311">
        <f t="shared" si="13"/>
        <v>0</v>
      </c>
      <c r="F23" s="444">
        <f t="shared" si="30"/>
        <v>4015667</v>
      </c>
      <c r="G23" s="312">
        <f t="shared" si="1"/>
        <v>0</v>
      </c>
      <c r="H23" s="444">
        <f t="shared" si="31"/>
        <v>17863562</v>
      </c>
      <c r="I23" s="437">
        <f t="shared" si="14"/>
        <v>0</v>
      </c>
      <c r="J23" s="444">
        <f t="shared" si="32"/>
        <v>29023036</v>
      </c>
      <c r="K23" s="312">
        <f t="shared" si="15"/>
        <v>0</v>
      </c>
      <c r="L23" s="444">
        <f t="shared" si="33"/>
        <v>24191054</v>
      </c>
      <c r="M23" s="312">
        <f t="shared" si="16"/>
        <v>0</v>
      </c>
      <c r="N23" s="310">
        <f t="shared" si="17"/>
        <v>0</v>
      </c>
      <c r="O23" s="466">
        <f t="shared" si="28"/>
        <v>0</v>
      </c>
      <c r="P23" s="591">
        <f t="shared" si="34"/>
        <v>17012.749</v>
      </c>
      <c r="Q23" s="448">
        <f t="shared" si="38"/>
        <v>0</v>
      </c>
      <c r="R23" s="448">
        <f t="shared" si="39"/>
        <v>0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f t="shared" si="10"/>
        <v>32317</v>
      </c>
      <c r="X23" s="448">
        <f t="shared" si="25"/>
        <v>0</v>
      </c>
      <c r="Y23" s="444">
        <f t="shared" si="11"/>
        <v>722652</v>
      </c>
      <c r="Z23" s="448">
        <f t="shared" si="22"/>
        <v>0</v>
      </c>
      <c r="AA23" s="444">
        <f t="shared" si="35"/>
        <v>35932</v>
      </c>
      <c r="AB23" s="448">
        <f t="shared" si="19"/>
        <v>0</v>
      </c>
      <c r="AC23" s="444">
        <f t="shared" si="23"/>
        <v>960238</v>
      </c>
      <c r="AD23" s="448">
        <f t="shared" si="40"/>
        <v>0</v>
      </c>
      <c r="AE23" s="471">
        <f t="shared" si="12"/>
        <v>0</v>
      </c>
      <c r="AF23" s="472">
        <f t="shared" si="6"/>
        <v>0</v>
      </c>
      <c r="AG23" s="464">
        <f t="shared" si="29"/>
        <v>0</v>
      </c>
      <c r="AI23" s="465">
        <f>R23-'EDl log'!B21</f>
        <v>-1026689</v>
      </c>
      <c r="AK23" s="640">
        <v>44337</v>
      </c>
      <c r="AL23" s="17">
        <f t="shared" si="37"/>
        <v>284469</v>
      </c>
      <c r="AM23" s="17">
        <v>414008</v>
      </c>
      <c r="AN23" s="17">
        <f t="shared" si="26"/>
        <v>698477</v>
      </c>
      <c r="AO23" s="641">
        <f t="shared" si="27"/>
        <v>0</v>
      </c>
    </row>
    <row r="24" spans="1:41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4"/>
        <v>32844964</v>
      </c>
      <c r="E24" s="311">
        <f t="shared" si="13"/>
        <v>0</v>
      </c>
      <c r="F24" s="444">
        <f t="shared" si="30"/>
        <v>4015667</v>
      </c>
      <c r="G24" s="312">
        <f t="shared" si="1"/>
        <v>0</v>
      </c>
      <c r="H24" s="444">
        <f t="shared" si="31"/>
        <v>17863562</v>
      </c>
      <c r="I24" s="312">
        <f t="shared" si="14"/>
        <v>0</v>
      </c>
      <c r="J24" s="444">
        <f t="shared" si="32"/>
        <v>29023036</v>
      </c>
      <c r="K24" s="312">
        <f t="shared" si="15"/>
        <v>0</v>
      </c>
      <c r="L24" s="444">
        <f t="shared" si="33"/>
        <v>24191054</v>
      </c>
      <c r="M24" s="312">
        <f t="shared" si="16"/>
        <v>0</v>
      </c>
      <c r="N24" s="310">
        <f t="shared" si="17"/>
        <v>0</v>
      </c>
      <c r="O24" s="466">
        <f t="shared" si="28"/>
        <v>0</v>
      </c>
      <c r="P24" s="591">
        <f t="shared" si="34"/>
        <v>17012.749</v>
      </c>
      <c r="Q24" s="448">
        <f t="shared" si="38"/>
        <v>0</v>
      </c>
      <c r="R24" s="448">
        <f t="shared" si="39"/>
        <v>0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f t="shared" si="10"/>
        <v>32317</v>
      </c>
      <c r="X24" s="448">
        <f t="shared" si="25"/>
        <v>0</v>
      </c>
      <c r="Y24" s="444">
        <f t="shared" si="11"/>
        <v>722652</v>
      </c>
      <c r="Z24" s="448">
        <f t="shared" si="22"/>
        <v>0</v>
      </c>
      <c r="AA24" s="444">
        <f t="shared" si="35"/>
        <v>35932</v>
      </c>
      <c r="AB24" s="448">
        <f t="shared" si="19"/>
        <v>0</v>
      </c>
      <c r="AC24" s="444">
        <f t="shared" si="23"/>
        <v>960238</v>
      </c>
      <c r="AD24" s="448">
        <f t="shared" si="40"/>
        <v>0</v>
      </c>
      <c r="AE24" s="471">
        <f t="shared" si="12"/>
        <v>0</v>
      </c>
      <c r="AF24" s="472">
        <f t="shared" si="6"/>
        <v>0</v>
      </c>
      <c r="AG24" s="464">
        <f t="shared" si="29"/>
        <v>0</v>
      </c>
      <c r="AI24" s="465">
        <f>R24-'EDl log'!B22</f>
        <v>-1026689</v>
      </c>
      <c r="AK24" s="640">
        <v>44338</v>
      </c>
      <c r="AL24" s="17">
        <f t="shared" si="37"/>
        <v>284469</v>
      </c>
      <c r="AM24" s="17">
        <v>414008</v>
      </c>
      <c r="AN24" s="17">
        <f t="shared" si="26"/>
        <v>698477</v>
      </c>
      <c r="AO24" s="641">
        <f t="shared" si="27"/>
        <v>0</v>
      </c>
    </row>
    <row r="25" spans="1:41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4"/>
        <v>32844964</v>
      </c>
      <c r="E25" s="311">
        <f t="shared" si="13"/>
        <v>0</v>
      </c>
      <c r="F25" s="444">
        <f t="shared" si="30"/>
        <v>4015667</v>
      </c>
      <c r="G25" s="312">
        <f t="shared" si="1"/>
        <v>0</v>
      </c>
      <c r="H25" s="444">
        <f t="shared" si="31"/>
        <v>17863562</v>
      </c>
      <c r="I25" s="312">
        <f t="shared" si="14"/>
        <v>0</v>
      </c>
      <c r="J25" s="444">
        <f t="shared" si="32"/>
        <v>29023036</v>
      </c>
      <c r="K25" s="312">
        <f t="shared" si="15"/>
        <v>0</v>
      </c>
      <c r="L25" s="444">
        <f t="shared" si="33"/>
        <v>24191054</v>
      </c>
      <c r="M25" s="312">
        <f t="shared" si="16"/>
        <v>0</v>
      </c>
      <c r="N25" s="310">
        <f t="shared" si="17"/>
        <v>0</v>
      </c>
      <c r="O25" s="466">
        <f t="shared" si="28"/>
        <v>0</v>
      </c>
      <c r="P25" s="591">
        <f t="shared" si="34"/>
        <v>17012.749</v>
      </c>
      <c r="Q25" s="448">
        <f t="shared" si="38"/>
        <v>0</v>
      </c>
      <c r="R25" s="448">
        <f t="shared" si="39"/>
        <v>0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f t="shared" si="10"/>
        <v>32317</v>
      </c>
      <c r="X25" s="448">
        <f t="shared" si="25"/>
        <v>0</v>
      </c>
      <c r="Y25" s="444">
        <f t="shared" si="11"/>
        <v>722652</v>
      </c>
      <c r="Z25" s="448">
        <f t="shared" si="22"/>
        <v>0</v>
      </c>
      <c r="AA25" s="444">
        <f t="shared" si="35"/>
        <v>35932</v>
      </c>
      <c r="AB25" s="448">
        <f t="shared" si="19"/>
        <v>0</v>
      </c>
      <c r="AC25" s="444">
        <f t="shared" si="23"/>
        <v>960238</v>
      </c>
      <c r="AD25" s="448">
        <f t="shared" si="40"/>
        <v>0</v>
      </c>
      <c r="AE25" s="471">
        <f t="shared" si="12"/>
        <v>0</v>
      </c>
      <c r="AF25" s="472">
        <f t="shared" si="6"/>
        <v>0</v>
      </c>
      <c r="AG25" s="464">
        <f t="shared" si="29"/>
        <v>0</v>
      </c>
      <c r="AI25" s="465">
        <f>R25-'EDl log'!B23</f>
        <v>-1026689</v>
      </c>
      <c r="AK25" s="640">
        <v>44339</v>
      </c>
      <c r="AL25" s="17">
        <f t="shared" si="37"/>
        <v>284469</v>
      </c>
      <c r="AM25" s="17">
        <v>414008</v>
      </c>
      <c r="AN25" s="17">
        <f t="shared" si="26"/>
        <v>698477</v>
      </c>
      <c r="AO25" s="641">
        <f t="shared" si="27"/>
        <v>0</v>
      </c>
    </row>
    <row r="26" spans="1:41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4"/>
        <v>32844964</v>
      </c>
      <c r="E26" s="311">
        <f t="shared" si="13"/>
        <v>0</v>
      </c>
      <c r="F26" s="444">
        <f t="shared" si="30"/>
        <v>4015667</v>
      </c>
      <c r="G26" s="312">
        <f t="shared" si="1"/>
        <v>0</v>
      </c>
      <c r="H26" s="444">
        <f t="shared" si="31"/>
        <v>17863562</v>
      </c>
      <c r="I26" s="312">
        <f t="shared" si="14"/>
        <v>0</v>
      </c>
      <c r="J26" s="444">
        <f t="shared" si="32"/>
        <v>29023036</v>
      </c>
      <c r="K26" s="312">
        <f t="shared" si="15"/>
        <v>0</v>
      </c>
      <c r="L26" s="444">
        <f t="shared" si="33"/>
        <v>24191054</v>
      </c>
      <c r="M26" s="312">
        <f t="shared" si="16"/>
        <v>0</v>
      </c>
      <c r="N26" s="310">
        <f t="shared" si="17"/>
        <v>0</v>
      </c>
      <c r="O26" s="466">
        <f t="shared" si="28"/>
        <v>0</v>
      </c>
      <c r="P26" s="591">
        <f t="shared" si="34"/>
        <v>17012.749</v>
      </c>
      <c r="Q26" s="448">
        <f t="shared" si="38"/>
        <v>0</v>
      </c>
      <c r="R26" s="448">
        <f t="shared" si="39"/>
        <v>0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f t="shared" si="10"/>
        <v>32317</v>
      </c>
      <c r="X26" s="448">
        <f t="shared" si="25"/>
        <v>0</v>
      </c>
      <c r="Y26" s="444">
        <f t="shared" si="11"/>
        <v>722652</v>
      </c>
      <c r="Z26" s="448">
        <f t="shared" si="22"/>
        <v>0</v>
      </c>
      <c r="AA26" s="444">
        <f t="shared" si="35"/>
        <v>35932</v>
      </c>
      <c r="AB26" s="448">
        <f t="shared" si="19"/>
        <v>0</v>
      </c>
      <c r="AC26" s="444">
        <f t="shared" si="23"/>
        <v>960238</v>
      </c>
      <c r="AD26" s="448">
        <f t="shared" si="40"/>
        <v>0</v>
      </c>
      <c r="AE26" s="471">
        <f t="shared" si="12"/>
        <v>0</v>
      </c>
      <c r="AF26" s="472">
        <f t="shared" si="6"/>
        <v>0</v>
      </c>
      <c r="AG26" s="464">
        <f t="shared" si="29"/>
        <v>0</v>
      </c>
      <c r="AI26" s="465">
        <f>R26-'EDl log'!B24</f>
        <v>-1026689</v>
      </c>
      <c r="AK26" s="640">
        <v>44340</v>
      </c>
      <c r="AL26" s="17">
        <f t="shared" si="37"/>
        <v>284469</v>
      </c>
      <c r="AM26" s="17">
        <v>414008</v>
      </c>
      <c r="AN26" s="17">
        <f t="shared" si="26"/>
        <v>698477</v>
      </c>
      <c r="AO26" s="641">
        <f t="shared" si="27"/>
        <v>0</v>
      </c>
    </row>
    <row r="27" spans="1:41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4"/>
        <v>32844964</v>
      </c>
      <c r="E27" s="311">
        <f t="shared" si="13"/>
        <v>0</v>
      </c>
      <c r="F27" s="444">
        <f t="shared" si="30"/>
        <v>4015667</v>
      </c>
      <c r="G27" s="312">
        <f>F27-F26</f>
        <v>0</v>
      </c>
      <c r="H27" s="444">
        <f t="shared" si="31"/>
        <v>17863562</v>
      </c>
      <c r="I27" s="312">
        <f t="shared" si="14"/>
        <v>0</v>
      </c>
      <c r="J27" s="444">
        <f t="shared" si="32"/>
        <v>29023036</v>
      </c>
      <c r="K27" s="312">
        <f t="shared" si="15"/>
        <v>0</v>
      </c>
      <c r="L27" s="444">
        <f t="shared" si="33"/>
        <v>24191054</v>
      </c>
      <c r="M27" s="312">
        <f t="shared" si="16"/>
        <v>0</v>
      </c>
      <c r="N27" s="310">
        <f t="shared" si="17"/>
        <v>0</v>
      </c>
      <c r="O27" s="466">
        <f t="shared" si="28"/>
        <v>0</v>
      </c>
      <c r="P27" s="591">
        <f t="shared" si="34"/>
        <v>17012.749</v>
      </c>
      <c r="Q27" s="448">
        <f t="shared" si="38"/>
        <v>0</v>
      </c>
      <c r="R27" s="448">
        <f t="shared" si="39"/>
        <v>0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f t="shared" si="10"/>
        <v>32317</v>
      </c>
      <c r="X27" s="448">
        <f t="shared" si="25"/>
        <v>0</v>
      </c>
      <c r="Y27" s="444">
        <f t="shared" si="11"/>
        <v>722652</v>
      </c>
      <c r="Z27" s="448">
        <f t="shared" si="22"/>
        <v>0</v>
      </c>
      <c r="AA27" s="444">
        <f t="shared" si="35"/>
        <v>35932</v>
      </c>
      <c r="AB27" s="448">
        <f t="shared" si="19"/>
        <v>0</v>
      </c>
      <c r="AC27" s="444">
        <f t="shared" si="23"/>
        <v>960238</v>
      </c>
      <c r="AD27" s="448">
        <f t="shared" si="40"/>
        <v>0</v>
      </c>
      <c r="AE27" s="471">
        <f t="shared" si="12"/>
        <v>0</v>
      </c>
      <c r="AF27" s="472">
        <f t="shared" si="6"/>
        <v>0</v>
      </c>
      <c r="AG27" s="464">
        <f t="shared" si="29"/>
        <v>0</v>
      </c>
      <c r="AI27" s="465">
        <f>R27-'EDl log'!B25</f>
        <v>-1026689</v>
      </c>
      <c r="AK27" s="640">
        <v>44341</v>
      </c>
      <c r="AL27" s="17">
        <f t="shared" si="37"/>
        <v>284469</v>
      </c>
      <c r="AM27" s="17">
        <v>414008</v>
      </c>
      <c r="AN27" s="17">
        <f t="shared" si="26"/>
        <v>698477</v>
      </c>
      <c r="AO27" s="641">
        <f t="shared" si="27"/>
        <v>0</v>
      </c>
    </row>
    <row r="28" spans="1:41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4"/>
        <v>32844964</v>
      </c>
      <c r="E28" s="311">
        <f t="shared" si="13"/>
        <v>0</v>
      </c>
      <c r="F28" s="444">
        <f t="shared" si="30"/>
        <v>4015667</v>
      </c>
      <c r="G28" s="312">
        <f t="shared" si="1"/>
        <v>0</v>
      </c>
      <c r="H28" s="444">
        <f t="shared" si="31"/>
        <v>17863562</v>
      </c>
      <c r="I28" s="312">
        <f t="shared" si="14"/>
        <v>0</v>
      </c>
      <c r="J28" s="444">
        <f t="shared" si="32"/>
        <v>29023036</v>
      </c>
      <c r="K28" s="312">
        <f t="shared" si="15"/>
        <v>0</v>
      </c>
      <c r="L28" s="444">
        <f t="shared" si="33"/>
        <v>24191054</v>
      </c>
      <c r="M28" s="312">
        <f t="shared" si="16"/>
        <v>0</v>
      </c>
      <c r="N28" s="310">
        <f t="shared" si="17"/>
        <v>0</v>
      </c>
      <c r="O28" s="466">
        <f t="shared" si="28"/>
        <v>0</v>
      </c>
      <c r="P28" s="591">
        <f t="shared" si="34"/>
        <v>17012.749</v>
      </c>
      <c r="Q28" s="448">
        <f t="shared" si="38"/>
        <v>0</v>
      </c>
      <c r="R28" s="448">
        <f t="shared" si="39"/>
        <v>0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f t="shared" si="10"/>
        <v>32317</v>
      </c>
      <c r="X28" s="448">
        <f t="shared" si="25"/>
        <v>0</v>
      </c>
      <c r="Y28" s="444">
        <f t="shared" si="11"/>
        <v>722652</v>
      </c>
      <c r="Z28" s="448">
        <f t="shared" si="22"/>
        <v>0</v>
      </c>
      <c r="AA28" s="444">
        <f t="shared" si="35"/>
        <v>35932</v>
      </c>
      <c r="AB28" s="448">
        <f t="shared" si="19"/>
        <v>0</v>
      </c>
      <c r="AC28" s="444">
        <f t="shared" si="23"/>
        <v>960238</v>
      </c>
      <c r="AD28" s="448">
        <f t="shared" si="40"/>
        <v>0</v>
      </c>
      <c r="AE28" s="471">
        <f t="shared" si="12"/>
        <v>0</v>
      </c>
      <c r="AF28" s="472">
        <f t="shared" si="6"/>
        <v>0</v>
      </c>
      <c r="AG28" s="464">
        <f t="shared" si="29"/>
        <v>0</v>
      </c>
      <c r="AI28" s="465">
        <f>R28-'EDl log'!B26</f>
        <v>-1026689</v>
      </c>
      <c r="AK28" s="640">
        <v>44342</v>
      </c>
      <c r="AL28" s="17">
        <f t="shared" si="37"/>
        <v>284469</v>
      </c>
      <c r="AM28" s="17">
        <v>414008</v>
      </c>
      <c r="AN28" s="17">
        <f t="shared" si="26"/>
        <v>698477</v>
      </c>
      <c r="AO28" s="641">
        <f t="shared" si="27"/>
        <v>0</v>
      </c>
    </row>
    <row r="29" spans="1:41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4"/>
        <v>32844964</v>
      </c>
      <c r="E29" s="311">
        <f t="shared" si="13"/>
        <v>0</v>
      </c>
      <c r="F29" s="444">
        <f t="shared" si="30"/>
        <v>4015667</v>
      </c>
      <c r="G29" s="312">
        <f t="shared" si="1"/>
        <v>0</v>
      </c>
      <c r="H29" s="444">
        <f t="shared" si="31"/>
        <v>17863562</v>
      </c>
      <c r="I29" s="312">
        <f t="shared" si="14"/>
        <v>0</v>
      </c>
      <c r="J29" s="444">
        <f t="shared" si="32"/>
        <v>29023036</v>
      </c>
      <c r="K29" s="312">
        <f t="shared" si="15"/>
        <v>0</v>
      </c>
      <c r="L29" s="444">
        <f t="shared" si="33"/>
        <v>24191054</v>
      </c>
      <c r="M29" s="312">
        <f t="shared" si="16"/>
        <v>0</v>
      </c>
      <c r="N29" s="310">
        <f t="shared" si="17"/>
        <v>0</v>
      </c>
      <c r="O29" s="466">
        <f t="shared" si="28"/>
        <v>0</v>
      </c>
      <c r="P29" s="591">
        <f t="shared" si="34"/>
        <v>17012.749</v>
      </c>
      <c r="Q29" s="448">
        <f t="shared" si="38"/>
        <v>0</v>
      </c>
      <c r="R29" s="448">
        <f t="shared" si="39"/>
        <v>0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f t="shared" si="10"/>
        <v>32317</v>
      </c>
      <c r="X29" s="448">
        <f t="shared" si="25"/>
        <v>0</v>
      </c>
      <c r="Y29" s="444">
        <f t="shared" si="11"/>
        <v>722652</v>
      </c>
      <c r="Z29" s="448">
        <f t="shared" si="22"/>
        <v>0</v>
      </c>
      <c r="AA29" s="444">
        <f t="shared" si="35"/>
        <v>35932</v>
      </c>
      <c r="AB29" s="448">
        <f t="shared" si="19"/>
        <v>0</v>
      </c>
      <c r="AC29" s="444">
        <f t="shared" si="23"/>
        <v>960238</v>
      </c>
      <c r="AD29" s="448">
        <f t="shared" si="40"/>
        <v>0</v>
      </c>
      <c r="AE29" s="471">
        <f t="shared" si="12"/>
        <v>0</v>
      </c>
      <c r="AF29" s="472">
        <f t="shared" si="6"/>
        <v>0</v>
      </c>
      <c r="AG29" s="464">
        <f t="shared" si="29"/>
        <v>0</v>
      </c>
      <c r="AI29" s="465">
        <f>R29-'EDl log'!B27</f>
        <v>-1026689</v>
      </c>
      <c r="AK29" s="640">
        <v>44343</v>
      </c>
      <c r="AL29" s="17">
        <f t="shared" si="37"/>
        <v>284469</v>
      </c>
      <c r="AM29" s="17">
        <v>414008</v>
      </c>
      <c r="AN29" s="17">
        <f t="shared" si="26"/>
        <v>698477</v>
      </c>
      <c r="AO29" s="641">
        <f t="shared" si="27"/>
        <v>0</v>
      </c>
    </row>
    <row r="30" spans="1:41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4"/>
        <v>32844964</v>
      </c>
      <c r="E30" s="311">
        <f t="shared" si="13"/>
        <v>0</v>
      </c>
      <c r="F30" s="444">
        <f t="shared" si="30"/>
        <v>4015667</v>
      </c>
      <c r="G30" s="312">
        <f t="shared" si="1"/>
        <v>0</v>
      </c>
      <c r="H30" s="444">
        <f t="shared" si="31"/>
        <v>17863562</v>
      </c>
      <c r="I30" s="312">
        <f t="shared" si="14"/>
        <v>0</v>
      </c>
      <c r="J30" s="444">
        <f t="shared" si="32"/>
        <v>29023036</v>
      </c>
      <c r="K30" s="312">
        <f t="shared" si="15"/>
        <v>0</v>
      </c>
      <c r="L30" s="444">
        <f t="shared" si="33"/>
        <v>24191054</v>
      </c>
      <c r="M30" s="312">
        <f t="shared" si="16"/>
        <v>0</v>
      </c>
      <c r="N30" s="310">
        <f t="shared" si="17"/>
        <v>0</v>
      </c>
      <c r="O30" s="466">
        <f t="shared" si="28"/>
        <v>0</v>
      </c>
      <c r="P30" s="591">
        <f t="shared" si="34"/>
        <v>17012.749</v>
      </c>
      <c r="Q30" s="448">
        <f t="shared" si="38"/>
        <v>0</v>
      </c>
      <c r="R30" s="448">
        <f t="shared" si="39"/>
        <v>0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f t="shared" si="10"/>
        <v>32317</v>
      </c>
      <c r="X30" s="469">
        <f t="shared" si="25"/>
        <v>0</v>
      </c>
      <c r="Y30" s="444">
        <f t="shared" si="11"/>
        <v>722652</v>
      </c>
      <c r="Z30" s="448">
        <f t="shared" si="22"/>
        <v>0</v>
      </c>
      <c r="AA30" s="444">
        <f t="shared" si="35"/>
        <v>35932</v>
      </c>
      <c r="AB30" s="448">
        <f t="shared" si="19"/>
        <v>0</v>
      </c>
      <c r="AC30" s="444">
        <f t="shared" si="23"/>
        <v>960238</v>
      </c>
      <c r="AD30" s="448">
        <f t="shared" si="40"/>
        <v>0</v>
      </c>
      <c r="AE30" s="471">
        <f t="shared" si="12"/>
        <v>0</v>
      </c>
      <c r="AF30" s="472">
        <f t="shared" si="6"/>
        <v>0</v>
      </c>
      <c r="AG30" s="464">
        <f t="shared" si="29"/>
        <v>0</v>
      </c>
      <c r="AI30" s="465">
        <f>R30-'EDl log'!B28</f>
        <v>-1026689</v>
      </c>
      <c r="AK30" s="640">
        <v>44344</v>
      </c>
      <c r="AL30" s="17">
        <f t="shared" si="37"/>
        <v>284469</v>
      </c>
      <c r="AM30" s="17">
        <v>414008</v>
      </c>
      <c r="AN30" s="17">
        <f t="shared" si="26"/>
        <v>698477</v>
      </c>
      <c r="AO30" s="641">
        <f t="shared" si="27"/>
        <v>0</v>
      </c>
    </row>
    <row r="31" spans="1:41">
      <c r="A31" s="456">
        <f>'General information '!F34</f>
        <v>0</v>
      </c>
      <c r="B31" s="450">
        <f t="shared" ref="B31:B32" si="41">SUM(230*A31)</f>
        <v>0</v>
      </c>
      <c r="C31" s="457">
        <v>44345</v>
      </c>
      <c r="D31" s="444">
        <f t="shared" si="24"/>
        <v>32844964</v>
      </c>
      <c r="E31" s="311">
        <f t="shared" si="13"/>
        <v>0</v>
      </c>
      <c r="F31" s="444">
        <f t="shared" si="30"/>
        <v>4015667</v>
      </c>
      <c r="G31" s="312">
        <f t="shared" si="1"/>
        <v>0</v>
      </c>
      <c r="H31" s="444">
        <f t="shared" si="31"/>
        <v>17863562</v>
      </c>
      <c r="I31" s="312">
        <f t="shared" si="14"/>
        <v>0</v>
      </c>
      <c r="J31" s="444">
        <f t="shared" si="32"/>
        <v>29023036</v>
      </c>
      <c r="K31" s="312">
        <f t="shared" si="15"/>
        <v>0</v>
      </c>
      <c r="L31" s="444">
        <f t="shared" si="33"/>
        <v>24191054</v>
      </c>
      <c r="M31" s="312">
        <f t="shared" si="16"/>
        <v>0</v>
      </c>
      <c r="N31" s="310">
        <f t="shared" ref="N31:N32" si="42">M31+K31+I31+G31+E31</f>
        <v>0</v>
      </c>
      <c r="O31" s="466">
        <f t="shared" ref="O31:O32" si="43">IF(B31&gt;0,N31/B31,0)</f>
        <v>0</v>
      </c>
      <c r="P31" s="591">
        <f t="shared" si="34"/>
        <v>17012.749</v>
      </c>
      <c r="Q31" s="448">
        <f t="shared" ref="Q31:Q32" si="44">(P31-P30)*1000</f>
        <v>0</v>
      </c>
      <c r="R31" s="448">
        <f t="shared" ref="R31:R32" si="45">N31-Q31</f>
        <v>0</v>
      </c>
      <c r="S31" s="444">
        <f t="shared" si="9"/>
        <v>10175</v>
      </c>
      <c r="T31" s="468">
        <f t="shared" ref="T31:T32" si="46">S31-S30</f>
        <v>0</v>
      </c>
      <c r="U31" s="444">
        <f t="shared" si="9"/>
        <v>429166</v>
      </c>
      <c r="V31" s="448">
        <f t="shared" ref="V31:V32" si="47">U31-U30</f>
        <v>0</v>
      </c>
      <c r="W31" s="444">
        <f t="shared" si="10"/>
        <v>32317</v>
      </c>
      <c r="X31" s="469">
        <f t="shared" ref="X31:X32" si="48">W31-W30</f>
        <v>0</v>
      </c>
      <c r="Y31" s="444">
        <f t="shared" si="11"/>
        <v>722652</v>
      </c>
      <c r="Z31" s="448">
        <f t="shared" ref="Z31:Z32" si="49">Y31-Y30</f>
        <v>0</v>
      </c>
      <c r="AA31" s="444">
        <f t="shared" si="35"/>
        <v>35932</v>
      </c>
      <c r="AB31" s="448">
        <f t="shared" ref="AB31:AB32" si="50">AA31-AA30</f>
        <v>0</v>
      </c>
      <c r="AC31" s="444">
        <f t="shared" si="23"/>
        <v>960238</v>
      </c>
      <c r="AD31" s="448">
        <f t="shared" ref="AD31:AD32" si="51">AC31-AC30</f>
        <v>0</v>
      </c>
      <c r="AE31" s="471">
        <f t="shared" ref="AE31:AE32" si="52">AB31+X31+T31</f>
        <v>0</v>
      </c>
      <c r="AF31" s="472">
        <f t="shared" ref="AF31:AF32" si="53">V31+Z31+AD31</f>
        <v>0</v>
      </c>
      <c r="AG31" s="464">
        <f t="shared" ref="AG31:AG32" si="54">IF(AE31&gt;0,AF31/AE31,0)</f>
        <v>0</v>
      </c>
      <c r="AI31" s="465">
        <f>R31-'EDl log'!B29</f>
        <v>-1026689</v>
      </c>
      <c r="AK31" s="640">
        <v>44345</v>
      </c>
      <c r="AL31" s="17">
        <f t="shared" si="37"/>
        <v>284469</v>
      </c>
      <c r="AM31" s="17">
        <v>414008</v>
      </c>
      <c r="AN31" s="17">
        <f t="shared" si="26"/>
        <v>698477</v>
      </c>
      <c r="AO31" s="641">
        <f t="shared" si="27"/>
        <v>0</v>
      </c>
    </row>
    <row r="32" spans="1:41">
      <c r="A32" s="456">
        <f>'General information '!F35</f>
        <v>0</v>
      </c>
      <c r="B32" s="450">
        <f t="shared" si="41"/>
        <v>0</v>
      </c>
      <c r="C32" s="457">
        <v>44346</v>
      </c>
      <c r="D32" s="444">
        <f t="shared" si="24"/>
        <v>32844964</v>
      </c>
      <c r="E32" s="311">
        <f t="shared" si="13"/>
        <v>0</v>
      </c>
      <c r="F32" s="444">
        <f t="shared" si="30"/>
        <v>4015667</v>
      </c>
      <c r="G32" s="312">
        <f t="shared" si="1"/>
        <v>0</v>
      </c>
      <c r="H32" s="444">
        <f t="shared" si="31"/>
        <v>17863562</v>
      </c>
      <c r="I32" s="312">
        <f t="shared" si="14"/>
        <v>0</v>
      </c>
      <c r="J32" s="444">
        <f t="shared" si="32"/>
        <v>29023036</v>
      </c>
      <c r="K32" s="312">
        <f t="shared" si="15"/>
        <v>0</v>
      </c>
      <c r="L32" s="444">
        <f t="shared" si="33"/>
        <v>24191054</v>
      </c>
      <c r="M32" s="312">
        <f t="shared" si="16"/>
        <v>0</v>
      </c>
      <c r="N32" s="310">
        <f t="shared" si="42"/>
        <v>0</v>
      </c>
      <c r="O32" s="466">
        <f t="shared" si="43"/>
        <v>0</v>
      </c>
      <c r="P32" s="591">
        <f t="shared" si="34"/>
        <v>17012.749</v>
      </c>
      <c r="Q32" s="448">
        <f t="shared" si="44"/>
        <v>0</v>
      </c>
      <c r="R32" s="448">
        <f t="shared" si="45"/>
        <v>0</v>
      </c>
      <c r="S32" s="444">
        <f t="shared" si="9"/>
        <v>10175</v>
      </c>
      <c r="T32" s="468">
        <f t="shared" si="46"/>
        <v>0</v>
      </c>
      <c r="U32" s="444">
        <f t="shared" si="9"/>
        <v>429166</v>
      </c>
      <c r="V32" s="448">
        <f t="shared" si="47"/>
        <v>0</v>
      </c>
      <c r="W32" s="444">
        <f t="shared" si="10"/>
        <v>32317</v>
      </c>
      <c r="X32" s="469">
        <f t="shared" si="48"/>
        <v>0</v>
      </c>
      <c r="Y32" s="444">
        <f t="shared" si="11"/>
        <v>722652</v>
      </c>
      <c r="Z32" s="448">
        <f t="shared" si="49"/>
        <v>0</v>
      </c>
      <c r="AA32" s="444">
        <f t="shared" si="35"/>
        <v>35932</v>
      </c>
      <c r="AB32" s="448">
        <f t="shared" si="50"/>
        <v>0</v>
      </c>
      <c r="AC32" s="444">
        <f t="shared" si="23"/>
        <v>960238</v>
      </c>
      <c r="AD32" s="448">
        <f t="shared" si="51"/>
        <v>0</v>
      </c>
      <c r="AE32" s="471">
        <f t="shared" si="52"/>
        <v>0</v>
      </c>
      <c r="AF32" s="472">
        <f t="shared" si="53"/>
        <v>0</v>
      </c>
      <c r="AG32" s="464">
        <f t="shared" si="54"/>
        <v>0</v>
      </c>
      <c r="AI32" s="465">
        <f>R32-'EDl log'!B30</f>
        <v>-1026689</v>
      </c>
      <c r="AK32" s="640">
        <v>44346</v>
      </c>
      <c r="AL32" s="17">
        <f t="shared" si="37"/>
        <v>284469</v>
      </c>
      <c r="AM32" s="17">
        <v>414008</v>
      </c>
      <c r="AN32" s="17">
        <f t="shared" si="26"/>
        <v>698477</v>
      </c>
      <c r="AO32" s="641">
        <f t="shared" si="27"/>
        <v>0</v>
      </c>
    </row>
    <row r="33" spans="1:41" ht="15.75" thickBot="1">
      <c r="A33" s="456">
        <f>'General information '!F36</f>
        <v>0</v>
      </c>
      <c r="B33" s="450">
        <f t="shared" ref="B33" si="55">SUM(230*A33)</f>
        <v>0</v>
      </c>
      <c r="C33" s="457">
        <v>44347</v>
      </c>
      <c r="D33" s="444">
        <f t="shared" si="24"/>
        <v>32844964</v>
      </c>
      <c r="E33" s="311">
        <f t="shared" ref="E33" si="56">D33-D32</f>
        <v>0</v>
      </c>
      <c r="F33" s="444">
        <f t="shared" si="30"/>
        <v>4015667</v>
      </c>
      <c r="G33" s="312">
        <f t="shared" ref="G33" si="57">F33-F32</f>
        <v>0</v>
      </c>
      <c r="H33" s="444">
        <f t="shared" si="31"/>
        <v>17863562</v>
      </c>
      <c r="I33" s="312">
        <f t="shared" ref="I33" si="58">H33-H32</f>
        <v>0</v>
      </c>
      <c r="J33" s="444">
        <f t="shared" si="32"/>
        <v>29023036</v>
      </c>
      <c r="K33" s="312">
        <f t="shared" ref="K33" si="59">J33-J32</f>
        <v>0</v>
      </c>
      <c r="L33" s="444">
        <f t="shared" si="33"/>
        <v>24191054</v>
      </c>
      <c r="M33" s="312">
        <f t="shared" ref="M33" si="60">L33-L32</f>
        <v>0</v>
      </c>
      <c r="N33" s="310">
        <f t="shared" ref="N33" si="61">M33+K33+I33+G33+E33</f>
        <v>0</v>
      </c>
      <c r="O33" s="466">
        <f t="shared" ref="O33" si="62">IF(B33&gt;0,N33/B33,0)</f>
        <v>0</v>
      </c>
      <c r="P33" s="591">
        <f t="shared" si="34"/>
        <v>17012.749</v>
      </c>
      <c r="Q33" s="448">
        <f t="shared" ref="Q33" si="63">(P33-P32)*1000</f>
        <v>0</v>
      </c>
      <c r="R33" s="448">
        <f t="shared" ref="R33" si="64">N33-Q33</f>
        <v>0</v>
      </c>
      <c r="S33" s="444">
        <f t="shared" si="9"/>
        <v>10175</v>
      </c>
      <c r="T33" s="468">
        <f t="shared" ref="T33" si="65">S33-S32</f>
        <v>0</v>
      </c>
      <c r="U33" s="444">
        <f t="shared" si="9"/>
        <v>429166</v>
      </c>
      <c r="V33" s="448">
        <f t="shared" ref="V33" si="66">U33-U32</f>
        <v>0</v>
      </c>
      <c r="W33" s="444">
        <f t="shared" si="10"/>
        <v>32317</v>
      </c>
      <c r="X33" s="469">
        <f t="shared" ref="X33" si="67">W33-W32</f>
        <v>0</v>
      </c>
      <c r="Y33" s="444">
        <f t="shared" si="11"/>
        <v>722652</v>
      </c>
      <c r="Z33" s="448">
        <f t="shared" ref="Z33" si="68">Y33-Y32</f>
        <v>0</v>
      </c>
      <c r="AA33" s="444">
        <f t="shared" si="35"/>
        <v>35932</v>
      </c>
      <c r="AB33" s="448">
        <f t="shared" ref="AB33" si="69">AA33-AA32</f>
        <v>0</v>
      </c>
      <c r="AC33" s="444">
        <f t="shared" si="23"/>
        <v>960238</v>
      </c>
      <c r="AD33" s="448">
        <f t="shared" ref="AD33" si="70">AC33-AC32</f>
        <v>0</v>
      </c>
      <c r="AE33" s="471">
        <f t="shared" ref="AE33" si="71">AB33+X33+T33</f>
        <v>0</v>
      </c>
      <c r="AF33" s="472">
        <f t="shared" ref="AF33" si="72">V33+Z33+AD33</f>
        <v>0</v>
      </c>
      <c r="AG33" s="464">
        <f t="shared" ref="AG33" si="73">IF(AE33&gt;0,AF33/AE33,0)</f>
        <v>0</v>
      </c>
      <c r="AI33" s="465">
        <f>R33-'EDl log'!B31</f>
        <v>-1026689</v>
      </c>
      <c r="AK33" s="640">
        <v>44347</v>
      </c>
      <c r="AL33" s="17">
        <f t="shared" si="37"/>
        <v>284469</v>
      </c>
      <c r="AM33" s="17">
        <v>414008</v>
      </c>
      <c r="AN33" s="17">
        <f t="shared" si="26"/>
        <v>698477</v>
      </c>
      <c r="AO33" s="642">
        <f t="shared" si="27"/>
        <v>0</v>
      </c>
    </row>
    <row r="34" spans="1:41">
      <c r="AK34" s="643"/>
      <c r="AL34" s="644"/>
      <c r="AM34" s="644"/>
      <c r="AN34" s="644"/>
      <c r="AO34" s="645"/>
    </row>
  </sheetData>
  <mergeCells count="1">
    <mergeCell ref="AL4:AO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2" activePane="bottomLeft" state="frozen"/>
      <selection activeCell="K1" sqref="K1"/>
      <selection pane="bottomLeft" activeCell="Z13" sqref="Z13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63" t="s">
        <v>2</v>
      </c>
      <c r="G1" s="664"/>
      <c r="H1" s="664"/>
      <c r="I1" s="665"/>
      <c r="J1" s="282">
        <f>J36</f>
        <v>58</v>
      </c>
      <c r="K1" s="666" t="s">
        <v>4</v>
      </c>
      <c r="L1" s="667"/>
      <c r="M1" s="667"/>
      <c r="N1" s="667"/>
      <c r="O1" s="668"/>
      <c r="P1" s="657" t="s">
        <v>6</v>
      </c>
      <c r="Q1" s="658"/>
      <c r="R1" s="658"/>
      <c r="S1" s="658"/>
      <c r="T1" s="659"/>
      <c r="U1" s="397"/>
      <c r="V1" s="27" t="s">
        <v>104</v>
      </c>
      <c r="W1" s="398"/>
      <c r="X1" s="657" t="s">
        <v>8</v>
      </c>
      <c r="Y1" s="658"/>
      <c r="Z1" s="658"/>
      <c r="AA1" s="658"/>
      <c r="AB1" s="658"/>
      <c r="AC1" s="660" t="s">
        <v>10</v>
      </c>
      <c r="AD1" s="661"/>
      <c r="AE1" s="661"/>
      <c r="AF1" s="662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5"/>
      <c r="R2" s="656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1" si="8">D6*8.38</f>
        <v>16.760000000000002</v>
      </c>
      <c r="F6" s="584">
        <f t="shared" ref="F6:F35" si="9">F5</f>
        <v>1825</v>
      </c>
      <c r="G6" s="52">
        <f t="shared" si="0"/>
        <v>0</v>
      </c>
      <c r="H6" s="584">
        <f t="shared" ref="H6:H35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2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5" si="17">X5</f>
        <v>2467</v>
      </c>
      <c r="Y6" s="52">
        <f t="shared" ref="Y6:Y32" si="18">X6-X5</f>
        <v>0</v>
      </c>
      <c r="Z6" s="584">
        <f t="shared" ref="Z6:Z35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32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5" si="31">K6</f>
        <v>2316</v>
      </c>
      <c r="L7" s="52">
        <f t="shared" si="12"/>
        <v>0</v>
      </c>
      <c r="M7" s="584">
        <f t="shared" ref="M7:M35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v>222</v>
      </c>
      <c r="C8" s="584">
        <v>229</v>
      </c>
      <c r="D8" s="45">
        <f t="shared" si="30"/>
        <v>5</v>
      </c>
      <c r="E8" s="45">
        <f t="shared" si="8"/>
        <v>41.900000000000006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v>2317</v>
      </c>
      <c r="L8" s="52">
        <f t="shared" si="12"/>
        <v>1</v>
      </c>
      <c r="M8" s="584">
        <v>170788</v>
      </c>
      <c r="N8" s="396">
        <f t="shared" si="2"/>
        <v>95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1</v>
      </c>
      <c r="V8" s="62">
        <f t="shared" si="15"/>
        <v>95</v>
      </c>
      <c r="W8" s="400">
        <f t="shared" si="16"/>
        <v>95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3">AC7</f>
        <v>1936</v>
      </c>
      <c r="AD8" s="45">
        <f t="shared" si="6"/>
        <v>0</v>
      </c>
      <c r="AE8" s="584">
        <f t="shared" si="43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95</v>
      </c>
      <c r="AJ8" s="318">
        <f>-tanks!AW9</f>
        <v>95</v>
      </c>
      <c r="AK8" s="318">
        <f t="shared" si="23"/>
        <v>0</v>
      </c>
      <c r="AL8" s="318">
        <f t="shared" si="7"/>
        <v>1</v>
      </c>
      <c r="AM8" s="318">
        <f t="shared" si="24"/>
        <v>0</v>
      </c>
      <c r="AN8" s="584">
        <f t="shared" ref="AN8:AP8" si="44">AN7</f>
        <v>67</v>
      </c>
      <c r="AO8" s="320">
        <f t="shared" si="26"/>
        <v>2010.0000000000002</v>
      </c>
      <c r="AP8" s="584">
        <f t="shared" si="44"/>
        <v>55</v>
      </c>
      <c r="AQ8" s="320">
        <f t="shared" si="27"/>
        <v>1650.0000000000002</v>
      </c>
      <c r="AR8" s="584">
        <f t="shared" ref="AR8" si="45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v>216</v>
      </c>
      <c r="C9" s="584">
        <v>222</v>
      </c>
      <c r="D9" s="45">
        <f t="shared" si="30"/>
        <v>7</v>
      </c>
      <c r="E9" s="45">
        <f t="shared" si="8"/>
        <v>58.660000000000004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v>2318</v>
      </c>
      <c r="L9" s="52">
        <f t="shared" si="12"/>
        <v>1</v>
      </c>
      <c r="M9" s="584">
        <v>170851</v>
      </c>
      <c r="N9" s="396">
        <f t="shared" si="2"/>
        <v>63</v>
      </c>
      <c r="O9" s="64">
        <f t="shared" si="13"/>
        <v>1869</v>
      </c>
      <c r="P9" s="584">
        <v>2083</v>
      </c>
      <c r="Q9" s="584">
        <v>175237</v>
      </c>
      <c r="R9" s="395">
        <f t="shared" si="3"/>
        <v>101</v>
      </c>
      <c r="S9" s="52">
        <f t="shared" si="4"/>
        <v>1</v>
      </c>
      <c r="T9" s="67">
        <f t="shared" si="33"/>
        <v>0</v>
      </c>
      <c r="U9" s="402">
        <f t="shared" si="14"/>
        <v>2</v>
      </c>
      <c r="V9" s="62">
        <f t="shared" si="15"/>
        <v>164</v>
      </c>
      <c r="W9" s="400">
        <f t="shared" si="16"/>
        <v>82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6">AC8</f>
        <v>1936</v>
      </c>
      <c r="AD9" s="45">
        <f t="shared" si="6"/>
        <v>0</v>
      </c>
      <c r="AE9" s="584">
        <f t="shared" si="46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164</v>
      </c>
      <c r="AJ9" s="318">
        <f>-tanks!AW10</f>
        <v>164</v>
      </c>
      <c r="AK9" s="318">
        <f t="shared" si="23"/>
        <v>0</v>
      </c>
      <c r="AL9" s="318">
        <f t="shared" si="7"/>
        <v>2</v>
      </c>
      <c r="AM9" s="318">
        <f t="shared" si="24"/>
        <v>0</v>
      </c>
      <c r="AN9" s="584">
        <f t="shared" ref="AN9:AP9" si="47">AN8</f>
        <v>67</v>
      </c>
      <c r="AO9" s="320">
        <f t="shared" si="26"/>
        <v>2010.0000000000002</v>
      </c>
      <c r="AP9" s="584">
        <f t="shared" si="47"/>
        <v>55</v>
      </c>
      <c r="AQ9" s="320">
        <f t="shared" si="27"/>
        <v>1650.0000000000002</v>
      </c>
      <c r="AR9" s="584">
        <f t="shared" ref="AR9" si="48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v>212</v>
      </c>
      <c r="C10" s="584">
        <v>219</v>
      </c>
      <c r="D10" s="45">
        <f t="shared" si="30"/>
        <v>3</v>
      </c>
      <c r="E10" s="45">
        <f t="shared" si="8"/>
        <v>25.14</v>
      </c>
      <c r="F10" s="584">
        <v>1828</v>
      </c>
      <c r="G10" s="52">
        <f t="shared" si="0"/>
        <v>1</v>
      </c>
      <c r="H10" s="584">
        <v>12442</v>
      </c>
      <c r="I10" s="396">
        <f t="shared" si="1"/>
        <v>114</v>
      </c>
      <c r="J10" s="66">
        <f t="shared" si="11"/>
        <v>114</v>
      </c>
      <c r="K10" s="584">
        <f t="shared" si="31"/>
        <v>2318</v>
      </c>
      <c r="L10" s="52">
        <f t="shared" si="12"/>
        <v>0</v>
      </c>
      <c r="M10" s="584">
        <f t="shared" si="32"/>
        <v>170851</v>
      </c>
      <c r="N10" s="396">
        <f t="shared" si="2"/>
        <v>0</v>
      </c>
      <c r="O10" s="64">
        <f t="shared" si="13"/>
        <v>1869</v>
      </c>
      <c r="P10" s="584">
        <v>2084</v>
      </c>
      <c r="Q10" s="584">
        <v>175278</v>
      </c>
      <c r="R10" s="395">
        <f t="shared" si="3"/>
        <v>41</v>
      </c>
      <c r="S10" s="52">
        <f t="shared" si="4"/>
        <v>1</v>
      </c>
      <c r="T10" s="67">
        <f t="shared" si="33"/>
        <v>0</v>
      </c>
      <c r="U10" s="402">
        <f t="shared" si="14"/>
        <v>2</v>
      </c>
      <c r="V10" s="62">
        <f t="shared" si="15"/>
        <v>155</v>
      </c>
      <c r="W10" s="400">
        <f t="shared" si="16"/>
        <v>77.5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49">AC9</f>
        <v>1936</v>
      </c>
      <c r="AD10" s="45">
        <f t="shared" si="6"/>
        <v>0</v>
      </c>
      <c r="AE10" s="584">
        <f t="shared" si="49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155</v>
      </c>
      <c r="AJ10" s="318">
        <f>-tanks!AW11</f>
        <v>155</v>
      </c>
      <c r="AK10" s="318">
        <f t="shared" si="23"/>
        <v>0</v>
      </c>
      <c r="AL10" s="318">
        <f t="shared" si="7"/>
        <v>2</v>
      </c>
      <c r="AM10" s="318">
        <f t="shared" si="24"/>
        <v>0</v>
      </c>
      <c r="AN10" s="584">
        <f t="shared" ref="AN10:AP10" si="50">AN9</f>
        <v>67</v>
      </c>
      <c r="AO10" s="320">
        <f t="shared" si="26"/>
        <v>2010.0000000000002</v>
      </c>
      <c r="AP10" s="584">
        <f t="shared" si="50"/>
        <v>55</v>
      </c>
      <c r="AQ10" s="320">
        <f t="shared" si="27"/>
        <v>1650.0000000000002</v>
      </c>
      <c r="AR10" s="584">
        <f t="shared" ref="AR10" si="51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v>205</v>
      </c>
      <c r="C11" s="584">
        <v>212</v>
      </c>
      <c r="D11" s="45">
        <f t="shared" si="30"/>
        <v>7</v>
      </c>
      <c r="E11" s="45">
        <f t="shared" si="8"/>
        <v>58.660000000000004</v>
      </c>
      <c r="F11" s="584">
        <v>1829</v>
      </c>
      <c r="G11" s="52">
        <f t="shared" si="0"/>
        <v>1</v>
      </c>
      <c r="H11" s="584">
        <v>12491</v>
      </c>
      <c r="I11" s="396">
        <f t="shared" si="1"/>
        <v>49</v>
      </c>
      <c r="J11" s="66">
        <f t="shared" si="11"/>
        <v>49</v>
      </c>
      <c r="K11" s="584">
        <v>2319</v>
      </c>
      <c r="L11" s="52">
        <f t="shared" si="12"/>
        <v>1</v>
      </c>
      <c r="M11" s="584">
        <v>170968</v>
      </c>
      <c r="N11" s="396">
        <f t="shared" si="2"/>
        <v>117</v>
      </c>
      <c r="O11" s="64">
        <f t="shared" si="13"/>
        <v>1869</v>
      </c>
      <c r="P11" s="584">
        <f t="shared" si="13"/>
        <v>2084</v>
      </c>
      <c r="Q11" s="584">
        <f t="shared" si="13"/>
        <v>175278</v>
      </c>
      <c r="R11" s="395">
        <f t="shared" ref="R11:R32" si="52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2</v>
      </c>
      <c r="V11" s="62">
        <f t="shared" si="15"/>
        <v>166</v>
      </c>
      <c r="W11" s="400">
        <f t="shared" si="16"/>
        <v>83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3">AC10</f>
        <v>1936</v>
      </c>
      <c r="AD11" s="45">
        <f t="shared" si="6"/>
        <v>0</v>
      </c>
      <c r="AE11" s="584">
        <f t="shared" si="53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166</v>
      </c>
      <c r="AJ11" s="318">
        <f>-tanks!AW12</f>
        <v>166</v>
      </c>
      <c r="AK11" s="318">
        <f t="shared" si="23"/>
        <v>0</v>
      </c>
      <c r="AL11" s="318">
        <f t="shared" si="7"/>
        <v>2</v>
      </c>
      <c r="AM11" s="318">
        <f t="shared" si="24"/>
        <v>0</v>
      </c>
      <c r="AN11" s="584">
        <f t="shared" ref="AN11:AP11" si="54">AN10</f>
        <v>67</v>
      </c>
      <c r="AO11" s="320">
        <f t="shared" si="26"/>
        <v>2010.0000000000002</v>
      </c>
      <c r="AP11" s="584">
        <f t="shared" si="54"/>
        <v>55</v>
      </c>
      <c r="AQ11" s="320">
        <f t="shared" si="27"/>
        <v>1650.0000000000002</v>
      </c>
      <c r="AR11" s="584">
        <f t="shared" ref="AR11" si="55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v>198</v>
      </c>
      <c r="C12" s="584">
        <v>205</v>
      </c>
      <c r="D12" s="45">
        <f t="shared" si="30"/>
        <v>7</v>
      </c>
      <c r="E12" s="45">
        <f t="shared" si="8"/>
        <v>58.660000000000004</v>
      </c>
      <c r="F12" s="584">
        <f t="shared" si="9"/>
        <v>1829</v>
      </c>
      <c r="G12" s="52">
        <f t="shared" si="0"/>
        <v>0</v>
      </c>
      <c r="H12" s="584">
        <f t="shared" si="10"/>
        <v>12491</v>
      </c>
      <c r="I12" s="396">
        <f t="shared" si="1"/>
        <v>0</v>
      </c>
      <c r="J12" s="66">
        <f t="shared" si="11"/>
        <v>0</v>
      </c>
      <c r="K12" s="584">
        <v>2320</v>
      </c>
      <c r="L12" s="52">
        <f t="shared" si="12"/>
        <v>1</v>
      </c>
      <c r="M12" s="584">
        <v>171004</v>
      </c>
      <c r="N12" s="396">
        <f t="shared" si="2"/>
        <v>36</v>
      </c>
      <c r="O12" s="64">
        <f t="shared" si="13"/>
        <v>1869</v>
      </c>
      <c r="P12" s="584">
        <v>2085</v>
      </c>
      <c r="Q12" s="584">
        <v>175398</v>
      </c>
      <c r="R12" s="395">
        <f t="shared" si="52"/>
        <v>120</v>
      </c>
      <c r="S12" s="52">
        <f t="shared" si="4"/>
        <v>1</v>
      </c>
      <c r="T12" s="67">
        <f t="shared" si="33"/>
        <v>0</v>
      </c>
      <c r="U12" s="402">
        <f t="shared" si="14"/>
        <v>2</v>
      </c>
      <c r="V12" s="62">
        <f t="shared" si="15"/>
        <v>156</v>
      </c>
      <c r="W12" s="400">
        <f t="shared" si="16"/>
        <v>78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6">AC11</f>
        <v>1936</v>
      </c>
      <c r="AD12" s="45">
        <f t="shared" si="6"/>
        <v>0</v>
      </c>
      <c r="AE12" s="584">
        <f t="shared" si="56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156</v>
      </c>
      <c r="AJ12" s="318">
        <f>-tanks!AW13</f>
        <v>156</v>
      </c>
      <c r="AK12" s="318">
        <f t="shared" si="23"/>
        <v>0</v>
      </c>
      <c r="AL12" s="318">
        <f t="shared" si="7"/>
        <v>2</v>
      </c>
      <c r="AM12" s="318">
        <f t="shared" si="24"/>
        <v>0</v>
      </c>
      <c r="AN12" s="584">
        <f t="shared" ref="AN12:AP12" si="57">AN11</f>
        <v>67</v>
      </c>
      <c r="AO12" s="320">
        <f t="shared" si="26"/>
        <v>2010.0000000000002</v>
      </c>
      <c r="AP12" s="584">
        <f t="shared" si="57"/>
        <v>55</v>
      </c>
      <c r="AQ12" s="320">
        <f t="shared" si="27"/>
        <v>1650.0000000000002</v>
      </c>
      <c r="AR12" s="584">
        <f t="shared" ref="AR12" si="58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v>192</v>
      </c>
      <c r="C13" s="584">
        <v>198</v>
      </c>
      <c r="D13" s="45">
        <f t="shared" si="30"/>
        <v>7</v>
      </c>
      <c r="E13" s="45">
        <f t="shared" si="8"/>
        <v>58.660000000000004</v>
      </c>
      <c r="F13" s="584">
        <v>1830</v>
      </c>
      <c r="G13" s="52">
        <f t="shared" si="0"/>
        <v>1</v>
      </c>
      <c r="H13" s="584">
        <v>12563</v>
      </c>
      <c r="I13" s="396">
        <f t="shared" si="1"/>
        <v>72</v>
      </c>
      <c r="J13" s="66">
        <f t="shared" si="11"/>
        <v>72</v>
      </c>
      <c r="K13" s="584">
        <f t="shared" si="31"/>
        <v>2320</v>
      </c>
      <c r="L13" s="52">
        <f t="shared" si="12"/>
        <v>0</v>
      </c>
      <c r="M13" s="584">
        <f t="shared" si="32"/>
        <v>171004</v>
      </c>
      <c r="N13" s="396">
        <f t="shared" si="2"/>
        <v>0</v>
      </c>
      <c r="O13" s="64">
        <f t="shared" si="13"/>
        <v>1869</v>
      </c>
      <c r="P13" s="584">
        <v>2086</v>
      </c>
      <c r="Q13" s="584">
        <v>175438</v>
      </c>
      <c r="R13" s="395">
        <f t="shared" si="52"/>
        <v>40</v>
      </c>
      <c r="S13" s="52">
        <f t="shared" si="4"/>
        <v>1</v>
      </c>
      <c r="T13" s="67">
        <f t="shared" si="33"/>
        <v>0</v>
      </c>
      <c r="U13" s="402">
        <f t="shared" si="14"/>
        <v>2</v>
      </c>
      <c r="V13" s="62">
        <f>R13+N13+I13:I13</f>
        <v>112</v>
      </c>
      <c r="W13" s="400">
        <f t="shared" si="16"/>
        <v>56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59">AC12</f>
        <v>1936</v>
      </c>
      <c r="AD13" s="45">
        <f t="shared" si="6"/>
        <v>0</v>
      </c>
      <c r="AE13" s="584">
        <f t="shared" si="59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112</v>
      </c>
      <c r="AJ13" s="318">
        <f>-tanks!AW14</f>
        <v>112</v>
      </c>
      <c r="AK13" s="318">
        <f t="shared" si="23"/>
        <v>0</v>
      </c>
      <c r="AL13" s="318">
        <f t="shared" si="7"/>
        <v>2</v>
      </c>
      <c r="AM13" s="318">
        <f t="shared" si="24"/>
        <v>0</v>
      </c>
      <c r="AN13" s="584">
        <f t="shared" ref="AN13:AP13" si="60">AN12</f>
        <v>67</v>
      </c>
      <c r="AO13" s="320">
        <f t="shared" si="26"/>
        <v>2010.0000000000002</v>
      </c>
      <c r="AP13" s="584">
        <f t="shared" si="60"/>
        <v>55</v>
      </c>
      <c r="AQ13" s="320">
        <f t="shared" si="27"/>
        <v>1650.0000000000002</v>
      </c>
      <c r="AR13" s="584">
        <f t="shared" ref="AR13" si="61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f t="shared" ref="B13:B35" si="62">B13</f>
        <v>192</v>
      </c>
      <c r="C14" s="584">
        <f t="shared" ref="C13:C35" si="63">C13</f>
        <v>198</v>
      </c>
      <c r="D14" s="45">
        <f t="shared" si="30"/>
        <v>0</v>
      </c>
      <c r="E14" s="45">
        <f t="shared" si="8"/>
        <v>0</v>
      </c>
      <c r="F14" s="584">
        <f t="shared" si="9"/>
        <v>1830</v>
      </c>
      <c r="G14" s="52">
        <f t="shared" si="0"/>
        <v>0</v>
      </c>
      <c r="H14" s="584">
        <f t="shared" si="10"/>
        <v>12563</v>
      </c>
      <c r="I14" s="396">
        <f t="shared" si="1"/>
        <v>0</v>
      </c>
      <c r="J14" s="66">
        <f t="shared" si="11"/>
        <v>0</v>
      </c>
      <c r="K14" s="584">
        <f t="shared" si="31"/>
        <v>2320</v>
      </c>
      <c r="L14" s="52">
        <f t="shared" si="12"/>
        <v>0</v>
      </c>
      <c r="M14" s="584">
        <f t="shared" si="32"/>
        <v>171004</v>
      </c>
      <c r="N14" s="396">
        <f t="shared" si="2"/>
        <v>0</v>
      </c>
      <c r="O14" s="64">
        <f t="shared" si="13"/>
        <v>1869</v>
      </c>
      <c r="P14" s="584">
        <f t="shared" si="13"/>
        <v>2086</v>
      </c>
      <c r="Q14" s="584">
        <f t="shared" si="13"/>
        <v>175438</v>
      </c>
      <c r="R14" s="395">
        <f t="shared" si="52"/>
        <v>0</v>
      </c>
      <c r="S14" s="52">
        <f t="shared" si="4"/>
        <v>0</v>
      </c>
      <c r="T14" s="67">
        <f t="shared" si="33"/>
        <v>0</v>
      </c>
      <c r="U14" s="402">
        <f t="shared" si="14"/>
        <v>0</v>
      </c>
      <c r="V14" s="62">
        <f t="shared" si="15"/>
        <v>0</v>
      </c>
      <c r="W14" s="400" t="e">
        <f t="shared" si="16"/>
        <v>#DIV/0!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4">AC13</f>
        <v>1936</v>
      </c>
      <c r="AD14" s="45">
        <f t="shared" si="6"/>
        <v>0</v>
      </c>
      <c r="AE14" s="584">
        <f t="shared" si="64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3"/>
        <v>0</v>
      </c>
      <c r="AL14" s="318">
        <f t="shared" si="7"/>
        <v>0</v>
      </c>
      <c r="AM14" s="318">
        <f t="shared" si="24"/>
        <v>0</v>
      </c>
      <c r="AN14" s="584">
        <f t="shared" ref="AN14:AP14" si="65">AN13</f>
        <v>67</v>
      </c>
      <c r="AO14" s="320">
        <f t="shared" si="26"/>
        <v>2010.0000000000002</v>
      </c>
      <c r="AP14" s="584">
        <f t="shared" si="65"/>
        <v>55</v>
      </c>
      <c r="AQ14" s="320">
        <f t="shared" si="27"/>
        <v>1650.0000000000002</v>
      </c>
      <c r="AR14" s="584">
        <f t="shared" ref="AR14" si="66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f t="shared" si="62"/>
        <v>192</v>
      </c>
      <c r="C15" s="584">
        <f t="shared" si="63"/>
        <v>198</v>
      </c>
      <c r="D15" s="45">
        <f t="shared" si="30"/>
        <v>0</v>
      </c>
      <c r="E15" s="45">
        <f t="shared" si="8"/>
        <v>0</v>
      </c>
      <c r="F15" s="584">
        <f t="shared" si="9"/>
        <v>1830</v>
      </c>
      <c r="G15" s="52">
        <f t="shared" si="0"/>
        <v>0</v>
      </c>
      <c r="H15" s="584">
        <f t="shared" si="10"/>
        <v>12563</v>
      </c>
      <c r="I15" s="396">
        <f t="shared" si="1"/>
        <v>0</v>
      </c>
      <c r="J15" s="66">
        <f t="shared" si="11"/>
        <v>0</v>
      </c>
      <c r="K15" s="584">
        <f t="shared" si="31"/>
        <v>2320</v>
      </c>
      <c r="L15" s="52">
        <f t="shared" si="12"/>
        <v>0</v>
      </c>
      <c r="M15" s="584">
        <f t="shared" si="32"/>
        <v>171004</v>
      </c>
      <c r="N15" s="396">
        <f t="shared" si="2"/>
        <v>0</v>
      </c>
      <c r="O15" s="64">
        <f t="shared" si="13"/>
        <v>1869</v>
      </c>
      <c r="P15" s="584">
        <f t="shared" si="13"/>
        <v>2086</v>
      </c>
      <c r="Q15" s="584">
        <f t="shared" si="13"/>
        <v>175438</v>
      </c>
      <c r="R15" s="395">
        <f t="shared" si="52"/>
        <v>0</v>
      </c>
      <c r="S15" s="52">
        <f t="shared" si="4"/>
        <v>0</v>
      </c>
      <c r="T15" s="67">
        <f t="shared" si="33"/>
        <v>0</v>
      </c>
      <c r="U15" s="402">
        <f t="shared" si="14"/>
        <v>0</v>
      </c>
      <c r="V15" s="62">
        <f t="shared" si="15"/>
        <v>0</v>
      </c>
      <c r="W15" s="400" t="e">
        <f t="shared" si="16"/>
        <v>#DIV/0!</v>
      </c>
      <c r="X15" s="584">
        <f t="shared" si="17"/>
        <v>2467</v>
      </c>
      <c r="Y15" s="52">
        <f t="shared" si="18"/>
        <v>0</v>
      </c>
      <c r="Z15" s="584">
        <f t="shared" si="19"/>
        <v>138841</v>
      </c>
      <c r="AA15" s="65">
        <f t="shared" si="5"/>
        <v>0</v>
      </c>
      <c r="AB15" s="284">
        <f t="shared" si="34"/>
        <v>0</v>
      </c>
      <c r="AC15" s="584">
        <f t="shared" ref="AC15:AE15" si="67">AC14</f>
        <v>1936</v>
      </c>
      <c r="AD15" s="45">
        <f t="shared" si="6"/>
        <v>0</v>
      </c>
      <c r="AE15" s="584">
        <f t="shared" si="67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0</v>
      </c>
      <c r="AI15" s="318">
        <f t="shared" si="22"/>
        <v>0</v>
      </c>
      <c r="AJ15" s="318">
        <f>-tanks!AW16</f>
        <v>0</v>
      </c>
      <c r="AK15" s="318">
        <f t="shared" si="23"/>
        <v>0</v>
      </c>
      <c r="AL15" s="318">
        <f t="shared" si="7"/>
        <v>0</v>
      </c>
      <c r="AM15" s="318">
        <f t="shared" si="24"/>
        <v>0</v>
      </c>
      <c r="AN15" s="584">
        <f t="shared" ref="AN15:AP15" si="68">AN14</f>
        <v>67</v>
      </c>
      <c r="AO15" s="320">
        <f t="shared" si="26"/>
        <v>2010.0000000000002</v>
      </c>
      <c r="AP15" s="584">
        <f t="shared" si="68"/>
        <v>55</v>
      </c>
      <c r="AQ15" s="320">
        <f t="shared" si="27"/>
        <v>1650.0000000000002</v>
      </c>
      <c r="AR15" s="584">
        <f t="shared" ref="AR15" si="69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f t="shared" si="62"/>
        <v>192</v>
      </c>
      <c r="C16" s="584">
        <f t="shared" si="63"/>
        <v>198</v>
      </c>
      <c r="D16" s="45">
        <f t="shared" si="30"/>
        <v>0</v>
      </c>
      <c r="E16" s="45">
        <f t="shared" si="8"/>
        <v>0</v>
      </c>
      <c r="F16" s="584">
        <f t="shared" si="9"/>
        <v>1830</v>
      </c>
      <c r="G16" s="52">
        <f t="shared" si="0"/>
        <v>0</v>
      </c>
      <c r="H16" s="584">
        <f t="shared" si="10"/>
        <v>12563</v>
      </c>
      <c r="I16" s="396">
        <f t="shared" si="1"/>
        <v>0</v>
      </c>
      <c r="J16" s="66">
        <f t="shared" si="11"/>
        <v>0</v>
      </c>
      <c r="K16" s="584">
        <f t="shared" si="31"/>
        <v>2320</v>
      </c>
      <c r="L16" s="52">
        <f t="shared" si="12"/>
        <v>0</v>
      </c>
      <c r="M16" s="584">
        <f t="shared" si="32"/>
        <v>171004</v>
      </c>
      <c r="N16" s="396">
        <f t="shared" si="2"/>
        <v>0</v>
      </c>
      <c r="O16" s="64">
        <f t="shared" si="13"/>
        <v>1869</v>
      </c>
      <c r="P16" s="584">
        <f t="shared" si="13"/>
        <v>2086</v>
      </c>
      <c r="Q16" s="584">
        <f t="shared" si="13"/>
        <v>175438</v>
      </c>
      <c r="R16" s="395">
        <f t="shared" si="52"/>
        <v>0</v>
      </c>
      <c r="S16" s="52">
        <f t="shared" si="4"/>
        <v>0</v>
      </c>
      <c r="T16" s="67">
        <f t="shared" si="33"/>
        <v>0</v>
      </c>
      <c r="U16" s="402">
        <f t="shared" si="14"/>
        <v>0</v>
      </c>
      <c r="V16" s="62">
        <f t="shared" si="15"/>
        <v>0</v>
      </c>
      <c r="W16" s="400" t="e">
        <f t="shared" si="16"/>
        <v>#DIV/0!</v>
      </c>
      <c r="X16" s="584">
        <f t="shared" si="17"/>
        <v>2467</v>
      </c>
      <c r="Y16" s="52">
        <f t="shared" si="18"/>
        <v>0</v>
      </c>
      <c r="Z16" s="584">
        <f t="shared" si="19"/>
        <v>138841</v>
      </c>
      <c r="AA16" s="65">
        <f t="shared" si="5"/>
        <v>0</v>
      </c>
      <c r="AB16" s="284">
        <f t="shared" si="34"/>
        <v>0</v>
      </c>
      <c r="AC16" s="584">
        <f t="shared" ref="AC16:AE16" si="70">AC15</f>
        <v>1936</v>
      </c>
      <c r="AD16" s="45">
        <f t="shared" si="6"/>
        <v>0</v>
      </c>
      <c r="AE16" s="584">
        <f t="shared" si="70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0</v>
      </c>
      <c r="AJ16" s="318">
        <f>-tanks!AW17</f>
        <v>0</v>
      </c>
      <c r="AK16" s="318">
        <f t="shared" si="23"/>
        <v>0</v>
      </c>
      <c r="AL16" s="318">
        <f t="shared" si="7"/>
        <v>0</v>
      </c>
      <c r="AM16" s="318">
        <f t="shared" si="24"/>
        <v>0</v>
      </c>
      <c r="AN16" s="584">
        <f t="shared" ref="AN16:AP16" si="71">AN15</f>
        <v>67</v>
      </c>
      <c r="AO16" s="320">
        <f t="shared" si="26"/>
        <v>2010.0000000000002</v>
      </c>
      <c r="AP16" s="584">
        <f t="shared" si="71"/>
        <v>55</v>
      </c>
      <c r="AQ16" s="320">
        <f t="shared" si="27"/>
        <v>1650.0000000000002</v>
      </c>
      <c r="AR16" s="584">
        <f t="shared" ref="AR16" si="72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f t="shared" si="62"/>
        <v>192</v>
      </c>
      <c r="C17" s="584">
        <f t="shared" si="63"/>
        <v>198</v>
      </c>
      <c r="D17" s="45">
        <f t="shared" si="30"/>
        <v>0</v>
      </c>
      <c r="E17" s="45">
        <f t="shared" si="8"/>
        <v>0</v>
      </c>
      <c r="F17" s="584">
        <f t="shared" si="9"/>
        <v>1830</v>
      </c>
      <c r="G17" s="52">
        <f t="shared" si="0"/>
        <v>0</v>
      </c>
      <c r="H17" s="584">
        <f t="shared" si="10"/>
        <v>12563</v>
      </c>
      <c r="I17" s="396">
        <f t="shared" si="1"/>
        <v>0</v>
      </c>
      <c r="J17" s="66">
        <f t="shared" si="11"/>
        <v>0</v>
      </c>
      <c r="K17" s="584">
        <f t="shared" si="31"/>
        <v>2320</v>
      </c>
      <c r="L17" s="52">
        <f t="shared" si="12"/>
        <v>0</v>
      </c>
      <c r="M17" s="584">
        <f t="shared" si="32"/>
        <v>171004</v>
      </c>
      <c r="N17" s="396">
        <f t="shared" si="2"/>
        <v>0</v>
      </c>
      <c r="O17" s="64">
        <f t="shared" si="13"/>
        <v>1869</v>
      </c>
      <c r="P17" s="584">
        <f t="shared" si="13"/>
        <v>2086</v>
      </c>
      <c r="Q17" s="584">
        <f t="shared" si="13"/>
        <v>175438</v>
      </c>
      <c r="R17" s="395">
        <f t="shared" si="52"/>
        <v>0</v>
      </c>
      <c r="S17" s="52">
        <f t="shared" si="4"/>
        <v>0</v>
      </c>
      <c r="T17" s="67">
        <f t="shared" si="33"/>
        <v>0</v>
      </c>
      <c r="U17" s="402">
        <f t="shared" si="14"/>
        <v>0</v>
      </c>
      <c r="V17" s="62">
        <f t="shared" si="15"/>
        <v>0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138841</v>
      </c>
      <c r="AA17" s="65">
        <f t="shared" si="5"/>
        <v>0</v>
      </c>
      <c r="AB17" s="284">
        <f t="shared" si="34"/>
        <v>0</v>
      </c>
      <c r="AC17" s="584">
        <f t="shared" ref="AC17:AE17" si="73">AC16</f>
        <v>1936</v>
      </c>
      <c r="AD17" s="45">
        <f t="shared" si="6"/>
        <v>0</v>
      </c>
      <c r="AE17" s="584">
        <f t="shared" si="73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0</v>
      </c>
      <c r="AJ17" s="318">
        <f>-tanks!AW18</f>
        <v>0</v>
      </c>
      <c r="AK17" s="318">
        <f t="shared" si="23"/>
        <v>0</v>
      </c>
      <c r="AL17" s="318">
        <f t="shared" si="7"/>
        <v>0</v>
      </c>
      <c r="AM17" s="318">
        <f t="shared" si="24"/>
        <v>0</v>
      </c>
      <c r="AN17" s="584">
        <f t="shared" ref="AN17:AP17" si="74">AN16</f>
        <v>67</v>
      </c>
      <c r="AO17" s="320">
        <f t="shared" si="26"/>
        <v>2010.0000000000002</v>
      </c>
      <c r="AP17" s="584">
        <f t="shared" si="74"/>
        <v>55</v>
      </c>
      <c r="AQ17" s="320">
        <f t="shared" si="27"/>
        <v>1650.0000000000002</v>
      </c>
      <c r="AR17" s="584">
        <f t="shared" ref="AR17" si="75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f t="shared" si="62"/>
        <v>192</v>
      </c>
      <c r="C18" s="584">
        <f t="shared" si="63"/>
        <v>198</v>
      </c>
      <c r="D18" s="45">
        <f t="shared" si="30"/>
        <v>0</v>
      </c>
      <c r="E18" s="45">
        <f t="shared" si="8"/>
        <v>0</v>
      </c>
      <c r="F18" s="584">
        <f t="shared" si="9"/>
        <v>1830</v>
      </c>
      <c r="G18" s="52">
        <f t="shared" si="0"/>
        <v>0</v>
      </c>
      <c r="H18" s="584">
        <f t="shared" si="10"/>
        <v>12563</v>
      </c>
      <c r="I18" s="396">
        <f t="shared" si="1"/>
        <v>0</v>
      </c>
      <c r="J18" s="66">
        <f t="shared" si="11"/>
        <v>0</v>
      </c>
      <c r="K18" s="584">
        <f t="shared" si="31"/>
        <v>2320</v>
      </c>
      <c r="L18" s="52">
        <f t="shared" si="12"/>
        <v>0</v>
      </c>
      <c r="M18" s="584">
        <f t="shared" si="32"/>
        <v>171004</v>
      </c>
      <c r="N18" s="396">
        <f t="shared" si="2"/>
        <v>0</v>
      </c>
      <c r="O18" s="64">
        <v>1869</v>
      </c>
      <c r="P18" s="584">
        <f t="shared" ref="P18:P35" si="76">P17</f>
        <v>2086</v>
      </c>
      <c r="Q18" s="584">
        <f t="shared" ref="Q18:Q35" si="77">Q17</f>
        <v>175438</v>
      </c>
      <c r="R18" s="395">
        <f t="shared" si="52"/>
        <v>0</v>
      </c>
      <c r="S18" s="52">
        <f t="shared" si="4"/>
        <v>0</v>
      </c>
      <c r="T18" s="67">
        <f t="shared" si="33"/>
        <v>0</v>
      </c>
      <c r="U18" s="402">
        <f t="shared" si="14"/>
        <v>0</v>
      </c>
      <c r="V18" s="62">
        <f t="shared" si="15"/>
        <v>0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138841</v>
      </c>
      <c r="AA18" s="65">
        <f t="shared" si="5"/>
        <v>0</v>
      </c>
      <c r="AB18" s="284">
        <f t="shared" ref="AB18:AB23" si="78">SUM(Y18*$AB$2)</f>
        <v>0</v>
      </c>
      <c r="AC18" s="584">
        <f t="shared" ref="AC18:AE18" si="79">AC17</f>
        <v>1936</v>
      </c>
      <c r="AD18" s="45">
        <f t="shared" si="6"/>
        <v>0</v>
      </c>
      <c r="AE18" s="584">
        <f t="shared" si="79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0</v>
      </c>
      <c r="AJ18" s="318">
        <f>-tanks!AW19</f>
        <v>0</v>
      </c>
      <c r="AK18" s="318">
        <f t="shared" si="23"/>
        <v>0</v>
      </c>
      <c r="AL18" s="318">
        <f t="shared" si="7"/>
        <v>0</v>
      </c>
      <c r="AM18" s="318">
        <f t="shared" si="24"/>
        <v>0</v>
      </c>
      <c r="AN18" s="584">
        <f t="shared" ref="AN18:AP18" si="80">AN17</f>
        <v>67</v>
      </c>
      <c r="AO18" s="320">
        <f t="shared" si="26"/>
        <v>2010.0000000000002</v>
      </c>
      <c r="AP18" s="584">
        <f t="shared" si="80"/>
        <v>55</v>
      </c>
      <c r="AQ18" s="320">
        <f t="shared" si="27"/>
        <v>1650.0000000000002</v>
      </c>
      <c r="AR18" s="584">
        <f t="shared" ref="AR18" si="81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f t="shared" si="62"/>
        <v>192</v>
      </c>
      <c r="C19" s="584">
        <f t="shared" si="63"/>
        <v>198</v>
      </c>
      <c r="D19" s="45">
        <f t="shared" si="30"/>
        <v>0</v>
      </c>
      <c r="E19" s="45">
        <f t="shared" si="8"/>
        <v>0</v>
      </c>
      <c r="F19" s="584">
        <f t="shared" si="9"/>
        <v>1830</v>
      </c>
      <c r="G19" s="52">
        <f t="shared" si="0"/>
        <v>0</v>
      </c>
      <c r="H19" s="584">
        <f t="shared" si="10"/>
        <v>12563</v>
      </c>
      <c r="I19" s="396">
        <f t="shared" si="1"/>
        <v>0</v>
      </c>
      <c r="J19" s="66">
        <f t="shared" si="11"/>
        <v>0</v>
      </c>
      <c r="K19" s="584">
        <f t="shared" si="31"/>
        <v>2320</v>
      </c>
      <c r="L19" s="52">
        <f t="shared" si="12"/>
        <v>0</v>
      </c>
      <c r="M19" s="584">
        <f t="shared" si="32"/>
        <v>171004</v>
      </c>
      <c r="N19" s="396">
        <f t="shared" si="2"/>
        <v>0</v>
      </c>
      <c r="O19" s="64">
        <f t="shared" si="13"/>
        <v>1869</v>
      </c>
      <c r="P19" s="584">
        <f t="shared" si="76"/>
        <v>2086</v>
      </c>
      <c r="Q19" s="584">
        <f t="shared" si="77"/>
        <v>175438</v>
      </c>
      <c r="R19" s="395">
        <f t="shared" si="52"/>
        <v>0</v>
      </c>
      <c r="S19" s="52">
        <f t="shared" si="4"/>
        <v>0</v>
      </c>
      <c r="T19" s="67">
        <f t="shared" si="33"/>
        <v>0</v>
      </c>
      <c r="U19" s="402">
        <f t="shared" si="14"/>
        <v>0</v>
      </c>
      <c r="V19" s="62">
        <f t="shared" si="15"/>
        <v>0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138841</v>
      </c>
      <c r="AA19" s="65">
        <f t="shared" si="5"/>
        <v>0</v>
      </c>
      <c r="AB19" s="284">
        <f t="shared" si="78"/>
        <v>0</v>
      </c>
      <c r="AC19" s="584">
        <f t="shared" ref="AC19:AE19" si="82">AC18</f>
        <v>1936</v>
      </c>
      <c r="AD19" s="45">
        <f t="shared" si="6"/>
        <v>0</v>
      </c>
      <c r="AE19" s="584">
        <f t="shared" si="82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0</v>
      </c>
      <c r="AJ19" s="318">
        <f>-tanks!AW20</f>
        <v>0</v>
      </c>
      <c r="AK19" s="318">
        <f t="shared" si="23"/>
        <v>0</v>
      </c>
      <c r="AL19" s="318">
        <f t="shared" si="7"/>
        <v>0</v>
      </c>
      <c r="AM19" s="318">
        <f t="shared" si="24"/>
        <v>0</v>
      </c>
      <c r="AN19" s="584">
        <f t="shared" ref="AN19:AP19" si="83">AN18</f>
        <v>67</v>
      </c>
      <c r="AO19" s="320">
        <f t="shared" si="26"/>
        <v>2010.0000000000002</v>
      </c>
      <c r="AP19" s="584">
        <f t="shared" si="83"/>
        <v>55</v>
      </c>
      <c r="AQ19" s="320">
        <f t="shared" si="27"/>
        <v>1650.0000000000002</v>
      </c>
      <c r="AR19" s="584">
        <f t="shared" ref="AR19" si="84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f t="shared" si="62"/>
        <v>192</v>
      </c>
      <c r="C20" s="584">
        <f t="shared" si="63"/>
        <v>198</v>
      </c>
      <c r="D20" s="45">
        <f>C19-C20</f>
        <v>0</v>
      </c>
      <c r="E20" s="45">
        <f t="shared" si="8"/>
        <v>0</v>
      </c>
      <c r="F20" s="584">
        <f t="shared" si="9"/>
        <v>1830</v>
      </c>
      <c r="G20" s="52">
        <f t="shared" si="0"/>
        <v>0</v>
      </c>
      <c r="H20" s="584">
        <f t="shared" si="10"/>
        <v>12563</v>
      </c>
      <c r="I20" s="396">
        <f t="shared" si="1"/>
        <v>0</v>
      </c>
      <c r="J20" s="66">
        <f t="shared" si="11"/>
        <v>0</v>
      </c>
      <c r="K20" s="584">
        <f t="shared" si="31"/>
        <v>2320</v>
      </c>
      <c r="L20" s="52">
        <f t="shared" si="12"/>
        <v>0</v>
      </c>
      <c r="M20" s="584">
        <f t="shared" si="32"/>
        <v>171004</v>
      </c>
      <c r="N20" s="396">
        <f t="shared" si="2"/>
        <v>0</v>
      </c>
      <c r="O20" s="64">
        <f t="shared" si="13"/>
        <v>1869</v>
      </c>
      <c r="P20" s="584">
        <f t="shared" si="76"/>
        <v>2086</v>
      </c>
      <c r="Q20" s="584">
        <f t="shared" si="77"/>
        <v>175438</v>
      </c>
      <c r="R20" s="395">
        <f t="shared" si="52"/>
        <v>0</v>
      </c>
      <c r="S20" s="52">
        <f t="shared" si="4"/>
        <v>0</v>
      </c>
      <c r="T20" s="67">
        <f t="shared" si="33"/>
        <v>0</v>
      </c>
      <c r="U20" s="402">
        <f t="shared" si="14"/>
        <v>0</v>
      </c>
      <c r="V20" s="62">
        <f t="shared" si="15"/>
        <v>0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138841</v>
      </c>
      <c r="AA20" s="65">
        <f t="shared" si="5"/>
        <v>0</v>
      </c>
      <c r="AB20" s="284">
        <f t="shared" si="78"/>
        <v>0</v>
      </c>
      <c r="AC20" s="584">
        <f t="shared" ref="AC20:AE20" si="85">AC19</f>
        <v>1936</v>
      </c>
      <c r="AD20" s="45">
        <f t="shared" si="6"/>
        <v>0</v>
      </c>
      <c r="AE20" s="584">
        <f t="shared" si="85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0</v>
      </c>
      <c r="AJ20" s="318">
        <f>-tanks!AW21</f>
        <v>0</v>
      </c>
      <c r="AK20" s="318">
        <f t="shared" si="23"/>
        <v>0</v>
      </c>
      <c r="AL20" s="318">
        <f t="shared" si="7"/>
        <v>0</v>
      </c>
      <c r="AM20" s="318">
        <f t="shared" si="24"/>
        <v>0</v>
      </c>
      <c r="AN20" s="584">
        <f t="shared" ref="AN20:AP20" si="86">AN19</f>
        <v>67</v>
      </c>
      <c r="AO20" s="320">
        <f t="shared" si="26"/>
        <v>2010.0000000000002</v>
      </c>
      <c r="AP20" s="584">
        <f t="shared" si="86"/>
        <v>55</v>
      </c>
      <c r="AQ20" s="320">
        <f t="shared" si="27"/>
        <v>1650.0000000000002</v>
      </c>
      <c r="AR20" s="584">
        <f t="shared" ref="AR20" si="87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f t="shared" si="62"/>
        <v>192</v>
      </c>
      <c r="C21" s="584">
        <f t="shared" si="63"/>
        <v>198</v>
      </c>
      <c r="D21" s="45">
        <f t="shared" ref="D21:D31" si="88">C20-C21</f>
        <v>0</v>
      </c>
      <c r="E21" s="45">
        <f t="shared" si="8"/>
        <v>0</v>
      </c>
      <c r="F21" s="584">
        <f t="shared" si="9"/>
        <v>1830</v>
      </c>
      <c r="G21" s="52">
        <f t="shared" si="0"/>
        <v>0</v>
      </c>
      <c r="H21" s="584">
        <f t="shared" si="10"/>
        <v>12563</v>
      </c>
      <c r="I21" s="396">
        <f t="shared" si="1"/>
        <v>0</v>
      </c>
      <c r="J21" s="66">
        <f t="shared" si="11"/>
        <v>0</v>
      </c>
      <c r="K21" s="584">
        <f t="shared" si="31"/>
        <v>2320</v>
      </c>
      <c r="L21" s="52">
        <f t="shared" si="12"/>
        <v>0</v>
      </c>
      <c r="M21" s="584">
        <f t="shared" si="32"/>
        <v>171004</v>
      </c>
      <c r="N21" s="396">
        <f t="shared" si="2"/>
        <v>0</v>
      </c>
      <c r="O21" s="64">
        <f t="shared" si="13"/>
        <v>1869</v>
      </c>
      <c r="P21" s="584">
        <f t="shared" si="76"/>
        <v>2086</v>
      </c>
      <c r="Q21" s="584">
        <f t="shared" si="77"/>
        <v>175438</v>
      </c>
      <c r="R21" s="395">
        <f t="shared" si="52"/>
        <v>0</v>
      </c>
      <c r="S21" s="52">
        <f t="shared" si="4"/>
        <v>0</v>
      </c>
      <c r="T21" s="67">
        <f t="shared" si="33"/>
        <v>0</v>
      </c>
      <c r="U21" s="402">
        <f t="shared" si="14"/>
        <v>0</v>
      </c>
      <c r="V21" s="62">
        <f t="shared" si="15"/>
        <v>0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138841</v>
      </c>
      <c r="AA21" s="65">
        <f t="shared" si="5"/>
        <v>0</v>
      </c>
      <c r="AB21" s="284">
        <f t="shared" si="78"/>
        <v>0</v>
      </c>
      <c r="AC21" s="584">
        <f t="shared" ref="AC21:AE21" si="89">AC20</f>
        <v>1936</v>
      </c>
      <c r="AD21" s="45">
        <f t="shared" si="6"/>
        <v>0</v>
      </c>
      <c r="AE21" s="584">
        <f t="shared" si="89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0</v>
      </c>
      <c r="AJ21" s="318">
        <f>-tanks!AW22</f>
        <v>0</v>
      </c>
      <c r="AK21" s="318">
        <f t="shared" si="23"/>
        <v>0</v>
      </c>
      <c r="AL21" s="318">
        <f t="shared" si="7"/>
        <v>0</v>
      </c>
      <c r="AM21" s="318">
        <f t="shared" si="24"/>
        <v>0</v>
      </c>
      <c r="AN21" s="584">
        <f t="shared" ref="AN21:AP21" si="90">AN20</f>
        <v>67</v>
      </c>
      <c r="AO21" s="320">
        <f t="shared" si="26"/>
        <v>2010.0000000000002</v>
      </c>
      <c r="AP21" s="584">
        <f t="shared" si="90"/>
        <v>55</v>
      </c>
      <c r="AQ21" s="320">
        <f t="shared" si="27"/>
        <v>1650.0000000000002</v>
      </c>
      <c r="AR21" s="584">
        <f t="shared" ref="AR21" si="91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f t="shared" si="62"/>
        <v>192</v>
      </c>
      <c r="C22" s="584">
        <f t="shared" si="63"/>
        <v>198</v>
      </c>
      <c r="D22" s="45">
        <f t="shared" si="88"/>
        <v>0</v>
      </c>
      <c r="E22" s="45">
        <f t="shared" si="8"/>
        <v>0</v>
      </c>
      <c r="F22" s="584">
        <f t="shared" si="9"/>
        <v>1830</v>
      </c>
      <c r="G22" s="52">
        <f t="shared" si="0"/>
        <v>0</v>
      </c>
      <c r="H22" s="584">
        <f t="shared" si="10"/>
        <v>12563</v>
      </c>
      <c r="I22" s="396">
        <f t="shared" si="1"/>
        <v>0</v>
      </c>
      <c r="J22" s="66">
        <f t="shared" si="11"/>
        <v>0</v>
      </c>
      <c r="K22" s="584">
        <f t="shared" si="31"/>
        <v>2320</v>
      </c>
      <c r="L22" s="52">
        <f t="shared" si="12"/>
        <v>0</v>
      </c>
      <c r="M22" s="584">
        <f t="shared" si="32"/>
        <v>171004</v>
      </c>
      <c r="N22" s="396">
        <f t="shared" si="2"/>
        <v>0</v>
      </c>
      <c r="O22" s="64">
        <f t="shared" si="13"/>
        <v>1869</v>
      </c>
      <c r="P22" s="584">
        <f t="shared" si="76"/>
        <v>2086</v>
      </c>
      <c r="Q22" s="584">
        <f t="shared" si="77"/>
        <v>175438</v>
      </c>
      <c r="R22" s="395">
        <f t="shared" si="52"/>
        <v>0</v>
      </c>
      <c r="S22" s="52">
        <f t="shared" si="4"/>
        <v>0</v>
      </c>
      <c r="T22" s="67">
        <f t="shared" si="33"/>
        <v>0</v>
      </c>
      <c r="U22" s="402">
        <f t="shared" si="14"/>
        <v>0</v>
      </c>
      <c r="V22" s="62">
        <f t="shared" si="15"/>
        <v>0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138841</v>
      </c>
      <c r="AA22" s="65">
        <f t="shared" si="5"/>
        <v>0</v>
      </c>
      <c r="AB22" s="284">
        <f t="shared" si="78"/>
        <v>0</v>
      </c>
      <c r="AC22" s="584">
        <f t="shared" ref="AC22:AE22" si="92">AC21</f>
        <v>1936</v>
      </c>
      <c r="AD22" s="45">
        <f t="shared" si="6"/>
        <v>0</v>
      </c>
      <c r="AE22" s="584">
        <f t="shared" si="92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0</v>
      </c>
      <c r="AJ22" s="318">
        <f>-tanks!AW23</f>
        <v>0</v>
      </c>
      <c r="AK22" s="318">
        <f t="shared" si="23"/>
        <v>0</v>
      </c>
      <c r="AL22" s="318">
        <f t="shared" si="7"/>
        <v>0</v>
      </c>
      <c r="AM22" s="318">
        <f t="shared" si="24"/>
        <v>0</v>
      </c>
      <c r="AN22" s="584">
        <f t="shared" ref="AN22:AP22" si="93">AN21</f>
        <v>67</v>
      </c>
      <c r="AO22" s="320">
        <f t="shared" si="26"/>
        <v>2010.0000000000002</v>
      </c>
      <c r="AP22" s="584">
        <f t="shared" si="93"/>
        <v>55</v>
      </c>
      <c r="AQ22" s="320">
        <f t="shared" si="27"/>
        <v>1650.0000000000002</v>
      </c>
      <c r="AR22" s="584">
        <f t="shared" ref="AR22" si="94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f t="shared" si="62"/>
        <v>192</v>
      </c>
      <c r="C23" s="584">
        <f t="shared" si="63"/>
        <v>198</v>
      </c>
      <c r="D23" s="45">
        <f t="shared" si="88"/>
        <v>0</v>
      </c>
      <c r="E23" s="45">
        <f t="shared" si="8"/>
        <v>0</v>
      </c>
      <c r="F23" s="584">
        <f t="shared" si="9"/>
        <v>1830</v>
      </c>
      <c r="G23" s="52">
        <f t="shared" si="0"/>
        <v>0</v>
      </c>
      <c r="H23" s="584">
        <f t="shared" si="10"/>
        <v>12563</v>
      </c>
      <c r="I23" s="396">
        <f t="shared" si="1"/>
        <v>0</v>
      </c>
      <c r="J23" s="66">
        <f t="shared" si="11"/>
        <v>0</v>
      </c>
      <c r="K23" s="584">
        <f t="shared" si="31"/>
        <v>2320</v>
      </c>
      <c r="L23" s="52">
        <f t="shared" si="12"/>
        <v>0</v>
      </c>
      <c r="M23" s="584">
        <f t="shared" si="32"/>
        <v>171004</v>
      </c>
      <c r="N23" s="396">
        <f t="shared" si="2"/>
        <v>0</v>
      </c>
      <c r="O23" s="64">
        <f t="shared" si="13"/>
        <v>1869</v>
      </c>
      <c r="P23" s="584">
        <f t="shared" si="76"/>
        <v>2086</v>
      </c>
      <c r="Q23" s="584">
        <f t="shared" si="77"/>
        <v>175438</v>
      </c>
      <c r="R23" s="395">
        <f t="shared" si="52"/>
        <v>0</v>
      </c>
      <c r="S23" s="52">
        <f t="shared" si="4"/>
        <v>0</v>
      </c>
      <c r="T23" s="67">
        <f t="shared" si="33"/>
        <v>0</v>
      </c>
      <c r="U23" s="402">
        <f t="shared" si="14"/>
        <v>0</v>
      </c>
      <c r="V23" s="62">
        <f t="shared" si="15"/>
        <v>0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138841</v>
      </c>
      <c r="AA23" s="65">
        <f t="shared" si="5"/>
        <v>0</v>
      </c>
      <c r="AB23" s="284">
        <f t="shared" si="78"/>
        <v>0</v>
      </c>
      <c r="AC23" s="584">
        <f t="shared" ref="AC23:AE23" si="95">AC22</f>
        <v>1936</v>
      </c>
      <c r="AD23" s="45">
        <f t="shared" si="6"/>
        <v>0</v>
      </c>
      <c r="AE23" s="584">
        <f t="shared" si="95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6">SUM(AH23+V23)</f>
        <v>0</v>
      </c>
      <c r="AJ23" s="318">
        <f>-tanks!AW24</f>
        <v>0</v>
      </c>
      <c r="AK23" s="318">
        <f t="shared" ref="AK23" si="97">SUM(AJ23-AI23)</f>
        <v>0</v>
      </c>
      <c r="AL23" s="318">
        <f t="shared" ref="AL23" si="98">S23+L23+G23</f>
        <v>0</v>
      </c>
      <c r="AM23" s="318">
        <f t="shared" ref="AM23" si="99">Y23+AD23</f>
        <v>0</v>
      </c>
      <c r="AN23" s="584">
        <f t="shared" ref="AN23:AP23" si="100">AN22</f>
        <v>67</v>
      </c>
      <c r="AO23" s="320">
        <f t="shared" si="26"/>
        <v>2010.0000000000002</v>
      </c>
      <c r="AP23" s="584">
        <f t="shared" si="100"/>
        <v>55</v>
      </c>
      <c r="AQ23" s="320">
        <f t="shared" si="27"/>
        <v>1650.0000000000002</v>
      </c>
      <c r="AR23" s="584">
        <f t="shared" ref="AR23" si="101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f t="shared" si="62"/>
        <v>192</v>
      </c>
      <c r="C24" s="584">
        <f t="shared" si="63"/>
        <v>198</v>
      </c>
      <c r="D24" s="45">
        <f t="shared" si="88"/>
        <v>0</v>
      </c>
      <c r="E24" s="45">
        <f t="shared" si="8"/>
        <v>0</v>
      </c>
      <c r="F24" s="584">
        <f t="shared" si="9"/>
        <v>1830</v>
      </c>
      <c r="G24" s="52">
        <f t="shared" si="0"/>
        <v>0</v>
      </c>
      <c r="H24" s="584">
        <f t="shared" si="10"/>
        <v>12563</v>
      </c>
      <c r="I24" s="396">
        <f t="shared" si="1"/>
        <v>0</v>
      </c>
      <c r="J24" s="66">
        <f t="shared" si="11"/>
        <v>0</v>
      </c>
      <c r="K24" s="584">
        <f t="shared" si="31"/>
        <v>2320</v>
      </c>
      <c r="L24" s="52">
        <f t="shared" si="12"/>
        <v>0</v>
      </c>
      <c r="M24" s="584">
        <f t="shared" si="32"/>
        <v>171004</v>
      </c>
      <c r="N24" s="396">
        <f t="shared" si="2"/>
        <v>0</v>
      </c>
      <c r="O24" s="64">
        <f t="shared" si="13"/>
        <v>1869</v>
      </c>
      <c r="P24" s="584">
        <f t="shared" si="76"/>
        <v>2086</v>
      </c>
      <c r="Q24" s="584">
        <f t="shared" si="77"/>
        <v>175438</v>
      </c>
      <c r="R24" s="395">
        <f t="shared" si="52"/>
        <v>0</v>
      </c>
      <c r="S24" s="52">
        <f t="shared" si="4"/>
        <v>0</v>
      </c>
      <c r="T24" s="67">
        <f t="shared" si="33"/>
        <v>0</v>
      </c>
      <c r="U24" s="402">
        <f t="shared" si="14"/>
        <v>0</v>
      </c>
      <c r="V24" s="62">
        <f t="shared" si="15"/>
        <v>0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138841</v>
      </c>
      <c r="AA24" s="65">
        <f t="shared" si="5"/>
        <v>0</v>
      </c>
      <c r="AB24" s="284">
        <f t="shared" ref="AB24:AB32" si="102">SUM(Y24*$AB$2)</f>
        <v>0</v>
      </c>
      <c r="AC24" s="584">
        <f t="shared" ref="AC24:AE24" si="103">AC23</f>
        <v>1936</v>
      </c>
      <c r="AD24" s="45">
        <f t="shared" si="6"/>
        <v>0</v>
      </c>
      <c r="AE24" s="584">
        <f t="shared" si="103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0</v>
      </c>
      <c r="AJ24" s="318">
        <f>-tanks!AW25</f>
        <v>0</v>
      </c>
      <c r="AK24" s="318">
        <f t="shared" si="23"/>
        <v>0</v>
      </c>
      <c r="AL24" s="318">
        <f t="shared" si="7"/>
        <v>0</v>
      </c>
      <c r="AM24" s="318">
        <f t="shared" si="24"/>
        <v>0</v>
      </c>
      <c r="AN24" s="584">
        <f t="shared" ref="AN24:AP24" si="104">AN23</f>
        <v>67</v>
      </c>
      <c r="AO24" s="320">
        <f t="shared" si="26"/>
        <v>2010.0000000000002</v>
      </c>
      <c r="AP24" s="584">
        <f t="shared" si="104"/>
        <v>55</v>
      </c>
      <c r="AQ24" s="320">
        <f t="shared" si="27"/>
        <v>1650.0000000000002</v>
      </c>
      <c r="AR24" s="584">
        <f t="shared" ref="AR24" si="105">AR23</f>
        <v>61</v>
      </c>
      <c r="AS24" s="320">
        <f t="shared" si="40"/>
        <v>1830</v>
      </c>
      <c r="AT24" s="320">
        <f t="shared" ref="AT24:AT32" si="106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f t="shared" si="62"/>
        <v>192</v>
      </c>
      <c r="C25" s="584">
        <f t="shared" si="63"/>
        <v>198</v>
      </c>
      <c r="D25" s="45">
        <f t="shared" si="88"/>
        <v>0</v>
      </c>
      <c r="E25" s="45">
        <f t="shared" si="8"/>
        <v>0</v>
      </c>
      <c r="F25" s="584">
        <f t="shared" si="9"/>
        <v>1830</v>
      </c>
      <c r="G25" s="52">
        <f t="shared" si="0"/>
        <v>0</v>
      </c>
      <c r="H25" s="584">
        <f t="shared" si="10"/>
        <v>12563</v>
      </c>
      <c r="I25" s="396">
        <f t="shared" si="1"/>
        <v>0</v>
      </c>
      <c r="J25" s="66">
        <f t="shared" si="11"/>
        <v>0</v>
      </c>
      <c r="K25" s="584">
        <f t="shared" si="31"/>
        <v>2320</v>
      </c>
      <c r="L25" s="52">
        <f t="shared" si="12"/>
        <v>0</v>
      </c>
      <c r="M25" s="584">
        <f t="shared" si="32"/>
        <v>171004</v>
      </c>
      <c r="N25" s="396">
        <f t="shared" si="2"/>
        <v>0</v>
      </c>
      <c r="O25" s="64">
        <f>O24</f>
        <v>1869</v>
      </c>
      <c r="P25" s="584">
        <f t="shared" si="76"/>
        <v>2086</v>
      </c>
      <c r="Q25" s="584">
        <f t="shared" si="77"/>
        <v>175438</v>
      </c>
      <c r="R25" s="395">
        <f t="shared" si="52"/>
        <v>0</v>
      </c>
      <c r="S25" s="52">
        <f t="shared" si="4"/>
        <v>0</v>
      </c>
      <c r="T25" s="67">
        <f t="shared" si="33"/>
        <v>0</v>
      </c>
      <c r="U25" s="402">
        <f t="shared" si="14"/>
        <v>0</v>
      </c>
      <c r="V25" s="62">
        <f t="shared" si="15"/>
        <v>0</v>
      </c>
      <c r="W25" s="400"/>
      <c r="X25" s="584">
        <f t="shared" si="17"/>
        <v>2467</v>
      </c>
      <c r="Y25" s="52">
        <f t="shared" si="18"/>
        <v>0</v>
      </c>
      <c r="Z25" s="584">
        <f t="shared" si="19"/>
        <v>138841</v>
      </c>
      <c r="AA25" s="65">
        <f t="shared" si="5"/>
        <v>0</v>
      </c>
      <c r="AB25" s="284">
        <f t="shared" si="102"/>
        <v>0</v>
      </c>
      <c r="AC25" s="584">
        <f t="shared" ref="AC25:AE25" si="107">AC24</f>
        <v>1936</v>
      </c>
      <c r="AD25" s="45">
        <f t="shared" si="6"/>
        <v>0</v>
      </c>
      <c r="AE25" s="584">
        <f t="shared" si="107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0</v>
      </c>
      <c r="AI25" s="318">
        <f t="shared" si="22"/>
        <v>0</v>
      </c>
      <c r="AJ25" s="318">
        <f>-tanks!AW26</f>
        <v>0</v>
      </c>
      <c r="AK25" s="318">
        <f t="shared" si="23"/>
        <v>0</v>
      </c>
      <c r="AL25" s="318">
        <f t="shared" si="7"/>
        <v>0</v>
      </c>
      <c r="AM25" s="318">
        <f t="shared" si="24"/>
        <v>0</v>
      </c>
      <c r="AN25" s="584">
        <f t="shared" ref="AN25:AP25" si="108">AN24</f>
        <v>67</v>
      </c>
      <c r="AO25" s="320">
        <f t="shared" si="26"/>
        <v>2010.0000000000002</v>
      </c>
      <c r="AP25" s="584">
        <f t="shared" si="108"/>
        <v>55</v>
      </c>
      <c r="AQ25" s="320">
        <f t="shared" ref="AQ25:AQ32" si="109">(AP25/100)*3000</f>
        <v>1650.0000000000002</v>
      </c>
      <c r="AR25" s="584">
        <f t="shared" ref="AR25" si="110">AR24</f>
        <v>61</v>
      </c>
      <c r="AS25" s="320">
        <f t="shared" si="40"/>
        <v>1830</v>
      </c>
      <c r="AT25" s="320">
        <f t="shared" si="106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f t="shared" si="62"/>
        <v>192</v>
      </c>
      <c r="C26" s="584">
        <f t="shared" si="63"/>
        <v>198</v>
      </c>
      <c r="D26" s="45">
        <f t="shared" si="88"/>
        <v>0</v>
      </c>
      <c r="E26" s="45">
        <f t="shared" si="8"/>
        <v>0</v>
      </c>
      <c r="F26" s="584">
        <f t="shared" si="9"/>
        <v>1830</v>
      </c>
      <c r="G26" s="52">
        <f t="shared" si="0"/>
        <v>0</v>
      </c>
      <c r="H26" s="584">
        <f t="shared" si="10"/>
        <v>12563</v>
      </c>
      <c r="I26" s="396">
        <f t="shared" si="1"/>
        <v>0</v>
      </c>
      <c r="J26" s="66">
        <f t="shared" si="11"/>
        <v>0</v>
      </c>
      <c r="K26" s="584">
        <f t="shared" si="31"/>
        <v>2320</v>
      </c>
      <c r="L26" s="52">
        <f t="shared" si="12"/>
        <v>0</v>
      </c>
      <c r="M26" s="584">
        <f t="shared" si="32"/>
        <v>171004</v>
      </c>
      <c r="N26" s="396">
        <f t="shared" si="2"/>
        <v>0</v>
      </c>
      <c r="O26" s="64">
        <f t="shared" si="13"/>
        <v>1869</v>
      </c>
      <c r="P26" s="584">
        <f t="shared" si="76"/>
        <v>2086</v>
      </c>
      <c r="Q26" s="584">
        <f t="shared" si="77"/>
        <v>175438</v>
      </c>
      <c r="R26" s="395">
        <f t="shared" si="52"/>
        <v>0</v>
      </c>
      <c r="S26" s="52">
        <f t="shared" si="4"/>
        <v>0</v>
      </c>
      <c r="T26" s="67">
        <f t="shared" si="33"/>
        <v>0</v>
      </c>
      <c r="U26" s="402">
        <f t="shared" si="14"/>
        <v>0</v>
      </c>
      <c r="V26" s="62">
        <f t="shared" si="15"/>
        <v>0</v>
      </c>
      <c r="W26" s="400"/>
      <c r="X26" s="584">
        <f t="shared" si="17"/>
        <v>2467</v>
      </c>
      <c r="Y26" s="52">
        <f t="shared" si="18"/>
        <v>0</v>
      </c>
      <c r="Z26" s="584">
        <f t="shared" si="19"/>
        <v>138841</v>
      </c>
      <c r="AA26" s="65">
        <f t="shared" si="5"/>
        <v>0</v>
      </c>
      <c r="AB26" s="284">
        <f t="shared" si="102"/>
        <v>0</v>
      </c>
      <c r="AC26" s="584">
        <f t="shared" ref="AC26:AE26" si="111">AC25</f>
        <v>1936</v>
      </c>
      <c r="AD26" s="45">
        <f t="shared" si="6"/>
        <v>0</v>
      </c>
      <c r="AE26" s="584">
        <f t="shared" si="111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0</v>
      </c>
      <c r="AJ26" s="318">
        <f>-tanks!AW27</f>
        <v>0</v>
      </c>
      <c r="AK26" s="318">
        <f t="shared" si="23"/>
        <v>0</v>
      </c>
      <c r="AL26" s="318">
        <f t="shared" si="7"/>
        <v>0</v>
      </c>
      <c r="AM26" s="318">
        <f t="shared" si="24"/>
        <v>0</v>
      </c>
      <c r="AN26" s="584">
        <f t="shared" ref="AN26:AP26" si="112">AN25</f>
        <v>67</v>
      </c>
      <c r="AO26" s="320">
        <f t="shared" si="26"/>
        <v>2010.0000000000002</v>
      </c>
      <c r="AP26" s="584">
        <f t="shared" si="112"/>
        <v>55</v>
      </c>
      <c r="AQ26" s="320">
        <f t="shared" si="109"/>
        <v>1650.0000000000002</v>
      </c>
      <c r="AR26" s="584">
        <f t="shared" ref="AR26" si="113">AR25</f>
        <v>61</v>
      </c>
      <c r="AS26" s="320">
        <f t="shared" si="40"/>
        <v>1830</v>
      </c>
      <c r="AT26" s="320">
        <f t="shared" si="106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f t="shared" si="62"/>
        <v>192</v>
      </c>
      <c r="C27" s="584">
        <f t="shared" si="63"/>
        <v>198</v>
      </c>
      <c r="D27" s="45">
        <f t="shared" si="88"/>
        <v>0</v>
      </c>
      <c r="E27" s="45">
        <f t="shared" si="8"/>
        <v>0</v>
      </c>
      <c r="F27" s="584">
        <f t="shared" si="9"/>
        <v>1830</v>
      </c>
      <c r="G27" s="52">
        <f t="shared" si="0"/>
        <v>0</v>
      </c>
      <c r="H27" s="584">
        <f t="shared" si="10"/>
        <v>12563</v>
      </c>
      <c r="I27" s="396">
        <f t="shared" si="1"/>
        <v>0</v>
      </c>
      <c r="J27" s="66">
        <f t="shared" si="11"/>
        <v>0</v>
      </c>
      <c r="K27" s="584">
        <f t="shared" si="31"/>
        <v>2320</v>
      </c>
      <c r="L27" s="52">
        <f t="shared" si="12"/>
        <v>0</v>
      </c>
      <c r="M27" s="584">
        <f t="shared" si="32"/>
        <v>171004</v>
      </c>
      <c r="N27" s="396">
        <f t="shared" si="2"/>
        <v>0</v>
      </c>
      <c r="O27" s="64">
        <f t="shared" si="13"/>
        <v>1869</v>
      </c>
      <c r="P27" s="584">
        <f t="shared" si="76"/>
        <v>2086</v>
      </c>
      <c r="Q27" s="584">
        <f t="shared" si="77"/>
        <v>175438</v>
      </c>
      <c r="R27" s="395">
        <f t="shared" si="52"/>
        <v>0</v>
      </c>
      <c r="S27" s="52">
        <f t="shared" si="4"/>
        <v>0</v>
      </c>
      <c r="T27" s="67">
        <f t="shared" si="33"/>
        <v>0</v>
      </c>
      <c r="U27" s="402">
        <f t="shared" si="14"/>
        <v>0</v>
      </c>
      <c r="V27" s="62">
        <f t="shared" si="15"/>
        <v>0</v>
      </c>
      <c r="W27" s="400"/>
      <c r="X27" s="584">
        <f t="shared" si="17"/>
        <v>2467</v>
      </c>
      <c r="Y27" s="52">
        <f t="shared" si="18"/>
        <v>0</v>
      </c>
      <c r="Z27" s="584">
        <f t="shared" si="19"/>
        <v>138841</v>
      </c>
      <c r="AA27" s="65">
        <f t="shared" si="5"/>
        <v>0</v>
      </c>
      <c r="AB27" s="284">
        <f t="shared" si="102"/>
        <v>0</v>
      </c>
      <c r="AC27" s="584">
        <f t="shared" ref="AC27:AE27" si="114">AC26</f>
        <v>1936</v>
      </c>
      <c r="AD27" s="45">
        <f t="shared" si="6"/>
        <v>0</v>
      </c>
      <c r="AE27" s="584">
        <f t="shared" si="114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0</v>
      </c>
      <c r="AJ27" s="318">
        <f>-tanks!AW28</f>
        <v>0</v>
      </c>
      <c r="AK27" s="318">
        <f t="shared" si="23"/>
        <v>0</v>
      </c>
      <c r="AL27" s="318">
        <f t="shared" si="7"/>
        <v>0</v>
      </c>
      <c r="AM27" s="318">
        <f t="shared" si="24"/>
        <v>0</v>
      </c>
      <c r="AN27" s="584">
        <f t="shared" ref="AN27:AP27" si="115">AN26</f>
        <v>67</v>
      </c>
      <c r="AO27" s="320">
        <f>(AN27/100)*3000</f>
        <v>2010.0000000000002</v>
      </c>
      <c r="AP27" s="584">
        <f t="shared" si="115"/>
        <v>55</v>
      </c>
      <c r="AQ27" s="320">
        <f t="shared" si="109"/>
        <v>1650.0000000000002</v>
      </c>
      <c r="AR27" s="584">
        <f t="shared" ref="AR27" si="116">AR26</f>
        <v>61</v>
      </c>
      <c r="AS27" s="320">
        <f t="shared" si="40"/>
        <v>1830</v>
      </c>
      <c r="AT27" s="320">
        <f t="shared" si="106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f t="shared" si="62"/>
        <v>192</v>
      </c>
      <c r="C28" s="584">
        <f t="shared" si="63"/>
        <v>198</v>
      </c>
      <c r="D28" s="45">
        <f t="shared" si="88"/>
        <v>0</v>
      </c>
      <c r="E28" s="45">
        <f t="shared" si="8"/>
        <v>0</v>
      </c>
      <c r="F28" s="584">
        <f t="shared" si="9"/>
        <v>1830</v>
      </c>
      <c r="G28" s="52">
        <f t="shared" si="0"/>
        <v>0</v>
      </c>
      <c r="H28" s="584">
        <f t="shared" si="10"/>
        <v>12563</v>
      </c>
      <c r="I28" s="396">
        <f t="shared" si="1"/>
        <v>0</v>
      </c>
      <c r="J28" s="66">
        <f t="shared" si="11"/>
        <v>0</v>
      </c>
      <c r="K28" s="584">
        <f t="shared" si="31"/>
        <v>2320</v>
      </c>
      <c r="L28" s="52">
        <f t="shared" si="12"/>
        <v>0</v>
      </c>
      <c r="M28" s="584">
        <f t="shared" si="32"/>
        <v>171004</v>
      </c>
      <c r="N28" s="396">
        <f t="shared" si="2"/>
        <v>0</v>
      </c>
      <c r="O28" s="64">
        <f t="shared" si="13"/>
        <v>1869</v>
      </c>
      <c r="P28" s="584">
        <f t="shared" si="76"/>
        <v>2086</v>
      </c>
      <c r="Q28" s="584">
        <f t="shared" si="77"/>
        <v>175438</v>
      </c>
      <c r="R28" s="395">
        <f t="shared" si="52"/>
        <v>0</v>
      </c>
      <c r="S28" s="52">
        <f t="shared" si="4"/>
        <v>0</v>
      </c>
      <c r="T28" s="67">
        <f t="shared" si="33"/>
        <v>0</v>
      </c>
      <c r="U28" s="402">
        <f t="shared" si="14"/>
        <v>0</v>
      </c>
      <c r="V28" s="62">
        <f t="shared" si="15"/>
        <v>0</v>
      </c>
      <c r="W28" s="400"/>
      <c r="X28" s="584">
        <f t="shared" si="17"/>
        <v>2467</v>
      </c>
      <c r="Y28" s="52">
        <f t="shared" si="18"/>
        <v>0</v>
      </c>
      <c r="Z28" s="584">
        <f t="shared" si="19"/>
        <v>138841</v>
      </c>
      <c r="AA28" s="65">
        <f t="shared" si="5"/>
        <v>0</v>
      </c>
      <c r="AB28" s="284">
        <f t="shared" si="102"/>
        <v>0</v>
      </c>
      <c r="AC28" s="584">
        <f t="shared" ref="AC28:AE28" si="117">AC27</f>
        <v>1936</v>
      </c>
      <c r="AD28" s="45">
        <f t="shared" si="6"/>
        <v>0</v>
      </c>
      <c r="AE28" s="584">
        <f t="shared" si="117"/>
        <v>365520.8</v>
      </c>
      <c r="AF28" s="306">
        <f t="shared" si="21"/>
        <v>0</v>
      </c>
      <c r="AG28" s="209">
        <f t="shared" si="36"/>
        <v>0</v>
      </c>
      <c r="AH28" s="62">
        <f t="shared" si="37"/>
        <v>0</v>
      </c>
      <c r="AI28" s="318">
        <f t="shared" si="22"/>
        <v>0</v>
      </c>
      <c r="AJ28" s="318">
        <f>-tanks!AW29</f>
        <v>0</v>
      </c>
      <c r="AK28" s="318">
        <f t="shared" si="23"/>
        <v>0</v>
      </c>
      <c r="AL28" s="318">
        <f t="shared" si="7"/>
        <v>0</v>
      </c>
      <c r="AM28" s="318">
        <f t="shared" si="24"/>
        <v>0</v>
      </c>
      <c r="AN28" s="584">
        <f t="shared" ref="AN28:AP28" si="118">AN27</f>
        <v>67</v>
      </c>
      <c r="AO28" s="320">
        <f t="shared" ref="AO28:AO32" si="119">(AN28/100)*3000</f>
        <v>2010.0000000000002</v>
      </c>
      <c r="AP28" s="584">
        <f t="shared" si="118"/>
        <v>55</v>
      </c>
      <c r="AQ28" s="320">
        <f t="shared" si="109"/>
        <v>1650.0000000000002</v>
      </c>
      <c r="AR28" s="584">
        <f t="shared" ref="AR28" si="120">AR27</f>
        <v>61</v>
      </c>
      <c r="AS28" s="320">
        <f t="shared" si="40"/>
        <v>1830</v>
      </c>
      <c r="AT28" s="320">
        <f t="shared" si="106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f t="shared" si="62"/>
        <v>192</v>
      </c>
      <c r="C29" s="584">
        <f t="shared" si="63"/>
        <v>198</v>
      </c>
      <c r="D29" s="45">
        <f t="shared" si="88"/>
        <v>0</v>
      </c>
      <c r="E29" s="45">
        <f t="shared" si="8"/>
        <v>0</v>
      </c>
      <c r="F29" s="584">
        <f t="shared" si="9"/>
        <v>1830</v>
      </c>
      <c r="G29" s="52">
        <f t="shared" si="0"/>
        <v>0</v>
      </c>
      <c r="H29" s="584">
        <f t="shared" si="10"/>
        <v>12563</v>
      </c>
      <c r="I29" s="396">
        <f t="shared" si="1"/>
        <v>0</v>
      </c>
      <c r="J29" s="66">
        <f t="shared" si="11"/>
        <v>0</v>
      </c>
      <c r="K29" s="584">
        <f t="shared" si="31"/>
        <v>2320</v>
      </c>
      <c r="L29" s="52">
        <f t="shared" si="12"/>
        <v>0</v>
      </c>
      <c r="M29" s="584">
        <f t="shared" si="32"/>
        <v>171004</v>
      </c>
      <c r="N29" s="396">
        <f t="shared" si="2"/>
        <v>0</v>
      </c>
      <c r="O29" s="64">
        <f t="shared" si="13"/>
        <v>1869</v>
      </c>
      <c r="P29" s="584">
        <f t="shared" si="76"/>
        <v>2086</v>
      </c>
      <c r="Q29" s="584">
        <f t="shared" si="77"/>
        <v>175438</v>
      </c>
      <c r="R29" s="395">
        <f t="shared" si="52"/>
        <v>0</v>
      </c>
      <c r="S29" s="52">
        <f t="shared" si="4"/>
        <v>0</v>
      </c>
      <c r="T29" s="67">
        <f t="shared" si="33"/>
        <v>0</v>
      </c>
      <c r="U29" s="402">
        <f t="shared" si="14"/>
        <v>0</v>
      </c>
      <c r="V29" s="62">
        <f t="shared" si="15"/>
        <v>0</v>
      </c>
      <c r="W29" s="400"/>
      <c r="X29" s="584">
        <f t="shared" si="17"/>
        <v>2467</v>
      </c>
      <c r="Y29" s="52">
        <f t="shared" si="18"/>
        <v>0</v>
      </c>
      <c r="Z29" s="584">
        <f t="shared" si="19"/>
        <v>138841</v>
      </c>
      <c r="AA29" s="65">
        <f t="shared" si="5"/>
        <v>0</v>
      </c>
      <c r="AB29" s="284">
        <f t="shared" si="102"/>
        <v>0</v>
      </c>
      <c r="AC29" s="584">
        <f t="shared" ref="AC29:AE29" si="121">AC28</f>
        <v>1936</v>
      </c>
      <c r="AD29" s="45">
        <f t="shared" si="6"/>
        <v>0</v>
      </c>
      <c r="AE29" s="584">
        <f t="shared" si="121"/>
        <v>365520.8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0</v>
      </c>
      <c r="AJ29" s="318">
        <f>-tanks!AW30</f>
        <v>0</v>
      </c>
      <c r="AK29" s="318">
        <f t="shared" si="23"/>
        <v>0</v>
      </c>
      <c r="AL29" s="318">
        <f t="shared" si="7"/>
        <v>0</v>
      </c>
      <c r="AM29" s="318">
        <f t="shared" si="24"/>
        <v>0</v>
      </c>
      <c r="AN29" s="584">
        <f t="shared" ref="AN29:AP29" si="122">AN28</f>
        <v>67</v>
      </c>
      <c r="AO29" s="320">
        <f t="shared" si="119"/>
        <v>2010.0000000000002</v>
      </c>
      <c r="AP29" s="584">
        <f t="shared" si="122"/>
        <v>55</v>
      </c>
      <c r="AQ29" s="320">
        <f t="shared" si="109"/>
        <v>1650.0000000000002</v>
      </c>
      <c r="AR29" s="584">
        <f t="shared" ref="AR29" si="123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f t="shared" si="62"/>
        <v>192</v>
      </c>
      <c r="C30" s="584">
        <f t="shared" si="63"/>
        <v>198</v>
      </c>
      <c r="D30" s="45">
        <f t="shared" si="88"/>
        <v>0</v>
      </c>
      <c r="E30" s="45">
        <f t="shared" si="8"/>
        <v>0</v>
      </c>
      <c r="F30" s="584">
        <f t="shared" si="9"/>
        <v>1830</v>
      </c>
      <c r="G30" s="52">
        <f t="shared" si="0"/>
        <v>0</v>
      </c>
      <c r="H30" s="584">
        <f t="shared" si="10"/>
        <v>12563</v>
      </c>
      <c r="I30" s="396">
        <f t="shared" si="1"/>
        <v>0</v>
      </c>
      <c r="J30" s="66">
        <f t="shared" si="11"/>
        <v>0</v>
      </c>
      <c r="K30" s="584">
        <f t="shared" si="31"/>
        <v>2320</v>
      </c>
      <c r="L30" s="52">
        <f t="shared" si="12"/>
        <v>0</v>
      </c>
      <c r="M30" s="584">
        <f t="shared" si="32"/>
        <v>171004</v>
      </c>
      <c r="N30" s="396">
        <f t="shared" si="2"/>
        <v>0</v>
      </c>
      <c r="O30" s="64">
        <f t="shared" si="13"/>
        <v>1869</v>
      </c>
      <c r="P30" s="584">
        <f t="shared" si="76"/>
        <v>2086</v>
      </c>
      <c r="Q30" s="584">
        <f t="shared" si="77"/>
        <v>175438</v>
      </c>
      <c r="R30" s="395">
        <f t="shared" si="52"/>
        <v>0</v>
      </c>
      <c r="S30" s="52">
        <f t="shared" si="4"/>
        <v>0</v>
      </c>
      <c r="T30" s="67">
        <f t="shared" si="33"/>
        <v>0</v>
      </c>
      <c r="U30" s="402">
        <f t="shared" si="14"/>
        <v>0</v>
      </c>
      <c r="V30" s="62">
        <f t="shared" si="15"/>
        <v>0</v>
      </c>
      <c r="W30" s="400"/>
      <c r="X30" s="584">
        <f t="shared" si="17"/>
        <v>2467</v>
      </c>
      <c r="Y30" s="52">
        <f t="shared" si="18"/>
        <v>0</v>
      </c>
      <c r="Z30" s="584">
        <f t="shared" si="19"/>
        <v>138841</v>
      </c>
      <c r="AA30" s="65">
        <f t="shared" si="5"/>
        <v>0</v>
      </c>
      <c r="AB30" s="284">
        <f t="shared" si="102"/>
        <v>0</v>
      </c>
      <c r="AC30" s="584">
        <f t="shared" ref="AC30:AE30" si="124">AC29</f>
        <v>1936</v>
      </c>
      <c r="AD30" s="45">
        <f t="shared" si="6"/>
        <v>0</v>
      </c>
      <c r="AE30" s="584">
        <f t="shared" si="124"/>
        <v>365520.8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0</v>
      </c>
      <c r="AJ30" s="318">
        <f>-tanks!AW31</f>
        <v>0</v>
      </c>
      <c r="AK30" s="318">
        <f t="shared" si="23"/>
        <v>0</v>
      </c>
      <c r="AL30" s="318">
        <f t="shared" si="7"/>
        <v>0</v>
      </c>
      <c r="AM30" s="318">
        <f t="shared" si="24"/>
        <v>0</v>
      </c>
      <c r="AN30" s="584">
        <f t="shared" ref="AN30:AP30" si="125">AN29</f>
        <v>67</v>
      </c>
      <c r="AO30" s="320">
        <f t="shared" si="119"/>
        <v>2010.0000000000002</v>
      </c>
      <c r="AP30" s="584">
        <f t="shared" si="125"/>
        <v>55</v>
      </c>
      <c r="AQ30" s="320">
        <f t="shared" si="109"/>
        <v>1650.0000000000002</v>
      </c>
      <c r="AR30" s="584">
        <f t="shared" ref="AR30" si="126">AR29</f>
        <v>61</v>
      </c>
      <c r="AS30" s="320">
        <f t="shared" si="40"/>
        <v>1830</v>
      </c>
      <c r="AT30" s="320">
        <f t="shared" si="106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f t="shared" si="62"/>
        <v>192</v>
      </c>
      <c r="C31" s="584">
        <f t="shared" si="63"/>
        <v>198</v>
      </c>
      <c r="D31" s="45">
        <f t="shared" si="88"/>
        <v>0</v>
      </c>
      <c r="E31" s="45">
        <f t="shared" si="8"/>
        <v>0</v>
      </c>
      <c r="F31" s="584">
        <f t="shared" si="9"/>
        <v>1830</v>
      </c>
      <c r="G31" s="52">
        <f t="shared" si="0"/>
        <v>0</v>
      </c>
      <c r="H31" s="584">
        <f t="shared" si="10"/>
        <v>12563</v>
      </c>
      <c r="I31" s="396">
        <f t="shared" si="1"/>
        <v>0</v>
      </c>
      <c r="J31" s="66">
        <f t="shared" si="11"/>
        <v>0</v>
      </c>
      <c r="K31" s="584">
        <f t="shared" si="31"/>
        <v>2320</v>
      </c>
      <c r="L31" s="52">
        <f t="shared" si="12"/>
        <v>0</v>
      </c>
      <c r="M31" s="584">
        <f t="shared" si="32"/>
        <v>171004</v>
      </c>
      <c r="N31" s="396">
        <f t="shared" si="2"/>
        <v>0</v>
      </c>
      <c r="O31" s="64">
        <f t="shared" si="13"/>
        <v>1869</v>
      </c>
      <c r="P31" s="584">
        <f t="shared" si="76"/>
        <v>2086</v>
      </c>
      <c r="Q31" s="584">
        <f t="shared" si="77"/>
        <v>175438</v>
      </c>
      <c r="R31" s="395">
        <f t="shared" si="52"/>
        <v>0</v>
      </c>
      <c r="S31" s="52">
        <f t="shared" si="4"/>
        <v>0</v>
      </c>
      <c r="T31" s="67">
        <f t="shared" si="33"/>
        <v>0</v>
      </c>
      <c r="U31" s="402">
        <f t="shared" si="14"/>
        <v>0</v>
      </c>
      <c r="V31" s="62">
        <f t="shared" si="15"/>
        <v>0</v>
      </c>
      <c r="W31" s="400"/>
      <c r="X31" s="584">
        <f t="shared" si="17"/>
        <v>2467</v>
      </c>
      <c r="Y31" s="52">
        <f t="shared" si="18"/>
        <v>0</v>
      </c>
      <c r="Z31" s="584">
        <f t="shared" si="19"/>
        <v>138841</v>
      </c>
      <c r="AA31" s="65">
        <f t="shared" si="5"/>
        <v>0</v>
      </c>
      <c r="AB31" s="284">
        <f t="shared" si="102"/>
        <v>0</v>
      </c>
      <c r="AC31" s="584">
        <f t="shared" ref="AC31:AE31" si="127">AC30</f>
        <v>1936</v>
      </c>
      <c r="AD31" s="269">
        <f t="shared" si="6"/>
        <v>0</v>
      </c>
      <c r="AE31" s="584">
        <f t="shared" si="127"/>
        <v>365520.8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0</v>
      </c>
      <c r="AJ31" s="318">
        <f>-tanks!AW32</f>
        <v>0</v>
      </c>
      <c r="AK31" s="318">
        <f t="shared" si="23"/>
        <v>0</v>
      </c>
      <c r="AL31" s="318">
        <f t="shared" si="7"/>
        <v>0</v>
      </c>
      <c r="AM31" s="318">
        <f t="shared" si="24"/>
        <v>0</v>
      </c>
      <c r="AN31" s="584">
        <f t="shared" ref="AN31:AP31" si="128">AN30</f>
        <v>67</v>
      </c>
      <c r="AO31" s="320">
        <f t="shared" si="119"/>
        <v>2010.0000000000002</v>
      </c>
      <c r="AP31" s="584">
        <f t="shared" si="128"/>
        <v>55</v>
      </c>
      <c r="AQ31" s="320">
        <f t="shared" si="109"/>
        <v>1650.0000000000002</v>
      </c>
      <c r="AR31" s="584">
        <f t="shared" ref="AR31" si="129">AR30</f>
        <v>61</v>
      </c>
      <c r="AS31" s="320">
        <f t="shared" si="40"/>
        <v>1830</v>
      </c>
      <c r="AT31" s="320">
        <f t="shared" si="106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f t="shared" si="62"/>
        <v>192</v>
      </c>
      <c r="C32" s="584">
        <f t="shared" si="63"/>
        <v>198</v>
      </c>
      <c r="D32" s="45">
        <f t="shared" si="30"/>
        <v>0</v>
      </c>
      <c r="E32" s="45">
        <f t="shared" ref="E32" si="130">D32*8.38</f>
        <v>0</v>
      </c>
      <c r="F32" s="584">
        <f t="shared" si="9"/>
        <v>1830</v>
      </c>
      <c r="G32" s="52">
        <f t="shared" si="0"/>
        <v>0</v>
      </c>
      <c r="H32" s="584">
        <f t="shared" si="10"/>
        <v>12563</v>
      </c>
      <c r="I32" s="396">
        <f t="shared" si="1"/>
        <v>0</v>
      </c>
      <c r="J32" s="66">
        <f t="shared" si="11"/>
        <v>0</v>
      </c>
      <c r="K32" s="584">
        <f t="shared" si="31"/>
        <v>2320</v>
      </c>
      <c r="L32" s="52">
        <f t="shared" si="12"/>
        <v>0</v>
      </c>
      <c r="M32" s="584">
        <f t="shared" si="32"/>
        <v>171004</v>
      </c>
      <c r="N32" s="396">
        <f t="shared" si="2"/>
        <v>0</v>
      </c>
      <c r="O32" s="64">
        <f t="shared" si="13"/>
        <v>1869</v>
      </c>
      <c r="P32" s="584">
        <f t="shared" si="76"/>
        <v>2086</v>
      </c>
      <c r="Q32" s="584">
        <f t="shared" si="77"/>
        <v>175438</v>
      </c>
      <c r="R32" s="395">
        <f t="shared" si="52"/>
        <v>0</v>
      </c>
      <c r="S32" s="52">
        <f t="shared" si="4"/>
        <v>0</v>
      </c>
      <c r="T32" s="67">
        <f t="shared" si="33"/>
        <v>0</v>
      </c>
      <c r="U32" s="402">
        <f t="shared" si="14"/>
        <v>0</v>
      </c>
      <c r="V32" s="62">
        <f t="shared" si="15"/>
        <v>0</v>
      </c>
      <c r="W32" s="400"/>
      <c r="X32" s="584">
        <f t="shared" si="17"/>
        <v>2467</v>
      </c>
      <c r="Y32" s="52">
        <f t="shared" si="18"/>
        <v>0</v>
      </c>
      <c r="Z32" s="584">
        <f t="shared" si="19"/>
        <v>138841</v>
      </c>
      <c r="AA32" s="65">
        <f t="shared" si="5"/>
        <v>0</v>
      </c>
      <c r="AB32" s="284">
        <f t="shared" si="102"/>
        <v>0</v>
      </c>
      <c r="AC32" s="584">
        <f t="shared" ref="AC32:AE32" si="131">AC31</f>
        <v>1936</v>
      </c>
      <c r="AD32" s="269">
        <f t="shared" si="6"/>
        <v>0</v>
      </c>
      <c r="AE32" s="584">
        <f t="shared" si="131"/>
        <v>365520.8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0</v>
      </c>
      <c r="AJ32" s="318">
        <f>-tanks!AW33</f>
        <v>0</v>
      </c>
      <c r="AK32" s="318">
        <f t="shared" si="23"/>
        <v>0</v>
      </c>
      <c r="AL32" s="318">
        <f t="shared" si="7"/>
        <v>0</v>
      </c>
      <c r="AM32" s="318">
        <f t="shared" si="24"/>
        <v>0</v>
      </c>
      <c r="AN32" s="584">
        <f t="shared" ref="AN32:AP32" si="132">AN31</f>
        <v>67</v>
      </c>
      <c r="AO32" s="320">
        <f t="shared" si="119"/>
        <v>2010.0000000000002</v>
      </c>
      <c r="AP32" s="584">
        <f t="shared" si="132"/>
        <v>55</v>
      </c>
      <c r="AQ32" s="320">
        <f t="shared" si="109"/>
        <v>1650.0000000000002</v>
      </c>
      <c r="AR32" s="584">
        <f t="shared" ref="AR32" si="133">AR31</f>
        <v>61</v>
      </c>
      <c r="AS32" s="320">
        <f t="shared" si="40"/>
        <v>1830</v>
      </c>
      <c r="AT32" s="320">
        <f t="shared" si="106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f t="shared" si="62"/>
        <v>192</v>
      </c>
      <c r="C33" s="584">
        <f t="shared" si="63"/>
        <v>198</v>
      </c>
      <c r="D33" s="45">
        <f t="shared" ref="D33:D34" si="134">C32-C33</f>
        <v>0</v>
      </c>
      <c r="E33" s="45">
        <f t="shared" ref="E33:E34" si="135">D33*8.38</f>
        <v>0</v>
      </c>
      <c r="F33" s="584">
        <f t="shared" si="9"/>
        <v>1830</v>
      </c>
      <c r="G33" s="52">
        <f t="shared" ref="G33:G34" si="136">F33-F32</f>
        <v>0</v>
      </c>
      <c r="H33" s="584">
        <f t="shared" si="10"/>
        <v>12563</v>
      </c>
      <c r="I33" s="396">
        <f t="shared" ref="I33:I34" si="137">SUM(H33-H32)</f>
        <v>0</v>
      </c>
      <c r="J33" s="66">
        <f t="shared" ref="J33:J34" si="138">IF(G33&gt;0,I33/G33,0)</f>
        <v>0</v>
      </c>
      <c r="K33" s="584">
        <f t="shared" si="31"/>
        <v>2320</v>
      </c>
      <c r="L33" s="52">
        <f t="shared" ref="L33:L34" si="139">K33-K32</f>
        <v>0</v>
      </c>
      <c r="M33" s="584">
        <f t="shared" si="32"/>
        <v>171004</v>
      </c>
      <c r="N33" s="396">
        <f t="shared" ref="N33:N34" si="140">M33-M32</f>
        <v>0</v>
      </c>
      <c r="O33" s="64">
        <f t="shared" ref="O33" si="141">O32</f>
        <v>1869</v>
      </c>
      <c r="P33" s="584">
        <f t="shared" si="76"/>
        <v>2086</v>
      </c>
      <c r="Q33" s="584">
        <f t="shared" si="77"/>
        <v>175438</v>
      </c>
      <c r="R33" s="395">
        <f t="shared" ref="R33:R34" si="142">Q33-Q32</f>
        <v>0</v>
      </c>
      <c r="S33" s="52">
        <f t="shared" ref="S33:S34" si="143">SUM(P33-P32)</f>
        <v>0</v>
      </c>
      <c r="T33" s="67">
        <f t="shared" ref="T33:T34" si="144">SUM(S33*$T$2)</f>
        <v>0</v>
      </c>
      <c r="U33" s="402">
        <f t="shared" ref="U33:U34" si="145">SUM(G33+L33+S33)</f>
        <v>0</v>
      </c>
      <c r="V33" s="62">
        <f t="shared" ref="V33:V34" si="146">R33+N33+I33:I33</f>
        <v>0</v>
      </c>
      <c r="W33" s="400"/>
      <c r="X33" s="584">
        <f t="shared" si="17"/>
        <v>2467</v>
      </c>
      <c r="Y33" s="52">
        <f t="shared" ref="Y33:Y34" si="147">X33-X32</f>
        <v>0</v>
      </c>
      <c r="Z33" s="584">
        <f t="shared" si="19"/>
        <v>138841</v>
      </c>
      <c r="AA33" s="65">
        <f t="shared" ref="AA33:AA34" si="148">Z33-Z32</f>
        <v>0</v>
      </c>
      <c r="AB33" s="284">
        <f t="shared" ref="AB33:AB34" si="149">SUM(Y33*$AB$2)</f>
        <v>0</v>
      </c>
      <c r="AC33" s="584">
        <f t="shared" ref="AC33:AE33" si="150">AC32</f>
        <v>1936</v>
      </c>
      <c r="AD33" s="269">
        <f t="shared" ref="AD33:AD34" si="151">AC33-AC32</f>
        <v>0</v>
      </c>
      <c r="AE33" s="584">
        <f t="shared" si="150"/>
        <v>365520.8</v>
      </c>
      <c r="AF33" s="306">
        <f t="shared" ref="AF33:AF34" si="152">AE33-AE32</f>
        <v>0</v>
      </c>
      <c r="AG33" s="209">
        <f t="shared" ref="AG33:AG34" si="153">IF(AD33&gt;0,AF33/AD33,0)</f>
        <v>0</v>
      </c>
      <c r="AH33" s="62">
        <f t="shared" ref="AH33:AH34" si="154">AF33+AA33</f>
        <v>0</v>
      </c>
      <c r="AI33" s="318">
        <f t="shared" ref="AI33:AI34" si="155">SUM(AH33+V33)</f>
        <v>0</v>
      </c>
      <c r="AJ33" s="318">
        <f>-tanks!AW34</f>
        <v>0</v>
      </c>
      <c r="AK33" s="318">
        <f t="shared" ref="AK33:AK34" si="156">SUM(AJ33-AI33)</f>
        <v>0</v>
      </c>
      <c r="AL33" s="318">
        <f t="shared" ref="AL33:AL34" si="157">S33+L33+G33</f>
        <v>0</v>
      </c>
      <c r="AM33" s="318">
        <f t="shared" ref="AM33:AM34" si="158">Y33+AD33</f>
        <v>0</v>
      </c>
      <c r="AN33" s="584">
        <f t="shared" ref="AN33:AP33" si="159">AN32</f>
        <v>67</v>
      </c>
      <c r="AO33" s="320">
        <f t="shared" ref="AO33:AO34" si="160">(AN33/100)*3000</f>
        <v>2010.0000000000002</v>
      </c>
      <c r="AP33" s="584">
        <f t="shared" si="159"/>
        <v>55</v>
      </c>
      <c r="AQ33" s="320">
        <f t="shared" ref="AQ33:AQ34" si="161">(AP33/100)*3000</f>
        <v>1650.0000000000002</v>
      </c>
      <c r="AR33" s="584">
        <f t="shared" ref="AR33" si="162">AR32</f>
        <v>61</v>
      </c>
      <c r="AS33" s="320">
        <f t="shared" ref="AS33:AS34" si="163">(AR33/100)*3000</f>
        <v>1830</v>
      </c>
      <c r="AT33" s="320">
        <f t="shared" ref="AT33:AT34" si="164">SUM(AO33+AQ33+AS33)</f>
        <v>5490</v>
      </c>
      <c r="AU33" s="320">
        <f t="shared" ref="AU33:AU34" si="165">AT32-AT33+AV33</f>
        <v>0</v>
      </c>
      <c r="AV33" s="269"/>
      <c r="AW33" s="269"/>
      <c r="AX33" s="313">
        <f t="shared" ref="AX33:AX34" si="166">IF(AV33&gt;0,AW33,AX32)</f>
        <v>0.8</v>
      </c>
    </row>
    <row r="34" spans="1:50">
      <c r="A34" s="63">
        <f>ELEC!C32</f>
        <v>44346</v>
      </c>
      <c r="B34" s="584">
        <f t="shared" si="62"/>
        <v>192</v>
      </c>
      <c r="C34" s="584">
        <f t="shared" si="63"/>
        <v>198</v>
      </c>
      <c r="D34" s="45">
        <f t="shared" si="134"/>
        <v>0</v>
      </c>
      <c r="E34" s="45">
        <f t="shared" si="135"/>
        <v>0</v>
      </c>
      <c r="F34" s="584">
        <f t="shared" si="9"/>
        <v>1830</v>
      </c>
      <c r="G34" s="52">
        <f t="shared" si="136"/>
        <v>0</v>
      </c>
      <c r="H34" s="584">
        <f t="shared" si="10"/>
        <v>12563</v>
      </c>
      <c r="I34" s="396">
        <f t="shared" si="137"/>
        <v>0</v>
      </c>
      <c r="J34" s="66">
        <f t="shared" si="138"/>
        <v>0</v>
      </c>
      <c r="K34" s="584">
        <f t="shared" si="31"/>
        <v>2320</v>
      </c>
      <c r="L34" s="52">
        <f t="shared" si="139"/>
        <v>0</v>
      </c>
      <c r="M34" s="584">
        <f t="shared" si="32"/>
        <v>171004</v>
      </c>
      <c r="N34" s="396">
        <f t="shared" si="140"/>
        <v>0</v>
      </c>
      <c r="O34" s="64">
        <f t="shared" ref="O34:O35" si="167">O33</f>
        <v>1869</v>
      </c>
      <c r="P34" s="584">
        <f t="shared" si="76"/>
        <v>2086</v>
      </c>
      <c r="Q34" s="584">
        <f t="shared" si="77"/>
        <v>175438</v>
      </c>
      <c r="R34" s="395">
        <f t="shared" si="142"/>
        <v>0</v>
      </c>
      <c r="S34" s="52">
        <f t="shared" si="143"/>
        <v>0</v>
      </c>
      <c r="T34" s="67">
        <f t="shared" si="144"/>
        <v>0</v>
      </c>
      <c r="U34" s="402">
        <f t="shared" si="145"/>
        <v>0</v>
      </c>
      <c r="V34" s="62">
        <f t="shared" si="146"/>
        <v>0</v>
      </c>
      <c r="W34" s="400"/>
      <c r="X34" s="584">
        <f t="shared" si="17"/>
        <v>2467</v>
      </c>
      <c r="Y34" s="52">
        <f t="shared" si="147"/>
        <v>0</v>
      </c>
      <c r="Z34" s="584">
        <f t="shared" si="19"/>
        <v>138841</v>
      </c>
      <c r="AA34" s="65">
        <f t="shared" si="148"/>
        <v>0</v>
      </c>
      <c r="AB34" s="284">
        <f t="shared" si="149"/>
        <v>0</v>
      </c>
      <c r="AC34" s="584">
        <f t="shared" ref="AC34:AE35" si="168">AC33</f>
        <v>1936</v>
      </c>
      <c r="AD34" s="269">
        <f t="shared" si="151"/>
        <v>0</v>
      </c>
      <c r="AE34" s="584">
        <f t="shared" si="168"/>
        <v>365520.8</v>
      </c>
      <c r="AF34" s="306">
        <f t="shared" si="152"/>
        <v>0</v>
      </c>
      <c r="AG34" s="209">
        <f t="shared" si="153"/>
        <v>0</v>
      </c>
      <c r="AH34" s="62">
        <f t="shared" si="154"/>
        <v>0</v>
      </c>
      <c r="AI34" s="318">
        <f t="shared" si="155"/>
        <v>0</v>
      </c>
      <c r="AJ34" s="318">
        <f>-tanks!AW35</f>
        <v>0</v>
      </c>
      <c r="AK34" s="318">
        <f t="shared" si="156"/>
        <v>0</v>
      </c>
      <c r="AL34" s="318">
        <f t="shared" si="157"/>
        <v>0</v>
      </c>
      <c r="AM34" s="318">
        <f t="shared" si="158"/>
        <v>0</v>
      </c>
      <c r="AN34" s="584">
        <f t="shared" ref="AN34:AP35" si="169">AN33</f>
        <v>67</v>
      </c>
      <c r="AO34" s="320">
        <f t="shared" si="160"/>
        <v>2010.0000000000002</v>
      </c>
      <c r="AP34" s="584">
        <f t="shared" si="169"/>
        <v>55</v>
      </c>
      <c r="AQ34" s="320">
        <f t="shared" si="161"/>
        <v>1650.0000000000002</v>
      </c>
      <c r="AR34" s="584">
        <f t="shared" ref="AR34:AR35" si="170">AR33</f>
        <v>61</v>
      </c>
      <c r="AS34" s="320">
        <f t="shared" si="163"/>
        <v>1830</v>
      </c>
      <c r="AT34" s="320">
        <f t="shared" si="164"/>
        <v>5490</v>
      </c>
      <c r="AU34" s="320">
        <f t="shared" si="165"/>
        <v>0</v>
      </c>
      <c r="AV34" s="269"/>
      <c r="AW34" s="269"/>
      <c r="AX34" s="313">
        <f t="shared" si="166"/>
        <v>0.8</v>
      </c>
    </row>
    <row r="35" spans="1:50">
      <c r="A35" s="63">
        <f>ELEC!C33</f>
        <v>44347</v>
      </c>
      <c r="B35" s="584">
        <f t="shared" si="62"/>
        <v>192</v>
      </c>
      <c r="C35" s="584">
        <f t="shared" si="63"/>
        <v>198</v>
      </c>
      <c r="D35" s="45">
        <f t="shared" ref="D35" si="171">C34-C35</f>
        <v>0</v>
      </c>
      <c r="E35" s="45">
        <f t="shared" ref="E35" si="172">D35*8.38</f>
        <v>0</v>
      </c>
      <c r="F35" s="584">
        <f t="shared" si="9"/>
        <v>1830</v>
      </c>
      <c r="G35" s="52">
        <f t="shared" ref="G35" si="173">F35-F34</f>
        <v>0</v>
      </c>
      <c r="H35" s="584">
        <f t="shared" si="10"/>
        <v>12563</v>
      </c>
      <c r="I35" s="396">
        <f t="shared" ref="I35" si="174">SUM(H35-H34)</f>
        <v>0</v>
      </c>
      <c r="J35" s="66">
        <f t="shared" ref="J35" si="175">IF(G35&gt;0,I35/G35,0)</f>
        <v>0</v>
      </c>
      <c r="K35" s="584">
        <f t="shared" si="31"/>
        <v>2320</v>
      </c>
      <c r="L35" s="52">
        <f t="shared" ref="L35" si="176">K35-K34</f>
        <v>0</v>
      </c>
      <c r="M35" s="584">
        <f t="shared" si="32"/>
        <v>171004</v>
      </c>
      <c r="N35" s="396">
        <f t="shared" ref="N35" si="177">M35-M34</f>
        <v>0</v>
      </c>
      <c r="O35" s="64">
        <f t="shared" si="167"/>
        <v>1869</v>
      </c>
      <c r="P35" s="584">
        <f t="shared" si="76"/>
        <v>2086</v>
      </c>
      <c r="Q35" s="584">
        <f t="shared" si="77"/>
        <v>175438</v>
      </c>
      <c r="R35" s="395">
        <f t="shared" ref="R35" si="178">Q35-Q34</f>
        <v>0</v>
      </c>
      <c r="S35" s="52">
        <f t="shared" ref="S35" si="179">SUM(P35-P34)</f>
        <v>0</v>
      </c>
      <c r="T35" s="67">
        <f t="shared" ref="T35" si="180">SUM(S35*$T$2)</f>
        <v>0</v>
      </c>
      <c r="U35" s="402">
        <f t="shared" ref="U35" si="181">SUM(G35+L35+S35)</f>
        <v>0</v>
      </c>
      <c r="V35" s="62">
        <f t="shared" ref="V35" si="182">R35+N35+I35:I35</f>
        <v>0</v>
      </c>
      <c r="W35" s="400"/>
      <c r="X35" s="584">
        <f t="shared" si="17"/>
        <v>2467</v>
      </c>
      <c r="Y35" s="52">
        <f t="shared" ref="Y35" si="183">X35-X34</f>
        <v>0</v>
      </c>
      <c r="Z35" s="584">
        <f t="shared" si="19"/>
        <v>138841</v>
      </c>
      <c r="AA35" s="65">
        <f t="shared" ref="AA35" si="184">Z35-Z34</f>
        <v>0</v>
      </c>
      <c r="AB35" s="284">
        <f t="shared" ref="AB35" si="185">SUM(Y35*$AB$2)</f>
        <v>0</v>
      </c>
      <c r="AC35" s="584">
        <f t="shared" si="168"/>
        <v>1936</v>
      </c>
      <c r="AD35" s="269">
        <f t="shared" ref="AD35" si="186">AC35-AC34</f>
        <v>0</v>
      </c>
      <c r="AE35" s="584">
        <f t="shared" si="168"/>
        <v>365520.8</v>
      </c>
      <c r="AF35" s="306">
        <f t="shared" ref="AF35" si="187">AE35-AE34</f>
        <v>0</v>
      </c>
      <c r="AG35" s="209">
        <f t="shared" ref="AG35" si="188">IF(AD35&gt;0,AF35/AD35,0)</f>
        <v>0</v>
      </c>
      <c r="AH35" s="62">
        <f t="shared" ref="AH35" si="189">AF35+AA35</f>
        <v>0</v>
      </c>
      <c r="AI35" s="318">
        <f t="shared" ref="AI35" si="190">SUM(AH35+V35)</f>
        <v>0</v>
      </c>
      <c r="AJ35" s="318">
        <f>-tanks!AW37</f>
        <v>0</v>
      </c>
      <c r="AK35" s="318">
        <f t="shared" ref="AK35" si="191">SUM(AJ35-AI35)</f>
        <v>0</v>
      </c>
      <c r="AL35" s="318">
        <f t="shared" ref="AL35" si="192">S35+L35+G35</f>
        <v>0</v>
      </c>
      <c r="AM35" s="318">
        <f t="shared" ref="AM35" si="193">Y35+AD35</f>
        <v>0</v>
      </c>
      <c r="AN35" s="584">
        <f t="shared" si="169"/>
        <v>67</v>
      </c>
      <c r="AO35" s="320">
        <f t="shared" ref="AO35" si="194">(AN35/100)*3000</f>
        <v>2010.0000000000002</v>
      </c>
      <c r="AP35" s="584">
        <f t="shared" si="169"/>
        <v>55</v>
      </c>
      <c r="AQ35" s="320">
        <f t="shared" ref="AQ35" si="195">(AP35/100)*3000</f>
        <v>1650.0000000000002</v>
      </c>
      <c r="AR35" s="584">
        <f t="shared" si="170"/>
        <v>61</v>
      </c>
      <c r="AS35" s="320">
        <f t="shared" ref="AS35" si="196">(AR35/100)*3000</f>
        <v>1830</v>
      </c>
      <c r="AT35" s="320">
        <f t="shared" ref="AT35" si="197">SUM(AO35+AQ35+AS35)</f>
        <v>5490</v>
      </c>
      <c r="AU35" s="320">
        <f t="shared" ref="AU35" si="198">AT34-AT35+AV35</f>
        <v>0</v>
      </c>
      <c r="AV35" s="269"/>
      <c r="AW35" s="269"/>
      <c r="AX35" s="313">
        <f t="shared" ref="AX35" si="199">IF(AV35&gt;0,AW35,AX34)</f>
        <v>0.8</v>
      </c>
    </row>
    <row r="36" spans="1:50">
      <c r="J36" s="283">
        <f>SUM(J5:J32)/(COUNT(J5:J32)-COUNTIF(J5:J32,0))</f>
        <v>58</v>
      </c>
      <c r="V36" s="62">
        <f>SUM(V5:V32)</f>
        <v>1337</v>
      </c>
      <c r="AE36" s="71" t="s">
        <v>383</v>
      </c>
      <c r="AG36" s="344"/>
      <c r="AH36" s="62">
        <f>SUM(AH5:AH32)</f>
        <v>0</v>
      </c>
      <c r="AL36" s="62">
        <f>SUM(AL5:AL32)</f>
        <v>17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1337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="90" zoomScaleNormal="90" workbookViewId="0">
      <pane ySplit="3" topLeftCell="A4" activePane="bottomLeft" state="frozen"/>
      <selection pane="bottomLeft" activeCell="AY14" sqref="AY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8051875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72" t="s">
        <v>95</v>
      </c>
      <c r="AS2" s="673"/>
      <c r="AT2" s="673"/>
      <c r="AU2" s="673"/>
      <c r="AV2" s="674"/>
      <c r="AW2" s="672" t="s">
        <v>96</v>
      </c>
      <c r="AX2" s="673"/>
      <c r="AY2" s="674"/>
      <c r="AZ2" s="672" t="s">
        <v>98</v>
      </c>
      <c r="BA2" s="673"/>
      <c r="BB2" s="674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69" t="s">
        <v>126</v>
      </c>
      <c r="AO3" s="670"/>
      <c r="AP3" s="671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v>471</v>
      </c>
      <c r="W9" s="324">
        <f t="shared" si="19"/>
        <v>1</v>
      </c>
      <c r="X9" s="5">
        <v>151496</v>
      </c>
      <c r="Y9" s="324">
        <f t="shared" ref="Y9:Y33" si="41">SUM(X9-X8)</f>
        <v>1</v>
      </c>
      <c r="Z9" s="5"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1</v>
      </c>
      <c r="AL9" s="327">
        <f t="shared" si="31"/>
        <v>-1</v>
      </c>
      <c r="AM9" s="327">
        <f>'General information '!D9</f>
        <v>22.5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v>82</v>
      </c>
      <c r="AU9" s="425">
        <f t="shared" ref="AU9:AU33" si="42">AU8</f>
        <v>1.1000000000000001</v>
      </c>
      <c r="AV9" s="201">
        <v>169</v>
      </c>
      <c r="AW9" s="5">
        <v>2.9</v>
      </c>
      <c r="AX9" s="201">
        <v>154</v>
      </c>
      <c r="AY9" s="426">
        <f t="shared" si="7"/>
        <v>73.8</v>
      </c>
      <c r="AZ9" s="426">
        <f t="shared" si="33"/>
        <v>185.9</v>
      </c>
      <c r="BA9" s="426">
        <f t="shared" si="34"/>
        <v>446.59999999999997</v>
      </c>
      <c r="BB9" s="21">
        <f t="shared" si="35"/>
        <v>-15.300000000000011</v>
      </c>
      <c r="BC9" s="21">
        <f t="shared" si="36"/>
        <v>-1.1000000000000227</v>
      </c>
      <c r="BD9" s="21">
        <f t="shared" si="36"/>
        <v>-11.600000000000023</v>
      </c>
      <c r="BE9" s="24">
        <f t="shared" si="37"/>
        <v>-28.000000000000057</v>
      </c>
      <c r="BF9" s="345">
        <f t="shared" si="8"/>
        <v>28.000000000000057</v>
      </c>
      <c r="BG9" s="82">
        <f t="shared" si="9"/>
        <v>-28.000000000000057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v>619082</v>
      </c>
      <c r="H10" s="5">
        <f t="shared" si="14"/>
        <v>295</v>
      </c>
      <c r="I10" s="5">
        <f t="shared" si="0"/>
        <v>295</v>
      </c>
      <c r="J10" s="334">
        <f t="shared" si="1"/>
        <v>0.82012028430836525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471</v>
      </c>
      <c r="W10" s="324">
        <f t="shared" si="19"/>
        <v>0</v>
      </c>
      <c r="X10" s="5">
        <v>151601</v>
      </c>
      <c r="Y10" s="324">
        <f t="shared" si="41"/>
        <v>105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105</v>
      </c>
      <c r="AL10" s="327">
        <f t="shared" si="31"/>
        <v>0</v>
      </c>
      <c r="AM10" s="327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v>104</v>
      </c>
      <c r="AU10" s="425">
        <f t="shared" si="42"/>
        <v>1.1000000000000001</v>
      </c>
      <c r="AV10" s="201">
        <v>167</v>
      </c>
      <c r="AW10" s="5">
        <v>2.9</v>
      </c>
      <c r="AX10" s="201">
        <v>177</v>
      </c>
      <c r="AY10" s="426">
        <f t="shared" si="7"/>
        <v>93.600000000000009</v>
      </c>
      <c r="AZ10" s="426">
        <f t="shared" si="33"/>
        <v>183.70000000000002</v>
      </c>
      <c r="BA10" s="426">
        <f t="shared" si="34"/>
        <v>513.29999999999995</v>
      </c>
      <c r="BB10" s="21">
        <f t="shared" si="35"/>
        <v>19.800000000000011</v>
      </c>
      <c r="BC10" s="21">
        <f t="shared" si="36"/>
        <v>-2.1999999999999886</v>
      </c>
      <c r="BD10" s="21">
        <f t="shared" si="36"/>
        <v>66.699999999999989</v>
      </c>
      <c r="BE10" s="24">
        <f t="shared" si="37"/>
        <v>84.300000000000011</v>
      </c>
      <c r="BF10" s="96">
        <f t="shared" si="8"/>
        <v>210.7</v>
      </c>
      <c r="BG10" s="82">
        <f t="shared" si="9"/>
        <v>84.300000000000011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619082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6760</v>
      </c>
      <c r="L11" s="83">
        <f t="shared" si="40"/>
        <v>6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471</v>
      </c>
      <c r="W11" s="324">
        <f t="shared" si="19"/>
        <v>0</v>
      </c>
      <c r="X11" s="5">
        <f t="shared" si="20"/>
        <v>151601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-6</v>
      </c>
      <c r="AL11" s="327">
        <f t="shared" si="31"/>
        <v>0</v>
      </c>
      <c r="AM11" s="327">
        <f>'General information '!D11</f>
        <v>22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104</v>
      </c>
      <c r="AU11" s="425">
        <f t="shared" si="42"/>
        <v>1.1000000000000001</v>
      </c>
      <c r="AV11" s="201">
        <v>165</v>
      </c>
      <c r="AW11" s="5">
        <v>2.9</v>
      </c>
      <c r="AX11" s="201">
        <v>176</v>
      </c>
      <c r="AY11" s="426">
        <f t="shared" si="7"/>
        <v>93.600000000000009</v>
      </c>
      <c r="AZ11" s="426">
        <f t="shared" si="33"/>
        <v>181.50000000000003</v>
      </c>
      <c r="BA11" s="426">
        <f t="shared" si="34"/>
        <v>510.4</v>
      </c>
      <c r="BB11" s="21">
        <f t="shared" si="35"/>
        <v>0</v>
      </c>
      <c r="BC11" s="21">
        <f t="shared" si="36"/>
        <v>-2.1999999999999886</v>
      </c>
      <c r="BD11" s="21">
        <f t="shared" si="36"/>
        <v>-2.8999999999999773</v>
      </c>
      <c r="BE11" s="24">
        <f t="shared" si="37"/>
        <v>-5.0999999999999659</v>
      </c>
      <c r="BF11" s="96">
        <f t="shared" si="8"/>
        <v>5.0999999999999659</v>
      </c>
      <c r="BG11" s="82">
        <f t="shared" si="9"/>
        <v>-5.0999999999999659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v>619375</v>
      </c>
      <c r="H12" s="5">
        <f t="shared" si="14"/>
        <v>293</v>
      </c>
      <c r="I12" s="5">
        <f t="shared" si="0"/>
        <v>293</v>
      </c>
      <c r="J12" s="334">
        <f t="shared" si="1"/>
        <v>0.82571837498623801</v>
      </c>
      <c r="K12" s="5">
        <f>'Swimming Pool quality check '!H12</f>
        <v>6760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471</v>
      </c>
      <c r="W12" s="324">
        <f t="shared" si="19"/>
        <v>0</v>
      </c>
      <c r="X12" s="5">
        <v>151746</v>
      </c>
      <c r="Y12" s="324">
        <f t="shared" si="41"/>
        <v>145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145</v>
      </c>
      <c r="AL12" s="327">
        <f t="shared" si="31"/>
        <v>0</v>
      </c>
      <c r="AM12" s="327">
        <f>'General information '!D12</f>
        <v>23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v>86</v>
      </c>
      <c r="AU12" s="425">
        <f t="shared" si="42"/>
        <v>1.1000000000000001</v>
      </c>
      <c r="AV12" s="201">
        <v>163</v>
      </c>
      <c r="AW12" s="5">
        <v>2.9</v>
      </c>
      <c r="AX12" s="201">
        <v>201</v>
      </c>
      <c r="AY12" s="426">
        <f t="shared" si="7"/>
        <v>77.400000000000006</v>
      </c>
      <c r="AZ12" s="426">
        <f t="shared" si="33"/>
        <v>179.3</v>
      </c>
      <c r="BA12" s="426">
        <f t="shared" si="34"/>
        <v>582.9</v>
      </c>
      <c r="BB12" s="21">
        <f t="shared" si="35"/>
        <v>-16.200000000000003</v>
      </c>
      <c r="BC12" s="21">
        <f t="shared" si="36"/>
        <v>-2.2000000000000171</v>
      </c>
      <c r="BD12" s="21">
        <f t="shared" si="36"/>
        <v>72.5</v>
      </c>
      <c r="BE12" s="24">
        <f t="shared" si="37"/>
        <v>54.09999999999998</v>
      </c>
      <c r="BF12" s="96">
        <f t="shared" si="8"/>
        <v>238.90000000000003</v>
      </c>
      <c r="BG12" s="82">
        <f t="shared" si="9"/>
        <v>54.099999999999966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619375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6760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471</v>
      </c>
      <c r="W13" s="324">
        <f t="shared" si="19"/>
        <v>0</v>
      </c>
      <c r="X13" s="5">
        <f t="shared" si="20"/>
        <v>151746</v>
      </c>
      <c r="Y13" s="324">
        <f t="shared" si="41"/>
        <v>0</v>
      </c>
      <c r="Z13" s="5">
        <v>98836</v>
      </c>
      <c r="AA13" s="83">
        <f t="shared" si="22"/>
        <v>32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32</v>
      </c>
      <c r="AK13" s="327">
        <f t="shared" si="39"/>
        <v>0</v>
      </c>
      <c r="AL13" s="327">
        <f t="shared" si="31"/>
        <v>32</v>
      </c>
      <c r="AM13" s="327">
        <f>'General information '!D13</f>
        <v>24.5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v>58</v>
      </c>
      <c r="AU13" s="425">
        <f t="shared" si="42"/>
        <v>1.1000000000000001</v>
      </c>
      <c r="AV13" s="201">
        <v>182</v>
      </c>
      <c r="AW13" s="5">
        <v>2.9</v>
      </c>
      <c r="AX13" s="201">
        <v>190</v>
      </c>
      <c r="AY13" s="426">
        <f t="shared" si="7"/>
        <v>52.2</v>
      </c>
      <c r="AZ13" s="426">
        <f t="shared" si="33"/>
        <v>200.20000000000002</v>
      </c>
      <c r="BA13" s="426">
        <f t="shared" si="34"/>
        <v>551</v>
      </c>
      <c r="BB13" s="21">
        <f t="shared" si="35"/>
        <v>-25.200000000000003</v>
      </c>
      <c r="BC13" s="21">
        <f t="shared" si="36"/>
        <v>20.900000000000006</v>
      </c>
      <c r="BD13" s="21">
        <f t="shared" si="36"/>
        <v>-31.899999999999977</v>
      </c>
      <c r="BE13" s="24">
        <f t="shared" si="37"/>
        <v>-36.199999999999974</v>
      </c>
      <c r="BF13" s="96">
        <f t="shared" si="8"/>
        <v>36.199999999999974</v>
      </c>
      <c r="BG13" s="82">
        <f t="shared" si="9"/>
        <v>-36.199999999999974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619375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6762</v>
      </c>
      <c r="L14" s="83">
        <f t="shared" si="40"/>
        <v>2</v>
      </c>
      <c r="M14" s="410">
        <f t="shared" si="15"/>
        <v>457.44</v>
      </c>
      <c r="N14" s="511">
        <f t="shared" ref="N14:N33" si="43">SUM(M14-M13)</f>
        <v>0</v>
      </c>
      <c r="O14" s="410">
        <f t="shared" si="16"/>
        <v>529.52</v>
      </c>
      <c r="P14" s="511">
        <f t="shared" ref="P14:P33" si="44">SUM(O14-O13)</f>
        <v>0</v>
      </c>
      <c r="Q14" s="511">
        <f t="shared" ref="Q14:Q33" si="45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471</v>
      </c>
      <c r="W14" s="324">
        <f t="shared" si="19"/>
        <v>0</v>
      </c>
      <c r="X14" s="5">
        <v>151772</v>
      </c>
      <c r="Y14" s="324">
        <f t="shared" si="41"/>
        <v>26</v>
      </c>
      <c r="Z14" s="5">
        <v>98847</v>
      </c>
      <c r="AA14" s="83">
        <f t="shared" si="22"/>
        <v>11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11</v>
      </c>
      <c r="AK14" s="327">
        <f t="shared" si="39"/>
        <v>24</v>
      </c>
      <c r="AL14" s="327">
        <f t="shared" si="31"/>
        <v>11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v>164</v>
      </c>
      <c r="AU14" s="425">
        <f t="shared" si="42"/>
        <v>1.1000000000000001</v>
      </c>
      <c r="AV14" s="201">
        <v>189</v>
      </c>
      <c r="AW14" s="5">
        <v>2.9</v>
      </c>
      <c r="AX14" s="201">
        <v>187</v>
      </c>
      <c r="AY14" s="426">
        <f t="shared" si="7"/>
        <v>147.6</v>
      </c>
      <c r="AZ14" s="426">
        <f t="shared" si="33"/>
        <v>207.9</v>
      </c>
      <c r="BA14" s="426">
        <f t="shared" si="34"/>
        <v>542.29999999999995</v>
      </c>
      <c r="BB14" s="21">
        <f t="shared" si="35"/>
        <v>95.399999999999991</v>
      </c>
      <c r="BC14" s="21">
        <f t="shared" si="36"/>
        <v>7.6999999999999886</v>
      </c>
      <c r="BD14" s="21">
        <f t="shared" si="36"/>
        <v>-8.7000000000000455</v>
      </c>
      <c r="BE14" s="24">
        <f t="shared" si="37"/>
        <v>94.399999999999935</v>
      </c>
      <c r="BF14" s="96">
        <f t="shared" si="8"/>
        <v>-94.399999999999935</v>
      </c>
      <c r="BG14" s="82">
        <f t="shared" si="9"/>
        <v>94.399999999999935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619375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6762</v>
      </c>
      <c r="L15" s="83">
        <f t="shared" si="40"/>
        <v>0</v>
      </c>
      <c r="M15" s="410">
        <f t="shared" si="15"/>
        <v>457.44</v>
      </c>
      <c r="N15" s="511">
        <f t="shared" si="43"/>
        <v>0</v>
      </c>
      <c r="O15" s="410">
        <f t="shared" si="16"/>
        <v>529.52</v>
      </c>
      <c r="P15" s="511">
        <f t="shared" si="44"/>
        <v>0</v>
      </c>
      <c r="Q15" s="511">
        <f t="shared" si="45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471</v>
      </c>
      <c r="W15" s="324">
        <f t="shared" si="19"/>
        <v>0</v>
      </c>
      <c r="X15" s="5">
        <f t="shared" si="20"/>
        <v>151772</v>
      </c>
      <c r="Y15" s="324">
        <f t="shared" si="41"/>
        <v>0</v>
      </c>
      <c r="Z15" s="5">
        <f t="shared" si="21"/>
        <v>98847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f t="shared" si="6"/>
        <v>164</v>
      </c>
      <c r="AU15" s="425">
        <f t="shared" si="42"/>
        <v>1.1000000000000001</v>
      </c>
      <c r="AV15" s="201">
        <f t="shared" ref="AV14:AV35" si="46">AV14</f>
        <v>189</v>
      </c>
      <c r="AW15" s="5">
        <v>2.9</v>
      </c>
      <c r="AX15" s="201">
        <f t="shared" ref="AX14:AX35" si="47">AX14</f>
        <v>187</v>
      </c>
      <c r="AY15" s="426">
        <f t="shared" si="7"/>
        <v>147.6</v>
      </c>
      <c r="AZ15" s="426">
        <f t="shared" si="33"/>
        <v>207.9</v>
      </c>
      <c r="BA15" s="426">
        <f t="shared" si="34"/>
        <v>542.29999999999995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619375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6762</v>
      </c>
      <c r="L16" s="274">
        <f t="shared" si="40"/>
        <v>0</v>
      </c>
      <c r="M16" s="410">
        <f t="shared" si="15"/>
        <v>457.44</v>
      </c>
      <c r="N16" s="511">
        <f t="shared" si="43"/>
        <v>0</v>
      </c>
      <c r="O16" s="410">
        <f t="shared" si="16"/>
        <v>529.52</v>
      </c>
      <c r="P16" s="511">
        <f t="shared" si="44"/>
        <v>0</v>
      </c>
      <c r="Q16" s="511">
        <f t="shared" si="45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471</v>
      </c>
      <c r="W16" s="324">
        <f t="shared" si="19"/>
        <v>0</v>
      </c>
      <c r="X16" s="5">
        <f t="shared" si="20"/>
        <v>151772</v>
      </c>
      <c r="Y16" s="324">
        <f t="shared" si="41"/>
        <v>0</v>
      </c>
      <c r="Z16" s="5">
        <f t="shared" si="21"/>
        <v>98847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f t="shared" si="6"/>
        <v>164</v>
      </c>
      <c r="AU16" s="425">
        <f t="shared" si="42"/>
        <v>1.1000000000000001</v>
      </c>
      <c r="AV16" s="201">
        <f t="shared" si="46"/>
        <v>189</v>
      </c>
      <c r="AW16" s="5">
        <v>2.9</v>
      </c>
      <c r="AX16" s="201">
        <f t="shared" si="47"/>
        <v>187</v>
      </c>
      <c r="AY16" s="426">
        <f t="shared" si="7"/>
        <v>147.6</v>
      </c>
      <c r="AZ16" s="426">
        <f t="shared" si="33"/>
        <v>207.9</v>
      </c>
      <c r="BA16" s="426">
        <f t="shared" si="34"/>
        <v>542.29999999999995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619375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6762</v>
      </c>
      <c r="L17" s="83">
        <f t="shared" si="40"/>
        <v>0</v>
      </c>
      <c r="M17" s="410">
        <f t="shared" si="15"/>
        <v>457.44</v>
      </c>
      <c r="N17" s="511">
        <f t="shared" si="43"/>
        <v>0</v>
      </c>
      <c r="O17" s="410">
        <f t="shared" si="16"/>
        <v>529.52</v>
      </c>
      <c r="P17" s="511">
        <f t="shared" si="44"/>
        <v>0</v>
      </c>
      <c r="Q17" s="511">
        <f t="shared" si="45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471</v>
      </c>
      <c r="W17" s="324">
        <f t="shared" si="19"/>
        <v>0</v>
      </c>
      <c r="X17" s="5">
        <f t="shared" si="20"/>
        <v>151772</v>
      </c>
      <c r="Y17" s="324">
        <f t="shared" si="41"/>
        <v>0</v>
      </c>
      <c r="Z17" s="5">
        <f t="shared" si="21"/>
        <v>98847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164</v>
      </c>
      <c r="AU17" s="425">
        <f t="shared" si="42"/>
        <v>1.1000000000000001</v>
      </c>
      <c r="AV17" s="201">
        <f t="shared" si="46"/>
        <v>189</v>
      </c>
      <c r="AW17" s="5">
        <v>2.9</v>
      </c>
      <c r="AX17" s="201">
        <f t="shared" si="47"/>
        <v>187</v>
      </c>
      <c r="AY17" s="426">
        <f t="shared" si="7"/>
        <v>147.6</v>
      </c>
      <c r="AZ17" s="426">
        <f t="shared" si="33"/>
        <v>207.9</v>
      </c>
      <c r="BA17" s="426">
        <f t="shared" si="34"/>
        <v>542.29999999999995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619375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6762</v>
      </c>
      <c r="L18" s="83">
        <f t="shared" si="40"/>
        <v>0</v>
      </c>
      <c r="M18" s="410">
        <f t="shared" si="15"/>
        <v>457.44</v>
      </c>
      <c r="N18" s="511">
        <f t="shared" si="43"/>
        <v>0</v>
      </c>
      <c r="O18" s="410">
        <f t="shared" si="16"/>
        <v>529.52</v>
      </c>
      <c r="P18" s="511">
        <f t="shared" si="44"/>
        <v>0</v>
      </c>
      <c r="Q18" s="511">
        <f t="shared" si="45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471</v>
      </c>
      <c r="W18" s="324">
        <f t="shared" si="19"/>
        <v>0</v>
      </c>
      <c r="X18" s="5">
        <f t="shared" si="20"/>
        <v>151772</v>
      </c>
      <c r="Y18" s="324">
        <f t="shared" si="41"/>
        <v>0</v>
      </c>
      <c r="Z18" s="5">
        <f t="shared" si="21"/>
        <v>98847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164</v>
      </c>
      <c r="AU18" s="425">
        <f t="shared" si="42"/>
        <v>1.1000000000000001</v>
      </c>
      <c r="AV18" s="201">
        <f t="shared" si="46"/>
        <v>189</v>
      </c>
      <c r="AW18" s="5">
        <v>2.9</v>
      </c>
      <c r="AX18" s="201">
        <f t="shared" si="47"/>
        <v>187</v>
      </c>
      <c r="AY18" s="426">
        <f t="shared" si="7"/>
        <v>147.6</v>
      </c>
      <c r="AZ18" s="426">
        <f t="shared" si="33"/>
        <v>207.9</v>
      </c>
      <c r="BA18" s="426">
        <f t="shared" si="34"/>
        <v>542.29999999999995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619375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6762</v>
      </c>
      <c r="L19" s="83">
        <f t="shared" si="40"/>
        <v>0</v>
      </c>
      <c r="M19" s="410">
        <f t="shared" si="15"/>
        <v>457.44</v>
      </c>
      <c r="N19" s="511">
        <f t="shared" si="43"/>
        <v>0</v>
      </c>
      <c r="O19" s="410">
        <f t="shared" si="16"/>
        <v>529.52</v>
      </c>
      <c r="P19" s="511">
        <f t="shared" si="44"/>
        <v>0</v>
      </c>
      <c r="Q19" s="511">
        <f t="shared" si="45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471</v>
      </c>
      <c r="W19" s="324">
        <f t="shared" si="19"/>
        <v>0</v>
      </c>
      <c r="X19" s="5">
        <f t="shared" si="20"/>
        <v>151772</v>
      </c>
      <c r="Y19" s="324">
        <f t="shared" si="41"/>
        <v>0</v>
      </c>
      <c r="Z19" s="5">
        <f t="shared" si="21"/>
        <v>98847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164</v>
      </c>
      <c r="AU19" s="425">
        <f t="shared" si="42"/>
        <v>1.1000000000000001</v>
      </c>
      <c r="AV19" s="201">
        <f t="shared" si="46"/>
        <v>189</v>
      </c>
      <c r="AW19" s="5">
        <v>2.9</v>
      </c>
      <c r="AX19" s="201">
        <f t="shared" si="47"/>
        <v>187</v>
      </c>
      <c r="AY19" s="426">
        <f t="shared" ref="AY19:AY21" si="48">AS19*AT19</f>
        <v>147.6</v>
      </c>
      <c r="AZ19" s="426">
        <f t="shared" ref="AZ19:AZ21" si="49">AU19*AV19</f>
        <v>207.9</v>
      </c>
      <c r="BA19" s="426">
        <f t="shared" ref="BA19:BA21" si="50">AW19*AX19</f>
        <v>542.29999999999995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619375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6762</v>
      </c>
      <c r="L20" s="83">
        <f t="shared" si="40"/>
        <v>0</v>
      </c>
      <c r="M20" s="410">
        <f t="shared" si="15"/>
        <v>457.44</v>
      </c>
      <c r="N20" s="511">
        <f t="shared" si="43"/>
        <v>0</v>
      </c>
      <c r="O20" s="410">
        <f t="shared" si="16"/>
        <v>529.52</v>
      </c>
      <c r="P20" s="511">
        <f t="shared" si="44"/>
        <v>0</v>
      </c>
      <c r="Q20" s="511">
        <f t="shared" si="45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471</v>
      </c>
      <c r="W20" s="324">
        <f t="shared" si="19"/>
        <v>0</v>
      </c>
      <c r="X20" s="5">
        <f t="shared" si="20"/>
        <v>151772</v>
      </c>
      <c r="Y20" s="324">
        <f t="shared" si="41"/>
        <v>0</v>
      </c>
      <c r="Z20" s="5">
        <f t="shared" si="21"/>
        <v>98847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f t="shared" si="6"/>
        <v>164</v>
      </c>
      <c r="AU20" s="425">
        <f t="shared" si="42"/>
        <v>1.1000000000000001</v>
      </c>
      <c r="AV20" s="201">
        <f t="shared" si="46"/>
        <v>189</v>
      </c>
      <c r="AW20" s="5">
        <v>2.9</v>
      </c>
      <c r="AX20" s="201">
        <f t="shared" si="47"/>
        <v>187</v>
      </c>
      <c r="AY20" s="426">
        <f t="shared" si="48"/>
        <v>147.6</v>
      </c>
      <c r="AZ20" s="426">
        <f t="shared" si="49"/>
        <v>207.9</v>
      </c>
      <c r="BA20" s="426">
        <f t="shared" si="50"/>
        <v>542.29999999999995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619375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6762</v>
      </c>
      <c r="L21" s="83">
        <f t="shared" si="40"/>
        <v>0</v>
      </c>
      <c r="M21" s="410">
        <f t="shared" si="15"/>
        <v>457.44</v>
      </c>
      <c r="N21" s="511">
        <f t="shared" si="43"/>
        <v>0</v>
      </c>
      <c r="O21" s="410">
        <f t="shared" si="16"/>
        <v>529.52</v>
      </c>
      <c r="P21" s="511">
        <f t="shared" si="44"/>
        <v>0</v>
      </c>
      <c r="Q21" s="511">
        <f t="shared" si="45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471</v>
      </c>
      <c r="W21" s="324">
        <f t="shared" si="19"/>
        <v>0</v>
      </c>
      <c r="X21" s="5">
        <f t="shared" si="20"/>
        <v>151772</v>
      </c>
      <c r="Y21" s="324">
        <f>SUM(X21-X20)</f>
        <v>0</v>
      </c>
      <c r="Z21" s="5">
        <f t="shared" si="21"/>
        <v>98847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164</v>
      </c>
      <c r="AU21" s="425">
        <f t="shared" si="42"/>
        <v>1.1000000000000001</v>
      </c>
      <c r="AV21" s="201">
        <f t="shared" si="46"/>
        <v>189</v>
      </c>
      <c r="AW21" s="5">
        <v>2.9</v>
      </c>
      <c r="AX21" s="201">
        <f t="shared" si="47"/>
        <v>187</v>
      </c>
      <c r="AY21" s="426">
        <f t="shared" si="48"/>
        <v>147.6</v>
      </c>
      <c r="AZ21" s="426">
        <f t="shared" si="49"/>
        <v>207.9</v>
      </c>
      <c r="BA21" s="426">
        <f t="shared" si="50"/>
        <v>542.29999999999995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619375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6762</v>
      </c>
      <c r="L22" s="83">
        <f t="shared" si="40"/>
        <v>0</v>
      </c>
      <c r="M22" s="410">
        <f t="shared" si="15"/>
        <v>457.44</v>
      </c>
      <c r="N22" s="511">
        <f t="shared" si="43"/>
        <v>0</v>
      </c>
      <c r="O22" s="410">
        <f t="shared" si="16"/>
        <v>529.52</v>
      </c>
      <c r="P22" s="511">
        <f t="shared" si="44"/>
        <v>0</v>
      </c>
      <c r="Q22" s="511">
        <f t="shared" si="45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471</v>
      </c>
      <c r="W22" s="324">
        <f t="shared" si="19"/>
        <v>0</v>
      </c>
      <c r="X22" s="5">
        <f t="shared" si="20"/>
        <v>151772</v>
      </c>
      <c r="Y22" s="324">
        <f t="shared" si="41"/>
        <v>0</v>
      </c>
      <c r="Z22" s="5">
        <f t="shared" si="21"/>
        <v>98847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5">AS21</f>
        <v>0.9</v>
      </c>
      <c r="AT22" s="201">
        <f t="shared" si="55"/>
        <v>164</v>
      </c>
      <c r="AU22" s="425">
        <f t="shared" si="42"/>
        <v>1.1000000000000001</v>
      </c>
      <c r="AV22" s="201">
        <f t="shared" si="46"/>
        <v>189</v>
      </c>
      <c r="AW22" s="5">
        <v>2.9</v>
      </c>
      <c r="AX22" s="201">
        <f t="shared" si="47"/>
        <v>187</v>
      </c>
      <c r="AY22" s="426">
        <f t="shared" si="7"/>
        <v>147.6</v>
      </c>
      <c r="AZ22" s="426">
        <f t="shared" si="33"/>
        <v>207.9</v>
      </c>
      <c r="BA22" s="426">
        <f t="shared" si="34"/>
        <v>542.29999999999995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619375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6762</v>
      </c>
      <c r="L23" s="274">
        <f t="shared" si="40"/>
        <v>0</v>
      </c>
      <c r="M23" s="410">
        <f t="shared" si="15"/>
        <v>457.44</v>
      </c>
      <c r="N23" s="511">
        <f t="shared" si="43"/>
        <v>0</v>
      </c>
      <c r="O23" s="410">
        <f t="shared" si="16"/>
        <v>529.52</v>
      </c>
      <c r="P23" s="511">
        <f t="shared" si="44"/>
        <v>0</v>
      </c>
      <c r="Q23" s="511">
        <f t="shared" si="45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471</v>
      </c>
      <c r="W23" s="324">
        <f t="shared" si="19"/>
        <v>0</v>
      </c>
      <c r="X23" s="5">
        <f t="shared" si="20"/>
        <v>151772</v>
      </c>
      <c r="Y23" s="324">
        <f t="shared" si="41"/>
        <v>0</v>
      </c>
      <c r="Z23" s="5">
        <f t="shared" si="21"/>
        <v>98847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5"/>
        <v>0.9</v>
      </c>
      <c r="AT23" s="201">
        <f t="shared" si="55"/>
        <v>164</v>
      </c>
      <c r="AU23" s="425">
        <f t="shared" si="42"/>
        <v>1.1000000000000001</v>
      </c>
      <c r="AV23" s="201">
        <f t="shared" si="46"/>
        <v>189</v>
      </c>
      <c r="AW23" s="5">
        <v>2.9</v>
      </c>
      <c r="AX23" s="201">
        <f t="shared" si="47"/>
        <v>187</v>
      </c>
      <c r="AY23" s="426">
        <f t="shared" si="7"/>
        <v>147.6</v>
      </c>
      <c r="AZ23" s="426">
        <f t="shared" si="33"/>
        <v>207.9</v>
      </c>
      <c r="BA23" s="426">
        <f t="shared" si="34"/>
        <v>542.29999999999995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 t="s">
        <v>403</v>
      </c>
      <c r="F24" s="327"/>
      <c r="G24" s="5">
        <f t="shared" si="13"/>
        <v>619375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6762</v>
      </c>
      <c r="L24" s="274">
        <f t="shared" si="40"/>
        <v>0</v>
      </c>
      <c r="M24" s="410">
        <f t="shared" si="15"/>
        <v>457.44</v>
      </c>
      <c r="N24" s="511">
        <f t="shared" si="43"/>
        <v>0</v>
      </c>
      <c r="O24" s="410">
        <f t="shared" si="16"/>
        <v>529.52</v>
      </c>
      <c r="P24" s="511">
        <f t="shared" si="44"/>
        <v>0</v>
      </c>
      <c r="Q24" s="511">
        <f t="shared" si="45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f t="shared" si="18"/>
        <v>471</v>
      </c>
      <c r="W24" s="324">
        <f t="shared" si="19"/>
        <v>0</v>
      </c>
      <c r="X24" s="5">
        <f t="shared" si="20"/>
        <v>151772</v>
      </c>
      <c r="Y24" s="324">
        <f t="shared" si="41"/>
        <v>0</v>
      </c>
      <c r="Z24" s="5">
        <f t="shared" si="21"/>
        <v>98847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0</v>
      </c>
      <c r="AL24" s="327">
        <f t="shared" si="31"/>
        <v>0</v>
      </c>
      <c r="AM24" s="327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5"/>
        <v>0.9</v>
      </c>
      <c r="AT24" s="201">
        <f t="shared" si="55"/>
        <v>164</v>
      </c>
      <c r="AU24" s="425">
        <f t="shared" si="42"/>
        <v>1.1000000000000001</v>
      </c>
      <c r="AV24" s="201">
        <f t="shared" si="46"/>
        <v>189</v>
      </c>
      <c r="AW24" s="5">
        <v>2.9</v>
      </c>
      <c r="AX24" s="201">
        <f t="shared" si="47"/>
        <v>187</v>
      </c>
      <c r="AY24" s="426">
        <f t="shared" si="7"/>
        <v>147.6</v>
      </c>
      <c r="AZ24" s="426">
        <f t="shared" si="33"/>
        <v>207.9</v>
      </c>
      <c r="BA24" s="426">
        <f t="shared" si="34"/>
        <v>542.29999999999995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619375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6762</v>
      </c>
      <c r="L25" s="274">
        <f t="shared" si="40"/>
        <v>0</v>
      </c>
      <c r="M25" s="410">
        <f t="shared" si="15"/>
        <v>457.44</v>
      </c>
      <c r="N25" s="511">
        <f t="shared" si="43"/>
        <v>0</v>
      </c>
      <c r="O25" s="410">
        <f t="shared" si="16"/>
        <v>529.52</v>
      </c>
      <c r="P25" s="511">
        <f t="shared" si="44"/>
        <v>0</v>
      </c>
      <c r="Q25" s="511">
        <f t="shared" si="45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471</v>
      </c>
      <c r="W25" s="324">
        <f t="shared" si="19"/>
        <v>0</v>
      </c>
      <c r="X25" s="5">
        <f t="shared" si="20"/>
        <v>151772</v>
      </c>
      <c r="Y25" s="324">
        <f t="shared" si="41"/>
        <v>0</v>
      </c>
      <c r="Z25" s="5">
        <f t="shared" si="21"/>
        <v>98847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5"/>
        <v>0.9</v>
      </c>
      <c r="AT25" s="201">
        <f t="shared" si="55"/>
        <v>164</v>
      </c>
      <c r="AU25" s="425">
        <f t="shared" si="42"/>
        <v>1.1000000000000001</v>
      </c>
      <c r="AV25" s="201">
        <f t="shared" si="46"/>
        <v>189</v>
      </c>
      <c r="AW25" s="5">
        <v>2.9</v>
      </c>
      <c r="AX25" s="201">
        <f t="shared" si="47"/>
        <v>187</v>
      </c>
      <c r="AY25" s="426">
        <f t="shared" si="7"/>
        <v>147.6</v>
      </c>
      <c r="AZ25" s="426">
        <f t="shared" si="33"/>
        <v>207.9</v>
      </c>
      <c r="BA25" s="426">
        <f t="shared" si="34"/>
        <v>542.29999999999995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619375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6762</v>
      </c>
      <c r="L26" s="274">
        <f t="shared" si="40"/>
        <v>0</v>
      </c>
      <c r="M26" s="410">
        <f t="shared" si="15"/>
        <v>457.44</v>
      </c>
      <c r="N26" s="511">
        <f t="shared" si="43"/>
        <v>0</v>
      </c>
      <c r="O26" s="410">
        <f t="shared" si="16"/>
        <v>529.52</v>
      </c>
      <c r="P26" s="511">
        <f t="shared" si="44"/>
        <v>0</v>
      </c>
      <c r="Q26" s="511">
        <f t="shared" si="45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471</v>
      </c>
      <c r="W26" s="324">
        <f t="shared" si="19"/>
        <v>0</v>
      </c>
      <c r="X26" s="5">
        <f t="shared" si="20"/>
        <v>151772</v>
      </c>
      <c r="Y26" s="324">
        <f t="shared" si="41"/>
        <v>0</v>
      </c>
      <c r="Z26" s="5">
        <f t="shared" si="21"/>
        <v>98847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5"/>
        <v>0.9</v>
      </c>
      <c r="AT26" s="201">
        <f t="shared" si="55"/>
        <v>164</v>
      </c>
      <c r="AU26" s="425">
        <f t="shared" si="42"/>
        <v>1.1000000000000001</v>
      </c>
      <c r="AV26" s="201">
        <f t="shared" si="46"/>
        <v>189</v>
      </c>
      <c r="AW26" s="5">
        <v>2.9</v>
      </c>
      <c r="AX26" s="201">
        <f t="shared" si="47"/>
        <v>187</v>
      </c>
      <c r="AY26" s="426">
        <f t="shared" si="7"/>
        <v>147.6</v>
      </c>
      <c r="AZ26" s="426">
        <f t="shared" si="33"/>
        <v>207.9</v>
      </c>
      <c r="BA26" s="426">
        <f t="shared" si="34"/>
        <v>542.29999999999995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619375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6762</v>
      </c>
      <c r="L27" s="274">
        <f t="shared" si="40"/>
        <v>0</v>
      </c>
      <c r="M27" s="410">
        <f t="shared" si="15"/>
        <v>457.44</v>
      </c>
      <c r="N27" s="511">
        <f t="shared" si="43"/>
        <v>0</v>
      </c>
      <c r="O27" s="410">
        <f t="shared" si="16"/>
        <v>529.52</v>
      </c>
      <c r="P27" s="511">
        <f t="shared" si="44"/>
        <v>0</v>
      </c>
      <c r="Q27" s="511">
        <f t="shared" si="45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471</v>
      </c>
      <c r="W27" s="324">
        <f t="shared" si="19"/>
        <v>0</v>
      </c>
      <c r="X27" s="5">
        <f t="shared" si="20"/>
        <v>151772</v>
      </c>
      <c r="Y27" s="324">
        <f>SUM(X27-X26)</f>
        <v>0</v>
      </c>
      <c r="Z27" s="5">
        <f t="shared" si="21"/>
        <v>98847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5"/>
        <v>0.9</v>
      </c>
      <c r="AT27" s="201">
        <f t="shared" si="55"/>
        <v>164</v>
      </c>
      <c r="AU27" s="425">
        <f t="shared" si="42"/>
        <v>1.1000000000000001</v>
      </c>
      <c r="AV27" s="201">
        <f t="shared" si="46"/>
        <v>189</v>
      </c>
      <c r="AW27" s="5">
        <v>2.9</v>
      </c>
      <c r="AX27" s="201">
        <f t="shared" si="47"/>
        <v>187</v>
      </c>
      <c r="AY27" s="426">
        <f t="shared" si="7"/>
        <v>147.6</v>
      </c>
      <c r="AZ27" s="426">
        <f t="shared" si="33"/>
        <v>207.9</v>
      </c>
      <c r="BA27" s="426">
        <f t="shared" si="34"/>
        <v>542.29999999999995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619375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6762</v>
      </c>
      <c r="L28" s="274">
        <f t="shared" si="40"/>
        <v>0</v>
      </c>
      <c r="M28" s="410">
        <f t="shared" si="15"/>
        <v>457.44</v>
      </c>
      <c r="N28" s="511">
        <f t="shared" si="43"/>
        <v>0</v>
      </c>
      <c r="O28" s="410">
        <f t="shared" si="16"/>
        <v>529.52</v>
      </c>
      <c r="P28" s="511">
        <f t="shared" si="44"/>
        <v>0</v>
      </c>
      <c r="Q28" s="511">
        <f t="shared" si="45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471</v>
      </c>
      <c r="W28" s="324">
        <f t="shared" si="19"/>
        <v>0</v>
      </c>
      <c r="X28" s="5">
        <f t="shared" si="20"/>
        <v>151772</v>
      </c>
      <c r="Y28" s="324">
        <f t="shared" si="41"/>
        <v>0</v>
      </c>
      <c r="Z28" s="5">
        <f t="shared" si="21"/>
        <v>98847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5"/>
        <v>0.9</v>
      </c>
      <c r="AT28" s="201">
        <f t="shared" si="55"/>
        <v>164</v>
      </c>
      <c r="AU28" s="425">
        <f t="shared" si="42"/>
        <v>1.1000000000000001</v>
      </c>
      <c r="AV28" s="201">
        <f t="shared" si="46"/>
        <v>189</v>
      </c>
      <c r="AW28" s="5">
        <v>2.9</v>
      </c>
      <c r="AX28" s="201">
        <f t="shared" si="47"/>
        <v>187</v>
      </c>
      <c r="AY28" s="426">
        <f t="shared" si="7"/>
        <v>147.6</v>
      </c>
      <c r="AZ28" s="426">
        <f t="shared" si="33"/>
        <v>207.9</v>
      </c>
      <c r="BA28" s="426">
        <f t="shared" si="34"/>
        <v>542.29999999999995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619375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6762</v>
      </c>
      <c r="L29" s="274">
        <f t="shared" si="40"/>
        <v>0</v>
      </c>
      <c r="M29" s="410">
        <f t="shared" si="15"/>
        <v>457.44</v>
      </c>
      <c r="N29" s="511">
        <f t="shared" si="43"/>
        <v>0</v>
      </c>
      <c r="O29" s="410">
        <f t="shared" si="16"/>
        <v>529.52</v>
      </c>
      <c r="P29" s="511">
        <f t="shared" si="44"/>
        <v>0</v>
      </c>
      <c r="Q29" s="511">
        <f t="shared" si="45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471</v>
      </c>
      <c r="W29" s="324">
        <f t="shared" si="19"/>
        <v>0</v>
      </c>
      <c r="X29" s="5">
        <f t="shared" si="20"/>
        <v>151772</v>
      </c>
      <c r="Y29" s="324">
        <f t="shared" si="41"/>
        <v>0</v>
      </c>
      <c r="Z29" s="5">
        <f t="shared" si="21"/>
        <v>98847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5"/>
        <v>0.9</v>
      </c>
      <c r="AT29" s="201">
        <f t="shared" si="55"/>
        <v>164</v>
      </c>
      <c r="AU29" s="425">
        <f t="shared" si="42"/>
        <v>1.1000000000000001</v>
      </c>
      <c r="AV29" s="201">
        <f t="shared" si="46"/>
        <v>189</v>
      </c>
      <c r="AW29" s="5">
        <v>2.9</v>
      </c>
      <c r="AX29" s="201">
        <f t="shared" si="47"/>
        <v>187</v>
      </c>
      <c r="AY29" s="426">
        <f t="shared" si="7"/>
        <v>147.6</v>
      </c>
      <c r="AZ29" s="426">
        <f t="shared" si="33"/>
        <v>207.9</v>
      </c>
      <c r="BA29" s="426">
        <f t="shared" si="34"/>
        <v>542.29999999999995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619375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6762</v>
      </c>
      <c r="L30" s="274">
        <f t="shared" si="40"/>
        <v>0</v>
      </c>
      <c r="M30" s="410">
        <f t="shared" si="15"/>
        <v>457.44</v>
      </c>
      <c r="N30" s="511">
        <f t="shared" si="43"/>
        <v>0</v>
      </c>
      <c r="O30" s="410">
        <f t="shared" si="16"/>
        <v>529.52</v>
      </c>
      <c r="P30" s="511">
        <f t="shared" si="44"/>
        <v>0</v>
      </c>
      <c r="Q30" s="511">
        <f t="shared" si="45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471</v>
      </c>
      <c r="W30" s="324">
        <f t="shared" si="19"/>
        <v>0</v>
      </c>
      <c r="X30" s="5">
        <f t="shared" si="20"/>
        <v>151772</v>
      </c>
      <c r="Y30" s="324">
        <f t="shared" si="41"/>
        <v>0</v>
      </c>
      <c r="Z30" s="5">
        <f t="shared" si="21"/>
        <v>98847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5"/>
        <v>0.9</v>
      </c>
      <c r="AT30" s="201">
        <f t="shared" si="55"/>
        <v>164</v>
      </c>
      <c r="AU30" s="425">
        <f t="shared" si="42"/>
        <v>1.1000000000000001</v>
      </c>
      <c r="AV30" s="201">
        <f t="shared" si="46"/>
        <v>189</v>
      </c>
      <c r="AW30" s="5">
        <v>2.9</v>
      </c>
      <c r="AX30" s="201">
        <f t="shared" si="47"/>
        <v>187</v>
      </c>
      <c r="AY30" s="426">
        <f t="shared" si="7"/>
        <v>147.6</v>
      </c>
      <c r="AZ30" s="426">
        <f t="shared" si="33"/>
        <v>207.9</v>
      </c>
      <c r="BA30" s="426">
        <f t="shared" si="34"/>
        <v>542.29999999999995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619375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6762</v>
      </c>
      <c r="L31" s="274">
        <f t="shared" si="40"/>
        <v>0</v>
      </c>
      <c r="M31" s="410">
        <f t="shared" si="15"/>
        <v>457.44</v>
      </c>
      <c r="N31" s="511">
        <f t="shared" si="43"/>
        <v>0</v>
      </c>
      <c r="O31" s="410">
        <f t="shared" si="16"/>
        <v>529.52</v>
      </c>
      <c r="P31" s="511">
        <f t="shared" si="44"/>
        <v>0</v>
      </c>
      <c r="Q31" s="511">
        <f t="shared" si="45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f t="shared" si="18"/>
        <v>471</v>
      </c>
      <c r="W31" s="324">
        <f t="shared" si="19"/>
        <v>0</v>
      </c>
      <c r="X31" s="5">
        <f t="shared" si="20"/>
        <v>151772</v>
      </c>
      <c r="Y31" s="324">
        <f t="shared" si="41"/>
        <v>0</v>
      </c>
      <c r="Z31" s="5">
        <f t="shared" si="21"/>
        <v>98847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f t="shared" si="25"/>
        <v>229.78</v>
      </c>
      <c r="AF31" s="83">
        <f t="shared" si="26"/>
        <v>0</v>
      </c>
      <c r="AG31" s="5">
        <f t="shared" si="27"/>
        <v>2205.62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5"/>
        <v>0.9</v>
      </c>
      <c r="AT31" s="201">
        <f t="shared" si="55"/>
        <v>164</v>
      </c>
      <c r="AU31" s="425">
        <f t="shared" si="42"/>
        <v>1.1000000000000001</v>
      </c>
      <c r="AV31" s="201">
        <f t="shared" si="46"/>
        <v>189</v>
      </c>
      <c r="AW31" s="5">
        <v>2.9</v>
      </c>
      <c r="AX31" s="201">
        <f t="shared" si="47"/>
        <v>187</v>
      </c>
      <c r="AY31" s="426">
        <f t="shared" si="7"/>
        <v>147.6</v>
      </c>
      <c r="AZ31" s="426">
        <f t="shared" si="33"/>
        <v>207.9</v>
      </c>
      <c r="BA31" s="426">
        <f t="shared" si="34"/>
        <v>542.29999999999995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619375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6762</v>
      </c>
      <c r="L32" s="274">
        <f t="shared" si="40"/>
        <v>0</v>
      </c>
      <c r="M32" s="410">
        <f t="shared" si="15"/>
        <v>457.44</v>
      </c>
      <c r="N32" s="511">
        <f t="shared" si="43"/>
        <v>0</v>
      </c>
      <c r="O32" s="410">
        <f t="shared" si="16"/>
        <v>529.52</v>
      </c>
      <c r="P32" s="511">
        <f t="shared" si="44"/>
        <v>0</v>
      </c>
      <c r="Q32" s="511">
        <f t="shared" si="45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471</v>
      </c>
      <c r="W32" s="324">
        <f t="shared" si="19"/>
        <v>0</v>
      </c>
      <c r="X32" s="5">
        <f t="shared" si="20"/>
        <v>151772</v>
      </c>
      <c r="Y32" s="324">
        <f t="shared" si="41"/>
        <v>0</v>
      </c>
      <c r="Z32" s="5">
        <f t="shared" si="21"/>
        <v>98847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229.78</v>
      </c>
      <c r="AF32" s="83">
        <f t="shared" si="26"/>
        <v>0</v>
      </c>
      <c r="AG32" s="5">
        <f t="shared" si="27"/>
        <v>2205.62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5"/>
        <v>0.9</v>
      </c>
      <c r="AT32" s="201">
        <f t="shared" si="55"/>
        <v>164</v>
      </c>
      <c r="AU32" s="425">
        <f t="shared" si="42"/>
        <v>1.1000000000000001</v>
      </c>
      <c r="AV32" s="201">
        <f t="shared" si="46"/>
        <v>189</v>
      </c>
      <c r="AW32" s="5">
        <v>2.9</v>
      </c>
      <c r="AX32" s="201">
        <f t="shared" si="47"/>
        <v>187</v>
      </c>
      <c r="AY32" s="426">
        <f t="shared" si="7"/>
        <v>147.6</v>
      </c>
      <c r="AZ32" s="426">
        <f t="shared" si="33"/>
        <v>207.9</v>
      </c>
      <c r="BA32" s="426">
        <f t="shared" si="34"/>
        <v>542.29999999999995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619375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6762</v>
      </c>
      <c r="L33" s="274">
        <f t="shared" si="40"/>
        <v>0</v>
      </c>
      <c r="M33" s="410">
        <f t="shared" si="15"/>
        <v>457.44</v>
      </c>
      <c r="N33" s="511">
        <f t="shared" si="43"/>
        <v>0</v>
      </c>
      <c r="O33" s="410">
        <f t="shared" si="16"/>
        <v>529.52</v>
      </c>
      <c r="P33" s="511">
        <f t="shared" si="44"/>
        <v>0</v>
      </c>
      <c r="Q33" s="511">
        <f t="shared" si="45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471</v>
      </c>
      <c r="W33" s="324">
        <f t="shared" si="19"/>
        <v>0</v>
      </c>
      <c r="X33" s="5">
        <f t="shared" si="20"/>
        <v>151772</v>
      </c>
      <c r="Y33" s="324">
        <f t="shared" si="41"/>
        <v>0</v>
      </c>
      <c r="Z33" s="5">
        <f t="shared" si="21"/>
        <v>98847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229.78</v>
      </c>
      <c r="AF33" s="83">
        <f>AE33-AE32</f>
        <v>0</v>
      </c>
      <c r="AG33" s="5">
        <f t="shared" si="27"/>
        <v>2205.62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5"/>
        <v>0.9</v>
      </c>
      <c r="AT33" s="201">
        <f t="shared" si="55"/>
        <v>164</v>
      </c>
      <c r="AU33" s="425">
        <f t="shared" si="42"/>
        <v>1.1000000000000001</v>
      </c>
      <c r="AV33" s="201">
        <f t="shared" si="46"/>
        <v>189</v>
      </c>
      <c r="AW33" s="5">
        <v>2.9</v>
      </c>
      <c r="AX33" s="201">
        <f t="shared" si="47"/>
        <v>187</v>
      </c>
      <c r="AY33" s="426">
        <f t="shared" si="7"/>
        <v>147.6</v>
      </c>
      <c r="AZ33" s="426">
        <f t="shared" si="33"/>
        <v>207.9</v>
      </c>
      <c r="BA33" s="426">
        <f t="shared" si="34"/>
        <v>542.29999999999995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6">B34-B33</f>
        <v>0</v>
      </c>
      <c r="D34" s="419">
        <f t="shared" ref="D34:D35" si="57">C34/27</f>
        <v>0</v>
      </c>
      <c r="E34" s="333">
        <f>SUM((C34*$E$4)+(7500/'EDl log'!$A$37))</f>
        <v>241.93548387096774</v>
      </c>
      <c r="F34" s="327"/>
      <c r="G34" s="5">
        <f t="shared" si="13"/>
        <v>619375</v>
      </c>
      <c r="H34" s="5">
        <f t="shared" ref="H34:H35" si="58">G34-G33</f>
        <v>0</v>
      </c>
      <c r="I34" s="5">
        <f t="shared" ref="I34:I35" si="59">C34+H34</f>
        <v>0</v>
      </c>
      <c r="J34" s="334">
        <f t="shared" ref="J34:J35" si="60">IF(I34&gt;0,E34/I34,0)</f>
        <v>0</v>
      </c>
      <c r="K34" s="5">
        <f>'Swimming Pool quality check '!H34</f>
        <v>6762</v>
      </c>
      <c r="L34" s="274">
        <f t="shared" ref="L34:L35" si="61">K34-K33</f>
        <v>0</v>
      </c>
      <c r="M34" s="410">
        <f t="shared" si="15"/>
        <v>457.44</v>
      </c>
      <c r="N34" s="511">
        <f t="shared" ref="N34:N35" si="62">SUM(M34-M33)</f>
        <v>0</v>
      </c>
      <c r="O34" s="410">
        <f t="shared" si="16"/>
        <v>529.52</v>
      </c>
      <c r="P34" s="511">
        <f t="shared" ref="P34:P35" si="63">SUM(O34-O33)</f>
        <v>0</v>
      </c>
      <c r="Q34" s="511">
        <f t="shared" ref="Q34:Q35" si="64">SUM(P34+N34)</f>
        <v>0</v>
      </c>
      <c r="R34" s="513"/>
      <c r="S34" s="513"/>
      <c r="T34" s="5">
        <f t="shared" si="17"/>
        <v>5171</v>
      </c>
      <c r="U34" s="5">
        <f t="shared" ref="U34:U35" si="65">SUM(T34-T33)</f>
        <v>0</v>
      </c>
      <c r="V34" s="5">
        <f t="shared" si="18"/>
        <v>471</v>
      </c>
      <c r="W34" s="324">
        <f t="shared" ref="W34:W35" si="66">+V34-V33</f>
        <v>0</v>
      </c>
      <c r="X34" s="5">
        <f t="shared" si="20"/>
        <v>151772</v>
      </c>
      <c r="Y34" s="324">
        <f t="shared" ref="Y34:Y35" si="67">SUM(X34-X33)</f>
        <v>0</v>
      </c>
      <c r="Z34" s="5">
        <f t="shared" si="21"/>
        <v>98847</v>
      </c>
      <c r="AA34" s="83">
        <f t="shared" ref="AA34:AA35" si="68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9">AC34-AC33</f>
        <v>0</v>
      </c>
      <c r="AE34" s="5">
        <f t="shared" si="25"/>
        <v>229.78</v>
      </c>
      <c r="AF34" s="83">
        <f t="shared" ref="AF34:AF35" si="70">AE34-AE33</f>
        <v>0</v>
      </c>
      <c r="AG34" s="5">
        <f t="shared" si="27"/>
        <v>2205.62</v>
      </c>
      <c r="AH34" s="83">
        <f t="shared" ref="AH34:AH35" si="71">AG34-AG33</f>
        <v>0</v>
      </c>
      <c r="AI34" s="83">
        <f t="shared" ref="AI34:AI35" si="72">AF34+AH34</f>
        <v>0</v>
      </c>
      <c r="AJ34" s="326">
        <f t="shared" ref="AJ34:AJ35" si="73">+Z34-Z33</f>
        <v>0</v>
      </c>
      <c r="AK34" s="327">
        <f t="shared" ref="AK34:AK35" si="74">SUM(Y34-L34)</f>
        <v>0</v>
      </c>
      <c r="AL34" s="327">
        <f t="shared" ref="AL34:AL35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6">A34</f>
        <v>44345</v>
      </c>
      <c r="AS34" s="424">
        <f t="shared" ref="AS34:AT34" si="77">AS33</f>
        <v>0.9</v>
      </c>
      <c r="AT34" s="201">
        <f t="shared" si="77"/>
        <v>164</v>
      </c>
      <c r="AU34" s="425">
        <f t="shared" ref="AU34" si="78">AU33</f>
        <v>1.1000000000000001</v>
      </c>
      <c r="AV34" s="201">
        <f t="shared" si="46"/>
        <v>189</v>
      </c>
      <c r="AW34" s="5">
        <v>2.9</v>
      </c>
      <c r="AX34" s="201">
        <f t="shared" si="47"/>
        <v>187</v>
      </c>
      <c r="AY34" s="426">
        <f t="shared" ref="AY34:AY35" si="79">AS34*AT34</f>
        <v>147.6</v>
      </c>
      <c r="AZ34" s="426">
        <f t="shared" ref="AZ34:AZ35" si="80">AU34*AV34</f>
        <v>207.9</v>
      </c>
      <c r="BA34" s="426">
        <f t="shared" ref="BA34:BA35" si="81">AW34*AX34</f>
        <v>542.29999999999995</v>
      </c>
      <c r="BB34" s="21">
        <f t="shared" ref="BB34:BB35" si="82">AY34-AY33</f>
        <v>0</v>
      </c>
      <c r="BC34" s="21">
        <f t="shared" ref="BC34:BC35" si="83">AZ34-AZ33</f>
        <v>0</v>
      </c>
      <c r="BD34" s="21">
        <f t="shared" ref="BD34:BD35" si="84">BA34-BA33</f>
        <v>0</v>
      </c>
      <c r="BE34" s="24">
        <f t="shared" ref="BE34:BE35" si="85">SUM(BB34:BD34)</f>
        <v>0</v>
      </c>
      <c r="BF34" s="96">
        <f t="shared" ref="BF34:BF35" si="86">SUM(I34-BE34)</f>
        <v>0</v>
      </c>
      <c r="BG34" s="82">
        <f t="shared" ref="BG34:BG35" si="87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619375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6762</v>
      </c>
      <c r="L35" s="274">
        <f t="shared" si="61"/>
        <v>0</v>
      </c>
      <c r="M35" s="410">
        <f t="shared" si="15"/>
        <v>457.44</v>
      </c>
      <c r="N35" s="511">
        <f t="shared" si="62"/>
        <v>0</v>
      </c>
      <c r="O35" s="410">
        <f t="shared" si="16"/>
        <v>529.52</v>
      </c>
      <c r="P35" s="511">
        <f t="shared" si="63"/>
        <v>0</v>
      </c>
      <c r="Q35" s="511">
        <f t="shared" si="64"/>
        <v>0</v>
      </c>
      <c r="R35" s="513"/>
      <c r="S35" s="513"/>
      <c r="T35" s="5">
        <f t="shared" si="17"/>
        <v>5171</v>
      </c>
      <c r="U35" s="5">
        <f t="shared" si="65"/>
        <v>0</v>
      </c>
      <c r="V35" s="5">
        <f t="shared" si="18"/>
        <v>471</v>
      </c>
      <c r="W35" s="324">
        <f t="shared" si="66"/>
        <v>0</v>
      </c>
      <c r="X35" s="5">
        <f t="shared" si="20"/>
        <v>151772</v>
      </c>
      <c r="Y35" s="324">
        <f t="shared" si="67"/>
        <v>0</v>
      </c>
      <c r="Z35" s="5">
        <f t="shared" si="21"/>
        <v>98847</v>
      </c>
      <c r="AA35" s="83">
        <f t="shared" si="68"/>
        <v>0</v>
      </c>
      <c r="AB35" s="5">
        <f t="shared" si="23"/>
        <v>261</v>
      </c>
      <c r="AC35" s="5">
        <f t="shared" si="24"/>
        <v>731</v>
      </c>
      <c r="AD35" s="83">
        <f t="shared" si="69"/>
        <v>0</v>
      </c>
      <c r="AE35" s="5">
        <f t="shared" si="25"/>
        <v>229.78</v>
      </c>
      <c r="AF35" s="83">
        <f t="shared" si="70"/>
        <v>0</v>
      </c>
      <c r="AG35" s="5">
        <f t="shared" si="27"/>
        <v>2205.62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44346</v>
      </c>
      <c r="AS35" s="424">
        <f t="shared" ref="AS35:AT35" si="88">AS34</f>
        <v>0.9</v>
      </c>
      <c r="AT35" s="201">
        <f t="shared" si="88"/>
        <v>164</v>
      </c>
      <c r="AU35" s="425">
        <f t="shared" ref="AU35" si="89">AU34</f>
        <v>1.1000000000000001</v>
      </c>
      <c r="AV35" s="201">
        <f t="shared" si="46"/>
        <v>189</v>
      </c>
      <c r="AW35" s="5">
        <v>2.9</v>
      </c>
      <c r="AX35" s="201">
        <f t="shared" si="47"/>
        <v>187</v>
      </c>
      <c r="AY35" s="426">
        <f t="shared" si="79"/>
        <v>147.6</v>
      </c>
      <c r="AZ35" s="426">
        <f t="shared" si="80"/>
        <v>207.9</v>
      </c>
      <c r="BA35" s="426">
        <f t="shared" si="81"/>
        <v>542.29999999999995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90">B36-B35</f>
        <v>0</v>
      </c>
      <c r="D36" s="419">
        <f t="shared" ref="D36" si="91">C36/27</f>
        <v>0</v>
      </c>
      <c r="E36" s="333">
        <f>SUM((C36*$E$4)+(7500/'EDl log'!$A$37))</f>
        <v>241.93548387096774</v>
      </c>
      <c r="F36" s="327"/>
      <c r="G36" s="5">
        <f t="shared" si="13"/>
        <v>619375</v>
      </c>
      <c r="H36" s="5">
        <f t="shared" ref="H36" si="92">G36-G35</f>
        <v>0</v>
      </c>
      <c r="I36" s="5">
        <f t="shared" ref="I36" si="93">C36+H36</f>
        <v>0</v>
      </c>
      <c r="J36" s="334">
        <f t="shared" ref="J36" si="94">IF(I36&gt;0,E36/I36,0)</f>
        <v>0</v>
      </c>
      <c r="K36" s="5">
        <f>'Swimming Pool quality check '!H36</f>
        <v>6762</v>
      </c>
      <c r="L36" s="274">
        <f t="shared" ref="L36" si="95">K36-K35</f>
        <v>0</v>
      </c>
      <c r="M36" s="410">
        <f t="shared" si="15"/>
        <v>457.44</v>
      </c>
      <c r="N36" s="511">
        <f t="shared" ref="N36" si="96">SUM(M36-M35)</f>
        <v>0</v>
      </c>
      <c r="O36" s="410">
        <f t="shared" si="16"/>
        <v>529.52</v>
      </c>
      <c r="P36" s="511">
        <f t="shared" ref="P36" si="97">SUM(O36-O35)</f>
        <v>0</v>
      </c>
      <c r="Q36" s="511">
        <f t="shared" ref="Q36" si="98">SUM(P36+N36)</f>
        <v>0</v>
      </c>
      <c r="R36" s="513"/>
      <c r="S36" s="513"/>
      <c r="T36" s="5">
        <f t="shared" si="17"/>
        <v>5171</v>
      </c>
      <c r="U36" s="5">
        <f t="shared" ref="U36" si="99">SUM(T36-T35)</f>
        <v>0</v>
      </c>
      <c r="V36" s="5">
        <f t="shared" si="18"/>
        <v>471</v>
      </c>
      <c r="W36" s="324">
        <f t="shared" ref="W36" si="100">+V36-V35</f>
        <v>0</v>
      </c>
      <c r="X36" s="5">
        <f t="shared" si="20"/>
        <v>151772</v>
      </c>
      <c r="Y36" s="324">
        <f t="shared" ref="Y36" si="101">SUM(X36-X35)</f>
        <v>0</v>
      </c>
      <c r="Z36" s="5">
        <f t="shared" si="21"/>
        <v>98847</v>
      </c>
      <c r="AA36" s="83">
        <f t="shared" ref="AA36" si="102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3">AC36-AC35</f>
        <v>0</v>
      </c>
      <c r="AE36" s="5">
        <f>AE35</f>
        <v>229.78</v>
      </c>
      <c r="AF36" s="83">
        <f t="shared" ref="AF36" si="104">AE36-AE35</f>
        <v>0</v>
      </c>
      <c r="AG36" s="5">
        <f t="shared" si="27"/>
        <v>2205.62</v>
      </c>
      <c r="AH36" s="83">
        <f t="shared" ref="AH36" si="105">AG36-AG35</f>
        <v>0</v>
      </c>
      <c r="AI36" s="83">
        <f t="shared" ref="AI36" si="106">AF36+AH36</f>
        <v>0</v>
      </c>
      <c r="AJ36" s="326">
        <f t="shared" ref="AJ36" si="107">+Z36-Z35</f>
        <v>0</v>
      </c>
      <c r="AK36" s="327">
        <f t="shared" ref="AK36" si="108">SUM(Y36-L36)</f>
        <v>0</v>
      </c>
      <c r="AL36" s="327">
        <f t="shared" ref="AL36" si="109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14"/>
      <c r="AS36" s="615"/>
      <c r="AT36" s="201"/>
      <c r="AU36" s="616"/>
      <c r="AV36" s="617"/>
      <c r="AW36" s="613"/>
      <c r="AX36" s="617"/>
      <c r="AY36" s="618"/>
      <c r="AZ36" s="618"/>
      <c r="BA36" s="618"/>
      <c r="BB36" s="619"/>
      <c r="BC36" s="619"/>
      <c r="BD36" s="619"/>
      <c r="BE36" s="620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884</v>
      </c>
      <c r="I37" s="412">
        <f>SUM(I6:I33)</f>
        <v>884</v>
      </c>
      <c r="L37" s="268">
        <f>SUM(L7:L33)</f>
        <v>11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1</v>
      </c>
      <c r="AJ37" s="322">
        <f>SUM(AJ6:AJ33)</f>
        <v>79</v>
      </c>
      <c r="AK37" s="327">
        <f>SUM(Y37-L37)</f>
        <v>-10</v>
      </c>
      <c r="AL37" s="322">
        <f>SUM(AL6:AL33)</f>
        <v>78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6532.2580645161297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884</v>
      </c>
      <c r="Z38" s="322">
        <f>SUM(Y37:AJ37)</f>
        <v>80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884</v>
      </c>
      <c r="H39" s="1">
        <f>SUM(H38+C38)</f>
        <v>7500</v>
      </c>
      <c r="K39" s="1">
        <f>SUM(H39/G39)</f>
        <v>8.4841628959276019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4" sqref="F14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5" t="s">
        <v>193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7"/>
    </row>
    <row r="2" spans="1:15" ht="15.75" customHeight="1" thickBot="1">
      <c r="A2" s="678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80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27">
        <f t="shared" ref="D5" si="0">(C5+B5)/2</f>
        <v>23</v>
      </c>
      <c r="E5" s="628">
        <v>0.56000000000000005</v>
      </c>
      <c r="F5" s="629">
        <v>0</v>
      </c>
      <c r="G5" s="630">
        <f t="shared" ref="G5" si="1">F5*230</f>
        <v>0</v>
      </c>
      <c r="H5" s="631">
        <v>0</v>
      </c>
      <c r="I5" s="631">
        <v>0</v>
      </c>
      <c r="J5" s="356">
        <v>0</v>
      </c>
      <c r="K5" s="632">
        <f t="shared" ref="K5" si="2">+J5+H5+I5</f>
        <v>0</v>
      </c>
      <c r="L5" s="631"/>
      <c r="M5" s="631"/>
      <c r="N5" s="633"/>
      <c r="O5" s="631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>
        <v>26</v>
      </c>
      <c r="C9" s="37">
        <v>19</v>
      </c>
      <c r="D9" s="26">
        <f>(C9+B9)/2</f>
        <v>22.5</v>
      </c>
      <c r="E9" s="394">
        <v>0.44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>
        <v>24</v>
      </c>
      <c r="C10" s="37">
        <v>22</v>
      </c>
      <c r="D10" s="26">
        <f t="shared" si="3"/>
        <v>23</v>
      </c>
      <c r="E10" s="354">
        <v>0.53</v>
      </c>
      <c r="F10" s="340">
        <v>0</v>
      </c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>
        <v>24</v>
      </c>
      <c r="C11" s="37">
        <v>20</v>
      </c>
      <c r="D11" s="26">
        <f t="shared" si="3"/>
        <v>22</v>
      </c>
      <c r="E11" s="394">
        <v>0.64</v>
      </c>
      <c r="F11" s="394">
        <v>0</v>
      </c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>
        <v>25</v>
      </c>
      <c r="C12" s="37">
        <v>21</v>
      </c>
      <c r="D12" s="26">
        <f t="shared" si="3"/>
        <v>23</v>
      </c>
      <c r="E12" s="394">
        <v>0.65</v>
      </c>
      <c r="F12" s="394">
        <v>0</v>
      </c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>
        <v>29</v>
      </c>
      <c r="C13" s="37">
        <v>20</v>
      </c>
      <c r="D13" s="26">
        <f>(C13+B13)/2</f>
        <v>24.5</v>
      </c>
      <c r="E13" s="354">
        <v>0.52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/>
      <c r="C14" s="37"/>
      <c r="D14" s="26">
        <f t="shared" ref="D14:D33" si="6">(C14+B14)/2</f>
        <v>0</v>
      </c>
      <c r="E14" s="340"/>
      <c r="F14" s="394"/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/>
      <c r="C15" s="37"/>
      <c r="D15" s="26">
        <f t="shared" si="6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/>
      <c r="C16" s="37"/>
      <c r="D16" s="26">
        <f t="shared" si="6"/>
        <v>0</v>
      </c>
      <c r="E16" s="340"/>
      <c r="F16" s="340"/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/>
      <c r="C17" s="37"/>
      <c r="D17" s="26">
        <f t="shared" si="6"/>
        <v>0</v>
      </c>
      <c r="E17" s="340"/>
      <c r="F17" s="340"/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/>
      <c r="C18" s="37"/>
      <c r="D18" s="26">
        <f t="shared" si="6"/>
        <v>0</v>
      </c>
      <c r="E18" s="427"/>
      <c r="F18" s="340"/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/>
      <c r="C19" s="37"/>
      <c r="D19" s="26">
        <f t="shared" si="6"/>
        <v>0</v>
      </c>
      <c r="E19" s="340"/>
      <c r="F19" s="340"/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/>
      <c r="C20" s="37"/>
      <c r="D20" s="26">
        <f t="shared" si="6"/>
        <v>0</v>
      </c>
      <c r="E20" s="340"/>
      <c r="F20" s="340"/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/>
      <c r="C21" s="37"/>
      <c r="D21" s="26">
        <f>(C21+B21)/2</f>
        <v>0</v>
      </c>
      <c r="E21" s="340"/>
      <c r="F21" s="394"/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/>
      <c r="C22" s="37"/>
      <c r="D22" s="26">
        <f t="shared" si="6"/>
        <v>0</v>
      </c>
      <c r="E22" s="340"/>
      <c r="F22" s="394"/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/>
      <c r="C23" s="37"/>
      <c r="D23" s="26">
        <f>(C23+B23)/2</f>
        <v>0</v>
      </c>
      <c r="E23" s="340"/>
      <c r="F23" s="394"/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/>
      <c r="C24" s="37"/>
      <c r="D24" s="26">
        <f t="shared" ref="D24" si="8">(C24+B24)/2</f>
        <v>0</v>
      </c>
      <c r="E24" s="394"/>
      <c r="F24" s="340"/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/>
      <c r="C25" s="37"/>
      <c r="D25" s="26">
        <f t="shared" si="6"/>
        <v>0</v>
      </c>
      <c r="E25" s="340"/>
      <c r="F25" s="340"/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/>
      <c r="C26" s="37"/>
      <c r="D26" s="26">
        <f>(C26+B26)/2</f>
        <v>0</v>
      </c>
      <c r="E26" s="340"/>
      <c r="F26" s="340"/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/>
      <c r="C27" s="37"/>
      <c r="D27" s="26">
        <f t="shared" si="6"/>
        <v>0</v>
      </c>
      <c r="E27" s="340"/>
      <c r="F27" s="340"/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/>
      <c r="C28" s="37"/>
      <c r="D28" s="26">
        <f t="shared" si="6"/>
        <v>0</v>
      </c>
      <c r="E28" s="394"/>
      <c r="F28" s="340"/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/>
      <c r="C29" s="37"/>
      <c r="D29" s="26">
        <f t="shared" si="6"/>
        <v>0</v>
      </c>
      <c r="E29" s="340"/>
      <c r="F29" s="340"/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/>
      <c r="C30" s="37"/>
      <c r="D30" s="26">
        <f t="shared" si="6"/>
        <v>0</v>
      </c>
      <c r="E30" s="340"/>
      <c r="F30" s="394"/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/>
      <c r="C31" s="37"/>
      <c r="D31" s="26">
        <f t="shared" si="6"/>
        <v>0</v>
      </c>
      <c r="E31" s="341"/>
      <c r="F31" s="280"/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/>
      <c r="C32" s="37"/>
      <c r="D32" s="279">
        <f>(C32+B32)/2</f>
        <v>0</v>
      </c>
      <c r="E32" s="341"/>
      <c r="F32" s="342"/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20.611111111111111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J1" activePane="topRight" state="frozen"/>
      <selection pane="topRight" activeCell="A15" sqref="A15:XFD15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3" t="s">
        <v>108</v>
      </c>
      <c r="AS3" s="683" t="s">
        <v>233</v>
      </c>
      <c r="AT3" s="681" t="s">
        <v>301</v>
      </c>
      <c r="AU3" s="682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4"/>
      <c r="AS4" s="684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[3]tanks!AV35</f>
        <v>0.92</v>
      </c>
      <c r="AW5" s="289">
        <f>[3]tanks!AW35</f>
        <v>-169</v>
      </c>
      <c r="AX5" s="289">
        <f>[3]tanks!AX35</f>
        <v>-1434.3870967742259</v>
      </c>
      <c r="AY5" s="289">
        <f>[3]tanks!AY35</f>
        <v>-1603.3870967742259</v>
      </c>
      <c r="AZ5" s="502">
        <f>[3]tanks!AZ35</f>
        <v>0</v>
      </c>
      <c r="BA5" s="289">
        <f>[3]tanks!BA35</f>
        <v>23</v>
      </c>
      <c r="BB5" s="502">
        <f>[3]tanks!BB35</f>
        <v>0.56000000000000005</v>
      </c>
      <c r="BC5" s="529">
        <f>[4]tanks!BC36</f>
        <v>0</v>
      </c>
      <c r="BD5" s="529">
        <f>[4]tanks!BD36</f>
        <v>19222</v>
      </c>
      <c r="BE5" s="529" t="e">
        <f>[4]tanks!BE36</f>
        <v>#REF!</v>
      </c>
      <c r="BF5" s="529">
        <f>[4]tanks!BF36</f>
        <v>0</v>
      </c>
      <c r="BG5" s="529" t="e">
        <f>[4]tanks!BG36</f>
        <v>#REF!</v>
      </c>
      <c r="BH5" s="529">
        <f>[5]tanks!BH36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0.77640654113189478</v>
      </c>
      <c r="AR6" s="38">
        <f>Y6+AO6</f>
        <v>72182.516129032258</v>
      </c>
      <c r="AS6" s="197">
        <f>SUM(AR6-AR5-AT6)</f>
        <v>-1534.3870967741823</v>
      </c>
      <c r="AT6" s="355">
        <v>1</v>
      </c>
      <c r="AU6" s="593"/>
      <c r="AV6" s="515">
        <f>IF(AT6&gt;0,AU6,AV5)</f>
        <v>0</v>
      </c>
      <c r="AW6" s="290">
        <f>-SUM('B5'!AI5)</f>
        <v>-195</v>
      </c>
      <c r="AX6" s="290">
        <f>-SUM(AW6-AS6)</f>
        <v>-1339.3870967741823</v>
      </c>
      <c r="AY6" s="37">
        <f>SUM(AX6+AW6)</f>
        <v>-1534.3870967741823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-111.61559139784852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0.76726345994372103</v>
      </c>
      <c r="AR7" s="38">
        <f t="shared" ref="AR7:AR36" si="38">Y7+AO7</f>
        <v>71332.483870967742</v>
      </c>
      <c r="AS7" s="197">
        <f t="shared" ref="AS7:AS36" si="39">SUM(AR7-AR6-AT7)</f>
        <v>-850.03225806451519</v>
      </c>
      <c r="AT7" s="355"/>
      <c r="AU7" s="593"/>
      <c r="AV7" s="515">
        <f>IF(AT7&gt;0,AU7,AV6)</f>
        <v>0</v>
      </c>
      <c r="AW7" s="290">
        <f>-SUM('B5'!AI6)</f>
        <v>-153</v>
      </c>
      <c r="AX7" s="290">
        <f t="shared" ref="AX7:AX33" si="40">-SUM(AW7-AS7)</f>
        <v>-697.03225806451519</v>
      </c>
      <c r="AY7" s="37">
        <f t="shared" ref="AY7:AY33" si="41">SUM(AX7+AW7)</f>
        <v>-850.03225806451519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-46.468817204301011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0.75661451664949164</v>
      </c>
      <c r="AR8" s="38">
        <f t="shared" si="38"/>
        <v>70342.451612903242</v>
      </c>
      <c r="AS8" s="197">
        <f t="shared" si="39"/>
        <v>-990.03225806450064</v>
      </c>
      <c r="AT8" s="355"/>
      <c r="AU8" s="593"/>
      <c r="AV8" s="515">
        <f t="shared" ref="AV8:AV31" si="43">IF(AT8&gt;0,AU8,AV7)</f>
        <v>0</v>
      </c>
      <c r="AW8" s="290">
        <f>-SUM('B5'!AI7)</f>
        <v>-141</v>
      </c>
      <c r="AX8" s="290">
        <f t="shared" si="40"/>
        <v>-849.03225806450064</v>
      </c>
      <c r="AY8" s="37">
        <f t="shared" si="41"/>
        <v>-990.03225806450064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1083.8438818573043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-94.336917562722292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222</v>
      </c>
      <c r="C9" s="203">
        <f t="shared" si="18"/>
        <v>4776.5806451612898</v>
      </c>
      <c r="D9">
        <f t="shared" si="19"/>
        <v>222</v>
      </c>
      <c r="E9" s="203">
        <f t="shared" si="18"/>
        <v>4776.5806451612898</v>
      </c>
      <c r="F9">
        <f t="shared" si="20"/>
        <v>222</v>
      </c>
      <c r="G9" s="203">
        <f t="shared" si="1"/>
        <v>4776.5806451612898</v>
      </c>
      <c r="H9" s="203">
        <f t="shared" si="21"/>
        <v>222</v>
      </c>
      <c r="I9" s="203">
        <f t="shared" si="2"/>
        <v>4776.5806451612898</v>
      </c>
      <c r="J9" s="203">
        <f t="shared" si="22"/>
        <v>222</v>
      </c>
      <c r="K9" s="203">
        <f t="shared" si="3"/>
        <v>4776.5806451612898</v>
      </c>
      <c r="L9" s="203">
        <f t="shared" si="23"/>
        <v>222</v>
      </c>
      <c r="M9" s="203">
        <f t="shared" si="4"/>
        <v>4776.5806451612898</v>
      </c>
      <c r="N9" s="203">
        <f t="shared" si="24"/>
        <v>222</v>
      </c>
      <c r="O9" s="203">
        <f t="shared" si="5"/>
        <v>4776.5806451612898</v>
      </c>
      <c r="P9" s="203">
        <f t="shared" si="25"/>
        <v>222</v>
      </c>
      <c r="Q9" s="203">
        <f t="shared" si="6"/>
        <v>4776.5806451612898</v>
      </c>
      <c r="R9" s="203">
        <f t="shared" si="26"/>
        <v>222</v>
      </c>
      <c r="S9" s="203">
        <f t="shared" si="7"/>
        <v>4776.5806451612898</v>
      </c>
      <c r="T9" s="203">
        <f t="shared" si="27"/>
        <v>222</v>
      </c>
      <c r="U9" s="203">
        <f t="shared" si="8"/>
        <v>4776.5806451612898</v>
      </c>
      <c r="V9" s="203">
        <f t="shared" si="28"/>
        <v>222</v>
      </c>
      <c r="W9" s="203">
        <f t="shared" si="9"/>
        <v>4776.5806451612898</v>
      </c>
      <c r="X9" s="35">
        <f t="shared" si="10"/>
        <v>0.71612903225806424</v>
      </c>
      <c r="Y9" s="36">
        <f t="shared" si="29"/>
        <v>52542.387096774175</v>
      </c>
      <c r="Z9" s="203">
        <f>'B5'!C8</f>
        <v>229</v>
      </c>
      <c r="AA9" s="203">
        <f t="shared" si="30"/>
        <v>2290</v>
      </c>
      <c r="AB9" s="203">
        <f t="shared" si="31"/>
        <v>229</v>
      </c>
      <c r="AC9" s="203">
        <f t="shared" si="30"/>
        <v>2290</v>
      </c>
      <c r="AD9" s="203">
        <f t="shared" si="32"/>
        <v>229</v>
      </c>
      <c r="AE9" s="203">
        <f t="shared" si="11"/>
        <v>2290</v>
      </c>
      <c r="AF9" s="203">
        <f t="shared" si="33"/>
        <v>229</v>
      </c>
      <c r="AG9" s="203">
        <f t="shared" si="12"/>
        <v>2290</v>
      </c>
      <c r="AH9" s="203">
        <f t="shared" si="34"/>
        <v>229</v>
      </c>
      <c r="AI9" s="203">
        <f t="shared" si="13"/>
        <v>2290</v>
      </c>
      <c r="AJ9" s="203">
        <f t="shared" si="35"/>
        <v>229</v>
      </c>
      <c r="AK9" s="203">
        <f t="shared" si="14"/>
        <v>2290</v>
      </c>
      <c r="AL9" s="203">
        <f t="shared" si="36"/>
        <v>229</v>
      </c>
      <c r="AM9" s="203">
        <f t="shared" si="15"/>
        <v>2290</v>
      </c>
      <c r="AN9" s="35">
        <f t="shared" si="16"/>
        <v>0.81785714285714284</v>
      </c>
      <c r="AO9" s="36">
        <f>SUM(AA9+AC9+AE9+AG9+AI9+AK9+AM9)</f>
        <v>16030</v>
      </c>
      <c r="AQ9" s="223">
        <f t="shared" si="37"/>
        <v>0.73757542322011593</v>
      </c>
      <c r="AR9" s="38">
        <f t="shared" si="38"/>
        <v>68572.387096774182</v>
      </c>
      <c r="AS9" s="197">
        <f t="shared" si="39"/>
        <v>-1770.0645161290595</v>
      </c>
      <c r="AT9" s="488"/>
      <c r="AU9" s="593"/>
      <c r="AV9" s="515">
        <f t="shared" si="43"/>
        <v>0</v>
      </c>
      <c r="AW9" s="290">
        <f>-SUM('B5'!AI8)</f>
        <v>-95</v>
      </c>
      <c r="AX9" s="290">
        <f>-SUM(AW9-AS9)</f>
        <v>-1675.0645161290595</v>
      </c>
      <c r="AY9" s="37">
        <f t="shared" si="41"/>
        <v>-1770.0645161290595</v>
      </c>
      <c r="AZ9" s="100">
        <f>ELEC!A6</f>
        <v>0</v>
      </c>
      <c r="BA9" s="118">
        <f>'General information '!D9</f>
        <v>22.5</v>
      </c>
      <c r="BB9" s="394">
        <f>SUM('General information '!E9)</f>
        <v>0.44</v>
      </c>
      <c r="BC9" s="3">
        <f t="shared" si="44"/>
        <v>0</v>
      </c>
      <c r="BD9" s="102">
        <v>19222</v>
      </c>
      <c r="BE9" s="14">
        <f>(305/1185)*ELEC!Q7</f>
        <v>1443.924050632125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-279.17741935484327</v>
      </c>
      <c r="BK9" s="585">
        <f>GEN!AF6</f>
        <v>0.32898437500023192</v>
      </c>
    </row>
    <row r="10" spans="1:63">
      <c r="A10" s="443">
        <f>ELEC!C7</f>
        <v>44321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3">
        <f t="shared" si="37"/>
        <v>0.71703046768468481</v>
      </c>
      <c r="AR10" s="38">
        <f t="shared" si="38"/>
        <v>66662.322580645152</v>
      </c>
      <c r="AS10" s="197">
        <f t="shared" si="39"/>
        <v>-1910.0645161290304</v>
      </c>
      <c r="AT10" s="355"/>
      <c r="AU10" s="593"/>
      <c r="AV10" s="515">
        <f>IF(AT10&gt;0,AU10,AV9)</f>
        <v>0</v>
      </c>
      <c r="AW10" s="290">
        <f>-SUM('B5'!AI9)</f>
        <v>-164</v>
      </c>
      <c r="AX10" s="290">
        <f>-SUM(AW10-AS10)</f>
        <v>-1746.0645161290304</v>
      </c>
      <c r="AY10" s="37">
        <f t="shared" si="41"/>
        <v>-1910.0645161290304</v>
      </c>
      <c r="AZ10" s="100">
        <f>ELEC!A7</f>
        <v>0</v>
      </c>
      <c r="BA10" s="118">
        <f>'General information '!D10</f>
        <v>23</v>
      </c>
      <c r="BB10" s="394">
        <f>SUM('General information '!E10)</f>
        <v>0.53</v>
      </c>
      <c r="BC10" s="3">
        <f t="shared" si="44"/>
        <v>0</v>
      </c>
      <c r="BD10" s="102">
        <v>19222</v>
      </c>
      <c r="BE10" s="14">
        <f>(305/1185)*ELEC!Q8</f>
        <v>896.21097046412763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-249.43778801843291</v>
      </c>
      <c r="BK10" s="585">
        <f>GEN!AF7</f>
        <v>0.38958333333312112</v>
      </c>
    </row>
    <row r="11" spans="1:63">
      <c r="A11" s="443">
        <f>ELEC!C8</f>
        <v>44322</v>
      </c>
      <c r="B11">
        <f>'B5'!B10</f>
        <v>212</v>
      </c>
      <c r="C11" s="203">
        <f t="shared" si="18"/>
        <v>4561.4193548387093</v>
      </c>
      <c r="D11">
        <f>SUM(B11)</f>
        <v>212</v>
      </c>
      <c r="E11" s="203">
        <f t="shared" si="18"/>
        <v>4561.4193548387093</v>
      </c>
      <c r="F11">
        <f>SUM(D11)</f>
        <v>212</v>
      </c>
      <c r="G11" s="203">
        <f t="shared" si="1"/>
        <v>4561.4193548387093</v>
      </c>
      <c r="H11" s="203">
        <f>SUM(F11)</f>
        <v>212</v>
      </c>
      <c r="I11" s="203">
        <f t="shared" si="2"/>
        <v>4561.4193548387093</v>
      </c>
      <c r="J11" s="203">
        <f>SUM(H11)</f>
        <v>212</v>
      </c>
      <c r="K11" s="203">
        <f t="shared" si="3"/>
        <v>4561.4193548387093</v>
      </c>
      <c r="L11" s="203">
        <f>SUM(J11)</f>
        <v>212</v>
      </c>
      <c r="M11" s="203">
        <f t="shared" si="4"/>
        <v>4561.4193548387093</v>
      </c>
      <c r="N11" s="203">
        <f>SUM(L11)</f>
        <v>212</v>
      </c>
      <c r="O11" s="203">
        <f t="shared" si="5"/>
        <v>4561.4193548387093</v>
      </c>
      <c r="P11" s="203">
        <f>SUM(N11)</f>
        <v>212</v>
      </c>
      <c r="Q11" s="203">
        <f t="shared" si="6"/>
        <v>4561.4193548387093</v>
      </c>
      <c r="R11" s="203">
        <f>SUM(P11)</f>
        <v>212</v>
      </c>
      <c r="S11" s="203">
        <f t="shared" si="7"/>
        <v>4561.4193548387093</v>
      </c>
      <c r="T11" s="203">
        <f>SUM(R11)</f>
        <v>212</v>
      </c>
      <c r="U11" s="203">
        <f t="shared" si="8"/>
        <v>4561.4193548387093</v>
      </c>
      <c r="V11" s="203">
        <f>SUM(T11)</f>
        <v>212</v>
      </c>
      <c r="W11" s="203">
        <f t="shared" si="9"/>
        <v>4561.4193548387093</v>
      </c>
      <c r="X11" s="35">
        <f>SUM(Y11/73370)</f>
        <v>0.68387096774193556</v>
      </c>
      <c r="Y11" s="36">
        <f>SUM(C11+E11+G11+I11+K11+M11+O11+Q11+S11+U11+W11)</f>
        <v>50175.61290322581</v>
      </c>
      <c r="Z11" s="203">
        <f>'B5'!C10</f>
        <v>219</v>
      </c>
      <c r="AA11" s="203">
        <f t="shared" si="30"/>
        <v>2190</v>
      </c>
      <c r="AB11" s="203">
        <f>SUM(Z11)</f>
        <v>219</v>
      </c>
      <c r="AC11" s="203">
        <f t="shared" si="30"/>
        <v>2190</v>
      </c>
      <c r="AD11" s="203">
        <f>SUM(AB11)</f>
        <v>219</v>
      </c>
      <c r="AE11" s="203">
        <f t="shared" si="11"/>
        <v>2190</v>
      </c>
      <c r="AF11" s="203">
        <f>SUM(AD11)</f>
        <v>219</v>
      </c>
      <c r="AG11" s="203">
        <f t="shared" si="12"/>
        <v>2190</v>
      </c>
      <c r="AH11" s="203">
        <f>SUM(AF11)</f>
        <v>219</v>
      </c>
      <c r="AI11" s="203">
        <f t="shared" si="13"/>
        <v>2190</v>
      </c>
      <c r="AJ11" s="203">
        <f>SUM(AH11)</f>
        <v>219</v>
      </c>
      <c r="AK11" s="203">
        <f t="shared" si="14"/>
        <v>2190</v>
      </c>
      <c r="AL11" s="203">
        <f>SUM(AJ11)</f>
        <v>219</v>
      </c>
      <c r="AM11" s="203">
        <f t="shared" si="15"/>
        <v>2190</v>
      </c>
      <c r="AN11" s="35">
        <f>SUM(AO11/19600)</f>
        <v>0.78214285714285714</v>
      </c>
      <c r="AO11" s="36">
        <f t="shared" si="17"/>
        <v>15330</v>
      </c>
      <c r="AP11" s="557"/>
      <c r="AQ11" s="223">
        <f t="shared" si="37"/>
        <v>0.70458871574944404</v>
      </c>
      <c r="AR11" s="38">
        <f t="shared" si="38"/>
        <v>65505.61290322581</v>
      </c>
      <c r="AS11" s="197">
        <f t="shared" si="39"/>
        <v>-1156.7096774193415</v>
      </c>
      <c r="AT11" s="355"/>
      <c r="AU11" s="593"/>
      <c r="AV11" s="515">
        <f>IF(AT11&gt;0,AU11,AV10)</f>
        <v>0</v>
      </c>
      <c r="AW11" s="290">
        <f>-SUM('B5'!AI10)</f>
        <v>-155</v>
      </c>
      <c r="AX11" s="290">
        <f>-SUM(AW11-AS11)</f>
        <v>-1001.7096774193415</v>
      </c>
      <c r="AY11" s="37">
        <f t="shared" si="41"/>
        <v>-1156.7096774193415</v>
      </c>
      <c r="AZ11" s="100">
        <f>ELEC!A8</f>
        <v>0</v>
      </c>
      <c r="BA11" s="118">
        <f>'General information '!D11</f>
        <v>22</v>
      </c>
      <c r="BB11" s="394">
        <f>SUM('General information '!E11)</f>
        <v>0.64</v>
      </c>
      <c r="BC11" s="3">
        <f t="shared" si="44"/>
        <v>0</v>
      </c>
      <c r="BD11" s="102">
        <v>19222</v>
      </c>
      <c r="BE11" s="14">
        <f>(305/1185)*ELEC!Q9</f>
        <v>1506.9831223636934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-107.71071800208816</v>
      </c>
      <c r="BK11" s="585">
        <f>GEN!AF8</f>
        <v>0.3627083333333303</v>
      </c>
    </row>
    <row r="12" spans="1:63">
      <c r="A12" s="443">
        <f>ELEC!C9</f>
        <v>44323</v>
      </c>
      <c r="B12">
        <f>'B5'!B11</f>
        <v>205</v>
      </c>
      <c r="C12" s="203">
        <f t="shared" si="18"/>
        <v>4410.8064516129034</v>
      </c>
      <c r="D12">
        <f t="shared" si="19"/>
        <v>205</v>
      </c>
      <c r="E12" s="203">
        <f t="shared" si="18"/>
        <v>4410.8064516129034</v>
      </c>
      <c r="F12">
        <f t="shared" si="20"/>
        <v>205</v>
      </c>
      <c r="G12" s="203">
        <f t="shared" si="1"/>
        <v>4410.8064516129034</v>
      </c>
      <c r="H12" s="203">
        <f t="shared" si="21"/>
        <v>205</v>
      </c>
      <c r="I12" s="203">
        <f t="shared" si="2"/>
        <v>4410.8064516129034</v>
      </c>
      <c r="J12" s="203">
        <f t="shared" si="22"/>
        <v>205</v>
      </c>
      <c r="K12" s="203">
        <f t="shared" si="3"/>
        <v>4410.8064516129034</v>
      </c>
      <c r="L12" s="203">
        <f t="shared" si="23"/>
        <v>205</v>
      </c>
      <c r="M12" s="203">
        <f t="shared" si="4"/>
        <v>4410.8064516129034</v>
      </c>
      <c r="N12" s="203">
        <f t="shared" si="24"/>
        <v>205</v>
      </c>
      <c r="O12" s="203">
        <f t="shared" si="5"/>
        <v>4410.8064516129034</v>
      </c>
      <c r="P12" s="203">
        <f t="shared" si="25"/>
        <v>205</v>
      </c>
      <c r="Q12" s="203">
        <f t="shared" si="6"/>
        <v>4410.8064516129034</v>
      </c>
      <c r="R12" s="203">
        <f t="shared" si="26"/>
        <v>205</v>
      </c>
      <c r="S12" s="203">
        <f t="shared" si="7"/>
        <v>4410.8064516129034</v>
      </c>
      <c r="T12" s="203">
        <f t="shared" si="27"/>
        <v>205</v>
      </c>
      <c r="U12" s="203">
        <f t="shared" si="8"/>
        <v>4410.8064516129034</v>
      </c>
      <c r="V12" s="203">
        <f t="shared" si="28"/>
        <v>205</v>
      </c>
      <c r="W12" s="203">
        <f t="shared" si="9"/>
        <v>4410.8064516129034</v>
      </c>
      <c r="X12" s="35">
        <f t="shared" si="10"/>
        <v>0.66129032258064502</v>
      </c>
      <c r="Y12" s="36">
        <f t="shared" si="29"/>
        <v>48518.870967741925</v>
      </c>
      <c r="Z12" s="203">
        <f>'B5'!C11</f>
        <v>212</v>
      </c>
      <c r="AA12" s="203">
        <f t="shared" si="30"/>
        <v>2120</v>
      </c>
      <c r="AB12" s="203">
        <f t="shared" si="31"/>
        <v>212</v>
      </c>
      <c r="AC12" s="203">
        <f t="shared" si="30"/>
        <v>2120</v>
      </c>
      <c r="AD12" s="203">
        <f t="shared" si="32"/>
        <v>212</v>
      </c>
      <c r="AE12" s="203">
        <f t="shared" si="11"/>
        <v>2120</v>
      </c>
      <c r="AF12" s="203">
        <f t="shared" si="33"/>
        <v>212</v>
      </c>
      <c r="AG12" s="203">
        <f t="shared" si="12"/>
        <v>2120</v>
      </c>
      <c r="AH12" s="203">
        <f t="shared" si="34"/>
        <v>212</v>
      </c>
      <c r="AI12" s="203">
        <f t="shared" si="13"/>
        <v>2120</v>
      </c>
      <c r="AJ12" s="203">
        <f t="shared" si="35"/>
        <v>212</v>
      </c>
      <c r="AK12" s="203">
        <f t="shared" si="14"/>
        <v>2120</v>
      </c>
      <c r="AL12" s="203">
        <f t="shared" si="36"/>
        <v>212</v>
      </c>
      <c r="AM12" s="203">
        <f t="shared" si="15"/>
        <v>2120</v>
      </c>
      <c r="AN12" s="35">
        <f t="shared" si="16"/>
        <v>0.75714285714285712</v>
      </c>
      <c r="AO12" s="36">
        <f t="shared" si="17"/>
        <v>14840</v>
      </c>
      <c r="AP12" s="557"/>
      <c r="AQ12" s="223">
        <f t="shared" si="37"/>
        <v>0.68149802051997332</v>
      </c>
      <c r="AR12" s="38">
        <f t="shared" si="38"/>
        <v>63358.870967741925</v>
      </c>
      <c r="AS12" s="197">
        <f t="shared" si="39"/>
        <v>-2146.7419354838858</v>
      </c>
      <c r="AT12" s="271"/>
      <c r="AU12" s="593"/>
      <c r="AV12" s="515">
        <f t="shared" si="43"/>
        <v>0</v>
      </c>
      <c r="AW12" s="290">
        <f>-SUM('B5'!AI11)</f>
        <v>-166</v>
      </c>
      <c r="AX12" s="290">
        <f t="shared" si="40"/>
        <v>-1980.7419354838858</v>
      </c>
      <c r="AY12" s="37">
        <f t="shared" si="41"/>
        <v>-2146.7419354838858</v>
      </c>
      <c r="AZ12" s="100">
        <f>ELEC!A9</f>
        <v>0</v>
      </c>
      <c r="BA12" s="118">
        <f>'General information '!D12</f>
        <v>23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1417.9282700417298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-535.3356582387828</v>
      </c>
      <c r="BK12" s="585">
        <f>GEN!AF9</f>
        <v>0.43051470588258839</v>
      </c>
    </row>
    <row r="13" spans="1:63">
      <c r="A13" s="443">
        <f>ELEC!C10</f>
        <v>44324</v>
      </c>
      <c r="B13">
        <f>'B5'!B12</f>
        <v>198</v>
      </c>
      <c r="C13" s="203">
        <f t="shared" si="18"/>
        <v>4260.1935483870966</v>
      </c>
      <c r="D13">
        <f t="shared" si="19"/>
        <v>198</v>
      </c>
      <c r="E13" s="203">
        <f t="shared" si="18"/>
        <v>4260.1935483870966</v>
      </c>
      <c r="F13">
        <f t="shared" si="20"/>
        <v>198</v>
      </c>
      <c r="G13" s="203">
        <f t="shared" si="1"/>
        <v>4260.1935483870966</v>
      </c>
      <c r="H13" s="203">
        <f t="shared" si="21"/>
        <v>198</v>
      </c>
      <c r="I13" s="203">
        <f t="shared" si="2"/>
        <v>4260.1935483870966</v>
      </c>
      <c r="J13" s="203">
        <f t="shared" si="22"/>
        <v>198</v>
      </c>
      <c r="K13" s="203">
        <f t="shared" si="3"/>
        <v>4260.1935483870966</v>
      </c>
      <c r="L13" s="203">
        <f t="shared" si="23"/>
        <v>198</v>
      </c>
      <c r="M13" s="203">
        <f t="shared" si="4"/>
        <v>4260.1935483870966</v>
      </c>
      <c r="N13" s="203">
        <f t="shared" si="24"/>
        <v>198</v>
      </c>
      <c r="O13" s="203">
        <f t="shared" si="5"/>
        <v>4260.1935483870966</v>
      </c>
      <c r="P13" s="203">
        <f t="shared" si="25"/>
        <v>198</v>
      </c>
      <c r="Q13" s="203">
        <f t="shared" si="6"/>
        <v>4260.1935483870966</v>
      </c>
      <c r="R13" s="203">
        <f t="shared" si="26"/>
        <v>198</v>
      </c>
      <c r="S13" s="203">
        <f t="shared" si="7"/>
        <v>4260.1935483870966</v>
      </c>
      <c r="T13" s="203">
        <f t="shared" si="27"/>
        <v>198</v>
      </c>
      <c r="U13" s="203">
        <f t="shared" si="8"/>
        <v>4260.1935483870966</v>
      </c>
      <c r="V13" s="203">
        <f t="shared" si="28"/>
        <v>198</v>
      </c>
      <c r="W13" s="203">
        <f t="shared" si="9"/>
        <v>4260.1935483870966</v>
      </c>
      <c r="X13" s="35">
        <f t="shared" si="10"/>
        <v>0.63870967741935503</v>
      </c>
      <c r="Y13" s="36">
        <f t="shared" si="29"/>
        <v>46862.129032258075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57"/>
      <c r="AQ13" s="223">
        <f t="shared" si="37"/>
        <v>0.65840732529050316</v>
      </c>
      <c r="AR13" s="38">
        <f t="shared" si="38"/>
        <v>61212.129032258075</v>
      </c>
      <c r="AS13" s="197">
        <f t="shared" si="39"/>
        <v>-2146.7419354838494</v>
      </c>
      <c r="AT13" s="271"/>
      <c r="AU13" s="593"/>
      <c r="AV13" s="515">
        <f t="shared" si="43"/>
        <v>0</v>
      </c>
      <c r="AW13" s="290">
        <f>-SUM('B5'!AI12)</f>
        <v>-156</v>
      </c>
      <c r="AX13" s="290">
        <f t="shared" si="40"/>
        <v>-1990.7419354838494</v>
      </c>
      <c r="AY13" s="37">
        <f t="shared" si="41"/>
        <v>-2146.7419354838494</v>
      </c>
      <c r="AZ13" s="100">
        <f>ELEC!A10</f>
        <v>0</v>
      </c>
      <c r="BA13" s="118">
        <f>'General information '!D13</f>
        <v>24.5</v>
      </c>
      <c r="BB13" s="394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(305/1185)*ELEC!Q11</f>
        <v>1622.2911392404765</v>
      </c>
      <c r="BF13" s="14"/>
      <c r="BG13" s="14" t="e">
        <f>#REF!-BE13</f>
        <v>#REF!</v>
      </c>
      <c r="BH13" s="11"/>
      <c r="BI13">
        <v>5</v>
      </c>
      <c r="BJ13">
        <f t="shared" si="42"/>
        <v>-398.14838709676985</v>
      </c>
      <c r="BK13" s="585">
        <f>GEN!AF10</f>
        <v>0.40036337209287515</v>
      </c>
    </row>
    <row r="14" spans="1:63">
      <c r="A14" s="443">
        <f>ELEC!C11</f>
        <v>44325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</v>
      </c>
      <c r="AA14" s="203">
        <f t="shared" si="30"/>
        <v>1980</v>
      </c>
      <c r="AB14" s="203">
        <f t="shared" si="31"/>
        <v>198</v>
      </c>
      <c r="AC14" s="203">
        <f t="shared" si="30"/>
        <v>1980</v>
      </c>
      <c r="AD14" s="203">
        <f t="shared" si="32"/>
        <v>198</v>
      </c>
      <c r="AE14" s="203">
        <f t="shared" si="11"/>
        <v>1980</v>
      </c>
      <c r="AF14" s="203">
        <f t="shared" si="33"/>
        <v>198</v>
      </c>
      <c r="AG14" s="203">
        <f t="shared" si="12"/>
        <v>1980</v>
      </c>
      <c r="AH14" s="203">
        <f t="shared" si="34"/>
        <v>198</v>
      </c>
      <c r="AI14" s="203">
        <f t="shared" si="13"/>
        <v>1980</v>
      </c>
      <c r="AJ14" s="203">
        <f t="shared" si="35"/>
        <v>198</v>
      </c>
      <c r="AK14" s="203">
        <f t="shared" si="14"/>
        <v>1980</v>
      </c>
      <c r="AL14" s="203">
        <f t="shared" si="36"/>
        <v>198</v>
      </c>
      <c r="AM14" s="203">
        <f t="shared" si="15"/>
        <v>1980</v>
      </c>
      <c r="AN14" s="35">
        <f t="shared" si="16"/>
        <v>0.70714285714285718</v>
      </c>
      <c r="AO14" s="36">
        <f t="shared" si="17"/>
        <v>13860</v>
      </c>
      <c r="AQ14" s="223">
        <f t="shared" si="37"/>
        <v>0.63786236975507182</v>
      </c>
      <c r="AR14" s="38">
        <f t="shared" si="38"/>
        <v>59302.064516129023</v>
      </c>
      <c r="AS14" s="197">
        <f t="shared" si="39"/>
        <v>-1910.0645161290522</v>
      </c>
      <c r="AT14" s="271"/>
      <c r="AU14" s="593"/>
      <c r="AV14" s="515">
        <f t="shared" si="43"/>
        <v>0</v>
      </c>
      <c r="AW14" s="290">
        <f>-SUM('B5'!AI13)</f>
        <v>-112</v>
      </c>
      <c r="AX14" s="290">
        <f t="shared" si="40"/>
        <v>-1798.0645161290522</v>
      </c>
      <c r="AY14" s="37">
        <f t="shared" si="41"/>
        <v>-1910.0645161290522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4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  <c r="BI14">
        <v>3</v>
      </c>
      <c r="BJ14">
        <f t="shared" si="42"/>
        <v>-599.35483870968403</v>
      </c>
      <c r="BK14" s="585">
        <f>GEN!AF11</f>
        <v>0.44262640449439195</v>
      </c>
    </row>
    <row r="15" spans="1:63" ht="13.5" customHeight="1">
      <c r="A15" s="443">
        <f>ELEC!C12</f>
        <v>44326</v>
      </c>
      <c r="B15">
        <f>'B5'!B14</f>
        <v>192</v>
      </c>
      <c r="C15" s="203">
        <f t="shared" si="18"/>
        <v>4131.0967741935483</v>
      </c>
      <c r="D15">
        <f t="shared" si="19"/>
        <v>192</v>
      </c>
      <c r="E15" s="203">
        <f t="shared" si="18"/>
        <v>4131.0967741935483</v>
      </c>
      <c r="F15">
        <f t="shared" si="20"/>
        <v>192</v>
      </c>
      <c r="G15" s="203">
        <f t="shared" si="1"/>
        <v>4131.0967741935483</v>
      </c>
      <c r="H15" s="203">
        <f t="shared" si="21"/>
        <v>192</v>
      </c>
      <c r="I15" s="203">
        <f t="shared" si="2"/>
        <v>4131.0967741935483</v>
      </c>
      <c r="J15" s="203">
        <f t="shared" si="22"/>
        <v>192</v>
      </c>
      <c r="K15" s="203">
        <f t="shared" si="3"/>
        <v>4131.0967741935483</v>
      </c>
      <c r="L15" s="203">
        <f t="shared" si="23"/>
        <v>192</v>
      </c>
      <c r="M15" s="203">
        <f t="shared" si="4"/>
        <v>4131.0967741935483</v>
      </c>
      <c r="N15" s="203">
        <f t="shared" si="24"/>
        <v>192</v>
      </c>
      <c r="O15" s="203">
        <f t="shared" si="5"/>
        <v>4131.0967741935483</v>
      </c>
      <c r="P15" s="203">
        <f t="shared" si="25"/>
        <v>192</v>
      </c>
      <c r="Q15" s="203">
        <f t="shared" si="6"/>
        <v>4131.0967741935483</v>
      </c>
      <c r="R15" s="203">
        <f t="shared" si="26"/>
        <v>192</v>
      </c>
      <c r="S15" s="203">
        <f t="shared" si="7"/>
        <v>4131.0967741935483</v>
      </c>
      <c r="T15" s="203">
        <f t="shared" si="27"/>
        <v>192</v>
      </c>
      <c r="U15" s="203">
        <f t="shared" si="8"/>
        <v>4131.0967741935483</v>
      </c>
      <c r="V15" s="203">
        <f t="shared" si="28"/>
        <v>192</v>
      </c>
      <c r="W15" s="203">
        <f t="shared" si="9"/>
        <v>4131.0967741935483</v>
      </c>
      <c r="X15" s="35">
        <f t="shared" si="10"/>
        <v>0.61935483870967734</v>
      </c>
      <c r="Y15" s="36">
        <f t="shared" si="29"/>
        <v>45442.064516129023</v>
      </c>
      <c r="Z15" s="203">
        <f>'B5'!C14</f>
        <v>198</v>
      </c>
      <c r="AA15" s="203">
        <f t="shared" si="30"/>
        <v>1980</v>
      </c>
      <c r="AB15" s="203">
        <f t="shared" si="31"/>
        <v>198</v>
      </c>
      <c r="AC15" s="203">
        <f t="shared" si="30"/>
        <v>1980</v>
      </c>
      <c r="AD15" s="203">
        <f t="shared" si="32"/>
        <v>198</v>
      </c>
      <c r="AE15" s="203">
        <f t="shared" si="11"/>
        <v>1980</v>
      </c>
      <c r="AF15" s="203">
        <f t="shared" si="33"/>
        <v>198</v>
      </c>
      <c r="AG15" s="203">
        <f t="shared" si="12"/>
        <v>1980</v>
      </c>
      <c r="AH15" s="203">
        <f t="shared" si="34"/>
        <v>198</v>
      </c>
      <c r="AI15" s="203">
        <f t="shared" si="13"/>
        <v>1980</v>
      </c>
      <c r="AJ15" s="203">
        <f t="shared" si="35"/>
        <v>198</v>
      </c>
      <c r="AK15" s="203">
        <f t="shared" si="14"/>
        <v>1980</v>
      </c>
      <c r="AL15" s="203">
        <f t="shared" si="36"/>
        <v>198</v>
      </c>
      <c r="AM15" s="203">
        <f t="shared" si="15"/>
        <v>1980</v>
      </c>
      <c r="AN15" s="35">
        <f t="shared" si="16"/>
        <v>0.70714285714285718</v>
      </c>
      <c r="AO15" s="36">
        <f t="shared" si="17"/>
        <v>13860</v>
      </c>
      <c r="AQ15" s="223">
        <f t="shared" si="37"/>
        <v>0.63786236975507182</v>
      </c>
      <c r="AR15" s="38">
        <f t="shared" si="38"/>
        <v>59302.064516129023</v>
      </c>
      <c r="AS15" s="197">
        <f t="shared" si="39"/>
        <v>0</v>
      </c>
      <c r="AT15" s="271"/>
      <c r="AU15" s="593"/>
      <c r="AV15" s="515">
        <f>IF(AT15&gt;0,AU15,AV14)</f>
        <v>0</v>
      </c>
      <c r="AW15" s="290">
        <f>-SUM('B5'!AI14)</f>
        <v>0</v>
      </c>
      <c r="AX15" s="290">
        <f>-SUM(AW15-AS15)</f>
        <v>0</v>
      </c>
      <c r="AY15" s="37">
        <f t="shared" si="41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4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  <c r="BI15">
        <v>4</v>
      </c>
      <c r="BJ15">
        <f t="shared" si="42"/>
        <v>0</v>
      </c>
      <c r="BK15" s="585" t="e">
        <f>GEN!AF12</f>
        <v>#DIV/0!</v>
      </c>
    </row>
    <row r="16" spans="1:63">
      <c r="A16" s="443">
        <f>ELEC!C13</f>
        <v>44327</v>
      </c>
      <c r="B16">
        <f>'B5'!B15</f>
        <v>192</v>
      </c>
      <c r="C16" s="203">
        <f t="shared" si="18"/>
        <v>4131.0967741935483</v>
      </c>
      <c r="D16">
        <f t="shared" si="19"/>
        <v>192</v>
      </c>
      <c r="E16" s="203">
        <f t="shared" si="18"/>
        <v>4131.0967741935483</v>
      </c>
      <c r="F16">
        <f t="shared" si="20"/>
        <v>192</v>
      </c>
      <c r="G16" s="203">
        <f t="shared" si="1"/>
        <v>4131.0967741935483</v>
      </c>
      <c r="H16" s="203">
        <f t="shared" si="21"/>
        <v>192</v>
      </c>
      <c r="I16" s="203">
        <f t="shared" si="2"/>
        <v>4131.0967741935483</v>
      </c>
      <c r="J16" s="203">
        <f t="shared" si="22"/>
        <v>192</v>
      </c>
      <c r="K16" s="203">
        <f t="shared" si="3"/>
        <v>4131.0967741935483</v>
      </c>
      <c r="L16" s="203">
        <f t="shared" si="23"/>
        <v>192</v>
      </c>
      <c r="M16" s="203">
        <f t="shared" si="4"/>
        <v>4131.0967741935483</v>
      </c>
      <c r="N16" s="203">
        <f t="shared" si="24"/>
        <v>192</v>
      </c>
      <c r="O16" s="203">
        <f t="shared" si="5"/>
        <v>4131.0967741935483</v>
      </c>
      <c r="P16" s="203">
        <f t="shared" si="25"/>
        <v>192</v>
      </c>
      <c r="Q16" s="203">
        <f t="shared" si="6"/>
        <v>4131.0967741935483</v>
      </c>
      <c r="R16" s="203">
        <f t="shared" si="26"/>
        <v>192</v>
      </c>
      <c r="S16" s="203">
        <f t="shared" si="7"/>
        <v>4131.0967741935483</v>
      </c>
      <c r="T16" s="203">
        <f t="shared" si="27"/>
        <v>192</v>
      </c>
      <c r="U16" s="203">
        <f t="shared" si="8"/>
        <v>4131.0967741935483</v>
      </c>
      <c r="V16" s="203">
        <f t="shared" si="28"/>
        <v>192</v>
      </c>
      <c r="W16" s="203">
        <f t="shared" si="9"/>
        <v>4131.0967741935483</v>
      </c>
      <c r="X16" s="35">
        <f t="shared" si="10"/>
        <v>0.61935483870967734</v>
      </c>
      <c r="Y16" s="36">
        <f t="shared" si="29"/>
        <v>45442.064516129023</v>
      </c>
      <c r="Z16" s="203">
        <f>'B5'!C15</f>
        <v>198</v>
      </c>
      <c r="AA16" s="203">
        <f t="shared" si="30"/>
        <v>1980</v>
      </c>
      <c r="AB16" s="203">
        <f t="shared" si="31"/>
        <v>198</v>
      </c>
      <c r="AC16" s="203">
        <f t="shared" si="30"/>
        <v>1980</v>
      </c>
      <c r="AD16" s="203">
        <f t="shared" si="32"/>
        <v>198</v>
      </c>
      <c r="AE16" s="203">
        <f t="shared" si="11"/>
        <v>1980</v>
      </c>
      <c r="AF16" s="203">
        <f t="shared" si="33"/>
        <v>198</v>
      </c>
      <c r="AG16" s="203">
        <f t="shared" si="12"/>
        <v>1980</v>
      </c>
      <c r="AH16" s="203">
        <f t="shared" si="34"/>
        <v>198</v>
      </c>
      <c r="AI16" s="203">
        <f t="shared" si="13"/>
        <v>1980</v>
      </c>
      <c r="AJ16" s="203">
        <f t="shared" si="35"/>
        <v>198</v>
      </c>
      <c r="AK16" s="203">
        <f t="shared" si="14"/>
        <v>1980</v>
      </c>
      <c r="AL16" s="203">
        <f t="shared" si="36"/>
        <v>198</v>
      </c>
      <c r="AM16" s="203">
        <f t="shared" si="15"/>
        <v>1980</v>
      </c>
      <c r="AN16" s="35">
        <f t="shared" si="16"/>
        <v>0.70714285714285718</v>
      </c>
      <c r="AO16" s="36">
        <f t="shared" si="17"/>
        <v>13860</v>
      </c>
      <c r="AQ16" s="223">
        <f t="shared" si="37"/>
        <v>0.63786236975507182</v>
      </c>
      <c r="AR16" s="38">
        <f t="shared" si="38"/>
        <v>59302.064516129023</v>
      </c>
      <c r="AS16" s="197">
        <f t="shared" si="39"/>
        <v>0</v>
      </c>
      <c r="AT16" s="355"/>
      <c r="AU16" s="593"/>
      <c r="AV16" s="515">
        <f>IF(AT16&gt;0,AU16,AV15)</f>
        <v>0</v>
      </c>
      <c r="AW16" s="290">
        <f>-SUM('B5'!AI15)</f>
        <v>0</v>
      </c>
      <c r="AX16" s="290">
        <f>-SUM(AW16-AS16)</f>
        <v>0</v>
      </c>
      <c r="AY16" s="37">
        <f t="shared" si="41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4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  <c r="BI16">
        <v>3</v>
      </c>
      <c r="BJ16">
        <f t="shared" si="42"/>
        <v>0</v>
      </c>
      <c r="BK16" s="585" t="e">
        <f>GEN!AF13</f>
        <v>#DIV/0!</v>
      </c>
    </row>
    <row r="17" spans="1:64">
      <c r="A17" s="443">
        <f>ELEC!C14</f>
        <v>44328</v>
      </c>
      <c r="B17">
        <f>'B5'!B16</f>
        <v>192</v>
      </c>
      <c r="C17" s="203">
        <f t="shared" si="18"/>
        <v>4131.0967741935483</v>
      </c>
      <c r="D17">
        <f t="shared" si="19"/>
        <v>192</v>
      </c>
      <c r="E17" s="203">
        <f t="shared" si="18"/>
        <v>4131.0967741935483</v>
      </c>
      <c r="F17">
        <f t="shared" si="20"/>
        <v>192</v>
      </c>
      <c r="G17" s="203">
        <f t="shared" si="1"/>
        <v>4131.0967741935483</v>
      </c>
      <c r="H17" s="203">
        <f t="shared" si="21"/>
        <v>192</v>
      </c>
      <c r="I17" s="203">
        <f t="shared" si="2"/>
        <v>4131.0967741935483</v>
      </c>
      <c r="J17" s="203">
        <f t="shared" si="22"/>
        <v>192</v>
      </c>
      <c r="K17" s="203">
        <f t="shared" si="3"/>
        <v>4131.0967741935483</v>
      </c>
      <c r="L17" s="203">
        <f t="shared" si="23"/>
        <v>192</v>
      </c>
      <c r="M17" s="203">
        <f t="shared" si="4"/>
        <v>4131.0967741935483</v>
      </c>
      <c r="N17" s="203">
        <f t="shared" si="24"/>
        <v>192</v>
      </c>
      <c r="O17" s="203">
        <f t="shared" si="5"/>
        <v>4131.0967741935483</v>
      </c>
      <c r="P17" s="203">
        <f t="shared" si="25"/>
        <v>192</v>
      </c>
      <c r="Q17" s="203">
        <f t="shared" si="6"/>
        <v>4131.0967741935483</v>
      </c>
      <c r="R17" s="203">
        <f t="shared" si="26"/>
        <v>192</v>
      </c>
      <c r="S17" s="203">
        <f t="shared" si="7"/>
        <v>4131.0967741935483</v>
      </c>
      <c r="T17" s="203">
        <f t="shared" si="27"/>
        <v>192</v>
      </c>
      <c r="U17" s="203">
        <f t="shared" si="8"/>
        <v>4131.0967741935483</v>
      </c>
      <c r="V17" s="203">
        <f t="shared" si="28"/>
        <v>192</v>
      </c>
      <c r="W17" s="203">
        <f t="shared" si="9"/>
        <v>4131.0967741935483</v>
      </c>
      <c r="X17" s="35">
        <f t="shared" si="10"/>
        <v>0.61935483870967734</v>
      </c>
      <c r="Y17" s="36">
        <f t="shared" si="29"/>
        <v>45442.064516129023</v>
      </c>
      <c r="Z17" s="203">
        <f>'B5'!C16</f>
        <v>198</v>
      </c>
      <c r="AA17" s="203">
        <f t="shared" si="30"/>
        <v>1980</v>
      </c>
      <c r="AB17" s="203">
        <f t="shared" si="31"/>
        <v>198</v>
      </c>
      <c r="AC17" s="203">
        <f t="shared" si="30"/>
        <v>1980</v>
      </c>
      <c r="AD17" s="203">
        <f t="shared" si="32"/>
        <v>198</v>
      </c>
      <c r="AE17" s="203">
        <f t="shared" si="11"/>
        <v>1980</v>
      </c>
      <c r="AF17" s="203">
        <f t="shared" si="33"/>
        <v>198</v>
      </c>
      <c r="AG17" s="203">
        <f t="shared" si="12"/>
        <v>1980</v>
      </c>
      <c r="AH17" s="203">
        <f t="shared" si="34"/>
        <v>198</v>
      </c>
      <c r="AI17" s="203">
        <f t="shared" si="13"/>
        <v>1980</v>
      </c>
      <c r="AJ17" s="203">
        <f t="shared" si="35"/>
        <v>198</v>
      </c>
      <c r="AK17" s="203">
        <f t="shared" si="14"/>
        <v>1980</v>
      </c>
      <c r="AL17" s="203">
        <f t="shared" si="36"/>
        <v>198</v>
      </c>
      <c r="AM17" s="203">
        <f t="shared" si="15"/>
        <v>1980</v>
      </c>
      <c r="AN17" s="35">
        <f t="shared" si="16"/>
        <v>0.70714285714285718</v>
      </c>
      <c r="AO17" s="36">
        <f>SUM(AA17+AC17+AE17+AG17+AI17+AK17+AM17)</f>
        <v>13860</v>
      </c>
      <c r="AQ17" s="223">
        <f t="shared" si="37"/>
        <v>0.63786236975507182</v>
      </c>
      <c r="AR17" s="38">
        <f t="shared" si="38"/>
        <v>59302.064516129023</v>
      </c>
      <c r="AS17" s="197">
        <f t="shared" si="39"/>
        <v>0</v>
      </c>
      <c r="AT17" s="355"/>
      <c r="AU17" s="593"/>
      <c r="AV17" s="515">
        <f t="shared" si="43"/>
        <v>0</v>
      </c>
      <c r="AW17" s="290">
        <f>-SUM('B5'!AI16)</f>
        <v>0</v>
      </c>
      <c r="AX17" s="290">
        <f t="shared" si="40"/>
        <v>0</v>
      </c>
      <c r="AY17" s="37">
        <f t="shared" si="41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4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192</v>
      </c>
      <c r="C18" s="203">
        <f t="shared" si="18"/>
        <v>4131.0967741935483</v>
      </c>
      <c r="D18">
        <f t="shared" si="19"/>
        <v>192</v>
      </c>
      <c r="E18" s="203">
        <f t="shared" si="18"/>
        <v>4131.0967741935483</v>
      </c>
      <c r="F18">
        <f t="shared" si="20"/>
        <v>192</v>
      </c>
      <c r="G18" s="203">
        <f t="shared" si="1"/>
        <v>4131.0967741935483</v>
      </c>
      <c r="H18" s="203">
        <f t="shared" si="21"/>
        <v>192</v>
      </c>
      <c r="I18" s="203">
        <f t="shared" si="2"/>
        <v>4131.0967741935483</v>
      </c>
      <c r="J18" s="203">
        <f t="shared" si="22"/>
        <v>192</v>
      </c>
      <c r="K18" s="203">
        <f t="shared" si="3"/>
        <v>4131.0967741935483</v>
      </c>
      <c r="L18" s="203">
        <f t="shared" si="23"/>
        <v>192</v>
      </c>
      <c r="M18" s="203">
        <f t="shared" si="4"/>
        <v>4131.0967741935483</v>
      </c>
      <c r="N18" s="203">
        <f t="shared" si="24"/>
        <v>192</v>
      </c>
      <c r="O18" s="203">
        <f t="shared" si="5"/>
        <v>4131.0967741935483</v>
      </c>
      <c r="P18" s="203">
        <f t="shared" si="25"/>
        <v>192</v>
      </c>
      <c r="Q18" s="203">
        <f t="shared" si="6"/>
        <v>4131.0967741935483</v>
      </c>
      <c r="R18" s="203">
        <f t="shared" si="26"/>
        <v>192</v>
      </c>
      <c r="S18" s="203">
        <f t="shared" si="7"/>
        <v>4131.0967741935483</v>
      </c>
      <c r="T18" s="203">
        <f t="shared" si="27"/>
        <v>192</v>
      </c>
      <c r="U18" s="203">
        <f t="shared" si="8"/>
        <v>4131.0967741935483</v>
      </c>
      <c r="V18" s="203">
        <f t="shared" si="28"/>
        <v>192</v>
      </c>
      <c r="W18" s="203">
        <f t="shared" si="9"/>
        <v>4131.0967741935483</v>
      </c>
      <c r="X18" s="35">
        <f t="shared" si="10"/>
        <v>0.61935483870967734</v>
      </c>
      <c r="Y18" s="36">
        <f t="shared" si="29"/>
        <v>45442.064516129023</v>
      </c>
      <c r="Z18" s="203">
        <f>'B5'!C17</f>
        <v>198</v>
      </c>
      <c r="AA18" s="203">
        <f t="shared" si="30"/>
        <v>1980</v>
      </c>
      <c r="AB18" s="203">
        <f t="shared" si="31"/>
        <v>198</v>
      </c>
      <c r="AC18" s="203">
        <f t="shared" si="30"/>
        <v>1980</v>
      </c>
      <c r="AD18" s="203">
        <f t="shared" si="32"/>
        <v>198</v>
      </c>
      <c r="AE18" s="203">
        <f t="shared" si="11"/>
        <v>1980</v>
      </c>
      <c r="AF18" s="203">
        <f t="shared" si="33"/>
        <v>198</v>
      </c>
      <c r="AG18" s="203">
        <f t="shared" si="12"/>
        <v>1980</v>
      </c>
      <c r="AH18" s="203">
        <f t="shared" si="34"/>
        <v>198</v>
      </c>
      <c r="AI18" s="203">
        <f t="shared" si="13"/>
        <v>1980</v>
      </c>
      <c r="AJ18" s="203">
        <f t="shared" si="35"/>
        <v>198</v>
      </c>
      <c r="AK18" s="203">
        <f t="shared" si="14"/>
        <v>1980</v>
      </c>
      <c r="AL18" s="203">
        <f t="shared" si="36"/>
        <v>198</v>
      </c>
      <c r="AM18" s="203">
        <f t="shared" si="15"/>
        <v>1980</v>
      </c>
      <c r="AN18" s="35">
        <f t="shared" si="16"/>
        <v>0.70714285714285718</v>
      </c>
      <c r="AO18" s="36">
        <f t="shared" si="17"/>
        <v>13860</v>
      </c>
      <c r="AQ18" s="223">
        <f t="shared" si="37"/>
        <v>0.63786236975507182</v>
      </c>
      <c r="AR18" s="38">
        <f t="shared" si="38"/>
        <v>59302.064516129023</v>
      </c>
      <c r="AS18" s="197">
        <f t="shared" si="39"/>
        <v>0</v>
      </c>
      <c r="AT18" s="271"/>
      <c r="AU18" s="593"/>
      <c r="AV18" s="515">
        <f>IF(AT18&gt;0,AU18,AV17)</f>
        <v>0</v>
      </c>
      <c r="AW18" s="290">
        <f>-SUM('B5'!AI17)</f>
        <v>0</v>
      </c>
      <c r="AX18" s="290">
        <f t="shared" si="40"/>
        <v>0</v>
      </c>
      <c r="AY18" s="37">
        <f t="shared" si="41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4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192</v>
      </c>
      <c r="C19" s="203">
        <f t="shared" si="18"/>
        <v>4131.0967741935483</v>
      </c>
      <c r="D19">
        <f t="shared" si="19"/>
        <v>192</v>
      </c>
      <c r="E19" s="203">
        <f t="shared" si="18"/>
        <v>4131.0967741935483</v>
      </c>
      <c r="F19">
        <f t="shared" si="20"/>
        <v>192</v>
      </c>
      <c r="G19" s="203">
        <f t="shared" si="1"/>
        <v>4131.0967741935483</v>
      </c>
      <c r="H19" s="203">
        <f t="shared" si="21"/>
        <v>192</v>
      </c>
      <c r="I19" s="203">
        <f t="shared" si="2"/>
        <v>4131.0967741935483</v>
      </c>
      <c r="J19" s="203">
        <f t="shared" si="22"/>
        <v>192</v>
      </c>
      <c r="K19" s="203">
        <f t="shared" si="3"/>
        <v>4131.0967741935483</v>
      </c>
      <c r="L19" s="203">
        <f t="shared" si="23"/>
        <v>192</v>
      </c>
      <c r="M19" s="203">
        <f t="shared" si="4"/>
        <v>4131.0967741935483</v>
      </c>
      <c r="N19" s="203">
        <f t="shared" si="24"/>
        <v>192</v>
      </c>
      <c r="O19" s="203">
        <f t="shared" si="5"/>
        <v>4131.0967741935483</v>
      </c>
      <c r="P19" s="203">
        <f t="shared" si="25"/>
        <v>192</v>
      </c>
      <c r="Q19" s="203">
        <f t="shared" si="6"/>
        <v>4131.0967741935483</v>
      </c>
      <c r="R19" s="203">
        <f t="shared" si="26"/>
        <v>192</v>
      </c>
      <c r="S19" s="203">
        <f t="shared" si="7"/>
        <v>4131.0967741935483</v>
      </c>
      <c r="T19" s="203">
        <f t="shared" si="27"/>
        <v>192</v>
      </c>
      <c r="U19" s="203">
        <f t="shared" si="8"/>
        <v>4131.0967741935483</v>
      </c>
      <c r="V19" s="203">
        <f t="shared" si="28"/>
        <v>192</v>
      </c>
      <c r="W19" s="203">
        <f t="shared" si="9"/>
        <v>4131.0967741935483</v>
      </c>
      <c r="X19" s="35">
        <f t="shared" si="10"/>
        <v>0.61935483870967734</v>
      </c>
      <c r="Y19" s="36">
        <f t="shared" si="29"/>
        <v>45442.064516129023</v>
      </c>
      <c r="Z19" s="203">
        <f>'B5'!C18</f>
        <v>198</v>
      </c>
      <c r="AA19" s="203">
        <f t="shared" si="30"/>
        <v>1980</v>
      </c>
      <c r="AB19" s="203">
        <f t="shared" si="31"/>
        <v>198</v>
      </c>
      <c r="AC19" s="203">
        <f t="shared" si="30"/>
        <v>1980</v>
      </c>
      <c r="AD19" s="203">
        <f t="shared" si="32"/>
        <v>198</v>
      </c>
      <c r="AE19" s="203">
        <f t="shared" si="11"/>
        <v>1980</v>
      </c>
      <c r="AF19" s="203">
        <f t="shared" si="33"/>
        <v>198</v>
      </c>
      <c r="AG19" s="203">
        <f t="shared" si="12"/>
        <v>1980</v>
      </c>
      <c r="AH19" s="203">
        <f t="shared" si="34"/>
        <v>198</v>
      </c>
      <c r="AI19" s="203">
        <f t="shared" si="13"/>
        <v>1980</v>
      </c>
      <c r="AJ19" s="203">
        <f t="shared" si="35"/>
        <v>198</v>
      </c>
      <c r="AK19" s="203">
        <f t="shared" si="14"/>
        <v>1980</v>
      </c>
      <c r="AL19" s="203">
        <f t="shared" si="36"/>
        <v>198</v>
      </c>
      <c r="AM19" s="203">
        <f t="shared" si="15"/>
        <v>1980</v>
      </c>
      <c r="AN19" s="35">
        <f t="shared" si="16"/>
        <v>0.70714285714285718</v>
      </c>
      <c r="AO19" s="36">
        <f t="shared" si="17"/>
        <v>13860</v>
      </c>
      <c r="AQ19" s="223">
        <f t="shared" si="37"/>
        <v>0.63786236975507182</v>
      </c>
      <c r="AR19" s="38">
        <f t="shared" si="38"/>
        <v>59302.064516129023</v>
      </c>
      <c r="AS19" s="197">
        <f t="shared" si="39"/>
        <v>0</v>
      </c>
      <c r="AT19" s="271"/>
      <c r="AU19" s="593"/>
      <c r="AV19" s="515">
        <f t="shared" si="43"/>
        <v>0</v>
      </c>
      <c r="AW19" s="290">
        <f>-SUM('B5'!AI18)</f>
        <v>0</v>
      </c>
      <c r="AX19" s="290">
        <f t="shared" si="40"/>
        <v>0</v>
      </c>
      <c r="AY19" s="37">
        <f t="shared" si="41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192</v>
      </c>
      <c r="C20" s="203">
        <f t="shared" si="18"/>
        <v>4131.0967741935483</v>
      </c>
      <c r="D20">
        <f t="shared" si="19"/>
        <v>192</v>
      </c>
      <c r="E20" s="203">
        <f t="shared" si="18"/>
        <v>4131.0967741935483</v>
      </c>
      <c r="F20">
        <f t="shared" si="20"/>
        <v>192</v>
      </c>
      <c r="G20" s="203">
        <f t="shared" si="1"/>
        <v>4131.0967741935483</v>
      </c>
      <c r="H20" s="203">
        <f t="shared" si="21"/>
        <v>192</v>
      </c>
      <c r="I20" s="203">
        <f t="shared" si="2"/>
        <v>4131.0967741935483</v>
      </c>
      <c r="J20" s="203">
        <f t="shared" si="22"/>
        <v>192</v>
      </c>
      <c r="K20" s="203">
        <f t="shared" si="3"/>
        <v>4131.0967741935483</v>
      </c>
      <c r="L20" s="203">
        <f t="shared" si="23"/>
        <v>192</v>
      </c>
      <c r="M20" s="203">
        <f t="shared" si="4"/>
        <v>4131.0967741935483</v>
      </c>
      <c r="N20" s="203">
        <f t="shared" si="24"/>
        <v>192</v>
      </c>
      <c r="O20" s="203">
        <f t="shared" si="5"/>
        <v>4131.0967741935483</v>
      </c>
      <c r="P20" s="203">
        <f t="shared" si="25"/>
        <v>192</v>
      </c>
      <c r="Q20" s="203">
        <f t="shared" si="6"/>
        <v>4131.0967741935483</v>
      </c>
      <c r="R20" s="203">
        <f t="shared" si="26"/>
        <v>192</v>
      </c>
      <c r="S20" s="203">
        <f t="shared" si="7"/>
        <v>4131.0967741935483</v>
      </c>
      <c r="T20" s="203">
        <f t="shared" si="27"/>
        <v>192</v>
      </c>
      <c r="U20" s="203">
        <f t="shared" si="8"/>
        <v>4131.0967741935483</v>
      </c>
      <c r="V20" s="203">
        <f t="shared" si="28"/>
        <v>192</v>
      </c>
      <c r="W20" s="203">
        <f t="shared" si="9"/>
        <v>4131.0967741935483</v>
      </c>
      <c r="X20" s="35">
        <f t="shared" si="10"/>
        <v>0.61935483870967734</v>
      </c>
      <c r="Y20" s="36">
        <f t="shared" si="29"/>
        <v>45442.064516129023</v>
      </c>
      <c r="Z20" s="203">
        <f>'B5'!C19</f>
        <v>198</v>
      </c>
      <c r="AA20" s="203">
        <f t="shared" si="30"/>
        <v>1980</v>
      </c>
      <c r="AB20" s="203">
        <f t="shared" si="31"/>
        <v>198</v>
      </c>
      <c r="AC20" s="203">
        <f t="shared" si="30"/>
        <v>1980</v>
      </c>
      <c r="AD20" s="203">
        <f t="shared" si="32"/>
        <v>198</v>
      </c>
      <c r="AE20" s="203">
        <f t="shared" si="11"/>
        <v>1980</v>
      </c>
      <c r="AF20" s="203">
        <f t="shared" si="33"/>
        <v>198</v>
      </c>
      <c r="AG20" s="203">
        <f t="shared" si="12"/>
        <v>1980</v>
      </c>
      <c r="AH20" s="203">
        <f t="shared" si="34"/>
        <v>198</v>
      </c>
      <c r="AI20" s="203">
        <f t="shared" si="13"/>
        <v>1980</v>
      </c>
      <c r="AJ20" s="203">
        <f t="shared" si="35"/>
        <v>198</v>
      </c>
      <c r="AK20" s="203">
        <f t="shared" si="14"/>
        <v>1980</v>
      </c>
      <c r="AL20" s="203">
        <f t="shared" si="36"/>
        <v>198</v>
      </c>
      <c r="AM20" s="203">
        <f t="shared" si="15"/>
        <v>1980</v>
      </c>
      <c r="AN20" s="35">
        <f t="shared" si="16"/>
        <v>0.70714285714285718</v>
      </c>
      <c r="AO20" s="36">
        <f t="shared" si="17"/>
        <v>13860</v>
      </c>
      <c r="AQ20" s="223">
        <f t="shared" si="37"/>
        <v>0.63786236975507182</v>
      </c>
      <c r="AR20" s="38">
        <f t="shared" si="38"/>
        <v>59302.064516129023</v>
      </c>
      <c r="AS20" s="197">
        <f t="shared" si="39"/>
        <v>0</v>
      </c>
      <c r="AT20" s="271"/>
      <c r="AU20" s="593"/>
      <c r="AV20" s="515">
        <f t="shared" si="43"/>
        <v>0</v>
      </c>
      <c r="AW20" s="290">
        <f>-SUM('B5'!AI19)</f>
        <v>0</v>
      </c>
      <c r="AX20" s="290">
        <f t="shared" si="40"/>
        <v>0</v>
      </c>
      <c r="AY20" s="37">
        <f t="shared" si="41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192</v>
      </c>
      <c r="C21" s="203">
        <f t="shared" si="18"/>
        <v>4131.0967741935483</v>
      </c>
      <c r="D21">
        <f t="shared" si="19"/>
        <v>192</v>
      </c>
      <c r="E21" s="203">
        <f t="shared" si="18"/>
        <v>4131.0967741935483</v>
      </c>
      <c r="F21">
        <f t="shared" si="20"/>
        <v>192</v>
      </c>
      <c r="G21" s="203">
        <f t="shared" si="1"/>
        <v>4131.0967741935483</v>
      </c>
      <c r="H21" s="203">
        <f t="shared" si="21"/>
        <v>192</v>
      </c>
      <c r="I21" s="203">
        <f t="shared" si="2"/>
        <v>4131.0967741935483</v>
      </c>
      <c r="J21" s="203">
        <f t="shared" si="22"/>
        <v>192</v>
      </c>
      <c r="K21" s="203">
        <f t="shared" si="3"/>
        <v>4131.0967741935483</v>
      </c>
      <c r="L21" s="203">
        <f t="shared" si="23"/>
        <v>192</v>
      </c>
      <c r="M21" s="203">
        <f t="shared" si="4"/>
        <v>4131.0967741935483</v>
      </c>
      <c r="N21" s="203">
        <f t="shared" si="24"/>
        <v>192</v>
      </c>
      <c r="O21" s="203">
        <f t="shared" si="5"/>
        <v>4131.0967741935483</v>
      </c>
      <c r="P21" s="203">
        <f t="shared" si="25"/>
        <v>192</v>
      </c>
      <c r="Q21" s="203">
        <f t="shared" si="6"/>
        <v>4131.0967741935483</v>
      </c>
      <c r="R21" s="203">
        <f t="shared" si="26"/>
        <v>192</v>
      </c>
      <c r="S21" s="203">
        <f t="shared" si="7"/>
        <v>4131.0967741935483</v>
      </c>
      <c r="T21" s="203">
        <f t="shared" si="27"/>
        <v>192</v>
      </c>
      <c r="U21" s="203">
        <f t="shared" si="8"/>
        <v>4131.0967741935483</v>
      </c>
      <c r="V21" s="203">
        <f t="shared" si="28"/>
        <v>192</v>
      </c>
      <c r="W21" s="203">
        <f t="shared" si="9"/>
        <v>4131.0967741935483</v>
      </c>
      <c r="X21" s="35">
        <f t="shared" si="10"/>
        <v>0.61935483870967734</v>
      </c>
      <c r="Y21" s="36">
        <f t="shared" si="29"/>
        <v>45442.064516129023</v>
      </c>
      <c r="Z21" s="203">
        <f>'B5'!C20</f>
        <v>198</v>
      </c>
      <c r="AA21" s="203">
        <f t="shared" si="30"/>
        <v>1980</v>
      </c>
      <c r="AB21" s="203">
        <f t="shared" si="31"/>
        <v>198</v>
      </c>
      <c r="AC21" s="203">
        <f t="shared" si="30"/>
        <v>1980</v>
      </c>
      <c r="AD21" s="203">
        <f t="shared" si="32"/>
        <v>198</v>
      </c>
      <c r="AE21" s="203">
        <f t="shared" si="11"/>
        <v>1980</v>
      </c>
      <c r="AF21" s="203">
        <f t="shared" si="33"/>
        <v>198</v>
      </c>
      <c r="AG21" s="203">
        <f t="shared" si="12"/>
        <v>1980</v>
      </c>
      <c r="AH21" s="203">
        <f t="shared" si="34"/>
        <v>198</v>
      </c>
      <c r="AI21" s="203">
        <f t="shared" si="13"/>
        <v>1980</v>
      </c>
      <c r="AJ21" s="203">
        <f t="shared" si="35"/>
        <v>198</v>
      </c>
      <c r="AK21" s="203">
        <f t="shared" si="14"/>
        <v>1980</v>
      </c>
      <c r="AL21" s="203">
        <f t="shared" si="36"/>
        <v>198</v>
      </c>
      <c r="AM21" s="203">
        <f t="shared" si="15"/>
        <v>1980</v>
      </c>
      <c r="AN21" s="35">
        <f t="shared" si="16"/>
        <v>0.70714285714285718</v>
      </c>
      <c r="AO21" s="36">
        <f t="shared" si="17"/>
        <v>13860</v>
      </c>
      <c r="AQ21" s="223">
        <f t="shared" si="37"/>
        <v>0.63786236975507182</v>
      </c>
      <c r="AR21" s="38">
        <f t="shared" si="38"/>
        <v>59302.064516129023</v>
      </c>
      <c r="AS21" s="197">
        <f t="shared" si="39"/>
        <v>0</v>
      </c>
      <c r="AT21" s="271"/>
      <c r="AU21" s="593"/>
      <c r="AV21" s="515">
        <f t="shared" si="43"/>
        <v>0</v>
      </c>
      <c r="AW21" s="290">
        <f>-SUM('B5'!AI20)</f>
        <v>0</v>
      </c>
      <c r="AX21" s="290">
        <f t="shared" si="40"/>
        <v>0</v>
      </c>
      <c r="AY21" s="37">
        <f t="shared" si="41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192</v>
      </c>
      <c r="C22" s="203">
        <f t="shared" si="18"/>
        <v>4131.0967741935483</v>
      </c>
      <c r="D22">
        <f t="shared" si="19"/>
        <v>192</v>
      </c>
      <c r="E22" s="203">
        <f t="shared" si="18"/>
        <v>4131.0967741935483</v>
      </c>
      <c r="F22">
        <f t="shared" si="20"/>
        <v>192</v>
      </c>
      <c r="G22" s="203">
        <f t="shared" si="1"/>
        <v>4131.0967741935483</v>
      </c>
      <c r="H22" s="203">
        <f t="shared" si="21"/>
        <v>192</v>
      </c>
      <c r="I22" s="203">
        <f t="shared" si="2"/>
        <v>4131.0967741935483</v>
      </c>
      <c r="J22" s="203">
        <f t="shared" si="22"/>
        <v>192</v>
      </c>
      <c r="K22" s="203">
        <f t="shared" si="3"/>
        <v>4131.0967741935483</v>
      </c>
      <c r="L22" s="203">
        <f t="shared" si="23"/>
        <v>192</v>
      </c>
      <c r="M22" s="203">
        <f t="shared" si="4"/>
        <v>4131.0967741935483</v>
      </c>
      <c r="N22" s="203">
        <f t="shared" si="24"/>
        <v>192</v>
      </c>
      <c r="O22" s="203">
        <f t="shared" si="5"/>
        <v>4131.0967741935483</v>
      </c>
      <c r="P22" s="203">
        <f t="shared" si="25"/>
        <v>192</v>
      </c>
      <c r="Q22" s="203">
        <f t="shared" si="6"/>
        <v>4131.0967741935483</v>
      </c>
      <c r="R22" s="203">
        <f t="shared" si="26"/>
        <v>192</v>
      </c>
      <c r="S22" s="203">
        <f t="shared" si="7"/>
        <v>4131.0967741935483</v>
      </c>
      <c r="T22" s="203">
        <f t="shared" si="27"/>
        <v>192</v>
      </c>
      <c r="U22" s="203">
        <f t="shared" si="8"/>
        <v>4131.0967741935483</v>
      </c>
      <c r="V22" s="203">
        <f t="shared" si="28"/>
        <v>192</v>
      </c>
      <c r="W22" s="203">
        <f t="shared" si="9"/>
        <v>4131.0967741935483</v>
      </c>
      <c r="X22" s="35">
        <f t="shared" si="10"/>
        <v>0.61935483870967734</v>
      </c>
      <c r="Y22" s="36">
        <f t="shared" si="29"/>
        <v>45442.064516129023</v>
      </c>
      <c r="Z22" s="203">
        <f>'B5'!C21</f>
        <v>198</v>
      </c>
      <c r="AA22" s="203">
        <f t="shared" si="30"/>
        <v>1980</v>
      </c>
      <c r="AB22" s="203">
        <f t="shared" si="31"/>
        <v>198</v>
      </c>
      <c r="AC22" s="203">
        <f t="shared" si="30"/>
        <v>1980</v>
      </c>
      <c r="AD22" s="203">
        <f t="shared" si="32"/>
        <v>198</v>
      </c>
      <c r="AE22" s="203">
        <f t="shared" si="11"/>
        <v>1980</v>
      </c>
      <c r="AF22" s="203">
        <f t="shared" si="33"/>
        <v>198</v>
      </c>
      <c r="AG22" s="203">
        <f t="shared" si="12"/>
        <v>1980</v>
      </c>
      <c r="AH22" s="203">
        <f t="shared" si="34"/>
        <v>198</v>
      </c>
      <c r="AI22" s="203">
        <f t="shared" si="13"/>
        <v>1980</v>
      </c>
      <c r="AJ22" s="203">
        <f t="shared" si="35"/>
        <v>198</v>
      </c>
      <c r="AK22" s="203">
        <f t="shared" si="14"/>
        <v>1980</v>
      </c>
      <c r="AL22" s="203">
        <f t="shared" si="36"/>
        <v>198</v>
      </c>
      <c r="AM22" s="203">
        <f t="shared" si="15"/>
        <v>1980</v>
      </c>
      <c r="AN22" s="35">
        <f t="shared" si="16"/>
        <v>0.70714285714285718</v>
      </c>
      <c r="AO22" s="36">
        <f t="shared" si="17"/>
        <v>13860</v>
      </c>
      <c r="AQ22" s="223">
        <f t="shared" si="37"/>
        <v>0.63786236975507182</v>
      </c>
      <c r="AR22" s="38">
        <f t="shared" si="38"/>
        <v>59302.064516129023</v>
      </c>
      <c r="AS22" s="197">
        <f t="shared" si="39"/>
        <v>0</v>
      </c>
      <c r="AT22" s="271"/>
      <c r="AU22" s="593"/>
      <c r="AV22" s="515">
        <f t="shared" si="43"/>
        <v>0</v>
      </c>
      <c r="AW22" s="290">
        <f>-SUM('B5'!AI21)</f>
        <v>0</v>
      </c>
      <c r="AX22" s="290">
        <f t="shared" si="40"/>
        <v>0</v>
      </c>
      <c r="AY22" s="37">
        <f t="shared" si="41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192</v>
      </c>
      <c r="C23" s="203">
        <f t="shared" si="18"/>
        <v>4131.0967741935483</v>
      </c>
      <c r="D23">
        <f t="shared" si="19"/>
        <v>192</v>
      </c>
      <c r="E23" s="203">
        <f t="shared" si="18"/>
        <v>4131.0967741935483</v>
      </c>
      <c r="F23">
        <f t="shared" si="20"/>
        <v>192</v>
      </c>
      <c r="G23" s="203">
        <f t="shared" si="1"/>
        <v>4131.0967741935483</v>
      </c>
      <c r="H23" s="203">
        <f t="shared" si="21"/>
        <v>192</v>
      </c>
      <c r="I23" s="203">
        <f t="shared" si="2"/>
        <v>4131.0967741935483</v>
      </c>
      <c r="J23" s="203">
        <f t="shared" si="22"/>
        <v>192</v>
      </c>
      <c r="K23" s="203">
        <f t="shared" si="3"/>
        <v>4131.0967741935483</v>
      </c>
      <c r="L23" s="203">
        <f t="shared" si="23"/>
        <v>192</v>
      </c>
      <c r="M23" s="203">
        <f t="shared" si="4"/>
        <v>4131.0967741935483</v>
      </c>
      <c r="N23" s="203">
        <f t="shared" si="24"/>
        <v>192</v>
      </c>
      <c r="O23" s="203">
        <f t="shared" si="5"/>
        <v>4131.0967741935483</v>
      </c>
      <c r="P23" s="203">
        <f t="shared" si="25"/>
        <v>192</v>
      </c>
      <c r="Q23" s="203">
        <f t="shared" si="6"/>
        <v>4131.0967741935483</v>
      </c>
      <c r="R23" s="203">
        <f t="shared" si="26"/>
        <v>192</v>
      </c>
      <c r="S23" s="203">
        <f t="shared" si="7"/>
        <v>4131.0967741935483</v>
      </c>
      <c r="T23" s="203">
        <f t="shared" si="27"/>
        <v>192</v>
      </c>
      <c r="U23" s="203">
        <f t="shared" si="8"/>
        <v>4131.0967741935483</v>
      </c>
      <c r="V23" s="203">
        <f t="shared" si="28"/>
        <v>192</v>
      </c>
      <c r="W23" s="203">
        <f t="shared" si="9"/>
        <v>4131.0967741935483</v>
      </c>
      <c r="X23" s="35">
        <f t="shared" si="10"/>
        <v>0.61935483870967734</v>
      </c>
      <c r="Y23" s="36">
        <f t="shared" si="29"/>
        <v>45442.064516129023</v>
      </c>
      <c r="Z23" s="203">
        <f>'B5'!C22</f>
        <v>198</v>
      </c>
      <c r="AA23" s="203">
        <f t="shared" si="30"/>
        <v>1980</v>
      </c>
      <c r="AB23" s="203">
        <f t="shared" si="31"/>
        <v>198</v>
      </c>
      <c r="AC23" s="203">
        <f t="shared" si="30"/>
        <v>1980</v>
      </c>
      <c r="AD23" s="203">
        <f t="shared" si="32"/>
        <v>198</v>
      </c>
      <c r="AE23" s="203">
        <f t="shared" si="11"/>
        <v>1980</v>
      </c>
      <c r="AF23" s="203">
        <f t="shared" si="33"/>
        <v>198</v>
      </c>
      <c r="AG23" s="203">
        <f t="shared" si="12"/>
        <v>1980</v>
      </c>
      <c r="AH23" s="203">
        <f t="shared" si="34"/>
        <v>198</v>
      </c>
      <c r="AI23" s="203">
        <f t="shared" si="13"/>
        <v>1980</v>
      </c>
      <c r="AJ23" s="203">
        <f t="shared" si="35"/>
        <v>198</v>
      </c>
      <c r="AK23" s="203">
        <f t="shared" si="14"/>
        <v>1980</v>
      </c>
      <c r="AL23" s="203">
        <f t="shared" si="36"/>
        <v>198</v>
      </c>
      <c r="AM23" s="203">
        <f t="shared" si="15"/>
        <v>1980</v>
      </c>
      <c r="AN23" s="35">
        <f t="shared" si="16"/>
        <v>0.70714285714285718</v>
      </c>
      <c r="AO23" s="36">
        <f t="shared" si="17"/>
        <v>13860</v>
      </c>
      <c r="AQ23" s="223">
        <f t="shared" si="37"/>
        <v>0.63786236975507182</v>
      </c>
      <c r="AR23" s="38">
        <f t="shared" si="38"/>
        <v>59302.064516129023</v>
      </c>
      <c r="AS23" s="197">
        <f t="shared" si="39"/>
        <v>0</v>
      </c>
      <c r="AT23" s="271"/>
      <c r="AU23" s="593"/>
      <c r="AV23" s="515">
        <f t="shared" si="43"/>
        <v>0</v>
      </c>
      <c r="AW23" s="290">
        <f>-SUM('B5'!AI22)</f>
        <v>0</v>
      </c>
      <c r="AX23" s="290">
        <f t="shared" si="40"/>
        <v>0</v>
      </c>
      <c r="AY23" s="37">
        <f t="shared" si="41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192</v>
      </c>
      <c r="C24" s="203">
        <f t="shared" si="18"/>
        <v>4131.0967741935483</v>
      </c>
      <c r="D24">
        <f t="shared" si="19"/>
        <v>192</v>
      </c>
      <c r="E24" s="203">
        <f t="shared" si="18"/>
        <v>4131.0967741935483</v>
      </c>
      <c r="F24">
        <f t="shared" si="20"/>
        <v>192</v>
      </c>
      <c r="G24" s="203">
        <f t="shared" si="1"/>
        <v>4131.0967741935483</v>
      </c>
      <c r="H24" s="203">
        <f t="shared" si="21"/>
        <v>192</v>
      </c>
      <c r="I24" s="203">
        <f t="shared" si="2"/>
        <v>4131.0967741935483</v>
      </c>
      <c r="J24" s="203">
        <f t="shared" si="22"/>
        <v>192</v>
      </c>
      <c r="K24" s="203">
        <f t="shared" si="3"/>
        <v>4131.0967741935483</v>
      </c>
      <c r="L24" s="203">
        <f t="shared" si="23"/>
        <v>192</v>
      </c>
      <c r="M24" s="203">
        <f t="shared" si="4"/>
        <v>4131.0967741935483</v>
      </c>
      <c r="N24" s="203">
        <f t="shared" si="24"/>
        <v>192</v>
      </c>
      <c r="O24" s="203">
        <f t="shared" si="5"/>
        <v>4131.0967741935483</v>
      </c>
      <c r="P24" s="203">
        <f t="shared" si="25"/>
        <v>192</v>
      </c>
      <c r="Q24" s="203">
        <f t="shared" si="6"/>
        <v>4131.0967741935483</v>
      </c>
      <c r="R24" s="203">
        <f t="shared" si="26"/>
        <v>192</v>
      </c>
      <c r="S24" s="203">
        <f t="shared" si="7"/>
        <v>4131.0967741935483</v>
      </c>
      <c r="T24" s="203">
        <f t="shared" si="27"/>
        <v>192</v>
      </c>
      <c r="U24" s="203">
        <f t="shared" si="8"/>
        <v>4131.0967741935483</v>
      </c>
      <c r="V24" s="203">
        <f t="shared" si="28"/>
        <v>192</v>
      </c>
      <c r="W24" s="203">
        <f t="shared" si="9"/>
        <v>4131.0967741935483</v>
      </c>
      <c r="X24" s="35">
        <f t="shared" si="10"/>
        <v>0.61935483870967734</v>
      </c>
      <c r="Y24" s="36">
        <f t="shared" si="29"/>
        <v>45442.064516129023</v>
      </c>
      <c r="Z24" s="203">
        <f>'B5'!C23</f>
        <v>198</v>
      </c>
      <c r="AA24" s="203">
        <f t="shared" si="30"/>
        <v>1980</v>
      </c>
      <c r="AB24" s="203">
        <f t="shared" si="31"/>
        <v>198</v>
      </c>
      <c r="AC24" s="203">
        <f t="shared" si="30"/>
        <v>1980</v>
      </c>
      <c r="AD24" s="203">
        <f t="shared" si="32"/>
        <v>198</v>
      </c>
      <c r="AE24" s="203">
        <f t="shared" si="11"/>
        <v>1980</v>
      </c>
      <c r="AF24" s="203">
        <f t="shared" si="33"/>
        <v>198</v>
      </c>
      <c r="AG24" s="203">
        <f t="shared" si="12"/>
        <v>1980</v>
      </c>
      <c r="AH24" s="203">
        <f t="shared" si="34"/>
        <v>198</v>
      </c>
      <c r="AI24" s="203">
        <f t="shared" si="13"/>
        <v>1980</v>
      </c>
      <c r="AJ24" s="203">
        <f t="shared" si="35"/>
        <v>198</v>
      </c>
      <c r="AK24" s="203">
        <f t="shared" si="14"/>
        <v>1980</v>
      </c>
      <c r="AL24" s="203">
        <f t="shared" si="36"/>
        <v>198</v>
      </c>
      <c r="AM24" s="203">
        <f t="shared" si="15"/>
        <v>1980</v>
      </c>
      <c r="AN24" s="35">
        <f t="shared" si="16"/>
        <v>0.70714285714285718</v>
      </c>
      <c r="AO24" s="36">
        <f t="shared" si="17"/>
        <v>13860</v>
      </c>
      <c r="AQ24" s="223">
        <f t="shared" si="37"/>
        <v>0.63786236975507182</v>
      </c>
      <c r="AR24" s="38">
        <f t="shared" si="38"/>
        <v>59302.064516129023</v>
      </c>
      <c r="AS24" s="197">
        <f t="shared" si="39"/>
        <v>0</v>
      </c>
      <c r="AT24" s="271"/>
      <c r="AU24" s="593"/>
      <c r="AV24" s="515">
        <f t="shared" si="43"/>
        <v>0</v>
      </c>
      <c r="AW24" s="290">
        <f>-SUM('B5'!AI23)</f>
        <v>0</v>
      </c>
      <c r="AX24" s="290">
        <f t="shared" si="40"/>
        <v>0</v>
      </c>
      <c r="AY24" s="37">
        <f t="shared" si="41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192</v>
      </c>
      <c r="C25" s="203">
        <f t="shared" si="18"/>
        <v>4131.0967741935483</v>
      </c>
      <c r="D25">
        <f t="shared" si="19"/>
        <v>192</v>
      </c>
      <c r="E25" s="203">
        <f t="shared" si="18"/>
        <v>4131.0967741935483</v>
      </c>
      <c r="F25">
        <f t="shared" si="20"/>
        <v>192</v>
      </c>
      <c r="G25" s="203">
        <f t="shared" si="1"/>
        <v>4131.0967741935483</v>
      </c>
      <c r="H25" s="203">
        <f t="shared" si="21"/>
        <v>192</v>
      </c>
      <c r="I25" s="203">
        <f t="shared" si="2"/>
        <v>4131.0967741935483</v>
      </c>
      <c r="J25" s="203">
        <f t="shared" si="22"/>
        <v>192</v>
      </c>
      <c r="K25" s="203">
        <f t="shared" si="3"/>
        <v>4131.0967741935483</v>
      </c>
      <c r="L25" s="203">
        <f t="shared" si="23"/>
        <v>192</v>
      </c>
      <c r="M25" s="203">
        <f t="shared" si="4"/>
        <v>4131.0967741935483</v>
      </c>
      <c r="N25" s="203">
        <f t="shared" si="24"/>
        <v>192</v>
      </c>
      <c r="O25" s="203">
        <f t="shared" si="5"/>
        <v>4131.0967741935483</v>
      </c>
      <c r="P25" s="203">
        <f t="shared" si="25"/>
        <v>192</v>
      </c>
      <c r="Q25" s="203">
        <f t="shared" si="6"/>
        <v>4131.0967741935483</v>
      </c>
      <c r="R25" s="203">
        <f t="shared" si="26"/>
        <v>192</v>
      </c>
      <c r="S25" s="203">
        <f t="shared" si="7"/>
        <v>4131.0967741935483</v>
      </c>
      <c r="T25" s="203">
        <f t="shared" si="27"/>
        <v>192</v>
      </c>
      <c r="U25" s="203">
        <f t="shared" si="8"/>
        <v>4131.0967741935483</v>
      </c>
      <c r="V25" s="203">
        <f t="shared" si="28"/>
        <v>192</v>
      </c>
      <c r="W25" s="203">
        <f t="shared" si="9"/>
        <v>4131.0967741935483</v>
      </c>
      <c r="X25" s="35">
        <f t="shared" si="10"/>
        <v>0.61935483870967734</v>
      </c>
      <c r="Y25" s="36">
        <f t="shared" si="29"/>
        <v>45442.064516129023</v>
      </c>
      <c r="Z25" s="203">
        <f>'B5'!C24</f>
        <v>198</v>
      </c>
      <c r="AA25" s="203">
        <f t="shared" si="30"/>
        <v>1980</v>
      </c>
      <c r="AB25" s="203">
        <f t="shared" si="31"/>
        <v>198</v>
      </c>
      <c r="AC25" s="203">
        <f t="shared" si="30"/>
        <v>1980</v>
      </c>
      <c r="AD25" s="203">
        <f t="shared" si="32"/>
        <v>198</v>
      </c>
      <c r="AE25" s="203">
        <f t="shared" si="11"/>
        <v>1980</v>
      </c>
      <c r="AF25" s="203">
        <f t="shared" si="33"/>
        <v>198</v>
      </c>
      <c r="AG25" s="203">
        <f t="shared" si="12"/>
        <v>1980</v>
      </c>
      <c r="AH25" s="203">
        <f t="shared" si="34"/>
        <v>198</v>
      </c>
      <c r="AI25" s="203">
        <f t="shared" si="13"/>
        <v>1980</v>
      </c>
      <c r="AJ25" s="203">
        <f t="shared" si="35"/>
        <v>198</v>
      </c>
      <c r="AK25" s="203">
        <f t="shared" si="14"/>
        <v>1980</v>
      </c>
      <c r="AL25" s="203">
        <f t="shared" si="36"/>
        <v>198</v>
      </c>
      <c r="AM25" s="203">
        <f t="shared" si="15"/>
        <v>1980</v>
      </c>
      <c r="AN25" s="35">
        <f t="shared" si="16"/>
        <v>0.70714285714285718</v>
      </c>
      <c r="AO25" s="36">
        <f t="shared" si="17"/>
        <v>13860</v>
      </c>
      <c r="AQ25" s="223">
        <f t="shared" si="37"/>
        <v>0.63786236975507182</v>
      </c>
      <c r="AR25" s="38">
        <f t="shared" si="38"/>
        <v>59302.064516129023</v>
      </c>
      <c r="AS25" s="197">
        <f t="shared" si="39"/>
        <v>0</v>
      </c>
      <c r="AT25" s="271"/>
      <c r="AU25" s="593"/>
      <c r="AV25" s="515">
        <f t="shared" si="43"/>
        <v>0</v>
      </c>
      <c r="AW25" s="290">
        <f>-SUM('B5'!AI24)</f>
        <v>0</v>
      </c>
      <c r="AX25" s="290">
        <f t="shared" si="40"/>
        <v>0</v>
      </c>
      <c r="AY25" s="37">
        <f t="shared" si="41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192</v>
      </c>
      <c r="C26" s="203">
        <f t="shared" si="18"/>
        <v>4131.0967741935483</v>
      </c>
      <c r="D26">
        <f t="shared" si="19"/>
        <v>192</v>
      </c>
      <c r="E26" s="203">
        <f t="shared" si="18"/>
        <v>4131.0967741935483</v>
      </c>
      <c r="F26">
        <f t="shared" si="20"/>
        <v>192</v>
      </c>
      <c r="G26" s="203">
        <f t="shared" si="1"/>
        <v>4131.0967741935483</v>
      </c>
      <c r="H26" s="203">
        <f t="shared" si="21"/>
        <v>192</v>
      </c>
      <c r="I26" s="203">
        <f t="shared" si="2"/>
        <v>4131.0967741935483</v>
      </c>
      <c r="J26" s="203">
        <f t="shared" si="22"/>
        <v>192</v>
      </c>
      <c r="K26" s="203">
        <f t="shared" si="3"/>
        <v>4131.0967741935483</v>
      </c>
      <c r="L26" s="203">
        <f t="shared" si="23"/>
        <v>192</v>
      </c>
      <c r="M26" s="203">
        <f t="shared" si="4"/>
        <v>4131.0967741935483</v>
      </c>
      <c r="N26" s="203">
        <f t="shared" si="24"/>
        <v>192</v>
      </c>
      <c r="O26" s="203">
        <f t="shared" si="5"/>
        <v>4131.0967741935483</v>
      </c>
      <c r="P26" s="203">
        <f t="shared" si="25"/>
        <v>192</v>
      </c>
      <c r="Q26" s="203">
        <f t="shared" si="6"/>
        <v>4131.0967741935483</v>
      </c>
      <c r="R26" s="203">
        <f t="shared" si="26"/>
        <v>192</v>
      </c>
      <c r="S26" s="203">
        <f t="shared" si="7"/>
        <v>4131.0967741935483</v>
      </c>
      <c r="T26" s="203">
        <f t="shared" si="27"/>
        <v>192</v>
      </c>
      <c r="U26" s="203">
        <f t="shared" si="8"/>
        <v>4131.0967741935483</v>
      </c>
      <c r="V26" s="203">
        <f t="shared" si="28"/>
        <v>192</v>
      </c>
      <c r="W26" s="203">
        <f t="shared" si="9"/>
        <v>4131.0967741935483</v>
      </c>
      <c r="X26" s="35">
        <f t="shared" si="10"/>
        <v>0.61935483870967734</v>
      </c>
      <c r="Y26" s="36">
        <f t="shared" si="29"/>
        <v>45442.064516129023</v>
      </c>
      <c r="Z26" s="203">
        <f>'B5'!C25</f>
        <v>198</v>
      </c>
      <c r="AA26" s="203">
        <f t="shared" si="30"/>
        <v>1980</v>
      </c>
      <c r="AB26" s="203">
        <f t="shared" si="31"/>
        <v>198</v>
      </c>
      <c r="AC26" s="203">
        <f t="shared" si="30"/>
        <v>1980</v>
      </c>
      <c r="AD26" s="203">
        <f t="shared" si="32"/>
        <v>198</v>
      </c>
      <c r="AE26" s="203">
        <f t="shared" si="11"/>
        <v>1980</v>
      </c>
      <c r="AF26" s="203">
        <f t="shared" si="33"/>
        <v>198</v>
      </c>
      <c r="AG26" s="203">
        <f t="shared" si="12"/>
        <v>1980</v>
      </c>
      <c r="AH26" s="203">
        <f t="shared" si="34"/>
        <v>198</v>
      </c>
      <c r="AI26" s="203">
        <f t="shared" si="13"/>
        <v>1980</v>
      </c>
      <c r="AJ26" s="203">
        <f t="shared" si="35"/>
        <v>198</v>
      </c>
      <c r="AK26" s="203">
        <f t="shared" si="14"/>
        <v>1980</v>
      </c>
      <c r="AL26" s="203">
        <f t="shared" si="36"/>
        <v>198</v>
      </c>
      <c r="AM26" s="203">
        <f t="shared" si="15"/>
        <v>1980</v>
      </c>
      <c r="AN26" s="35">
        <f t="shared" si="16"/>
        <v>0.70714285714285718</v>
      </c>
      <c r="AO26" s="36">
        <f t="shared" si="17"/>
        <v>13860</v>
      </c>
      <c r="AQ26" s="223">
        <f t="shared" si="37"/>
        <v>0.63786236975507182</v>
      </c>
      <c r="AR26" s="38">
        <f t="shared" si="38"/>
        <v>59302.064516129023</v>
      </c>
      <c r="AS26" s="197">
        <f t="shared" si="39"/>
        <v>0</v>
      </c>
      <c r="AT26" s="271"/>
      <c r="AU26" s="593"/>
      <c r="AV26" s="515">
        <f t="shared" si="43"/>
        <v>0</v>
      </c>
      <c r="AW26" s="290">
        <f>-SUM('B5'!AI25)</f>
        <v>0</v>
      </c>
      <c r="AX26" s="290">
        <f t="shared" si="40"/>
        <v>0</v>
      </c>
      <c r="AY26" s="37">
        <f t="shared" si="41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192</v>
      </c>
      <c r="C27" s="203">
        <f t="shared" si="18"/>
        <v>4131.0967741935483</v>
      </c>
      <c r="D27">
        <f t="shared" si="19"/>
        <v>192</v>
      </c>
      <c r="E27" s="203">
        <f t="shared" si="18"/>
        <v>4131.0967741935483</v>
      </c>
      <c r="F27">
        <f t="shared" si="20"/>
        <v>192</v>
      </c>
      <c r="G27" s="203">
        <f t="shared" si="1"/>
        <v>4131.0967741935483</v>
      </c>
      <c r="H27" s="203">
        <f t="shared" si="21"/>
        <v>192</v>
      </c>
      <c r="I27" s="203">
        <f t="shared" si="2"/>
        <v>4131.0967741935483</v>
      </c>
      <c r="J27" s="203">
        <f t="shared" si="22"/>
        <v>192</v>
      </c>
      <c r="K27" s="203">
        <f t="shared" si="3"/>
        <v>4131.0967741935483</v>
      </c>
      <c r="L27" s="203">
        <f t="shared" si="23"/>
        <v>192</v>
      </c>
      <c r="M27" s="203">
        <f t="shared" si="4"/>
        <v>4131.0967741935483</v>
      </c>
      <c r="N27" s="203">
        <f t="shared" si="24"/>
        <v>192</v>
      </c>
      <c r="O27" s="203">
        <f t="shared" si="5"/>
        <v>4131.0967741935483</v>
      </c>
      <c r="P27" s="203">
        <f t="shared" si="25"/>
        <v>192</v>
      </c>
      <c r="Q27" s="203">
        <f t="shared" si="6"/>
        <v>4131.0967741935483</v>
      </c>
      <c r="R27" s="203">
        <f t="shared" si="26"/>
        <v>192</v>
      </c>
      <c r="S27" s="203">
        <f t="shared" si="7"/>
        <v>4131.0967741935483</v>
      </c>
      <c r="T27" s="203">
        <f t="shared" si="27"/>
        <v>192</v>
      </c>
      <c r="U27" s="203">
        <f t="shared" si="8"/>
        <v>4131.0967741935483</v>
      </c>
      <c r="V27" s="203">
        <f t="shared" si="28"/>
        <v>192</v>
      </c>
      <c r="W27" s="203">
        <f t="shared" si="9"/>
        <v>4131.0967741935483</v>
      </c>
      <c r="X27" s="35">
        <f t="shared" si="10"/>
        <v>0.61935483870967734</v>
      </c>
      <c r="Y27" s="36">
        <f t="shared" si="29"/>
        <v>45442.064516129023</v>
      </c>
      <c r="Z27" s="203">
        <f>'B5'!C26</f>
        <v>198</v>
      </c>
      <c r="AA27" s="203">
        <f t="shared" si="30"/>
        <v>1980</v>
      </c>
      <c r="AB27" s="203">
        <f t="shared" si="31"/>
        <v>198</v>
      </c>
      <c r="AC27" s="203">
        <f t="shared" si="30"/>
        <v>1980</v>
      </c>
      <c r="AD27" s="203">
        <f t="shared" si="32"/>
        <v>198</v>
      </c>
      <c r="AE27" s="203">
        <f t="shared" si="11"/>
        <v>1980</v>
      </c>
      <c r="AF27" s="203">
        <f t="shared" si="33"/>
        <v>198</v>
      </c>
      <c r="AG27" s="203">
        <f t="shared" si="12"/>
        <v>1980</v>
      </c>
      <c r="AH27" s="203">
        <f t="shared" si="34"/>
        <v>198</v>
      </c>
      <c r="AI27" s="203">
        <f t="shared" si="13"/>
        <v>1980</v>
      </c>
      <c r="AJ27" s="203">
        <f t="shared" si="35"/>
        <v>198</v>
      </c>
      <c r="AK27" s="203">
        <f t="shared" si="14"/>
        <v>1980</v>
      </c>
      <c r="AL27" s="203">
        <f t="shared" si="36"/>
        <v>198</v>
      </c>
      <c r="AM27" s="203">
        <f t="shared" si="15"/>
        <v>1980</v>
      </c>
      <c r="AN27" s="35">
        <f t="shared" si="16"/>
        <v>0.70714285714285718</v>
      </c>
      <c r="AO27" s="36">
        <f t="shared" si="17"/>
        <v>13860</v>
      </c>
      <c r="AQ27" s="223">
        <f t="shared" si="37"/>
        <v>0.63786236975507182</v>
      </c>
      <c r="AR27" s="38">
        <f t="shared" si="38"/>
        <v>59302.064516129023</v>
      </c>
      <c r="AS27" s="197">
        <f t="shared" si="39"/>
        <v>0</v>
      </c>
      <c r="AT27" s="271"/>
      <c r="AU27" s="593"/>
      <c r="AV27" s="515">
        <f t="shared" si="43"/>
        <v>0</v>
      </c>
      <c r="AW27" s="290">
        <f>-SUM('B5'!AI26)</f>
        <v>0</v>
      </c>
      <c r="AX27" s="290">
        <f t="shared" si="40"/>
        <v>0</v>
      </c>
      <c r="AY27" s="37">
        <f t="shared" si="41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192</v>
      </c>
      <c r="C28" s="203">
        <f t="shared" si="18"/>
        <v>4131.0967741935483</v>
      </c>
      <c r="D28">
        <f t="shared" si="19"/>
        <v>192</v>
      </c>
      <c r="E28" s="203">
        <f t="shared" si="18"/>
        <v>4131.0967741935483</v>
      </c>
      <c r="F28">
        <f t="shared" si="20"/>
        <v>192</v>
      </c>
      <c r="G28" s="203">
        <f t="shared" si="1"/>
        <v>4131.0967741935483</v>
      </c>
      <c r="H28" s="203">
        <f t="shared" si="21"/>
        <v>192</v>
      </c>
      <c r="I28" s="203">
        <f t="shared" si="2"/>
        <v>4131.0967741935483</v>
      </c>
      <c r="J28" s="203">
        <f t="shared" si="22"/>
        <v>192</v>
      </c>
      <c r="K28" s="203">
        <f t="shared" si="3"/>
        <v>4131.0967741935483</v>
      </c>
      <c r="L28" s="203">
        <f t="shared" si="23"/>
        <v>192</v>
      </c>
      <c r="M28" s="203">
        <f t="shared" si="4"/>
        <v>4131.0967741935483</v>
      </c>
      <c r="N28" s="203">
        <f t="shared" si="24"/>
        <v>192</v>
      </c>
      <c r="O28" s="203">
        <f t="shared" si="5"/>
        <v>4131.0967741935483</v>
      </c>
      <c r="P28" s="203">
        <f t="shared" si="25"/>
        <v>192</v>
      </c>
      <c r="Q28" s="203">
        <f t="shared" si="6"/>
        <v>4131.0967741935483</v>
      </c>
      <c r="R28" s="203">
        <f t="shared" si="26"/>
        <v>192</v>
      </c>
      <c r="S28" s="203">
        <f t="shared" si="7"/>
        <v>4131.0967741935483</v>
      </c>
      <c r="T28" s="203">
        <f t="shared" si="27"/>
        <v>192</v>
      </c>
      <c r="U28" s="203">
        <f t="shared" si="8"/>
        <v>4131.0967741935483</v>
      </c>
      <c r="V28" s="203">
        <f t="shared" si="28"/>
        <v>192</v>
      </c>
      <c r="W28" s="203">
        <f t="shared" si="9"/>
        <v>4131.0967741935483</v>
      </c>
      <c r="X28" s="35">
        <f t="shared" si="10"/>
        <v>0.61935483870967734</v>
      </c>
      <c r="Y28" s="36">
        <f t="shared" si="29"/>
        <v>45442.064516129023</v>
      </c>
      <c r="Z28" s="203">
        <f>'B5'!C27</f>
        <v>198</v>
      </c>
      <c r="AA28" s="203">
        <f t="shared" si="30"/>
        <v>1980</v>
      </c>
      <c r="AB28" s="203">
        <f t="shared" si="31"/>
        <v>198</v>
      </c>
      <c r="AC28" s="203">
        <f t="shared" si="30"/>
        <v>1980</v>
      </c>
      <c r="AD28" s="203">
        <f t="shared" si="32"/>
        <v>198</v>
      </c>
      <c r="AE28" s="203">
        <f t="shared" si="11"/>
        <v>1980</v>
      </c>
      <c r="AF28" s="203">
        <f t="shared" si="33"/>
        <v>198</v>
      </c>
      <c r="AG28" s="203">
        <f t="shared" si="12"/>
        <v>1980</v>
      </c>
      <c r="AH28" s="203">
        <f t="shared" si="34"/>
        <v>198</v>
      </c>
      <c r="AI28" s="203">
        <f t="shared" si="13"/>
        <v>1980</v>
      </c>
      <c r="AJ28" s="203">
        <f t="shared" si="35"/>
        <v>198</v>
      </c>
      <c r="AK28" s="203">
        <f t="shared" si="14"/>
        <v>1980</v>
      </c>
      <c r="AL28" s="203">
        <f t="shared" si="36"/>
        <v>198</v>
      </c>
      <c r="AM28" s="203">
        <f t="shared" si="15"/>
        <v>1980</v>
      </c>
      <c r="AN28" s="35">
        <f t="shared" si="16"/>
        <v>0.70714285714285718</v>
      </c>
      <c r="AO28" s="36">
        <f t="shared" si="17"/>
        <v>13860</v>
      </c>
      <c r="AQ28" s="223">
        <f t="shared" si="37"/>
        <v>0.63786236975507182</v>
      </c>
      <c r="AR28" s="38">
        <f t="shared" si="38"/>
        <v>59302.064516129023</v>
      </c>
      <c r="AS28" s="197">
        <f t="shared" si="39"/>
        <v>0</v>
      </c>
      <c r="AT28" s="355"/>
      <c r="AU28" s="607"/>
      <c r="AV28" s="515">
        <f t="shared" si="43"/>
        <v>0</v>
      </c>
      <c r="AW28" s="290">
        <f>-SUM('B5'!AI27)</f>
        <v>0</v>
      </c>
      <c r="AX28" s="290">
        <f t="shared" si="40"/>
        <v>0</v>
      </c>
      <c r="AY28" s="37">
        <f t="shared" si="41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192</v>
      </c>
      <c r="C29" s="203">
        <f t="shared" si="18"/>
        <v>4131.0967741935483</v>
      </c>
      <c r="D29">
        <f t="shared" si="19"/>
        <v>192</v>
      </c>
      <c r="E29" s="203">
        <f t="shared" si="18"/>
        <v>4131.0967741935483</v>
      </c>
      <c r="F29">
        <f t="shared" si="20"/>
        <v>192</v>
      </c>
      <c r="G29" s="203">
        <f t="shared" si="1"/>
        <v>4131.0967741935483</v>
      </c>
      <c r="H29" s="203">
        <f t="shared" si="21"/>
        <v>192</v>
      </c>
      <c r="I29" s="203">
        <f t="shared" si="2"/>
        <v>4131.0967741935483</v>
      </c>
      <c r="J29" s="203">
        <f t="shared" si="22"/>
        <v>192</v>
      </c>
      <c r="K29" s="203">
        <f t="shared" si="3"/>
        <v>4131.0967741935483</v>
      </c>
      <c r="L29" s="203">
        <f t="shared" si="23"/>
        <v>192</v>
      </c>
      <c r="M29" s="203">
        <f t="shared" si="4"/>
        <v>4131.0967741935483</v>
      </c>
      <c r="N29" s="203">
        <f t="shared" si="24"/>
        <v>192</v>
      </c>
      <c r="O29" s="203">
        <f t="shared" si="5"/>
        <v>4131.0967741935483</v>
      </c>
      <c r="P29" s="203">
        <f t="shared" si="25"/>
        <v>192</v>
      </c>
      <c r="Q29" s="203">
        <f t="shared" si="6"/>
        <v>4131.0967741935483</v>
      </c>
      <c r="R29" s="203">
        <f t="shared" si="26"/>
        <v>192</v>
      </c>
      <c r="S29" s="203">
        <f t="shared" si="7"/>
        <v>4131.0967741935483</v>
      </c>
      <c r="T29" s="203">
        <f t="shared" si="27"/>
        <v>192</v>
      </c>
      <c r="U29" s="203">
        <f t="shared" si="8"/>
        <v>4131.0967741935483</v>
      </c>
      <c r="V29" s="203">
        <f t="shared" si="28"/>
        <v>192</v>
      </c>
      <c r="W29" s="203">
        <f t="shared" si="9"/>
        <v>4131.0967741935483</v>
      </c>
      <c r="X29" s="35">
        <f t="shared" si="10"/>
        <v>0.61935483870967734</v>
      </c>
      <c r="Y29" s="36">
        <f t="shared" si="29"/>
        <v>45442.064516129023</v>
      </c>
      <c r="Z29" s="203">
        <f>'B5'!C28</f>
        <v>198</v>
      </c>
      <c r="AA29" s="203">
        <f t="shared" si="30"/>
        <v>1980</v>
      </c>
      <c r="AB29" s="203">
        <f t="shared" si="31"/>
        <v>198</v>
      </c>
      <c r="AC29" s="203">
        <f t="shared" si="30"/>
        <v>1980</v>
      </c>
      <c r="AD29" s="203">
        <f t="shared" si="32"/>
        <v>198</v>
      </c>
      <c r="AE29" s="203">
        <f t="shared" si="11"/>
        <v>1980</v>
      </c>
      <c r="AF29" s="203">
        <f t="shared" si="33"/>
        <v>198</v>
      </c>
      <c r="AG29" s="203">
        <f t="shared" si="12"/>
        <v>1980</v>
      </c>
      <c r="AH29" s="203">
        <f t="shared" si="34"/>
        <v>198</v>
      </c>
      <c r="AI29" s="203">
        <f t="shared" si="13"/>
        <v>1980</v>
      </c>
      <c r="AJ29" s="203">
        <f t="shared" si="35"/>
        <v>198</v>
      </c>
      <c r="AK29" s="203">
        <f t="shared" si="14"/>
        <v>1980</v>
      </c>
      <c r="AL29" s="203">
        <f t="shared" si="36"/>
        <v>198</v>
      </c>
      <c r="AM29" s="203">
        <f t="shared" si="15"/>
        <v>1980</v>
      </c>
      <c r="AN29" s="35">
        <f t="shared" si="16"/>
        <v>0.70714285714285718</v>
      </c>
      <c r="AO29" s="36">
        <f t="shared" si="17"/>
        <v>13860</v>
      </c>
      <c r="AQ29" s="223">
        <f t="shared" si="37"/>
        <v>0.63786236975507182</v>
      </c>
      <c r="AR29" s="38">
        <f t="shared" si="38"/>
        <v>59302.064516129023</v>
      </c>
      <c r="AS29" s="197">
        <f t="shared" si="39"/>
        <v>0</v>
      </c>
      <c r="AT29" s="355"/>
      <c r="AU29" s="593"/>
      <c r="AV29" s="515">
        <f t="shared" si="43"/>
        <v>0</v>
      </c>
      <c r="AW29" s="290">
        <f>-SUM('B5'!AI28)</f>
        <v>0</v>
      </c>
      <c r="AX29" s="290">
        <f>-SUM(AW29-AS29)</f>
        <v>0</v>
      </c>
      <c r="AY29" s="37">
        <f t="shared" si="41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192</v>
      </c>
      <c r="C30" s="203">
        <f t="shared" si="18"/>
        <v>4131.0967741935483</v>
      </c>
      <c r="D30">
        <f t="shared" ref="D30:D33" si="45">SUM(B30)</f>
        <v>192</v>
      </c>
      <c r="E30" s="203">
        <f t="shared" si="18"/>
        <v>4131.0967741935483</v>
      </c>
      <c r="F30">
        <f t="shared" ref="F30:F33" si="46">SUM(D30)</f>
        <v>192</v>
      </c>
      <c r="G30" s="203">
        <f t="shared" si="1"/>
        <v>4131.0967741935483</v>
      </c>
      <c r="H30" s="203">
        <f t="shared" ref="H30:H33" si="47">SUM(F30)</f>
        <v>192</v>
      </c>
      <c r="I30" s="203">
        <f t="shared" si="2"/>
        <v>4131.0967741935483</v>
      </c>
      <c r="J30" s="203">
        <f t="shared" ref="J30:J33" si="48">SUM(H30)</f>
        <v>192</v>
      </c>
      <c r="K30" s="203">
        <f t="shared" si="3"/>
        <v>4131.0967741935483</v>
      </c>
      <c r="L30" s="203">
        <f t="shared" ref="L30:L33" si="49">SUM(J30)</f>
        <v>192</v>
      </c>
      <c r="M30" s="203">
        <f t="shared" si="4"/>
        <v>4131.0967741935483</v>
      </c>
      <c r="N30" s="203">
        <f t="shared" ref="N30:N33" si="50">SUM(L30)</f>
        <v>192</v>
      </c>
      <c r="O30" s="203">
        <f t="shared" si="5"/>
        <v>4131.0967741935483</v>
      </c>
      <c r="P30" s="203">
        <f t="shared" ref="P30:P33" si="51">SUM(N30)</f>
        <v>192</v>
      </c>
      <c r="Q30" s="203">
        <f t="shared" si="6"/>
        <v>4131.0967741935483</v>
      </c>
      <c r="R30" s="203">
        <f t="shared" ref="R30:R33" si="52">SUM(P30)</f>
        <v>192</v>
      </c>
      <c r="S30" s="203">
        <f t="shared" si="7"/>
        <v>4131.0967741935483</v>
      </c>
      <c r="T30" s="203">
        <f t="shared" ref="T30:T33" si="53">SUM(R30)</f>
        <v>192</v>
      </c>
      <c r="U30" s="203">
        <f t="shared" si="8"/>
        <v>4131.0967741935483</v>
      </c>
      <c r="V30" s="203">
        <f t="shared" ref="V30:V33" si="54">SUM(T30)</f>
        <v>192</v>
      </c>
      <c r="W30" s="203">
        <f t="shared" si="9"/>
        <v>4131.0967741935483</v>
      </c>
      <c r="X30" s="35">
        <f t="shared" ref="X30:X33" si="55">SUM(Y30/73370)</f>
        <v>0.61935483870967734</v>
      </c>
      <c r="Y30" s="36">
        <f t="shared" ref="Y30:Y33" si="56">SUM(C30+E30+G30+I30+K30+M30+O30+Q30+S30+U30+W30)</f>
        <v>45442.064516129023</v>
      </c>
      <c r="Z30" s="203">
        <f>'B5'!C29</f>
        <v>198</v>
      </c>
      <c r="AA30" s="203">
        <f t="shared" si="30"/>
        <v>1980</v>
      </c>
      <c r="AB30" s="203">
        <f t="shared" ref="AB30:AB33" si="57">SUM(Z30)</f>
        <v>198</v>
      </c>
      <c r="AC30" s="203">
        <f t="shared" si="30"/>
        <v>1980</v>
      </c>
      <c r="AD30" s="203">
        <f t="shared" ref="AD30:AD33" si="58">SUM(AB30)</f>
        <v>198</v>
      </c>
      <c r="AE30" s="203">
        <f t="shared" si="11"/>
        <v>1980</v>
      </c>
      <c r="AF30" s="203">
        <f t="shared" ref="AF30:AF33" si="59">SUM(AD30)</f>
        <v>198</v>
      </c>
      <c r="AG30" s="203">
        <f t="shared" si="12"/>
        <v>1980</v>
      </c>
      <c r="AH30" s="203">
        <f t="shared" ref="AH30:AH33" si="60">SUM(AF30)</f>
        <v>198</v>
      </c>
      <c r="AI30" s="203">
        <f t="shared" si="13"/>
        <v>1980</v>
      </c>
      <c r="AJ30" s="203">
        <f t="shared" ref="AJ30:AJ33" si="61">SUM(AH30)</f>
        <v>198</v>
      </c>
      <c r="AK30" s="203">
        <f t="shared" si="14"/>
        <v>1980</v>
      </c>
      <c r="AL30" s="203">
        <f t="shared" ref="AL30:AL33" si="62">SUM(AJ30)</f>
        <v>198</v>
      </c>
      <c r="AM30" s="203">
        <f t="shared" si="15"/>
        <v>1980</v>
      </c>
      <c r="AN30" s="35">
        <f t="shared" ref="AN30:AN33" si="63">SUM(AO30/19600)</f>
        <v>0.70714285714285718</v>
      </c>
      <c r="AO30" s="36">
        <f t="shared" ref="AO30:AO33" si="64">SUM(AA30+AC30+AE30+AG30+AI30+AK30+AM30)</f>
        <v>13860</v>
      </c>
      <c r="AQ30" s="223">
        <f t="shared" si="37"/>
        <v>0.63786236975507182</v>
      </c>
      <c r="AR30" s="38">
        <f t="shared" si="38"/>
        <v>59302.064516129023</v>
      </c>
      <c r="AS30" s="197">
        <f t="shared" si="39"/>
        <v>0</v>
      </c>
      <c r="AT30" s="355"/>
      <c r="AU30" s="593"/>
      <c r="AV30" s="515">
        <f t="shared" si="43"/>
        <v>0</v>
      </c>
      <c r="AW30" s="290">
        <f>-SUM('B5'!AI29)</f>
        <v>0</v>
      </c>
      <c r="AX30" s="290">
        <f>-SUM(AW30-AS30)</f>
        <v>0</v>
      </c>
      <c r="AY30" s="37">
        <f t="shared" si="41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192</v>
      </c>
      <c r="C31" s="203">
        <f t="shared" si="18"/>
        <v>4131.0967741935483</v>
      </c>
      <c r="D31">
        <f t="shared" si="45"/>
        <v>192</v>
      </c>
      <c r="E31" s="203">
        <f t="shared" si="18"/>
        <v>4131.0967741935483</v>
      </c>
      <c r="F31">
        <f t="shared" si="46"/>
        <v>192</v>
      </c>
      <c r="G31" s="203">
        <f t="shared" si="1"/>
        <v>4131.0967741935483</v>
      </c>
      <c r="H31" s="203">
        <f t="shared" si="47"/>
        <v>192</v>
      </c>
      <c r="I31" s="203">
        <f t="shared" si="2"/>
        <v>4131.0967741935483</v>
      </c>
      <c r="J31" s="203">
        <f t="shared" si="48"/>
        <v>192</v>
      </c>
      <c r="K31" s="203">
        <f t="shared" si="3"/>
        <v>4131.0967741935483</v>
      </c>
      <c r="L31" s="203">
        <f t="shared" si="49"/>
        <v>192</v>
      </c>
      <c r="M31" s="203">
        <f t="shared" si="4"/>
        <v>4131.0967741935483</v>
      </c>
      <c r="N31" s="203">
        <f t="shared" si="50"/>
        <v>192</v>
      </c>
      <c r="O31" s="203">
        <f t="shared" si="5"/>
        <v>4131.0967741935483</v>
      </c>
      <c r="P31" s="203">
        <f t="shared" si="51"/>
        <v>192</v>
      </c>
      <c r="Q31" s="203">
        <f t="shared" si="6"/>
        <v>4131.0967741935483</v>
      </c>
      <c r="R31" s="203">
        <f t="shared" si="52"/>
        <v>192</v>
      </c>
      <c r="S31" s="203">
        <f t="shared" si="7"/>
        <v>4131.0967741935483</v>
      </c>
      <c r="T31" s="203">
        <f t="shared" si="53"/>
        <v>192</v>
      </c>
      <c r="U31" s="203">
        <f t="shared" si="8"/>
        <v>4131.0967741935483</v>
      </c>
      <c r="V31" s="203">
        <f t="shared" si="54"/>
        <v>192</v>
      </c>
      <c r="W31" s="203">
        <f t="shared" si="9"/>
        <v>4131.0967741935483</v>
      </c>
      <c r="X31" s="35">
        <f t="shared" si="55"/>
        <v>0.61935483870967734</v>
      </c>
      <c r="Y31" s="36">
        <f t="shared" si="56"/>
        <v>45442.064516129023</v>
      </c>
      <c r="Z31" s="203">
        <f>'B5'!C30</f>
        <v>198</v>
      </c>
      <c r="AA31" s="203">
        <f t="shared" si="30"/>
        <v>1980</v>
      </c>
      <c r="AB31" s="203">
        <f t="shared" si="57"/>
        <v>198</v>
      </c>
      <c r="AC31" s="203">
        <f t="shared" si="30"/>
        <v>1980</v>
      </c>
      <c r="AD31" s="203">
        <f t="shared" si="58"/>
        <v>198</v>
      </c>
      <c r="AE31" s="203">
        <f t="shared" si="11"/>
        <v>1980</v>
      </c>
      <c r="AF31" s="203">
        <f t="shared" si="59"/>
        <v>198</v>
      </c>
      <c r="AG31" s="203">
        <f t="shared" si="12"/>
        <v>1980</v>
      </c>
      <c r="AH31" s="203">
        <f t="shared" si="60"/>
        <v>198</v>
      </c>
      <c r="AI31" s="203">
        <f t="shared" si="13"/>
        <v>1980</v>
      </c>
      <c r="AJ31" s="203">
        <f t="shared" si="61"/>
        <v>198</v>
      </c>
      <c r="AK31" s="203">
        <f t="shared" si="14"/>
        <v>1980</v>
      </c>
      <c r="AL31" s="203">
        <f t="shared" si="62"/>
        <v>198</v>
      </c>
      <c r="AM31" s="203">
        <f t="shared" si="15"/>
        <v>1980</v>
      </c>
      <c r="AN31" s="35">
        <f t="shared" si="63"/>
        <v>0.70714285714285718</v>
      </c>
      <c r="AO31" s="36">
        <f t="shared" si="64"/>
        <v>13860</v>
      </c>
      <c r="AQ31" s="223">
        <f t="shared" si="37"/>
        <v>0.63786236975507182</v>
      </c>
      <c r="AR31" s="38">
        <f t="shared" si="38"/>
        <v>59302.064516129023</v>
      </c>
      <c r="AS31" s="197">
        <f t="shared" si="39"/>
        <v>0</v>
      </c>
      <c r="AT31" s="355"/>
      <c r="AU31" s="593"/>
      <c r="AV31" s="515">
        <f t="shared" si="43"/>
        <v>0</v>
      </c>
      <c r="AW31" s="290">
        <f>-SUM('B5'!AI30)</f>
        <v>0</v>
      </c>
      <c r="AX31" s="290">
        <f t="shared" si="40"/>
        <v>0</v>
      </c>
      <c r="AY31" s="37">
        <f t="shared" si="41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192</v>
      </c>
      <c r="C32" s="203">
        <f t="shared" si="18"/>
        <v>4131.0967741935483</v>
      </c>
      <c r="D32">
        <f t="shared" si="45"/>
        <v>192</v>
      </c>
      <c r="E32" s="203">
        <f t="shared" si="18"/>
        <v>4131.0967741935483</v>
      </c>
      <c r="F32">
        <f t="shared" si="46"/>
        <v>192</v>
      </c>
      <c r="G32" s="203">
        <f t="shared" si="1"/>
        <v>4131.0967741935483</v>
      </c>
      <c r="H32" s="203">
        <f t="shared" si="47"/>
        <v>192</v>
      </c>
      <c r="I32" s="203">
        <f t="shared" si="2"/>
        <v>4131.0967741935483</v>
      </c>
      <c r="J32" s="203">
        <f t="shared" si="48"/>
        <v>192</v>
      </c>
      <c r="K32" s="203">
        <f t="shared" si="3"/>
        <v>4131.0967741935483</v>
      </c>
      <c r="L32" s="203">
        <f t="shared" si="49"/>
        <v>192</v>
      </c>
      <c r="M32" s="203">
        <f t="shared" si="4"/>
        <v>4131.0967741935483</v>
      </c>
      <c r="N32" s="203">
        <f t="shared" si="50"/>
        <v>192</v>
      </c>
      <c r="O32" s="203">
        <f t="shared" si="5"/>
        <v>4131.0967741935483</v>
      </c>
      <c r="P32" s="203">
        <f t="shared" si="51"/>
        <v>192</v>
      </c>
      <c r="Q32" s="203">
        <f t="shared" si="6"/>
        <v>4131.0967741935483</v>
      </c>
      <c r="R32" s="203">
        <f t="shared" si="52"/>
        <v>192</v>
      </c>
      <c r="S32" s="203">
        <f t="shared" si="7"/>
        <v>4131.0967741935483</v>
      </c>
      <c r="T32" s="203">
        <f t="shared" si="53"/>
        <v>192</v>
      </c>
      <c r="U32" s="203">
        <f t="shared" si="8"/>
        <v>4131.0967741935483</v>
      </c>
      <c r="V32" s="203">
        <f t="shared" si="54"/>
        <v>192</v>
      </c>
      <c r="W32" s="203">
        <f t="shared" si="9"/>
        <v>4131.0967741935483</v>
      </c>
      <c r="X32" s="35">
        <f t="shared" si="55"/>
        <v>0.61935483870967734</v>
      </c>
      <c r="Y32" s="36">
        <f t="shared" si="56"/>
        <v>45442.064516129023</v>
      </c>
      <c r="Z32" s="203">
        <f>'B5'!C31</f>
        <v>198</v>
      </c>
      <c r="AA32" s="203">
        <f t="shared" si="30"/>
        <v>1980</v>
      </c>
      <c r="AB32" s="203">
        <f t="shared" si="57"/>
        <v>198</v>
      </c>
      <c r="AC32" s="203">
        <f t="shared" si="30"/>
        <v>1980</v>
      </c>
      <c r="AD32" s="203">
        <f t="shared" si="58"/>
        <v>198</v>
      </c>
      <c r="AE32" s="203">
        <f t="shared" si="11"/>
        <v>1980</v>
      </c>
      <c r="AF32" s="203">
        <f t="shared" si="59"/>
        <v>198</v>
      </c>
      <c r="AG32" s="203">
        <f t="shared" si="12"/>
        <v>1980</v>
      </c>
      <c r="AH32" s="203">
        <f t="shared" si="60"/>
        <v>198</v>
      </c>
      <c r="AI32" s="203">
        <f t="shared" si="13"/>
        <v>1980</v>
      </c>
      <c r="AJ32" s="203">
        <f t="shared" si="61"/>
        <v>198</v>
      </c>
      <c r="AK32" s="203">
        <f t="shared" si="14"/>
        <v>1980</v>
      </c>
      <c r="AL32" s="203">
        <f t="shared" si="62"/>
        <v>198</v>
      </c>
      <c r="AM32" s="203">
        <f t="shared" si="15"/>
        <v>1980</v>
      </c>
      <c r="AN32" s="35">
        <f t="shared" si="63"/>
        <v>0.70714285714285718</v>
      </c>
      <c r="AO32" s="36">
        <f t="shared" si="64"/>
        <v>13860</v>
      </c>
      <c r="AQ32" s="223">
        <f t="shared" si="37"/>
        <v>0.63786236975507182</v>
      </c>
      <c r="AR32" s="38">
        <f t="shared" si="38"/>
        <v>59302.064516129023</v>
      </c>
      <c r="AS32" s="197">
        <f t="shared" si="39"/>
        <v>0</v>
      </c>
      <c r="AT32" s="355"/>
      <c r="AU32" s="593"/>
      <c r="AV32" s="515">
        <f>IF(AT32&gt;0,AU32,AV31)</f>
        <v>0</v>
      </c>
      <c r="AW32" s="290">
        <f>-SUM('B5'!AI31)</f>
        <v>0</v>
      </c>
      <c r="AX32" s="290">
        <f t="shared" si="40"/>
        <v>0</v>
      </c>
      <c r="AY32" s="37">
        <f t="shared" si="41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192</v>
      </c>
      <c r="C33" s="203">
        <f t="shared" si="18"/>
        <v>4131.0967741935483</v>
      </c>
      <c r="D33">
        <f t="shared" si="45"/>
        <v>192</v>
      </c>
      <c r="E33" s="203">
        <f t="shared" si="18"/>
        <v>4131.0967741935483</v>
      </c>
      <c r="F33">
        <f t="shared" si="46"/>
        <v>192</v>
      </c>
      <c r="G33" s="203">
        <f t="shared" si="1"/>
        <v>4131.0967741935483</v>
      </c>
      <c r="H33" s="203">
        <f t="shared" si="47"/>
        <v>192</v>
      </c>
      <c r="I33" s="203">
        <f t="shared" si="2"/>
        <v>4131.0967741935483</v>
      </c>
      <c r="J33" s="203">
        <f t="shared" si="48"/>
        <v>192</v>
      </c>
      <c r="K33" s="203">
        <f t="shared" si="3"/>
        <v>4131.0967741935483</v>
      </c>
      <c r="L33" s="203">
        <f t="shared" si="49"/>
        <v>192</v>
      </c>
      <c r="M33" s="203">
        <f t="shared" si="4"/>
        <v>4131.0967741935483</v>
      </c>
      <c r="N33" s="203">
        <f t="shared" si="50"/>
        <v>192</v>
      </c>
      <c r="O33" s="203">
        <f t="shared" si="5"/>
        <v>4131.0967741935483</v>
      </c>
      <c r="P33" s="203">
        <f t="shared" si="51"/>
        <v>192</v>
      </c>
      <c r="Q33" s="203">
        <f t="shared" si="6"/>
        <v>4131.0967741935483</v>
      </c>
      <c r="R33" s="203">
        <f t="shared" si="52"/>
        <v>192</v>
      </c>
      <c r="S33" s="203">
        <f t="shared" si="7"/>
        <v>4131.0967741935483</v>
      </c>
      <c r="T33" s="203">
        <f t="shared" si="53"/>
        <v>192</v>
      </c>
      <c r="U33" s="203">
        <f t="shared" si="8"/>
        <v>4131.0967741935483</v>
      </c>
      <c r="V33" s="203">
        <f t="shared" si="54"/>
        <v>192</v>
      </c>
      <c r="W33" s="203">
        <f t="shared" si="9"/>
        <v>4131.0967741935483</v>
      </c>
      <c r="X33" s="35">
        <f t="shared" si="55"/>
        <v>0.61935483870967734</v>
      </c>
      <c r="Y33" s="36">
        <f t="shared" si="56"/>
        <v>45442.064516129023</v>
      </c>
      <c r="Z33" s="203">
        <f>'B5'!C32</f>
        <v>198</v>
      </c>
      <c r="AA33" s="203">
        <f t="shared" si="30"/>
        <v>1980</v>
      </c>
      <c r="AB33" s="203">
        <f t="shared" si="57"/>
        <v>198</v>
      </c>
      <c r="AC33" s="203">
        <f t="shared" si="30"/>
        <v>1980</v>
      </c>
      <c r="AD33" s="203">
        <f t="shared" si="58"/>
        <v>198</v>
      </c>
      <c r="AE33" s="203">
        <f t="shared" si="11"/>
        <v>1980</v>
      </c>
      <c r="AF33" s="203">
        <f t="shared" si="59"/>
        <v>198</v>
      </c>
      <c r="AG33" s="203">
        <f t="shared" si="12"/>
        <v>1980</v>
      </c>
      <c r="AH33" s="203">
        <f t="shared" si="60"/>
        <v>198</v>
      </c>
      <c r="AI33" s="203">
        <f t="shared" si="13"/>
        <v>1980</v>
      </c>
      <c r="AJ33" s="203">
        <f t="shared" si="61"/>
        <v>198</v>
      </c>
      <c r="AK33" s="203">
        <f t="shared" si="14"/>
        <v>1980</v>
      </c>
      <c r="AL33" s="203">
        <f t="shared" si="62"/>
        <v>198</v>
      </c>
      <c r="AM33" s="203">
        <f t="shared" si="15"/>
        <v>1980</v>
      </c>
      <c r="AN33" s="35">
        <f t="shared" si="63"/>
        <v>0.70714285714285718</v>
      </c>
      <c r="AO33" s="36">
        <f t="shared" si="64"/>
        <v>13860</v>
      </c>
      <c r="AQ33" s="223">
        <f t="shared" si="37"/>
        <v>0.63786236975507182</v>
      </c>
      <c r="AR33" s="38">
        <f t="shared" si="38"/>
        <v>59302.064516129023</v>
      </c>
      <c r="AS33" s="197">
        <f t="shared" si="39"/>
        <v>0</v>
      </c>
      <c r="AT33" s="355"/>
      <c r="AU33" s="593"/>
      <c r="AV33" s="515">
        <f>IF(AT33&gt;0,AU33,AV32)</f>
        <v>0</v>
      </c>
      <c r="AW33" s="290">
        <f>-SUM('B5'!AI32)</f>
        <v>0</v>
      </c>
      <c r="AX33" s="290">
        <f t="shared" si="40"/>
        <v>0</v>
      </c>
      <c r="AY33" s="37">
        <f t="shared" si="41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192</v>
      </c>
      <c r="C34" s="203">
        <f t="shared" ref="C34:C35" si="65">B34*$B$4</f>
        <v>4131.0967741935483</v>
      </c>
      <c r="D34">
        <f t="shared" ref="D34:D35" si="66">SUM(B34)</f>
        <v>192</v>
      </c>
      <c r="E34" s="203">
        <f t="shared" ref="E34:E35" si="67">D34*$B$4</f>
        <v>4131.0967741935483</v>
      </c>
      <c r="F34">
        <f t="shared" ref="F34:F35" si="68">SUM(D34)</f>
        <v>192</v>
      </c>
      <c r="G34" s="203">
        <f t="shared" ref="G34:G35" si="69">F34*$B$4</f>
        <v>4131.0967741935483</v>
      </c>
      <c r="H34" s="203">
        <f t="shared" ref="H34:H35" si="70">SUM(F34)</f>
        <v>192</v>
      </c>
      <c r="I34" s="203">
        <f t="shared" ref="I34:I35" si="71">H34*$B$4</f>
        <v>4131.0967741935483</v>
      </c>
      <c r="J34" s="203">
        <f t="shared" ref="J34:J35" si="72">SUM(H34)</f>
        <v>192</v>
      </c>
      <c r="K34" s="203">
        <f t="shared" ref="K34:K35" si="73">J34*$B$4</f>
        <v>4131.0967741935483</v>
      </c>
      <c r="L34" s="203">
        <f t="shared" ref="L34:L35" si="74">SUM(J34)</f>
        <v>192</v>
      </c>
      <c r="M34" s="203">
        <f t="shared" ref="M34:M35" si="75">L34*$B$4</f>
        <v>4131.0967741935483</v>
      </c>
      <c r="N34" s="203">
        <f t="shared" ref="N34:N35" si="76">SUM(L34)</f>
        <v>192</v>
      </c>
      <c r="O34" s="203">
        <f t="shared" ref="O34:O35" si="77">N34*$B$4</f>
        <v>4131.0967741935483</v>
      </c>
      <c r="P34" s="203">
        <f t="shared" ref="P34:P35" si="78">SUM(N34)</f>
        <v>192</v>
      </c>
      <c r="Q34" s="203">
        <f t="shared" ref="Q34:Q35" si="79">P34*$B$4</f>
        <v>4131.0967741935483</v>
      </c>
      <c r="R34" s="203">
        <f t="shared" ref="R34:R35" si="80">SUM(P34)</f>
        <v>192</v>
      </c>
      <c r="S34" s="203">
        <f t="shared" ref="S34:S35" si="81">R34*$B$4</f>
        <v>4131.0967741935483</v>
      </c>
      <c r="T34" s="203">
        <f t="shared" ref="T34:T35" si="82">SUM(R34)</f>
        <v>192</v>
      </c>
      <c r="U34" s="203">
        <f t="shared" ref="U34:U35" si="83">T34*$B$4</f>
        <v>4131.0967741935483</v>
      </c>
      <c r="V34" s="203">
        <f t="shared" ref="V34:V35" si="84">SUM(T34)</f>
        <v>192</v>
      </c>
      <c r="W34" s="203">
        <f t="shared" ref="W34:W35" si="85">V34*$B$4</f>
        <v>4131.0967741935483</v>
      </c>
      <c r="X34" s="35">
        <f t="shared" ref="X34:X35" si="86">SUM(Y34/73370)</f>
        <v>0.61935483870967734</v>
      </c>
      <c r="Y34" s="36">
        <f t="shared" ref="Y34:Y35" si="87">SUM(C34+E34+G34+I34+K34+M34+O34+Q34+S34+U34+W34)</f>
        <v>45442.064516129023</v>
      </c>
      <c r="Z34" s="203">
        <f>'B5'!C33</f>
        <v>198</v>
      </c>
      <c r="AA34" s="203">
        <f t="shared" ref="AA34:AA35" si="88">SUM(Z34*$Z$4)</f>
        <v>1980</v>
      </c>
      <c r="AB34" s="203">
        <f t="shared" ref="AB34:AB35" si="89">SUM(Z34)</f>
        <v>198</v>
      </c>
      <c r="AC34" s="203">
        <f t="shared" ref="AC34:AC35" si="90">SUM(AB34*$Z$4)</f>
        <v>1980</v>
      </c>
      <c r="AD34" s="203">
        <f t="shared" ref="AD34:AD35" si="91">SUM(AB34)</f>
        <v>198</v>
      </c>
      <c r="AE34" s="203">
        <f t="shared" ref="AE34:AE35" si="92">SUM(AD34*$Z$4)</f>
        <v>1980</v>
      </c>
      <c r="AF34" s="203">
        <f t="shared" ref="AF34:AF35" si="93">SUM(AD34)</f>
        <v>198</v>
      </c>
      <c r="AG34" s="203">
        <f t="shared" ref="AG34:AG35" si="94">SUM(AF34*$Z$4)</f>
        <v>1980</v>
      </c>
      <c r="AH34" s="203">
        <f t="shared" ref="AH34:AH35" si="95">SUM(AF34)</f>
        <v>198</v>
      </c>
      <c r="AI34" s="203">
        <f t="shared" ref="AI34:AI35" si="96">SUM(AH34*$Z$4)</f>
        <v>1980</v>
      </c>
      <c r="AJ34" s="203">
        <f t="shared" ref="AJ34:AJ35" si="97">SUM(AH34)</f>
        <v>198</v>
      </c>
      <c r="AK34" s="203">
        <f t="shared" ref="AK34:AK35" si="98">SUM(AJ34*$Z$4)</f>
        <v>1980</v>
      </c>
      <c r="AL34" s="203">
        <f t="shared" ref="AL34:AL35" si="99">SUM(AJ34)</f>
        <v>198</v>
      </c>
      <c r="AM34" s="203">
        <f t="shared" ref="AM34:AM35" si="100">SUM(AL34*$Z$4)</f>
        <v>1980</v>
      </c>
      <c r="AN34" s="35">
        <f t="shared" ref="AN34:AN35" si="101">SUM(AO34/19600)</f>
        <v>0.70714285714285718</v>
      </c>
      <c r="AO34" s="36">
        <f t="shared" ref="AO34:AO35" si="102">SUM(AA34+AC34+AE34+AG34+AI34+AK34+AM34)</f>
        <v>13860</v>
      </c>
      <c r="AQ34" s="223">
        <f t="shared" ref="AQ34:AQ35" si="103">SUM(AR34/92970)</f>
        <v>0.63786236975507182</v>
      </c>
      <c r="AR34" s="38">
        <f t="shared" si="38"/>
        <v>59302.064516129023</v>
      </c>
      <c r="AS34" s="197">
        <f t="shared" si="39"/>
        <v>0</v>
      </c>
      <c r="AT34" s="355"/>
      <c r="AU34" s="593"/>
      <c r="AV34" s="515">
        <f t="shared" ref="AV34:AV35" si="104">IF(AT34&gt;0,AU34,AV33)</f>
        <v>0</v>
      </c>
      <c r="AW34" s="290">
        <f>-SUM('B5'!AI33)</f>
        <v>0</v>
      </c>
      <c r="AX34" s="290">
        <f t="shared" ref="AX34:AX35" si="105">-SUM(AW34-AS34)</f>
        <v>0</v>
      </c>
      <c r="AY34" s="37">
        <f t="shared" ref="AY34:AY35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192</v>
      </c>
      <c r="C35" s="203">
        <f t="shared" si="65"/>
        <v>4131.0967741935483</v>
      </c>
      <c r="D35">
        <f t="shared" si="66"/>
        <v>192</v>
      </c>
      <c r="E35" s="203">
        <f t="shared" si="67"/>
        <v>4131.0967741935483</v>
      </c>
      <c r="F35">
        <f t="shared" si="68"/>
        <v>192</v>
      </c>
      <c r="G35" s="203">
        <f t="shared" si="69"/>
        <v>4131.0967741935483</v>
      </c>
      <c r="H35" s="203">
        <f t="shared" si="70"/>
        <v>192</v>
      </c>
      <c r="I35" s="203">
        <f t="shared" si="71"/>
        <v>4131.0967741935483</v>
      </c>
      <c r="J35" s="203">
        <f t="shared" si="72"/>
        <v>192</v>
      </c>
      <c r="K35" s="203">
        <f t="shared" si="73"/>
        <v>4131.0967741935483</v>
      </c>
      <c r="L35" s="203">
        <f t="shared" si="74"/>
        <v>192</v>
      </c>
      <c r="M35" s="203">
        <f t="shared" si="75"/>
        <v>4131.0967741935483</v>
      </c>
      <c r="N35" s="203">
        <f t="shared" si="76"/>
        <v>192</v>
      </c>
      <c r="O35" s="203">
        <f t="shared" si="77"/>
        <v>4131.0967741935483</v>
      </c>
      <c r="P35" s="203">
        <f t="shared" si="78"/>
        <v>192</v>
      </c>
      <c r="Q35" s="203">
        <f t="shared" si="79"/>
        <v>4131.0967741935483</v>
      </c>
      <c r="R35" s="203">
        <f t="shared" si="80"/>
        <v>192</v>
      </c>
      <c r="S35" s="203">
        <f t="shared" si="81"/>
        <v>4131.0967741935483</v>
      </c>
      <c r="T35" s="203">
        <f t="shared" si="82"/>
        <v>192</v>
      </c>
      <c r="U35" s="203">
        <f t="shared" si="83"/>
        <v>4131.0967741935483</v>
      </c>
      <c r="V35" s="203">
        <f t="shared" si="84"/>
        <v>192</v>
      </c>
      <c r="W35" s="203">
        <f t="shared" si="85"/>
        <v>4131.0967741935483</v>
      </c>
      <c r="X35" s="35">
        <f t="shared" si="86"/>
        <v>0.61935483870967734</v>
      </c>
      <c r="Y35" s="36">
        <f t="shared" si="87"/>
        <v>45442.064516129023</v>
      </c>
      <c r="Z35" s="203">
        <f>'B5'!C34</f>
        <v>198</v>
      </c>
      <c r="AA35" s="203">
        <f t="shared" si="88"/>
        <v>1980</v>
      </c>
      <c r="AB35" s="203">
        <f t="shared" si="89"/>
        <v>198</v>
      </c>
      <c r="AC35" s="203">
        <f t="shared" si="90"/>
        <v>1980</v>
      </c>
      <c r="AD35" s="203">
        <f t="shared" si="91"/>
        <v>198</v>
      </c>
      <c r="AE35" s="203">
        <f t="shared" si="92"/>
        <v>1980</v>
      </c>
      <c r="AF35" s="203">
        <f t="shared" si="93"/>
        <v>198</v>
      </c>
      <c r="AG35" s="203">
        <f t="shared" si="94"/>
        <v>1980</v>
      </c>
      <c r="AH35" s="203">
        <f t="shared" si="95"/>
        <v>198</v>
      </c>
      <c r="AI35" s="203">
        <f t="shared" si="96"/>
        <v>1980</v>
      </c>
      <c r="AJ35" s="203">
        <f t="shared" si="97"/>
        <v>198</v>
      </c>
      <c r="AK35" s="203">
        <f t="shared" si="98"/>
        <v>1980</v>
      </c>
      <c r="AL35" s="203">
        <f t="shared" si="99"/>
        <v>198</v>
      </c>
      <c r="AM35" s="203">
        <f t="shared" si="100"/>
        <v>1980</v>
      </c>
      <c r="AN35" s="35">
        <f t="shared" si="101"/>
        <v>0.70714285714285718</v>
      </c>
      <c r="AO35" s="36">
        <f t="shared" si="102"/>
        <v>13860</v>
      </c>
      <c r="AQ35" s="223">
        <f t="shared" si="103"/>
        <v>0.63786236975507182</v>
      </c>
      <c r="AR35" s="38">
        <f t="shared" si="38"/>
        <v>59302.064516129023</v>
      </c>
      <c r="AS35" s="197">
        <f t="shared" si="39"/>
        <v>0</v>
      </c>
      <c r="AT35" s="355"/>
      <c r="AU35" s="593"/>
      <c r="AV35" s="587">
        <f t="shared" si="104"/>
        <v>0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192</v>
      </c>
      <c r="C36" s="203">
        <f t="shared" ref="C36" si="107">B36*$B$4</f>
        <v>4131.0967741935483</v>
      </c>
      <c r="D36">
        <f t="shared" ref="D36" si="108">SUM(B36)</f>
        <v>192</v>
      </c>
      <c r="E36" s="203">
        <f t="shared" ref="E36" si="109">D36*$B$4</f>
        <v>4131.0967741935483</v>
      </c>
      <c r="F36">
        <f t="shared" ref="F36" si="110">SUM(D36)</f>
        <v>192</v>
      </c>
      <c r="G36" s="203">
        <f t="shared" ref="G36" si="111">F36*$B$4</f>
        <v>4131.0967741935483</v>
      </c>
      <c r="H36" s="203">
        <f t="shared" ref="H36" si="112">SUM(F36)</f>
        <v>192</v>
      </c>
      <c r="I36" s="203">
        <f t="shared" ref="I36" si="113">H36*$B$4</f>
        <v>4131.0967741935483</v>
      </c>
      <c r="J36" s="203">
        <f t="shared" ref="J36" si="114">SUM(H36)</f>
        <v>192</v>
      </c>
      <c r="K36" s="203">
        <f t="shared" ref="K36" si="115">J36*$B$4</f>
        <v>4131.0967741935483</v>
      </c>
      <c r="L36" s="203">
        <f t="shared" ref="L36" si="116">SUM(J36)</f>
        <v>192</v>
      </c>
      <c r="M36" s="203">
        <f t="shared" ref="M36" si="117">L36*$B$4</f>
        <v>4131.0967741935483</v>
      </c>
      <c r="N36" s="203">
        <f t="shared" ref="N36" si="118">SUM(L36)</f>
        <v>192</v>
      </c>
      <c r="O36" s="203">
        <f t="shared" ref="O36" si="119">N36*$B$4</f>
        <v>4131.0967741935483</v>
      </c>
      <c r="P36" s="203">
        <f t="shared" ref="P36" si="120">SUM(N36)</f>
        <v>192</v>
      </c>
      <c r="Q36" s="203">
        <f t="shared" ref="Q36" si="121">P36*$B$4</f>
        <v>4131.0967741935483</v>
      </c>
      <c r="R36" s="203">
        <f t="shared" ref="R36" si="122">SUM(P36)</f>
        <v>192</v>
      </c>
      <c r="S36" s="203">
        <f t="shared" ref="S36" si="123">R36*$B$4</f>
        <v>4131.0967741935483</v>
      </c>
      <c r="T36" s="203">
        <f t="shared" ref="T36" si="124">SUM(R36)</f>
        <v>192</v>
      </c>
      <c r="U36" s="203">
        <f t="shared" ref="U36" si="125">T36*$B$4</f>
        <v>4131.0967741935483</v>
      </c>
      <c r="V36" s="203">
        <f t="shared" ref="V36" si="126">SUM(T36)</f>
        <v>192</v>
      </c>
      <c r="W36" s="203">
        <f t="shared" ref="W36" si="127">V36*$B$4</f>
        <v>4131.0967741935483</v>
      </c>
      <c r="X36" s="35">
        <f t="shared" ref="X36" si="128">SUM(Y36/73370)</f>
        <v>0.61935483870967734</v>
      </c>
      <c r="Y36" s="36">
        <f t="shared" ref="Y36" si="129">SUM(C36+E36+G36+I36+K36+M36+O36+Q36+S36+U36+W36)</f>
        <v>45442.064516129023</v>
      </c>
      <c r="Z36" s="203">
        <f>'B5'!C35</f>
        <v>198</v>
      </c>
      <c r="AA36" s="203">
        <f t="shared" ref="AA36" si="130">SUM(Z36*$Z$4)</f>
        <v>1980</v>
      </c>
      <c r="AB36" s="203">
        <f t="shared" ref="AB36" si="131">SUM(Z36)</f>
        <v>198</v>
      </c>
      <c r="AC36" s="203">
        <f t="shared" ref="AC36" si="132">SUM(AB36*$Z$4)</f>
        <v>1980</v>
      </c>
      <c r="AD36" s="203">
        <f t="shared" ref="AD36" si="133">SUM(AB36)</f>
        <v>198</v>
      </c>
      <c r="AE36" s="203">
        <f t="shared" ref="AE36" si="134">SUM(AD36*$Z$4)</f>
        <v>1980</v>
      </c>
      <c r="AF36" s="203">
        <f t="shared" ref="AF36" si="135">SUM(AD36)</f>
        <v>198</v>
      </c>
      <c r="AG36" s="203">
        <f t="shared" ref="AG36" si="136">SUM(AF36*$Z$4)</f>
        <v>1980</v>
      </c>
      <c r="AH36" s="203">
        <f t="shared" ref="AH36" si="137">SUM(AF36)</f>
        <v>198</v>
      </c>
      <c r="AI36" s="203">
        <f t="shared" ref="AI36" si="138">SUM(AH36*$Z$4)</f>
        <v>1980</v>
      </c>
      <c r="AJ36" s="203">
        <f t="shared" ref="AJ36" si="139">SUM(AH36)</f>
        <v>198</v>
      </c>
      <c r="AK36" s="203">
        <f t="shared" ref="AK36" si="140">SUM(AJ36*$Z$4)</f>
        <v>1980</v>
      </c>
      <c r="AL36" s="203">
        <f t="shared" ref="AL36" si="141">SUM(AJ36)</f>
        <v>198</v>
      </c>
      <c r="AM36" s="203">
        <f t="shared" ref="AM36" si="142">SUM(AL36*$Z$4)</f>
        <v>1980</v>
      </c>
      <c r="AN36" s="35">
        <f t="shared" ref="AN36" si="143">SUM(AO36/19600)</f>
        <v>0.70714285714285718</v>
      </c>
      <c r="AO36" s="36">
        <f t="shared" ref="AO36" si="144">SUM(AA36+AC36+AE36+AG36+AI36+AK36+AM36)</f>
        <v>13860</v>
      </c>
      <c r="AQ36" s="223">
        <f t="shared" ref="AQ36" si="145">SUM(AR36/92970)</f>
        <v>0.63786236975507182</v>
      </c>
      <c r="AR36" s="38">
        <f t="shared" si="38"/>
        <v>59302.064516129023</v>
      </c>
      <c r="AS36" s="197">
        <f t="shared" si="39"/>
        <v>0</v>
      </c>
      <c r="AT36" s="355"/>
      <c r="AU36" s="593"/>
      <c r="AV36" s="587">
        <f t="shared" ref="AV36" si="146">IF(AT36&gt;0,AU36,AV35)</f>
        <v>0</v>
      </c>
      <c r="AW36" s="290">
        <f>-SUM('B5'!AI35)</f>
        <v>0</v>
      </c>
      <c r="AX36" s="290">
        <f t="shared" ref="AX36" si="147">-SUM(AW36-AS36)</f>
        <v>0</v>
      </c>
      <c r="AY36" s="37">
        <f t="shared" ref="AY36" si="148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COUNT(AT6:AT36)</f>
        <v>1</v>
      </c>
      <c r="AT37" s="203">
        <f>SUM(AT6:AT36)</f>
        <v>1</v>
      </c>
      <c r="AU37" s="82">
        <f>SUM(AU6:AU36)/AS37</f>
        <v>0</v>
      </c>
      <c r="AX37" s="203">
        <f>SUM(AX6:AX36)</f>
        <v>-13077.838709677417</v>
      </c>
      <c r="AY37" s="203">
        <f>SUM(AY6:AY36)</f>
        <v>-14414.838709677417</v>
      </c>
    </row>
    <row r="38" spans="1:60">
      <c r="AS38" s="206"/>
      <c r="AT38" s="82">
        <f>+AT37*AU37</f>
        <v>0</v>
      </c>
    </row>
    <row r="40" spans="1:60">
      <c r="AS40" s="165">
        <f>SUM(AS6:AS36)/'EDl log'!A35</f>
        <v>-1601.648745519713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-0.30196584335074506</v>
      </c>
    </row>
  </sheetData>
  <mergeCells count="3">
    <mergeCell ref="AT3:AU3"/>
    <mergeCell ref="AS3:AS4"/>
    <mergeCell ref="AR3:AR4"/>
  </mergeCells>
  <conditionalFormatting sqref="AW6:AX36">
    <cfRule type="cellIs" dxfId="5" priority="5" stopIfTrue="1" operator="greaterThan">
      <formula>0</formula>
    </cfRule>
  </conditionalFormatting>
  <conditionalFormatting sqref="AT6:AU36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5</v>
      </c>
      <c r="B5" s="3">
        <f>ELEC!AF6</f>
        <v>1269</v>
      </c>
      <c r="C5" s="3">
        <f>ELEC!N6</f>
        <v>8383</v>
      </c>
      <c r="D5" s="3">
        <f t="shared" si="0"/>
        <v>4171.9999999970314</v>
      </c>
      <c r="E5" s="3">
        <f>ELEC!Q6</f>
        <v>4211.0000000029686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-232.60000000000005</v>
      </c>
      <c r="J5" s="9">
        <f>'B5'!A7</f>
        <v>44319</v>
      </c>
    </row>
    <row r="6" spans="1:10">
      <c r="A6" s="3">
        <f>ELEC!T7+ELEC!X7+ELEC!AB7</f>
        <v>9</v>
      </c>
      <c r="B6" s="3">
        <f>ELEC!AF7</f>
        <v>1788</v>
      </c>
      <c r="C6" s="3">
        <f>ELEC!N7</f>
        <v>4768</v>
      </c>
      <c r="D6" s="3">
        <f t="shared" si="0"/>
        <v>4768</v>
      </c>
      <c r="E6" s="3">
        <f>ELEC!Q24</f>
        <v>0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71.599999999999966</v>
      </c>
      <c r="J6" s="9">
        <f>'B5'!A8</f>
        <v>44320</v>
      </c>
    </row>
    <row r="7" spans="1:10">
      <c r="A7" s="3">
        <f>ELEC!T8+ELEC!X8+ELEC!AB8</f>
        <v>4</v>
      </c>
      <c r="B7" s="3">
        <f>ELEC!AF8</f>
        <v>926</v>
      </c>
      <c r="C7" s="3">
        <f>ELEC!N8</f>
        <v>3912</v>
      </c>
      <c r="D7" s="3">
        <f t="shared" si="0"/>
        <v>430.0000000000291</v>
      </c>
      <c r="E7" s="3">
        <f>ELEC!Q8</f>
        <v>3481.9999999999709</v>
      </c>
      <c r="F7" s="3">
        <f>GEN!Z7</f>
        <v>9</v>
      </c>
      <c r="G7" s="3">
        <f>WATER!C10+WATER!H10</f>
        <v>295</v>
      </c>
      <c r="H7" s="3">
        <f>WATER!L10</f>
        <v>0</v>
      </c>
      <c r="I7" s="15">
        <f>WATER!BC10+WATER!BD10+WATER!BE11-Sheet1!G7</f>
        <v>-235.59999999999997</v>
      </c>
      <c r="J7" s="9">
        <f>'B5'!A9</f>
        <v>44321</v>
      </c>
    </row>
    <row r="8" spans="1:10">
      <c r="A8" s="3">
        <f>ELEC!T9+ELEC!X9+ELEC!AB9</f>
        <v>8</v>
      </c>
      <c r="B8" s="3">
        <f>ELEC!AF9</f>
        <v>1572</v>
      </c>
      <c r="C8" s="3">
        <f>ELEC!N9</f>
        <v>8995.3999999999069</v>
      </c>
      <c r="D8" s="3">
        <f t="shared" si="0"/>
        <v>3140.3999999967054</v>
      </c>
      <c r="E8" s="3">
        <f>ELEC!Q9</f>
        <v>5855.0000000032014</v>
      </c>
      <c r="F8" s="3">
        <f>GEN!Z8</f>
        <v>6</v>
      </c>
      <c r="G8" s="3">
        <f>WATER!C11+WATER!H11</f>
        <v>0</v>
      </c>
      <c r="H8" s="3">
        <f>WATER!L11</f>
        <v>6</v>
      </c>
      <c r="I8" s="15">
        <f>WATER!BC11+WATER!BD11+WATER!BE12-Sheet1!G8</f>
        <v>49.000000000000014</v>
      </c>
      <c r="J8" s="9">
        <f>'B5'!A10</f>
        <v>44322</v>
      </c>
    </row>
    <row r="9" spans="1:10">
      <c r="A9" s="3">
        <f>ELEC!T10+ELEC!X10+ELEC!AB10</f>
        <v>7</v>
      </c>
      <c r="B9" s="3">
        <f>ELEC!AF10</f>
        <v>1551</v>
      </c>
      <c r="C9" s="3">
        <f>ELEC!N10</f>
        <v>8249.8000000002794</v>
      </c>
      <c r="D9" s="3">
        <f t="shared" si="0"/>
        <v>2740.8000000020838</v>
      </c>
      <c r="E9" s="3">
        <f>ELEC!Q10</f>
        <v>5508.9999999981956</v>
      </c>
      <c r="F9" s="3">
        <f>GEN!Z9</f>
        <v>8.5</v>
      </c>
      <c r="G9" s="3">
        <f>WATER!C12+WATER!H12</f>
        <v>293</v>
      </c>
      <c r="H9" s="3">
        <f>WATER!L12</f>
        <v>0</v>
      </c>
      <c r="I9" s="15">
        <f>WATER!BC12+WATER!BD12+WATER!BE13-Sheet1!G9</f>
        <v>-258.89999999999998</v>
      </c>
      <c r="J9" s="9">
        <f>'B5'!A11</f>
        <v>44323</v>
      </c>
    </row>
    <row r="10" spans="1:10">
      <c r="A10" s="3">
        <f>ELEC!T11+ELEC!X11+ELEC!AB11</f>
        <v>8</v>
      </c>
      <c r="B10" s="3">
        <f>ELEC!AF11</f>
        <v>1818</v>
      </c>
      <c r="C10" s="3">
        <f>ELEC!N11</f>
        <v>9025.7999999998137</v>
      </c>
      <c r="D10" s="3">
        <f t="shared" si="0"/>
        <v>2722.7999999999302</v>
      </c>
      <c r="E10" s="3">
        <f>ELEC!Q11</f>
        <v>6302.9999999998836</v>
      </c>
      <c r="F10" s="3">
        <f>GEN!Z10</f>
        <v>8.6000000000003638</v>
      </c>
      <c r="G10" s="3">
        <f>WATER!C13+WATER!H13</f>
        <v>0</v>
      </c>
      <c r="H10" s="3">
        <f>WATER!L13</f>
        <v>0</v>
      </c>
      <c r="I10" s="15">
        <f>WATER!BC13+WATER!BD13+WATER!BE14-Sheet1!G10</f>
        <v>83.399999999999963</v>
      </c>
      <c r="J10" s="9">
        <f>'B5'!A12</f>
        <v>44324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8.8999999999996362</v>
      </c>
      <c r="G11" s="3">
        <f>WATER!C14+WATER!H14</f>
        <v>0</v>
      </c>
      <c r="H11" s="3">
        <f>WATER!L14</f>
        <v>2</v>
      </c>
      <c r="I11" s="15">
        <f>WATER!BC14+WATER!BD14+WATER!BE15-Sheet1!G11</f>
        <v>-1.0000000000000568</v>
      </c>
      <c r="J11" s="9">
        <f>'B5'!A13</f>
        <v>44325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44326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44327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44328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44329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44330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44331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44332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44333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44334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44335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44336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44337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44338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44339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44340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44341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88"/>
      <c r="B1" s="685" t="s">
        <v>119</v>
      </c>
      <c r="C1" s="685" t="s">
        <v>118</v>
      </c>
      <c r="D1" s="690" t="s">
        <v>113</v>
      </c>
      <c r="E1" s="690" t="s">
        <v>114</v>
      </c>
      <c r="F1" s="691" t="s">
        <v>120</v>
      </c>
      <c r="G1" s="692" t="s">
        <v>75</v>
      </c>
      <c r="H1" s="693" t="s">
        <v>115</v>
      </c>
      <c r="I1" s="694" t="s">
        <v>116</v>
      </c>
      <c r="J1" s="693" t="s">
        <v>117</v>
      </c>
      <c r="K1" s="687" t="s">
        <v>121</v>
      </c>
      <c r="L1" s="687" t="s">
        <v>122</v>
      </c>
      <c r="M1" s="687" t="s">
        <v>123</v>
      </c>
      <c r="N1" s="687" t="s">
        <v>124</v>
      </c>
    </row>
    <row r="2" spans="1:14">
      <c r="A2" s="689"/>
      <c r="B2" s="686"/>
      <c r="C2" s="686"/>
      <c r="D2" s="690"/>
      <c r="E2" s="690"/>
      <c r="F2" s="691"/>
      <c r="G2" s="692"/>
      <c r="H2" s="693"/>
      <c r="I2" s="695"/>
      <c r="J2" s="693"/>
      <c r="K2" s="687"/>
      <c r="L2" s="687"/>
      <c r="M2" s="687"/>
      <c r="N2" s="68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95</v>
      </c>
      <c r="C8" s="76">
        <f>'B5'!AH8</f>
        <v>0</v>
      </c>
      <c r="D8" s="76">
        <f>GEN!AI6</f>
        <v>1083.8438818573043</v>
      </c>
      <c r="E8" s="242">
        <f t="shared" si="0"/>
        <v>1178.8438818573043</v>
      </c>
      <c r="F8" s="75">
        <f>WATER!L8</f>
        <v>0</v>
      </c>
      <c r="G8" s="78">
        <f>WATER!BG8</f>
        <v>99.700000000000017</v>
      </c>
      <c r="H8" s="79">
        <f>ELEC!AF6</f>
        <v>1269</v>
      </c>
      <c r="I8" s="79">
        <f>ELEC!Q6</f>
        <v>4211.0000000029686</v>
      </c>
      <c r="J8" s="79">
        <f>ELEC!R6</f>
        <v>4171.9999999970314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164</v>
      </c>
      <c r="C9" s="76">
        <f>'B5'!AH9</f>
        <v>0</v>
      </c>
      <c r="D9" s="76">
        <f>GEN!AI7</f>
        <v>1443.924050632125</v>
      </c>
      <c r="E9" s="242">
        <f t="shared" si="0"/>
        <v>1607.924050632125</v>
      </c>
      <c r="F9" s="75">
        <f>WATER!L9</f>
        <v>0</v>
      </c>
      <c r="G9" s="78">
        <f>WATER!BG9</f>
        <v>-28.000000000000057</v>
      </c>
      <c r="H9" s="79">
        <f>ELEC!AF7</f>
        <v>1788</v>
      </c>
      <c r="I9" s="79">
        <f>ELEC!Q7</f>
        <v>5609.9999999969441</v>
      </c>
      <c r="J9" s="79">
        <f>ELEC!R7</f>
        <v>-841.9999999969441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155</v>
      </c>
      <c r="C10" s="76">
        <f>'B5'!AH10</f>
        <v>0</v>
      </c>
      <c r="D10" s="76">
        <f>GEN!AI8</f>
        <v>896.21097046412763</v>
      </c>
      <c r="E10" s="242">
        <f t="shared" si="0"/>
        <v>1051.2109704641275</v>
      </c>
      <c r="F10" s="75">
        <f>WATER!L10</f>
        <v>0</v>
      </c>
      <c r="G10" s="78">
        <f>WATER!BG10</f>
        <v>84.300000000000011</v>
      </c>
      <c r="H10" s="79">
        <f>ELEC!AF8</f>
        <v>926</v>
      </c>
      <c r="I10" s="79">
        <f>ELEC!Q8</f>
        <v>3481.9999999999709</v>
      </c>
      <c r="J10" s="79">
        <f>ELEC!R8</f>
        <v>430.0000000000291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166</v>
      </c>
      <c r="C11" s="76">
        <f>'B5'!AH11</f>
        <v>0</v>
      </c>
      <c r="D11" s="76">
        <f>GEN!AI9</f>
        <v>1506.9831223636934</v>
      </c>
      <c r="E11" s="242">
        <f t="shared" si="0"/>
        <v>1672.9831223636934</v>
      </c>
      <c r="F11" s="75">
        <f>WATER!L11</f>
        <v>6</v>
      </c>
      <c r="G11" s="78">
        <f>WATER!BG11</f>
        <v>-5.0999999999999659</v>
      </c>
      <c r="H11" s="79">
        <f>ELEC!AF9</f>
        <v>1572</v>
      </c>
      <c r="I11" s="79">
        <f>ELEC!Q9</f>
        <v>5855.0000000032014</v>
      </c>
      <c r="J11" s="79">
        <f>ELEC!R9</f>
        <v>3140.3999999967054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156</v>
      </c>
      <c r="C12" s="76">
        <f>'B5'!AH12</f>
        <v>0</v>
      </c>
      <c r="D12" s="76">
        <f>GEN!AI10</f>
        <v>1417.9282700417298</v>
      </c>
      <c r="E12" s="242">
        <f t="shared" si="0"/>
        <v>1573.9282700417298</v>
      </c>
      <c r="F12" s="75">
        <f>WATER!L12</f>
        <v>0</v>
      </c>
      <c r="G12" s="78">
        <f>WATER!BG12</f>
        <v>54.099999999999966</v>
      </c>
      <c r="H12" s="79">
        <f>ELEC!AF10</f>
        <v>1551</v>
      </c>
      <c r="I12" s="79">
        <f>ELEC!Q10</f>
        <v>5508.9999999981956</v>
      </c>
      <c r="J12" s="79">
        <f>ELEC!R10</f>
        <v>2740.8000000020838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112</v>
      </c>
      <c r="C13" s="76">
        <f>'B5'!AH13</f>
        <v>0</v>
      </c>
      <c r="D13" s="76">
        <f>GEN!AI11</f>
        <v>1622.2911392404765</v>
      </c>
      <c r="E13" s="242">
        <f t="shared" si="0"/>
        <v>1734.2911392404765</v>
      </c>
      <c r="F13" s="75">
        <f>WATER!L13</f>
        <v>0</v>
      </c>
      <c r="G13" s="78">
        <f>WATER!BG13</f>
        <v>-36.199999999999974</v>
      </c>
      <c r="H13" s="79">
        <f>ELEC!AF11</f>
        <v>1818</v>
      </c>
      <c r="I13" s="79">
        <f>ELEC!Q11</f>
        <v>6302.9999999998836</v>
      </c>
      <c r="J13" s="79">
        <f>ELEC!R11</f>
        <v>2722.7999999999302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2</v>
      </c>
      <c r="G14" s="78">
        <f>WATER!BG14</f>
        <v>94.399999999999935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6" t="s">
        <v>151</v>
      </c>
      <c r="U3" s="69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20" zoomScaleNormal="120" workbookViewId="0">
      <pane ySplit="1" topLeftCell="A2" activePane="bottomLeft" state="frozen"/>
      <selection pane="bottomLeft" activeCell="A11" sqref="A11:XFD11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.14062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[6]GEN!G32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[6]GEN!W32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3" si="15">R3</f>
        <v>12150</v>
      </c>
      <c r="S4" s="287">
        <f t="shared" si="4"/>
        <v>0</v>
      </c>
      <c r="T4" s="535">
        <f t="shared" ref="T4:T33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v>9914</v>
      </c>
      <c r="C6" s="287">
        <f t="shared" si="9"/>
        <v>8</v>
      </c>
      <c r="D6" s="535">
        <v>389826</v>
      </c>
      <c r="E6" s="287">
        <f t="shared" si="10"/>
        <v>1567</v>
      </c>
      <c r="F6" s="287">
        <f t="shared" si="0"/>
        <v>195.875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8</v>
      </c>
      <c r="AA6" s="287">
        <f t="shared" si="18"/>
        <v>1567</v>
      </c>
      <c r="AB6" s="287">
        <f t="shared" si="19"/>
        <v>445.875</v>
      </c>
      <c r="AC6" s="287">
        <f t="shared" si="20"/>
        <v>195.875</v>
      </c>
      <c r="AD6" s="73">
        <f>ELEC!Q6</f>
        <v>4211.0000000029686</v>
      </c>
      <c r="AE6" s="73">
        <f>SUM(AD6/Z6)</f>
        <v>526.37500000037107</v>
      </c>
      <c r="AF6" s="403">
        <f t="shared" si="25"/>
        <v>0.32898437500023192</v>
      </c>
      <c r="AG6" s="404">
        <f>SUM(320*AF6)</f>
        <v>105.27500000007421</v>
      </c>
      <c r="AH6" s="404">
        <f t="shared" si="21"/>
        <v>90.599999999925785</v>
      </c>
      <c r="AI6" s="73">
        <f t="shared" si="27"/>
        <v>1083.8438818573043</v>
      </c>
      <c r="AJ6" s="289">
        <f t="shared" si="7"/>
        <v>0.25738396624472576</v>
      </c>
      <c r="AK6" s="289">
        <f t="shared" si="8"/>
        <v>135.48048523216303</v>
      </c>
    </row>
    <row r="7" spans="1:37" ht="15.75" thickBot="1">
      <c r="A7" s="4">
        <f>ELEC!C7</f>
        <v>44321</v>
      </c>
      <c r="B7" s="534">
        <v>9923</v>
      </c>
      <c r="C7" s="287">
        <f t="shared" si="9"/>
        <v>9</v>
      </c>
      <c r="D7" s="535">
        <v>391322.9</v>
      </c>
      <c r="E7" s="287">
        <f t="shared" si="10"/>
        <v>1496.9000000000233</v>
      </c>
      <c r="F7" s="287">
        <f t="shared" si="0"/>
        <v>166.32222222222481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9</v>
      </c>
      <c r="AA7" s="287">
        <f>U7+M7+E7</f>
        <v>1496.9000000000233</v>
      </c>
      <c r="AB7" s="287">
        <f t="shared" si="19"/>
        <v>416.32222222222481</v>
      </c>
      <c r="AC7" s="287">
        <f t="shared" si="20"/>
        <v>166.32222222222481</v>
      </c>
      <c r="AD7" s="73">
        <f>ELEC!Q7</f>
        <v>5609.9999999969441</v>
      </c>
      <c r="AE7" s="73">
        <f t="shared" si="24"/>
        <v>623.33333333299379</v>
      </c>
      <c r="AF7" s="403">
        <f t="shared" si="25"/>
        <v>0.38958333333312112</v>
      </c>
      <c r="AG7" s="501" t="s">
        <v>403</v>
      </c>
      <c r="AH7" s="404" t="e">
        <f t="shared" si="21"/>
        <v>#VALUE!</v>
      </c>
      <c r="AI7" s="73">
        <f t="shared" si="27"/>
        <v>1443.924050632125</v>
      </c>
      <c r="AJ7" s="289">
        <f t="shared" si="7"/>
        <v>0.25738396624472576</v>
      </c>
      <c r="AK7" s="289">
        <f t="shared" si="8"/>
        <v>160.43600562579167</v>
      </c>
    </row>
    <row r="8" spans="1:37" ht="15.75" thickBot="1">
      <c r="A8" s="4">
        <f>ELEC!C8</f>
        <v>44322</v>
      </c>
      <c r="B8" s="534">
        <v>9929</v>
      </c>
      <c r="C8" s="287">
        <f t="shared" si="9"/>
        <v>6</v>
      </c>
      <c r="D8" s="535">
        <v>392266.5</v>
      </c>
      <c r="E8" s="287">
        <f t="shared" si="10"/>
        <v>943.59999999997672</v>
      </c>
      <c r="F8" s="287">
        <f t="shared" si="0"/>
        <v>157.26666666666279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6</v>
      </c>
      <c r="AA8" s="287">
        <f t="shared" si="18"/>
        <v>943.59999999997672</v>
      </c>
      <c r="AB8" s="287">
        <f t="shared" si="19"/>
        <v>407.26666666666279</v>
      </c>
      <c r="AC8" s="287">
        <f t="shared" si="20"/>
        <v>157.26666666666279</v>
      </c>
      <c r="AD8" s="73">
        <f>ELEC!Q8</f>
        <v>3481.9999999999709</v>
      </c>
      <c r="AE8" s="73">
        <f t="shared" si="24"/>
        <v>580.33333333332848</v>
      </c>
      <c r="AF8" s="403">
        <f t="shared" si="25"/>
        <v>0.3627083333333303</v>
      </c>
      <c r="AG8" s="404">
        <f t="shared" si="26"/>
        <v>116.0666666666657</v>
      </c>
      <c r="AH8" s="404">
        <f t="shared" si="21"/>
        <v>41.19999999999709</v>
      </c>
      <c r="AI8" s="73">
        <f t="shared" si="27"/>
        <v>896.21097046412763</v>
      </c>
      <c r="AJ8" s="289">
        <f t="shared" si="7"/>
        <v>0.25738396624472576</v>
      </c>
      <c r="AK8" s="289">
        <f t="shared" si="8"/>
        <v>149.36849507735459</v>
      </c>
    </row>
    <row r="9" spans="1:37" ht="15.75" thickBot="1">
      <c r="A9" s="4">
        <f>ELEC!C9</f>
        <v>44323</v>
      </c>
      <c r="B9" s="534">
        <v>9937.5</v>
      </c>
      <c r="C9" s="287">
        <f t="shared" si="9"/>
        <v>8.5</v>
      </c>
      <c r="D9" s="535">
        <v>394000.4</v>
      </c>
      <c r="E9" s="287">
        <f t="shared" si="10"/>
        <v>1733.9000000000233</v>
      </c>
      <c r="F9" s="287">
        <f t="shared" si="0"/>
        <v>203.98823529412039</v>
      </c>
      <c r="G9" s="196"/>
      <c r="H9" s="270">
        <f t="shared" si="22"/>
        <v>9934</v>
      </c>
      <c r="I9" s="287" t="str">
        <f t="shared" si="1"/>
        <v>oil change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8.5</v>
      </c>
      <c r="AA9" s="287">
        <f t="shared" si="18"/>
        <v>1733.9000000000233</v>
      </c>
      <c r="AB9" s="287">
        <f t="shared" si="19"/>
        <v>453.98823529412039</v>
      </c>
      <c r="AC9" s="287">
        <f t="shared" si="20"/>
        <v>203.98823529412039</v>
      </c>
      <c r="AD9" s="73">
        <f>ELEC!Q9</f>
        <v>5855.0000000032014</v>
      </c>
      <c r="AE9" s="73">
        <f t="shared" si="24"/>
        <v>688.8235294121414</v>
      </c>
      <c r="AF9" s="403">
        <f t="shared" si="25"/>
        <v>0.43051470588258839</v>
      </c>
      <c r="AG9" s="404">
        <f t="shared" si="26"/>
        <v>137.76470588242827</v>
      </c>
      <c r="AH9" s="404">
        <f t="shared" si="21"/>
        <v>66.223529411692112</v>
      </c>
      <c r="AI9" s="73">
        <f t="shared" si="27"/>
        <v>1506.9831223636934</v>
      </c>
      <c r="AJ9" s="289">
        <v>0.25738396624472576</v>
      </c>
      <c r="AK9" s="289">
        <f t="shared" ref="AK9:AK16" si="28">IF(Z9&gt;0,AI9/Z9,0)</f>
        <v>177.29213204278744</v>
      </c>
    </row>
    <row r="10" spans="1:37" ht="15.75" thickBot="1">
      <c r="A10" s="4">
        <f>ELEC!C10</f>
        <v>44324</v>
      </c>
      <c r="B10" s="534">
        <v>9946.1</v>
      </c>
      <c r="C10" s="287">
        <f t="shared" si="9"/>
        <v>8.6000000000003638</v>
      </c>
      <c r="D10" s="535">
        <v>394894</v>
      </c>
      <c r="E10" s="287">
        <f t="shared" si="10"/>
        <v>893.59999999997672</v>
      </c>
      <c r="F10" s="287">
        <f t="shared" si="0"/>
        <v>103.90697674417895</v>
      </c>
      <c r="G10" s="196"/>
      <c r="H10" s="270">
        <f t="shared" si="22"/>
        <v>9934</v>
      </c>
      <c r="I10" s="287" t="str">
        <f t="shared" si="1"/>
        <v>oil change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29">IF(R10-X10&lt;=0,"ok","oil change")</f>
        <v>ok</v>
      </c>
      <c r="Z10" s="287">
        <f t="shared" si="6"/>
        <v>8.6000000000003638</v>
      </c>
      <c r="AA10" s="287">
        <f t="shared" si="18"/>
        <v>893.59999999997672</v>
      </c>
      <c r="AB10" s="287">
        <f t="shared" si="19"/>
        <v>353.90697674417896</v>
      </c>
      <c r="AC10" s="287">
        <f t="shared" si="20"/>
        <v>103.90697674417895</v>
      </c>
      <c r="AD10" s="73">
        <f>ELEC!Q10</f>
        <v>5508.9999999981956</v>
      </c>
      <c r="AE10" s="73">
        <f t="shared" si="24"/>
        <v>640.58139534860027</v>
      </c>
      <c r="AF10" s="403">
        <f t="shared" si="25"/>
        <v>0.40036337209287515</v>
      </c>
      <c r="AG10" s="404">
        <f t="shared" si="26"/>
        <v>128.11627906972004</v>
      </c>
      <c r="AH10" s="404">
        <f t="shared" si="21"/>
        <v>-24.209302325541088</v>
      </c>
      <c r="AI10" s="73">
        <f t="shared" si="27"/>
        <v>1417.9282700417298</v>
      </c>
      <c r="AJ10" s="289">
        <f t="shared" si="7"/>
        <v>0.25738396624472576</v>
      </c>
      <c r="AK10" s="289">
        <f t="shared" si="28"/>
        <v>164.87538023740348</v>
      </c>
    </row>
    <row r="11" spans="1:37" ht="15.75" thickBot="1">
      <c r="A11" s="4">
        <f>ELEC!C11</f>
        <v>44325</v>
      </c>
      <c r="B11" s="760">
        <v>9955</v>
      </c>
      <c r="C11" s="287">
        <f t="shared" si="9"/>
        <v>8.8999999999996362</v>
      </c>
      <c r="D11" s="270">
        <v>396250</v>
      </c>
      <c r="E11" s="287">
        <f t="shared" si="10"/>
        <v>1356</v>
      </c>
      <c r="F11" s="287">
        <f t="shared" si="0"/>
        <v>152.35955056180399</v>
      </c>
      <c r="G11" s="196"/>
      <c r="H11" s="270">
        <f t="shared" si="22"/>
        <v>9934</v>
      </c>
      <c r="I11" s="287" t="str">
        <f t="shared" si="1"/>
        <v>oil change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29"/>
        <v>ok</v>
      </c>
      <c r="Z11" s="287">
        <f t="shared" si="6"/>
        <v>8.8999999999996362</v>
      </c>
      <c r="AA11" s="287">
        <f t="shared" si="18"/>
        <v>1356</v>
      </c>
      <c r="AB11" s="287">
        <f t="shared" si="19"/>
        <v>402.35955056180399</v>
      </c>
      <c r="AC11" s="287">
        <f t="shared" si="20"/>
        <v>152.35955056180399</v>
      </c>
      <c r="AD11" s="73">
        <f>ELEC!Q11</f>
        <v>6302.9999999998836</v>
      </c>
      <c r="AE11" s="73">
        <f t="shared" si="24"/>
        <v>708.20224719102714</v>
      </c>
      <c r="AF11" s="403">
        <f t="shared" si="25"/>
        <v>0.44262640449439195</v>
      </c>
      <c r="AG11" s="404">
        <f t="shared" si="26"/>
        <v>141.64044943820542</v>
      </c>
      <c r="AH11" s="404">
        <f t="shared" si="21"/>
        <v>10.719101123598563</v>
      </c>
      <c r="AI11" s="73">
        <f t="shared" si="27"/>
        <v>1622.2911392404765</v>
      </c>
      <c r="AJ11" s="289">
        <f t="shared" si="7"/>
        <v>0.25738396624472576</v>
      </c>
      <c r="AK11" s="289">
        <f t="shared" si="28"/>
        <v>182.27990328545425</v>
      </c>
    </row>
    <row r="12" spans="1:37" ht="15.75" thickBot="1">
      <c r="A12" s="4">
        <f>ELEC!C12</f>
        <v>44326</v>
      </c>
      <c r="B12" s="534">
        <f t="shared" ref="B11:B33" si="30">B11</f>
        <v>9955</v>
      </c>
      <c r="C12" s="287">
        <f t="shared" si="9"/>
        <v>0</v>
      </c>
      <c r="D12" s="535">
        <f t="shared" ref="D11:D33" si="31">D11</f>
        <v>396250</v>
      </c>
      <c r="E12" s="287">
        <f t="shared" si="10"/>
        <v>0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oil change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f t="shared" si="15"/>
        <v>12150</v>
      </c>
      <c r="S12" s="287">
        <f t="shared" si="4"/>
        <v>0</v>
      </c>
      <c r="T12" s="535">
        <f t="shared" si="16"/>
        <v>438163</v>
      </c>
      <c r="U12" s="287">
        <f t="shared" si="17"/>
        <v>0</v>
      </c>
      <c r="V12" s="287">
        <v>250</v>
      </c>
      <c r="W12" s="338"/>
      <c r="X12" s="288">
        <f t="shared" si="23"/>
        <v>12192</v>
      </c>
      <c r="Y12" s="287" t="str">
        <f t="shared" si="29"/>
        <v>ok</v>
      </c>
      <c r="Z12" s="287">
        <f t="shared" si="6"/>
        <v>0</v>
      </c>
      <c r="AA12" s="287">
        <f t="shared" si="18"/>
        <v>0</v>
      </c>
      <c r="AB12" s="287">
        <f t="shared" si="19"/>
        <v>250</v>
      </c>
      <c r="AC12" s="287">
        <f t="shared" si="20"/>
        <v>0</v>
      </c>
      <c r="AD12" s="73">
        <f>ELEC!Q12</f>
        <v>0</v>
      </c>
      <c r="AE12" s="73" t="e">
        <f t="shared" si="24"/>
        <v>#DIV/0!</v>
      </c>
      <c r="AF12" s="403" t="e">
        <f t="shared" si="25"/>
        <v>#DIV/0!</v>
      </c>
      <c r="AG12" s="404" t="e">
        <f t="shared" si="26"/>
        <v>#DIV/0!</v>
      </c>
      <c r="AH12" s="404" t="e">
        <f t="shared" si="21"/>
        <v>#DIV/0!</v>
      </c>
      <c r="AI12" s="73">
        <f t="shared" si="27"/>
        <v>0</v>
      </c>
      <c r="AJ12" s="289">
        <f t="shared" si="7"/>
        <v>0.25738396624472576</v>
      </c>
      <c r="AK12" s="289">
        <f t="shared" si="28"/>
        <v>0</v>
      </c>
    </row>
    <row r="13" spans="1:37" ht="15.75" thickBot="1">
      <c r="A13" s="4">
        <f>ELEC!C13</f>
        <v>44327</v>
      </c>
      <c r="B13" s="534">
        <f t="shared" si="30"/>
        <v>9955</v>
      </c>
      <c r="C13" s="287">
        <f t="shared" si="9"/>
        <v>0</v>
      </c>
      <c r="D13" s="535">
        <f t="shared" si="31"/>
        <v>396250</v>
      </c>
      <c r="E13" s="287">
        <f t="shared" si="10"/>
        <v>0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oil change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f t="shared" si="15"/>
        <v>12150</v>
      </c>
      <c r="S13" s="287">
        <f t="shared" si="4"/>
        <v>0</v>
      </c>
      <c r="T13" s="535">
        <f t="shared" si="16"/>
        <v>438163</v>
      </c>
      <c r="U13" s="287">
        <f t="shared" si="17"/>
        <v>0</v>
      </c>
      <c r="V13" s="287">
        <v>250</v>
      </c>
      <c r="W13" s="338"/>
      <c r="X13" s="288">
        <f t="shared" si="23"/>
        <v>12192</v>
      </c>
      <c r="Y13" s="287" t="str">
        <f t="shared" si="29"/>
        <v>ok</v>
      </c>
      <c r="Z13" s="287">
        <f t="shared" si="6"/>
        <v>0</v>
      </c>
      <c r="AA13" s="287">
        <f t="shared" si="18"/>
        <v>0</v>
      </c>
      <c r="AB13" s="287">
        <f t="shared" si="19"/>
        <v>250</v>
      </c>
      <c r="AC13" s="287">
        <f t="shared" si="20"/>
        <v>0</v>
      </c>
      <c r="AD13" s="73">
        <f>ELEC!Q13</f>
        <v>0</v>
      </c>
      <c r="AE13" s="73" t="e">
        <f t="shared" si="24"/>
        <v>#DIV/0!</v>
      </c>
      <c r="AF13" s="403" t="e">
        <f t="shared" si="25"/>
        <v>#DIV/0!</v>
      </c>
      <c r="AG13" s="404" t="e">
        <f t="shared" si="26"/>
        <v>#DIV/0!</v>
      </c>
      <c r="AH13" s="404" t="e">
        <f t="shared" si="21"/>
        <v>#DIV/0!</v>
      </c>
      <c r="AI13" s="73">
        <f t="shared" si="27"/>
        <v>0</v>
      </c>
      <c r="AJ13" s="289">
        <f t="shared" si="7"/>
        <v>0.25738396624472576</v>
      </c>
      <c r="AK13" s="289">
        <f t="shared" si="28"/>
        <v>0</v>
      </c>
    </row>
    <row r="14" spans="1:37" ht="15.75" thickBot="1">
      <c r="A14" s="4">
        <f>ELEC!C14</f>
        <v>44328</v>
      </c>
      <c r="B14" s="534">
        <f t="shared" si="30"/>
        <v>9955</v>
      </c>
      <c r="C14" s="287">
        <f t="shared" si="9"/>
        <v>0</v>
      </c>
      <c r="D14" s="535">
        <f t="shared" si="31"/>
        <v>396250</v>
      </c>
      <c r="E14" s="287">
        <f t="shared" si="10"/>
        <v>0</v>
      </c>
      <c r="F14" s="287">
        <f t="shared" si="0"/>
        <v>0</v>
      </c>
      <c r="G14" s="196"/>
      <c r="H14" s="270">
        <f t="shared" si="22"/>
        <v>9934</v>
      </c>
      <c r="I14" s="287" t="str">
        <f t="shared" si="1"/>
        <v>oil change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f t="shared" si="15"/>
        <v>12150</v>
      </c>
      <c r="S14" s="287">
        <f t="shared" si="4"/>
        <v>0</v>
      </c>
      <c r="T14" s="535">
        <f t="shared" si="16"/>
        <v>438163</v>
      </c>
      <c r="U14" s="287">
        <f t="shared" si="17"/>
        <v>0</v>
      </c>
      <c r="V14" s="287">
        <v>250</v>
      </c>
      <c r="W14" s="338"/>
      <c r="X14" s="288">
        <f t="shared" si="23"/>
        <v>12192</v>
      </c>
      <c r="Y14" s="287" t="str">
        <f t="shared" si="29"/>
        <v>ok</v>
      </c>
      <c r="Z14" s="287">
        <f t="shared" si="6"/>
        <v>0</v>
      </c>
      <c r="AA14" s="287">
        <f t="shared" si="18"/>
        <v>0</v>
      </c>
      <c r="AB14" s="287">
        <f t="shared" si="19"/>
        <v>250</v>
      </c>
      <c r="AC14" s="287">
        <f t="shared" si="20"/>
        <v>0</v>
      </c>
      <c r="AD14" s="73">
        <f>ELEC!Q14</f>
        <v>0</v>
      </c>
      <c r="AE14" s="73" t="e">
        <f t="shared" si="24"/>
        <v>#DIV/0!</v>
      </c>
      <c r="AF14" s="403" t="e">
        <f t="shared" si="25"/>
        <v>#DIV/0!</v>
      </c>
      <c r="AG14" s="404" t="e">
        <f t="shared" si="26"/>
        <v>#DIV/0!</v>
      </c>
      <c r="AH14" s="404" t="e">
        <f t="shared" si="21"/>
        <v>#DIV/0!</v>
      </c>
      <c r="AI14" s="73">
        <f t="shared" si="27"/>
        <v>0</v>
      </c>
      <c r="AJ14" s="289">
        <f t="shared" si="7"/>
        <v>0.25738396624472576</v>
      </c>
      <c r="AK14" s="289">
        <f t="shared" si="28"/>
        <v>0</v>
      </c>
    </row>
    <row r="15" spans="1:37" ht="15.75" thickBot="1">
      <c r="A15" s="4">
        <f>ELEC!C15</f>
        <v>44329</v>
      </c>
      <c r="B15" s="534">
        <f t="shared" si="30"/>
        <v>9955</v>
      </c>
      <c r="C15" s="287">
        <f t="shared" si="9"/>
        <v>0</v>
      </c>
      <c r="D15" s="535">
        <f t="shared" si="31"/>
        <v>396250</v>
      </c>
      <c r="E15" s="287">
        <f t="shared" si="10"/>
        <v>0</v>
      </c>
      <c r="F15" s="287">
        <f t="shared" si="0"/>
        <v>0</v>
      </c>
      <c r="G15" s="196"/>
      <c r="H15" s="270">
        <f t="shared" si="22"/>
        <v>9934</v>
      </c>
      <c r="I15" s="287" t="str">
        <f t="shared" si="1"/>
        <v>oil change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f t="shared" si="15"/>
        <v>12150</v>
      </c>
      <c r="S15" s="287">
        <f t="shared" si="4"/>
        <v>0</v>
      </c>
      <c r="T15" s="535">
        <f t="shared" si="16"/>
        <v>438163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29"/>
        <v>ok</v>
      </c>
      <c r="Z15" s="287">
        <f t="shared" si="6"/>
        <v>0</v>
      </c>
      <c r="AA15" s="287">
        <f t="shared" si="18"/>
        <v>0</v>
      </c>
      <c r="AB15" s="287">
        <f t="shared" si="19"/>
        <v>250</v>
      </c>
      <c r="AC15" s="287">
        <f t="shared" si="20"/>
        <v>0</v>
      </c>
      <c r="AD15" s="73">
        <f>ELEC!Q15</f>
        <v>0</v>
      </c>
      <c r="AE15" s="73" t="e">
        <f t="shared" si="24"/>
        <v>#DIV/0!</v>
      </c>
      <c r="AF15" s="403" t="e">
        <f t="shared" si="25"/>
        <v>#DIV/0!</v>
      </c>
      <c r="AG15" s="404" t="e">
        <f t="shared" si="26"/>
        <v>#DIV/0!</v>
      </c>
      <c r="AH15" s="404" t="e">
        <f t="shared" si="21"/>
        <v>#DIV/0!</v>
      </c>
      <c r="AI15" s="73">
        <f t="shared" si="27"/>
        <v>0</v>
      </c>
      <c r="AJ15" s="289">
        <f t="shared" si="7"/>
        <v>0.25738396624472576</v>
      </c>
      <c r="AK15" s="289">
        <f t="shared" si="28"/>
        <v>0</v>
      </c>
    </row>
    <row r="16" spans="1:37" ht="15.75" thickBot="1">
      <c r="A16" s="4">
        <f>ELEC!C16</f>
        <v>44330</v>
      </c>
      <c r="B16" s="534">
        <f t="shared" si="30"/>
        <v>9955</v>
      </c>
      <c r="C16" s="287">
        <f t="shared" si="9"/>
        <v>0</v>
      </c>
      <c r="D16" s="535">
        <f t="shared" si="31"/>
        <v>396250</v>
      </c>
      <c r="E16" s="287">
        <f t="shared" si="10"/>
        <v>0</v>
      </c>
      <c r="F16" s="287">
        <f t="shared" si="0"/>
        <v>0</v>
      </c>
      <c r="G16" s="196"/>
      <c r="H16" s="270">
        <f t="shared" si="22"/>
        <v>9934</v>
      </c>
      <c r="I16" s="287" t="str">
        <f t="shared" si="1"/>
        <v>oil change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f t="shared" si="15"/>
        <v>12150</v>
      </c>
      <c r="S16" s="287">
        <f t="shared" si="4"/>
        <v>0</v>
      </c>
      <c r="T16" s="535">
        <f t="shared" si="16"/>
        <v>438163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29"/>
        <v>ok</v>
      </c>
      <c r="Z16" s="287">
        <f t="shared" si="6"/>
        <v>0</v>
      </c>
      <c r="AA16" s="287">
        <f t="shared" si="18"/>
        <v>0</v>
      </c>
      <c r="AB16" s="287">
        <f t="shared" si="19"/>
        <v>250</v>
      </c>
      <c r="AC16" s="287">
        <f t="shared" si="20"/>
        <v>0</v>
      </c>
      <c r="AD16" s="73">
        <f>ELEC!Q16</f>
        <v>0</v>
      </c>
      <c r="AE16" s="73" t="e">
        <f t="shared" si="24"/>
        <v>#DIV/0!</v>
      </c>
      <c r="AF16" s="403" t="e">
        <f t="shared" si="25"/>
        <v>#DIV/0!</v>
      </c>
      <c r="AG16" s="404" t="e">
        <f t="shared" si="26"/>
        <v>#DIV/0!</v>
      </c>
      <c r="AH16" s="404" t="e">
        <f t="shared" si="21"/>
        <v>#DIV/0!</v>
      </c>
      <c r="AI16" s="73">
        <f t="shared" si="27"/>
        <v>0</v>
      </c>
      <c r="AJ16" s="289">
        <f t="shared" si="7"/>
        <v>0.25738396624472576</v>
      </c>
      <c r="AK16" s="289">
        <f t="shared" si="28"/>
        <v>0</v>
      </c>
    </row>
    <row r="17" spans="1:37" ht="15.75" thickBot="1">
      <c r="A17" s="4">
        <f>ELEC!C17</f>
        <v>44331</v>
      </c>
      <c r="B17" s="534">
        <f t="shared" si="30"/>
        <v>9955</v>
      </c>
      <c r="C17" s="287">
        <f t="shared" si="9"/>
        <v>0</v>
      </c>
      <c r="D17" s="535">
        <f t="shared" si="31"/>
        <v>396250</v>
      </c>
      <c r="E17" s="287">
        <f t="shared" si="10"/>
        <v>0</v>
      </c>
      <c r="F17" s="287">
        <f t="shared" si="0"/>
        <v>0</v>
      </c>
      <c r="G17" s="196"/>
      <c r="H17" s="270">
        <f t="shared" si="22"/>
        <v>9934</v>
      </c>
      <c r="I17" s="287" t="str">
        <f t="shared" si="1"/>
        <v>oil change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12150</v>
      </c>
      <c r="S17" s="287">
        <f t="shared" si="4"/>
        <v>0</v>
      </c>
      <c r="T17" s="535">
        <f t="shared" si="16"/>
        <v>438163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29"/>
        <v>ok</v>
      </c>
      <c r="Z17" s="287">
        <f t="shared" si="6"/>
        <v>0</v>
      </c>
      <c r="AA17" s="287">
        <f t="shared" si="18"/>
        <v>0</v>
      </c>
      <c r="AB17" s="287">
        <f t="shared" si="19"/>
        <v>250</v>
      </c>
      <c r="AC17" s="287">
        <f t="shared" si="20"/>
        <v>0</v>
      </c>
      <c r="AD17" s="73">
        <f>ELEC!Q17</f>
        <v>0</v>
      </c>
      <c r="AE17" s="73" t="e">
        <f t="shared" si="24"/>
        <v>#DIV/0!</v>
      </c>
      <c r="AF17" s="403" t="e">
        <f t="shared" si="25"/>
        <v>#DIV/0!</v>
      </c>
      <c r="AG17" s="404" t="e">
        <f t="shared" si="26"/>
        <v>#DIV/0!</v>
      </c>
      <c r="AH17" s="404" t="e">
        <f t="shared" si="21"/>
        <v>#DIV/0!</v>
      </c>
      <c r="AI17" s="73">
        <f t="shared" si="27"/>
        <v>0</v>
      </c>
      <c r="AJ17" s="289">
        <f t="shared" si="7"/>
        <v>0.25738396624472576</v>
      </c>
      <c r="AK17" s="289">
        <f t="shared" ref="AK17:AK30" si="32">IF(Z17&gt;0,AI17/Z17,0)</f>
        <v>0</v>
      </c>
    </row>
    <row r="18" spans="1:37" ht="15.75" thickBot="1">
      <c r="A18" s="4">
        <f>ELEC!C18</f>
        <v>44332</v>
      </c>
      <c r="B18" s="534">
        <f t="shared" si="30"/>
        <v>9955</v>
      </c>
      <c r="C18" s="287">
        <f t="shared" si="9"/>
        <v>0</v>
      </c>
      <c r="D18" s="535">
        <f t="shared" si="31"/>
        <v>396250</v>
      </c>
      <c r="E18" s="287">
        <f t="shared" si="10"/>
        <v>0</v>
      </c>
      <c r="F18" s="287">
        <f t="shared" si="0"/>
        <v>0</v>
      </c>
      <c r="G18" s="196"/>
      <c r="H18" s="270">
        <f t="shared" si="22"/>
        <v>9934</v>
      </c>
      <c r="I18" s="287" t="str">
        <f t="shared" si="1"/>
        <v>oil change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12150</v>
      </c>
      <c r="S18" s="287">
        <f t="shared" si="4"/>
        <v>0</v>
      </c>
      <c r="T18" s="535">
        <f t="shared" si="16"/>
        <v>438163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29"/>
        <v>ok</v>
      </c>
      <c r="Z18" s="287">
        <f t="shared" si="6"/>
        <v>0</v>
      </c>
      <c r="AA18" s="287">
        <f t="shared" si="18"/>
        <v>0</v>
      </c>
      <c r="AB18" s="287">
        <f t="shared" si="19"/>
        <v>250</v>
      </c>
      <c r="AC18" s="287">
        <f t="shared" si="20"/>
        <v>0</v>
      </c>
      <c r="AD18" s="73">
        <f>ELEC!Q18</f>
        <v>0</v>
      </c>
      <c r="AE18" s="73" t="e">
        <f t="shared" si="24"/>
        <v>#DIV/0!</v>
      </c>
      <c r="AF18" s="403" t="e">
        <f t="shared" si="25"/>
        <v>#DIV/0!</v>
      </c>
      <c r="AG18" s="404" t="e">
        <f t="shared" si="26"/>
        <v>#DIV/0!</v>
      </c>
      <c r="AH18" s="404" t="e">
        <f t="shared" si="21"/>
        <v>#DIV/0!</v>
      </c>
      <c r="AI18" s="73">
        <f t="shared" si="27"/>
        <v>0</v>
      </c>
      <c r="AJ18" s="289">
        <f t="shared" si="7"/>
        <v>0.25738396624472576</v>
      </c>
      <c r="AK18" s="289">
        <f t="shared" si="32"/>
        <v>0</v>
      </c>
    </row>
    <row r="19" spans="1:37" ht="15.75" thickBot="1">
      <c r="A19" s="4">
        <f>ELEC!C19</f>
        <v>44333</v>
      </c>
      <c r="B19" s="534">
        <f t="shared" si="30"/>
        <v>9955</v>
      </c>
      <c r="C19" s="287">
        <f t="shared" si="9"/>
        <v>0</v>
      </c>
      <c r="D19" s="535">
        <f t="shared" si="31"/>
        <v>396250</v>
      </c>
      <c r="E19" s="287">
        <f t="shared" si="10"/>
        <v>0</v>
      </c>
      <c r="F19" s="287">
        <f t="shared" si="0"/>
        <v>0</v>
      </c>
      <c r="G19" s="196"/>
      <c r="H19" s="270">
        <f t="shared" si="22"/>
        <v>9934</v>
      </c>
      <c r="I19" s="287" t="str">
        <f t="shared" si="1"/>
        <v>oil change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3">IF(J19-P19&lt;=0,"ok","oil change")</f>
        <v>ok</v>
      </c>
      <c r="R19" s="535">
        <f t="shared" si="15"/>
        <v>12150</v>
      </c>
      <c r="S19" s="287">
        <f t="shared" si="4"/>
        <v>0</v>
      </c>
      <c r="T19" s="535">
        <f t="shared" si="16"/>
        <v>438163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29"/>
        <v>ok</v>
      </c>
      <c r="Z19" s="287">
        <f t="shared" si="6"/>
        <v>0</v>
      </c>
      <c r="AA19" s="287">
        <f t="shared" si="18"/>
        <v>0</v>
      </c>
      <c r="AB19" s="287">
        <f t="shared" si="19"/>
        <v>250</v>
      </c>
      <c r="AC19" s="287">
        <f t="shared" si="20"/>
        <v>0</v>
      </c>
      <c r="AD19" s="73">
        <f>ELEC!Q19</f>
        <v>0</v>
      </c>
      <c r="AE19" s="73" t="e">
        <f t="shared" si="24"/>
        <v>#DIV/0!</v>
      </c>
      <c r="AF19" s="403" t="e">
        <f t="shared" si="25"/>
        <v>#DIV/0!</v>
      </c>
      <c r="AG19" s="404" t="e">
        <f t="shared" si="26"/>
        <v>#DIV/0!</v>
      </c>
      <c r="AH19" s="404" t="e">
        <f t="shared" si="21"/>
        <v>#DIV/0!</v>
      </c>
      <c r="AI19" s="73">
        <f t="shared" si="27"/>
        <v>0</v>
      </c>
      <c r="AJ19" s="289">
        <f t="shared" si="7"/>
        <v>0.25738396624472576</v>
      </c>
      <c r="AK19" s="289">
        <f t="shared" si="32"/>
        <v>0</v>
      </c>
    </row>
    <row r="20" spans="1:37" ht="15.75" thickBot="1">
      <c r="A20" s="4">
        <f>ELEC!C20</f>
        <v>44334</v>
      </c>
      <c r="B20" s="534">
        <f t="shared" si="30"/>
        <v>9955</v>
      </c>
      <c r="C20" s="287">
        <f>B20-B19</f>
        <v>0</v>
      </c>
      <c r="D20" s="535">
        <f t="shared" si="31"/>
        <v>396250</v>
      </c>
      <c r="E20" s="287">
        <f t="shared" si="10"/>
        <v>0</v>
      </c>
      <c r="F20" s="287">
        <f t="shared" si="0"/>
        <v>0</v>
      </c>
      <c r="G20" s="196"/>
      <c r="H20" s="270">
        <f t="shared" si="22"/>
        <v>9934</v>
      </c>
      <c r="I20" s="287" t="str">
        <f t="shared" si="1"/>
        <v>oil change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3"/>
        <v>ok</v>
      </c>
      <c r="R20" s="535">
        <f t="shared" si="15"/>
        <v>12150</v>
      </c>
      <c r="S20" s="287">
        <f t="shared" si="4"/>
        <v>0</v>
      </c>
      <c r="T20" s="535">
        <f t="shared" si="16"/>
        <v>438163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29"/>
        <v>ok</v>
      </c>
      <c r="Z20" s="287">
        <f t="shared" si="6"/>
        <v>0</v>
      </c>
      <c r="AA20" s="287">
        <f t="shared" si="18"/>
        <v>0</v>
      </c>
      <c r="AB20" s="287">
        <f t="shared" si="19"/>
        <v>250</v>
      </c>
      <c r="AC20" s="287">
        <f t="shared" si="20"/>
        <v>0</v>
      </c>
      <c r="AD20" s="73">
        <f>ELEC!Q20</f>
        <v>0</v>
      </c>
      <c r="AE20" s="73" t="e">
        <f t="shared" si="24"/>
        <v>#DIV/0!</v>
      </c>
      <c r="AF20" s="403" t="e">
        <f t="shared" si="25"/>
        <v>#DIV/0!</v>
      </c>
      <c r="AG20" s="404" t="e">
        <f t="shared" si="26"/>
        <v>#DIV/0!</v>
      </c>
      <c r="AH20" s="404" t="e">
        <f t="shared" si="21"/>
        <v>#DIV/0!</v>
      </c>
      <c r="AI20" s="73">
        <f>AD20*AJ20</f>
        <v>0</v>
      </c>
      <c r="AJ20" s="289">
        <f t="shared" si="7"/>
        <v>0.25738396624472576</v>
      </c>
      <c r="AK20" s="289">
        <f t="shared" si="32"/>
        <v>0</v>
      </c>
    </row>
    <row r="21" spans="1:37" ht="15.75" thickBot="1">
      <c r="A21" s="4">
        <f>ELEC!C21</f>
        <v>44335</v>
      </c>
      <c r="B21" s="534">
        <f t="shared" si="30"/>
        <v>9955</v>
      </c>
      <c r="C21" s="287">
        <f t="shared" ref="C21" si="34">B21-B20</f>
        <v>0</v>
      </c>
      <c r="D21" s="535">
        <f t="shared" si="31"/>
        <v>396250</v>
      </c>
      <c r="E21" s="287">
        <f t="shared" si="10"/>
        <v>0</v>
      </c>
      <c r="F21" s="287">
        <f t="shared" si="0"/>
        <v>0</v>
      </c>
      <c r="G21" s="196"/>
      <c r="H21" s="270">
        <f t="shared" si="22"/>
        <v>9934</v>
      </c>
      <c r="I21" s="287" t="str">
        <f t="shared" si="1"/>
        <v>oil change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3"/>
        <v>ok</v>
      </c>
      <c r="R21" s="535">
        <f t="shared" si="15"/>
        <v>12150</v>
      </c>
      <c r="S21" s="287">
        <f t="shared" si="4"/>
        <v>0</v>
      </c>
      <c r="T21" s="535">
        <f t="shared" si="16"/>
        <v>438163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0</v>
      </c>
      <c r="AA21" s="287">
        <f t="shared" si="18"/>
        <v>0</v>
      </c>
      <c r="AB21" s="287">
        <f t="shared" si="19"/>
        <v>250</v>
      </c>
      <c r="AC21" s="287">
        <f t="shared" si="20"/>
        <v>0</v>
      </c>
      <c r="AD21" s="73">
        <f>ELEC!Q21</f>
        <v>0</v>
      </c>
      <c r="AE21" s="73" t="e">
        <f t="shared" si="24"/>
        <v>#DIV/0!</v>
      </c>
      <c r="AF21" s="403" t="e">
        <f t="shared" si="25"/>
        <v>#DIV/0!</v>
      </c>
      <c r="AG21" s="404" t="e">
        <f t="shared" si="26"/>
        <v>#DIV/0!</v>
      </c>
      <c r="AH21" s="404" t="e">
        <f t="shared" si="21"/>
        <v>#DIV/0!</v>
      </c>
      <c r="AI21" s="73">
        <f t="shared" si="27"/>
        <v>0</v>
      </c>
      <c r="AJ21" s="289">
        <f t="shared" si="7"/>
        <v>0.25738396624472576</v>
      </c>
      <c r="AK21" s="289">
        <f t="shared" si="32"/>
        <v>0</v>
      </c>
    </row>
    <row r="22" spans="1:37" ht="15.75" thickBot="1">
      <c r="A22" s="4">
        <f>ELEC!C22</f>
        <v>44336</v>
      </c>
      <c r="B22" s="534">
        <f t="shared" si="30"/>
        <v>9955</v>
      </c>
      <c r="C22" s="287">
        <f t="shared" si="9"/>
        <v>0</v>
      </c>
      <c r="D22" s="535">
        <f t="shared" si="31"/>
        <v>396250</v>
      </c>
      <c r="E22" s="287">
        <f>150*C22</f>
        <v>0</v>
      </c>
      <c r="F22" s="287">
        <f t="shared" si="0"/>
        <v>0</v>
      </c>
      <c r="G22" s="196"/>
      <c r="H22" s="270">
        <f t="shared" si="22"/>
        <v>9934</v>
      </c>
      <c r="I22" s="287" t="str">
        <f t="shared" si="1"/>
        <v>oil change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3"/>
        <v>ok</v>
      </c>
      <c r="R22" s="535">
        <f t="shared" si="15"/>
        <v>12150</v>
      </c>
      <c r="S22" s="287">
        <f t="shared" si="4"/>
        <v>0</v>
      </c>
      <c r="T22" s="535">
        <f t="shared" si="16"/>
        <v>438163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8"/>
        <v>0</v>
      </c>
      <c r="AB22" s="287">
        <f t="shared" si="19"/>
        <v>250</v>
      </c>
      <c r="AC22" s="287">
        <f t="shared" si="20"/>
        <v>0</v>
      </c>
      <c r="AD22" s="73">
        <f>ELEC!Q22</f>
        <v>0</v>
      </c>
      <c r="AE22" s="73" t="e">
        <f t="shared" si="24"/>
        <v>#DIV/0!</v>
      </c>
      <c r="AF22" s="403" t="e">
        <f t="shared" si="25"/>
        <v>#DIV/0!</v>
      </c>
      <c r="AG22" s="404" t="e">
        <f t="shared" si="26"/>
        <v>#DIV/0!</v>
      </c>
      <c r="AH22" s="404" t="e">
        <f t="shared" si="21"/>
        <v>#DIV/0!</v>
      </c>
      <c r="AI22" s="73">
        <f t="shared" si="27"/>
        <v>0</v>
      </c>
      <c r="AJ22" s="289">
        <f t="shared" si="7"/>
        <v>0.25738396624472576</v>
      </c>
      <c r="AK22" s="289">
        <f t="shared" si="32"/>
        <v>0</v>
      </c>
    </row>
    <row r="23" spans="1:37" ht="15.75" thickBot="1">
      <c r="A23" s="4">
        <f>ELEC!C23</f>
        <v>44337</v>
      </c>
      <c r="B23" s="534">
        <f t="shared" si="30"/>
        <v>9955</v>
      </c>
      <c r="C23" s="287">
        <f t="shared" si="9"/>
        <v>0</v>
      </c>
      <c r="D23" s="535">
        <f t="shared" si="31"/>
        <v>396250</v>
      </c>
      <c r="E23" s="287">
        <f>150*C23</f>
        <v>0</v>
      </c>
      <c r="F23" s="287">
        <f t="shared" si="0"/>
        <v>0</v>
      </c>
      <c r="G23" s="196"/>
      <c r="H23" s="270">
        <f t="shared" si="22"/>
        <v>9934</v>
      </c>
      <c r="I23" s="287" t="str">
        <f t="shared" si="1"/>
        <v>oil change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3"/>
        <v>ok</v>
      </c>
      <c r="R23" s="535">
        <f t="shared" si="15"/>
        <v>12150</v>
      </c>
      <c r="S23" s="287">
        <f>R23-R22</f>
        <v>0</v>
      </c>
      <c r="T23" s="535">
        <f t="shared" si="16"/>
        <v>438163</v>
      </c>
      <c r="U23" s="287">
        <f t="shared" si="17"/>
        <v>0</v>
      </c>
      <c r="V23" s="287">
        <v>250</v>
      </c>
      <c r="W23" s="196"/>
      <c r="X23" s="288">
        <f t="shared" si="23"/>
        <v>12192</v>
      </c>
      <c r="Y23" s="287" t="str">
        <f t="shared" si="35"/>
        <v>ok</v>
      </c>
      <c r="Z23" s="287">
        <f t="shared" si="6"/>
        <v>0</v>
      </c>
      <c r="AA23" s="287">
        <f t="shared" si="18"/>
        <v>0</v>
      </c>
      <c r="AB23" s="287">
        <f t="shared" si="19"/>
        <v>250</v>
      </c>
      <c r="AC23" s="287">
        <f t="shared" si="20"/>
        <v>0</v>
      </c>
      <c r="AD23" s="73">
        <f>ELEC!Q23</f>
        <v>0</v>
      </c>
      <c r="AE23" s="73" t="e">
        <f t="shared" si="24"/>
        <v>#DIV/0!</v>
      </c>
      <c r="AF23" s="403" t="e">
        <f t="shared" si="25"/>
        <v>#DIV/0!</v>
      </c>
      <c r="AG23" s="404" t="e">
        <f t="shared" si="26"/>
        <v>#DIV/0!</v>
      </c>
      <c r="AH23" s="404" t="e">
        <f t="shared" si="21"/>
        <v>#DIV/0!</v>
      </c>
      <c r="AI23" s="73">
        <f t="shared" si="27"/>
        <v>0</v>
      </c>
      <c r="AJ23" s="289">
        <f t="shared" si="7"/>
        <v>0.25738396624472576</v>
      </c>
      <c r="AK23" s="289">
        <f t="shared" si="32"/>
        <v>0</v>
      </c>
    </row>
    <row r="24" spans="1:37" ht="15.75" thickBot="1">
      <c r="A24" s="4">
        <f>ELEC!C24</f>
        <v>44338</v>
      </c>
      <c r="B24" s="534">
        <f t="shared" si="30"/>
        <v>9955</v>
      </c>
      <c r="C24" s="287">
        <f t="shared" si="9"/>
        <v>0</v>
      </c>
      <c r="D24" s="535">
        <f t="shared" si="31"/>
        <v>396250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9934</v>
      </c>
      <c r="I24" s="287" t="str">
        <f t="shared" si="1"/>
        <v>oil change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3"/>
        <v>ok</v>
      </c>
      <c r="R24" s="535">
        <f t="shared" si="15"/>
        <v>12150</v>
      </c>
      <c r="S24" s="287">
        <f t="shared" si="4"/>
        <v>0</v>
      </c>
      <c r="T24" s="535">
        <f t="shared" si="16"/>
        <v>438163</v>
      </c>
      <c r="U24" s="287">
        <f t="shared" si="17"/>
        <v>0</v>
      </c>
      <c r="V24" s="287">
        <v>250</v>
      </c>
      <c r="W24" s="196"/>
      <c r="X24" s="288">
        <f t="shared" si="23"/>
        <v>12192</v>
      </c>
      <c r="Y24" s="287" t="str">
        <f t="shared" si="35"/>
        <v>ok</v>
      </c>
      <c r="Z24" s="287">
        <f t="shared" si="6"/>
        <v>0</v>
      </c>
      <c r="AA24" s="287">
        <f t="shared" si="18"/>
        <v>0</v>
      </c>
      <c r="AB24" s="287">
        <f t="shared" si="19"/>
        <v>250</v>
      </c>
      <c r="AC24" s="287">
        <f t="shared" si="20"/>
        <v>0</v>
      </c>
      <c r="AD24" s="73">
        <f>ELEC!Q24</f>
        <v>0</v>
      </c>
      <c r="AE24" s="73" t="e">
        <f t="shared" si="24"/>
        <v>#DIV/0!</v>
      </c>
      <c r="AF24" s="403" t="e">
        <f t="shared" si="25"/>
        <v>#DIV/0!</v>
      </c>
      <c r="AG24" s="404" t="e">
        <f t="shared" si="26"/>
        <v>#DIV/0!</v>
      </c>
      <c r="AH24" s="404" t="e">
        <f t="shared" si="21"/>
        <v>#DIV/0!</v>
      </c>
      <c r="AI24" s="73">
        <f t="shared" si="27"/>
        <v>0</v>
      </c>
      <c r="AJ24" s="289">
        <f t="shared" si="7"/>
        <v>0.25738396624472576</v>
      </c>
      <c r="AK24" s="289">
        <f t="shared" si="32"/>
        <v>0</v>
      </c>
    </row>
    <row r="25" spans="1:37" ht="15.75" thickBot="1">
      <c r="A25" s="4">
        <f>ELEC!C25</f>
        <v>44339</v>
      </c>
      <c r="B25" s="534">
        <f t="shared" si="30"/>
        <v>9955</v>
      </c>
      <c r="C25" s="287">
        <f t="shared" si="9"/>
        <v>0</v>
      </c>
      <c r="D25" s="535">
        <f t="shared" si="31"/>
        <v>396250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9934</v>
      </c>
      <c r="I25" s="287" t="str">
        <f t="shared" si="1"/>
        <v>oil change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3"/>
        <v>ok</v>
      </c>
      <c r="R25" s="535">
        <f t="shared" si="15"/>
        <v>12150</v>
      </c>
      <c r="S25" s="287">
        <f t="shared" si="4"/>
        <v>0</v>
      </c>
      <c r="T25" s="535">
        <f t="shared" si="16"/>
        <v>438163</v>
      </c>
      <c r="U25" s="287">
        <f t="shared" si="17"/>
        <v>0</v>
      </c>
      <c r="V25" s="287">
        <v>250</v>
      </c>
      <c r="W25" s="196"/>
      <c r="X25" s="288">
        <f t="shared" si="23"/>
        <v>12192</v>
      </c>
      <c r="Y25" s="287" t="str">
        <f t="shared" si="35"/>
        <v>ok</v>
      </c>
      <c r="Z25" s="287">
        <f t="shared" si="6"/>
        <v>0</v>
      </c>
      <c r="AA25" s="287">
        <f t="shared" si="18"/>
        <v>0</v>
      </c>
      <c r="AB25" s="287">
        <f t="shared" si="19"/>
        <v>250</v>
      </c>
      <c r="AC25" s="287">
        <f t="shared" si="20"/>
        <v>0</v>
      </c>
      <c r="AD25" s="73">
        <f>ELEC!Q25</f>
        <v>0</v>
      </c>
      <c r="AE25" s="73" t="e">
        <f t="shared" si="24"/>
        <v>#DIV/0!</v>
      </c>
      <c r="AF25" s="403" t="e">
        <f t="shared" si="25"/>
        <v>#DIV/0!</v>
      </c>
      <c r="AG25" s="404" t="e">
        <f t="shared" si="26"/>
        <v>#DIV/0!</v>
      </c>
      <c r="AH25" s="404" t="e">
        <f t="shared" si="21"/>
        <v>#DIV/0!</v>
      </c>
      <c r="AI25" s="73">
        <f t="shared" si="27"/>
        <v>0</v>
      </c>
      <c r="AJ25" s="289">
        <f t="shared" si="7"/>
        <v>0.25738396624472576</v>
      </c>
      <c r="AK25" s="289">
        <f t="shared" si="32"/>
        <v>0</v>
      </c>
    </row>
    <row r="26" spans="1:37" ht="15.75" thickBot="1">
      <c r="A26" s="4">
        <f>ELEC!C26</f>
        <v>44340</v>
      </c>
      <c r="B26" s="534">
        <f t="shared" si="30"/>
        <v>9955</v>
      </c>
      <c r="C26" s="287">
        <f t="shared" si="9"/>
        <v>0</v>
      </c>
      <c r="D26" s="535">
        <f t="shared" si="31"/>
        <v>396250</v>
      </c>
      <c r="E26" s="287">
        <f>SUM(D26-D25)</f>
        <v>0</v>
      </c>
      <c r="F26" s="287">
        <f t="shared" si="0"/>
        <v>0</v>
      </c>
      <c r="G26" s="196"/>
      <c r="H26" s="270">
        <f t="shared" si="22"/>
        <v>9934</v>
      </c>
      <c r="I26" s="287" t="str">
        <f t="shared" si="1"/>
        <v>oil change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3"/>
        <v>ok</v>
      </c>
      <c r="R26" s="535">
        <f t="shared" si="15"/>
        <v>12150</v>
      </c>
      <c r="S26" s="287">
        <f t="shared" si="4"/>
        <v>0</v>
      </c>
      <c r="T26" s="535">
        <f t="shared" si="16"/>
        <v>438163</v>
      </c>
      <c r="U26" s="287">
        <f t="shared" si="17"/>
        <v>0</v>
      </c>
      <c r="V26" s="287">
        <v>250</v>
      </c>
      <c r="W26" s="196"/>
      <c r="X26" s="288">
        <f t="shared" si="23"/>
        <v>12192</v>
      </c>
      <c r="Y26" s="287" t="str">
        <f t="shared" si="35"/>
        <v>ok</v>
      </c>
      <c r="Z26" s="287">
        <f t="shared" si="6"/>
        <v>0</v>
      </c>
      <c r="AA26" s="287">
        <f t="shared" si="18"/>
        <v>0</v>
      </c>
      <c r="AB26" s="287">
        <f t="shared" si="19"/>
        <v>250</v>
      </c>
      <c r="AC26" s="287">
        <f t="shared" si="20"/>
        <v>0</v>
      </c>
      <c r="AD26" s="73">
        <f>ELEC!Q26</f>
        <v>0</v>
      </c>
      <c r="AE26" s="73" t="e">
        <f t="shared" si="24"/>
        <v>#DIV/0!</v>
      </c>
      <c r="AF26" s="403" t="e">
        <f t="shared" si="25"/>
        <v>#DIV/0!</v>
      </c>
      <c r="AG26" s="404" t="e">
        <f t="shared" si="26"/>
        <v>#DIV/0!</v>
      </c>
      <c r="AH26" s="404" t="e">
        <f t="shared" si="21"/>
        <v>#DIV/0!</v>
      </c>
      <c r="AI26" s="73">
        <f t="shared" si="27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44341</v>
      </c>
      <c r="B27" s="534">
        <f t="shared" si="30"/>
        <v>9955</v>
      </c>
      <c r="C27" s="287">
        <f t="shared" si="9"/>
        <v>0</v>
      </c>
      <c r="D27" s="535">
        <f t="shared" si="31"/>
        <v>396250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9934</v>
      </c>
      <c r="I27" s="287" t="str">
        <f>IF(B27-H27&lt;=0,"ok","oil change")</f>
        <v>oil change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3"/>
        <v>ok</v>
      </c>
      <c r="R27" s="535">
        <f t="shared" si="15"/>
        <v>12150</v>
      </c>
      <c r="S27" s="287">
        <f t="shared" si="4"/>
        <v>0</v>
      </c>
      <c r="T27" s="535">
        <f t="shared" si="16"/>
        <v>438163</v>
      </c>
      <c r="U27" s="287">
        <f t="shared" si="17"/>
        <v>0</v>
      </c>
      <c r="V27" s="287">
        <v>250</v>
      </c>
      <c r="W27" s="196"/>
      <c r="X27" s="288">
        <f t="shared" si="23"/>
        <v>12192</v>
      </c>
      <c r="Y27" s="287" t="str">
        <f t="shared" si="35"/>
        <v>ok</v>
      </c>
      <c r="Z27" s="287">
        <f t="shared" si="6"/>
        <v>0</v>
      </c>
      <c r="AA27" s="287">
        <f t="shared" si="18"/>
        <v>0</v>
      </c>
      <c r="AB27" s="287">
        <f t="shared" si="19"/>
        <v>250</v>
      </c>
      <c r="AC27" s="287">
        <f t="shared" si="20"/>
        <v>0</v>
      </c>
      <c r="AD27" s="73">
        <f>ELEC!Q27</f>
        <v>0</v>
      </c>
      <c r="AE27" s="73" t="e">
        <f t="shared" si="24"/>
        <v>#DIV/0!</v>
      </c>
      <c r="AF27" s="403" t="e">
        <f t="shared" si="25"/>
        <v>#DIV/0!</v>
      </c>
      <c r="AG27" s="404" t="e">
        <f t="shared" si="26"/>
        <v>#DIV/0!</v>
      </c>
      <c r="AH27" s="404" t="e">
        <f t="shared" si="21"/>
        <v>#DIV/0!</v>
      </c>
      <c r="AI27" s="73">
        <f t="shared" si="27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44342</v>
      </c>
      <c r="B28" s="534">
        <f t="shared" si="30"/>
        <v>9955</v>
      </c>
      <c r="C28" s="287">
        <f t="shared" si="9"/>
        <v>0</v>
      </c>
      <c r="D28" s="535">
        <f t="shared" si="31"/>
        <v>396250</v>
      </c>
      <c r="E28" s="287">
        <f t="shared" si="10"/>
        <v>0</v>
      </c>
      <c r="F28" s="287">
        <f t="shared" si="0"/>
        <v>0</v>
      </c>
      <c r="G28" s="285"/>
      <c r="H28" s="270">
        <f t="shared" si="22"/>
        <v>9934</v>
      </c>
      <c r="I28" s="287" t="str">
        <f t="shared" si="1"/>
        <v>oil change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3"/>
        <v>ok</v>
      </c>
      <c r="R28" s="535">
        <f t="shared" si="15"/>
        <v>12150</v>
      </c>
      <c r="S28" s="287">
        <f t="shared" si="4"/>
        <v>0</v>
      </c>
      <c r="T28" s="535">
        <f t="shared" si="16"/>
        <v>438163</v>
      </c>
      <c r="U28" s="287">
        <f t="shared" si="17"/>
        <v>0</v>
      </c>
      <c r="V28" s="287">
        <v>250</v>
      </c>
      <c r="W28" s="196"/>
      <c r="X28" s="288">
        <f t="shared" si="23"/>
        <v>12192</v>
      </c>
      <c r="Y28" s="287" t="str">
        <f t="shared" si="35"/>
        <v>ok</v>
      </c>
      <c r="Z28" s="287">
        <f t="shared" si="6"/>
        <v>0</v>
      </c>
      <c r="AA28" s="287">
        <f t="shared" si="18"/>
        <v>0</v>
      </c>
      <c r="AB28" s="287">
        <f t="shared" si="19"/>
        <v>250</v>
      </c>
      <c r="AC28" s="287">
        <f t="shared" si="20"/>
        <v>0</v>
      </c>
      <c r="AD28" s="73">
        <f>ELEC!Q28</f>
        <v>0</v>
      </c>
      <c r="AE28" s="73" t="e">
        <f t="shared" si="24"/>
        <v>#DIV/0!</v>
      </c>
      <c r="AF28" s="403" t="e">
        <f t="shared" si="25"/>
        <v>#DIV/0!</v>
      </c>
      <c r="AG28" s="404" t="e">
        <f t="shared" si="26"/>
        <v>#DIV/0!</v>
      </c>
      <c r="AH28" s="404" t="e">
        <f t="shared" si="21"/>
        <v>#DIV/0!</v>
      </c>
      <c r="AI28" s="73">
        <f t="shared" si="27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44343</v>
      </c>
      <c r="B29" s="534">
        <f t="shared" si="30"/>
        <v>9955</v>
      </c>
      <c r="C29" s="287">
        <f t="shared" si="9"/>
        <v>0</v>
      </c>
      <c r="D29" s="535">
        <f t="shared" si="31"/>
        <v>396250</v>
      </c>
      <c r="E29" s="287">
        <f>SUM(D29-D28)</f>
        <v>0</v>
      </c>
      <c r="F29" s="287">
        <f t="shared" si="0"/>
        <v>0</v>
      </c>
      <c r="G29" s="196"/>
      <c r="H29" s="270">
        <f t="shared" si="22"/>
        <v>9934</v>
      </c>
      <c r="I29" s="287" t="str">
        <f t="shared" si="1"/>
        <v>oil change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3"/>
        <v>ok</v>
      </c>
      <c r="R29" s="535">
        <f t="shared" si="15"/>
        <v>12150</v>
      </c>
      <c r="S29" s="287">
        <f t="shared" si="4"/>
        <v>0</v>
      </c>
      <c r="T29" s="535">
        <f t="shared" si="16"/>
        <v>438163</v>
      </c>
      <c r="U29" s="287">
        <f t="shared" si="17"/>
        <v>0</v>
      </c>
      <c r="V29" s="287">
        <v>250</v>
      </c>
      <c r="W29" s="196"/>
      <c r="X29" s="288">
        <f t="shared" si="23"/>
        <v>12192</v>
      </c>
      <c r="Y29" s="287" t="str">
        <f t="shared" si="35"/>
        <v>ok</v>
      </c>
      <c r="Z29" s="287">
        <f t="shared" si="6"/>
        <v>0</v>
      </c>
      <c r="AA29" s="287">
        <f t="shared" si="18"/>
        <v>0</v>
      </c>
      <c r="AB29" s="287">
        <f t="shared" si="19"/>
        <v>250</v>
      </c>
      <c r="AC29" s="287">
        <f t="shared" si="20"/>
        <v>0</v>
      </c>
      <c r="AD29" s="73">
        <f>ELEC!Q29</f>
        <v>0</v>
      </c>
      <c r="AE29" s="73" t="e">
        <f t="shared" si="24"/>
        <v>#DIV/0!</v>
      </c>
      <c r="AF29" s="403" t="e">
        <f t="shared" si="25"/>
        <v>#DIV/0!</v>
      </c>
      <c r="AG29" s="404" t="e">
        <f t="shared" si="26"/>
        <v>#DIV/0!</v>
      </c>
      <c r="AH29" s="404" t="e">
        <f t="shared" si="21"/>
        <v>#DIV/0!</v>
      </c>
      <c r="AI29" s="73">
        <f t="shared" si="27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44344</v>
      </c>
      <c r="B30" s="534">
        <f t="shared" si="30"/>
        <v>9955</v>
      </c>
      <c r="C30" s="287">
        <f t="shared" si="9"/>
        <v>0</v>
      </c>
      <c r="D30" s="535">
        <f t="shared" si="31"/>
        <v>396250</v>
      </c>
      <c r="E30" s="287">
        <f t="shared" si="10"/>
        <v>0</v>
      </c>
      <c r="F30" s="287">
        <f t="shared" si="0"/>
        <v>0</v>
      </c>
      <c r="G30" s="196"/>
      <c r="H30" s="270">
        <f t="shared" si="22"/>
        <v>9934</v>
      </c>
      <c r="I30" s="287" t="str">
        <f t="shared" si="1"/>
        <v>oil change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3"/>
        <v>ok</v>
      </c>
      <c r="R30" s="535">
        <f t="shared" si="15"/>
        <v>12150</v>
      </c>
      <c r="S30" s="287">
        <f t="shared" si="4"/>
        <v>0</v>
      </c>
      <c r="T30" s="535">
        <f t="shared" si="16"/>
        <v>438163</v>
      </c>
      <c r="U30" s="287">
        <f t="shared" si="17"/>
        <v>0</v>
      </c>
      <c r="V30" s="287">
        <v>250</v>
      </c>
      <c r="W30" s="285"/>
      <c r="X30" s="288">
        <f t="shared" si="23"/>
        <v>12192</v>
      </c>
      <c r="Y30" s="287" t="str">
        <f t="shared" si="35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4"/>
        <v>#DIV/0!</v>
      </c>
      <c r="AF30" s="403" t="e">
        <f t="shared" si="25"/>
        <v>#DIV/0!</v>
      </c>
      <c r="AG30" s="404" t="e">
        <f t="shared" si="26"/>
        <v>#DIV/0!</v>
      </c>
      <c r="AH30" s="404" t="e">
        <f t="shared" si="21"/>
        <v>#DIV/0!</v>
      </c>
      <c r="AI30" s="73">
        <f t="shared" si="27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44345</v>
      </c>
      <c r="B31" s="534">
        <f t="shared" si="30"/>
        <v>9955</v>
      </c>
      <c r="C31" s="287">
        <f t="shared" ref="C31:C32" si="36">B31-B30</f>
        <v>0</v>
      </c>
      <c r="D31" s="535">
        <f t="shared" si="31"/>
        <v>396250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2"/>
        <v>9934</v>
      </c>
      <c r="I31" s="287" t="str">
        <f t="shared" ref="I31:I32" si="39">IF(B31-H31&lt;=0,"ok","oil change")</f>
        <v>oil change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12150</v>
      </c>
      <c r="S31" s="287">
        <f t="shared" ref="S31:S32" si="44">R31-R30</f>
        <v>0</v>
      </c>
      <c r="T31" s="535">
        <f t="shared" si="16"/>
        <v>438163</v>
      </c>
      <c r="U31" s="287">
        <f t="shared" si="17"/>
        <v>0</v>
      </c>
      <c r="V31" s="287">
        <v>250</v>
      </c>
      <c r="W31" s="338"/>
      <c r="X31" s="288">
        <f t="shared" si="23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30"/>
        <v>9955</v>
      </c>
      <c r="C32" s="287">
        <f t="shared" si="36"/>
        <v>0</v>
      </c>
      <c r="D32" s="535">
        <f t="shared" si="31"/>
        <v>396250</v>
      </c>
      <c r="E32" s="287">
        <f t="shared" si="37"/>
        <v>0</v>
      </c>
      <c r="F32" s="287">
        <f t="shared" si="38"/>
        <v>0</v>
      </c>
      <c r="G32" s="338"/>
      <c r="H32" s="270">
        <f t="shared" si="22"/>
        <v>9934</v>
      </c>
      <c r="I32" s="287" t="str">
        <f t="shared" si="39"/>
        <v>oil change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12150</v>
      </c>
      <c r="S32" s="287">
        <f t="shared" si="44"/>
        <v>0</v>
      </c>
      <c r="T32" s="535">
        <f t="shared" si="16"/>
        <v>438163</v>
      </c>
      <c r="U32" s="287">
        <f t="shared" si="17"/>
        <v>0</v>
      </c>
      <c r="V32" s="287">
        <v>250</v>
      </c>
      <c r="W32" s="338"/>
      <c r="X32" s="288">
        <f t="shared" si="23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30"/>
        <v>9955</v>
      </c>
      <c r="C33" s="287">
        <f t="shared" ref="C33" si="56">B33-B32</f>
        <v>0</v>
      </c>
      <c r="D33" s="535">
        <f t="shared" si="31"/>
        <v>396250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2"/>
        <v>9934</v>
      </c>
      <c r="I33" s="287" t="str">
        <f t="shared" ref="I33" si="59">IF(B33-H33&lt;=0,"ok","oil change")</f>
        <v>oil change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f t="shared" si="15"/>
        <v>12150</v>
      </c>
      <c r="S33" s="287">
        <f t="shared" ref="S33" si="64">R33-R32</f>
        <v>0</v>
      </c>
      <c r="T33" s="535">
        <f t="shared" si="16"/>
        <v>438163</v>
      </c>
      <c r="U33" s="287">
        <f t="shared" ref="U33" si="65">V33*S33</f>
        <v>0</v>
      </c>
      <c r="V33" s="287">
        <v>250</v>
      </c>
      <c r="W33" s="338"/>
      <c r="X33" s="288">
        <f t="shared" si="23"/>
        <v>12192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62</v>
      </c>
      <c r="V34" s="40"/>
      <c r="X34">
        <v>341</v>
      </c>
      <c r="Z34" s="421">
        <f>SUM(Z3:Z33)</f>
        <v>62</v>
      </c>
    </row>
    <row r="35" spans="1:37">
      <c r="C35" s="40">
        <f>SUM(C3:C33)</f>
        <v>62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12" sqref="J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2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0</v>
      </c>
      <c r="R4" s="297">
        <f>SUM(P4:Q4)</f>
        <v>377.06240838816666</v>
      </c>
      <c r="S4" s="299">
        <f>SUM(ELEC!N3)</f>
        <v>8346</v>
      </c>
      <c r="T4" s="336">
        <f>IF(S4&gt;0,R4/S4,0)</f>
        <v>4.5178817204429268E-2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710"/>
      <c r="AC4" s="711"/>
    </row>
    <row r="5" spans="1:32" ht="20.100000000000001" customHeight="1">
      <c r="A5" s="163">
        <f>ELEC!C4</f>
        <v>44318</v>
      </c>
      <c r="B5" s="612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12">
        <v>151431</v>
      </c>
      <c r="G5" s="160">
        <f t="shared" si="1"/>
        <v>339</v>
      </c>
      <c r="H5" s="612">
        <v>494679</v>
      </c>
      <c r="I5" s="161">
        <f t="shared" si="2"/>
        <v>1071</v>
      </c>
      <c r="J5" s="612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0</v>
      </c>
      <c r="R5" s="297">
        <f t="shared" ref="R5:R30" si="10">SUM(P5:Q5)</f>
        <v>359.71978815599419</v>
      </c>
      <c r="S5" s="299">
        <f>SUM(ELEC!N4)</f>
        <v>6548</v>
      </c>
      <c r="T5" s="336">
        <f>IF(S5&gt;0,R5/S5,0)</f>
        <v>5.4935825924861667E-2</v>
      </c>
      <c r="U5" s="250"/>
      <c r="V5" s="704"/>
      <c r="W5" s="705"/>
      <c r="X5" s="705"/>
      <c r="Y5" s="706"/>
      <c r="Z5" s="26" t="s">
        <v>203</v>
      </c>
      <c r="AA5" s="264">
        <f>'[8]EDl log'!AA22</f>
        <v>5000</v>
      </c>
      <c r="AB5" s="712"/>
      <c r="AC5" s="713"/>
    </row>
    <row r="6" spans="1:32" ht="20.100000000000001" customHeight="1">
      <c r="A6" s="163">
        <f>ELEC!C5</f>
        <v>44319</v>
      </c>
      <c r="B6" s="612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12">
        <v>151769</v>
      </c>
      <c r="G6" s="160">
        <f t="shared" si="1"/>
        <v>338</v>
      </c>
      <c r="H6" s="612">
        <v>495673</v>
      </c>
      <c r="I6" s="161">
        <f t="shared" si="2"/>
        <v>994</v>
      </c>
      <c r="J6" s="612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0</v>
      </c>
      <c r="R6" s="297">
        <f t="shared" si="10"/>
        <v>350.01895896859787</v>
      </c>
      <c r="S6" s="299">
        <f>SUM(ELEC!N5)</f>
        <v>7179</v>
      </c>
      <c r="T6" s="336">
        <f t="shared" ref="T6:T30" si="12">IF(S6&gt;0,R6/S6,0)</f>
        <v>4.8755949152890075E-2</v>
      </c>
      <c r="V6" s="707"/>
      <c r="W6" s="708"/>
      <c r="X6" s="708"/>
      <c r="Y6" s="709"/>
      <c r="Z6" s="3"/>
      <c r="AA6" s="3"/>
      <c r="AB6" s="712"/>
      <c r="AC6" s="713"/>
    </row>
    <row r="7" spans="1:32" ht="20.100000000000001" customHeight="1">
      <c r="A7" s="163">
        <f>ELEC!C6</f>
        <v>44320</v>
      </c>
      <c r="B7" s="612">
        <v>1017767</v>
      </c>
      <c r="C7" s="264">
        <f t="shared" si="0"/>
        <v>1887</v>
      </c>
      <c r="D7" s="308">
        <f t="shared" si="7"/>
        <v>1886</v>
      </c>
      <c r="E7" s="308">
        <f t="shared" si="11"/>
        <v>1017766</v>
      </c>
      <c r="F7" s="612">
        <v>151883</v>
      </c>
      <c r="G7" s="160">
        <f t="shared" si="1"/>
        <v>114</v>
      </c>
      <c r="H7" s="612">
        <v>496424</v>
      </c>
      <c r="I7" s="161">
        <f t="shared" si="2"/>
        <v>751</v>
      </c>
      <c r="J7" s="612">
        <v>369459</v>
      </c>
      <c r="K7" s="162">
        <f t="shared" si="3"/>
        <v>1021</v>
      </c>
      <c r="L7" s="296">
        <f t="shared" si="4"/>
        <v>24.199004975124378</v>
      </c>
      <c r="M7" s="296">
        <f t="shared" si="5"/>
        <v>55.795688225538974</v>
      </c>
      <c r="N7" s="296">
        <f t="shared" si="6"/>
        <v>54.182421227197345</v>
      </c>
      <c r="O7" s="296">
        <f t="shared" si="8"/>
        <v>154.80303857058792</v>
      </c>
      <c r="P7" s="297">
        <f t="shared" si="9"/>
        <v>288.9801529984486</v>
      </c>
      <c r="Q7" s="297">
        <f>SUM(-tanks!AX9*tanks!$AU$37)</f>
        <v>0</v>
      </c>
      <c r="R7" s="297">
        <f t="shared" si="10"/>
        <v>288.9801529984486</v>
      </c>
      <c r="S7" s="299">
        <f>SUM(ELEC!N6)</f>
        <v>8383</v>
      </c>
      <c r="T7" s="336">
        <f t="shared" si="12"/>
        <v>3.4472164260819352E-2</v>
      </c>
      <c r="V7" s="700" t="s">
        <v>204</v>
      </c>
      <c r="W7" s="701"/>
      <c r="X7" s="702" t="s">
        <v>205</v>
      </c>
      <c r="Y7" s="703"/>
      <c r="Z7" s="701"/>
      <c r="AA7" s="26"/>
      <c r="AB7" s="714"/>
      <c r="AC7" s="715"/>
    </row>
    <row r="8" spans="1:32" ht="20.100000000000001" customHeight="1">
      <c r="A8" s="163">
        <f>ELEC!C7</f>
        <v>44321</v>
      </c>
      <c r="B8" s="612">
        <v>1019853</v>
      </c>
      <c r="C8" s="264">
        <f t="shared" si="0"/>
        <v>2086</v>
      </c>
      <c r="D8" s="308">
        <f t="shared" si="7"/>
        <v>2085</v>
      </c>
      <c r="E8" s="308">
        <f t="shared" si="11"/>
        <v>1019852</v>
      </c>
      <c r="F8" s="612">
        <v>152275</v>
      </c>
      <c r="G8" s="160">
        <f t="shared" si="1"/>
        <v>392</v>
      </c>
      <c r="H8" s="612">
        <v>497192</v>
      </c>
      <c r="I8" s="161">
        <f t="shared" si="2"/>
        <v>768</v>
      </c>
      <c r="J8" s="612">
        <v>370384</v>
      </c>
      <c r="K8" s="162">
        <f>J8-J7</f>
        <v>925</v>
      </c>
      <c r="L8" s="296">
        <f t="shared" si="4"/>
        <v>83.210613598673305</v>
      </c>
      <c r="M8" s="296">
        <f t="shared" si="5"/>
        <v>57.058706467661693</v>
      </c>
      <c r="N8" s="296">
        <f t="shared" si="6"/>
        <v>49.087893864013267</v>
      </c>
      <c r="O8" s="296">
        <f t="shared" si="8"/>
        <v>154.80303857058792</v>
      </c>
      <c r="P8" s="297">
        <f t="shared" si="9"/>
        <v>344.16025250093617</v>
      </c>
      <c r="Q8" s="297">
        <f>SUM(-tanks!AX10*tanks!$AU$37)</f>
        <v>0</v>
      </c>
      <c r="R8" s="297">
        <f t="shared" si="10"/>
        <v>344.16025250093617</v>
      </c>
      <c r="S8" s="299">
        <f>SUM(ELEC!N7)</f>
        <v>4768</v>
      </c>
      <c r="T8" s="336">
        <f>IF(S8&gt;0,R8/S8,0)</f>
        <v>7.2181261011102379E-2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12">
        <v>1021807</v>
      </c>
      <c r="C9" s="264">
        <f t="shared" si="0"/>
        <v>1954</v>
      </c>
      <c r="D9" s="308">
        <f t="shared" si="7"/>
        <v>1955</v>
      </c>
      <c r="E9" s="308">
        <f t="shared" si="11"/>
        <v>1021808</v>
      </c>
      <c r="F9" s="612">
        <v>152555</v>
      </c>
      <c r="G9" s="160">
        <f t="shared" si="1"/>
        <v>280</v>
      </c>
      <c r="H9" s="612">
        <v>498020</v>
      </c>
      <c r="I9" s="161">
        <f t="shared" si="2"/>
        <v>828</v>
      </c>
      <c r="J9" s="612">
        <v>371231</v>
      </c>
      <c r="K9" s="162">
        <f>J9-J8</f>
        <v>847</v>
      </c>
      <c r="L9" s="296">
        <f t="shared" si="4"/>
        <v>59.436152570480928</v>
      </c>
      <c r="M9" s="296">
        <f t="shared" si="5"/>
        <v>61.516417910447764</v>
      </c>
      <c r="N9" s="296">
        <f t="shared" si="6"/>
        <v>44.9485903814262</v>
      </c>
      <c r="O9" s="296">
        <f t="shared" si="8"/>
        <v>154.80303857058792</v>
      </c>
      <c r="P9" s="297">
        <f t="shared" si="9"/>
        <v>320.7041994329428</v>
      </c>
      <c r="Q9" s="297">
        <f>SUM(-tanks!AX11*tanks!$AU$37)</f>
        <v>0</v>
      </c>
      <c r="R9" s="297">
        <f>SUM(P9:Q9)</f>
        <v>320.7041994329428</v>
      </c>
      <c r="S9" s="299">
        <f>SUM(ELEC!N8)</f>
        <v>3912</v>
      </c>
      <c r="T9" s="336">
        <f t="shared" si="12"/>
        <v>8.1979601082040596E-2</v>
      </c>
      <c r="V9" s="254">
        <f>'[3]EDl log'!V26</f>
        <v>344256</v>
      </c>
      <c r="W9" s="254">
        <f>'[3]EDl log'!W26</f>
        <v>365756</v>
      </c>
      <c r="X9" s="254" t="s">
        <v>199</v>
      </c>
      <c r="Y9" s="647">
        <f>'[3]EDl log'!Y26</f>
        <v>80</v>
      </c>
      <c r="Z9" s="254">
        <v>1</v>
      </c>
      <c r="AA9" s="625">
        <f>'[3]EDl log'!AA26</f>
        <v>21500</v>
      </c>
      <c r="AB9" s="625">
        <f>'[3]EDl log'!AB26</f>
        <v>1720000</v>
      </c>
      <c r="AC9" s="625">
        <f>'[3]EDl log'!AC26</f>
        <v>1033333</v>
      </c>
      <c r="AD9" s="622">
        <f>'[3]EDl log'!AD26</f>
        <v>0.41224067185642516</v>
      </c>
    </row>
    <row r="10" spans="1:32" ht="20.100000000000001" customHeight="1">
      <c r="A10" s="163">
        <f>ELEC!C9</f>
        <v>44323</v>
      </c>
      <c r="B10" s="612">
        <v>1023553</v>
      </c>
      <c r="C10" s="264">
        <f t="shared" si="0"/>
        <v>1746</v>
      </c>
      <c r="D10" s="308">
        <f t="shared" si="7"/>
        <v>1747</v>
      </c>
      <c r="E10" s="308">
        <f t="shared" si="11"/>
        <v>1023554</v>
      </c>
      <c r="F10" s="612">
        <v>152749</v>
      </c>
      <c r="G10" s="160">
        <f t="shared" si="1"/>
        <v>194</v>
      </c>
      <c r="H10" s="612">
        <v>498840</v>
      </c>
      <c r="I10" s="161">
        <f t="shared" si="2"/>
        <v>820</v>
      </c>
      <c r="J10" s="612">
        <v>371964</v>
      </c>
      <c r="K10" s="162">
        <f t="shared" si="3"/>
        <v>733</v>
      </c>
      <c r="L10" s="296">
        <f t="shared" si="4"/>
        <v>41.180762852404641</v>
      </c>
      <c r="M10" s="296">
        <f t="shared" si="5"/>
        <v>60.922056384742952</v>
      </c>
      <c r="N10" s="296">
        <f t="shared" si="6"/>
        <v>38.898839137645105</v>
      </c>
      <c r="O10" s="296">
        <f t="shared" si="8"/>
        <v>154.80303857058792</v>
      </c>
      <c r="P10" s="297">
        <f t="shared" si="9"/>
        <v>295.80469694538061</v>
      </c>
      <c r="Q10" s="297">
        <f>SUM(-tanks!AX12*tanks!$AU$37)</f>
        <v>0</v>
      </c>
      <c r="R10" s="297">
        <f t="shared" si="10"/>
        <v>295.80469694538061</v>
      </c>
      <c r="S10" s="299">
        <f>SUM(ELEC!N9)</f>
        <v>8995.3999999999069</v>
      </c>
      <c r="T10" s="336">
        <f t="shared" si="12"/>
        <v>3.2883995925182166E-2</v>
      </c>
      <c r="V10" s="254">
        <f>'[3]EDl log'!V27</f>
        <v>468436</v>
      </c>
      <c r="W10" s="254">
        <f>'[3]EDl log'!W27</f>
        <v>492400</v>
      </c>
      <c r="X10" s="254" t="s">
        <v>213</v>
      </c>
      <c r="Y10" s="647">
        <f>'[3]EDl log'!Y27</f>
        <v>112</v>
      </c>
      <c r="Z10" s="254">
        <v>1</v>
      </c>
      <c r="AA10" s="625">
        <f>'[3]EDl log'!AA27</f>
        <v>23964</v>
      </c>
      <c r="AB10" s="625">
        <f>'[3]EDl log'!AB27</f>
        <v>2683968</v>
      </c>
      <c r="AC10" s="625">
        <f>'[3]EDl log'!AC27</f>
        <v>6200000</v>
      </c>
      <c r="AD10" s="622">
        <f>'[3]EDl log'!AD27</f>
        <v>0.45948537024964525</v>
      </c>
    </row>
    <row r="11" spans="1:32" ht="20.100000000000001" customHeight="1">
      <c r="A11" s="163">
        <f>ELEC!C10</f>
        <v>44324</v>
      </c>
      <c r="B11" s="612">
        <v>1025137</v>
      </c>
      <c r="C11" s="264">
        <f t="shared" si="0"/>
        <v>1584</v>
      </c>
      <c r="D11" s="308">
        <f>SUM(G11+I11+K11)</f>
        <v>1583</v>
      </c>
      <c r="E11" s="308">
        <f t="shared" si="11"/>
        <v>1025136</v>
      </c>
      <c r="F11" s="612">
        <v>152844</v>
      </c>
      <c r="G11" s="160">
        <f t="shared" si="1"/>
        <v>95</v>
      </c>
      <c r="H11" s="612">
        <v>499520</v>
      </c>
      <c r="I11" s="161">
        <f t="shared" si="2"/>
        <v>680</v>
      </c>
      <c r="J11" s="612">
        <v>372772</v>
      </c>
      <c r="K11" s="162">
        <f t="shared" si="3"/>
        <v>808</v>
      </c>
      <c r="L11" s="296">
        <f t="shared" si="4"/>
        <v>20.165837479270316</v>
      </c>
      <c r="M11" s="296">
        <f t="shared" si="5"/>
        <v>50.520729684908787</v>
      </c>
      <c r="N11" s="296">
        <f t="shared" si="6"/>
        <v>42.878938640132667</v>
      </c>
      <c r="O11" s="296">
        <f t="shared" si="8"/>
        <v>154.80303857058792</v>
      </c>
      <c r="P11" s="297">
        <f t="shared" si="9"/>
        <v>268.36854437489967</v>
      </c>
      <c r="Q11" s="297">
        <f>SUM(-tanks!AX13*tanks!$AU$37)</f>
        <v>0</v>
      </c>
      <c r="R11" s="297">
        <f t="shared" si="10"/>
        <v>268.36854437489967</v>
      </c>
      <c r="S11" s="299">
        <f>SUM(ELEC!N10)</f>
        <v>8249.8000000002794</v>
      </c>
      <c r="T11" s="336">
        <f t="shared" si="12"/>
        <v>3.253030914384477E-2</v>
      </c>
      <c r="V11" s="254">
        <f>'[3]EDl log'!V28</f>
        <v>143963</v>
      </c>
      <c r="W11" s="254">
        <f>'[3]EDl log'!W28</f>
        <v>150653</v>
      </c>
      <c r="X11" s="254" t="s">
        <v>197</v>
      </c>
      <c r="Y11" s="647">
        <f>'[3]EDl log'!Y28</f>
        <v>320</v>
      </c>
      <c r="Z11" s="254">
        <v>1</v>
      </c>
      <c r="AA11" s="625">
        <f>'[3]EDl log'!AA28</f>
        <v>6690</v>
      </c>
      <c r="AB11" s="625">
        <f>'[3]EDl log'!AB28</f>
        <v>2140800</v>
      </c>
      <c r="AC11" s="625">
        <f>'[3]EDl log'!AC28</f>
        <v>1000</v>
      </c>
      <c r="AD11" s="622">
        <f>'[3]EDl log'!AD28</f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52">
        <v>1026689</v>
      </c>
      <c r="C12" s="264">
        <f t="shared" si="0"/>
        <v>1552</v>
      </c>
      <c r="D12" s="308">
        <f t="shared" si="7"/>
        <v>1553</v>
      </c>
      <c r="E12" s="308">
        <f t="shared" si="11"/>
        <v>1026690</v>
      </c>
      <c r="F12" s="761">
        <v>153110</v>
      </c>
      <c r="G12" s="160">
        <f t="shared" si="1"/>
        <v>266</v>
      </c>
      <c r="H12" s="652">
        <v>500136</v>
      </c>
      <c r="I12" s="161">
        <f t="shared" si="2"/>
        <v>616</v>
      </c>
      <c r="J12" s="652">
        <v>373443</v>
      </c>
      <c r="K12" s="162">
        <f t="shared" si="3"/>
        <v>671</v>
      </c>
      <c r="L12" s="296">
        <f t="shared" si="4"/>
        <v>56.464344941956881</v>
      </c>
      <c r="M12" s="296">
        <f t="shared" si="5"/>
        <v>45.765837479270317</v>
      </c>
      <c r="N12" s="296">
        <f t="shared" si="6"/>
        <v>35.608623548922054</v>
      </c>
      <c r="O12" s="296">
        <f t="shared" si="8"/>
        <v>154.80303857058792</v>
      </c>
      <c r="P12" s="297">
        <f t="shared" si="9"/>
        <v>292.64184454073717</v>
      </c>
      <c r="Q12" s="297">
        <f>SUM(-tanks!AX14*tanks!$AU$37)</f>
        <v>0</v>
      </c>
      <c r="R12" s="297">
        <f t="shared" si="10"/>
        <v>292.64184454073717</v>
      </c>
      <c r="S12" s="299">
        <f>SUM(ELEC!N11)</f>
        <v>9025.7999999998137</v>
      </c>
      <c r="T12" s="336">
        <f t="shared" si="12"/>
        <v>3.2422815101236811E-2</v>
      </c>
      <c r="V12" s="561"/>
      <c r="W12" s="264"/>
      <c r="X12" s="3"/>
      <c r="Y12" s="264"/>
      <c r="Z12" s="559"/>
      <c r="AA12" s="625">
        <f>'[3]EDl log'!AA29</f>
        <v>52154</v>
      </c>
      <c r="AB12" s="625"/>
      <c r="AC12" s="626"/>
      <c r="AD12" s="623"/>
    </row>
    <row r="13" spans="1:32" ht="20.100000000000001" customHeight="1">
      <c r="A13" s="163">
        <f>ELEC!C12</f>
        <v>44326</v>
      </c>
      <c r="B13" s="612">
        <f t="shared" ref="B12:B34" si="13">B12</f>
        <v>1026689</v>
      </c>
      <c r="C13" s="264">
        <f t="shared" si="0"/>
        <v>0</v>
      </c>
      <c r="D13" s="308">
        <f t="shared" si="7"/>
        <v>0</v>
      </c>
      <c r="E13" s="308">
        <f t="shared" si="11"/>
        <v>1026689</v>
      </c>
      <c r="F13" s="612">
        <f t="shared" ref="F12:F34" si="14">F12</f>
        <v>153110</v>
      </c>
      <c r="G13" s="160">
        <f t="shared" si="1"/>
        <v>0</v>
      </c>
      <c r="H13" s="612">
        <f t="shared" ref="H12:H34" si="15">H12</f>
        <v>500136</v>
      </c>
      <c r="I13" s="161">
        <f t="shared" si="2"/>
        <v>0</v>
      </c>
      <c r="J13" s="612">
        <f t="shared" ref="J12:J34" si="16">J12</f>
        <v>373443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8"/>
        <v>154.80303857058792</v>
      </c>
      <c r="P13" s="297">
        <f t="shared" si="9"/>
        <v>154.80303857058792</v>
      </c>
      <c r="Q13" s="297">
        <f>SUM(-tanks!AX15*tanks!$AU$37)</f>
        <v>0</v>
      </c>
      <c r="R13" s="297">
        <f t="shared" si="10"/>
        <v>154.80303857058792</v>
      </c>
      <c r="S13" s="299">
        <f>SUM(ELEC!N12)</f>
        <v>0</v>
      </c>
      <c r="T13" s="336">
        <f>IF(S13&gt;0,R13/S13,0)</f>
        <v>0</v>
      </c>
      <c r="V13" s="561" t="str">
        <f>'[8]EDl log'!V30</f>
        <v>Occ %</v>
      </c>
      <c r="W13" s="589">
        <f>'[1]EDl log'!W30</f>
        <v>0</v>
      </c>
      <c r="X13" s="503"/>
      <c r="Y13" s="264" t="str">
        <f>'[5]EDl log'!Y30</f>
        <v>Per G</v>
      </c>
      <c r="Z13" s="3"/>
      <c r="AA13" s="3"/>
      <c r="AB13" s="625">
        <f>'[3]EDl log'!AB30</f>
        <v>6544768</v>
      </c>
      <c r="AC13" s="647"/>
    </row>
    <row r="14" spans="1:32" ht="20.100000000000001" customHeight="1">
      <c r="A14" s="163">
        <f>ELEC!C13</f>
        <v>44327</v>
      </c>
      <c r="B14" s="612">
        <f t="shared" si="13"/>
        <v>1026689</v>
      </c>
      <c r="C14" s="264">
        <f t="shared" si="0"/>
        <v>0</v>
      </c>
      <c r="D14" s="308">
        <f t="shared" si="7"/>
        <v>0</v>
      </c>
      <c r="E14" s="308">
        <f t="shared" si="11"/>
        <v>1026689</v>
      </c>
      <c r="F14" s="612">
        <f t="shared" si="14"/>
        <v>153110</v>
      </c>
      <c r="G14" s="160">
        <f t="shared" si="1"/>
        <v>0</v>
      </c>
      <c r="H14" s="612">
        <f t="shared" si="15"/>
        <v>500136</v>
      </c>
      <c r="I14" s="161">
        <f t="shared" si="2"/>
        <v>0</v>
      </c>
      <c r="J14" s="612">
        <f t="shared" si="16"/>
        <v>373443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8"/>
        <v>154.80303857058792</v>
      </c>
      <c r="P14" s="297">
        <f t="shared" ref="P14:P17" si="21">SUM(L14:O14)</f>
        <v>154.80303857058792</v>
      </c>
      <c r="Q14" s="297">
        <f>SUM(-tanks!AX16*tanks!$AU$37)</f>
        <v>0</v>
      </c>
      <c r="R14" s="297">
        <f t="shared" ref="R14:R17" si="22">SUM(P14:Q14)</f>
        <v>154.80303857058792</v>
      </c>
      <c r="S14" s="299">
        <f>SUM(ELEC!N13)</f>
        <v>0</v>
      </c>
      <c r="T14" s="336">
        <f t="shared" ref="T14:T17" si="23">IF(S14&gt;0,R14/S14,0)</f>
        <v>0</v>
      </c>
      <c r="V14" s="561" t="str">
        <f>'[8]EDl log'!V31</f>
        <v>Gen RH</v>
      </c>
      <c r="W14" s="590">
        <f>'[3]EDl log'!$W$33</f>
        <v>240</v>
      </c>
      <c r="X14" s="649">
        <f>'[3]EDl log'!$X$33</f>
        <v>8</v>
      </c>
      <c r="Y14" s="650">
        <f>'[3]EDl log'!$Y$33</f>
        <v>4</v>
      </c>
      <c r="Z14" s="264"/>
      <c r="AA14" s="3"/>
      <c r="AB14" s="648">
        <f>'[3]EDl log'!$AB$33</f>
        <v>13779101</v>
      </c>
      <c r="AC14" s="648">
        <f>'[3]EDl log'!$AC$33</f>
        <v>7234333</v>
      </c>
    </row>
    <row r="15" spans="1:32" ht="20.100000000000001" customHeight="1">
      <c r="A15" s="163">
        <f>ELEC!C14</f>
        <v>44328</v>
      </c>
      <c r="B15" s="612">
        <f t="shared" si="13"/>
        <v>1026689</v>
      </c>
      <c r="C15" s="264">
        <f t="shared" si="0"/>
        <v>0</v>
      </c>
      <c r="D15" s="308">
        <f t="shared" si="7"/>
        <v>0</v>
      </c>
      <c r="E15" s="308">
        <f t="shared" si="11"/>
        <v>1026689</v>
      </c>
      <c r="F15" s="612">
        <f t="shared" si="14"/>
        <v>153110</v>
      </c>
      <c r="G15" s="160">
        <f t="shared" si="1"/>
        <v>0</v>
      </c>
      <c r="H15" s="612">
        <f t="shared" si="15"/>
        <v>500136</v>
      </c>
      <c r="I15" s="161">
        <f t="shared" si="2"/>
        <v>0</v>
      </c>
      <c r="J15" s="612">
        <f t="shared" si="16"/>
        <v>373443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8"/>
        <v>154.80303857058792</v>
      </c>
      <c r="P15" s="297">
        <f t="shared" si="21"/>
        <v>154.80303857058792</v>
      </c>
      <c r="Q15" s="297">
        <f>SUM(-tanks!AX17*tanks!$AU$37)</f>
        <v>0</v>
      </c>
      <c r="R15" s="297">
        <f t="shared" si="22"/>
        <v>154.80303857058792</v>
      </c>
      <c r="S15" s="299">
        <f>SUM(ELEC!N14)</f>
        <v>0</v>
      </c>
      <c r="T15" s="336">
        <f t="shared" si="23"/>
        <v>0</v>
      </c>
      <c r="V15" s="561" t="str">
        <f>'[8]EDl log'!V32</f>
        <v>H Deg</v>
      </c>
      <c r="W15" s="254">
        <f>'[3]Degree Days 2020'!$N$43</f>
        <v>-30.300000000000008</v>
      </c>
      <c r="X15" s="254"/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12">
        <f t="shared" si="13"/>
        <v>1026689</v>
      </c>
      <c r="C16" s="264">
        <f t="shared" si="0"/>
        <v>0</v>
      </c>
      <c r="D16" s="308">
        <f t="shared" si="7"/>
        <v>0</v>
      </c>
      <c r="E16" s="308">
        <f t="shared" si="11"/>
        <v>1026689</v>
      </c>
      <c r="F16" s="612">
        <f t="shared" si="14"/>
        <v>153110</v>
      </c>
      <c r="G16" s="160">
        <f t="shared" si="1"/>
        <v>0</v>
      </c>
      <c r="H16" s="612">
        <f t="shared" si="15"/>
        <v>500136</v>
      </c>
      <c r="I16" s="161">
        <f t="shared" si="2"/>
        <v>0</v>
      </c>
      <c r="J16" s="612">
        <f t="shared" si="16"/>
        <v>373443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8"/>
        <v>154.80303857058792</v>
      </c>
      <c r="P16" s="297">
        <f t="shared" si="21"/>
        <v>154.80303857058792</v>
      </c>
      <c r="Q16" s="297">
        <f>SUM(-tanks!AX18*tanks!$AU$37)</f>
        <v>0</v>
      </c>
      <c r="R16" s="297">
        <f t="shared" si="22"/>
        <v>154.80303857058792</v>
      </c>
      <c r="S16" s="299">
        <f>SUM(ELEC!N15)</f>
        <v>0</v>
      </c>
      <c r="T16" s="336">
        <f t="shared" si="23"/>
        <v>0</v>
      </c>
      <c r="V16" s="561" t="str">
        <f>'[8]EDl log'!V33</f>
        <v>C Deg</v>
      </c>
      <c r="W16" s="254">
        <f>'[3]Degree Days 2020'!$O$43</f>
        <v>45.40000000000002</v>
      </c>
      <c r="X16" s="254"/>
      <c r="Y16" s="254"/>
      <c r="Z16" s="3"/>
      <c r="AA16" s="3"/>
      <c r="AB16" s="567">
        <f>'[3]EDl log'!$AB$35</f>
        <v>9140.3655058043114</v>
      </c>
      <c r="AC16" s="580"/>
    </row>
    <row r="17" spans="1:32" ht="20.100000000000001" customHeight="1">
      <c r="A17" s="163">
        <f>ELEC!C16</f>
        <v>44330</v>
      </c>
      <c r="B17" s="612">
        <f t="shared" si="13"/>
        <v>1026689</v>
      </c>
      <c r="C17" s="264">
        <f t="shared" si="0"/>
        <v>0</v>
      </c>
      <c r="D17" s="308">
        <f t="shared" si="7"/>
        <v>0</v>
      </c>
      <c r="E17" s="308">
        <f t="shared" si="11"/>
        <v>1026689</v>
      </c>
      <c r="F17" s="612">
        <f t="shared" si="14"/>
        <v>153110</v>
      </c>
      <c r="G17" s="160">
        <f t="shared" si="1"/>
        <v>0</v>
      </c>
      <c r="H17" s="612">
        <f t="shared" si="15"/>
        <v>500136</v>
      </c>
      <c r="I17" s="161">
        <f t="shared" si="2"/>
        <v>0</v>
      </c>
      <c r="J17" s="612">
        <f t="shared" si="16"/>
        <v>373443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8"/>
        <v>154.80303857058792</v>
      </c>
      <c r="P17" s="297">
        <f t="shared" si="21"/>
        <v>154.80303857058792</v>
      </c>
      <c r="Q17" s="297">
        <f>SUM(-tanks!AX19*tanks!$AU$37)</f>
        <v>0</v>
      </c>
      <c r="R17" s="297">
        <f t="shared" si="22"/>
        <v>154.80303857058792</v>
      </c>
      <c r="S17" s="299">
        <f>SUM(ELEC!N16)</f>
        <v>0</v>
      </c>
      <c r="T17" s="336">
        <f t="shared" si="23"/>
        <v>0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'[4]EDl log'!AC34</f>
        <v>0</v>
      </c>
    </row>
    <row r="18" spans="1:32" ht="20.100000000000001" customHeight="1" thickBot="1">
      <c r="A18" s="163">
        <f>ELEC!C17</f>
        <v>44331</v>
      </c>
      <c r="B18" s="612">
        <f t="shared" si="13"/>
        <v>1026689</v>
      </c>
      <c r="C18" s="264">
        <f t="shared" si="0"/>
        <v>0</v>
      </c>
      <c r="D18" s="308">
        <f t="shared" si="7"/>
        <v>0</v>
      </c>
      <c r="E18" s="308">
        <f t="shared" si="11"/>
        <v>1026689</v>
      </c>
      <c r="F18" s="612">
        <f t="shared" si="14"/>
        <v>153110</v>
      </c>
      <c r="G18" s="160">
        <f t="shared" si="1"/>
        <v>0</v>
      </c>
      <c r="H18" s="612">
        <f t="shared" si="15"/>
        <v>500136</v>
      </c>
      <c r="I18" s="161">
        <f t="shared" si="2"/>
        <v>0</v>
      </c>
      <c r="J18" s="612">
        <f t="shared" si="16"/>
        <v>373443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8"/>
        <v>154.80303857058792</v>
      </c>
      <c r="P18" s="297">
        <f t="shared" si="9"/>
        <v>154.80303857058792</v>
      </c>
      <c r="Q18" s="297">
        <f>SUM(-tanks!AX20*tanks!$AU$37)</f>
        <v>0</v>
      </c>
      <c r="R18" s="297">
        <f t="shared" si="10"/>
        <v>154.80303857058792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3"/>
      <c r="AA18" s="578"/>
      <c r="AB18" s="577"/>
      <c r="AC18" s="559">
        <f>'[4]EDl log'!AC35</f>
        <v>0</v>
      </c>
    </row>
    <row r="19" spans="1:32" ht="20.100000000000001" customHeight="1" thickBot="1">
      <c r="A19" s="163">
        <f>ELEC!C18</f>
        <v>44332</v>
      </c>
      <c r="B19" s="612">
        <f t="shared" si="13"/>
        <v>1026689</v>
      </c>
      <c r="C19" s="264">
        <f t="shared" si="0"/>
        <v>0</v>
      </c>
      <c r="D19" s="308">
        <f t="shared" si="7"/>
        <v>0</v>
      </c>
      <c r="E19" s="308">
        <f t="shared" si="11"/>
        <v>1026689</v>
      </c>
      <c r="F19" s="612">
        <f t="shared" si="14"/>
        <v>153110</v>
      </c>
      <c r="G19" s="160">
        <f t="shared" si="1"/>
        <v>0</v>
      </c>
      <c r="H19" s="612">
        <f t="shared" si="15"/>
        <v>500136</v>
      </c>
      <c r="I19" s="161">
        <f t="shared" si="2"/>
        <v>0</v>
      </c>
      <c r="J19" s="612">
        <f t="shared" si="16"/>
        <v>373443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8"/>
        <v>154.80303857058792</v>
      </c>
      <c r="P19" s="297">
        <f t="shared" si="9"/>
        <v>154.80303857058792</v>
      </c>
      <c r="Q19" s="297">
        <f>SUM(-tanks!AX21*tanks!$AU$37)</f>
        <v>0</v>
      </c>
      <c r="R19" s="297">
        <f t="shared" si="10"/>
        <v>154.80303857058792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2"/>
      <c r="Z19" s="562"/>
      <c r="AA19" s="578"/>
      <c r="AB19" s="577"/>
      <c r="AC19" s="559">
        <f>'[4]EDl log'!AC36</f>
        <v>0</v>
      </c>
    </row>
    <row r="20" spans="1:32" ht="20.100000000000001" customHeight="1" thickBot="1">
      <c r="A20" s="163">
        <f>ELEC!C19</f>
        <v>44333</v>
      </c>
      <c r="B20" s="612">
        <f t="shared" si="13"/>
        <v>1026689</v>
      </c>
      <c r="C20" s="264">
        <f t="shared" si="0"/>
        <v>0</v>
      </c>
      <c r="D20" s="308">
        <f t="shared" si="7"/>
        <v>0</v>
      </c>
      <c r="E20" s="308">
        <f t="shared" si="11"/>
        <v>1026689</v>
      </c>
      <c r="F20" s="612">
        <f t="shared" si="14"/>
        <v>153110</v>
      </c>
      <c r="G20" s="160">
        <f t="shared" si="1"/>
        <v>0</v>
      </c>
      <c r="H20" s="612">
        <f t="shared" si="15"/>
        <v>500136</v>
      </c>
      <c r="I20" s="161">
        <f t="shared" si="2"/>
        <v>0</v>
      </c>
      <c r="J20" s="612">
        <f t="shared" si="16"/>
        <v>373443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8"/>
        <v>154.80303857058792</v>
      </c>
      <c r="P20" s="297">
        <f t="shared" si="9"/>
        <v>154.80303857058792</v>
      </c>
      <c r="Q20" s="297">
        <f>SUM(-tanks!AX22*tanks!$AU$37)</f>
        <v>0</v>
      </c>
      <c r="R20" s="297">
        <f t="shared" si="10"/>
        <v>154.80303857058792</v>
      </c>
      <c r="S20" s="299">
        <f>SUM(ELEC!N19)</f>
        <v>0</v>
      </c>
      <c r="T20" s="336">
        <f t="shared" si="12"/>
        <v>0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12">
        <f t="shared" si="13"/>
        <v>1026689</v>
      </c>
      <c r="C21" s="264">
        <f t="shared" si="0"/>
        <v>0</v>
      </c>
      <c r="D21" s="308">
        <f t="shared" si="7"/>
        <v>0</v>
      </c>
      <c r="E21" s="308">
        <f t="shared" si="11"/>
        <v>1026689</v>
      </c>
      <c r="F21" s="612">
        <f t="shared" si="14"/>
        <v>153110</v>
      </c>
      <c r="G21" s="160">
        <f t="shared" si="1"/>
        <v>0</v>
      </c>
      <c r="H21" s="612">
        <f t="shared" si="15"/>
        <v>500136</v>
      </c>
      <c r="I21" s="161">
        <f t="shared" si="2"/>
        <v>0</v>
      </c>
      <c r="J21" s="612">
        <f t="shared" si="16"/>
        <v>373443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8"/>
        <v>154.80303857058792</v>
      </c>
      <c r="P21" s="297">
        <f t="shared" si="9"/>
        <v>154.80303857058792</v>
      </c>
      <c r="Q21" s="297">
        <f>SUM(-tanks!AX23*tanks!$AU$37)</f>
        <v>0</v>
      </c>
      <c r="R21" s="297">
        <f t="shared" si="10"/>
        <v>154.80303857058792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710"/>
      <c r="AC21" s="711"/>
    </row>
    <row r="22" spans="1:32" ht="20.100000000000001" customHeight="1">
      <c r="A22" s="163">
        <f>ELEC!C21</f>
        <v>44335</v>
      </c>
      <c r="B22" s="612">
        <f t="shared" si="13"/>
        <v>1026689</v>
      </c>
      <c r="C22" s="264">
        <f t="shared" si="0"/>
        <v>0</v>
      </c>
      <c r="D22" s="308">
        <f t="shared" si="7"/>
        <v>0</v>
      </c>
      <c r="E22" s="308">
        <f t="shared" si="11"/>
        <v>1026689</v>
      </c>
      <c r="F22" s="612">
        <f t="shared" si="14"/>
        <v>153110</v>
      </c>
      <c r="G22" s="160">
        <f t="shared" si="1"/>
        <v>0</v>
      </c>
      <c r="H22" s="612">
        <f t="shared" si="15"/>
        <v>500136</v>
      </c>
      <c r="I22" s="161">
        <f t="shared" si="2"/>
        <v>0</v>
      </c>
      <c r="J22" s="612">
        <f t="shared" si="16"/>
        <v>373443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8"/>
        <v>154.80303857058792</v>
      </c>
      <c r="P22" s="297">
        <f t="shared" si="9"/>
        <v>154.80303857058792</v>
      </c>
      <c r="Q22" s="297">
        <f>SUM(-tanks!AX24*tanks!$AU$37)</f>
        <v>0</v>
      </c>
      <c r="R22" s="297">
        <f t="shared" si="10"/>
        <v>154.80303857058792</v>
      </c>
      <c r="S22" s="299">
        <f>SUM(ELEC!N21)</f>
        <v>0</v>
      </c>
      <c r="T22" s="336">
        <f t="shared" si="12"/>
        <v>0</v>
      </c>
      <c r="V22" s="716"/>
      <c r="W22" s="717"/>
      <c r="X22" s="717"/>
      <c r="Y22" s="718"/>
      <c r="Z22" s="26" t="s">
        <v>203</v>
      </c>
      <c r="AA22" s="26">
        <v>5000</v>
      </c>
      <c r="AB22" s="712"/>
      <c r="AC22" s="713"/>
    </row>
    <row r="23" spans="1:32" ht="20.100000000000001" customHeight="1">
      <c r="A23" s="163">
        <f>ELEC!C22</f>
        <v>44336</v>
      </c>
      <c r="B23" s="612">
        <f t="shared" si="13"/>
        <v>1026689</v>
      </c>
      <c r="C23" s="264">
        <f t="shared" si="0"/>
        <v>0</v>
      </c>
      <c r="D23" s="308">
        <f t="shared" si="7"/>
        <v>0</v>
      </c>
      <c r="E23" s="308">
        <f t="shared" si="11"/>
        <v>1026689</v>
      </c>
      <c r="F23" s="612">
        <f t="shared" si="14"/>
        <v>153110</v>
      </c>
      <c r="G23" s="160">
        <f t="shared" si="1"/>
        <v>0</v>
      </c>
      <c r="H23" s="612">
        <f t="shared" si="15"/>
        <v>500136</v>
      </c>
      <c r="I23" s="161">
        <f t="shared" si="2"/>
        <v>0</v>
      </c>
      <c r="J23" s="612">
        <f t="shared" si="16"/>
        <v>373443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8"/>
        <v>154.80303857058792</v>
      </c>
      <c r="P23" s="297">
        <f t="shared" si="9"/>
        <v>154.80303857058792</v>
      </c>
      <c r="Q23" s="297">
        <f>SUM(-tanks!AX25*tanks!$AU$37)</f>
        <v>0</v>
      </c>
      <c r="R23" s="297">
        <f t="shared" si="10"/>
        <v>154.80303857058792</v>
      </c>
      <c r="S23" s="299">
        <f>SUM(ELEC!N22)</f>
        <v>0</v>
      </c>
      <c r="T23" s="336">
        <f t="shared" si="12"/>
        <v>0</v>
      </c>
      <c r="V23" s="719"/>
      <c r="W23" s="720"/>
      <c r="X23" s="720"/>
      <c r="Y23" s="721"/>
      <c r="Z23" s="722"/>
      <c r="AA23" s="723"/>
      <c r="AB23" s="712"/>
      <c r="AC23" s="713"/>
    </row>
    <row r="24" spans="1:32" ht="20.100000000000001" customHeight="1">
      <c r="A24" s="163">
        <f>ELEC!C23</f>
        <v>44337</v>
      </c>
      <c r="B24" s="612">
        <f t="shared" si="13"/>
        <v>1026689</v>
      </c>
      <c r="C24" s="264">
        <f t="shared" si="0"/>
        <v>0</v>
      </c>
      <c r="D24" s="308">
        <f t="shared" si="7"/>
        <v>0</v>
      </c>
      <c r="E24" s="308">
        <f t="shared" si="11"/>
        <v>1026689</v>
      </c>
      <c r="F24" s="612">
        <f t="shared" si="14"/>
        <v>153110</v>
      </c>
      <c r="G24" s="160">
        <f t="shared" si="1"/>
        <v>0</v>
      </c>
      <c r="H24" s="612">
        <f t="shared" si="15"/>
        <v>500136</v>
      </c>
      <c r="I24" s="161">
        <f t="shared" si="2"/>
        <v>0</v>
      </c>
      <c r="J24" s="612">
        <f t="shared" si="16"/>
        <v>373443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8"/>
        <v>154.80303857058792</v>
      </c>
      <c r="P24" s="297">
        <f t="shared" si="9"/>
        <v>154.80303857058792</v>
      </c>
      <c r="Q24" s="297">
        <f>SUM(-tanks!AX26*tanks!$AU$37)</f>
        <v>0</v>
      </c>
      <c r="R24" s="297">
        <f t="shared" si="10"/>
        <v>154.80303857058792</v>
      </c>
      <c r="S24" s="299">
        <f>SUM(ELEC!N23)</f>
        <v>0</v>
      </c>
      <c r="T24" s="336">
        <f t="shared" si="12"/>
        <v>0</v>
      </c>
      <c r="V24" s="724" t="s">
        <v>204</v>
      </c>
      <c r="W24" s="725"/>
      <c r="X24" s="726" t="s">
        <v>205</v>
      </c>
      <c r="Y24" s="727"/>
      <c r="Z24" s="728"/>
      <c r="AA24" s="170"/>
      <c r="AB24" s="714"/>
      <c r="AC24" s="715"/>
    </row>
    <row r="25" spans="1:32" ht="20.100000000000001" customHeight="1">
      <c r="A25" s="163">
        <f>ELEC!C24</f>
        <v>44338</v>
      </c>
      <c r="B25" s="612">
        <f t="shared" si="13"/>
        <v>1026689</v>
      </c>
      <c r="C25" s="264">
        <f t="shared" si="0"/>
        <v>0</v>
      </c>
      <c r="D25" s="308">
        <f t="shared" si="7"/>
        <v>0</v>
      </c>
      <c r="E25" s="308">
        <f t="shared" si="11"/>
        <v>1026689</v>
      </c>
      <c r="F25" s="612">
        <f t="shared" si="14"/>
        <v>153110</v>
      </c>
      <c r="G25" s="160">
        <f t="shared" si="1"/>
        <v>0</v>
      </c>
      <c r="H25" s="612">
        <f t="shared" si="15"/>
        <v>500136</v>
      </c>
      <c r="I25" s="161">
        <f t="shared" si="2"/>
        <v>0</v>
      </c>
      <c r="J25" s="612">
        <f t="shared" si="16"/>
        <v>373443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8"/>
        <v>154.80303857058792</v>
      </c>
      <c r="P25" s="297">
        <f t="shared" si="9"/>
        <v>154.80303857058792</v>
      </c>
      <c r="Q25" s="297">
        <f>SUM(-tanks!AX27*tanks!$AU$37)</f>
        <v>0</v>
      </c>
      <c r="R25" s="297">
        <f t="shared" si="10"/>
        <v>154.80303857058792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12">
        <f t="shared" si="13"/>
        <v>1026689</v>
      </c>
      <c r="C26" s="264">
        <f t="shared" si="0"/>
        <v>0</v>
      </c>
      <c r="D26" s="308">
        <f t="shared" si="7"/>
        <v>0</v>
      </c>
      <c r="E26" s="308">
        <f t="shared" si="11"/>
        <v>1026689</v>
      </c>
      <c r="F26" s="612">
        <f t="shared" si="14"/>
        <v>153110</v>
      </c>
      <c r="G26" s="160">
        <f t="shared" si="1"/>
        <v>0</v>
      </c>
      <c r="H26" s="612">
        <f t="shared" si="15"/>
        <v>500136</v>
      </c>
      <c r="I26" s="161">
        <f t="shared" si="2"/>
        <v>0</v>
      </c>
      <c r="J26" s="612">
        <f t="shared" si="16"/>
        <v>373443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8"/>
        <v>154.80303857058792</v>
      </c>
      <c r="P26" s="297">
        <f t="shared" si="9"/>
        <v>154.80303857058792</v>
      </c>
      <c r="Q26" s="297">
        <f>SUM(-tanks!AX28*tanks!$AU$37)</f>
        <v>0</v>
      </c>
      <c r="R26" s="297">
        <f t="shared" si="10"/>
        <v>154.80303857058792</v>
      </c>
      <c r="S26" s="299">
        <f>SUM(ELEC!N25)</f>
        <v>0</v>
      </c>
      <c r="T26" s="336">
        <f t="shared" si="12"/>
        <v>0</v>
      </c>
      <c r="V26" s="254">
        <f>W9</f>
        <v>365756</v>
      </c>
      <c r="W26" s="170">
        <f>J34</f>
        <v>373443</v>
      </c>
      <c r="X26" s="172" t="s">
        <v>199</v>
      </c>
      <c r="Y26" s="172">
        <v>80</v>
      </c>
      <c r="Z26" s="172">
        <v>1</v>
      </c>
      <c r="AA26" s="338">
        <f>(W26-V26)*Z26</f>
        <v>7687</v>
      </c>
      <c r="AB26" s="338">
        <f>AA26*Y26</f>
        <v>614960</v>
      </c>
      <c r="AC26" s="249">
        <f>AC9</f>
        <v>1033333</v>
      </c>
      <c r="AD26" s="621">
        <f>SUM(K36)</f>
        <v>0.42994574640639854</v>
      </c>
    </row>
    <row r="27" spans="1:32" ht="20.100000000000001" customHeight="1">
      <c r="A27" s="163">
        <f>ELEC!C26</f>
        <v>44340</v>
      </c>
      <c r="B27" s="612">
        <f t="shared" si="13"/>
        <v>1026689</v>
      </c>
      <c r="C27" s="264">
        <f t="shared" si="0"/>
        <v>0</v>
      </c>
      <c r="D27" s="308">
        <f t="shared" si="7"/>
        <v>0</v>
      </c>
      <c r="E27" s="308">
        <f t="shared" si="11"/>
        <v>1026689</v>
      </c>
      <c r="F27" s="612">
        <f t="shared" si="14"/>
        <v>153110</v>
      </c>
      <c r="G27" s="160">
        <f t="shared" si="1"/>
        <v>0</v>
      </c>
      <c r="H27" s="612">
        <f t="shared" si="15"/>
        <v>500136</v>
      </c>
      <c r="I27" s="161">
        <f t="shared" si="2"/>
        <v>0</v>
      </c>
      <c r="J27" s="612">
        <f t="shared" si="16"/>
        <v>373443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8"/>
        <v>154.80303857058792</v>
      </c>
      <c r="P27" s="297">
        <f t="shared" si="9"/>
        <v>154.80303857058792</v>
      </c>
      <c r="Q27" s="297">
        <f>SUM(-tanks!AX29*tanks!$AU$37)</f>
        <v>0</v>
      </c>
      <c r="R27" s="297">
        <f t="shared" si="10"/>
        <v>154.80303857058792</v>
      </c>
      <c r="S27" s="299">
        <f>SUM(ELEC!N26)</f>
        <v>0</v>
      </c>
      <c r="T27" s="336">
        <f t="shared" si="12"/>
        <v>0</v>
      </c>
      <c r="V27" s="254">
        <f t="shared" ref="V27:V28" si="27">W10</f>
        <v>492400</v>
      </c>
      <c r="W27" s="170">
        <f>H34</f>
        <v>500136</v>
      </c>
      <c r="X27" s="172" t="s">
        <v>213</v>
      </c>
      <c r="Y27" s="172">
        <v>112</v>
      </c>
      <c r="Z27" s="172">
        <v>1</v>
      </c>
      <c r="AA27" s="338">
        <f>(W27-V27)*Z27</f>
        <v>7736</v>
      </c>
      <c r="AB27" s="338">
        <f>SUM(AA27*Y27)</f>
        <v>866432</v>
      </c>
      <c r="AC27" s="249">
        <f>AC10</f>
        <v>6200000</v>
      </c>
      <c r="AD27" s="621">
        <f>SUM(I36)</f>
        <v>0.43268639185636776</v>
      </c>
    </row>
    <row r="28" spans="1:32" ht="20.100000000000001" customHeight="1">
      <c r="A28" s="163">
        <f>ELEC!C27</f>
        <v>44341</v>
      </c>
      <c r="B28" s="612">
        <f t="shared" si="13"/>
        <v>1026689</v>
      </c>
      <c r="C28" s="264">
        <f t="shared" si="0"/>
        <v>0</v>
      </c>
      <c r="D28" s="308">
        <f t="shared" si="7"/>
        <v>0</v>
      </c>
      <c r="E28" s="308">
        <f t="shared" si="11"/>
        <v>1026689</v>
      </c>
      <c r="F28" s="612">
        <f t="shared" si="14"/>
        <v>153110</v>
      </c>
      <c r="G28" s="160">
        <f t="shared" si="1"/>
        <v>0</v>
      </c>
      <c r="H28" s="612">
        <f t="shared" si="15"/>
        <v>500136</v>
      </c>
      <c r="I28" s="161">
        <f t="shared" si="2"/>
        <v>0</v>
      </c>
      <c r="J28" s="612">
        <f t="shared" si="16"/>
        <v>373443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8"/>
        <v>154.80303857058792</v>
      </c>
      <c r="P28" s="297">
        <f t="shared" si="9"/>
        <v>154.80303857058792</v>
      </c>
      <c r="Q28" s="297">
        <f>SUM(-tanks!AX30*tanks!$AU$37)</f>
        <v>0</v>
      </c>
      <c r="R28" s="297">
        <f t="shared" si="10"/>
        <v>154.80303857058792</v>
      </c>
      <c r="S28" s="299">
        <f>SUM(ELEC!N27)</f>
        <v>0</v>
      </c>
      <c r="T28" s="336">
        <f t="shared" si="12"/>
        <v>0</v>
      </c>
      <c r="V28" s="254">
        <f t="shared" si="27"/>
        <v>150653</v>
      </c>
      <c r="W28" s="170">
        <f>F34</f>
        <v>153110</v>
      </c>
      <c r="X28" s="172" t="s">
        <v>197</v>
      </c>
      <c r="Y28" s="172">
        <v>320</v>
      </c>
      <c r="Z28" s="172">
        <v>1</v>
      </c>
      <c r="AA28" s="338">
        <f>(W28-V28)*Z28</f>
        <v>2457</v>
      </c>
      <c r="AB28" s="338">
        <f>SUM(AA28*Y28)</f>
        <v>786240</v>
      </c>
      <c r="AC28" s="249">
        <f>AC11</f>
        <v>1000</v>
      </c>
      <c r="AD28" s="621">
        <f>SUM(G36)</f>
        <v>0.13742379327702892</v>
      </c>
      <c r="AE28" s="40">
        <f>SUM(AB28*5%)</f>
        <v>39312</v>
      </c>
      <c r="AF28" s="82">
        <f>SUM(AE28/7)*31</f>
        <v>174096</v>
      </c>
    </row>
    <row r="29" spans="1:32" ht="20.100000000000001" customHeight="1">
      <c r="A29" s="163">
        <f>ELEC!C28</f>
        <v>44342</v>
      </c>
      <c r="B29" s="612">
        <f t="shared" si="13"/>
        <v>1026689</v>
      </c>
      <c r="C29" s="264">
        <f t="shared" si="0"/>
        <v>0</v>
      </c>
      <c r="D29" s="308">
        <f t="shared" si="7"/>
        <v>0</v>
      </c>
      <c r="E29" s="308">
        <f t="shared" si="11"/>
        <v>1026689</v>
      </c>
      <c r="F29" s="612">
        <f t="shared" si="14"/>
        <v>153110</v>
      </c>
      <c r="G29" s="160">
        <f t="shared" si="1"/>
        <v>0</v>
      </c>
      <c r="H29" s="612">
        <f t="shared" si="15"/>
        <v>500136</v>
      </c>
      <c r="I29" s="161">
        <f t="shared" si="2"/>
        <v>0</v>
      </c>
      <c r="J29" s="612">
        <f t="shared" si="16"/>
        <v>373443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8"/>
        <v>154.80303857058792</v>
      </c>
      <c r="P29" s="297">
        <f t="shared" si="9"/>
        <v>154.80303857058792</v>
      </c>
      <c r="Q29" s="297">
        <f>SUM(-tanks!AX31*tanks!$AU$37)</f>
        <v>0</v>
      </c>
      <c r="R29" s="297">
        <f t="shared" si="10"/>
        <v>154.80303857058792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17880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12">
        <f t="shared" si="13"/>
        <v>1026689</v>
      </c>
      <c r="C30" s="264">
        <f t="shared" si="0"/>
        <v>0</v>
      </c>
      <c r="D30" s="308">
        <f t="shared" si="7"/>
        <v>0</v>
      </c>
      <c r="E30" s="308">
        <f t="shared" si="11"/>
        <v>1026689</v>
      </c>
      <c r="F30" s="612">
        <f t="shared" si="14"/>
        <v>153110</v>
      </c>
      <c r="G30" s="160">
        <f t="shared" si="1"/>
        <v>0</v>
      </c>
      <c r="H30" s="612">
        <f t="shared" si="15"/>
        <v>500136</v>
      </c>
      <c r="I30" s="161">
        <f t="shared" si="2"/>
        <v>0</v>
      </c>
      <c r="J30" s="612">
        <f t="shared" si="16"/>
        <v>373443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8"/>
        <v>154.80303857058792</v>
      </c>
      <c r="P30" s="297">
        <f t="shared" si="9"/>
        <v>154.80303857058792</v>
      </c>
      <c r="Q30" s="297">
        <f>SUM(-tanks!AX32*tanks!$AU$37)</f>
        <v>0</v>
      </c>
      <c r="R30" s="297">
        <f t="shared" si="10"/>
        <v>154.80303857058792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2267632</v>
      </c>
      <c r="AC30" s="249"/>
    </row>
    <row r="31" spans="1:32" ht="20.100000000000001" customHeight="1">
      <c r="A31" s="163">
        <f>ELEC!C30</f>
        <v>44344</v>
      </c>
      <c r="B31" s="612">
        <f t="shared" si="13"/>
        <v>1026689</v>
      </c>
      <c r="C31" s="264">
        <f t="shared" ref="C31:C33" si="28">SUM(B31-B30)</f>
        <v>0</v>
      </c>
      <c r="D31" s="308">
        <f t="shared" ref="D31:D33" si="29">SUM(G31+I31+K31)</f>
        <v>0</v>
      </c>
      <c r="E31" s="308">
        <f t="shared" ref="E31:E33" si="30">B30+D31</f>
        <v>1026689</v>
      </c>
      <c r="F31" s="612">
        <f t="shared" si="14"/>
        <v>153110</v>
      </c>
      <c r="G31" s="160">
        <f t="shared" ref="G31:G33" si="31">F31-F30</f>
        <v>0</v>
      </c>
      <c r="H31" s="612">
        <f t="shared" si="15"/>
        <v>500136</v>
      </c>
      <c r="I31" s="161">
        <f t="shared" ref="I31:I33" si="32">H31-H30</f>
        <v>0</v>
      </c>
      <c r="J31" s="612">
        <f t="shared" si="16"/>
        <v>373443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8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12">
        <f t="shared" si="13"/>
        <v>1026689</v>
      </c>
      <c r="C32" s="264">
        <f t="shared" si="28"/>
        <v>0</v>
      </c>
      <c r="D32" s="308">
        <f t="shared" si="29"/>
        <v>0</v>
      </c>
      <c r="E32" s="308">
        <f t="shared" si="30"/>
        <v>1026689</v>
      </c>
      <c r="F32" s="612">
        <f t="shared" si="14"/>
        <v>153110</v>
      </c>
      <c r="G32" s="160">
        <f t="shared" si="31"/>
        <v>0</v>
      </c>
      <c r="H32" s="612">
        <f t="shared" si="15"/>
        <v>500136</v>
      </c>
      <c r="I32" s="161">
        <f t="shared" si="32"/>
        <v>0</v>
      </c>
      <c r="J32" s="612">
        <f t="shared" si="16"/>
        <v>373443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8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12">
        <f t="shared" si="13"/>
        <v>1026689</v>
      </c>
      <c r="C33" s="264">
        <f t="shared" si="28"/>
        <v>0</v>
      </c>
      <c r="D33" s="308">
        <f t="shared" si="29"/>
        <v>0</v>
      </c>
      <c r="E33" s="308">
        <f t="shared" si="30"/>
        <v>1026689</v>
      </c>
      <c r="F33" s="612">
        <f t="shared" si="14"/>
        <v>153110</v>
      </c>
      <c r="G33" s="160">
        <f t="shared" si="31"/>
        <v>0</v>
      </c>
      <c r="H33" s="612">
        <f t="shared" si="15"/>
        <v>500136</v>
      </c>
      <c r="I33" s="161">
        <f t="shared" si="32"/>
        <v>0</v>
      </c>
      <c r="J33" s="612">
        <f t="shared" si="16"/>
        <v>373443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8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62</v>
      </c>
      <c r="X33" s="222">
        <f>SUM(W33/A35)</f>
        <v>6.8888888888888893</v>
      </c>
      <c r="Y33" s="260">
        <f>SUM(X33/1)</f>
        <v>6.8888888888888893</v>
      </c>
      <c r="Z33" s="3"/>
      <c r="AA33" s="3"/>
      <c r="AB33" s="536">
        <f>SUM(AB30+AC33)</f>
        <v>9501965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12">
        <f t="shared" si="13"/>
        <v>1026689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1026689</v>
      </c>
      <c r="F34" s="612">
        <f t="shared" si="14"/>
        <v>153110</v>
      </c>
      <c r="G34" s="160">
        <f t="shared" ref="G34" si="43">F34-F33</f>
        <v>0</v>
      </c>
      <c r="H34" s="612">
        <f t="shared" si="15"/>
        <v>500136</v>
      </c>
      <c r="I34" s="161">
        <f t="shared" ref="I34" si="44">H34-H33</f>
        <v>0</v>
      </c>
      <c r="J34" s="612">
        <f t="shared" si="16"/>
        <v>373443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8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/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9</v>
      </c>
      <c r="C35" s="173">
        <f>SUM(C4:C33)/A35</f>
        <v>1986.5555555555557</v>
      </c>
      <c r="D35" s="173"/>
      <c r="E35" s="173"/>
      <c r="G35" s="173">
        <f>SUM(G4:G33)/A35</f>
        <v>273</v>
      </c>
      <c r="I35" s="173">
        <f>SUM(I4:I33)/A35</f>
        <v>859.55555555555554</v>
      </c>
      <c r="K35" s="173">
        <f>SUM(K4:K33)/A35</f>
        <v>854.11111111111109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21">
        <f>AC33/1507</f>
        <v>4800.4863968148638</v>
      </c>
    </row>
    <row r="36" spans="1:32" ht="15.75" thickBot="1">
      <c r="A36" s="210"/>
      <c r="C36" s="212">
        <f>SUM(G36:K36)</f>
        <v>1.0000559315397952</v>
      </c>
      <c r="G36" s="225">
        <f>IF(C35&gt;0,G35/C35,0)</f>
        <v>0.13742379327702892</v>
      </c>
      <c r="H36" s="212"/>
      <c r="I36" s="225">
        <f>SUM(I35/C35)</f>
        <v>0.43268639185636776</v>
      </c>
      <c r="J36" s="212"/>
      <c r="K36" s="225">
        <f>SUM(K35/C35)</f>
        <v>0.42994574640639854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6303.1276948590385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6303.1276948590385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24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697"/>
      <c r="AC45" s="697"/>
      <c r="AD45" s="624"/>
      <c r="AE45" s="17"/>
      <c r="AF45" s="17"/>
    </row>
    <row r="46" spans="1:32">
      <c r="V46" s="697"/>
      <c r="W46" s="697"/>
      <c r="X46" s="697"/>
      <c r="Y46" s="697"/>
      <c r="Z46" s="540"/>
      <c r="AA46" s="540"/>
      <c r="AB46" s="697"/>
      <c r="AC46" s="697"/>
      <c r="AD46" s="624"/>
      <c r="AE46" s="17"/>
      <c r="AF46" s="17"/>
    </row>
    <row r="47" spans="1:32">
      <c r="V47" s="697"/>
      <c r="W47" s="697"/>
      <c r="X47" s="697"/>
      <c r="Y47" s="697"/>
      <c r="Z47" s="697"/>
      <c r="AA47" s="697"/>
      <c r="AB47" s="697"/>
      <c r="AC47" s="697"/>
      <c r="AD47" s="624"/>
      <c r="AE47" s="17"/>
      <c r="AF47" s="17"/>
    </row>
    <row r="48" spans="1:32">
      <c r="V48" s="698"/>
      <c r="W48" s="698"/>
      <c r="X48" s="699"/>
      <c r="Y48" s="699"/>
      <c r="Z48" s="699"/>
      <c r="AA48" s="541"/>
      <c r="AB48" s="697"/>
      <c r="AC48" s="697"/>
      <c r="AD48" s="624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24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24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24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24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24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24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2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2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2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24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24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2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2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24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24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24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24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24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24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2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2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2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2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2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2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2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2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2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2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2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2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24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29" t="s">
        <v>51</v>
      </c>
      <c r="B1" s="741" t="s">
        <v>318</v>
      </c>
      <c r="C1" s="742"/>
      <c r="D1" s="744"/>
      <c r="E1" s="741" t="s">
        <v>319</v>
      </c>
      <c r="F1" s="742"/>
      <c r="G1" s="743"/>
      <c r="H1" s="738" t="s">
        <v>324</v>
      </c>
      <c r="I1" s="735" t="s">
        <v>325</v>
      </c>
      <c r="J1" s="732" t="s">
        <v>43</v>
      </c>
    </row>
    <row r="2" spans="1:18" ht="38.25" thickBot="1">
      <c r="A2" s="730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9"/>
      <c r="I2" s="736"/>
      <c r="J2" s="733"/>
    </row>
    <row r="3" spans="1:18" ht="24" customHeight="1" thickBot="1">
      <c r="A3" s="731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0"/>
      <c r="I3" s="737"/>
      <c r="J3" s="734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532">
        <v>1.2</v>
      </c>
      <c r="C9" s="634">
        <v>8.6999999999999993</v>
      </c>
      <c r="D9" s="170"/>
      <c r="E9" s="634">
        <v>1</v>
      </c>
      <c r="F9" s="634">
        <v>8.1999999999999993</v>
      </c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>
        <v>1.2</v>
      </c>
      <c r="C10" s="583">
        <v>8</v>
      </c>
      <c r="D10" s="170"/>
      <c r="E10" s="170">
        <v>1</v>
      </c>
      <c r="F10" s="170">
        <v>8.1999999999999993</v>
      </c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>
        <v>1.5</v>
      </c>
      <c r="C11" s="646">
        <v>8</v>
      </c>
      <c r="D11" s="170"/>
      <c r="E11" s="170">
        <v>1</v>
      </c>
      <c r="F11" s="170">
        <v>8.1999999999999993</v>
      </c>
      <c r="G11" s="170"/>
      <c r="H11" s="576">
        <v>6760</v>
      </c>
      <c r="I11" s="506">
        <f t="shared" si="3"/>
        <v>6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>
        <v>1.5</v>
      </c>
      <c r="C12" s="592">
        <v>8</v>
      </c>
      <c r="D12" s="170"/>
      <c r="E12" s="170">
        <v>1</v>
      </c>
      <c r="F12" s="170">
        <v>8.3000000000000007</v>
      </c>
      <c r="G12" s="532"/>
      <c r="H12" s="576">
        <f t="shared" si="2"/>
        <v>6760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>
        <v>1.5</v>
      </c>
      <c r="C13" s="532">
        <v>8.6999999999999993</v>
      </c>
      <c r="D13" s="532"/>
      <c r="E13" s="532">
        <v>1</v>
      </c>
      <c r="F13" s="532">
        <v>8.6999999999999993</v>
      </c>
      <c r="G13" s="532"/>
      <c r="H13" s="576">
        <f t="shared" si="2"/>
        <v>6760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254">
        <v>1.4</v>
      </c>
      <c r="C14" s="652">
        <v>8.4</v>
      </c>
      <c r="D14" s="170"/>
      <c r="E14" s="170">
        <v>1</v>
      </c>
      <c r="F14" s="170">
        <v>8.3000000000000007</v>
      </c>
      <c r="G14" s="170"/>
      <c r="H14" s="576">
        <v>6762</v>
      </c>
      <c r="I14" s="506">
        <f t="shared" si="3"/>
        <v>2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/>
      <c r="C15" s="582"/>
      <c r="D15" s="582"/>
      <c r="E15" s="582"/>
      <c r="F15" s="582"/>
      <c r="G15" s="574"/>
      <c r="H15" s="576">
        <f t="shared" si="2"/>
        <v>6762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/>
      <c r="C16" s="582"/>
      <c r="D16" s="582"/>
      <c r="E16" s="582"/>
      <c r="F16" s="582"/>
      <c r="G16" s="574"/>
      <c r="H16" s="576">
        <f t="shared" si="2"/>
        <v>6762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/>
      <c r="C17" s="594"/>
      <c r="D17" s="170"/>
      <c r="E17" s="170"/>
      <c r="F17" s="594"/>
      <c r="G17" s="532"/>
      <c r="H17" s="576">
        <f t="shared" si="2"/>
        <v>6762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/>
      <c r="C18" s="595"/>
      <c r="D18" s="170"/>
      <c r="E18" s="170"/>
      <c r="F18" s="595"/>
      <c r="G18" s="170"/>
      <c r="H18" s="576">
        <f t="shared" si="2"/>
        <v>6762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/>
      <c r="C19" s="596"/>
      <c r="D19" s="170"/>
      <c r="E19" s="170"/>
      <c r="F19" s="596"/>
      <c r="G19" s="532"/>
      <c r="H19" s="576">
        <f t="shared" si="2"/>
        <v>6762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/>
      <c r="C20" s="597"/>
      <c r="D20" s="170"/>
      <c r="E20" s="170"/>
      <c r="F20" s="597"/>
      <c r="G20" s="532"/>
      <c r="H20" s="576">
        <f t="shared" si="2"/>
        <v>6762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/>
      <c r="C21" s="598"/>
      <c r="D21" s="170"/>
      <c r="E21" s="170"/>
      <c r="F21" s="598"/>
      <c r="G21" s="532"/>
      <c r="H21" s="576">
        <f t="shared" si="2"/>
        <v>6762</v>
      </c>
      <c r="I21" s="506">
        <f t="shared" si="3"/>
        <v>0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/>
      <c r="C22" s="598"/>
      <c r="D22" s="599"/>
      <c r="E22" s="598"/>
      <c r="F22" s="598"/>
      <c r="G22" s="532"/>
      <c r="H22" s="576">
        <f t="shared" si="2"/>
        <v>6762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/>
      <c r="C23" s="600"/>
      <c r="D23" s="601"/>
      <c r="E23" s="600"/>
      <c r="F23" s="600"/>
      <c r="G23" s="532"/>
      <c r="H23" s="576">
        <f t="shared" si="2"/>
        <v>6762</v>
      </c>
      <c r="I23" s="506">
        <f t="shared" si="3"/>
        <v>0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/>
      <c r="C24" s="602"/>
      <c r="D24" s="603"/>
      <c r="E24" s="602"/>
      <c r="F24" s="602"/>
      <c r="G24" s="170"/>
      <c r="H24" s="576">
        <f t="shared" si="2"/>
        <v>6762</v>
      </c>
      <c r="I24" s="506">
        <f t="shared" si="3"/>
        <v>0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/>
      <c r="C25" s="582"/>
      <c r="D25" s="170"/>
      <c r="E25" s="170"/>
      <c r="F25" s="170"/>
      <c r="G25" s="170"/>
      <c r="H25" s="576">
        <f t="shared" si="2"/>
        <v>6762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/>
      <c r="C26" s="605"/>
      <c r="D26" s="606"/>
      <c r="E26" s="605"/>
      <c r="F26" s="605"/>
      <c r="G26" s="170"/>
      <c r="H26" s="576">
        <f t="shared" si="2"/>
        <v>6762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/>
      <c r="C27" s="170"/>
      <c r="D27" s="170"/>
      <c r="E27" s="170"/>
      <c r="F27" s="170"/>
      <c r="G27" s="170"/>
      <c r="H27" s="576">
        <f t="shared" si="2"/>
        <v>6762</v>
      </c>
      <c r="I27" s="506">
        <f t="shared" si="3"/>
        <v>0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/>
      <c r="C28" s="586"/>
      <c r="D28" s="170"/>
      <c r="E28" s="532"/>
      <c r="F28" s="586"/>
      <c r="G28" s="170"/>
      <c r="H28" s="576">
        <f t="shared" si="2"/>
        <v>6762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/>
      <c r="C29" s="608"/>
      <c r="D29" s="609"/>
      <c r="E29" s="608"/>
      <c r="F29" s="608"/>
      <c r="G29" s="532"/>
      <c r="H29" s="576">
        <f t="shared" si="2"/>
        <v>6762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/>
      <c r="C30" s="610"/>
      <c r="D30" s="611"/>
      <c r="E30" s="610"/>
      <c r="F30" s="610"/>
      <c r="G30" s="170"/>
      <c r="H30" s="576">
        <f t="shared" si="2"/>
        <v>6762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/>
      <c r="C31" s="582"/>
      <c r="D31" s="170"/>
      <c r="E31" s="170"/>
      <c r="F31" s="170"/>
      <c r="G31" s="170"/>
      <c r="H31" s="576">
        <f t="shared" si="2"/>
        <v>6762</v>
      </c>
      <c r="I31" s="506">
        <f t="shared" si="3"/>
        <v>0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/>
      <c r="C32" s="170"/>
      <c r="D32" s="170"/>
      <c r="E32" s="170"/>
      <c r="F32" s="170"/>
      <c r="G32" s="506"/>
      <c r="H32" s="576">
        <f t="shared" si="2"/>
        <v>6762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6762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6762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6762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6762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2" zoomScale="80" zoomScaleNormal="80" workbookViewId="0">
      <selection activeCell="AA14" sqref="AA1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45" t="s">
        <v>161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</row>
    <row r="2" spans="1:28" ht="19.5">
      <c r="A2" s="746"/>
      <c r="B2" s="746"/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6"/>
      <c r="U2" s="746"/>
      <c r="V2" s="746"/>
      <c r="W2" s="746"/>
      <c r="X2" s="746"/>
    </row>
    <row r="3" spans="1:28" ht="19.5">
      <c r="A3" s="746" t="s">
        <v>162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6"/>
      <c r="U3" s="746"/>
      <c r="V3" s="746"/>
      <c r="W3" s="746"/>
      <c r="X3" s="74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6" t="s">
        <v>409</v>
      </c>
      <c r="B5" s="746"/>
      <c r="C5" s="746"/>
      <c r="D5" s="746"/>
      <c r="E5" s="746"/>
      <c r="F5" s="746"/>
      <c r="G5" s="746"/>
      <c r="H5" s="746"/>
      <c r="I5" s="746"/>
      <c r="J5" s="746"/>
      <c r="K5" s="746"/>
      <c r="L5" s="746"/>
      <c r="M5" s="746"/>
      <c r="N5" s="746"/>
      <c r="O5" s="746"/>
      <c r="P5" s="746"/>
      <c r="Q5" s="746"/>
      <c r="R5" s="746"/>
      <c r="S5" s="746"/>
      <c r="T5" s="746"/>
      <c r="U5" s="746"/>
      <c r="V5" s="746"/>
      <c r="W5" s="746"/>
      <c r="X5" s="746"/>
    </row>
    <row r="6" spans="1:28" ht="15.75" thickBot="1">
      <c r="A6" s="747"/>
      <c r="B6" s="747"/>
      <c r="C6" s="747"/>
      <c r="D6" s="747"/>
      <c r="E6" s="747"/>
      <c r="F6" s="747"/>
      <c r="G6" s="747"/>
      <c r="H6" s="747"/>
      <c r="I6" s="747"/>
      <c r="J6" s="747"/>
      <c r="K6" s="747"/>
      <c r="L6" s="747"/>
      <c r="M6" s="747"/>
      <c r="N6" s="747"/>
      <c r="O6" s="747"/>
      <c r="P6" s="747"/>
      <c r="Q6" s="747"/>
      <c r="R6" s="747"/>
      <c r="S6" s="747"/>
      <c r="T6" s="747"/>
      <c r="U6" s="747"/>
      <c r="V6" s="747"/>
      <c r="W6" s="747"/>
      <c r="X6" s="747"/>
    </row>
    <row r="7" spans="1:28" ht="15.75" thickBot="1">
      <c r="A7" s="749" t="s">
        <v>163</v>
      </c>
      <c r="B7" s="750"/>
      <c r="C7" s="751" t="s">
        <v>164</v>
      </c>
      <c r="D7" s="752"/>
      <c r="E7" s="752"/>
      <c r="F7" s="752"/>
      <c r="G7" s="752"/>
      <c r="H7" s="752"/>
      <c r="I7" s="752"/>
      <c r="J7" s="752"/>
      <c r="K7" s="75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'[3]General information '!B6</f>
        <v>17</v>
      </c>
      <c r="O10" s="272">
        <f>'[3]General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'[3]General information '!B7</f>
        <v>15</v>
      </c>
      <c r="O11" s="272">
        <f>'[3]General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'[3]General information '!B8</f>
        <v>19</v>
      </c>
      <c r="O12" s="272">
        <f>'[3]General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'[3]General information '!B9</f>
        <v>18</v>
      </c>
      <c r="O13" s="272">
        <f>'[3]General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26</v>
      </c>
      <c r="S13" s="272">
        <f>'General information '!C9</f>
        <v>19</v>
      </c>
      <c r="T13" s="272">
        <f t="shared" si="1"/>
        <v>4.1999999999999993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'[3]General information '!B10</f>
        <v>19</v>
      </c>
      <c r="O14" s="272">
        <f>'[3]General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24</v>
      </c>
      <c r="S14" s="272">
        <f>'General information '!C10</f>
        <v>22</v>
      </c>
      <c r="T14" s="272">
        <f t="shared" si="1"/>
        <v>4.6999999999999993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>
        <f>R43</f>
        <v>-420.90000000000015</v>
      </c>
      <c r="AB14" s="272">
        <f>S43</f>
        <v>39.099999999999994</v>
      </c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'[3]General information '!B11</f>
        <v>30</v>
      </c>
      <c r="O15" s="272">
        <f>'[3]General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24</v>
      </c>
      <c r="S15" s="272">
        <f>'General information '!C11</f>
        <v>20</v>
      </c>
      <c r="T15" s="272">
        <f t="shared" si="1"/>
        <v>3.6999999999999993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'[3]General information '!B12</f>
        <v>24</v>
      </c>
      <c r="O16" s="272">
        <f>'[3]General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25</v>
      </c>
      <c r="S16" s="272">
        <f>'General information '!C12</f>
        <v>21</v>
      </c>
      <c r="T16" s="272">
        <f t="shared" si="1"/>
        <v>4.6999999999999993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'[3]General information '!B13</f>
        <v>20</v>
      </c>
      <c r="O17" s="272">
        <f>'[3]General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29</v>
      </c>
      <c r="S17" s="272">
        <f>'General information '!C13</f>
        <v>20</v>
      </c>
      <c r="T17" s="272">
        <f t="shared" si="1"/>
        <v>6.1999999999999993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'[3]General information '!B14</f>
        <v>20</v>
      </c>
      <c r="O18" s="272">
        <f>'[3]General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0</v>
      </c>
      <c r="S18" s="272">
        <f>'General information '!C14</f>
        <v>0</v>
      </c>
      <c r="T18" s="272">
        <f t="shared" si="1"/>
        <v>-18.3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'[3]General information '!B15</f>
        <v>16</v>
      </c>
      <c r="O19" s="272">
        <f>'[3]General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0</v>
      </c>
      <c r="S19" s="272">
        <f>'General information '!C15</f>
        <v>0</v>
      </c>
      <c r="T19" s="272">
        <f t="shared" si="1"/>
        <v>-18.3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'[3]General information '!B16</f>
        <v>17</v>
      </c>
      <c r="O20" s="272">
        <f>'[3]General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0</v>
      </c>
      <c r="S20" s="272">
        <f>'General information '!C16</f>
        <v>0</v>
      </c>
      <c r="T20" s="272">
        <f t="shared" si="1"/>
        <v>-18.3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'[3]General information '!B17</f>
        <v>16</v>
      </c>
      <c r="O21" s="272">
        <f>'[3]General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0</v>
      </c>
      <c r="S21" s="272">
        <f>'General information '!C17</f>
        <v>0</v>
      </c>
      <c r="T21" s="272">
        <f t="shared" si="1"/>
        <v>-18.3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'[3]General information '!B18</f>
        <v>18</v>
      </c>
      <c r="O22" s="272">
        <f>'[3]General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0</v>
      </c>
      <c r="S22" s="272">
        <f>'General information '!C18</f>
        <v>0</v>
      </c>
      <c r="T22" s="272">
        <f t="shared" si="1"/>
        <v>-18.3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'[3]General information '!B19</f>
        <v>20</v>
      </c>
      <c r="O23" s="272">
        <f>'[3]General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0</v>
      </c>
      <c r="S23" s="272">
        <f>'General information '!C19</f>
        <v>0</v>
      </c>
      <c r="T23" s="272">
        <f t="shared" si="1"/>
        <v>-18.3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-676.60000000000014</v>
      </c>
      <c r="AB23" s="134">
        <f>SUM(AB10:AB22)</f>
        <v>115.2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'[3]General information '!B20</f>
        <v>24</v>
      </c>
      <c r="O24" s="272">
        <f>'[3]General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0</v>
      </c>
      <c r="S24" s="272">
        <f>'General information '!C20</f>
        <v>0</v>
      </c>
      <c r="T24" s="272">
        <f t="shared" si="1"/>
        <v>-18.3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'[3]General information '!B21</f>
        <v>26</v>
      </c>
      <c r="O25" s="272">
        <f>'[3]General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0</v>
      </c>
      <c r="S25" s="272">
        <f>'General information '!C21</f>
        <v>0</v>
      </c>
      <c r="T25" s="272">
        <f t="shared" si="1"/>
        <v>-18.3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'[3]General information '!B22</f>
        <v>27</v>
      </c>
      <c r="O26" s="272">
        <f>'[3]General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0</v>
      </c>
      <c r="S26" s="272">
        <f>'General information '!C22</f>
        <v>0</v>
      </c>
      <c r="T26" s="272">
        <f t="shared" si="1"/>
        <v>-18.3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'[3]General information '!B23</f>
        <v>32</v>
      </c>
      <c r="O27" s="272">
        <f>'[3]General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0</v>
      </c>
      <c r="S27" s="272">
        <f>'General information '!C23</f>
        <v>0</v>
      </c>
      <c r="T27" s="272">
        <f t="shared" si="1"/>
        <v>-18.3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'[3]General information '!B24</f>
        <v>33</v>
      </c>
      <c r="O28" s="272">
        <f>'[3]General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0</v>
      </c>
      <c r="S28" s="272">
        <f>'General information '!C24</f>
        <v>0</v>
      </c>
      <c r="T28" s="272">
        <f t="shared" si="1"/>
        <v>-18.3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'[3]General information '!B25</f>
        <v>22</v>
      </c>
      <c r="O29" s="272">
        <f>'[3]General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0</v>
      </c>
      <c r="S29" s="272">
        <f>'General information '!C25</f>
        <v>0</v>
      </c>
      <c r="T29" s="272">
        <f t="shared" si="1"/>
        <v>-18.3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'[3]General information '!B26</f>
        <v>21</v>
      </c>
      <c r="O30" s="272">
        <f>'[3]General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0</v>
      </c>
      <c r="S30" s="272">
        <f>'General information '!C26</f>
        <v>0</v>
      </c>
      <c r="T30" s="272">
        <f t="shared" si="1"/>
        <v>-18.3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'[3]General information '!B27</f>
        <v>21</v>
      </c>
      <c r="O31" s="272">
        <f>'[3]General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0</v>
      </c>
      <c r="S31" s="272">
        <f>'General information '!C27</f>
        <v>0</v>
      </c>
      <c r="T31" s="272">
        <f t="shared" si="1"/>
        <v>-18.3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'[3]General information '!B28</f>
        <v>20</v>
      </c>
      <c r="O32" s="272">
        <f>'[3]General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0</v>
      </c>
      <c r="S32" s="272">
        <f>'General information '!C28</f>
        <v>0</v>
      </c>
      <c r="T32" s="272">
        <f t="shared" si="1"/>
        <v>-18.3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'[3]General information '!B29</f>
        <v>24</v>
      </c>
      <c r="O33" s="272">
        <f>'[3]General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0</v>
      </c>
      <c r="S33" s="272">
        <f>'General information '!C29</f>
        <v>0</v>
      </c>
      <c r="T33" s="272">
        <f t="shared" si="1"/>
        <v>-18.3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'[3]General information '!B30</f>
        <v>23</v>
      </c>
      <c r="O34" s="272">
        <f>'[3]General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0</v>
      </c>
      <c r="S34" s="272">
        <f>'General information '!C30</f>
        <v>0</v>
      </c>
      <c r="T34" s="272">
        <f t="shared" si="1"/>
        <v>-18.3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'[3]General information '!B31</f>
        <v>22</v>
      </c>
      <c r="O35" s="272">
        <f>'[3]General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0</v>
      </c>
      <c r="S35" s="272">
        <f>'General information '!C31</f>
        <v>0</v>
      </c>
      <c r="T35" s="272">
        <f t="shared" si="1"/>
        <v>-18.3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'[3]General information '!B32</f>
        <v>22</v>
      </c>
      <c r="O36" s="272">
        <f>'[3]General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0</v>
      </c>
      <c r="S36" s="272">
        <f>'General information '!C32</f>
        <v>0</v>
      </c>
      <c r="T36" s="272">
        <f t="shared" si="1"/>
        <v>-18.3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'[3]General information '!B33</f>
        <v>26</v>
      </c>
      <c r="O37" s="272">
        <f>'[3]General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/>
      <c r="F38" s="272"/>
      <c r="G38" s="272"/>
      <c r="H38" s="272"/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'[3]General information '!B34</f>
        <v>29</v>
      </c>
      <c r="O38" s="272">
        <f>'[3]General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/>
      <c r="F39" s="272"/>
      <c r="G39" s="272"/>
      <c r="H39" s="272"/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'[3]General information '!B35</f>
        <v>25</v>
      </c>
      <c r="O39" s="272">
        <f>'[3]General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/>
      <c r="F40" s="272"/>
      <c r="G40" s="272"/>
      <c r="H40" s="272"/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-420.90000000000015</v>
      </c>
      <c r="S43" s="119">
        <f>SUMIF(T10:T40,"&gt;0")</f>
        <v>39.099999999999994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4" t="s">
        <v>174</v>
      </c>
      <c r="O84" s="754" t="s">
        <v>175</v>
      </c>
      <c r="P84" s="134"/>
      <c r="T84" s="134"/>
      <c r="X84" s="134"/>
    </row>
    <row r="85" spans="1:24" ht="20.25" thickBot="1">
      <c r="D85" s="134"/>
      <c r="I85" s="756" t="s">
        <v>182</v>
      </c>
      <c r="J85" s="757"/>
      <c r="K85" s="757"/>
      <c r="L85" s="757"/>
      <c r="N85" s="755"/>
      <c r="O85" s="755"/>
      <c r="P85" s="134"/>
      <c r="R85" s="17"/>
      <c r="S85" s="17"/>
      <c r="T85" s="140"/>
      <c r="U85" s="141"/>
      <c r="X85" s="134"/>
    </row>
    <row r="86" spans="1:24" ht="18.75" thickBot="1">
      <c r="D86" s="134"/>
      <c r="I86" s="758" t="s">
        <v>183</v>
      </c>
      <c r="J86" s="758"/>
      <c r="K86" s="758"/>
      <c r="L86" s="758"/>
      <c r="N86" s="142">
        <f>B43+F43+J43+N43+R43+V43+B81+F81+J81+N81+R81+V81</f>
        <v>-4564.1000000000004</v>
      </c>
      <c r="O86" s="142">
        <f>C43+G43+K43+O43+S43+W43+C81+G81+K81+O81+S81+W81</f>
        <v>115.2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8"/>
      <c r="C88" s="748"/>
      <c r="D88" s="748"/>
      <c r="E88" s="748"/>
      <c r="F88" s="748"/>
      <c r="G88" s="748"/>
      <c r="H88" s="748"/>
      <c r="I88" s="748"/>
      <c r="J88" s="748"/>
      <c r="K88" s="748"/>
      <c r="L88" s="748"/>
      <c r="M88" s="748"/>
      <c r="N88" s="748"/>
      <c r="O88" s="748"/>
      <c r="P88" s="748"/>
      <c r="Q88" s="748"/>
      <c r="R88" s="748"/>
      <c r="S88" s="748"/>
      <c r="T88" s="748"/>
      <c r="U88" s="748"/>
      <c r="V88" s="748"/>
      <c r="W88" s="74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12" sqref="H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59" t="s">
        <v>216</v>
      </c>
      <c r="B2" s="759"/>
      <c r="C2" s="759"/>
      <c r="D2" s="759"/>
      <c r="E2" s="759"/>
      <c r="F2" s="759"/>
      <c r="G2" s="759"/>
      <c r="H2" s="759"/>
      <c r="I2" s="759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9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884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2380.6451612903224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1</v>
      </c>
      <c r="C8" s="490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07">
        <f>E8*$F$4</f>
        <v>0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17880</v>
      </c>
      <c r="C10" s="181"/>
      <c r="D10" s="183">
        <f>'EDl log'!AB33</f>
        <v>9501965</v>
      </c>
      <c r="E10" s="182">
        <f>SUM(D10/D4/F4)</f>
        <v>700.34752165100429</v>
      </c>
      <c r="F10" s="182">
        <f>SUM(E10*F4)</f>
        <v>6303.1276948590385</v>
      </c>
      <c r="G10" s="507">
        <f>E10*$G$4</f>
        <v>21710.773171181132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964.86365068326234</v>
      </c>
      <c r="F12" s="180">
        <f>SUM(F6:F10)</f>
        <v>8683.7728561493605</v>
      </c>
      <c r="G12" s="179">
        <f>SUM(G6:G10)</f>
        <v>29910.773171181132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2020'!AB14</f>
        <v>39.099999999999994</v>
      </c>
      <c r="C14" s="433">
        <f>'[14]Utility Cost '!C14</f>
        <v>0</v>
      </c>
      <c r="D14" s="170"/>
      <c r="E14" s="170">
        <f t="shared" ref="E14:E18" si="0">B14-C14</f>
        <v>39.099999999999994</v>
      </c>
      <c r="F14" s="506">
        <v>0</v>
      </c>
      <c r="G14" s="422"/>
      <c r="H14" s="423">
        <f>SUM(G12-H12)</f>
        <v>-15428.226828818868</v>
      </c>
      <c r="I14" s="423">
        <f>SUM(G12-I12)</f>
        <v>-15428.226828818868</v>
      </c>
    </row>
    <row r="15" spans="1:11">
      <c r="A15" s="448" t="s">
        <v>303</v>
      </c>
      <c r="B15" s="97">
        <f>'Degree Days 2020'!AA14</f>
        <v>-420.90000000000015</v>
      </c>
      <c r="C15" s="433">
        <f>'[14]Utility Cost '!C15</f>
        <v>-87.799999999999955</v>
      </c>
      <c r="D15" s="170"/>
      <c r="E15" s="170">
        <f t="shared" si="0"/>
        <v>-333.10000000000019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20.611111111111111</v>
      </c>
      <c r="C16" s="433">
        <f>'[14]Utility Cost '!C16</f>
        <v>18.116666666666667</v>
      </c>
      <c r="D16" s="432"/>
      <c r="E16" s="433">
        <f t="shared" si="0"/>
        <v>2.4944444444444436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433">
        <f>'[14]Utility Cost '!C17</f>
        <v>0.81745666666666661</v>
      </c>
      <c r="D17" s="476">
        <v>0</v>
      </c>
      <c r="E17" s="520">
        <f t="shared" si="0"/>
        <v>-0.81745666666666661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62</v>
      </c>
      <c r="C18" s="433">
        <f>'[14]Utility Cost '!C18</f>
        <v>100</v>
      </c>
      <c r="D18" s="430">
        <f>'[13]Other Fuel Calculation 2021'!$C$117</f>
        <v>172.73885330486587</v>
      </c>
      <c r="E18" s="522">
        <f t="shared" si="0"/>
        <v>-38</v>
      </c>
      <c r="F18" s="525">
        <f>B18-D18</f>
        <v>-110.73885330486587</v>
      </c>
    </row>
    <row r="19" spans="1:10">
      <c r="A19" s="519" t="s">
        <v>411</v>
      </c>
      <c r="B19" s="517">
        <f>SUM(B18/$F$4)</f>
        <v>6.8888888888888893</v>
      </c>
      <c r="C19" s="433">
        <f>'[14]Utility Cost '!C19</f>
        <v>3.3333333333333335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2021-05-10T04:06:34Z</dcterms:modified>
</cp:coreProperties>
</file>