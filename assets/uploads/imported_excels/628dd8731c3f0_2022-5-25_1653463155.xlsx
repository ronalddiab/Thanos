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890" yWindow="-135" windowWidth="14325" windowHeight="11805" tabRatio="578" firstSheet="1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2" i="3"/>
  <c r="D23" i="2"/>
  <c r="D24" s="1"/>
  <c r="D28" s="1"/>
  <c r="D29" s="1"/>
  <c r="D30" s="1"/>
  <c r="D31" s="1"/>
  <c r="D32" s="1"/>
  <c r="D33" s="1"/>
  <c r="D34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6"/>
  <c r="B2"/>
  <c r="B3" s="1"/>
  <c r="B4" s="1"/>
  <c r="C5" s="1"/>
  <c r="B9"/>
  <c r="B15"/>
  <c r="B16" s="1"/>
  <c r="B22" s="1"/>
  <c r="B23" s="1"/>
  <c r="B27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5" s="1"/>
  <c r="AV26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5" s="1"/>
  <c r="AX26" s="1"/>
  <c r="AX27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28" s="1"/>
  <c r="P29" s="1"/>
  <c r="P30" s="1"/>
  <c r="P31" s="1"/>
  <c r="P32" s="1"/>
  <c r="P33" s="1"/>
  <c r="P34" s="1"/>
  <c r="Q6"/>
  <c r="J9"/>
  <c r="J10" s="1"/>
  <c r="J16" s="1"/>
  <c r="J17" s="1"/>
  <c r="J23" s="1"/>
  <c r="J24" s="1"/>
  <c r="J28" s="1"/>
  <c r="J29" s="1"/>
  <c r="J30" s="1"/>
  <c r="J31" s="1"/>
  <c r="J32" s="1"/>
  <c r="J33" s="1"/>
  <c r="J34" s="1"/>
  <c r="K6"/>
  <c r="H9"/>
  <c r="H10" s="1"/>
  <c r="H16" s="1"/>
  <c r="H17" s="1"/>
  <c r="H23" s="1"/>
  <c r="H24" s="1"/>
  <c r="H28" s="1"/>
  <c r="H29" s="1"/>
  <c r="H30" s="1"/>
  <c r="H31" s="1"/>
  <c r="H32" s="1"/>
  <c r="H33" s="1"/>
  <c r="H34" s="1"/>
  <c r="I6"/>
  <c r="L9"/>
  <c r="L10" s="1"/>
  <c r="L16" s="1"/>
  <c r="L17" s="1"/>
  <c r="L23" s="1"/>
  <c r="L24" s="1"/>
  <c r="L28" s="1"/>
  <c r="L29" s="1"/>
  <c r="L30" s="1"/>
  <c r="L31" s="1"/>
  <c r="L32" s="1"/>
  <c r="L33" s="1"/>
  <c r="L34" s="1"/>
  <c r="M6"/>
  <c r="F9"/>
  <c r="F10" s="1"/>
  <c r="F16" s="1"/>
  <c r="F17" s="1"/>
  <c r="F23" s="1"/>
  <c r="F24" s="1"/>
  <c r="F28" s="1"/>
  <c r="F29" s="1"/>
  <c r="F30" s="1"/>
  <c r="F31" s="1"/>
  <c r="F32" s="1"/>
  <c r="F33" s="1"/>
  <c r="F34" s="1"/>
  <c r="G6"/>
  <c r="C24" i="1"/>
  <c r="C29" s="1"/>
  <c r="C30" s="1"/>
  <c r="C31" s="1"/>
  <c r="C32" s="1"/>
  <c r="C33" s="1"/>
  <c r="C34" s="1"/>
  <c r="C35" s="1"/>
  <c r="K6" i="5"/>
  <c r="B16" i="76" l="1"/>
  <c r="B17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0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V36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<sst xmlns="http://schemas.openxmlformats.org/spreadsheetml/2006/main" count="665" uniqueCount="417">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</sst>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95683072"/>
        <c:axId val="195684608"/>
      </c:lineChart>
      <c:catAx>
        <c:axId val="1956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84608"/>
        <c:crosses val="autoZero"/>
        <c:auto val="1"/>
        <c:lblAlgn val="ctr"/>
        <c:lblOffset val="100"/>
      </c:catAx>
      <c:valAx>
        <c:axId val="195684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9437952"/>
        <c:axId val="119443840"/>
      </c:lineChart>
      <c:catAx>
        <c:axId val="11943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43840"/>
        <c:crosses val="autoZero"/>
        <c:auto val="1"/>
        <c:lblAlgn val="ctr"/>
        <c:lblOffset val="100"/>
      </c:catAx>
      <c:valAx>
        <c:axId val="11944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3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64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13"/>
          <c:w val="0.77663126001868699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9472512"/>
        <c:axId val="119474048"/>
      </c:lineChart>
      <c:catAx>
        <c:axId val="1194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74048"/>
        <c:crosses val="autoZero"/>
        <c:auto val="1"/>
        <c:lblAlgn val="ctr"/>
        <c:lblOffset val="100"/>
      </c:catAx>
      <c:valAx>
        <c:axId val="1194740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9515008"/>
        <c:axId val="119516544"/>
      </c:lineChart>
      <c:catAx>
        <c:axId val="1195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16544"/>
        <c:crosses val="autoZero"/>
        <c:auto val="1"/>
        <c:lblAlgn val="ctr"/>
        <c:lblOffset val="100"/>
      </c:catAx>
      <c:valAx>
        <c:axId val="119516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3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9532928"/>
        <c:axId val="119542912"/>
      </c:lineChart>
      <c:catAx>
        <c:axId val="11953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42912"/>
        <c:crosses val="autoZero"/>
        <c:auto val="1"/>
        <c:lblAlgn val="ctr"/>
        <c:lblOffset val="100"/>
      </c:catAx>
      <c:valAx>
        <c:axId val="119542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3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2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5322752"/>
        <c:axId val="125324288"/>
      </c:lineChart>
      <c:catAx>
        <c:axId val="1253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24288"/>
        <c:crosses val="autoZero"/>
        <c:auto val="1"/>
        <c:lblAlgn val="ctr"/>
        <c:lblOffset val="100"/>
      </c:catAx>
      <c:valAx>
        <c:axId val="1253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5357056"/>
        <c:axId val="127599360"/>
      </c:lineChart>
      <c:catAx>
        <c:axId val="1253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99360"/>
        <c:crosses val="autoZero"/>
        <c:auto val="1"/>
        <c:lblAlgn val="ctr"/>
        <c:lblOffset val="100"/>
      </c:catAx>
      <c:valAx>
        <c:axId val="12759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7623552"/>
        <c:axId val="127625088"/>
      </c:lineChart>
      <c:catAx>
        <c:axId val="12762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25088"/>
        <c:crosses val="autoZero"/>
        <c:auto val="1"/>
        <c:lblAlgn val="ctr"/>
        <c:lblOffset val="100"/>
      </c:catAx>
      <c:valAx>
        <c:axId val="12762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7641472"/>
        <c:axId val="127643008"/>
      </c:lineChart>
      <c:catAx>
        <c:axId val="12764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43008"/>
        <c:crosses val="autoZero"/>
        <c:auto val="1"/>
        <c:lblAlgn val="ctr"/>
        <c:lblOffset val="100"/>
      </c:catAx>
      <c:valAx>
        <c:axId val="127643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4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7663488"/>
        <c:axId val="128074880"/>
      </c:lineChart>
      <c:catAx>
        <c:axId val="1276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4880"/>
        <c:crosses val="autoZero"/>
        <c:auto val="1"/>
        <c:lblAlgn val="ctr"/>
        <c:lblOffset val="100"/>
      </c:catAx>
      <c:valAx>
        <c:axId val="12807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9838592"/>
        <c:axId val="139840128"/>
      </c:lineChart>
      <c:catAx>
        <c:axId val="13983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40128"/>
        <c:crosses val="autoZero"/>
        <c:auto val="1"/>
        <c:lblAlgn val="ctr"/>
        <c:lblOffset val="100"/>
      </c:catAx>
      <c:valAx>
        <c:axId val="139840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3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7299328"/>
        <c:axId val="147301120"/>
      </c:lineChart>
      <c:catAx>
        <c:axId val="1472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01120"/>
        <c:crosses val="autoZero"/>
        <c:auto val="1"/>
        <c:lblAlgn val="ctr"/>
        <c:lblOffset val="100"/>
      </c:catAx>
      <c:valAx>
        <c:axId val="14730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64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201</c:v>
                </c:pt>
                <c:pt idx="24">
                  <c:v>64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7321984"/>
        <c:axId val="147323520"/>
      </c:lineChart>
      <c:catAx>
        <c:axId val="1473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3520"/>
        <c:crosses val="autoZero"/>
        <c:auto val="1"/>
        <c:lblAlgn val="ctr"/>
        <c:lblOffset val="100"/>
      </c:catAx>
      <c:valAx>
        <c:axId val="14732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7569280"/>
        <c:axId val="147579264"/>
      </c:lineChart>
      <c:catAx>
        <c:axId val="1475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9264"/>
        <c:crosses val="autoZero"/>
        <c:auto val="1"/>
        <c:lblAlgn val="ctr"/>
        <c:lblOffset val="100"/>
      </c:catAx>
      <c:valAx>
        <c:axId val="14757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7743488"/>
        <c:axId val="147745024"/>
      </c:lineChart>
      <c:catAx>
        <c:axId val="1477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45024"/>
        <c:crosses val="autoZero"/>
        <c:auto val="1"/>
        <c:lblAlgn val="ctr"/>
        <c:lblOffset val="100"/>
      </c:catAx>
      <c:valAx>
        <c:axId val="147745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1324928"/>
        <c:axId val="151330816"/>
      </c:lineChart>
      <c:catAx>
        <c:axId val="1513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30816"/>
        <c:crosses val="autoZero"/>
        <c:auto val="1"/>
        <c:lblAlgn val="ctr"/>
        <c:lblOffset val="100"/>
      </c:catAx>
      <c:valAx>
        <c:axId val="15133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2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1363584"/>
        <c:axId val="151365120"/>
      </c:lineChart>
      <c:catAx>
        <c:axId val="15136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5120"/>
        <c:crosses val="autoZero"/>
        <c:auto val="1"/>
        <c:lblAlgn val="ctr"/>
        <c:lblOffset val="100"/>
      </c:catAx>
      <c:valAx>
        <c:axId val="1513651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16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-1226.7096774193342</c:v>
                </c:pt>
                <c:pt idx="23">
                  <c:v>-1073.3709677419538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1528960"/>
        <c:axId val="151530496"/>
      </c:lineChart>
      <c:catAx>
        <c:axId val="15152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0496"/>
        <c:crosses val="autoZero"/>
        <c:auto val="1"/>
        <c:lblAlgn val="ctr"/>
        <c:lblOffset val="100"/>
      </c:catAx>
      <c:valAx>
        <c:axId val="151530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2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1559552"/>
        <c:axId val="151565440"/>
      </c:lineChart>
      <c:catAx>
        <c:axId val="15155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65440"/>
        <c:crosses val="autoZero"/>
        <c:auto val="1"/>
        <c:lblAlgn val="ctr"/>
        <c:lblOffset val="100"/>
      </c:catAx>
      <c:valAx>
        <c:axId val="15156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5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2069248"/>
        <c:axId val="152070784"/>
      </c:lineChart>
      <c:catAx>
        <c:axId val="15206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70784"/>
        <c:crosses val="autoZero"/>
        <c:auto val="1"/>
        <c:lblAlgn val="ctr"/>
        <c:lblOffset val="100"/>
      </c:catAx>
      <c:valAx>
        <c:axId val="1520707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2091264"/>
        <c:axId val="152101248"/>
      </c:lineChart>
      <c:catAx>
        <c:axId val="15209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1248"/>
        <c:crosses val="autoZero"/>
        <c:auto val="1"/>
        <c:lblAlgn val="ctr"/>
        <c:lblOffset val="100"/>
      </c:catAx>
      <c:valAx>
        <c:axId val="152101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9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3051520"/>
        <c:axId val="153053056"/>
      </c:lineChart>
      <c:catAx>
        <c:axId val="15305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53056"/>
        <c:crosses val="autoZero"/>
        <c:auto val="1"/>
        <c:lblAlgn val="ctr"/>
        <c:lblOffset val="100"/>
      </c:catAx>
      <c:valAx>
        <c:axId val="15305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5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1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3081728"/>
        <c:axId val="153083264"/>
      </c:lineChart>
      <c:catAx>
        <c:axId val="15308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3264"/>
        <c:crosses val="autoZero"/>
        <c:auto val="1"/>
        <c:lblAlgn val="ctr"/>
        <c:lblOffset val="100"/>
      </c:catAx>
      <c:valAx>
        <c:axId val="15308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62082176"/>
        <c:axId val="162100352"/>
      </c:lineChart>
      <c:catAx>
        <c:axId val="1620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0352"/>
        <c:crosses val="autoZero"/>
        <c:auto val="1"/>
        <c:lblAlgn val="ctr"/>
        <c:lblOffset val="100"/>
      </c:catAx>
      <c:valAx>
        <c:axId val="16210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305"/>
          <c:w val="0.123431181980946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-237.90000000000006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34.499999999999986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63125504"/>
        <c:axId val="163135488"/>
      </c:lineChart>
      <c:catAx>
        <c:axId val="1631255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35488"/>
        <c:crosses val="autoZero"/>
        <c:auto val="1"/>
        <c:lblAlgn val="ctr"/>
        <c:lblOffset val="100"/>
      </c:catAx>
      <c:valAx>
        <c:axId val="1631354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326"/>
          <c:w val="0.1569039853282476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3147136"/>
        <c:axId val="163157120"/>
      </c:lineChart>
      <c:catAx>
        <c:axId val="1631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57120"/>
        <c:crosses val="autoZero"/>
        <c:auto val="1"/>
        <c:lblAlgn val="ctr"/>
        <c:lblOffset val="100"/>
      </c:catAx>
      <c:valAx>
        <c:axId val="163157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93013248"/>
        <c:axId val="193014784"/>
      </c:lineChart>
      <c:catAx>
        <c:axId val="1930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14784"/>
        <c:crosses val="autoZero"/>
        <c:auto val="1"/>
        <c:lblAlgn val="ctr"/>
        <c:lblOffset val="100"/>
      </c:catAx>
      <c:valAx>
        <c:axId val="1930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15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-237.90000000000006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34.499999999999986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3954560"/>
        <c:axId val="193956096"/>
      </c:lineChart>
      <c:catAx>
        <c:axId val="193954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56096"/>
        <c:crosses val="autoZero"/>
        <c:auto val="1"/>
        <c:lblAlgn val="ctr"/>
        <c:lblOffset val="100"/>
      </c:catAx>
      <c:valAx>
        <c:axId val="1939560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3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0.30306205869605968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0.30100303161661174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0.25203671186550547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-8.1709485789481243E-2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0.2854947360828381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0.24900081474162269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0.29589203877587311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0.3446246453844779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0.25321827144010134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0.28420176264244995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0.22421911759034957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0.33449738556333408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0.24765843912620783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1.0289349880587202</v>
      </c>
      <c r="G23" s="203">
        <f>-tanks!AW27</f>
        <v>136</v>
      </c>
      <c r="H23" s="315">
        <f>tanks!AV27</f>
        <v>0</v>
      </c>
      <c r="I23" s="10">
        <f>('B5'!AU26)*0.51</f>
        <v>107.10000000000001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3279</v>
      </c>
      <c r="F24" s="315">
        <f>SUM('EDl log'!T26)</f>
        <v>0.27191353771987686</v>
      </c>
      <c r="G24" s="203">
        <f>-tanks!AW28</f>
        <v>201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3094</v>
      </c>
      <c r="F25" s="315">
        <f>SUM('EDl log'!T27)</f>
        <v>0.28437874932080093</v>
      </c>
      <c r="G25" s="203">
        <f>-tanks!AW29</f>
        <v>64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740</v>
      </c>
      <c r="F24" s="203">
        <f>ELEC!K26</f>
        <v>744</v>
      </c>
      <c r="G24" s="203">
        <f>ELEC!I26</f>
        <v>400</v>
      </c>
      <c r="H24" s="203">
        <f>ELEC!E26</f>
        <v>1100</v>
      </c>
      <c r="I24" s="203">
        <f>ELEC!G26</f>
        <v>295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678</v>
      </c>
      <c r="F25" s="203">
        <f>ELEC!K27</f>
        <v>694</v>
      </c>
      <c r="G25" s="203">
        <f>ELEC!I27</f>
        <v>386</v>
      </c>
      <c r="H25" s="203">
        <f>ELEC!E27</f>
        <v>1060</v>
      </c>
      <c r="I25" s="203">
        <f>ELEC!G27</f>
        <v>276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7" sqref="Q2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17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v>295160</v>
      </c>
      <c r="E18" s="580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v>295780</v>
      </c>
      <c r="E19" s="580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4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v>296420</v>
      </c>
      <c r="E20" s="580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4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v>297110</v>
      </c>
      <c r="E21" s="580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4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v>297830</v>
      </c>
      <c r="E22" s="580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4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ref="D23:D34" si="53">D22</f>
        <v>297830</v>
      </c>
      <c r="E23" s="580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53"/>
        <v>297830</v>
      </c>
      <c r="E24" s="580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9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v>298610</v>
      </c>
      <c r="E25" s="580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4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v>299710</v>
      </c>
      <c r="E26" s="580">
        <f t="shared" si="8"/>
        <v>1100</v>
      </c>
      <c r="F26" s="569">
        <v>4135167</v>
      </c>
      <c r="G26" s="449">
        <f t="shared" si="34"/>
        <v>295</v>
      </c>
      <c r="H26" s="426">
        <v>18045298</v>
      </c>
      <c r="I26" s="449">
        <f t="shared" si="35"/>
        <v>400</v>
      </c>
      <c r="J26" s="426">
        <v>29796528</v>
      </c>
      <c r="K26" s="449">
        <f t="shared" si="36"/>
        <v>744</v>
      </c>
      <c r="L26" s="426">
        <v>24591010</v>
      </c>
      <c r="M26" s="449">
        <f t="shared" si="37"/>
        <v>740</v>
      </c>
      <c r="N26" s="297">
        <f t="shared" si="38"/>
        <v>3279</v>
      </c>
      <c r="O26" s="445">
        <f t="shared" si="40"/>
        <v>0</v>
      </c>
      <c r="P26" s="563">
        <v>19247.712</v>
      </c>
      <c r="Q26" s="446">
        <f t="shared" si="1"/>
        <v>3274.9999999978172</v>
      </c>
      <c r="R26" s="594">
        <f t="shared" si="43"/>
        <v>4.0000000021827873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v>300770</v>
      </c>
      <c r="E27" s="580">
        <f t="shared" si="8"/>
        <v>1060</v>
      </c>
      <c r="F27" s="569">
        <v>4135443</v>
      </c>
      <c r="G27" s="449">
        <f t="shared" si="34"/>
        <v>276</v>
      </c>
      <c r="H27" s="426">
        <v>18045684</v>
      </c>
      <c r="I27" s="449">
        <f t="shared" si="35"/>
        <v>386</v>
      </c>
      <c r="J27" s="426">
        <v>29797222</v>
      </c>
      <c r="K27" s="449">
        <f t="shared" si="36"/>
        <v>694</v>
      </c>
      <c r="L27" s="426">
        <v>24591688</v>
      </c>
      <c r="M27" s="449">
        <f t="shared" si="37"/>
        <v>678</v>
      </c>
      <c r="N27" s="297">
        <f t="shared" si="38"/>
        <v>3094</v>
      </c>
      <c r="O27" s="445">
        <f t="shared" si="40"/>
        <v>0</v>
      </c>
      <c r="P27" s="563">
        <v>19250.867999999999</v>
      </c>
      <c r="Q27" s="446">
        <f t="shared" si="1"/>
        <v>3155.9999999990396</v>
      </c>
      <c r="R27" s="594">
        <f t="shared" si="43"/>
        <v>-61.999999999039574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53"/>
        <v>300770</v>
      </c>
      <c r="E28" s="580">
        <f t="shared" si="8"/>
        <v>0</v>
      </c>
      <c r="F28" s="569">
        <f t="shared" si="9"/>
        <v>4135443</v>
      </c>
      <c r="G28" s="449">
        <f>F28-F27</f>
        <v>0</v>
      </c>
      <c r="H28" s="426">
        <f t="shared" si="10"/>
        <v>18045684</v>
      </c>
      <c r="I28" s="449">
        <f t="shared" si="35"/>
        <v>0</v>
      </c>
      <c r="J28" s="426">
        <f t="shared" si="11"/>
        <v>29797222</v>
      </c>
      <c r="K28" s="449">
        <f t="shared" si="36"/>
        <v>0</v>
      </c>
      <c r="L28" s="426">
        <f t="shared" si="12"/>
        <v>24591688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19250.867999999999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53"/>
        <v>300770</v>
      </c>
      <c r="E29" s="580">
        <f t="shared" si="8"/>
        <v>0</v>
      </c>
      <c r="F29" s="569">
        <f t="shared" si="9"/>
        <v>4135443</v>
      </c>
      <c r="G29" s="449">
        <f>F29-F28</f>
        <v>0</v>
      </c>
      <c r="H29" s="426">
        <f t="shared" si="10"/>
        <v>18045684</v>
      </c>
      <c r="I29" s="449">
        <f>H29-H28</f>
        <v>0</v>
      </c>
      <c r="J29" s="426">
        <f t="shared" si="11"/>
        <v>29797222</v>
      </c>
      <c r="K29" s="449">
        <f>J29-J28</f>
        <v>0</v>
      </c>
      <c r="L29" s="426">
        <f t="shared" si="12"/>
        <v>24591688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19250.867999999999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53"/>
        <v>300770</v>
      </c>
      <c r="E30" s="580">
        <f t="shared" si="8"/>
        <v>0</v>
      </c>
      <c r="F30" s="569">
        <f t="shared" si="9"/>
        <v>4135443</v>
      </c>
      <c r="G30" s="449">
        <f t="shared" si="34"/>
        <v>0</v>
      </c>
      <c r="H30" s="426">
        <f t="shared" si="10"/>
        <v>18045684</v>
      </c>
      <c r="I30" s="449">
        <f t="shared" si="35"/>
        <v>0</v>
      </c>
      <c r="J30" s="426">
        <f t="shared" si="11"/>
        <v>29797222</v>
      </c>
      <c r="K30" s="449">
        <f t="shared" si="36"/>
        <v>0</v>
      </c>
      <c r="L30" s="426">
        <f t="shared" si="12"/>
        <v>24591688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19250.867999999999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53"/>
        <v>300770</v>
      </c>
      <c r="E31" s="580">
        <f t="shared" si="8"/>
        <v>0</v>
      </c>
      <c r="F31" s="569">
        <f t="shared" si="9"/>
        <v>4135443</v>
      </c>
      <c r="G31" s="449">
        <f t="shared" si="34"/>
        <v>0</v>
      </c>
      <c r="H31" s="426">
        <f t="shared" si="10"/>
        <v>18045684</v>
      </c>
      <c r="I31" s="449">
        <f t="shared" si="35"/>
        <v>0</v>
      </c>
      <c r="J31" s="426">
        <f t="shared" si="11"/>
        <v>29797222</v>
      </c>
      <c r="K31" s="449">
        <f t="shared" si="36"/>
        <v>0</v>
      </c>
      <c r="L31" s="426">
        <f t="shared" si="12"/>
        <v>24591688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19250.867999999999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2">
        <f t="shared" si="53"/>
        <v>300770</v>
      </c>
      <c r="E32" s="580">
        <f t="shared" si="8"/>
        <v>0</v>
      </c>
      <c r="F32" s="569">
        <f t="shared" si="9"/>
        <v>4135443</v>
      </c>
      <c r="G32" s="449">
        <f t="shared" si="34"/>
        <v>0</v>
      </c>
      <c r="H32" s="426">
        <f t="shared" si="10"/>
        <v>18045684</v>
      </c>
      <c r="I32" s="449">
        <f t="shared" si="35"/>
        <v>0</v>
      </c>
      <c r="J32" s="426">
        <f t="shared" si="11"/>
        <v>29797222</v>
      </c>
      <c r="K32" s="449">
        <f t="shared" si="36"/>
        <v>0</v>
      </c>
      <c r="L32" s="426">
        <f t="shared" si="12"/>
        <v>24591688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19250.867999999999</v>
      </c>
      <c r="Q32" s="446">
        <f t="shared" ref="Q32:Q34" si="58">(P32-P31)*1000</f>
        <v>0</v>
      </c>
      <c r="R32" s="594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2">
        <f t="shared" si="53"/>
        <v>300770</v>
      </c>
      <c r="E33" s="580">
        <f t="shared" si="8"/>
        <v>0</v>
      </c>
      <c r="F33" s="569">
        <f t="shared" si="9"/>
        <v>4135443</v>
      </c>
      <c r="G33" s="449">
        <f t="shared" si="34"/>
        <v>0</v>
      </c>
      <c r="H33" s="426">
        <f t="shared" si="10"/>
        <v>18045684</v>
      </c>
      <c r="I33" s="449">
        <f t="shared" si="35"/>
        <v>0</v>
      </c>
      <c r="J33" s="426">
        <f t="shared" si="11"/>
        <v>29797222</v>
      </c>
      <c r="K33" s="449">
        <f t="shared" si="36"/>
        <v>0</v>
      </c>
      <c r="L33" s="426">
        <f t="shared" si="12"/>
        <v>24591688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19250.867999999999</v>
      </c>
      <c r="Q33" s="446">
        <f t="shared" si="58"/>
        <v>0</v>
      </c>
      <c r="R33" s="594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2">
        <f t="shared" si="53"/>
        <v>300770</v>
      </c>
      <c r="E34" s="580">
        <f t="shared" si="8"/>
        <v>0</v>
      </c>
      <c r="F34" s="569">
        <f t="shared" si="9"/>
        <v>4135443</v>
      </c>
      <c r="G34" s="449">
        <f t="shared" si="34"/>
        <v>0</v>
      </c>
      <c r="H34" s="426">
        <f t="shared" si="10"/>
        <v>18045684</v>
      </c>
      <c r="I34" s="449">
        <f t="shared" si="35"/>
        <v>0</v>
      </c>
      <c r="J34" s="426">
        <f t="shared" si="11"/>
        <v>29797222</v>
      </c>
      <c r="K34" s="449">
        <f t="shared" si="36"/>
        <v>0</v>
      </c>
      <c r="L34" s="426">
        <f t="shared" si="12"/>
        <v>24591688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19250.867999999999</v>
      </c>
      <c r="Q34" s="446">
        <f t="shared" si="58"/>
        <v>0</v>
      </c>
      <c r="R34" s="594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M26" sqref="A26:XFD2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1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v>67</v>
      </c>
      <c r="AO26" s="305">
        <f t="shared" si="33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210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v>227.5</v>
      </c>
      <c r="C27" s="537">
        <v>233.5</v>
      </c>
      <c r="D27" s="45">
        <f t="shared" si="49"/>
        <v>4</v>
      </c>
      <c r="E27" s="45">
        <f t="shared" si="14"/>
        <v>33.520000000000003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v>2209</v>
      </c>
      <c r="Q27" s="537">
        <v>184771</v>
      </c>
      <c r="R27" s="379">
        <f t="shared" si="44"/>
        <v>201</v>
      </c>
      <c r="S27" s="52">
        <f t="shared" si="5"/>
        <v>3</v>
      </c>
      <c r="T27" s="67">
        <f t="shared" si="37"/>
        <v>0</v>
      </c>
      <c r="U27" s="386">
        <f t="shared" si="21"/>
        <v>3</v>
      </c>
      <c r="V27" s="62">
        <f t="shared" si="22"/>
        <v>201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201</v>
      </c>
      <c r="AJ27" s="303">
        <f>-tanks!AW28</f>
        <v>201</v>
      </c>
      <c r="AK27" s="303">
        <f t="shared" si="31"/>
        <v>0</v>
      </c>
      <c r="AL27" s="303">
        <f t="shared" si="8"/>
        <v>3</v>
      </c>
      <c r="AM27" s="303">
        <f t="shared" si="32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v>224</v>
      </c>
      <c r="C28" s="537">
        <v>230</v>
      </c>
      <c r="D28" s="45">
        <f t="shared" si="49"/>
        <v>3.5</v>
      </c>
      <c r="E28" s="45">
        <f t="shared" si="14"/>
        <v>29.330000000000002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v>179940</v>
      </c>
      <c r="N28" s="380">
        <f t="shared" si="2"/>
        <v>35</v>
      </c>
      <c r="O28" s="64">
        <f t="shared" si="48"/>
        <v>1869</v>
      </c>
      <c r="P28" s="537">
        <f t="shared" si="45"/>
        <v>2209</v>
      </c>
      <c r="Q28" s="537">
        <v>184800</v>
      </c>
      <c r="R28" s="379">
        <f t="shared" si="44"/>
        <v>29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64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64</v>
      </c>
      <c r="AJ28" s="303">
        <f>-tanks!AW29</f>
        <v>64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224</v>
      </c>
      <c r="C29" s="537">
        <f t="shared" si="13"/>
        <v>230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2426</v>
      </c>
      <c r="L29" s="52">
        <f t="shared" si="19"/>
        <v>0</v>
      </c>
      <c r="M29" s="537">
        <f t="shared" si="20"/>
        <v>179940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2481</v>
      </c>
      <c r="Y29" s="52">
        <f t="shared" si="25"/>
        <v>0</v>
      </c>
      <c r="Z29" s="537">
        <f t="shared" si="26"/>
        <v>139964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224</v>
      </c>
      <c r="C30" s="537">
        <f t="shared" si="13"/>
        <v>230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2426</v>
      </c>
      <c r="L30" s="52">
        <f>K30-K29</f>
        <v>0</v>
      </c>
      <c r="M30" s="537">
        <f t="shared" si="20"/>
        <v>179940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2481</v>
      </c>
      <c r="Y30" s="52">
        <f>X30-X29</f>
        <v>0</v>
      </c>
      <c r="Z30" s="537">
        <f t="shared" si="26"/>
        <v>139964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224</v>
      </c>
      <c r="C31" s="537">
        <f t="shared" si="13"/>
        <v>230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2426</v>
      </c>
      <c r="L31" s="52">
        <f t="shared" si="19"/>
        <v>0</v>
      </c>
      <c r="M31" s="537">
        <f t="shared" si="20"/>
        <v>179940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139964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224</v>
      </c>
      <c r="C32" s="537">
        <f t="shared" si="13"/>
        <v>230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2426</v>
      </c>
      <c r="L32" s="52">
        <f t="shared" si="19"/>
        <v>0</v>
      </c>
      <c r="M32" s="537">
        <f t="shared" si="20"/>
        <v>179940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139964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224</v>
      </c>
      <c r="C33" s="537">
        <f t="shared" si="13"/>
        <v>230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2426</v>
      </c>
      <c r="L33" s="52">
        <f t="shared" ref="L33:L35" si="59">K33-K32</f>
        <v>0</v>
      </c>
      <c r="M33" s="537">
        <f t="shared" si="20"/>
        <v>179940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139964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224</v>
      </c>
      <c r="C34" s="537">
        <f t="shared" si="13"/>
        <v>230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2426</v>
      </c>
      <c r="L34" s="52">
        <f t="shared" si="59"/>
        <v>0</v>
      </c>
      <c r="M34" s="537">
        <f t="shared" si="20"/>
        <v>179940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139964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224</v>
      </c>
      <c r="C35" s="537">
        <f t="shared" si="13"/>
        <v>230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2426</v>
      </c>
      <c r="L35" s="52">
        <f t="shared" si="59"/>
        <v>0</v>
      </c>
      <c r="M35" s="537">
        <f t="shared" si="20"/>
        <v>179940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139964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24</v>
      </c>
      <c r="V36" s="62">
        <f>SUM(V5:V35)</f>
        <v>2147</v>
      </c>
      <c r="AE36" s="71" t="s">
        <v>379</v>
      </c>
      <c r="AG36" s="329"/>
      <c r="AH36" s="62">
        <f>SUM(AH5:AH35)</f>
        <v>290</v>
      </c>
      <c r="AL36" s="62">
        <f>SUM(AL5:AL35)</f>
        <v>24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210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89.458333333333329</v>
      </c>
      <c r="AH37" s="62">
        <f>AF37+AA37</f>
        <v>0</v>
      </c>
      <c r="AI37" s="306">
        <f>SUM(AI5:AI35)</f>
        <v>2437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107.10000000000001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9" sqref="AY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22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v>79</v>
      </c>
      <c r="AW28" s="5">
        <v>2.9</v>
      </c>
      <c r="AX28" s="201">
        <v>140</v>
      </c>
      <c r="AY28" s="409">
        <f t="shared" si="37"/>
        <v>166.5</v>
      </c>
      <c r="AZ28" s="409">
        <f t="shared" si="38"/>
        <v>86.9</v>
      </c>
      <c r="BA28" s="409">
        <f t="shared" si="39"/>
        <v>406</v>
      </c>
      <c r="BB28" s="21">
        <f t="shared" si="48"/>
        <v>0</v>
      </c>
      <c r="BC28" s="21">
        <f t="shared" si="48"/>
        <v>-1.0999999999999943</v>
      </c>
      <c r="BD28" s="21">
        <f t="shared" si="48"/>
        <v>-5.8000000000000114</v>
      </c>
      <c r="BE28" s="24">
        <f t="shared" si="33"/>
        <v>-6.9000000000000057</v>
      </c>
      <c r="BF28" s="96">
        <f t="shared" si="34"/>
        <v>6.9000000000000057</v>
      </c>
      <c r="BG28" s="82">
        <f t="shared" si="4"/>
        <v>-6.9000000000000057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22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v>139</v>
      </c>
      <c r="AU29" s="408">
        <f t="shared" si="43"/>
        <v>1.1000000000000001</v>
      </c>
      <c r="AV29" s="201">
        <v>78</v>
      </c>
      <c r="AW29" s="5">
        <v>2.9</v>
      </c>
      <c r="AX29" s="201">
        <v>158</v>
      </c>
      <c r="AY29" s="409">
        <f t="shared" si="37"/>
        <v>125.10000000000001</v>
      </c>
      <c r="AZ29" s="409">
        <f t="shared" si="38"/>
        <v>85.800000000000011</v>
      </c>
      <c r="BA29" s="409">
        <f t="shared" si="39"/>
        <v>458.2</v>
      </c>
      <c r="BB29" s="21">
        <f t="shared" si="48"/>
        <v>-41.399999999999991</v>
      </c>
      <c r="BC29" s="21">
        <f t="shared" si="48"/>
        <v>-1.0999999999999943</v>
      </c>
      <c r="BD29" s="21">
        <f t="shared" si="48"/>
        <v>52.199999999999989</v>
      </c>
      <c r="BE29" s="24">
        <f t="shared" si="33"/>
        <v>9.7000000000000028</v>
      </c>
      <c r="BF29" s="96">
        <f t="shared" si="34"/>
        <v>-9.7000000000000028</v>
      </c>
      <c r="BG29" s="82">
        <f t="shared" si="4"/>
        <v>9.7000000000000028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242.64</v>
      </c>
      <c r="AF30" s="83">
        <f t="shared" si="22"/>
        <v>0</v>
      </c>
      <c r="AG30" s="5">
        <f t="shared" si="23"/>
        <v>2241.54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139</v>
      </c>
      <c r="AU30" s="408">
        <f t="shared" si="43"/>
        <v>1.1000000000000001</v>
      </c>
      <c r="AV30" s="201">
        <f t="shared" si="30"/>
        <v>78</v>
      </c>
      <c r="AW30" s="5">
        <v>2.9</v>
      </c>
      <c r="AX30" s="201">
        <f t="shared" si="31"/>
        <v>158</v>
      </c>
      <c r="AY30" s="409">
        <f t="shared" si="37"/>
        <v>125.10000000000001</v>
      </c>
      <c r="AZ30" s="409">
        <f t="shared" si="38"/>
        <v>85.800000000000011</v>
      </c>
      <c r="BA30" s="409">
        <f t="shared" si="39"/>
        <v>458.2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242.64</v>
      </c>
      <c r="AF31" s="83">
        <f t="shared" si="22"/>
        <v>0</v>
      </c>
      <c r="AG31" s="5">
        <f t="shared" si="23"/>
        <v>2241.54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139</v>
      </c>
      <c r="AU31" s="408">
        <f t="shared" si="43"/>
        <v>1.1000000000000001</v>
      </c>
      <c r="AV31" s="201">
        <f t="shared" si="30"/>
        <v>78</v>
      </c>
      <c r="AW31" s="5">
        <v>2.9</v>
      </c>
      <c r="AX31" s="201">
        <f t="shared" si="31"/>
        <v>158</v>
      </c>
      <c r="AY31" s="409">
        <f t="shared" si="37"/>
        <v>125.10000000000001</v>
      </c>
      <c r="AZ31" s="409">
        <f>AU31*AV31</f>
        <v>85.800000000000011</v>
      </c>
      <c r="BA31" s="409">
        <f t="shared" si="39"/>
        <v>458.2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242.64</v>
      </c>
      <c r="AF32" s="83">
        <f t="shared" si="22"/>
        <v>0</v>
      </c>
      <c r="AG32" s="5">
        <f t="shared" si="23"/>
        <v>2241.54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139</v>
      </c>
      <c r="AU32" s="408">
        <f t="shared" si="43"/>
        <v>1.1000000000000001</v>
      </c>
      <c r="AV32" s="201">
        <f t="shared" si="30"/>
        <v>78</v>
      </c>
      <c r="AW32" s="5">
        <v>2.9</v>
      </c>
      <c r="AX32" s="201">
        <f t="shared" si="31"/>
        <v>158</v>
      </c>
      <c r="AY32" s="409">
        <f t="shared" si="37"/>
        <v>125.10000000000001</v>
      </c>
      <c r="AZ32" s="409">
        <f t="shared" si="38"/>
        <v>85.800000000000011</v>
      </c>
      <c r="BA32" s="409">
        <f t="shared" si="39"/>
        <v>458.2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242.64</v>
      </c>
      <c r="AF33" s="83">
        <f>AE33-AE32</f>
        <v>0</v>
      </c>
      <c r="AG33" s="5">
        <f t="shared" si="23"/>
        <v>2241.54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139</v>
      </c>
      <c r="AU33" s="408">
        <f t="shared" si="43"/>
        <v>1.1000000000000001</v>
      </c>
      <c r="AV33" s="201">
        <f t="shared" si="30"/>
        <v>78</v>
      </c>
      <c r="AW33" s="5">
        <v>2.9</v>
      </c>
      <c r="AX33" s="201">
        <f t="shared" si="31"/>
        <v>158</v>
      </c>
      <c r="AY33" s="409">
        <f t="shared" si="37"/>
        <v>125.10000000000001</v>
      </c>
      <c r="AZ33" s="409">
        <f t="shared" si="38"/>
        <v>85.800000000000011</v>
      </c>
      <c r="BA33" s="409">
        <f t="shared" si="39"/>
        <v>458.2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628815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242.64</v>
      </c>
      <c r="AF34" s="83">
        <f t="shared" ref="AF34:AF36" si="64">AE34-AE33</f>
        <v>0</v>
      </c>
      <c r="AG34" s="5">
        <f t="shared" si="23"/>
        <v>2241.54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139</v>
      </c>
      <c r="AU34" s="408">
        <f t="shared" si="43"/>
        <v>1.1000000000000001</v>
      </c>
      <c r="AV34" s="201">
        <f t="shared" si="30"/>
        <v>78</v>
      </c>
      <c r="AW34" s="5">
        <v>2.9</v>
      </c>
      <c r="AX34" s="201">
        <f t="shared" si="31"/>
        <v>158</v>
      </c>
      <c r="AY34" s="409">
        <f t="shared" ref="AY34:AY36" si="71">AS34*AT34</f>
        <v>125.10000000000001</v>
      </c>
      <c r="AZ34" s="409">
        <f t="shared" ref="AZ34:AZ36" si="72">AU34*AV34</f>
        <v>85.800000000000011</v>
      </c>
      <c r="BA34" s="409">
        <f t="shared" ref="BA34:BA36" si="73">AW34*AX34</f>
        <v>458.2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628815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242.64</v>
      </c>
      <c r="AF35" s="83">
        <f t="shared" si="64"/>
        <v>0</v>
      </c>
      <c r="AG35" s="5">
        <f t="shared" si="23"/>
        <v>2241.54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139</v>
      </c>
      <c r="AU35" s="408">
        <f t="shared" si="43"/>
        <v>1.1000000000000001</v>
      </c>
      <c r="AV35" s="201">
        <f t="shared" si="30"/>
        <v>78</v>
      </c>
      <c r="AW35" s="5">
        <v>2.9</v>
      </c>
      <c r="AX35" s="201">
        <f t="shared" si="31"/>
        <v>158</v>
      </c>
      <c r="AY35" s="409">
        <f t="shared" si="71"/>
        <v>125.10000000000001</v>
      </c>
      <c r="AZ35" s="409">
        <f t="shared" si="72"/>
        <v>85.800000000000011</v>
      </c>
      <c r="BA35" s="409">
        <f t="shared" si="73"/>
        <v>458.2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628815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242.64</v>
      </c>
      <c r="AF36" s="83">
        <f t="shared" si="64"/>
        <v>0</v>
      </c>
      <c r="AG36" s="5">
        <f t="shared" si="23"/>
        <v>2241.54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139</v>
      </c>
      <c r="AU36" s="408">
        <f t="shared" si="43"/>
        <v>1.1000000000000001</v>
      </c>
      <c r="AV36" s="201">
        <f t="shared" si="30"/>
        <v>78</v>
      </c>
      <c r="AW36" s="5">
        <v>2.9</v>
      </c>
      <c r="AX36" s="201">
        <f t="shared" si="31"/>
        <v>158</v>
      </c>
      <c r="AY36" s="409">
        <f t="shared" si="71"/>
        <v>125.10000000000001</v>
      </c>
      <c r="AZ36" s="409">
        <f t="shared" si="72"/>
        <v>85.800000000000011</v>
      </c>
      <c r="BA36" s="409">
        <f t="shared" si="73"/>
        <v>458.2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631</v>
      </c>
      <c r="I37" s="395">
        <f>SUM(I6:I36)</f>
        <v>631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27</v>
      </c>
      <c r="AK37" s="312">
        <f>SUM(Y37-L37)</f>
        <v>143</v>
      </c>
      <c r="AL37" s="307">
        <f>SUM(AL6:AL36)</f>
        <v>16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631</v>
      </c>
      <c r="Z38" s="307">
        <f>SUM(Y37:AJ37)</f>
        <v>186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631</v>
      </c>
      <c r="H39" s="1">
        <f>SUM(H38+C38)</f>
        <v>7500</v>
      </c>
      <c r="K39" s="1">
        <f>SUM(H39/G39)</f>
        <v>11.885895404120443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P26" sqref="P26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v>11758</v>
      </c>
      <c r="C25" s="276">
        <f t="shared" si="12"/>
        <v>10</v>
      </c>
      <c r="D25" s="503">
        <f t="shared" si="26"/>
        <v>681231</v>
      </c>
      <c r="E25" s="276">
        <f t="shared" si="13"/>
        <v>850</v>
      </c>
      <c r="F25" s="276">
        <f t="shared" si="0"/>
        <v>85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10</v>
      </c>
      <c r="AA25" s="276">
        <f t="shared" si="21"/>
        <v>850</v>
      </c>
      <c r="AB25" s="276">
        <f t="shared" si="22"/>
        <v>585</v>
      </c>
      <c r="AC25" s="276">
        <f t="shared" si="23"/>
        <v>85</v>
      </c>
      <c r="AD25" s="73">
        <f>ELEC!Q26</f>
        <v>3274.9999999978172</v>
      </c>
      <c r="AE25" s="73">
        <f t="shared" si="27"/>
        <v>327.49999999978172</v>
      </c>
      <c r="AF25" s="387">
        <f t="shared" si="28"/>
        <v>0.20468749999986358</v>
      </c>
      <c r="AG25" s="387">
        <f t="shared" si="28"/>
        <v>1.2792968749991473E-4</v>
      </c>
      <c r="AH25" s="388">
        <f t="shared" si="24"/>
        <v>84.999872070312506</v>
      </c>
      <c r="AI25" s="73">
        <f t="shared" si="29"/>
        <v>842.932489450915</v>
      </c>
      <c r="AJ25" s="278">
        <f t="shared" si="9"/>
        <v>0.25738396624472576</v>
      </c>
      <c r="AK25" s="278">
        <f t="shared" si="10"/>
        <v>84.293248945091506</v>
      </c>
      <c r="AL25">
        <f t="shared" si="25"/>
        <v>1</v>
      </c>
    </row>
    <row r="26" spans="1:38" ht="15.75" thickBot="1">
      <c r="A26" s="4">
        <f>ELEC!C27</f>
        <v>44705</v>
      </c>
      <c r="B26" s="502">
        <v>11768</v>
      </c>
      <c r="C26" s="276">
        <f>B26-B25</f>
        <v>10</v>
      </c>
      <c r="D26" s="503">
        <f t="shared" si="26"/>
        <v>682081</v>
      </c>
      <c r="E26" s="276">
        <f>SUM(D26-D25)</f>
        <v>850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10</v>
      </c>
      <c r="AA26" s="276">
        <f t="shared" si="21"/>
        <v>850</v>
      </c>
      <c r="AB26" s="276">
        <f t="shared" si="22"/>
        <v>585</v>
      </c>
      <c r="AC26" s="276">
        <f t="shared" si="23"/>
        <v>85</v>
      </c>
      <c r="AD26" s="73">
        <f>ELEC!Q27</f>
        <v>3155.9999999990396</v>
      </c>
      <c r="AE26" s="73">
        <f t="shared" si="27"/>
        <v>315.59999999990396</v>
      </c>
      <c r="AF26" s="387">
        <f t="shared" si="28"/>
        <v>0.19724999999993997</v>
      </c>
      <c r="AG26" s="387">
        <f t="shared" si="28"/>
        <v>1.2328124999996248E-4</v>
      </c>
      <c r="AH26" s="388">
        <f t="shared" si="24"/>
        <v>84.999876718750002</v>
      </c>
      <c r="AI26" s="73">
        <f t="shared" si="29"/>
        <v>812.30379746810729</v>
      </c>
      <c r="AJ26" s="278">
        <f t="shared" si="9"/>
        <v>0.25738396624472576</v>
      </c>
      <c r="AK26" s="278">
        <f t="shared" si="10"/>
        <v>81.230379746810726</v>
      </c>
      <c r="AL26">
        <f t="shared" si="25"/>
        <v>1</v>
      </c>
    </row>
    <row r="27" spans="1:38" ht="15.75" thickBot="1">
      <c r="A27" s="4">
        <f>ELEC!C28</f>
        <v>44706</v>
      </c>
      <c r="B27" s="502">
        <f t="shared" si="11"/>
        <v>11768</v>
      </c>
      <c r="C27" s="276">
        <f>B27-B26</f>
        <v>0</v>
      </c>
      <c r="D27" s="503">
        <f t="shared" si="26"/>
        <v>682081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11768</v>
      </c>
      <c r="C28" s="276">
        <f t="shared" si="12"/>
        <v>0</v>
      </c>
      <c r="D28" s="503">
        <f t="shared" si="26"/>
        <v>682081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11768</v>
      </c>
      <c r="C29" s="276">
        <f t="shared" si="12"/>
        <v>0</v>
      </c>
      <c r="D29" s="503">
        <f t="shared" si="26"/>
        <v>682081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11768</v>
      </c>
      <c r="C30" s="276">
        <f t="shared" si="12"/>
        <v>0</v>
      </c>
      <c r="D30" s="503">
        <f t="shared" si="26"/>
        <v>682081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11768</v>
      </c>
      <c r="C31" s="276">
        <f t="shared" ref="C31:C33" si="34">B31-B30</f>
        <v>0</v>
      </c>
      <c r="D31" s="503">
        <f t="shared" si="26"/>
        <v>682081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11768</v>
      </c>
      <c r="C32" s="276">
        <f t="shared" si="34"/>
        <v>0</v>
      </c>
      <c r="D32" s="503">
        <f t="shared" si="26"/>
        <v>682081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11768</v>
      </c>
      <c r="C33" s="276">
        <f t="shared" si="34"/>
        <v>0</v>
      </c>
      <c r="D33" s="503">
        <f t="shared" si="26"/>
        <v>682081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13905</v>
      </c>
      <c r="S33" s="276">
        <f t="shared" si="39"/>
        <v>0</v>
      </c>
      <c r="T33" s="503">
        <f t="shared" si="31"/>
        <v>415762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168</v>
      </c>
      <c r="V34" s="40"/>
      <c r="X34">
        <v>341</v>
      </c>
      <c r="Z34" s="404">
        <f>SUM(Z3:Z33)</f>
        <v>168</v>
      </c>
      <c r="AF34" s="387">
        <f>SUM(AE34/1600)</f>
        <v>0</v>
      </c>
      <c r="AL34">
        <f>SUM(AL3:AL33)</f>
        <v>16</v>
      </c>
    </row>
    <row r="35" spans="1:38">
      <c r="C35" s="40">
        <f>SUM(C3:C33)</f>
        <v>139</v>
      </c>
      <c r="K35" s="40">
        <f>SUM(K3:K33)</f>
        <v>4</v>
      </c>
      <c r="S35" s="40">
        <f>SUM(S3:S33)</f>
        <v>25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T31" sqref="AT3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>
        <v>0</v>
      </c>
      <c r="AU25" s="549">
        <v>0</v>
      </c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842.932489450915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227.5</v>
      </c>
      <c r="C28" s="203">
        <f t="shared" si="18"/>
        <v>4894.9193548387093</v>
      </c>
      <c r="D28">
        <f t="shared" si="19"/>
        <v>227.5</v>
      </c>
      <c r="E28" s="203">
        <f t="shared" si="18"/>
        <v>4894.9193548387093</v>
      </c>
      <c r="F28">
        <f t="shared" si="20"/>
        <v>227.5</v>
      </c>
      <c r="G28" s="203">
        <f t="shared" si="1"/>
        <v>4894.9193548387093</v>
      </c>
      <c r="H28" s="203">
        <f t="shared" si="21"/>
        <v>227.5</v>
      </c>
      <c r="I28" s="203">
        <f t="shared" si="2"/>
        <v>4894.9193548387093</v>
      </c>
      <c r="J28" s="203">
        <f t="shared" si="22"/>
        <v>227.5</v>
      </c>
      <c r="K28" s="203">
        <f t="shared" si="3"/>
        <v>4894.9193548387093</v>
      </c>
      <c r="L28" s="203">
        <f t="shared" si="23"/>
        <v>227.5</v>
      </c>
      <c r="M28" s="203">
        <f t="shared" si="4"/>
        <v>4894.9193548387093</v>
      </c>
      <c r="N28" s="203">
        <f t="shared" si="24"/>
        <v>227.5</v>
      </c>
      <c r="O28" s="203">
        <f t="shared" si="5"/>
        <v>4894.9193548387093</v>
      </c>
      <c r="P28" s="203">
        <f t="shared" si="25"/>
        <v>227.5</v>
      </c>
      <c r="Q28" s="203">
        <f t="shared" si="6"/>
        <v>4894.9193548387093</v>
      </c>
      <c r="R28" s="203">
        <f t="shared" si="26"/>
        <v>227.5</v>
      </c>
      <c r="S28" s="203">
        <f t="shared" si="7"/>
        <v>4894.9193548387093</v>
      </c>
      <c r="T28" s="203">
        <f t="shared" si="27"/>
        <v>227.5</v>
      </c>
      <c r="U28" s="203">
        <f t="shared" si="8"/>
        <v>4894.9193548387093</v>
      </c>
      <c r="V28" s="203">
        <f t="shared" si="28"/>
        <v>227.5</v>
      </c>
      <c r="W28" s="203">
        <f t="shared" si="9"/>
        <v>4894.9193548387093</v>
      </c>
      <c r="X28" s="35">
        <f t="shared" si="10"/>
        <v>0.7338709677419355</v>
      </c>
      <c r="Y28" s="36">
        <f t="shared" si="29"/>
        <v>53844.11290322581</v>
      </c>
      <c r="Z28" s="203">
        <f>'B5'!C27</f>
        <v>233.5</v>
      </c>
      <c r="AA28" s="203">
        <f t="shared" si="30"/>
        <v>2335</v>
      </c>
      <c r="AB28" s="203">
        <f t="shared" si="31"/>
        <v>233.5</v>
      </c>
      <c r="AC28" s="203">
        <f t="shared" si="30"/>
        <v>2335</v>
      </c>
      <c r="AD28" s="203">
        <f t="shared" si="32"/>
        <v>233.5</v>
      </c>
      <c r="AE28" s="203">
        <f t="shared" si="11"/>
        <v>2335</v>
      </c>
      <c r="AF28" s="203">
        <f t="shared" si="33"/>
        <v>233.5</v>
      </c>
      <c r="AG28" s="203">
        <f t="shared" si="12"/>
        <v>2335</v>
      </c>
      <c r="AH28" s="203">
        <f t="shared" si="34"/>
        <v>233.5</v>
      </c>
      <c r="AI28" s="203">
        <f t="shared" si="13"/>
        <v>2335</v>
      </c>
      <c r="AJ28" s="203">
        <f t="shared" si="35"/>
        <v>233.5</v>
      </c>
      <c r="AK28" s="203">
        <f t="shared" si="14"/>
        <v>2335</v>
      </c>
      <c r="AL28" s="203">
        <f t="shared" si="36"/>
        <v>233.5</v>
      </c>
      <c r="AM28" s="203">
        <f t="shared" si="15"/>
        <v>2335</v>
      </c>
      <c r="AN28" s="35">
        <f t="shared" si="16"/>
        <v>0.83392857142857146</v>
      </c>
      <c r="AO28" s="36">
        <f t="shared" si="39"/>
        <v>16345</v>
      </c>
      <c r="AQ28" s="223">
        <f t="shared" si="40"/>
        <v>0.75496518127595802</v>
      </c>
      <c r="AR28" s="38">
        <f t="shared" si="41"/>
        <v>70189.112903225818</v>
      </c>
      <c r="AS28" s="197">
        <f t="shared" si="47"/>
        <v>-1226.7096774193342</v>
      </c>
      <c r="AT28" s="340"/>
      <c r="AU28" s="549"/>
      <c r="AV28" s="485">
        <f t="shared" si="43"/>
        <v>0</v>
      </c>
      <c r="AW28" s="279">
        <f>-SUM('B5'!AI27)</f>
        <v>-201</v>
      </c>
      <c r="AX28" s="279">
        <f t="shared" si="17"/>
        <v>-1025.7096774193342</v>
      </c>
      <c r="AY28" s="37">
        <f t="shared" si="37"/>
        <v>-1226.7096774193342</v>
      </c>
      <c r="AZ28" s="100">
        <f>ELEC!A26</f>
        <v>0</v>
      </c>
      <c r="BA28" s="118">
        <f>'General information '!D27</f>
        <v>22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812.30379746810729</v>
      </c>
      <c r="BF28" s="14"/>
      <c r="BG28" s="14" t="e">
        <f>#REF!-BE28</f>
        <v>#REF!</v>
      </c>
      <c r="BH28" s="11"/>
      <c r="BI28">
        <v>15</v>
      </c>
      <c r="BJ28">
        <f t="shared" si="46"/>
        <v>-68.380645161288939</v>
      </c>
      <c r="BK28" s="538">
        <f>GEN!AF25</f>
        <v>0.20468749999986358</v>
      </c>
    </row>
    <row r="29" spans="1:64">
      <c r="A29" s="425">
        <f>ELEC!C27</f>
        <v>44705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-1073.3709677419538</v>
      </c>
      <c r="AT29" s="340"/>
      <c r="AU29" s="549"/>
      <c r="AV29" s="485">
        <f t="shared" si="43"/>
        <v>0</v>
      </c>
      <c r="AW29" s="279">
        <f>-SUM('B5'!AI28)</f>
        <v>-64</v>
      </c>
      <c r="AX29" s="279">
        <f t="shared" si="17"/>
        <v>-1009.3709677419538</v>
      </c>
      <c r="AY29" s="37">
        <f t="shared" si="37"/>
        <v>-1073.3709677419538</v>
      </c>
      <c r="AZ29" s="100">
        <f>ELEC!A27</f>
        <v>0</v>
      </c>
      <c r="BA29" s="118">
        <f>'General information '!D28</f>
        <v>22</v>
      </c>
      <c r="BB29" s="378">
        <f>SUM('General information '!E28)</f>
        <v>0.71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-63.085685483872112</v>
      </c>
      <c r="BK29" s="538">
        <f>GEN!AF26</f>
        <v>0.19724999999993997</v>
      </c>
    </row>
    <row r="30" spans="1:64">
      <c r="A30" s="425">
        <f>ELEC!C28</f>
        <v>44706</v>
      </c>
      <c r="B30">
        <f>'B5'!B29</f>
        <v>224</v>
      </c>
      <c r="C30" s="203">
        <f t="shared" si="18"/>
        <v>4819.6129032258068</v>
      </c>
      <c r="D30">
        <f>SUM(B30)</f>
        <v>224</v>
      </c>
      <c r="E30" s="203">
        <f t="shared" si="18"/>
        <v>4819.6129032258068</v>
      </c>
      <c r="F30">
        <f>SUM(D30)</f>
        <v>224</v>
      </c>
      <c r="G30" s="203">
        <f t="shared" si="1"/>
        <v>4819.6129032258068</v>
      </c>
      <c r="H30" s="203">
        <f>SUM(F30)</f>
        <v>224</v>
      </c>
      <c r="I30" s="203">
        <f t="shared" si="2"/>
        <v>4819.6129032258068</v>
      </c>
      <c r="J30" s="203">
        <f>SUM(H30)</f>
        <v>224</v>
      </c>
      <c r="K30" s="203">
        <f t="shared" si="3"/>
        <v>4819.6129032258068</v>
      </c>
      <c r="L30" s="203">
        <f>SUM(J30)</f>
        <v>224</v>
      </c>
      <c r="M30" s="203">
        <f t="shared" si="4"/>
        <v>4819.6129032258068</v>
      </c>
      <c r="N30" s="203">
        <f>SUM(L30)</f>
        <v>224</v>
      </c>
      <c r="O30" s="203">
        <f t="shared" si="5"/>
        <v>4819.6129032258068</v>
      </c>
      <c r="P30" s="203">
        <f>SUM(N30)</f>
        <v>224</v>
      </c>
      <c r="Q30" s="203">
        <f t="shared" si="6"/>
        <v>4819.6129032258068</v>
      </c>
      <c r="R30" s="203">
        <f>SUM(P30)</f>
        <v>224</v>
      </c>
      <c r="S30" s="203">
        <f t="shared" si="7"/>
        <v>4819.6129032258068</v>
      </c>
      <c r="T30" s="203">
        <f>SUM(R30)</f>
        <v>224</v>
      </c>
      <c r="U30" s="203">
        <f t="shared" si="8"/>
        <v>4819.6129032258068</v>
      </c>
      <c r="V30" s="203">
        <f>SUM(T30)</f>
        <v>224</v>
      </c>
      <c r="W30" s="203">
        <f t="shared" si="9"/>
        <v>4819.6129032258068</v>
      </c>
      <c r="X30" s="35">
        <f>SUM(Y30/73370)</f>
        <v>0.72258064516129028</v>
      </c>
      <c r="Y30" s="36">
        <f>SUM(C30+E30+G30+I30+K30+M30+O30+Q30+S30+U30+W30)</f>
        <v>53015.741935483864</v>
      </c>
      <c r="Z30" s="203">
        <f>'B5'!C29</f>
        <v>230</v>
      </c>
      <c r="AA30" s="203">
        <f t="shared" si="30"/>
        <v>2300</v>
      </c>
      <c r="AB30" s="203">
        <f>SUM(Z30)</f>
        <v>230</v>
      </c>
      <c r="AC30" s="203">
        <f t="shared" si="30"/>
        <v>2300</v>
      </c>
      <c r="AD30" s="203">
        <f>SUM(AB30)</f>
        <v>230</v>
      </c>
      <c r="AE30" s="203">
        <f t="shared" si="11"/>
        <v>2300</v>
      </c>
      <c r="AF30" s="203">
        <f>SUM(AD30)</f>
        <v>230</v>
      </c>
      <c r="AG30" s="203">
        <f t="shared" si="12"/>
        <v>2300</v>
      </c>
      <c r="AH30" s="203">
        <f>SUM(AF30)</f>
        <v>230</v>
      </c>
      <c r="AI30" s="203">
        <f t="shared" si="13"/>
        <v>2300</v>
      </c>
      <c r="AJ30" s="203">
        <f>SUM(AH30)</f>
        <v>230</v>
      </c>
      <c r="AK30" s="203">
        <f t="shared" si="14"/>
        <v>2300</v>
      </c>
      <c r="AL30" s="203">
        <f>SUM(AJ30)</f>
        <v>230</v>
      </c>
      <c r="AM30" s="203">
        <f t="shared" si="15"/>
        <v>2300</v>
      </c>
      <c r="AN30" s="35">
        <f>SUM(AO30/19600)</f>
        <v>0.8214285714285714</v>
      </c>
      <c r="AO30" s="36">
        <f>SUM(AA30+AC30+AE30+AG30+AI30+AK30+AM30)</f>
        <v>16100</v>
      </c>
      <c r="AQ30" s="223">
        <f t="shared" si="40"/>
        <v>0.74341983366122255</v>
      </c>
      <c r="AR30" s="38">
        <f t="shared" si="41"/>
        <v>69115.741935483864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224</v>
      </c>
      <c r="C31" s="203">
        <f t="shared" si="18"/>
        <v>4819.6129032258068</v>
      </c>
      <c r="D31">
        <f>SUM(B31)</f>
        <v>224</v>
      </c>
      <c r="E31" s="203">
        <f t="shared" si="18"/>
        <v>4819.6129032258068</v>
      </c>
      <c r="F31">
        <f>SUM(D31)</f>
        <v>224</v>
      </c>
      <c r="G31" s="203">
        <f t="shared" si="1"/>
        <v>4819.6129032258068</v>
      </c>
      <c r="H31" s="203">
        <f>SUM(F31)</f>
        <v>224</v>
      </c>
      <c r="I31" s="203">
        <f t="shared" si="2"/>
        <v>4819.6129032258068</v>
      </c>
      <c r="J31" s="203">
        <f>SUM(H31)</f>
        <v>224</v>
      </c>
      <c r="K31" s="203">
        <f t="shared" si="3"/>
        <v>4819.6129032258068</v>
      </c>
      <c r="L31" s="203">
        <f>SUM(J31)</f>
        <v>224</v>
      </c>
      <c r="M31" s="203">
        <f t="shared" si="4"/>
        <v>4819.6129032258068</v>
      </c>
      <c r="N31" s="203">
        <f>SUM(L31)</f>
        <v>224</v>
      </c>
      <c r="O31" s="203">
        <f t="shared" si="5"/>
        <v>4819.6129032258068</v>
      </c>
      <c r="P31" s="203">
        <f>SUM(N31)</f>
        <v>224</v>
      </c>
      <c r="Q31" s="203">
        <f t="shared" si="6"/>
        <v>4819.6129032258068</v>
      </c>
      <c r="R31" s="203">
        <f>SUM(P31)</f>
        <v>224</v>
      </c>
      <c r="S31" s="203">
        <f t="shared" si="7"/>
        <v>4819.6129032258068</v>
      </c>
      <c r="T31" s="203">
        <f>SUM(R31)</f>
        <v>224</v>
      </c>
      <c r="U31" s="203">
        <f t="shared" si="8"/>
        <v>4819.6129032258068</v>
      </c>
      <c r="V31" s="203">
        <f>SUM(T31)</f>
        <v>224</v>
      </c>
      <c r="W31" s="203">
        <f t="shared" si="9"/>
        <v>4819.6129032258068</v>
      </c>
      <c r="X31" s="35">
        <f>SUM(Y31/73370)</f>
        <v>0.72258064516129028</v>
      </c>
      <c r="Y31" s="36">
        <f>SUM(C31+E31+G31+I31+K31+M31+O31+Q31+S31+U31+W31)</f>
        <v>53015.741935483864</v>
      </c>
      <c r="Z31" s="203">
        <f>'B5'!C30</f>
        <v>230</v>
      </c>
      <c r="AA31" s="203">
        <f t="shared" si="30"/>
        <v>2300</v>
      </c>
      <c r="AB31" s="203">
        <f>SUM(Z31)</f>
        <v>230</v>
      </c>
      <c r="AC31" s="203">
        <f t="shared" si="30"/>
        <v>2300</v>
      </c>
      <c r="AD31" s="203">
        <f>SUM(AB31)</f>
        <v>230</v>
      </c>
      <c r="AE31" s="203">
        <f t="shared" si="11"/>
        <v>2300</v>
      </c>
      <c r="AF31" s="203">
        <f>SUM(AD31)</f>
        <v>230</v>
      </c>
      <c r="AG31" s="203">
        <f t="shared" si="12"/>
        <v>2300</v>
      </c>
      <c r="AH31" s="203">
        <f>SUM(AF31)</f>
        <v>230</v>
      </c>
      <c r="AI31" s="203">
        <f t="shared" si="13"/>
        <v>2300</v>
      </c>
      <c r="AJ31" s="203">
        <f>SUM(AH31)</f>
        <v>230</v>
      </c>
      <c r="AK31" s="203">
        <f t="shared" si="14"/>
        <v>2300</v>
      </c>
      <c r="AL31" s="203">
        <f>SUM(AJ31)</f>
        <v>230</v>
      </c>
      <c r="AM31" s="203">
        <f t="shared" si="15"/>
        <v>2300</v>
      </c>
      <c r="AN31" s="35">
        <f>SUM(AO31/19600)</f>
        <v>0.8214285714285714</v>
      </c>
      <c r="AO31" s="36">
        <f>SUM(AA31+AC31+AE31+AG31+AI31+AK31+AM31)</f>
        <v>16100</v>
      </c>
      <c r="AQ31" s="223">
        <f t="shared" si="40"/>
        <v>0.74341983366122255</v>
      </c>
      <c r="AR31" s="38">
        <f t="shared" si="41"/>
        <v>69115.741935483864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224</v>
      </c>
      <c r="C32" s="203">
        <f t="shared" si="18"/>
        <v>4819.6129032258068</v>
      </c>
      <c r="D32">
        <f>SUM(B32)</f>
        <v>224</v>
      </c>
      <c r="E32" s="203">
        <f t="shared" si="18"/>
        <v>4819.6129032258068</v>
      </c>
      <c r="F32">
        <f>SUM(D32)</f>
        <v>224</v>
      </c>
      <c r="G32" s="203">
        <f t="shared" si="1"/>
        <v>4819.6129032258068</v>
      </c>
      <c r="H32" s="203">
        <f>SUM(F32)</f>
        <v>224</v>
      </c>
      <c r="I32" s="203">
        <f t="shared" si="2"/>
        <v>4819.6129032258068</v>
      </c>
      <c r="J32" s="203">
        <f>SUM(H32)</f>
        <v>224</v>
      </c>
      <c r="K32" s="203">
        <f t="shared" si="3"/>
        <v>4819.6129032258068</v>
      </c>
      <c r="L32" s="203">
        <f>SUM(J32)</f>
        <v>224</v>
      </c>
      <c r="M32" s="203">
        <f t="shared" si="4"/>
        <v>4819.6129032258068</v>
      </c>
      <c r="N32" s="203">
        <f>SUM(L32)</f>
        <v>224</v>
      </c>
      <c r="O32" s="203">
        <f t="shared" si="5"/>
        <v>4819.6129032258068</v>
      </c>
      <c r="P32" s="203">
        <f>SUM(N32)</f>
        <v>224</v>
      </c>
      <c r="Q32" s="203">
        <f t="shared" si="6"/>
        <v>4819.6129032258068</v>
      </c>
      <c r="R32" s="203">
        <f>SUM(P32)</f>
        <v>224</v>
      </c>
      <c r="S32" s="203">
        <f t="shared" si="7"/>
        <v>4819.6129032258068</v>
      </c>
      <c r="T32" s="203">
        <f>SUM(R32)</f>
        <v>224</v>
      </c>
      <c r="U32" s="203">
        <f t="shared" si="8"/>
        <v>4819.6129032258068</v>
      </c>
      <c r="V32" s="203">
        <f>SUM(T32)</f>
        <v>224</v>
      </c>
      <c r="W32" s="203">
        <f t="shared" si="9"/>
        <v>4819.6129032258068</v>
      </c>
      <c r="X32" s="35">
        <f>SUM(Y32/73370)</f>
        <v>0.72258064516129028</v>
      </c>
      <c r="Y32" s="36">
        <f>SUM(C32+E32+G32+I32+K32+M32+O32+Q32+S32+U32+W32)</f>
        <v>53015.741935483864</v>
      </c>
      <c r="Z32" s="203">
        <f>'B5'!C31</f>
        <v>230</v>
      </c>
      <c r="AA32" s="203">
        <f t="shared" si="30"/>
        <v>2300</v>
      </c>
      <c r="AB32" s="203">
        <f>SUM(Z32)</f>
        <v>230</v>
      </c>
      <c r="AC32" s="203">
        <f t="shared" si="30"/>
        <v>2300</v>
      </c>
      <c r="AD32" s="203">
        <f>SUM(AB32)</f>
        <v>230</v>
      </c>
      <c r="AE32" s="203">
        <f t="shared" si="11"/>
        <v>2300</v>
      </c>
      <c r="AF32" s="203">
        <f>SUM(AD32)</f>
        <v>230</v>
      </c>
      <c r="AG32" s="203">
        <f t="shared" si="12"/>
        <v>2300</v>
      </c>
      <c r="AH32" s="203">
        <f>SUM(AF32)</f>
        <v>230</v>
      </c>
      <c r="AI32" s="203">
        <f t="shared" si="13"/>
        <v>2300</v>
      </c>
      <c r="AJ32" s="203">
        <f>SUM(AH32)</f>
        <v>230</v>
      </c>
      <c r="AK32" s="203">
        <f t="shared" si="14"/>
        <v>2300</v>
      </c>
      <c r="AL32" s="203">
        <f>SUM(AJ32)</f>
        <v>230</v>
      </c>
      <c r="AM32" s="203">
        <f t="shared" si="15"/>
        <v>2300</v>
      </c>
      <c r="AN32" s="35">
        <f>SUM(AO32/19600)</f>
        <v>0.8214285714285714</v>
      </c>
      <c r="AO32" s="36">
        <f>SUM(AA32+AC32+AE32+AG32+AI32+AK32+AM32)</f>
        <v>16100</v>
      </c>
      <c r="AQ32" s="223">
        <f t="shared" si="40"/>
        <v>0.74341983366122255</v>
      </c>
      <c r="AR32" s="38">
        <f t="shared" si="41"/>
        <v>69115.741935483864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224</v>
      </c>
      <c r="C33" s="203">
        <f t="shared" si="18"/>
        <v>4819.6129032258068</v>
      </c>
      <c r="D33">
        <f>SUM(B33)</f>
        <v>224</v>
      </c>
      <c r="E33" s="203">
        <f t="shared" si="18"/>
        <v>4819.6129032258068</v>
      </c>
      <c r="F33">
        <f>SUM(D33)</f>
        <v>224</v>
      </c>
      <c r="G33" s="203">
        <f t="shared" si="1"/>
        <v>4819.6129032258068</v>
      </c>
      <c r="H33" s="203">
        <f>SUM(F33)</f>
        <v>224</v>
      </c>
      <c r="I33" s="203">
        <f t="shared" si="2"/>
        <v>4819.6129032258068</v>
      </c>
      <c r="J33" s="203">
        <f>SUM(H33)</f>
        <v>224</v>
      </c>
      <c r="K33" s="203">
        <f t="shared" si="3"/>
        <v>4819.6129032258068</v>
      </c>
      <c r="L33" s="203">
        <f>SUM(J33)</f>
        <v>224</v>
      </c>
      <c r="M33" s="203">
        <f t="shared" si="4"/>
        <v>4819.6129032258068</v>
      </c>
      <c r="N33" s="203">
        <f>SUM(L33)</f>
        <v>224</v>
      </c>
      <c r="O33" s="203">
        <f t="shared" si="5"/>
        <v>4819.6129032258068</v>
      </c>
      <c r="P33" s="203">
        <f>SUM(N33)</f>
        <v>224</v>
      </c>
      <c r="Q33" s="203">
        <f t="shared" si="6"/>
        <v>4819.6129032258068</v>
      </c>
      <c r="R33" s="203">
        <f>SUM(P33)</f>
        <v>224</v>
      </c>
      <c r="S33" s="203">
        <f t="shared" si="7"/>
        <v>4819.6129032258068</v>
      </c>
      <c r="T33" s="203">
        <f>SUM(R33)</f>
        <v>224</v>
      </c>
      <c r="U33" s="203">
        <f t="shared" si="8"/>
        <v>4819.6129032258068</v>
      </c>
      <c r="V33" s="203">
        <f>SUM(T33)</f>
        <v>224</v>
      </c>
      <c r="W33" s="203">
        <f t="shared" si="9"/>
        <v>4819.6129032258068</v>
      </c>
      <c r="X33" s="35">
        <f>SUM(Y33/73370)</f>
        <v>0.72258064516129028</v>
      </c>
      <c r="Y33" s="36">
        <f>SUM(C33+E33+G33+I33+K33+M33+O33+Q33+S33+U33+W33)</f>
        <v>53015.741935483864</v>
      </c>
      <c r="Z33" s="203">
        <f>'B5'!C32</f>
        <v>230</v>
      </c>
      <c r="AA33" s="203">
        <f t="shared" si="30"/>
        <v>2300</v>
      </c>
      <c r="AB33" s="203">
        <f>SUM(Z33)</f>
        <v>230</v>
      </c>
      <c r="AC33" s="203">
        <f t="shared" si="30"/>
        <v>2300</v>
      </c>
      <c r="AD33" s="203">
        <f>SUM(AB33)</f>
        <v>230</v>
      </c>
      <c r="AE33" s="203">
        <f t="shared" si="11"/>
        <v>2300</v>
      </c>
      <c r="AF33" s="203">
        <f>SUM(AD33)</f>
        <v>230</v>
      </c>
      <c r="AG33" s="203">
        <f t="shared" si="12"/>
        <v>2300</v>
      </c>
      <c r="AH33" s="203">
        <f>SUM(AF33)</f>
        <v>230</v>
      </c>
      <c r="AI33" s="203">
        <f t="shared" si="13"/>
        <v>2300</v>
      </c>
      <c r="AJ33" s="203">
        <f>SUM(AH33)</f>
        <v>230</v>
      </c>
      <c r="AK33" s="203">
        <f t="shared" si="14"/>
        <v>2300</v>
      </c>
      <c r="AL33" s="203">
        <f>SUM(AJ33)</f>
        <v>230</v>
      </c>
      <c r="AM33" s="203">
        <f t="shared" si="15"/>
        <v>2300</v>
      </c>
      <c r="AN33" s="35">
        <f>SUM(AO33/19600)</f>
        <v>0.8214285714285714</v>
      </c>
      <c r="AO33" s="36">
        <f>SUM(AA33+AC33+AE33+AG33+AI33+AK33+AM33)</f>
        <v>16100</v>
      </c>
      <c r="AQ33" s="223">
        <f t="shared" si="40"/>
        <v>0.74341983366122255</v>
      </c>
      <c r="AR33" s="38">
        <f t="shared" si="41"/>
        <v>69115.741935483864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224</v>
      </c>
      <c r="C34" s="203">
        <f t="shared" ref="C34:C36" si="48">B34*$B$4</f>
        <v>4819.6129032258068</v>
      </c>
      <c r="D34">
        <f t="shared" ref="D34:D36" si="49">SUM(B34)</f>
        <v>224</v>
      </c>
      <c r="E34" s="203">
        <f t="shared" ref="E34:E36" si="50">D34*$B$4</f>
        <v>4819.6129032258068</v>
      </c>
      <c r="F34">
        <f t="shared" ref="F34:F36" si="51">SUM(D34)</f>
        <v>224</v>
      </c>
      <c r="G34" s="203">
        <f t="shared" ref="G34:G36" si="52">F34*$B$4</f>
        <v>4819.6129032258068</v>
      </c>
      <c r="H34" s="203">
        <f t="shared" ref="H34:H36" si="53">SUM(F34)</f>
        <v>224</v>
      </c>
      <c r="I34" s="203">
        <f t="shared" ref="I34:I36" si="54">H34*$B$4</f>
        <v>4819.6129032258068</v>
      </c>
      <c r="J34" s="203">
        <f t="shared" ref="J34:J36" si="55">SUM(H34)</f>
        <v>224</v>
      </c>
      <c r="K34" s="203">
        <f t="shared" ref="K34:K36" si="56">J34*$B$4</f>
        <v>4819.6129032258068</v>
      </c>
      <c r="L34" s="203">
        <f t="shared" ref="L34:L36" si="57">SUM(J34)</f>
        <v>224</v>
      </c>
      <c r="M34" s="203">
        <f t="shared" ref="M34:M36" si="58">L34*$B$4</f>
        <v>4819.6129032258068</v>
      </c>
      <c r="N34" s="203">
        <f t="shared" ref="N34:N36" si="59">SUM(L34)</f>
        <v>224</v>
      </c>
      <c r="O34" s="203">
        <f t="shared" ref="O34:O36" si="60">N34*$B$4</f>
        <v>4819.6129032258068</v>
      </c>
      <c r="P34" s="203">
        <f t="shared" ref="P34:P36" si="61">SUM(N34)</f>
        <v>224</v>
      </c>
      <c r="Q34" s="203">
        <f t="shared" ref="Q34:Q36" si="62">P34*$B$4</f>
        <v>4819.6129032258068</v>
      </c>
      <c r="R34" s="203">
        <f t="shared" ref="R34:R36" si="63">SUM(P34)</f>
        <v>224</v>
      </c>
      <c r="S34" s="203">
        <f t="shared" ref="S34:S36" si="64">R34*$B$4</f>
        <v>4819.6129032258068</v>
      </c>
      <c r="T34" s="203">
        <f t="shared" ref="T34:T36" si="65">SUM(R34)</f>
        <v>224</v>
      </c>
      <c r="U34" s="203">
        <f t="shared" ref="U34:U36" si="66">T34*$B$4</f>
        <v>4819.6129032258068</v>
      </c>
      <c r="V34" s="203">
        <f t="shared" ref="V34:V36" si="67">SUM(T34)</f>
        <v>224</v>
      </c>
      <c r="W34" s="203">
        <f t="shared" ref="W34:W36" si="68">V34*$B$4</f>
        <v>4819.6129032258068</v>
      </c>
      <c r="X34" s="35">
        <f t="shared" ref="X34:X36" si="69">SUM(Y34/73370)</f>
        <v>0.72258064516129028</v>
      </c>
      <c r="Y34" s="36">
        <f t="shared" ref="Y34:Y36" si="70">SUM(C34+E34+G34+I34+K34+M34+O34+Q34+S34+U34+W34)</f>
        <v>53015.741935483864</v>
      </c>
      <c r="Z34" s="203">
        <f>'B5'!C33</f>
        <v>230</v>
      </c>
      <c r="AA34" s="203">
        <f t="shared" ref="AA34:AA36" si="71">SUM(Z34*$Z$4)</f>
        <v>2300</v>
      </c>
      <c r="AB34" s="203">
        <f t="shared" ref="AB34:AB36" si="72">SUM(Z34)</f>
        <v>230</v>
      </c>
      <c r="AC34" s="203">
        <f t="shared" ref="AC34:AC36" si="73">SUM(AB34*$Z$4)</f>
        <v>2300</v>
      </c>
      <c r="AD34" s="203">
        <f t="shared" ref="AD34:AD36" si="74">SUM(AB34)</f>
        <v>230</v>
      </c>
      <c r="AE34" s="203">
        <f t="shared" ref="AE34:AE36" si="75">SUM(AD34*$Z$4)</f>
        <v>2300</v>
      </c>
      <c r="AF34" s="203">
        <f t="shared" ref="AF34:AF36" si="76">SUM(AD34)</f>
        <v>230</v>
      </c>
      <c r="AG34" s="203">
        <f t="shared" ref="AG34:AG36" si="77">SUM(AF34*$Z$4)</f>
        <v>2300</v>
      </c>
      <c r="AH34" s="203">
        <f t="shared" ref="AH34:AH36" si="78">SUM(AF34)</f>
        <v>230</v>
      </c>
      <c r="AI34" s="203">
        <f t="shared" ref="AI34:AI36" si="79">SUM(AH34*$Z$4)</f>
        <v>2300</v>
      </c>
      <c r="AJ34" s="203">
        <f t="shared" ref="AJ34:AJ36" si="80">SUM(AH34)</f>
        <v>230</v>
      </c>
      <c r="AK34" s="203">
        <f t="shared" ref="AK34:AK36" si="81">SUM(AJ34*$Z$4)</f>
        <v>2300</v>
      </c>
      <c r="AL34" s="203">
        <f t="shared" ref="AL34:AL36" si="82">SUM(AJ34)</f>
        <v>230</v>
      </c>
      <c r="AM34" s="203">
        <f t="shared" ref="AM34:AM36" si="83">SUM(AL34*$Z$4)</f>
        <v>2300</v>
      </c>
      <c r="AN34" s="35">
        <f t="shared" ref="AN34:AN36" si="84">SUM(AO34/19600)</f>
        <v>0.8214285714285714</v>
      </c>
      <c r="AO34" s="36">
        <f t="shared" ref="AO34:AO36" si="85">SUM(AA34+AC34+AE34+AG34+AI34+AK34+AM34)</f>
        <v>16100</v>
      </c>
      <c r="AQ34" s="223">
        <f t="shared" ref="AQ34:AQ36" si="86">SUM(AR34/92970)</f>
        <v>0.74341983366122255</v>
      </c>
      <c r="AR34" s="38">
        <f t="shared" ref="AR34:AR36" si="87">Y34+AO34</f>
        <v>69115.741935483864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224</v>
      </c>
      <c r="C35" s="203">
        <f t="shared" si="48"/>
        <v>4819.6129032258068</v>
      </c>
      <c r="D35">
        <f t="shared" si="49"/>
        <v>224</v>
      </c>
      <c r="E35" s="203">
        <f t="shared" si="50"/>
        <v>4819.6129032258068</v>
      </c>
      <c r="F35">
        <f t="shared" si="51"/>
        <v>224</v>
      </c>
      <c r="G35" s="203">
        <f t="shared" si="52"/>
        <v>4819.6129032258068</v>
      </c>
      <c r="H35" s="203">
        <f t="shared" si="53"/>
        <v>224</v>
      </c>
      <c r="I35" s="203">
        <f t="shared" si="54"/>
        <v>4819.6129032258068</v>
      </c>
      <c r="J35" s="203">
        <f t="shared" si="55"/>
        <v>224</v>
      </c>
      <c r="K35" s="203">
        <f t="shared" si="56"/>
        <v>4819.6129032258068</v>
      </c>
      <c r="L35" s="203">
        <f t="shared" si="57"/>
        <v>224</v>
      </c>
      <c r="M35" s="203">
        <f t="shared" si="58"/>
        <v>4819.6129032258068</v>
      </c>
      <c r="N35" s="203">
        <f t="shared" si="59"/>
        <v>224</v>
      </c>
      <c r="O35" s="203">
        <f t="shared" si="60"/>
        <v>4819.6129032258068</v>
      </c>
      <c r="P35" s="203">
        <f t="shared" si="61"/>
        <v>224</v>
      </c>
      <c r="Q35" s="203">
        <f t="shared" si="62"/>
        <v>4819.6129032258068</v>
      </c>
      <c r="R35" s="203">
        <f t="shared" si="63"/>
        <v>224</v>
      </c>
      <c r="S35" s="203">
        <f t="shared" si="64"/>
        <v>4819.6129032258068</v>
      </c>
      <c r="T35" s="203">
        <f t="shared" si="65"/>
        <v>224</v>
      </c>
      <c r="U35" s="203">
        <f t="shared" si="66"/>
        <v>4819.6129032258068</v>
      </c>
      <c r="V35" s="203">
        <f t="shared" si="67"/>
        <v>224</v>
      </c>
      <c r="W35" s="203">
        <f t="shared" si="68"/>
        <v>4819.6129032258068</v>
      </c>
      <c r="X35" s="35">
        <f t="shared" si="69"/>
        <v>0.72258064516129028</v>
      </c>
      <c r="Y35" s="36">
        <f t="shared" si="70"/>
        <v>53015.741935483864</v>
      </c>
      <c r="Z35" s="203">
        <f>'B5'!C34</f>
        <v>230</v>
      </c>
      <c r="AA35" s="203">
        <f t="shared" si="71"/>
        <v>2300</v>
      </c>
      <c r="AB35" s="203">
        <f t="shared" si="72"/>
        <v>230</v>
      </c>
      <c r="AC35" s="203">
        <f t="shared" si="73"/>
        <v>2300</v>
      </c>
      <c r="AD35" s="203">
        <f t="shared" si="74"/>
        <v>230</v>
      </c>
      <c r="AE35" s="203">
        <f t="shared" si="75"/>
        <v>2300</v>
      </c>
      <c r="AF35" s="203">
        <f t="shared" si="76"/>
        <v>230</v>
      </c>
      <c r="AG35" s="203">
        <f t="shared" si="77"/>
        <v>2300</v>
      </c>
      <c r="AH35" s="203">
        <f t="shared" si="78"/>
        <v>230</v>
      </c>
      <c r="AI35" s="203">
        <f t="shared" si="79"/>
        <v>2300</v>
      </c>
      <c r="AJ35" s="203">
        <f t="shared" si="80"/>
        <v>230</v>
      </c>
      <c r="AK35" s="203">
        <f t="shared" si="81"/>
        <v>2300</v>
      </c>
      <c r="AL35" s="203">
        <f t="shared" si="82"/>
        <v>230</v>
      </c>
      <c r="AM35" s="203">
        <f t="shared" si="83"/>
        <v>2300</v>
      </c>
      <c r="AN35" s="35">
        <f t="shared" si="84"/>
        <v>0.8214285714285714</v>
      </c>
      <c r="AO35" s="36">
        <f t="shared" si="85"/>
        <v>16100</v>
      </c>
      <c r="AQ35" s="223">
        <f t="shared" si="86"/>
        <v>0.74341983366122255</v>
      </c>
      <c r="AR35" s="38">
        <f t="shared" si="87"/>
        <v>69115.741935483864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224</v>
      </c>
      <c r="C36" s="203">
        <f t="shared" si="48"/>
        <v>4819.6129032258068</v>
      </c>
      <c r="D36">
        <f t="shared" si="49"/>
        <v>224</v>
      </c>
      <c r="E36" s="203">
        <f t="shared" si="50"/>
        <v>4819.6129032258068</v>
      </c>
      <c r="F36">
        <f t="shared" si="51"/>
        <v>224</v>
      </c>
      <c r="G36" s="203">
        <f t="shared" si="52"/>
        <v>4819.6129032258068</v>
      </c>
      <c r="H36" s="203">
        <f t="shared" si="53"/>
        <v>224</v>
      </c>
      <c r="I36" s="203">
        <f t="shared" si="54"/>
        <v>4819.6129032258068</v>
      </c>
      <c r="J36" s="203">
        <f t="shared" si="55"/>
        <v>224</v>
      </c>
      <c r="K36" s="203">
        <f t="shared" si="56"/>
        <v>4819.6129032258068</v>
      </c>
      <c r="L36" s="203">
        <f t="shared" si="57"/>
        <v>224</v>
      </c>
      <c r="M36" s="203">
        <f t="shared" si="58"/>
        <v>4819.6129032258068</v>
      </c>
      <c r="N36" s="203">
        <f t="shared" si="59"/>
        <v>224</v>
      </c>
      <c r="O36" s="203">
        <f t="shared" si="60"/>
        <v>4819.6129032258068</v>
      </c>
      <c r="P36" s="203">
        <f t="shared" si="61"/>
        <v>224</v>
      </c>
      <c r="Q36" s="203">
        <f t="shared" si="62"/>
        <v>4819.6129032258068</v>
      </c>
      <c r="R36" s="203">
        <f t="shared" si="63"/>
        <v>224</v>
      </c>
      <c r="S36" s="203">
        <f t="shared" si="64"/>
        <v>4819.6129032258068</v>
      </c>
      <c r="T36" s="203">
        <f t="shared" si="65"/>
        <v>224</v>
      </c>
      <c r="U36" s="203">
        <f t="shared" si="66"/>
        <v>4819.6129032258068</v>
      </c>
      <c r="V36" s="203">
        <f t="shared" si="67"/>
        <v>224</v>
      </c>
      <c r="W36" s="203">
        <f t="shared" si="68"/>
        <v>4819.6129032258068</v>
      </c>
      <c r="X36" s="35">
        <f t="shared" si="69"/>
        <v>0.72258064516129028</v>
      </c>
      <c r="Y36" s="36">
        <f t="shared" si="70"/>
        <v>53015.741935483864</v>
      </c>
      <c r="Z36" s="203">
        <f>'B5'!C35</f>
        <v>230</v>
      </c>
      <c r="AA36" s="203">
        <f t="shared" si="71"/>
        <v>2300</v>
      </c>
      <c r="AB36" s="203">
        <f t="shared" si="72"/>
        <v>230</v>
      </c>
      <c r="AC36" s="203">
        <f t="shared" si="73"/>
        <v>2300</v>
      </c>
      <c r="AD36" s="203">
        <f t="shared" si="74"/>
        <v>230</v>
      </c>
      <c r="AE36" s="203">
        <f t="shared" si="75"/>
        <v>2300</v>
      </c>
      <c r="AF36" s="203">
        <f t="shared" si="76"/>
        <v>230</v>
      </c>
      <c r="AG36" s="203">
        <f t="shared" si="77"/>
        <v>2300</v>
      </c>
      <c r="AH36" s="203">
        <f t="shared" si="78"/>
        <v>230</v>
      </c>
      <c r="AI36" s="203">
        <f t="shared" si="79"/>
        <v>2300</v>
      </c>
      <c r="AJ36" s="203">
        <f t="shared" si="80"/>
        <v>230</v>
      </c>
      <c r="AK36" s="203">
        <f t="shared" si="81"/>
        <v>2300</v>
      </c>
      <c r="AL36" s="203">
        <f t="shared" si="82"/>
        <v>230</v>
      </c>
      <c r="AM36" s="203">
        <f t="shared" si="83"/>
        <v>2300</v>
      </c>
      <c r="AN36" s="35">
        <f t="shared" si="84"/>
        <v>0.8214285714285714</v>
      </c>
      <c r="AO36" s="36">
        <f t="shared" si="85"/>
        <v>16100</v>
      </c>
      <c r="AQ36" s="223">
        <f t="shared" si="86"/>
        <v>0.74341983366122255</v>
      </c>
      <c r="AR36" s="38">
        <f t="shared" si="87"/>
        <v>69115.741935483864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15090</v>
      </c>
      <c r="AU37" s="544">
        <f>SUM(AU6:AU36)/AS37</f>
        <v>0.71833333333333338</v>
      </c>
      <c r="AX37" s="203">
        <f>SUM(AX6:AX36)</f>
        <v>-15413.09677419356</v>
      </c>
      <c r="AY37" s="203">
        <f>SUM(AY6:AY36)</f>
        <v>-17850.09677419356</v>
      </c>
    </row>
    <row r="38" spans="1:63">
      <c r="AS38" s="206"/>
      <c r="AT38" s="82">
        <f>+AT37*AU37</f>
        <v>10839.650000000001</v>
      </c>
    </row>
    <row r="40" spans="1:63">
      <c r="AS40" s="165">
        <f>SUM(AS6:AS36)/'EDl log'!A35</f>
        <v>-1983.3440860215067</v>
      </c>
      <c r="AT40" s="203"/>
    </row>
    <row r="41" spans="1:63">
      <c r="AX41">
        <v>43309</v>
      </c>
    </row>
    <row r="42" spans="1:63">
      <c r="AR42" s="203">
        <f>AR36-22000</f>
        <v>47115.741935483864</v>
      </c>
      <c r="AU42" s="203"/>
      <c r="AX42">
        <f>AX37/AX41</f>
        <v>-0.35588669270113743</v>
      </c>
    </row>
    <row r="43" spans="1:63">
      <c r="AR43">
        <f>AR42/5500</f>
        <v>8.5664985337243387</v>
      </c>
    </row>
    <row r="44" spans="1:63">
      <c r="AR44">
        <f>AR43*2</f>
        <v>17.132997067448677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P46" sqref="M46:P5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1724.7878494623742</v>
      </c>
      <c r="R6" s="285">
        <f t="shared" si="13"/>
        <v>1879.5908880329621</v>
      </c>
      <c r="S6" s="287">
        <f>SUM(ELEC!N6)</f>
        <v>6202</v>
      </c>
      <c r="T6" s="321">
        <f t="shared" ref="T6:T30" si="16">IF(S6&gt;0,R6/S6,0)</f>
        <v>0.30306205869605968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1102.688010752687</v>
      </c>
      <c r="R7" s="285">
        <f t="shared" si="13"/>
        <v>1290.7009995720312</v>
      </c>
      <c r="S7" s="287">
        <f>SUM(ELEC!N7)</f>
        <v>4288</v>
      </c>
      <c r="T7" s="321">
        <f t="shared" si="16"/>
        <v>0.30100303161661174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629.28317204299969</v>
      </c>
      <c r="R8" s="285">
        <f t="shared" si="13"/>
        <v>784.08621061358758</v>
      </c>
      <c r="S8" s="287">
        <f>SUM(ELEC!N8)</f>
        <v>3111</v>
      </c>
      <c r="T8" s="321">
        <f>IF(S8&gt;0,R8/S8,0)</f>
        <v>0.25203671186550547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-442.51650537633299</v>
      </c>
      <c r="R11" s="285">
        <f t="shared" si="13"/>
        <v>-256.15923795002368</v>
      </c>
      <c r="S11" s="287">
        <f>SUM(ELEC!N11)</f>
        <v>3135</v>
      </c>
      <c r="T11" s="321">
        <f t="shared" si="16"/>
        <v>-8.1709485789481243E-2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808.63478494623223</v>
      </c>
      <c r="R12" s="285">
        <f t="shared" si="13"/>
        <v>983.52936580537732</v>
      </c>
      <c r="S12" s="287">
        <f>SUM(ELEC!N12)</f>
        <v>3445</v>
      </c>
      <c r="T12" s="321">
        <f t="shared" si="16"/>
        <v>0.2854947360828381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628.56483870967679</v>
      </c>
      <c r="R13" s="285">
        <f t="shared" si="13"/>
        <v>786.09557213930282</v>
      </c>
      <c r="S13" s="287">
        <f>SUM(ELEC!N13)</f>
        <v>3157</v>
      </c>
      <c r="T13" s="321">
        <f>IF(S13&gt;0,R13/S13,0)</f>
        <v>0.24900081474162269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743.26645161290935</v>
      </c>
      <c r="R14" s="285">
        <f>SUM(P14:Q14)</f>
        <v>918.74478039908604</v>
      </c>
      <c r="S14" s="287">
        <f>SUM(ELEC!N14)</f>
        <v>3105</v>
      </c>
      <c r="T14" s="321">
        <f>IF(S14&gt;0,R14/S14,0)</f>
        <v>0.29589203877587311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787.08478494623228</v>
      </c>
      <c r="R15" s="285">
        <f>SUM(P15:Q15)</f>
        <v>945.30540228962286</v>
      </c>
      <c r="S15" s="287">
        <f>SUM(ELEC!N15)</f>
        <v>2743</v>
      </c>
      <c r="T15" s="321">
        <f>IF(S15&gt;0,R15/S15,0)</f>
        <v>0.3446246453844779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6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5">
        <v>161410</v>
      </c>
      <c r="G18" s="160">
        <f t="shared" si="1"/>
        <v>0</v>
      </c>
      <c r="H18" s="624">
        <v>556646</v>
      </c>
      <c r="I18" s="161">
        <f t="shared" si="2"/>
        <v>140</v>
      </c>
      <c r="J18" s="625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548.11150537634342</v>
      </c>
      <c r="R18" s="285">
        <f t="shared" si="13"/>
        <v>713.31587064676546</v>
      </c>
      <c r="S18" s="287">
        <f>SUM(ELEC!N18)</f>
        <v>2817</v>
      </c>
      <c r="T18" s="321">
        <f t="shared" si="16"/>
        <v>0.25321827144010134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5">
        <f t="shared" si="8"/>
        <v>161410</v>
      </c>
      <c r="G19" s="160">
        <f t="shared" si="1"/>
        <v>0</v>
      </c>
      <c r="H19" s="624">
        <v>556768</v>
      </c>
      <c r="I19" s="161">
        <f t="shared" si="2"/>
        <v>122</v>
      </c>
      <c r="J19" s="625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630.00150537633294</v>
      </c>
      <c r="R19" s="285">
        <f>SUM(P19:Q19)</f>
        <v>799.17535655056929</v>
      </c>
      <c r="S19" s="287">
        <f>SUM(ELEC!N19)</f>
        <v>2812</v>
      </c>
      <c r="T19" s="321">
        <f>IF(S19&gt;0,R19/S19,0)</f>
        <v>0.28420176264244995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556768</v>
      </c>
      <c r="I20" s="161">
        <f t="shared" si="2"/>
        <v>0</v>
      </c>
      <c r="J20" s="625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520.09650537636435</v>
      </c>
      <c r="R20" s="285">
        <f t="shared" si="13"/>
        <v>674.89954394695224</v>
      </c>
      <c r="S20" s="287">
        <f>SUM(ELEC!N20)</f>
        <v>3010</v>
      </c>
      <c r="T20" s="321">
        <f t="shared" si="16"/>
        <v>0.22421911759034957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5">
        <f t="shared" si="8"/>
        <v>161410</v>
      </c>
      <c r="G21" s="160">
        <f t="shared" si="1"/>
        <v>0</v>
      </c>
      <c r="H21" s="624">
        <f t="shared" si="9"/>
        <v>556768</v>
      </c>
      <c r="I21" s="161">
        <f t="shared" si="2"/>
        <v>0</v>
      </c>
      <c r="J21" s="625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898.19473118278768</v>
      </c>
      <c r="R21" s="285">
        <f t="shared" si="13"/>
        <v>1052.9977697533757</v>
      </c>
      <c r="S21" s="287">
        <f>SUM(ELEC!N21)</f>
        <v>3148</v>
      </c>
      <c r="T21" s="321">
        <f t="shared" si="16"/>
        <v>0.33449738556333408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44700</v>
      </c>
      <c r="B22" s="624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5">
        <f t="shared" si="8"/>
        <v>161410</v>
      </c>
      <c r="G22" s="160">
        <f t="shared" si="1"/>
        <v>0</v>
      </c>
      <c r="H22" s="624">
        <v>557200</v>
      </c>
      <c r="I22" s="161">
        <f t="shared" si="2"/>
        <v>432</v>
      </c>
      <c r="J22" s="625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617.07150537634345</v>
      </c>
      <c r="R22" s="285">
        <f t="shared" si="13"/>
        <v>804.39461028192306</v>
      </c>
      <c r="S22" s="287">
        <f>SUM(ELEC!N22)</f>
        <v>3248</v>
      </c>
      <c r="T22" s="321">
        <f t="shared" si="16"/>
        <v>0.24765843912620783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44701</v>
      </c>
      <c r="B23" s="624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5">
        <f t="shared" si="8"/>
        <v>161410</v>
      </c>
      <c r="G23" s="160">
        <f t="shared" si="1"/>
        <v>0</v>
      </c>
      <c r="H23" s="624">
        <f t="shared" si="9"/>
        <v>557200</v>
      </c>
      <c r="I23" s="161">
        <f t="shared" si="2"/>
        <v>0</v>
      </c>
      <c r="J23" s="625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44702</v>
      </c>
      <c r="B24" s="624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5">
        <f t="shared" si="8"/>
        <v>161410</v>
      </c>
      <c r="G24" s="160">
        <f t="shared" si="1"/>
        <v>0</v>
      </c>
      <c r="H24" s="624">
        <f t="shared" si="9"/>
        <v>557200</v>
      </c>
      <c r="I24" s="161">
        <f t="shared" si="2"/>
        <v>0</v>
      </c>
      <c r="J24" s="625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-3144.0175537634345</v>
      </c>
      <c r="R24" s="285">
        <f t="shared" si="13"/>
        <v>-2989.2145151928466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44703</v>
      </c>
      <c r="B25" s="624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5">
        <f t="shared" si="8"/>
        <v>161410</v>
      </c>
      <c r="G25" s="160">
        <f t="shared" si="1"/>
        <v>0</v>
      </c>
      <c r="H25" s="624">
        <f t="shared" si="9"/>
        <v>557200</v>
      </c>
      <c r="I25" s="161">
        <f t="shared" si="2"/>
        <v>0</v>
      </c>
      <c r="J25" s="625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3558.6233333333334</v>
      </c>
      <c r="R25" s="285">
        <f t="shared" si="13"/>
        <v>3713.4263719039213</v>
      </c>
      <c r="S25" s="287">
        <f>SUM(ELEC!N25)</f>
        <v>3609</v>
      </c>
      <c r="T25" s="321">
        <f t="shared" si="16"/>
        <v>1.0289349880587202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5">
        <f t="shared" si="8"/>
        <v>161410</v>
      </c>
      <c r="G26" s="160">
        <f t="shared" si="1"/>
        <v>0</v>
      </c>
      <c r="H26" s="624">
        <f t="shared" si="9"/>
        <v>557200</v>
      </c>
      <c r="I26" s="161">
        <f t="shared" si="2"/>
        <v>0</v>
      </c>
      <c r="J26" s="625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736.8014516128884</v>
      </c>
      <c r="R26" s="285">
        <f t="shared" si="13"/>
        <v>891.60449018347629</v>
      </c>
      <c r="S26" s="287">
        <f>SUM(ELEC!N26)</f>
        <v>3279</v>
      </c>
      <c r="T26" s="321">
        <f t="shared" si="16"/>
        <v>0.27191353771987686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0.12415254237288136</v>
      </c>
    </row>
    <row r="27" spans="1:32" ht="20.100000000000001" customHeight="1">
      <c r="A27" s="163">
        <f>ELEC!C27</f>
        <v>44705</v>
      </c>
      <c r="B27" s="624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5">
        <f t="shared" si="8"/>
        <v>161410</v>
      </c>
      <c r="G27" s="160">
        <f t="shared" si="1"/>
        <v>0</v>
      </c>
      <c r="H27" s="624">
        <f t="shared" si="9"/>
        <v>557200</v>
      </c>
      <c r="I27" s="161">
        <f t="shared" si="2"/>
        <v>0</v>
      </c>
      <c r="J27" s="625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725.06481182797017</v>
      </c>
      <c r="R27" s="285">
        <f t="shared" si="13"/>
        <v>879.86785039855806</v>
      </c>
      <c r="S27" s="287">
        <f>SUM(ELEC!N27)</f>
        <v>3094</v>
      </c>
      <c r="T27" s="321">
        <f t="shared" si="16"/>
        <v>0.28437874932080093</v>
      </c>
      <c r="V27" s="246">
        <f>W10</f>
        <v>555135</v>
      </c>
      <c r="W27" s="170">
        <f>H34</f>
        <v>557200</v>
      </c>
      <c r="X27" s="172" t="s">
        <v>212</v>
      </c>
      <c r="Y27" s="172">
        <v>112</v>
      </c>
      <c r="Z27" s="172">
        <v>1</v>
      </c>
      <c r="AA27" s="323">
        <f>(W27-V27)*Z27</f>
        <v>2065</v>
      </c>
      <c r="AB27" s="323">
        <f>SUM(AA27*Y27)</f>
        <v>231280</v>
      </c>
      <c r="AC27" s="244">
        <f>AC10</f>
        <v>6200000</v>
      </c>
      <c r="AD27" s="476">
        <f>SUM(I36)</f>
        <v>0.875</v>
      </c>
    </row>
    <row r="28" spans="1:32" ht="20.100000000000001" customHeight="1">
      <c r="A28" s="163">
        <f>ELEC!C28</f>
        <v>44706</v>
      </c>
      <c r="B28" s="624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5">
        <f t="shared" si="8"/>
        <v>161410</v>
      </c>
      <c r="G28" s="160">
        <f t="shared" si="1"/>
        <v>0</v>
      </c>
      <c r="H28" s="624">
        <f t="shared" si="9"/>
        <v>557200</v>
      </c>
      <c r="I28" s="161">
        <f t="shared" si="2"/>
        <v>0</v>
      </c>
      <c r="J28" s="625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1120341</v>
      </c>
      <c r="C29" s="254">
        <f t="shared" si="0"/>
        <v>0</v>
      </c>
      <c r="D29" s="295">
        <f t="shared" si="14"/>
        <v>0</v>
      </c>
      <c r="E29" s="295">
        <f>B28+D29</f>
        <v>1120341</v>
      </c>
      <c r="F29" s="625">
        <f t="shared" si="8"/>
        <v>161410</v>
      </c>
      <c r="G29" s="160">
        <f t="shared" si="1"/>
        <v>0</v>
      </c>
      <c r="H29" s="624">
        <f t="shared" si="9"/>
        <v>557200</v>
      </c>
      <c r="I29" s="161">
        <f t="shared" si="2"/>
        <v>0</v>
      </c>
      <c r="J29" s="625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2358</v>
      </c>
      <c r="AB29" s="323">
        <f>SUM(AB26:AB28)</f>
        <v>254720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1120341</v>
      </c>
      <c r="C30" s="254">
        <f t="shared" si="0"/>
        <v>0</v>
      </c>
      <c r="D30" s="295">
        <f t="shared" si="14"/>
        <v>0</v>
      </c>
      <c r="E30" s="295">
        <f t="shared" si="15"/>
        <v>1120341</v>
      </c>
      <c r="F30" s="625">
        <f t="shared" si="8"/>
        <v>161410</v>
      </c>
      <c r="G30" s="160">
        <f t="shared" si="1"/>
        <v>0</v>
      </c>
      <c r="H30" s="624">
        <f t="shared" si="9"/>
        <v>557200</v>
      </c>
      <c r="I30" s="161">
        <f t="shared" si="2"/>
        <v>0</v>
      </c>
      <c r="J30" s="625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7489053</v>
      </c>
      <c r="AC30" s="244"/>
    </row>
    <row r="31" spans="1:32" ht="20.100000000000001" customHeight="1">
      <c r="A31" s="163">
        <f>ELEC!C31</f>
        <v>44709</v>
      </c>
      <c r="B31" s="624">
        <f t="shared" si="7"/>
        <v>1120341</v>
      </c>
      <c r="C31" s="254">
        <f>SUM(B31-B30)</f>
        <v>0</v>
      </c>
      <c r="D31" s="295">
        <f t="shared" si="14"/>
        <v>0</v>
      </c>
      <c r="E31" s="295">
        <f>B30+D31</f>
        <v>1120341</v>
      </c>
      <c r="F31" s="625">
        <f t="shared" si="8"/>
        <v>161410</v>
      </c>
      <c r="G31" s="160">
        <f>F31-F30</f>
        <v>0</v>
      </c>
      <c r="H31" s="624">
        <f t="shared" si="9"/>
        <v>557200</v>
      </c>
      <c r="I31" s="161">
        <f>H31-H30</f>
        <v>0</v>
      </c>
      <c r="J31" s="625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1120341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1120341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557200</v>
      </c>
      <c r="I32" s="161">
        <f t="shared" ref="I32:I34" si="24">H32-H31</f>
        <v>0</v>
      </c>
      <c r="J32" s="625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168</v>
      </c>
      <c r="X32" s="222">
        <f>SUM(W32/A35)</f>
        <v>18.666666666666668</v>
      </c>
      <c r="Y32" s="250">
        <f>SUM(X32/1)</f>
        <v>18.666666666666668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1120341</v>
      </c>
      <c r="C33" s="254">
        <f t="shared" si="20"/>
        <v>0</v>
      </c>
      <c r="D33" s="295">
        <f t="shared" si="21"/>
        <v>0</v>
      </c>
      <c r="E33" s="295">
        <f t="shared" si="22"/>
        <v>1120341</v>
      </c>
      <c r="F33" s="625">
        <f t="shared" si="8"/>
        <v>161410</v>
      </c>
      <c r="G33" s="160">
        <f t="shared" si="23"/>
        <v>0</v>
      </c>
      <c r="H33" s="624">
        <f t="shared" si="9"/>
        <v>557200</v>
      </c>
      <c r="I33" s="161">
        <f t="shared" si="24"/>
        <v>0</v>
      </c>
      <c r="J33" s="625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823795.83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1120341</v>
      </c>
      <c r="C34" s="254">
        <f t="shared" si="20"/>
        <v>0</v>
      </c>
      <c r="D34" s="295">
        <f t="shared" si="21"/>
        <v>0</v>
      </c>
      <c r="E34" s="295">
        <f t="shared" si="22"/>
        <v>1120341</v>
      </c>
      <c r="F34" s="625">
        <f t="shared" si="8"/>
        <v>161410</v>
      </c>
      <c r="G34" s="160">
        <f t="shared" si="23"/>
        <v>0</v>
      </c>
      <c r="H34" s="624">
        <f t="shared" si="9"/>
        <v>557200</v>
      </c>
      <c r="I34" s="161">
        <f t="shared" si="24"/>
        <v>0</v>
      </c>
      <c r="J34" s="625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8312848.8300000001</v>
      </c>
      <c r="AC34" s="244">
        <f>SUM(AC30)</f>
        <v>0</v>
      </c>
    </row>
    <row r="35" spans="1:32" ht="15.75" thickBot="1">
      <c r="A35" s="501">
        <f>A37-COUNTIF(C4:C34,0)</f>
        <v>9</v>
      </c>
      <c r="C35" s="173">
        <f>SUM(C4:C34)/A35</f>
        <v>262.22222222222223</v>
      </c>
      <c r="D35" s="173"/>
      <c r="E35" s="173"/>
      <c r="F35" s="564"/>
      <c r="G35" s="564">
        <f>SUM(G4:G34)/A35</f>
        <v>0</v>
      </c>
      <c r="H35" s="173"/>
      <c r="I35" s="173">
        <f>SUM(I4:I34)/A35</f>
        <v>229.44444444444446</v>
      </c>
      <c r="K35" s="173">
        <f>SUM(K4:K34)/A35</f>
        <v>32.555555555555557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0.99915254237288131</v>
      </c>
      <c r="G36" s="225">
        <f>IF(C35&gt;0,G35/C35,0)</f>
        <v>0</v>
      </c>
      <c r="H36" s="212"/>
      <c r="I36" s="225">
        <f>SUM(I35/C35)</f>
        <v>0.875</v>
      </c>
      <c r="J36" s="212"/>
      <c r="K36" s="225">
        <f>SUM(K35/C35)</f>
        <v>0.12415254237288136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4967.862686567164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4967.862686567164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2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2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2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8" sqref="F2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>
        <v>24</v>
      </c>
      <c r="C27" s="37">
        <v>20</v>
      </c>
      <c r="D27" s="26">
        <f t="shared" si="3"/>
        <v>22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>
        <v>24</v>
      </c>
      <c r="C28" s="37">
        <v>20</v>
      </c>
      <c r="D28" s="26">
        <f t="shared" si="3"/>
        <v>22</v>
      </c>
      <c r="E28" s="325">
        <v>0.71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34.333333333333336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3279</v>
      </c>
      <c r="D24" s="3">
        <f t="shared" si="0"/>
        <v>4.0000000021827873</v>
      </c>
      <c r="E24" s="3">
        <f>ELEC!Q26</f>
        <v>3274.9999999978172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-246.5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3094</v>
      </c>
      <c r="D25" s="3">
        <f t="shared" si="0"/>
        <v>-61.999999999039574</v>
      </c>
      <c r="E25" s="3">
        <f>ELEC!Q27</f>
        <v>3155.9999999990396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2.7999999999999972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51.099999999999994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201</v>
      </c>
      <c r="C27" s="76">
        <f>'B5'!AH27</f>
        <v>0</v>
      </c>
      <c r="D27" s="76">
        <f>GEN!AI25</f>
        <v>842.932489450915</v>
      </c>
      <c r="E27" s="239">
        <f t="shared" si="0"/>
        <v>1043.932489450915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3274.9999999978172</v>
      </c>
      <c r="J27" s="79">
        <f>ELEC!R26</f>
        <v>4.0000000021827873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64</v>
      </c>
      <c r="C28" s="76">
        <f>'B5'!AH28</f>
        <v>0</v>
      </c>
      <c r="D28" s="76">
        <f>GEN!AI26</f>
        <v>812.30379746810729</v>
      </c>
      <c r="E28" s="239">
        <f t="shared" si="0"/>
        <v>876.30379746810729</v>
      </c>
      <c r="F28" s="75">
        <f>WATER!L28</f>
        <v>0</v>
      </c>
      <c r="G28" s="78">
        <f>WATER!BG28</f>
        <v>-6.9000000000000057</v>
      </c>
      <c r="H28" s="79">
        <f>ELEC!AF27</f>
        <v>0</v>
      </c>
      <c r="I28" s="79">
        <f>ELEC!Q27</f>
        <v>3155.9999999990396</v>
      </c>
      <c r="J28" s="79">
        <f>ELEC!R27</f>
        <v>-61.999999999039574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9.7000000000000028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52" sqref="L5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>
        <v>2.1</v>
      </c>
      <c r="C20" s="603">
        <v>7</v>
      </c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-237.90000000000006</v>
      </c>
      <c r="AB14" s="261">
        <f>S43</f>
        <v>34.499999999999986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-683.50000000000011</v>
      </c>
      <c r="AB23" s="134">
        <f>SUM(AB10:AB22)</f>
        <v>89.599999999999966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20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24</v>
      </c>
      <c r="S32" s="261">
        <f>'General information '!C27</f>
        <v>20</v>
      </c>
      <c r="T32" s="261">
        <f t="shared" si="1"/>
        <v>3.6999999999999993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24</v>
      </c>
      <c r="S33" s="261">
        <f>'General information '!C28</f>
        <v>20</v>
      </c>
      <c r="T33" s="261">
        <f t="shared" si="1"/>
        <v>3.6999999999999993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-237.90000000000006</v>
      </c>
      <c r="S43" s="119">
        <f>SUMIF(T10:T37,"&gt;0")</f>
        <v>34.499999999999986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-4547.5000000000009</v>
      </c>
      <c r="O86" s="142">
        <f>C43+G43+K43+O43+S43+W43+C81+G81+K81+O81+S81+W81</f>
        <v>89.399999999999977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631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15090</v>
      </c>
      <c r="C8" s="466">
        <f>SUM(tanks!AU37)</f>
        <v>0.71833333333333338</v>
      </c>
      <c r="D8" s="191">
        <f>SUM(B8*C8)*D4</f>
        <v>16340772.375000002</v>
      </c>
      <c r="E8" s="192">
        <f>SUM(D8/D4/F4)</f>
        <v>349.66612903225808</v>
      </c>
      <c r="F8" s="192">
        <f>SUM(E8*F4)</f>
        <v>10839.650000000001</v>
      </c>
      <c r="G8" s="570">
        <f>E8*$G$4</f>
        <v>8391.9870967741936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2358</v>
      </c>
      <c r="C10" s="181"/>
      <c r="D10" s="183">
        <f>'EDl log'!AB30</f>
        <v>7489053</v>
      </c>
      <c r="E10" s="182">
        <f>SUM(D10/D4/F4)</f>
        <v>160.25363505055367</v>
      </c>
      <c r="F10" s="182">
        <f>SUM(E10*F4)</f>
        <v>4967.862686567164</v>
      </c>
      <c r="G10" s="478">
        <f>E10*$G$4</f>
        <v>3846.0872412132881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774.4358931150698</v>
      </c>
      <c r="F12" s="180">
        <f>SUM(F6:F10)</f>
        <v>24007.512686567166</v>
      </c>
      <c r="G12" s="179">
        <f>SUM(G6:G10)</f>
        <v>20438.074337987484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-59690.82566201251</v>
      </c>
      <c r="I14" s="406">
        <f>SUM(G12-I12)</f>
        <v>-30805.845382442625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34.333333333333336</v>
      </c>
      <c r="C16" s="415">
        <f>'[14]Utility Cost '!$D$16</f>
        <v>20.951612903225808</v>
      </c>
      <c r="D16" s="415"/>
      <c r="E16" s="576">
        <f>B16-C16</f>
        <v>13.381720430107528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168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-4.7388533048658701</v>
      </c>
      <c r="F18" s="495">
        <f>B18-D18</f>
        <v>-34.666666666666657</v>
      </c>
    </row>
    <row r="19" spans="1:10">
      <c r="A19" s="489" t="s">
        <v>412</v>
      </c>
      <c r="B19" s="493">
        <f>GEN!AL34</f>
        <v>16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10.5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2022-05-25T07:17:03Z</dcterms:modified>
</cp:coreProperties>
</file>