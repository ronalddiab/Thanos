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4" r:id="rId1"/>
    <sheet name="Electricity" sheetId="1" r:id="rId2"/>
    <sheet name="Water" sheetId="2" r:id="rId3"/>
    <sheet name="Gas" sheetId="3" r:id="rId4"/>
  </sheets>
  <externalReferences>
    <externalReference r:id="rId5"/>
  </externalReferences>
  <definedNames>
    <definedName name="_xlnm.Print_Area" localSheetId="1">Electricity!$B$1:$U$54</definedName>
    <definedName name="_xlnm.Print_Area" localSheetId="2">Water!$A$1:$H$37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2" i="4" l="1"/>
  <c r="O32" i="4" l="1"/>
  <c r="C7" i="1" l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6" i="1"/>
  <c r="C6" i="1"/>
  <c r="O31" i="4"/>
  <c r="O30" i="4"/>
  <c r="O29" i="4"/>
  <c r="G33" i="2" l="1"/>
  <c r="F33" i="2" s="1"/>
  <c r="E33" i="2"/>
  <c r="D33" i="2"/>
  <c r="D32" i="2"/>
  <c r="E32" i="2"/>
  <c r="G32" i="2"/>
  <c r="F32" i="2" s="1"/>
  <c r="D34" i="2"/>
  <c r="E34" i="2"/>
  <c r="G34" i="2"/>
  <c r="F34" i="2" s="1"/>
  <c r="D35" i="2"/>
  <c r="E35" i="2"/>
  <c r="G35" i="2"/>
  <c r="F35" i="2" s="1"/>
  <c r="L35" i="1"/>
  <c r="M35" i="1" s="1"/>
  <c r="K35" i="1"/>
  <c r="H35" i="1"/>
  <c r="J35" i="1" s="1"/>
  <c r="C33" i="2" l="1"/>
  <c r="C35" i="2"/>
  <c r="C32" i="2"/>
  <c r="C34" i="2"/>
  <c r="N35" i="1"/>
  <c r="O35" i="1" s="1"/>
  <c r="E31" i="4" l="1"/>
  <c r="F31" i="4"/>
  <c r="G31" i="4"/>
  <c r="I31" i="4"/>
  <c r="J31" i="4"/>
  <c r="L31" i="4"/>
  <c r="F32" i="4"/>
  <c r="G32" i="4"/>
  <c r="J32" i="4"/>
  <c r="B30" i="4"/>
  <c r="B31" i="4"/>
  <c r="B32" i="4"/>
  <c r="D30" i="2"/>
  <c r="E30" i="2"/>
  <c r="G30" i="2"/>
  <c r="F30" i="2" s="1"/>
  <c r="D31" i="2"/>
  <c r="E31" i="2"/>
  <c r="G31" i="2"/>
  <c r="F31" i="2" s="1"/>
  <c r="D28" i="2"/>
  <c r="E28" i="2"/>
  <c r="G28" i="2"/>
  <c r="F28" i="2" s="1"/>
  <c r="D29" i="2"/>
  <c r="E29" i="2"/>
  <c r="G29" i="2"/>
  <c r="F29" i="2" s="1"/>
  <c r="C30" i="2" l="1"/>
  <c r="C28" i="2"/>
  <c r="C31" i="2"/>
  <c r="C29" i="2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G24" i="2" l="1"/>
  <c r="G25" i="2"/>
  <c r="G26" i="2"/>
  <c r="F26" i="2" s="1"/>
  <c r="G27" i="2"/>
  <c r="F27" i="2" s="1"/>
  <c r="F24" i="2"/>
  <c r="F25" i="2"/>
  <c r="E24" i="2"/>
  <c r="E25" i="2"/>
  <c r="E26" i="2"/>
  <c r="E27" i="2"/>
  <c r="D26" i="2"/>
  <c r="D27" i="2"/>
  <c r="D24" i="2"/>
  <c r="D25" i="2"/>
  <c r="C26" i="2" l="1"/>
  <c r="C25" i="2"/>
  <c r="C27" i="2"/>
  <c r="C24" i="2"/>
  <c r="G23" i="2"/>
  <c r="F23" i="2" s="1"/>
  <c r="E23" i="2"/>
  <c r="D23" i="2"/>
  <c r="G22" i="2"/>
  <c r="F22" i="2" s="1"/>
  <c r="E22" i="2"/>
  <c r="D22" i="2"/>
  <c r="G21" i="2"/>
  <c r="F21" i="2" s="1"/>
  <c r="E21" i="2"/>
  <c r="D21" i="2"/>
  <c r="G20" i="2"/>
  <c r="F20" i="2" s="1"/>
  <c r="E20" i="2"/>
  <c r="D20" i="2"/>
  <c r="G19" i="2"/>
  <c r="F19" i="2" s="1"/>
  <c r="E19" i="2"/>
  <c r="D19" i="2"/>
  <c r="G18" i="2"/>
  <c r="F18" i="2" s="1"/>
  <c r="E18" i="2"/>
  <c r="D18" i="2"/>
  <c r="G17" i="2"/>
  <c r="F17" i="2" s="1"/>
  <c r="E17" i="2"/>
  <c r="D17" i="2"/>
  <c r="G16" i="2"/>
  <c r="F16" i="2" s="1"/>
  <c r="E16" i="2"/>
  <c r="D16" i="2"/>
  <c r="G15" i="2"/>
  <c r="F15" i="2" s="1"/>
  <c r="E15" i="2"/>
  <c r="D15" i="2"/>
  <c r="G14" i="2"/>
  <c r="F14" i="2" s="1"/>
  <c r="E14" i="2"/>
  <c r="D14" i="2"/>
  <c r="G13" i="2"/>
  <c r="F13" i="2" s="1"/>
  <c r="E13" i="2"/>
  <c r="D13" i="2"/>
  <c r="G12" i="2"/>
  <c r="F12" i="2" s="1"/>
  <c r="E12" i="2"/>
  <c r="D12" i="2"/>
  <c r="G11" i="2"/>
  <c r="F11" i="2"/>
  <c r="E11" i="2"/>
  <c r="D11" i="2"/>
  <c r="G10" i="2"/>
  <c r="F10" i="2" s="1"/>
  <c r="E10" i="2"/>
  <c r="D10" i="2"/>
  <c r="G9" i="2"/>
  <c r="F9" i="2" s="1"/>
  <c r="E9" i="2"/>
  <c r="D9" i="2"/>
  <c r="G8" i="2"/>
  <c r="F8" i="2" s="1"/>
  <c r="E8" i="2"/>
  <c r="D8" i="2"/>
  <c r="G7" i="2"/>
  <c r="F7" i="2" s="1"/>
  <c r="E7" i="2"/>
  <c r="D7" i="2"/>
  <c r="G6" i="2"/>
  <c r="F6" i="2" s="1"/>
  <c r="E6" i="2"/>
  <c r="D6" i="2"/>
  <c r="G5" i="2"/>
  <c r="F5" i="2" s="1"/>
  <c r="E5" i="2"/>
  <c r="D5" i="2"/>
  <c r="C22" i="2" l="1"/>
  <c r="C14" i="2"/>
  <c r="C15" i="2"/>
  <c r="C23" i="2"/>
  <c r="C8" i="2"/>
  <c r="C10" i="2"/>
  <c r="C13" i="2"/>
  <c r="C16" i="2"/>
  <c r="C18" i="2"/>
  <c r="C21" i="2"/>
  <c r="C7" i="2"/>
  <c r="C5" i="2"/>
  <c r="C11" i="2"/>
  <c r="C19" i="2"/>
  <c r="C6" i="2"/>
  <c r="C9" i="2"/>
  <c r="C12" i="2"/>
  <c r="C17" i="2"/>
  <c r="C20" i="2"/>
  <c r="D37" i="3"/>
  <c r="C37" i="3"/>
  <c r="G37" i="1" l="1"/>
  <c r="F30" i="4" l="1"/>
  <c r="G30" i="4"/>
  <c r="J30" i="4"/>
  <c r="K34" i="1"/>
  <c r="L34" i="1"/>
  <c r="K36" i="1"/>
  <c r="L36" i="1"/>
  <c r="H34" i="1"/>
  <c r="E30" i="4" s="1"/>
  <c r="H36" i="1"/>
  <c r="E32" i="4" s="1"/>
  <c r="L30" i="4"/>
  <c r="M34" i="1" l="1"/>
  <c r="N34" i="1" s="1"/>
  <c r="J34" i="1"/>
  <c r="J36" i="1"/>
  <c r="M36" i="1"/>
  <c r="N36" i="1" s="1"/>
  <c r="O36" i="1" s="1"/>
  <c r="I32" i="4" s="1"/>
  <c r="O34" i="1"/>
  <c r="I30" i="4" s="1"/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2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G37" i="2" l="1"/>
  <c r="F37" i="2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E37" i="3" l="1"/>
  <c r="F37" i="3"/>
  <c r="G37" i="3"/>
  <c r="H37" i="3"/>
  <c r="H38" i="3" s="1"/>
  <c r="L22" i="4"/>
  <c r="L23" i="4"/>
  <c r="L24" i="4"/>
  <c r="L25" i="4"/>
  <c r="L26" i="4"/>
  <c r="L27" i="4"/>
  <c r="L28" i="4"/>
  <c r="L29" i="4"/>
  <c r="E46" i="3"/>
  <c r="I37" i="1"/>
  <c r="F37" i="1"/>
  <c r="K9" i="1" l="1"/>
  <c r="K26" i="1"/>
  <c r="K18" i="1"/>
  <c r="K10" i="1"/>
  <c r="K7" i="1"/>
  <c r="K17" i="1"/>
  <c r="K16" i="1"/>
  <c r="K31" i="1"/>
  <c r="K22" i="1"/>
  <c r="K14" i="1"/>
  <c r="K32" i="1"/>
  <c r="K29" i="1"/>
  <c r="K21" i="1"/>
  <c r="K13" i="1"/>
  <c r="K25" i="1"/>
  <c r="K8" i="1"/>
  <c r="K23" i="1"/>
  <c r="K6" i="1"/>
  <c r="K20" i="1"/>
  <c r="K12" i="1"/>
  <c r="K33" i="1"/>
  <c r="K24" i="1"/>
  <c r="K15" i="1"/>
  <c r="K30" i="1"/>
  <c r="K28" i="1"/>
  <c r="K27" i="1"/>
  <c r="K19" i="1"/>
  <c r="K11" i="1"/>
  <c r="N45" i="1"/>
  <c r="O45" i="1" s="1"/>
  <c r="K37" i="1" l="1"/>
  <c r="H33" i="1"/>
  <c r="L33" i="1"/>
  <c r="H32" i="1"/>
  <c r="L32" i="1"/>
  <c r="H31" i="1"/>
  <c r="L31" i="1"/>
  <c r="H30" i="1"/>
  <c r="L30" i="1"/>
  <c r="H29" i="1"/>
  <c r="L29" i="1"/>
  <c r="H28" i="1"/>
  <c r="L28" i="1"/>
  <c r="H27" i="1"/>
  <c r="L27" i="1"/>
  <c r="H26" i="1"/>
  <c r="L26" i="1"/>
  <c r="H25" i="1"/>
  <c r="L25" i="1"/>
  <c r="H24" i="1"/>
  <c r="L24" i="1"/>
  <c r="H23" i="1"/>
  <c r="L23" i="1"/>
  <c r="H22" i="1"/>
  <c r="L22" i="1"/>
  <c r="H21" i="1"/>
  <c r="L21" i="1"/>
  <c r="H20" i="1"/>
  <c r="L20" i="1"/>
  <c r="H19" i="1"/>
  <c r="L19" i="1"/>
  <c r="H18" i="1"/>
  <c r="L18" i="1"/>
  <c r="H17" i="1"/>
  <c r="L17" i="1"/>
  <c r="H16" i="1"/>
  <c r="L16" i="1"/>
  <c r="H15" i="1"/>
  <c r="L15" i="1"/>
  <c r="H14" i="1"/>
  <c r="L14" i="1"/>
  <c r="H13" i="1"/>
  <c r="L13" i="1"/>
  <c r="H12" i="1"/>
  <c r="L12" i="1"/>
  <c r="H11" i="1"/>
  <c r="L11" i="1"/>
  <c r="H10" i="1"/>
  <c r="L10" i="1"/>
  <c r="H9" i="1"/>
  <c r="L9" i="1"/>
  <c r="H8" i="1"/>
  <c r="L8" i="1"/>
  <c r="H7" i="1"/>
  <c r="L7" i="1"/>
  <c r="H6" i="1"/>
  <c r="E2" i="4" s="1"/>
  <c r="P2" i="4" s="1"/>
  <c r="L6" i="1"/>
  <c r="L37" i="1" l="1"/>
  <c r="J10" i="1"/>
  <c r="E6" i="4"/>
  <c r="P6" i="4" s="1"/>
  <c r="J14" i="1"/>
  <c r="E10" i="4"/>
  <c r="P10" i="4" s="1"/>
  <c r="J18" i="1"/>
  <c r="E14" i="4"/>
  <c r="P14" i="4" s="1"/>
  <c r="J22" i="1"/>
  <c r="E18" i="4"/>
  <c r="J26" i="1"/>
  <c r="E22" i="4"/>
  <c r="P22" i="4" s="1"/>
  <c r="J30" i="1"/>
  <c r="E26" i="4"/>
  <c r="P26" i="4" s="1"/>
  <c r="P30" i="4"/>
  <c r="J7" i="1"/>
  <c r="E3" i="4"/>
  <c r="P3" i="4" s="1"/>
  <c r="J11" i="1"/>
  <c r="E7" i="4"/>
  <c r="P7" i="4" s="1"/>
  <c r="J15" i="1"/>
  <c r="E11" i="4"/>
  <c r="P11" i="4" s="1"/>
  <c r="J19" i="1"/>
  <c r="E15" i="4"/>
  <c r="P15" i="4" s="1"/>
  <c r="J23" i="1"/>
  <c r="E19" i="4"/>
  <c r="J27" i="1"/>
  <c r="E23" i="4"/>
  <c r="P23" i="4" s="1"/>
  <c r="J31" i="1"/>
  <c r="E27" i="4"/>
  <c r="P27" i="4" s="1"/>
  <c r="P32" i="4"/>
  <c r="J8" i="1"/>
  <c r="E4" i="4"/>
  <c r="P4" i="4" s="1"/>
  <c r="J20" i="1"/>
  <c r="E16" i="4"/>
  <c r="P16" i="4" s="1"/>
  <c r="J32" i="1"/>
  <c r="E28" i="4"/>
  <c r="P28" i="4" s="1"/>
  <c r="J16" i="1"/>
  <c r="E12" i="4"/>
  <c r="P12" i="4" s="1"/>
  <c r="J28" i="1"/>
  <c r="E24" i="4"/>
  <c r="P24" i="4" s="1"/>
  <c r="J12" i="1"/>
  <c r="E8" i="4"/>
  <c r="P8" i="4" s="1"/>
  <c r="J24" i="1"/>
  <c r="E20" i="4"/>
  <c r="J9" i="1"/>
  <c r="E5" i="4"/>
  <c r="P5" i="4" s="1"/>
  <c r="J13" i="1"/>
  <c r="E9" i="4"/>
  <c r="P9" i="4" s="1"/>
  <c r="J17" i="1"/>
  <c r="E13" i="4"/>
  <c r="P13" i="4" s="1"/>
  <c r="J21" i="1"/>
  <c r="E17" i="4"/>
  <c r="P17" i="4" s="1"/>
  <c r="J25" i="1"/>
  <c r="E21" i="4"/>
  <c r="J29" i="1"/>
  <c r="E25" i="4"/>
  <c r="P25" i="4" s="1"/>
  <c r="J33" i="1"/>
  <c r="E29" i="4"/>
  <c r="P29" i="4" s="1"/>
  <c r="J6" i="1"/>
  <c r="H37" i="1"/>
  <c r="M31" i="1"/>
  <c r="N31" i="1" s="1"/>
  <c r="O31" i="1" s="1"/>
  <c r="I27" i="4" s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3" i="1"/>
  <c r="N33" i="1" s="1"/>
  <c r="O33" i="1" s="1"/>
  <c r="I29" i="4" s="1"/>
  <c r="M32" i="1"/>
  <c r="N32" i="1" s="1"/>
  <c r="O32" i="1" s="1"/>
  <c r="I28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J37" i="1" l="1"/>
  <c r="N6" i="1"/>
  <c r="M37" i="1"/>
  <c r="E37" i="2"/>
  <c r="O40" i="1"/>
  <c r="O6" i="1" l="1"/>
  <c r="N37" i="1"/>
  <c r="L20" i="4"/>
  <c r="P20" i="4" s="1"/>
  <c r="L21" i="4"/>
  <c r="P21" i="4" s="1"/>
  <c r="L18" i="4"/>
  <c r="P18" i="4" s="1"/>
  <c r="L19" i="4"/>
  <c r="P19" i="4" s="1"/>
  <c r="D37" i="2"/>
  <c r="C37" i="2" s="1"/>
  <c r="O37" i="1" l="1"/>
  <c r="O41" i="1" s="1"/>
  <c r="O47" i="1" s="1"/>
  <c r="I2" i="4"/>
  <c r="G41" i="2"/>
  <c r="G47" i="2" s="1"/>
</calcChain>
</file>

<file path=xl/sharedStrings.xml><?xml version="1.0" encoding="utf-8"?>
<sst xmlns="http://schemas.openxmlformats.org/spreadsheetml/2006/main" count="150" uniqueCount="73">
  <si>
    <t>Date</t>
  </si>
  <si>
    <t>Total (Rp)</t>
  </si>
  <si>
    <t>Hotel</t>
  </si>
  <si>
    <t>Hotel usage for Heat Pump, Escalator &amp; Ballroom Lift</t>
  </si>
  <si>
    <t>Mixed used Hotel &amp; Office</t>
  </si>
  <si>
    <t>Mixed used Hotel area B3-B5</t>
  </si>
  <si>
    <t xml:space="preserve">Charge to GRU Estate </t>
  </si>
  <si>
    <t>Biaya perhitungan listrik parkir + listrik ruangan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</si>
  <si>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</si>
  <si>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</si>
  <si>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</si>
  <si>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</si>
  <si>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</si>
  <si>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</si>
  <si>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>MRA (Lala Restaurant)</t>
  </si>
  <si>
    <t xml:space="preserve">Total </t>
  </si>
  <si>
    <t>Food Court</t>
  </si>
  <si>
    <t xml:space="preserve"> </t>
  </si>
  <si>
    <t>Total Cost of Electric billing for the month of January 2020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</si>
  <si>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</si>
  <si>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</si>
  <si>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</si>
  <si>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</si>
  <si>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</si>
  <si>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</si>
  <si>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</si>
  <si>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</si>
  <si>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</si>
  <si>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</si>
  <si>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</si>
  <si>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</si>
  <si>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</si>
  <si>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</si>
  <si>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</si>
  <si>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</si>
  <si>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</si>
  <si>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</si>
  <si>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</si>
  <si>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</si>
  <si>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</si>
  <si>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</si>
  <si>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</si>
  <si>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</si>
  <si>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</si>
  <si>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</si>
  <si>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</si>
  <si>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</si>
  <si>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</si>
  <si>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</si>
  <si>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</si>
  <si>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</si>
  <si>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</si>
  <si>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Electricity Distribution 2021</t>
  </si>
  <si>
    <t>Utilities day cost dh</t>
  </si>
  <si>
    <t xml:space="preserve">Total Guests </t>
  </si>
  <si>
    <t xml:space="preserve">Room Nights </t>
  </si>
  <si>
    <t>Natural Gas $/m3</t>
  </si>
  <si>
    <t>Natual Gas (m3)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</si>
  <si>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</si>
  <si>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</si>
  <si>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</si>
  <si>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</si>
  <si>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</si>
  <si>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</si>
  <si>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</si>
  <si>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</si>
  <si>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>Electricity Tariff (Rupiah /Kwh)</t>
  </si>
  <si>
    <t xml:space="preserve">Peak hour  Kwh </t>
  </si>
  <si>
    <t xml:space="preserve">Low Peak Hour Kwh </t>
  </si>
  <si>
    <t>Electricity  Total  Tariff (Rupiah)</t>
  </si>
  <si>
    <t>Water Utility Supply (m3)  Rupiah/m3</t>
  </si>
  <si>
    <t xml:space="preserve">Water Utility Supply (m3) </t>
  </si>
  <si>
    <t>1035.78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</si>
</sst>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_(&quot;Rp&quot;* #,##0.00_);_(&quot;Rp&quot;* \(#,##0.00\);_(&quot;Rp&quot;* &quot;-&quot;??_);_(@_)"/>
    <numFmt numFmtId="166" formatCode="#.00"/>
    <numFmt numFmtId="167" formatCode="_(* #.##0_);_(* \(#.##0\);_(* &quot;-&quot;_);_(@_)"/>
    <numFmt numFmtId="168" formatCode="_(* #.##0.00_);_(* \(#.##0.00\);_(* &quot;-&quot;??_);_(@_)"/>
    <numFmt numFmtId="169" formatCode="0.00;[Red]0.00"/>
    <numFmt numFmtId="170" formatCode="[$Rp-421]#,##0"/>
    <numFmt numFmtId="171" formatCode="_(* #,##0_);_(* \(#,##0\);_(* &quot;-&quot;??_);_(@_)"/>
    <numFmt numFmtId="172" formatCode="0;[Red]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41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9" fillId="4" borderId="7" applyNumberFormat="0" applyAlignment="0" applyProtection="0"/>
    <xf numFmtId="0" fontId="9" fillId="0" borderId="0"/>
  </cellStyleXfs>
  <cellXfs count="183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164" fontId="5" fillId="2" borderId="0" xfId="2" applyNumberFormat="1" applyFill="1" applyAlignment="1">
      <alignment vertical="center"/>
    </xf>
    <xf numFmtId="0" fontId="5" fillId="2" borderId="0" xfId="3" applyFill="1" applyBorder="1" applyAlignment="1">
      <alignment vertical="center"/>
    </xf>
    <xf numFmtId="0" fontId="0" fillId="2" borderId="0" xfId="3" applyFont="1" applyFill="1" applyAlignment="1">
      <alignment horizontal="right" vertical="center"/>
    </xf>
    <xf numFmtId="164" fontId="5" fillId="2" borderId="0" xfId="3" applyNumberFormat="1" applyFill="1" applyAlignment="1">
      <alignment vertical="center"/>
    </xf>
    <xf numFmtId="164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0" fontId="6" fillId="2" borderId="0" xfId="3" applyFont="1" applyFill="1" applyAlignment="1">
      <alignment horizontal="center" vertical="center"/>
    </xf>
    <xf numFmtId="168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69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4" fontId="6" fillId="2" borderId="0" xfId="2" applyNumberFormat="1" applyFont="1" applyFill="1" applyAlignment="1">
      <alignment vertical="center"/>
    </xf>
    <xf numFmtId="167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4" fontId="10" fillId="2" borderId="0" xfId="2" applyNumberFormat="1" applyFont="1" applyFill="1" applyAlignment="1">
      <alignment vertical="center"/>
    </xf>
    <xf numFmtId="167" fontId="0" fillId="2" borderId="0" xfId="4" applyFont="1" applyFill="1" applyAlignment="1">
      <alignment vertical="center"/>
    </xf>
    <xf numFmtId="170" fontId="5" fillId="2" borderId="0" xfId="2" applyNumberFormat="1" applyFill="1" applyAlignment="1">
      <alignment vertical="center"/>
    </xf>
    <xf numFmtId="0" fontId="5" fillId="2" borderId="0" xfId="2" applyFill="1"/>
    <xf numFmtId="170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6" fillId="2" borderId="0" xfId="0" applyFont="1" applyFill="1" applyAlignment="1">
      <alignment horizontal="center"/>
    </xf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1" fontId="0" fillId="2" borderId="0" xfId="1" applyFont="1" applyFill="1"/>
    <xf numFmtId="0" fontId="13" fillId="2" borderId="0" xfId="0" applyFont="1" applyFill="1" applyAlignment="1"/>
    <xf numFmtId="0" fontId="13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2" fontId="6" fillId="2" borderId="0" xfId="0" applyNumberFormat="1" applyFont="1" applyFill="1"/>
    <xf numFmtId="0" fontId="7" fillId="2" borderId="0" xfId="0" applyFont="1" applyFill="1"/>
    <xf numFmtId="0" fontId="6" fillId="2" borderId="0" xfId="0" applyFont="1" applyFill="1"/>
    <xf numFmtId="41" fontId="6" fillId="2" borderId="0" xfId="1" applyFont="1" applyFill="1"/>
    <xf numFmtId="41" fontId="6" fillId="3" borderId="0" xfId="1" applyFont="1" applyFill="1"/>
    <xf numFmtId="0" fontId="6" fillId="2" borderId="0" xfId="2" applyFont="1" applyFill="1" applyAlignment="1">
      <alignment horizontal="right" vertical="center"/>
    </xf>
    <xf numFmtId="41" fontId="6" fillId="3" borderId="0" xfId="1" applyFont="1" applyFill="1" applyAlignment="1">
      <alignment vertical="center"/>
    </xf>
    <xf numFmtId="0" fontId="18" fillId="2" borderId="0" xfId="3" applyFont="1" applyFill="1" applyAlignment="1">
      <alignment vertical="center"/>
    </xf>
    <xf numFmtId="165" fontId="5" fillId="0" borderId="5" xfId="3" applyNumberFormat="1" applyBorder="1" applyAlignment="1">
      <alignment vertical="center"/>
    </xf>
    <xf numFmtId="164" fontId="5" fillId="0" borderId="5" xfId="3" applyNumberFormat="1" applyBorder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39" fontId="5" fillId="2" borderId="5" xfId="3" applyNumberFormat="1" applyFill="1" applyBorder="1" applyAlignment="1">
      <alignment horizontal="center" vertical="center"/>
    </xf>
    <xf numFmtId="0" fontId="10" fillId="6" borderId="4" xfId="2" applyFont="1" applyFill="1" applyBorder="1" applyAlignment="1">
      <alignment horizontal="center" vertical="center" wrapText="1"/>
    </xf>
    <xf numFmtId="0" fontId="21" fillId="2" borderId="14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1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5" fillId="2" borderId="20" xfId="2" applyFill="1" applyBorder="1" applyAlignment="1">
      <alignment vertical="center"/>
    </xf>
    <xf numFmtId="0" fontId="6" fillId="2" borderId="20" xfId="2" applyFont="1" applyFill="1" applyBorder="1" applyAlignment="1">
      <alignment horizontal="left" vertical="center"/>
    </xf>
    <xf numFmtId="0" fontId="5" fillId="2" borderId="21" xfId="2" applyFill="1" applyBorder="1" applyAlignment="1">
      <alignment vertical="center"/>
    </xf>
    <xf numFmtId="164" fontId="5" fillId="0" borderId="6" xfId="3" applyNumberFormat="1" applyBorder="1" applyAlignment="1">
      <alignment vertical="center"/>
    </xf>
    <xf numFmtId="39" fontId="19" fillId="4" borderId="7" xfId="9" applyNumberFormat="1" applyBorder="1" applyAlignment="1">
      <alignment horizontal="center" vertical="center"/>
    </xf>
    <xf numFmtId="0" fontId="6" fillId="2" borderId="20" xfId="2" applyFont="1" applyFill="1" applyBorder="1" applyAlignment="1">
      <alignment horizontal="center" vertical="center"/>
    </xf>
    <xf numFmtId="0" fontId="5" fillId="2" borderId="20" xfId="2" applyFill="1" applyBorder="1" applyAlignment="1">
      <alignment horizontal="center" vertical="center"/>
    </xf>
    <xf numFmtId="39" fontId="5" fillId="0" borderId="5" xfId="3" applyNumberForma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4" fillId="2" borderId="0" xfId="1" applyFont="1" applyFill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9" fontId="5" fillId="2" borderId="0" xfId="3" applyNumberFormat="1" applyFill="1" applyAlignment="1">
      <alignment horizontal="center" vertical="center"/>
    </xf>
    <xf numFmtId="167" fontId="0" fillId="2" borderId="0" xfId="4" applyFont="1" applyFill="1" applyAlignment="1">
      <alignment horizontal="center" vertical="center"/>
    </xf>
    <xf numFmtId="164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4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11" fillId="3" borderId="17" xfId="0" applyFont="1" applyFill="1" applyBorder="1" applyAlignment="1">
      <alignment horizontal="center"/>
    </xf>
    <xf numFmtId="41" fontId="0" fillId="3" borderId="0" xfId="1" applyFont="1" applyFill="1" applyAlignment="1">
      <alignment horizontal="center"/>
    </xf>
    <xf numFmtId="41" fontId="23" fillId="3" borderId="17" xfId="0" applyNumberFormat="1" applyFont="1" applyFill="1" applyBorder="1" applyAlignment="1">
      <alignment horizontal="center" vertical="center"/>
    </xf>
    <xf numFmtId="2" fontId="25" fillId="2" borderId="0" xfId="0" applyNumberFormat="1" applyFont="1" applyFill="1" applyAlignment="1">
      <alignment horizontal="center"/>
    </xf>
    <xf numFmtId="0" fontId="0" fillId="3" borderId="11" xfId="0" applyFill="1" applyBorder="1" applyAlignment="1">
      <alignment horizontal="center"/>
    </xf>
    <xf numFmtId="0" fontId="7" fillId="3" borderId="11" xfId="0" applyFont="1" applyFill="1" applyBorder="1" applyAlignment="1">
      <alignment horizontal="right"/>
    </xf>
    <xf numFmtId="0" fontId="24" fillId="3" borderId="11" xfId="0" applyFont="1" applyFill="1" applyBorder="1" applyAlignment="1">
      <alignment horizontal="center"/>
    </xf>
    <xf numFmtId="0" fontId="0" fillId="3" borderId="11" xfId="0" applyFill="1" applyBorder="1" applyAlignment="1">
      <alignment horizontal="right"/>
    </xf>
    <xf numFmtId="0" fontId="18" fillId="3" borderId="11" xfId="0" applyFont="1" applyFill="1" applyBorder="1" applyAlignment="1">
      <alignment horizontal="center"/>
    </xf>
    <xf numFmtId="0" fontId="20" fillId="2" borderId="0" xfId="0" applyFont="1" applyFill="1"/>
    <xf numFmtId="0" fontId="20" fillId="0" borderId="0" xfId="0" applyFont="1"/>
    <xf numFmtId="0" fontId="26" fillId="2" borderId="0" xfId="0" applyFont="1" applyFill="1"/>
    <xf numFmtId="0" fontId="26" fillId="0" borderId="0" xfId="0" applyFont="1"/>
    <xf numFmtId="0" fontId="22" fillId="3" borderId="5" xfId="0" applyFont="1" applyFill="1" applyBorder="1" applyAlignment="1">
      <alignment horizontal="center" vertical="center"/>
    </xf>
    <xf numFmtId="0" fontId="22" fillId="3" borderId="5" xfId="0" quotePrefix="1" applyFont="1" applyFill="1" applyBorder="1" applyAlignment="1">
      <alignment horizontal="center" vertical="center"/>
    </xf>
    <xf numFmtId="0" fontId="9" fillId="0" borderId="0" xfId="10"/>
    <xf numFmtId="1" fontId="9" fillId="0" borderId="0" xfId="10" applyNumberFormat="1" applyAlignment="1">
      <alignment horizontal="center"/>
    </xf>
    <xf numFmtId="0" fontId="9" fillId="0" borderId="0" xfId="10" applyAlignment="1">
      <alignment horizontal="center"/>
    </xf>
    <xf numFmtId="1" fontId="27" fillId="0" borderId="0" xfId="10" applyNumberFormat="1" applyFont="1" applyAlignment="1">
      <alignment horizontal="center"/>
    </xf>
    <xf numFmtId="0" fontId="27" fillId="0" borderId="0" xfId="10" applyFont="1" applyAlignment="1">
      <alignment horizontal="center"/>
    </xf>
    <xf numFmtId="2" fontId="9" fillId="0" borderId="0" xfId="10" applyNumberFormat="1" applyAlignment="1">
      <alignment horizontal="center"/>
    </xf>
    <xf numFmtId="0" fontId="28" fillId="0" borderId="0" xfId="10" applyFont="1" applyAlignment="1">
      <alignment horizontal="center"/>
    </xf>
    <xf numFmtId="2" fontId="9" fillId="0" borderId="0" xfId="10" applyNumberFormat="1"/>
    <xf numFmtId="0" fontId="6" fillId="0" borderId="0" xfId="10" applyFont="1"/>
    <xf numFmtId="0" fontId="6" fillId="0" borderId="0" xfId="10" applyFont="1" applyAlignment="1">
      <alignment wrapText="1"/>
    </xf>
    <xf numFmtId="1" fontId="6" fillId="0" borderId="25" xfId="10" applyNumberFormat="1" applyFont="1" applyBorder="1" applyAlignment="1">
      <alignment horizontal="center" wrapText="1"/>
    </xf>
    <xf numFmtId="0" fontId="6" fillId="0" borderId="25" xfId="10" applyFont="1" applyBorder="1" applyAlignment="1">
      <alignment horizontal="center" wrapText="1"/>
    </xf>
    <xf numFmtId="1" fontId="29" fillId="0" borderId="25" xfId="10" applyNumberFormat="1" applyFont="1" applyBorder="1" applyAlignment="1">
      <alignment horizontal="center"/>
    </xf>
    <xf numFmtId="0" fontId="29" fillId="0" borderId="25" xfId="10" applyFont="1" applyBorder="1" applyAlignment="1">
      <alignment horizontal="center"/>
    </xf>
    <xf numFmtId="0" fontId="6" fillId="0" borderId="25" xfId="10" applyFont="1" applyBorder="1" applyAlignment="1">
      <alignment horizont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0" borderId="28" xfId="2" applyFont="1" applyBorder="1" applyAlignment="1">
      <alignment horizontal="center" vertical="center"/>
    </xf>
    <xf numFmtId="0" fontId="7" fillId="7" borderId="28" xfId="2" applyFont="1" applyFill="1" applyBorder="1" applyAlignment="1">
      <alignment horizontal="center" vertical="center"/>
    </xf>
    <xf numFmtId="41" fontId="1" fillId="0" borderId="5" xfId="1" applyFont="1" applyBorder="1" applyAlignment="1">
      <alignment horizontal="center" vertical="center"/>
    </xf>
    <xf numFmtId="171" fontId="1" fillId="0" borderId="5" xfId="7" applyNumberFormat="1" applyFont="1" applyBorder="1" applyAlignment="1">
      <alignment horizontal="center" vertical="center"/>
    </xf>
    <xf numFmtId="1" fontId="9" fillId="0" borderId="5" xfId="10" applyNumberFormat="1" applyBorder="1" applyAlignment="1">
      <alignment horizontal="center"/>
    </xf>
    <xf numFmtId="2" fontId="0" fillId="2" borderId="5" xfId="0" applyNumberFormat="1" applyFont="1" applyFill="1" applyBorder="1" applyAlignment="1">
      <alignment horizontal="center"/>
    </xf>
    <xf numFmtId="2" fontId="30" fillId="2" borderId="5" xfId="0" applyNumberFormat="1" applyFont="1" applyFill="1" applyBorder="1" applyAlignment="1">
      <alignment horizontal="center" vertical="center" wrapText="1"/>
    </xf>
    <xf numFmtId="0" fontId="20" fillId="5" borderId="4" xfId="2" applyFont="1" applyFill="1" applyBorder="1" applyAlignment="1">
      <alignment horizontal="center" vertical="center" wrapText="1"/>
    </xf>
    <xf numFmtId="2" fontId="0" fillId="2" borderId="5" xfId="0" applyNumberFormat="1" applyFill="1" applyBorder="1" applyAlignment="1">
      <alignment horizontal="center"/>
    </xf>
    <xf numFmtId="41" fontId="0" fillId="0" borderId="0" xfId="1" applyFont="1" applyAlignment="1">
      <alignment horizontal="center"/>
    </xf>
    <xf numFmtId="172" fontId="6" fillId="0" borderId="25" xfId="10" applyNumberFormat="1" applyFont="1" applyBorder="1" applyAlignment="1">
      <alignment horizontal="center" wrapText="1"/>
    </xf>
    <xf numFmtId="172" fontId="9" fillId="0" borderId="0" xfId="10" applyNumberFormat="1" applyAlignment="1">
      <alignment horizontal="center"/>
    </xf>
    <xf numFmtId="0" fontId="0" fillId="2" borderId="5" xfId="0" applyFill="1" applyBorder="1" applyAlignment="1">
      <alignment horizontal="center"/>
    </xf>
    <xf numFmtId="2" fontId="0" fillId="2" borderId="5" xfId="0" applyNumberFormat="1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12" fillId="3" borderId="5" xfId="0" quotePrefix="1" applyFont="1" applyFill="1" applyBorder="1" applyAlignment="1">
      <alignment horizontal="center" vertical="center"/>
    </xf>
    <xf numFmtId="0" fontId="0" fillId="2" borderId="0" xfId="0" applyFont="1" applyFill="1"/>
    <xf numFmtId="0" fontId="0" fillId="0" borderId="0" xfId="0" applyFont="1"/>
    <xf numFmtId="16" fontId="31" fillId="2" borderId="5" xfId="0" applyNumberFormat="1" applyFont="1" applyFill="1" applyBorder="1" applyAlignment="1">
      <alignment horizontal="center" vertical="center"/>
    </xf>
    <xf numFmtId="1" fontId="31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0" fontId="0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" fontId="31" fillId="2" borderId="5" xfId="0" applyNumberFormat="1" applyFont="1" applyFill="1" applyBorder="1" applyAlignment="1">
      <alignment horizontal="center"/>
    </xf>
    <xf numFmtId="1" fontId="31" fillId="2" borderId="5" xfId="0" applyNumberFormat="1" applyFont="1" applyFill="1" applyBorder="1" applyAlignment="1">
      <alignment horizontal="center" vertical="center" wrapText="1"/>
    </xf>
    <xf numFmtId="1" fontId="9" fillId="0" borderId="5" xfId="10" applyNumberFormat="1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6" fillId="2" borderId="19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8" fillId="3" borderId="24" xfId="2" applyFont="1" applyFill="1" applyBorder="1" applyAlignment="1">
      <alignment horizontal="center" vertical="center" wrapText="1"/>
    </xf>
    <xf numFmtId="0" fontId="21" fillId="2" borderId="8" xfId="2" applyFont="1" applyFill="1" applyBorder="1" applyAlignment="1">
      <alignment horizontal="center" vertical="center" wrapText="1"/>
    </xf>
    <xf numFmtId="0" fontId="21" fillId="2" borderId="9" xfId="2" applyFont="1" applyFill="1" applyBorder="1" applyAlignment="1">
      <alignment horizontal="center" vertical="center" wrapText="1"/>
    </xf>
    <xf numFmtId="0" fontId="21" fillId="2" borderId="11" xfId="2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5" xfId="0" quotePrefix="1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8" xfId="0" quotePrefix="1" applyFont="1" applyFill="1" applyBorder="1" applyAlignment="1">
      <alignment horizontal="center" vertical="center"/>
    </xf>
    <xf numFmtId="0" fontId="22" fillId="3" borderId="11" xfId="0" quotePrefix="1" applyFont="1" applyFill="1" applyBorder="1" applyAlignment="1">
      <alignment horizontal="center" vertical="center"/>
    </xf>
    <xf numFmtId="0" fontId="22" fillId="3" borderId="9" xfId="0" quotePrefix="1" applyFont="1" applyFill="1" applyBorder="1" applyAlignment="1">
      <alignment horizontal="center" vertical="center"/>
    </xf>
    <xf numFmtId="0" fontId="22" fillId="3" borderId="8" xfId="0" quotePrefix="1" applyFont="1" applyFill="1" applyBorder="1" applyAlignment="1">
      <alignment horizontal="center" vertical="center" wrapText="1"/>
    </xf>
    <xf numFmtId="0" fontId="22" fillId="3" borderId="9" xfId="0" quotePrefix="1" applyFont="1" applyFill="1" applyBorder="1" applyAlignment="1">
      <alignment horizontal="center" vertical="center" wrapText="1"/>
    </xf>
  </cellXfs>
  <cellStyles count="11">
    <cellStyle name="Calculation" xfId="9" builtinId="22"/>
    <cellStyle name="Comma" xfId="7" builtinId="3"/>
    <cellStyle name="Comma [0]" xfId="1" builtinId="6"/>
    <cellStyle name="Comma [0] 2 4" xfId="5"/>
    <cellStyle name="Comma [0] 5" xfId="4"/>
    <cellStyle name="Normal" xfId="0" builtinId="0"/>
    <cellStyle name="Normal 2" xfId="6"/>
    <cellStyle name="Normal 2 4" xfId="3"/>
    <cellStyle name="Normal 4" xfId="10"/>
    <cellStyle name="Normal 5" xfId="2"/>
    <cellStyle name="Percent" xfId="8" builtinId="5"/>
  </cellStyles>
  <dxfs count="14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port\Utilities-Send%20to%20Finance%20&amp;%20JLL\finance\2021\water%20mete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ean water &amp; recycle water log"/>
      <sheetName val="Podium record MR"/>
      <sheetName val="Summ Podium MR"/>
      <sheetName val="Summary"/>
      <sheetName val="grafik water cons room"/>
      <sheetName val="summ data water2"/>
      <sheetName val="layout rev.00"/>
      <sheetName val="layout rev.01"/>
    </sheetNames>
    <sheetDataSet>
      <sheetData sheetId="0">
        <row r="173">
          <cell r="C173">
            <v>68</v>
          </cell>
          <cell r="E173">
            <v>74.099999999994907</v>
          </cell>
          <cell r="G173">
            <v>97</v>
          </cell>
        </row>
        <row r="174">
          <cell r="C174">
            <v>61</v>
          </cell>
          <cell r="E174">
            <v>88.200000000004366</v>
          </cell>
          <cell r="G174">
            <v>54</v>
          </cell>
        </row>
        <row r="175">
          <cell r="C175">
            <v>15</v>
          </cell>
          <cell r="E175">
            <v>86.299999999999272</v>
          </cell>
          <cell r="G175">
            <v>78</v>
          </cell>
        </row>
        <row r="176">
          <cell r="C176">
            <v>9</v>
          </cell>
          <cell r="E176">
            <v>108.39999999999782</v>
          </cell>
          <cell r="G176">
            <v>45</v>
          </cell>
        </row>
        <row r="177">
          <cell r="C177">
            <v>8</v>
          </cell>
          <cell r="E177">
            <v>108.40000000000509</v>
          </cell>
          <cell r="G177">
            <v>92</v>
          </cell>
        </row>
        <row r="178">
          <cell r="C178">
            <v>78</v>
          </cell>
          <cell r="E178">
            <v>100.89999999999418</v>
          </cell>
          <cell r="G178">
            <v>85</v>
          </cell>
        </row>
        <row r="179">
          <cell r="C179">
            <v>32</v>
          </cell>
          <cell r="E179">
            <v>98.200000000000728</v>
          </cell>
          <cell r="G179">
            <v>70</v>
          </cell>
        </row>
        <row r="180">
          <cell r="C180">
            <v>16</v>
          </cell>
          <cell r="E180">
            <v>123.09999999999854</v>
          </cell>
          <cell r="G180">
            <v>72</v>
          </cell>
        </row>
        <row r="181">
          <cell r="C181">
            <v>73</v>
          </cell>
          <cell r="E181">
            <v>121</v>
          </cell>
          <cell r="G181">
            <v>78</v>
          </cell>
        </row>
        <row r="182">
          <cell r="C182">
            <v>58</v>
          </cell>
          <cell r="E182">
            <v>127.50000000000364</v>
          </cell>
          <cell r="G182">
            <v>70</v>
          </cell>
        </row>
        <row r="183">
          <cell r="C183">
            <v>38</v>
          </cell>
          <cell r="E183">
            <v>126.39999999999782</v>
          </cell>
          <cell r="G183">
            <v>117</v>
          </cell>
        </row>
        <row r="184">
          <cell r="C184">
            <v>48</v>
          </cell>
          <cell r="E184">
            <v>90.899999999997817</v>
          </cell>
          <cell r="G184">
            <v>117</v>
          </cell>
        </row>
        <row r="185">
          <cell r="C185">
            <v>66</v>
          </cell>
          <cell r="E185">
            <v>88.200000000004366</v>
          </cell>
          <cell r="G185">
            <v>34</v>
          </cell>
        </row>
        <row r="186">
          <cell r="C186">
            <v>66.400000000001455</v>
          </cell>
          <cell r="E186">
            <v>92.600000000002183</v>
          </cell>
          <cell r="G186">
            <v>34</v>
          </cell>
        </row>
        <row r="187">
          <cell r="C187">
            <v>24.299999999995634</v>
          </cell>
          <cell r="E187">
            <v>100.59999999999854</v>
          </cell>
          <cell r="G187">
            <v>15</v>
          </cell>
        </row>
        <row r="188">
          <cell r="C188">
            <v>143.30000000000291</v>
          </cell>
          <cell r="E188">
            <v>101.79999999999927</v>
          </cell>
          <cell r="G188">
            <v>196</v>
          </cell>
        </row>
        <row r="189">
          <cell r="C189">
            <v>32</v>
          </cell>
          <cell r="E189">
            <v>136.19999999999709</v>
          </cell>
          <cell r="G189">
            <v>58.100000000005821</v>
          </cell>
        </row>
        <row r="190">
          <cell r="C190">
            <v>93.599999999998545</v>
          </cell>
          <cell r="E190">
            <v>91.5</v>
          </cell>
          <cell r="G190">
            <v>101</v>
          </cell>
        </row>
        <row r="191">
          <cell r="C191">
            <v>32.599999999998545</v>
          </cell>
          <cell r="E191">
            <v>96.400000000001455</v>
          </cell>
          <cell r="G191">
            <v>61.899999999994179</v>
          </cell>
        </row>
        <row r="192">
          <cell r="C192">
            <v>46.600000000005821</v>
          </cell>
          <cell r="E192">
            <v>102.09999999999854</v>
          </cell>
          <cell r="G192">
            <v>80</v>
          </cell>
        </row>
        <row r="193">
          <cell r="C193">
            <v>22.299999999995634</v>
          </cell>
          <cell r="E193">
            <v>88.000000000003638</v>
          </cell>
          <cell r="G193">
            <v>105.5</v>
          </cell>
        </row>
        <row r="194">
          <cell r="C194">
            <v>23.099999999998545</v>
          </cell>
          <cell r="E194">
            <v>103.89999999999782</v>
          </cell>
          <cell r="G194">
            <v>58.19999999999709</v>
          </cell>
        </row>
        <row r="195">
          <cell r="C195">
            <v>28.600000000005821</v>
          </cell>
          <cell r="E195">
            <v>113.70000000000437</v>
          </cell>
          <cell r="G195">
            <v>61.400000000008731</v>
          </cell>
        </row>
        <row r="196">
          <cell r="C196">
            <v>122.5</v>
          </cell>
          <cell r="E196">
            <v>108.19999999999709</v>
          </cell>
          <cell r="G196">
            <v>104.69999999999709</v>
          </cell>
        </row>
        <row r="197">
          <cell r="C197">
            <v>43.799999999995634</v>
          </cell>
          <cell r="E197">
            <v>84</v>
          </cell>
          <cell r="G197">
            <v>80.19999999999709</v>
          </cell>
        </row>
        <row r="198">
          <cell r="C198">
            <v>61.900000000001455</v>
          </cell>
          <cell r="E198">
            <v>83.899999999994179</v>
          </cell>
          <cell r="G198">
            <v>92.19999999999709</v>
          </cell>
        </row>
        <row r="199">
          <cell r="C199">
            <v>34.19999999999709</v>
          </cell>
          <cell r="E199">
            <v>151.50000000000728</v>
          </cell>
          <cell r="G199">
            <v>95.600000000005821</v>
          </cell>
        </row>
        <row r="200">
          <cell r="C200">
            <v>42.900000000001455</v>
          </cell>
          <cell r="E200">
            <v>142.59999999999491</v>
          </cell>
          <cell r="G200">
            <v>88.30000000000291</v>
          </cell>
        </row>
        <row r="201">
          <cell r="C201">
            <v>44.099999999998545</v>
          </cell>
          <cell r="E201">
            <v>93.700000000000728</v>
          </cell>
          <cell r="G201">
            <v>23.5</v>
          </cell>
        </row>
        <row r="202">
          <cell r="C202">
            <v>55.100000000005821</v>
          </cell>
          <cell r="E202">
            <v>90.69999999999709</v>
          </cell>
          <cell r="G202">
            <v>130</v>
          </cell>
        </row>
        <row r="203">
          <cell r="C203">
            <v>49.69999999999709</v>
          </cell>
          <cell r="E203">
            <v>95.900000000005093</v>
          </cell>
          <cell r="G203">
            <v>75.799999999988358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workbookViewId="0">
      <selection activeCell="H2" sqref="H2"/>
    </sheetView>
  </sheetViews>
  <sheetFormatPr defaultColWidth="11.5703125" defaultRowHeight="15" x14ac:dyDescent="0.25"/>
  <cols>
    <col min="1" max="1" width="12.42578125" style="116" customWidth="1"/>
    <col min="2" max="3" width="11.5703125" style="118"/>
    <col min="4" max="4" width="13.42578125" style="117" customWidth="1"/>
    <col min="5" max="7" width="12.5703125" style="115" customWidth="1"/>
    <col min="8" max="9" width="12.5703125" style="116" customWidth="1"/>
    <col min="10" max="10" width="11.5703125" style="116"/>
    <col min="11" max="11" width="11.5703125" style="142"/>
    <col min="12" max="13" width="11.5703125" style="116"/>
    <col min="14" max="15" width="11.5703125" style="115"/>
    <col min="16" max="16" width="0" style="114" hidden="1" customWidth="1"/>
    <col min="17" max="259" width="11.5703125" style="114"/>
    <col min="260" max="260" width="12.42578125" style="114" customWidth="1"/>
    <col min="261" max="262" width="11.5703125" style="114"/>
    <col min="263" max="263" width="13.42578125" style="114" customWidth="1"/>
    <col min="264" max="265" width="12.5703125" style="114" customWidth="1"/>
    <col min="266" max="271" width="11.5703125" style="114"/>
    <col min="272" max="272" width="0" style="114" hidden="1" customWidth="1"/>
    <col min="273" max="515" width="11.5703125" style="114"/>
    <col min="516" max="516" width="12.42578125" style="114" customWidth="1"/>
    <col min="517" max="518" width="11.5703125" style="114"/>
    <col min="519" max="519" width="13.42578125" style="114" customWidth="1"/>
    <col min="520" max="521" width="12.5703125" style="114" customWidth="1"/>
    <col min="522" max="527" width="11.5703125" style="114"/>
    <col min="528" max="528" width="0" style="114" hidden="1" customWidth="1"/>
    <col min="529" max="771" width="11.5703125" style="114"/>
    <col min="772" max="772" width="12.42578125" style="114" customWidth="1"/>
    <col min="773" max="774" width="11.5703125" style="114"/>
    <col min="775" max="775" width="13.42578125" style="114" customWidth="1"/>
    <col min="776" max="777" width="12.5703125" style="114" customWidth="1"/>
    <col min="778" max="783" width="11.5703125" style="114"/>
    <col min="784" max="784" width="0" style="114" hidden="1" customWidth="1"/>
    <col min="785" max="1027" width="11.5703125" style="114"/>
    <col min="1028" max="1028" width="12.42578125" style="114" customWidth="1"/>
    <col min="1029" max="1030" width="11.5703125" style="114"/>
    <col min="1031" max="1031" width="13.42578125" style="114" customWidth="1"/>
    <col min="1032" max="1033" width="12.5703125" style="114" customWidth="1"/>
    <col min="1034" max="1039" width="11.5703125" style="114"/>
    <col min="1040" max="1040" width="0" style="114" hidden="1" customWidth="1"/>
    <col min="1041" max="1283" width="11.5703125" style="114"/>
    <col min="1284" max="1284" width="12.42578125" style="114" customWidth="1"/>
    <col min="1285" max="1286" width="11.5703125" style="114"/>
    <col min="1287" max="1287" width="13.42578125" style="114" customWidth="1"/>
    <col min="1288" max="1289" width="12.5703125" style="114" customWidth="1"/>
    <col min="1290" max="1295" width="11.5703125" style="114"/>
    <col min="1296" max="1296" width="0" style="114" hidden="1" customWidth="1"/>
    <col min="1297" max="1539" width="11.5703125" style="114"/>
    <col min="1540" max="1540" width="12.42578125" style="114" customWidth="1"/>
    <col min="1541" max="1542" width="11.5703125" style="114"/>
    <col min="1543" max="1543" width="13.42578125" style="114" customWidth="1"/>
    <col min="1544" max="1545" width="12.5703125" style="114" customWidth="1"/>
    <col min="1546" max="1551" width="11.5703125" style="114"/>
    <col min="1552" max="1552" width="0" style="114" hidden="1" customWidth="1"/>
    <col min="1553" max="1795" width="11.5703125" style="114"/>
    <col min="1796" max="1796" width="12.42578125" style="114" customWidth="1"/>
    <col min="1797" max="1798" width="11.5703125" style="114"/>
    <col min="1799" max="1799" width="13.42578125" style="114" customWidth="1"/>
    <col min="1800" max="1801" width="12.5703125" style="114" customWidth="1"/>
    <col min="1802" max="1807" width="11.5703125" style="114"/>
    <col min="1808" max="1808" width="0" style="114" hidden="1" customWidth="1"/>
    <col min="1809" max="2051" width="11.5703125" style="114"/>
    <col min="2052" max="2052" width="12.42578125" style="114" customWidth="1"/>
    <col min="2053" max="2054" width="11.5703125" style="114"/>
    <col min="2055" max="2055" width="13.42578125" style="114" customWidth="1"/>
    <col min="2056" max="2057" width="12.5703125" style="114" customWidth="1"/>
    <col min="2058" max="2063" width="11.5703125" style="114"/>
    <col min="2064" max="2064" width="0" style="114" hidden="1" customWidth="1"/>
    <col min="2065" max="2307" width="11.5703125" style="114"/>
    <col min="2308" max="2308" width="12.42578125" style="114" customWidth="1"/>
    <col min="2309" max="2310" width="11.5703125" style="114"/>
    <col min="2311" max="2311" width="13.42578125" style="114" customWidth="1"/>
    <col min="2312" max="2313" width="12.5703125" style="114" customWidth="1"/>
    <col min="2314" max="2319" width="11.5703125" style="114"/>
    <col min="2320" max="2320" width="0" style="114" hidden="1" customWidth="1"/>
    <col min="2321" max="2563" width="11.5703125" style="114"/>
    <col min="2564" max="2564" width="12.42578125" style="114" customWidth="1"/>
    <col min="2565" max="2566" width="11.5703125" style="114"/>
    <col min="2567" max="2567" width="13.42578125" style="114" customWidth="1"/>
    <col min="2568" max="2569" width="12.5703125" style="114" customWidth="1"/>
    <col min="2570" max="2575" width="11.5703125" style="114"/>
    <col min="2576" max="2576" width="0" style="114" hidden="1" customWidth="1"/>
    <col min="2577" max="2819" width="11.5703125" style="114"/>
    <col min="2820" max="2820" width="12.42578125" style="114" customWidth="1"/>
    <col min="2821" max="2822" width="11.5703125" style="114"/>
    <col min="2823" max="2823" width="13.42578125" style="114" customWidth="1"/>
    <col min="2824" max="2825" width="12.5703125" style="114" customWidth="1"/>
    <col min="2826" max="2831" width="11.5703125" style="114"/>
    <col min="2832" max="2832" width="0" style="114" hidden="1" customWidth="1"/>
    <col min="2833" max="3075" width="11.5703125" style="114"/>
    <col min="3076" max="3076" width="12.42578125" style="114" customWidth="1"/>
    <col min="3077" max="3078" width="11.5703125" style="114"/>
    <col min="3079" max="3079" width="13.42578125" style="114" customWidth="1"/>
    <col min="3080" max="3081" width="12.5703125" style="114" customWidth="1"/>
    <col min="3082" max="3087" width="11.5703125" style="114"/>
    <col min="3088" max="3088" width="0" style="114" hidden="1" customWidth="1"/>
    <col min="3089" max="3331" width="11.5703125" style="114"/>
    <col min="3332" max="3332" width="12.42578125" style="114" customWidth="1"/>
    <col min="3333" max="3334" width="11.5703125" style="114"/>
    <col min="3335" max="3335" width="13.42578125" style="114" customWidth="1"/>
    <col min="3336" max="3337" width="12.5703125" style="114" customWidth="1"/>
    <col min="3338" max="3343" width="11.5703125" style="114"/>
    <col min="3344" max="3344" width="0" style="114" hidden="1" customWidth="1"/>
    <col min="3345" max="3587" width="11.5703125" style="114"/>
    <col min="3588" max="3588" width="12.42578125" style="114" customWidth="1"/>
    <col min="3589" max="3590" width="11.5703125" style="114"/>
    <col min="3591" max="3591" width="13.42578125" style="114" customWidth="1"/>
    <col min="3592" max="3593" width="12.5703125" style="114" customWidth="1"/>
    <col min="3594" max="3599" width="11.5703125" style="114"/>
    <col min="3600" max="3600" width="0" style="114" hidden="1" customWidth="1"/>
    <col min="3601" max="3843" width="11.5703125" style="114"/>
    <col min="3844" max="3844" width="12.42578125" style="114" customWidth="1"/>
    <col min="3845" max="3846" width="11.5703125" style="114"/>
    <col min="3847" max="3847" width="13.42578125" style="114" customWidth="1"/>
    <col min="3848" max="3849" width="12.5703125" style="114" customWidth="1"/>
    <col min="3850" max="3855" width="11.5703125" style="114"/>
    <col min="3856" max="3856" width="0" style="114" hidden="1" customWidth="1"/>
    <col min="3857" max="4099" width="11.5703125" style="114"/>
    <col min="4100" max="4100" width="12.42578125" style="114" customWidth="1"/>
    <col min="4101" max="4102" width="11.5703125" style="114"/>
    <col min="4103" max="4103" width="13.42578125" style="114" customWidth="1"/>
    <col min="4104" max="4105" width="12.5703125" style="114" customWidth="1"/>
    <col min="4106" max="4111" width="11.5703125" style="114"/>
    <col min="4112" max="4112" width="0" style="114" hidden="1" customWidth="1"/>
    <col min="4113" max="4355" width="11.5703125" style="114"/>
    <col min="4356" max="4356" width="12.42578125" style="114" customWidth="1"/>
    <col min="4357" max="4358" width="11.5703125" style="114"/>
    <col min="4359" max="4359" width="13.42578125" style="114" customWidth="1"/>
    <col min="4360" max="4361" width="12.5703125" style="114" customWidth="1"/>
    <col min="4362" max="4367" width="11.5703125" style="114"/>
    <col min="4368" max="4368" width="0" style="114" hidden="1" customWidth="1"/>
    <col min="4369" max="4611" width="11.5703125" style="114"/>
    <col min="4612" max="4612" width="12.42578125" style="114" customWidth="1"/>
    <col min="4613" max="4614" width="11.5703125" style="114"/>
    <col min="4615" max="4615" width="13.42578125" style="114" customWidth="1"/>
    <col min="4616" max="4617" width="12.5703125" style="114" customWidth="1"/>
    <col min="4618" max="4623" width="11.5703125" style="114"/>
    <col min="4624" max="4624" width="0" style="114" hidden="1" customWidth="1"/>
    <col min="4625" max="4867" width="11.5703125" style="114"/>
    <col min="4868" max="4868" width="12.42578125" style="114" customWidth="1"/>
    <col min="4869" max="4870" width="11.5703125" style="114"/>
    <col min="4871" max="4871" width="13.42578125" style="114" customWidth="1"/>
    <col min="4872" max="4873" width="12.5703125" style="114" customWidth="1"/>
    <col min="4874" max="4879" width="11.5703125" style="114"/>
    <col min="4880" max="4880" width="0" style="114" hidden="1" customWidth="1"/>
    <col min="4881" max="5123" width="11.5703125" style="114"/>
    <col min="5124" max="5124" width="12.42578125" style="114" customWidth="1"/>
    <col min="5125" max="5126" width="11.5703125" style="114"/>
    <col min="5127" max="5127" width="13.42578125" style="114" customWidth="1"/>
    <col min="5128" max="5129" width="12.5703125" style="114" customWidth="1"/>
    <col min="5130" max="5135" width="11.5703125" style="114"/>
    <col min="5136" max="5136" width="0" style="114" hidden="1" customWidth="1"/>
    <col min="5137" max="5379" width="11.5703125" style="114"/>
    <col min="5380" max="5380" width="12.42578125" style="114" customWidth="1"/>
    <col min="5381" max="5382" width="11.5703125" style="114"/>
    <col min="5383" max="5383" width="13.42578125" style="114" customWidth="1"/>
    <col min="5384" max="5385" width="12.5703125" style="114" customWidth="1"/>
    <col min="5386" max="5391" width="11.5703125" style="114"/>
    <col min="5392" max="5392" width="0" style="114" hidden="1" customWidth="1"/>
    <col min="5393" max="5635" width="11.5703125" style="114"/>
    <col min="5636" max="5636" width="12.42578125" style="114" customWidth="1"/>
    <col min="5637" max="5638" width="11.5703125" style="114"/>
    <col min="5639" max="5639" width="13.42578125" style="114" customWidth="1"/>
    <col min="5640" max="5641" width="12.5703125" style="114" customWidth="1"/>
    <col min="5642" max="5647" width="11.5703125" style="114"/>
    <col min="5648" max="5648" width="0" style="114" hidden="1" customWidth="1"/>
    <col min="5649" max="5891" width="11.5703125" style="114"/>
    <col min="5892" max="5892" width="12.42578125" style="114" customWidth="1"/>
    <col min="5893" max="5894" width="11.5703125" style="114"/>
    <col min="5895" max="5895" width="13.42578125" style="114" customWidth="1"/>
    <col min="5896" max="5897" width="12.5703125" style="114" customWidth="1"/>
    <col min="5898" max="5903" width="11.5703125" style="114"/>
    <col min="5904" max="5904" width="0" style="114" hidden="1" customWidth="1"/>
    <col min="5905" max="6147" width="11.5703125" style="114"/>
    <col min="6148" max="6148" width="12.42578125" style="114" customWidth="1"/>
    <col min="6149" max="6150" width="11.5703125" style="114"/>
    <col min="6151" max="6151" width="13.42578125" style="114" customWidth="1"/>
    <col min="6152" max="6153" width="12.5703125" style="114" customWidth="1"/>
    <col min="6154" max="6159" width="11.5703125" style="114"/>
    <col min="6160" max="6160" width="0" style="114" hidden="1" customWidth="1"/>
    <col min="6161" max="6403" width="11.5703125" style="114"/>
    <col min="6404" max="6404" width="12.42578125" style="114" customWidth="1"/>
    <col min="6405" max="6406" width="11.5703125" style="114"/>
    <col min="6407" max="6407" width="13.42578125" style="114" customWidth="1"/>
    <col min="6408" max="6409" width="12.5703125" style="114" customWidth="1"/>
    <col min="6410" max="6415" width="11.5703125" style="114"/>
    <col min="6416" max="6416" width="0" style="114" hidden="1" customWidth="1"/>
    <col min="6417" max="6659" width="11.5703125" style="114"/>
    <col min="6660" max="6660" width="12.42578125" style="114" customWidth="1"/>
    <col min="6661" max="6662" width="11.5703125" style="114"/>
    <col min="6663" max="6663" width="13.42578125" style="114" customWidth="1"/>
    <col min="6664" max="6665" width="12.5703125" style="114" customWidth="1"/>
    <col min="6666" max="6671" width="11.5703125" style="114"/>
    <col min="6672" max="6672" width="0" style="114" hidden="1" customWidth="1"/>
    <col min="6673" max="6915" width="11.5703125" style="114"/>
    <col min="6916" max="6916" width="12.42578125" style="114" customWidth="1"/>
    <col min="6917" max="6918" width="11.5703125" style="114"/>
    <col min="6919" max="6919" width="13.42578125" style="114" customWidth="1"/>
    <col min="6920" max="6921" width="12.5703125" style="114" customWidth="1"/>
    <col min="6922" max="6927" width="11.5703125" style="114"/>
    <col min="6928" max="6928" width="0" style="114" hidden="1" customWidth="1"/>
    <col min="6929" max="7171" width="11.5703125" style="114"/>
    <col min="7172" max="7172" width="12.42578125" style="114" customWidth="1"/>
    <col min="7173" max="7174" width="11.5703125" style="114"/>
    <col min="7175" max="7175" width="13.42578125" style="114" customWidth="1"/>
    <col min="7176" max="7177" width="12.5703125" style="114" customWidth="1"/>
    <col min="7178" max="7183" width="11.5703125" style="114"/>
    <col min="7184" max="7184" width="0" style="114" hidden="1" customWidth="1"/>
    <col min="7185" max="7427" width="11.5703125" style="114"/>
    <col min="7428" max="7428" width="12.42578125" style="114" customWidth="1"/>
    <col min="7429" max="7430" width="11.5703125" style="114"/>
    <col min="7431" max="7431" width="13.42578125" style="114" customWidth="1"/>
    <col min="7432" max="7433" width="12.5703125" style="114" customWidth="1"/>
    <col min="7434" max="7439" width="11.5703125" style="114"/>
    <col min="7440" max="7440" width="0" style="114" hidden="1" customWidth="1"/>
    <col min="7441" max="7683" width="11.5703125" style="114"/>
    <col min="7684" max="7684" width="12.42578125" style="114" customWidth="1"/>
    <col min="7685" max="7686" width="11.5703125" style="114"/>
    <col min="7687" max="7687" width="13.42578125" style="114" customWidth="1"/>
    <col min="7688" max="7689" width="12.5703125" style="114" customWidth="1"/>
    <col min="7690" max="7695" width="11.5703125" style="114"/>
    <col min="7696" max="7696" width="0" style="114" hidden="1" customWidth="1"/>
    <col min="7697" max="7939" width="11.5703125" style="114"/>
    <col min="7940" max="7940" width="12.42578125" style="114" customWidth="1"/>
    <col min="7941" max="7942" width="11.5703125" style="114"/>
    <col min="7943" max="7943" width="13.42578125" style="114" customWidth="1"/>
    <col min="7944" max="7945" width="12.5703125" style="114" customWidth="1"/>
    <col min="7946" max="7951" width="11.5703125" style="114"/>
    <col min="7952" max="7952" width="0" style="114" hidden="1" customWidth="1"/>
    <col min="7953" max="8195" width="11.5703125" style="114"/>
    <col min="8196" max="8196" width="12.42578125" style="114" customWidth="1"/>
    <col min="8197" max="8198" width="11.5703125" style="114"/>
    <col min="8199" max="8199" width="13.42578125" style="114" customWidth="1"/>
    <col min="8200" max="8201" width="12.5703125" style="114" customWidth="1"/>
    <col min="8202" max="8207" width="11.5703125" style="114"/>
    <col min="8208" max="8208" width="0" style="114" hidden="1" customWidth="1"/>
    <col min="8209" max="8451" width="11.5703125" style="114"/>
    <col min="8452" max="8452" width="12.42578125" style="114" customWidth="1"/>
    <col min="8453" max="8454" width="11.5703125" style="114"/>
    <col min="8455" max="8455" width="13.42578125" style="114" customWidth="1"/>
    <col min="8456" max="8457" width="12.5703125" style="114" customWidth="1"/>
    <col min="8458" max="8463" width="11.5703125" style="114"/>
    <col min="8464" max="8464" width="0" style="114" hidden="1" customWidth="1"/>
    <col min="8465" max="8707" width="11.5703125" style="114"/>
    <col min="8708" max="8708" width="12.42578125" style="114" customWidth="1"/>
    <col min="8709" max="8710" width="11.5703125" style="114"/>
    <col min="8711" max="8711" width="13.42578125" style="114" customWidth="1"/>
    <col min="8712" max="8713" width="12.5703125" style="114" customWidth="1"/>
    <col min="8714" max="8719" width="11.5703125" style="114"/>
    <col min="8720" max="8720" width="0" style="114" hidden="1" customWidth="1"/>
    <col min="8721" max="8963" width="11.5703125" style="114"/>
    <col min="8964" max="8964" width="12.42578125" style="114" customWidth="1"/>
    <col min="8965" max="8966" width="11.5703125" style="114"/>
    <col min="8967" max="8967" width="13.42578125" style="114" customWidth="1"/>
    <col min="8968" max="8969" width="12.5703125" style="114" customWidth="1"/>
    <col min="8970" max="8975" width="11.5703125" style="114"/>
    <col min="8976" max="8976" width="0" style="114" hidden="1" customWidth="1"/>
    <col min="8977" max="9219" width="11.5703125" style="114"/>
    <col min="9220" max="9220" width="12.42578125" style="114" customWidth="1"/>
    <col min="9221" max="9222" width="11.5703125" style="114"/>
    <col min="9223" max="9223" width="13.42578125" style="114" customWidth="1"/>
    <col min="9224" max="9225" width="12.5703125" style="114" customWidth="1"/>
    <col min="9226" max="9231" width="11.5703125" style="114"/>
    <col min="9232" max="9232" width="0" style="114" hidden="1" customWidth="1"/>
    <col min="9233" max="9475" width="11.5703125" style="114"/>
    <col min="9476" max="9476" width="12.42578125" style="114" customWidth="1"/>
    <col min="9477" max="9478" width="11.5703125" style="114"/>
    <col min="9479" max="9479" width="13.42578125" style="114" customWidth="1"/>
    <col min="9480" max="9481" width="12.5703125" style="114" customWidth="1"/>
    <col min="9482" max="9487" width="11.5703125" style="114"/>
    <col min="9488" max="9488" width="0" style="114" hidden="1" customWidth="1"/>
    <col min="9489" max="9731" width="11.5703125" style="114"/>
    <col min="9732" max="9732" width="12.42578125" style="114" customWidth="1"/>
    <col min="9733" max="9734" width="11.5703125" style="114"/>
    <col min="9735" max="9735" width="13.42578125" style="114" customWidth="1"/>
    <col min="9736" max="9737" width="12.5703125" style="114" customWidth="1"/>
    <col min="9738" max="9743" width="11.5703125" style="114"/>
    <col min="9744" max="9744" width="0" style="114" hidden="1" customWidth="1"/>
    <col min="9745" max="9987" width="11.5703125" style="114"/>
    <col min="9988" max="9988" width="12.42578125" style="114" customWidth="1"/>
    <col min="9989" max="9990" width="11.5703125" style="114"/>
    <col min="9991" max="9991" width="13.42578125" style="114" customWidth="1"/>
    <col min="9992" max="9993" width="12.5703125" style="114" customWidth="1"/>
    <col min="9994" max="9999" width="11.5703125" style="114"/>
    <col min="10000" max="10000" width="0" style="114" hidden="1" customWidth="1"/>
    <col min="10001" max="10243" width="11.5703125" style="114"/>
    <col min="10244" max="10244" width="12.42578125" style="114" customWidth="1"/>
    <col min="10245" max="10246" width="11.5703125" style="114"/>
    <col min="10247" max="10247" width="13.42578125" style="114" customWidth="1"/>
    <col min="10248" max="10249" width="12.5703125" style="114" customWidth="1"/>
    <col min="10250" max="10255" width="11.5703125" style="114"/>
    <col min="10256" max="10256" width="0" style="114" hidden="1" customWidth="1"/>
    <col min="10257" max="10499" width="11.5703125" style="114"/>
    <col min="10500" max="10500" width="12.42578125" style="114" customWidth="1"/>
    <col min="10501" max="10502" width="11.5703125" style="114"/>
    <col min="10503" max="10503" width="13.42578125" style="114" customWidth="1"/>
    <col min="10504" max="10505" width="12.5703125" style="114" customWidth="1"/>
    <col min="10506" max="10511" width="11.5703125" style="114"/>
    <col min="10512" max="10512" width="0" style="114" hidden="1" customWidth="1"/>
    <col min="10513" max="10755" width="11.5703125" style="114"/>
    <col min="10756" max="10756" width="12.42578125" style="114" customWidth="1"/>
    <col min="10757" max="10758" width="11.5703125" style="114"/>
    <col min="10759" max="10759" width="13.42578125" style="114" customWidth="1"/>
    <col min="10760" max="10761" width="12.5703125" style="114" customWidth="1"/>
    <col min="10762" max="10767" width="11.5703125" style="114"/>
    <col min="10768" max="10768" width="0" style="114" hidden="1" customWidth="1"/>
    <col min="10769" max="11011" width="11.5703125" style="114"/>
    <col min="11012" max="11012" width="12.42578125" style="114" customWidth="1"/>
    <col min="11013" max="11014" width="11.5703125" style="114"/>
    <col min="11015" max="11015" width="13.42578125" style="114" customWidth="1"/>
    <col min="11016" max="11017" width="12.5703125" style="114" customWidth="1"/>
    <col min="11018" max="11023" width="11.5703125" style="114"/>
    <col min="11024" max="11024" width="0" style="114" hidden="1" customWidth="1"/>
    <col min="11025" max="11267" width="11.5703125" style="114"/>
    <col min="11268" max="11268" width="12.42578125" style="114" customWidth="1"/>
    <col min="11269" max="11270" width="11.5703125" style="114"/>
    <col min="11271" max="11271" width="13.42578125" style="114" customWidth="1"/>
    <col min="11272" max="11273" width="12.5703125" style="114" customWidth="1"/>
    <col min="11274" max="11279" width="11.5703125" style="114"/>
    <col min="11280" max="11280" width="0" style="114" hidden="1" customWidth="1"/>
    <col min="11281" max="11523" width="11.5703125" style="114"/>
    <col min="11524" max="11524" width="12.42578125" style="114" customWidth="1"/>
    <col min="11525" max="11526" width="11.5703125" style="114"/>
    <col min="11527" max="11527" width="13.42578125" style="114" customWidth="1"/>
    <col min="11528" max="11529" width="12.5703125" style="114" customWidth="1"/>
    <col min="11530" max="11535" width="11.5703125" style="114"/>
    <col min="11536" max="11536" width="0" style="114" hidden="1" customWidth="1"/>
    <col min="11537" max="11779" width="11.5703125" style="114"/>
    <col min="11780" max="11780" width="12.42578125" style="114" customWidth="1"/>
    <col min="11781" max="11782" width="11.5703125" style="114"/>
    <col min="11783" max="11783" width="13.42578125" style="114" customWidth="1"/>
    <col min="11784" max="11785" width="12.5703125" style="114" customWidth="1"/>
    <col min="11786" max="11791" width="11.5703125" style="114"/>
    <col min="11792" max="11792" width="0" style="114" hidden="1" customWidth="1"/>
    <col min="11793" max="12035" width="11.5703125" style="114"/>
    <col min="12036" max="12036" width="12.42578125" style="114" customWidth="1"/>
    <col min="12037" max="12038" width="11.5703125" style="114"/>
    <col min="12039" max="12039" width="13.42578125" style="114" customWidth="1"/>
    <col min="12040" max="12041" width="12.5703125" style="114" customWidth="1"/>
    <col min="12042" max="12047" width="11.5703125" style="114"/>
    <col min="12048" max="12048" width="0" style="114" hidden="1" customWidth="1"/>
    <col min="12049" max="12291" width="11.5703125" style="114"/>
    <col min="12292" max="12292" width="12.42578125" style="114" customWidth="1"/>
    <col min="12293" max="12294" width="11.5703125" style="114"/>
    <col min="12295" max="12295" width="13.42578125" style="114" customWidth="1"/>
    <col min="12296" max="12297" width="12.5703125" style="114" customWidth="1"/>
    <col min="12298" max="12303" width="11.5703125" style="114"/>
    <col min="12304" max="12304" width="0" style="114" hidden="1" customWidth="1"/>
    <col min="12305" max="12547" width="11.5703125" style="114"/>
    <col min="12548" max="12548" width="12.42578125" style="114" customWidth="1"/>
    <col min="12549" max="12550" width="11.5703125" style="114"/>
    <col min="12551" max="12551" width="13.42578125" style="114" customWidth="1"/>
    <col min="12552" max="12553" width="12.5703125" style="114" customWidth="1"/>
    <col min="12554" max="12559" width="11.5703125" style="114"/>
    <col min="12560" max="12560" width="0" style="114" hidden="1" customWidth="1"/>
    <col min="12561" max="12803" width="11.5703125" style="114"/>
    <col min="12804" max="12804" width="12.42578125" style="114" customWidth="1"/>
    <col min="12805" max="12806" width="11.5703125" style="114"/>
    <col min="12807" max="12807" width="13.42578125" style="114" customWidth="1"/>
    <col min="12808" max="12809" width="12.5703125" style="114" customWidth="1"/>
    <col min="12810" max="12815" width="11.5703125" style="114"/>
    <col min="12816" max="12816" width="0" style="114" hidden="1" customWidth="1"/>
    <col min="12817" max="13059" width="11.5703125" style="114"/>
    <col min="13060" max="13060" width="12.42578125" style="114" customWidth="1"/>
    <col min="13061" max="13062" width="11.5703125" style="114"/>
    <col min="13063" max="13063" width="13.42578125" style="114" customWidth="1"/>
    <col min="13064" max="13065" width="12.5703125" style="114" customWidth="1"/>
    <col min="13066" max="13071" width="11.5703125" style="114"/>
    <col min="13072" max="13072" width="0" style="114" hidden="1" customWidth="1"/>
    <col min="13073" max="13315" width="11.5703125" style="114"/>
    <col min="13316" max="13316" width="12.42578125" style="114" customWidth="1"/>
    <col min="13317" max="13318" width="11.5703125" style="114"/>
    <col min="13319" max="13319" width="13.42578125" style="114" customWidth="1"/>
    <col min="13320" max="13321" width="12.5703125" style="114" customWidth="1"/>
    <col min="13322" max="13327" width="11.5703125" style="114"/>
    <col min="13328" max="13328" width="0" style="114" hidden="1" customWidth="1"/>
    <col min="13329" max="13571" width="11.5703125" style="114"/>
    <col min="13572" max="13572" width="12.42578125" style="114" customWidth="1"/>
    <col min="13573" max="13574" width="11.5703125" style="114"/>
    <col min="13575" max="13575" width="13.42578125" style="114" customWidth="1"/>
    <col min="13576" max="13577" width="12.5703125" style="114" customWidth="1"/>
    <col min="13578" max="13583" width="11.5703125" style="114"/>
    <col min="13584" max="13584" width="0" style="114" hidden="1" customWidth="1"/>
    <col min="13585" max="13827" width="11.5703125" style="114"/>
    <col min="13828" max="13828" width="12.42578125" style="114" customWidth="1"/>
    <col min="13829" max="13830" width="11.5703125" style="114"/>
    <col min="13831" max="13831" width="13.42578125" style="114" customWidth="1"/>
    <col min="13832" max="13833" width="12.5703125" style="114" customWidth="1"/>
    <col min="13834" max="13839" width="11.5703125" style="114"/>
    <col min="13840" max="13840" width="0" style="114" hidden="1" customWidth="1"/>
    <col min="13841" max="14083" width="11.5703125" style="114"/>
    <col min="14084" max="14084" width="12.42578125" style="114" customWidth="1"/>
    <col min="14085" max="14086" width="11.5703125" style="114"/>
    <col min="14087" max="14087" width="13.42578125" style="114" customWidth="1"/>
    <col min="14088" max="14089" width="12.5703125" style="114" customWidth="1"/>
    <col min="14090" max="14095" width="11.5703125" style="114"/>
    <col min="14096" max="14096" width="0" style="114" hidden="1" customWidth="1"/>
    <col min="14097" max="14339" width="11.5703125" style="114"/>
    <col min="14340" max="14340" width="12.42578125" style="114" customWidth="1"/>
    <col min="14341" max="14342" width="11.5703125" style="114"/>
    <col min="14343" max="14343" width="13.42578125" style="114" customWidth="1"/>
    <col min="14344" max="14345" width="12.5703125" style="114" customWidth="1"/>
    <col min="14346" max="14351" width="11.5703125" style="114"/>
    <col min="14352" max="14352" width="0" style="114" hidden="1" customWidth="1"/>
    <col min="14353" max="14595" width="11.5703125" style="114"/>
    <col min="14596" max="14596" width="12.42578125" style="114" customWidth="1"/>
    <col min="14597" max="14598" width="11.5703125" style="114"/>
    <col min="14599" max="14599" width="13.42578125" style="114" customWidth="1"/>
    <col min="14600" max="14601" width="12.5703125" style="114" customWidth="1"/>
    <col min="14602" max="14607" width="11.5703125" style="114"/>
    <col min="14608" max="14608" width="0" style="114" hidden="1" customWidth="1"/>
    <col min="14609" max="14851" width="11.5703125" style="114"/>
    <col min="14852" max="14852" width="12.42578125" style="114" customWidth="1"/>
    <col min="14853" max="14854" width="11.5703125" style="114"/>
    <col min="14855" max="14855" width="13.42578125" style="114" customWidth="1"/>
    <col min="14856" max="14857" width="12.5703125" style="114" customWidth="1"/>
    <col min="14858" max="14863" width="11.5703125" style="114"/>
    <col min="14864" max="14864" width="0" style="114" hidden="1" customWidth="1"/>
    <col min="14865" max="15107" width="11.5703125" style="114"/>
    <col min="15108" max="15108" width="12.42578125" style="114" customWidth="1"/>
    <col min="15109" max="15110" width="11.5703125" style="114"/>
    <col min="15111" max="15111" width="13.42578125" style="114" customWidth="1"/>
    <col min="15112" max="15113" width="12.5703125" style="114" customWidth="1"/>
    <col min="15114" max="15119" width="11.5703125" style="114"/>
    <col min="15120" max="15120" width="0" style="114" hidden="1" customWidth="1"/>
    <col min="15121" max="15363" width="11.5703125" style="114"/>
    <col min="15364" max="15364" width="12.42578125" style="114" customWidth="1"/>
    <col min="15365" max="15366" width="11.5703125" style="114"/>
    <col min="15367" max="15367" width="13.42578125" style="114" customWidth="1"/>
    <col min="15368" max="15369" width="12.5703125" style="114" customWidth="1"/>
    <col min="15370" max="15375" width="11.5703125" style="114"/>
    <col min="15376" max="15376" width="0" style="114" hidden="1" customWidth="1"/>
    <col min="15377" max="15619" width="11.5703125" style="114"/>
    <col min="15620" max="15620" width="12.42578125" style="114" customWidth="1"/>
    <col min="15621" max="15622" width="11.5703125" style="114"/>
    <col min="15623" max="15623" width="13.42578125" style="114" customWidth="1"/>
    <col min="15624" max="15625" width="12.5703125" style="114" customWidth="1"/>
    <col min="15626" max="15631" width="11.5703125" style="114"/>
    <col min="15632" max="15632" width="0" style="114" hidden="1" customWidth="1"/>
    <col min="15633" max="15875" width="11.5703125" style="114"/>
    <col min="15876" max="15876" width="12.42578125" style="114" customWidth="1"/>
    <col min="15877" max="15878" width="11.5703125" style="114"/>
    <col min="15879" max="15879" width="13.42578125" style="114" customWidth="1"/>
    <col min="15880" max="15881" width="12.5703125" style="114" customWidth="1"/>
    <col min="15882" max="15887" width="11.5703125" style="114"/>
    <col min="15888" max="15888" width="0" style="114" hidden="1" customWidth="1"/>
    <col min="15889" max="16131" width="11.5703125" style="114"/>
    <col min="16132" max="16132" width="12.42578125" style="114" customWidth="1"/>
    <col min="16133" max="16134" width="11.5703125" style="114"/>
    <col min="16135" max="16135" width="13.42578125" style="114" customWidth="1"/>
    <col min="16136" max="16137" width="12.5703125" style="114" customWidth="1"/>
    <col min="16138" max="16143" width="11.5703125" style="114"/>
    <col min="16144" max="16144" width="0" style="114" hidden="1" customWidth="1"/>
    <col min="16145" max="16384" width="11.5703125" style="114"/>
  </cols>
  <sheetData>
    <row r="1" spans="1:16" s="122" customFormat="1" ht="60.75" thickBot="1" x14ac:dyDescent="0.3">
      <c r="A1" s="128" t="s">
        <v>62</v>
      </c>
      <c r="B1" s="127" t="s">
        <v>61</v>
      </c>
      <c r="C1" s="127" t="s">
        <v>60</v>
      </c>
      <c r="D1" s="126" t="s">
        <v>59</v>
      </c>
      <c r="E1" s="124" t="s">
        <v>58</v>
      </c>
      <c r="F1" s="124" t="s">
        <v>67</v>
      </c>
      <c r="G1" s="124" t="s">
        <v>68</v>
      </c>
      <c r="H1" s="125" t="s">
        <v>66</v>
      </c>
      <c r="I1" s="125" t="s">
        <v>69</v>
      </c>
      <c r="J1" s="124" t="s">
        <v>57</v>
      </c>
      <c r="K1" s="141" t="s">
        <v>56</v>
      </c>
      <c r="L1" s="125" t="s">
        <v>71</v>
      </c>
      <c r="M1" s="125" t="s">
        <v>70</v>
      </c>
      <c r="N1" s="124" t="s">
        <v>55</v>
      </c>
      <c r="O1" s="124" t="s">
        <v>54</v>
      </c>
      <c r="P1" s="123" t="s">
        <v>53</v>
      </c>
    </row>
    <row r="2" spans="1:16" x14ac:dyDescent="0.25">
      <c r="A2" s="120" t="s">
        <v>63</v>
      </c>
      <c r="B2" s="118">
        <v>1</v>
      </c>
      <c r="C2" s="118">
        <v>5</v>
      </c>
      <c r="D2" s="117">
        <v>2021</v>
      </c>
      <c r="E2" s="115">
        <f>Electricity!H6</f>
        <v>20784</v>
      </c>
      <c r="F2" s="115">
        <f>+Electricity!F6</f>
        <v>3900</v>
      </c>
      <c r="G2" s="115">
        <f>+Electricity!G6</f>
        <v>16884</v>
      </c>
      <c r="H2" s="140" t="s">
        <v>72</v>
      </c>
      <c r="I2" s="115">
        <f>+Electricity!O6</f>
        <v>24253845.195599999</v>
      </c>
      <c r="J2" s="119">
        <f>Gas!D5</f>
        <v>98.97</v>
      </c>
      <c r="K2" s="142">
        <v>5362</v>
      </c>
      <c r="L2" s="115">
        <f>Water!C5</f>
        <v>161.49999999999491</v>
      </c>
      <c r="M2" s="115">
        <v>12500</v>
      </c>
      <c r="N2" s="115">
        <v>93</v>
      </c>
      <c r="O2" s="115">
        <f>192+377</f>
        <v>569</v>
      </c>
      <c r="P2" s="121" t="e">
        <f>E2*H2+J2*K2+#REF!*#REF!+L2*M2</f>
        <v>#REF!</v>
      </c>
    </row>
    <row r="3" spans="1:16" x14ac:dyDescent="0.25">
      <c r="A3" s="120" t="s">
        <v>63</v>
      </c>
      <c r="B3" s="118">
        <f t="shared" ref="B3:B32" si="0">B2+1</f>
        <v>2</v>
      </c>
      <c r="C3" s="118">
        <v>5</v>
      </c>
      <c r="D3" s="117">
        <v>2021</v>
      </c>
      <c r="E3" s="115">
        <f>Electricity!H7</f>
        <v>20671</v>
      </c>
      <c r="F3" s="115">
        <f>+Electricity!F7</f>
        <v>3685</v>
      </c>
      <c r="G3" s="115">
        <f>+Electricity!G7</f>
        <v>16986</v>
      </c>
      <c r="H3" s="140" t="s">
        <v>72</v>
      </c>
      <c r="I3" s="115">
        <f>+Electricity!O7</f>
        <v>24018604.020899996</v>
      </c>
      <c r="J3" s="119">
        <f>Gas!D6</f>
        <v>129.52000000000001</v>
      </c>
      <c r="K3" s="142">
        <v>5362</v>
      </c>
      <c r="L3" s="115">
        <f>Water!C6</f>
        <v>160.00000000000438</v>
      </c>
      <c r="M3" s="115">
        <v>12500</v>
      </c>
      <c r="N3" s="115">
        <v>33</v>
      </c>
      <c r="O3" s="115">
        <f>70+285</f>
        <v>355</v>
      </c>
      <c r="P3" s="121" t="e">
        <f>E3*H3+J3*K3+#REF!*#REF!+L3*M3</f>
        <v>#REF!</v>
      </c>
    </row>
    <row r="4" spans="1:16" x14ac:dyDescent="0.25">
      <c r="A4" s="120" t="s">
        <v>63</v>
      </c>
      <c r="B4" s="118">
        <f t="shared" si="0"/>
        <v>3</v>
      </c>
      <c r="C4" s="118">
        <v>5</v>
      </c>
      <c r="D4" s="117">
        <v>2021</v>
      </c>
      <c r="E4" s="115">
        <f>Electricity!H8</f>
        <v>20200</v>
      </c>
      <c r="F4" s="115">
        <f>+Electricity!F8</f>
        <v>3538</v>
      </c>
      <c r="G4" s="115">
        <f>+Electricity!G8</f>
        <v>16662</v>
      </c>
      <c r="H4" s="140" t="s">
        <v>72</v>
      </c>
      <c r="I4" s="115">
        <f>+Electricity!O8</f>
        <v>23437702.344599999</v>
      </c>
      <c r="J4" s="119">
        <f>Gas!D7</f>
        <v>152.79</v>
      </c>
      <c r="K4" s="142">
        <v>5362</v>
      </c>
      <c r="L4" s="115">
        <f>Water!C7</f>
        <v>116.89999999999927</v>
      </c>
      <c r="M4" s="115">
        <v>12500</v>
      </c>
      <c r="N4" s="115">
        <v>41</v>
      </c>
      <c r="O4" s="115">
        <f>84+190</f>
        <v>274</v>
      </c>
      <c r="P4" s="121" t="e">
        <f>E4*H4+J4*K4+#REF!*#REF!+L4*M4</f>
        <v>#REF!</v>
      </c>
    </row>
    <row r="5" spans="1:16" x14ac:dyDescent="0.25">
      <c r="A5" s="120" t="s">
        <v>63</v>
      </c>
      <c r="B5" s="118">
        <f t="shared" si="0"/>
        <v>4</v>
      </c>
      <c r="C5" s="118">
        <v>5</v>
      </c>
      <c r="D5" s="117">
        <v>2021</v>
      </c>
      <c r="E5" s="115">
        <f>Electricity!H9</f>
        <v>21010</v>
      </c>
      <c r="F5" s="115">
        <f>+Electricity!F9</f>
        <v>3880</v>
      </c>
      <c r="G5" s="115">
        <f>+Electricity!G9</f>
        <v>17130</v>
      </c>
      <c r="H5" s="140" t="s">
        <v>72</v>
      </c>
      <c r="I5" s="115">
        <f>+Electricity!O9</f>
        <v>24484285.530000001</v>
      </c>
      <c r="J5" s="119">
        <f>Gas!D8</f>
        <v>193.48</v>
      </c>
      <c r="K5" s="142">
        <v>5362</v>
      </c>
      <c r="L5" s="115">
        <f>Water!C8</f>
        <v>126.39999999999782</v>
      </c>
      <c r="M5" s="115">
        <v>12500</v>
      </c>
      <c r="N5" s="115">
        <v>42</v>
      </c>
      <c r="O5" s="115">
        <f>87+372</f>
        <v>459</v>
      </c>
      <c r="P5" s="121" t="e">
        <f>E5*H5+J5*K5+#REF!*#REF!+L5*M5</f>
        <v>#REF!</v>
      </c>
    </row>
    <row r="6" spans="1:16" x14ac:dyDescent="0.25">
      <c r="A6" s="120" t="s">
        <v>63</v>
      </c>
      <c r="B6" s="118">
        <f t="shared" si="0"/>
        <v>5</v>
      </c>
      <c r="C6" s="118">
        <v>5</v>
      </c>
      <c r="D6" s="117">
        <v>2021</v>
      </c>
      <c r="E6" s="115">
        <f>Electricity!H10</f>
        <v>23152</v>
      </c>
      <c r="F6" s="115">
        <f>+Electricity!F10</f>
        <v>4278</v>
      </c>
      <c r="G6" s="115">
        <f>+Electricity!G10</f>
        <v>18874</v>
      </c>
      <c r="H6" s="140" t="s">
        <v>72</v>
      </c>
      <c r="I6" s="115">
        <f>+Electricity!O10</f>
        <v>26981789.339399997</v>
      </c>
      <c r="J6" s="119">
        <f>Gas!D9</f>
        <v>189.34</v>
      </c>
      <c r="K6" s="142">
        <v>5362</v>
      </c>
      <c r="L6" s="115">
        <f>Water!C9</f>
        <v>134.8000000000051</v>
      </c>
      <c r="M6" s="115">
        <v>12500</v>
      </c>
      <c r="N6" s="115">
        <v>37</v>
      </c>
      <c r="O6" s="115">
        <f>74+323</f>
        <v>397</v>
      </c>
      <c r="P6" s="121" t="e">
        <f>E6*H6+J6*K6+#REF!*#REF!+L6*M6</f>
        <v>#REF!</v>
      </c>
    </row>
    <row r="7" spans="1:16" x14ac:dyDescent="0.25">
      <c r="A7" s="120" t="s">
        <v>63</v>
      </c>
      <c r="B7" s="118">
        <f t="shared" si="0"/>
        <v>6</v>
      </c>
      <c r="C7" s="118">
        <v>5</v>
      </c>
      <c r="D7" s="117">
        <v>2021</v>
      </c>
      <c r="E7" s="115">
        <f>Electricity!H11</f>
        <v>20052</v>
      </c>
      <c r="F7" s="115">
        <f>+Electricity!F11</f>
        <v>3580</v>
      </c>
      <c r="G7" s="115">
        <f>+Electricity!G11</f>
        <v>16472</v>
      </c>
      <c r="H7" s="140" t="s">
        <v>72</v>
      </c>
      <c r="I7" s="115">
        <f>+Electricity!O11</f>
        <v>23302211.962799996</v>
      </c>
      <c r="J7" s="119">
        <f>Gas!D10</f>
        <v>147.88999999999999</v>
      </c>
      <c r="K7" s="142">
        <v>5362</v>
      </c>
      <c r="L7" s="115">
        <f>Water!C10</f>
        <v>195.89999999999418</v>
      </c>
      <c r="M7" s="115">
        <v>12500</v>
      </c>
      <c r="N7" s="115">
        <v>27</v>
      </c>
      <c r="O7" s="115">
        <f>57+216</f>
        <v>273</v>
      </c>
      <c r="P7" s="121" t="e">
        <f>E7*H7+J7*K7+#REF!*#REF!+L7*M7</f>
        <v>#REF!</v>
      </c>
    </row>
    <row r="8" spans="1:16" x14ac:dyDescent="0.25">
      <c r="A8" s="120" t="s">
        <v>63</v>
      </c>
      <c r="B8" s="118">
        <f t="shared" si="0"/>
        <v>7</v>
      </c>
      <c r="C8" s="118">
        <v>5</v>
      </c>
      <c r="D8" s="117">
        <v>2021</v>
      </c>
      <c r="E8" s="115">
        <f>Electricity!H12</f>
        <v>20012</v>
      </c>
      <c r="F8" s="115">
        <f>+Electricity!F12</f>
        <v>3806</v>
      </c>
      <c r="G8" s="115">
        <f>+Electricity!G12</f>
        <v>16206</v>
      </c>
      <c r="H8" s="140" t="s">
        <v>72</v>
      </c>
      <c r="I8" s="115">
        <f>+Electricity!O12</f>
        <v>23380092.261</v>
      </c>
      <c r="J8" s="119">
        <f>Gas!D11</f>
        <v>128.11000000000001</v>
      </c>
      <c r="K8" s="142">
        <v>5362</v>
      </c>
      <c r="L8" s="115">
        <f>Water!C11</f>
        <v>144.20000000000073</v>
      </c>
      <c r="M8" s="115">
        <v>12500</v>
      </c>
      <c r="N8" s="115">
        <v>49</v>
      </c>
      <c r="O8" s="115">
        <f>103+291</f>
        <v>394</v>
      </c>
      <c r="P8" s="121" t="e">
        <f>E8*H8+J8*K8+#REF!*#REF!+L8*M8</f>
        <v>#REF!</v>
      </c>
    </row>
    <row r="9" spans="1:16" x14ac:dyDescent="0.25">
      <c r="A9" s="120" t="s">
        <v>63</v>
      </c>
      <c r="B9" s="118">
        <f t="shared" si="0"/>
        <v>8</v>
      </c>
      <c r="C9" s="118">
        <v>5</v>
      </c>
      <c r="D9" s="117">
        <v>2021</v>
      </c>
      <c r="E9" s="115">
        <f>Electricity!H13</f>
        <v>25370</v>
      </c>
      <c r="F9" s="115">
        <f>+Electricity!F13</f>
        <v>5220</v>
      </c>
      <c r="G9" s="115">
        <f>+Electricity!G13</f>
        <v>20150</v>
      </c>
      <c r="H9" s="140" t="s">
        <v>72</v>
      </c>
      <c r="I9" s="115">
        <f>+Electricity!O13</f>
        <v>29850558.131999999</v>
      </c>
      <c r="J9" s="119">
        <f>Gas!D12</f>
        <v>173.42</v>
      </c>
      <c r="K9" s="142">
        <v>5362</v>
      </c>
      <c r="L9" s="115">
        <f>Water!C12</f>
        <v>153.49999999999855</v>
      </c>
      <c r="M9" s="115">
        <v>12500</v>
      </c>
      <c r="N9" s="115">
        <v>80</v>
      </c>
      <c r="O9" s="115">
        <f>166+480</f>
        <v>646</v>
      </c>
      <c r="P9" s="121" t="e">
        <f>E9*H9+J9*K9+#REF!*#REF!+L9*M9</f>
        <v>#REF!</v>
      </c>
    </row>
    <row r="10" spans="1:16" x14ac:dyDescent="0.25">
      <c r="A10" s="120" t="s">
        <v>63</v>
      </c>
      <c r="B10" s="118">
        <f t="shared" si="0"/>
        <v>9</v>
      </c>
      <c r="C10" s="118">
        <v>5</v>
      </c>
      <c r="D10" s="117">
        <v>2021</v>
      </c>
      <c r="E10" s="115">
        <f>Electricity!H14</f>
        <v>20226</v>
      </c>
      <c r="F10" s="115">
        <f>+Electricity!F14</f>
        <v>3638</v>
      </c>
      <c r="G10" s="115">
        <f>+Electricity!G14</f>
        <v>16588</v>
      </c>
      <c r="H10" s="140" t="s">
        <v>72</v>
      </c>
      <c r="I10" s="115">
        <f>+Electricity!O14</f>
        <v>23518783.203000002</v>
      </c>
      <c r="J10" s="119">
        <f>Gas!D13</f>
        <v>98.17</v>
      </c>
      <c r="K10" s="142">
        <v>5362</v>
      </c>
      <c r="L10" s="115">
        <f>Water!C13</f>
        <v>209.6</v>
      </c>
      <c r="M10" s="115">
        <v>12500</v>
      </c>
      <c r="N10" s="115">
        <v>52</v>
      </c>
      <c r="O10" s="115">
        <f>110+313</f>
        <v>423</v>
      </c>
      <c r="P10" s="121" t="e">
        <f>E10*H10+J10*K10+#REF!*#REF!+L10*M10</f>
        <v>#REF!</v>
      </c>
    </row>
    <row r="11" spans="1:16" x14ac:dyDescent="0.25">
      <c r="A11" s="120" t="s">
        <v>63</v>
      </c>
      <c r="B11" s="118">
        <f t="shared" si="0"/>
        <v>10</v>
      </c>
      <c r="C11" s="118">
        <v>5</v>
      </c>
      <c r="D11" s="117">
        <v>2021</v>
      </c>
      <c r="E11" s="115">
        <f>Electricity!H15</f>
        <v>23422</v>
      </c>
      <c r="F11" s="115">
        <f>+Electricity!F15</f>
        <v>4456</v>
      </c>
      <c r="G11" s="115">
        <f>+Electricity!G15</f>
        <v>18966</v>
      </c>
      <c r="H11" s="140" t="s">
        <v>72</v>
      </c>
      <c r="I11" s="115">
        <f>+Electricity!O15</f>
        <v>27364789.710000001</v>
      </c>
      <c r="J11" s="119">
        <f>Gas!D14</f>
        <v>128.4</v>
      </c>
      <c r="K11" s="142">
        <v>5362</v>
      </c>
      <c r="L11" s="115">
        <f>Water!C14</f>
        <v>199.50000000000364</v>
      </c>
      <c r="M11" s="115">
        <v>12500</v>
      </c>
      <c r="N11" s="115">
        <v>78</v>
      </c>
      <c r="O11" s="115">
        <f>162+335</f>
        <v>497</v>
      </c>
      <c r="P11" s="121" t="e">
        <f>E11*H11+J11*K11+#REF!*#REF!+L11*M11</f>
        <v>#REF!</v>
      </c>
    </row>
    <row r="12" spans="1:16" x14ac:dyDescent="0.25">
      <c r="A12" s="120" t="s">
        <v>63</v>
      </c>
      <c r="B12" s="118">
        <f t="shared" si="0"/>
        <v>11</v>
      </c>
      <c r="C12" s="118">
        <v>5</v>
      </c>
      <c r="D12" s="117">
        <v>2021</v>
      </c>
      <c r="E12" s="115">
        <f>Electricity!H16</f>
        <v>20972</v>
      </c>
      <c r="F12" s="115">
        <f>+Electricity!F16</f>
        <v>3730</v>
      </c>
      <c r="G12" s="115">
        <f>+Electricity!G16</f>
        <v>17242</v>
      </c>
      <c r="H12" s="140" t="s">
        <v>72</v>
      </c>
      <c r="I12" s="115">
        <f>+Electricity!O16</f>
        <v>24363731.095799997</v>
      </c>
      <c r="J12" s="119">
        <f>Gas!D15</f>
        <v>158.41</v>
      </c>
      <c r="K12" s="142">
        <v>5362</v>
      </c>
      <c r="L12" s="115">
        <f>Water!C15</f>
        <v>187.79999999999782</v>
      </c>
      <c r="M12" s="115">
        <v>12500</v>
      </c>
      <c r="N12" s="115">
        <v>40</v>
      </c>
      <c r="O12" s="115">
        <f>82+329</f>
        <v>411</v>
      </c>
      <c r="P12" s="121" t="e">
        <f>E12*H12+J12*K12+#REF!*#REF!+L12*M12</f>
        <v>#REF!</v>
      </c>
    </row>
    <row r="13" spans="1:16" x14ac:dyDescent="0.25">
      <c r="A13" s="120" t="s">
        <v>63</v>
      </c>
      <c r="B13" s="118">
        <f t="shared" si="0"/>
        <v>12</v>
      </c>
      <c r="C13" s="118">
        <v>5</v>
      </c>
      <c r="D13" s="117">
        <v>2021</v>
      </c>
      <c r="E13" s="115">
        <f>Electricity!H17</f>
        <v>20754</v>
      </c>
      <c r="F13" s="115">
        <f>+Electricity!F17</f>
        <v>3798</v>
      </c>
      <c r="G13" s="115">
        <f>+Electricity!G17</f>
        <v>16956</v>
      </c>
      <c r="H13" s="140" t="s">
        <v>72</v>
      </c>
      <c r="I13" s="115">
        <f>+Electricity!O17</f>
        <v>24167430.0702</v>
      </c>
      <c r="J13" s="119">
        <f>Gas!D16</f>
        <v>126.92</v>
      </c>
      <c r="K13" s="142">
        <v>5362</v>
      </c>
      <c r="L13" s="115">
        <f>Water!C16</f>
        <v>162.29999999999782</v>
      </c>
      <c r="M13" s="115">
        <v>12500</v>
      </c>
      <c r="N13" s="115">
        <v>75</v>
      </c>
      <c r="O13" s="115">
        <f>154+242</f>
        <v>396</v>
      </c>
      <c r="P13" s="121" t="e">
        <f>E13*H13+J13*K13+#REF!*#REF!+L13*M13</f>
        <v>#REF!</v>
      </c>
    </row>
    <row r="14" spans="1:16" x14ac:dyDescent="0.25">
      <c r="A14" s="120" t="s">
        <v>63</v>
      </c>
      <c r="B14" s="118">
        <f t="shared" si="0"/>
        <v>13</v>
      </c>
      <c r="C14" s="118">
        <v>5</v>
      </c>
      <c r="D14" s="117">
        <v>2021</v>
      </c>
      <c r="E14" s="115">
        <f>Electricity!H18</f>
        <v>20792</v>
      </c>
      <c r="F14" s="115">
        <f>+Electricity!F18</f>
        <v>3780</v>
      </c>
      <c r="G14" s="115">
        <f>+Electricity!G18</f>
        <v>17012</v>
      </c>
      <c r="H14" s="140" t="s">
        <v>72</v>
      </c>
      <c r="I14" s="115">
        <f>+Electricity!O18</f>
        <v>24198368.818800002</v>
      </c>
      <c r="J14" s="119">
        <f>Gas!D17</f>
        <v>155.53</v>
      </c>
      <c r="K14" s="142">
        <v>5362</v>
      </c>
      <c r="L14" s="115">
        <f>Water!C17</f>
        <v>161.00000000000438</v>
      </c>
      <c r="M14" s="115">
        <v>12500</v>
      </c>
      <c r="N14" s="115">
        <v>103</v>
      </c>
      <c r="O14" s="115">
        <f>219+355</f>
        <v>574</v>
      </c>
      <c r="P14" s="121" t="e">
        <f>E14*H14+J14*K14+#REF!*#REF!+L14*M14</f>
        <v>#REF!</v>
      </c>
    </row>
    <row r="15" spans="1:16" x14ac:dyDescent="0.25">
      <c r="A15" s="120" t="s">
        <v>63</v>
      </c>
      <c r="B15" s="118">
        <f t="shared" si="0"/>
        <v>14</v>
      </c>
      <c r="C15" s="118">
        <v>5</v>
      </c>
      <c r="D15" s="117">
        <v>2021</v>
      </c>
      <c r="E15" s="115">
        <f>Electricity!H19</f>
        <v>20124</v>
      </c>
      <c r="F15" s="115">
        <f>+Electricity!F19</f>
        <v>3604</v>
      </c>
      <c r="G15" s="115">
        <f>+Electricity!G19</f>
        <v>16520</v>
      </c>
      <c r="H15" s="140" t="s">
        <v>72</v>
      </c>
      <c r="I15" s="115">
        <f>+Electricity!O19</f>
        <v>23391827.648399998</v>
      </c>
      <c r="J15" s="119">
        <f>Gas!D18</f>
        <v>120.07</v>
      </c>
      <c r="K15" s="142">
        <v>5362</v>
      </c>
      <c r="L15" s="115">
        <f>Water!C18</f>
        <v>165.80000000000365</v>
      </c>
      <c r="M15" s="115">
        <v>12500</v>
      </c>
      <c r="N15" s="115">
        <v>111</v>
      </c>
      <c r="O15" s="115">
        <f>231+386</f>
        <v>617</v>
      </c>
      <c r="P15" s="121" t="e">
        <f>E15*H15+J15*K15+#REF!*#REF!+L15*M15</f>
        <v>#REF!</v>
      </c>
    </row>
    <row r="16" spans="1:16" x14ac:dyDescent="0.25">
      <c r="A16" s="120" t="s">
        <v>63</v>
      </c>
      <c r="B16" s="118">
        <f t="shared" si="0"/>
        <v>15</v>
      </c>
      <c r="C16" s="118">
        <v>5</v>
      </c>
      <c r="D16" s="117">
        <v>2021</v>
      </c>
      <c r="E16" s="115">
        <f>Electricity!H20</f>
        <v>20410</v>
      </c>
      <c r="F16" s="115">
        <f>+Electricity!F20</f>
        <v>3838</v>
      </c>
      <c r="G16" s="115">
        <f>+Electricity!G20</f>
        <v>16572</v>
      </c>
      <c r="H16" s="140" t="s">
        <v>72</v>
      </c>
      <c r="I16" s="115">
        <f>+Electricity!O20</f>
        <v>23821769.568600003</v>
      </c>
      <c r="J16" s="119">
        <f>Gas!D19</f>
        <v>134.47999999999999</v>
      </c>
      <c r="K16" s="142">
        <v>5362</v>
      </c>
      <c r="L16" s="115">
        <f>Water!C19</f>
        <v>127.89999999999418</v>
      </c>
      <c r="M16" s="115">
        <v>12500</v>
      </c>
      <c r="N16" s="115">
        <v>105</v>
      </c>
      <c r="O16" s="115">
        <f>218+481</f>
        <v>699</v>
      </c>
      <c r="P16" s="121" t="e">
        <f>E16*H16+J16*K16+#REF!*#REF!+L16*M16</f>
        <v>#REF!</v>
      </c>
    </row>
    <row r="17" spans="1:16" x14ac:dyDescent="0.25">
      <c r="A17" s="120" t="s">
        <v>63</v>
      </c>
      <c r="B17" s="118">
        <f t="shared" si="0"/>
        <v>16</v>
      </c>
      <c r="C17" s="118">
        <v>5</v>
      </c>
      <c r="D17" s="117">
        <v>2021</v>
      </c>
      <c r="E17" s="115">
        <f>Electricity!H21</f>
        <v>20306</v>
      </c>
      <c r="F17" s="115">
        <f>+Electricity!F21</f>
        <v>3630</v>
      </c>
      <c r="G17" s="115">
        <f>+Electricity!G21</f>
        <v>16676</v>
      </c>
      <c r="H17" s="140" t="s">
        <v>72</v>
      </c>
      <c r="I17" s="115">
        <f>+Electricity!O21</f>
        <v>23599864.061400004</v>
      </c>
      <c r="J17" s="119">
        <f>Gas!D20</f>
        <v>121.18</v>
      </c>
      <c r="K17" s="142">
        <v>5362</v>
      </c>
      <c r="L17" s="115">
        <f>Water!C20</f>
        <v>284.30000000000217</v>
      </c>
      <c r="M17" s="115">
        <v>12500</v>
      </c>
      <c r="N17" s="115">
        <v>74</v>
      </c>
      <c r="O17" s="115">
        <f>148+331</f>
        <v>479</v>
      </c>
      <c r="P17" s="121" t="e">
        <f>E17*H17+J17*K17+#REF!*#REF!+L17*M17</f>
        <v>#REF!</v>
      </c>
    </row>
    <row r="18" spans="1:16" x14ac:dyDescent="0.25">
      <c r="A18" s="120" t="s">
        <v>63</v>
      </c>
      <c r="B18" s="118">
        <f t="shared" si="0"/>
        <v>17</v>
      </c>
      <c r="C18" s="118">
        <v>5</v>
      </c>
      <c r="D18" s="117">
        <v>2021</v>
      </c>
      <c r="E18" s="115">
        <f>Electricity!H22</f>
        <v>20110</v>
      </c>
      <c r="F18" s="115">
        <f>+Electricity!F22</f>
        <v>3694</v>
      </c>
      <c r="G18" s="115">
        <f>+Electricity!G22</f>
        <v>16416</v>
      </c>
      <c r="H18" s="140" t="s">
        <v>72</v>
      </c>
      <c r="I18" s="115">
        <f>+Electricity!O22</f>
        <v>23424900.103800002</v>
      </c>
      <c r="J18" s="119">
        <f>Gas!D21</f>
        <v>99.07</v>
      </c>
      <c r="K18" s="142">
        <v>5362</v>
      </c>
      <c r="L18" s="115">
        <f>Water!C21</f>
        <v>179.81999999999826</v>
      </c>
      <c r="M18" s="115">
        <v>12500</v>
      </c>
      <c r="N18" s="115">
        <v>76</v>
      </c>
      <c r="O18" s="115">
        <f>155+224</f>
        <v>379</v>
      </c>
      <c r="P18" s="121" t="e">
        <f>E18*H18+J18*K18+#REF!*#REF!+L18*M18</f>
        <v>#REF!</v>
      </c>
    </row>
    <row r="19" spans="1:16" x14ac:dyDescent="0.25">
      <c r="A19" s="120" t="s">
        <v>63</v>
      </c>
      <c r="B19" s="118">
        <f t="shared" si="0"/>
        <v>18</v>
      </c>
      <c r="C19" s="118">
        <v>5</v>
      </c>
      <c r="D19" s="117">
        <v>2021</v>
      </c>
      <c r="E19" s="115">
        <f>Electricity!H23</f>
        <v>20436</v>
      </c>
      <c r="F19" s="115">
        <f>+Electricity!F23</f>
        <v>3820</v>
      </c>
      <c r="G19" s="115">
        <f>+Electricity!G23</f>
        <v>16616</v>
      </c>
      <c r="H19" s="140" t="s">
        <v>72</v>
      </c>
      <c r="I19" s="115">
        <f>+Electricity!O23</f>
        <v>23839906.076400001</v>
      </c>
      <c r="J19" s="119">
        <f>Gas!D22</f>
        <v>135.69</v>
      </c>
      <c r="K19" s="142">
        <v>5362</v>
      </c>
      <c r="L19" s="115">
        <f>Water!C22</f>
        <v>205.29999999999853</v>
      </c>
      <c r="M19" s="115">
        <v>12500</v>
      </c>
      <c r="N19" s="115">
        <v>70</v>
      </c>
      <c r="O19" s="115">
        <f>154+235</f>
        <v>389</v>
      </c>
      <c r="P19" s="121" t="e">
        <f>E19*H19+J19*K19+#REF!*#REF!+L19*M19</f>
        <v>#REF!</v>
      </c>
    </row>
    <row r="20" spans="1:16" x14ac:dyDescent="0.25">
      <c r="A20" s="120" t="s">
        <v>63</v>
      </c>
      <c r="B20" s="118">
        <f t="shared" si="0"/>
        <v>19</v>
      </c>
      <c r="C20" s="118">
        <v>5</v>
      </c>
      <c r="D20" s="117">
        <v>2021</v>
      </c>
      <c r="E20" s="115">
        <f>Electricity!H24</f>
        <v>20846</v>
      </c>
      <c r="F20" s="115">
        <f>+Electricity!F24</f>
        <v>3770</v>
      </c>
      <c r="G20" s="115">
        <f>+Electricity!G24</f>
        <v>17076</v>
      </c>
      <c r="H20" s="140" t="s">
        <v>72</v>
      </c>
      <c r="I20" s="115">
        <f>+Electricity!O24</f>
        <v>24250644.635400001</v>
      </c>
      <c r="J20" s="119">
        <f>Gas!D23</f>
        <v>139.63</v>
      </c>
      <c r="K20" s="142">
        <v>5362</v>
      </c>
      <c r="L20" s="115">
        <f>Water!C23</f>
        <v>141.37999999999883</v>
      </c>
      <c r="M20" s="115">
        <v>12500</v>
      </c>
      <c r="N20" s="115">
        <v>55</v>
      </c>
      <c r="O20" s="115">
        <f>110+239</f>
        <v>349</v>
      </c>
      <c r="P20" s="121" t="e">
        <f>E20*H20+J20*K20+#REF!*#REF!+L20*M20</f>
        <v>#REF!</v>
      </c>
    </row>
    <row r="21" spans="1:16" x14ac:dyDescent="0.25">
      <c r="A21" s="120" t="s">
        <v>63</v>
      </c>
      <c r="B21" s="118">
        <f t="shared" si="0"/>
        <v>20</v>
      </c>
      <c r="C21" s="118">
        <v>5</v>
      </c>
      <c r="D21" s="117">
        <v>2021</v>
      </c>
      <c r="E21" s="115">
        <f>Electricity!H25</f>
        <v>23266</v>
      </c>
      <c r="F21" s="115">
        <f>+Electricity!F25</f>
        <v>4040</v>
      </c>
      <c r="G21" s="115">
        <f>+Electricity!G25</f>
        <v>19226</v>
      </c>
      <c r="H21" s="140" t="s">
        <v>72</v>
      </c>
      <c r="I21" s="115">
        <f>+Electricity!O25</f>
        <v>26976455.072400004</v>
      </c>
      <c r="J21" s="119">
        <f>Gas!D24</f>
        <v>210.84</v>
      </c>
      <c r="K21" s="142">
        <v>5362</v>
      </c>
      <c r="L21" s="115">
        <f>Water!C24</f>
        <v>164.70000000000437</v>
      </c>
      <c r="M21" s="115">
        <v>12500</v>
      </c>
      <c r="N21" s="115">
        <v>55</v>
      </c>
      <c r="O21" s="115">
        <f>108+281</f>
        <v>389</v>
      </c>
      <c r="P21" s="121" t="e">
        <f>E21*H21+J21*K21+#REF!*#REF!+L21*M21</f>
        <v>#REF!</v>
      </c>
    </row>
    <row r="22" spans="1:16" x14ac:dyDescent="0.25">
      <c r="A22" s="120" t="s">
        <v>63</v>
      </c>
      <c r="B22" s="118">
        <f t="shared" si="0"/>
        <v>21</v>
      </c>
      <c r="C22" s="118">
        <v>5</v>
      </c>
      <c r="D22" s="117">
        <v>2021</v>
      </c>
      <c r="E22" s="115">
        <f>Electricity!H26</f>
        <v>21736</v>
      </c>
      <c r="F22" s="115">
        <f>+Electricity!F26</f>
        <v>3928</v>
      </c>
      <c r="G22" s="115">
        <f>+Electricity!G26</f>
        <v>17808</v>
      </c>
      <c r="H22" s="140" t="s">
        <v>72</v>
      </c>
      <c r="I22" s="115">
        <f>+Electricity!O26</f>
        <v>25284425.579999998</v>
      </c>
      <c r="J22" s="119">
        <f>Gas!D25</f>
        <v>160.46</v>
      </c>
      <c r="K22" s="142">
        <v>5362</v>
      </c>
      <c r="L22" s="115">
        <f>Water!C25</f>
        <v>131.39999999999927</v>
      </c>
      <c r="M22" s="115">
        <v>12500</v>
      </c>
      <c r="N22" s="115">
        <v>75</v>
      </c>
      <c r="O22" s="115">
        <v>294</v>
      </c>
      <c r="P22" s="121" t="e">
        <f>E22*H22+J22*K22+#REF!*#REF!+L22*M22</f>
        <v>#REF!</v>
      </c>
    </row>
    <row r="23" spans="1:16" x14ac:dyDescent="0.25">
      <c r="A23" s="120" t="s">
        <v>63</v>
      </c>
      <c r="B23" s="118">
        <f t="shared" si="0"/>
        <v>22</v>
      </c>
      <c r="C23" s="118">
        <v>5</v>
      </c>
      <c r="D23" s="117">
        <v>2021</v>
      </c>
      <c r="E23" s="115">
        <f>Electricity!H27</f>
        <v>25714</v>
      </c>
      <c r="F23" s="115">
        <f>+Electricity!F27</f>
        <v>5048</v>
      </c>
      <c r="G23" s="115">
        <f>+Electricity!G27</f>
        <v>20666</v>
      </c>
      <c r="H23" s="140" t="s">
        <v>72</v>
      </c>
      <c r="I23" s="115">
        <f>+Electricity!O27</f>
        <v>30125806.3092</v>
      </c>
      <c r="J23" s="119">
        <f>Gas!D26</f>
        <v>197.9</v>
      </c>
      <c r="K23" s="142">
        <v>5362</v>
      </c>
      <c r="L23" s="115">
        <f>Water!C26</f>
        <v>138.63999999999578</v>
      </c>
      <c r="M23" s="115">
        <v>12500</v>
      </c>
      <c r="N23" s="115">
        <v>103</v>
      </c>
      <c r="O23" s="115">
        <v>522</v>
      </c>
      <c r="P23" s="121" t="e">
        <f>E23*H23+J23*K23+#REF!*#REF!+L23*M23</f>
        <v>#REF!</v>
      </c>
    </row>
    <row r="24" spans="1:16" x14ac:dyDescent="0.25">
      <c r="A24" s="120" t="s">
        <v>63</v>
      </c>
      <c r="B24" s="118">
        <f t="shared" si="0"/>
        <v>23</v>
      </c>
      <c r="C24" s="118">
        <v>5</v>
      </c>
      <c r="D24" s="117">
        <v>2021</v>
      </c>
      <c r="E24" s="115">
        <f>Electricity!H28</f>
        <v>24892</v>
      </c>
      <c r="F24" s="115">
        <f>+Electricity!F28</f>
        <v>3902</v>
      </c>
      <c r="G24" s="115">
        <f>+Electricity!G28</f>
        <v>20990</v>
      </c>
      <c r="H24" s="140" t="s">
        <v>72</v>
      </c>
      <c r="I24" s="115">
        <f>+Electricity!O28</f>
        <v>28637545.816199999</v>
      </c>
      <c r="J24" s="119">
        <f>Gas!D27</f>
        <v>180.1</v>
      </c>
      <c r="K24" s="142">
        <v>5362</v>
      </c>
      <c r="L24" s="115">
        <f>Water!C27</f>
        <v>154.58000000001192</v>
      </c>
      <c r="M24" s="115">
        <v>12500</v>
      </c>
      <c r="N24" s="115">
        <v>59</v>
      </c>
      <c r="O24" s="115">
        <v>604</v>
      </c>
      <c r="P24" s="121" t="e">
        <f>E24*H24+J24*K24+#REF!*#REF!+L24*M24</f>
        <v>#REF!</v>
      </c>
    </row>
    <row r="25" spans="1:16" x14ac:dyDescent="0.25">
      <c r="A25" s="120" t="s">
        <v>63</v>
      </c>
      <c r="B25" s="118">
        <f t="shared" si="0"/>
        <v>24</v>
      </c>
      <c r="C25" s="118">
        <v>5</v>
      </c>
      <c r="D25" s="117">
        <v>2021</v>
      </c>
      <c r="E25" s="115">
        <f>Electricity!H29</f>
        <v>24674</v>
      </c>
      <c r="F25" s="115">
        <f>+Electricity!F29</f>
        <v>4852</v>
      </c>
      <c r="G25" s="115">
        <f>+Electricity!G29</f>
        <v>19822</v>
      </c>
      <c r="H25" s="140" t="s">
        <v>72</v>
      </c>
      <c r="I25" s="115">
        <f>+Electricity!O29</f>
        <v>28911727.140000001</v>
      </c>
      <c r="J25" s="119">
        <f>Gas!D28</f>
        <v>150.46</v>
      </c>
      <c r="K25" s="142">
        <v>5362</v>
      </c>
      <c r="L25" s="115">
        <f>Water!C28</f>
        <v>251.63999999999652</v>
      </c>
      <c r="M25" s="115">
        <v>12500</v>
      </c>
      <c r="N25" s="115">
        <v>61</v>
      </c>
      <c r="O25" s="115">
        <v>378</v>
      </c>
      <c r="P25" s="121" t="e">
        <f>E25*H25+J25*K25+#REF!*#REF!+L25*M25</f>
        <v>#REF!</v>
      </c>
    </row>
    <row r="26" spans="1:16" x14ac:dyDescent="0.25">
      <c r="A26" s="120" t="s">
        <v>63</v>
      </c>
      <c r="B26" s="118">
        <f t="shared" si="0"/>
        <v>25</v>
      </c>
      <c r="C26" s="118">
        <v>5</v>
      </c>
      <c r="D26" s="117">
        <v>2021</v>
      </c>
      <c r="E26" s="115">
        <f>Electricity!H30</f>
        <v>22404</v>
      </c>
      <c r="F26" s="115">
        <f>+Electricity!F30</f>
        <v>4142</v>
      </c>
      <c r="G26" s="115">
        <f>+Electricity!G30</f>
        <v>18262</v>
      </c>
      <c r="H26" s="140" t="s">
        <v>72</v>
      </c>
      <c r="I26" s="115">
        <f>+Electricity!O30</f>
        <v>26111236.965</v>
      </c>
      <c r="J26" s="119">
        <f>Gas!D29</f>
        <v>160.47999999999999</v>
      </c>
      <c r="K26" s="142">
        <v>5362</v>
      </c>
      <c r="L26" s="115">
        <f>Water!C29</f>
        <v>143.83999999999506</v>
      </c>
      <c r="M26" s="115">
        <v>12500</v>
      </c>
      <c r="N26" s="115">
        <v>81</v>
      </c>
      <c r="O26" s="115">
        <v>380</v>
      </c>
      <c r="P26" s="121" t="e">
        <f>E26*H26+J26*K26+#REF!*#REF!+L26*M26</f>
        <v>#REF!</v>
      </c>
    </row>
    <row r="27" spans="1:16" x14ac:dyDescent="0.25">
      <c r="A27" s="120" t="s">
        <v>63</v>
      </c>
      <c r="B27" s="118">
        <f t="shared" si="0"/>
        <v>26</v>
      </c>
      <c r="C27" s="118">
        <v>5</v>
      </c>
      <c r="D27" s="117">
        <v>2021</v>
      </c>
      <c r="E27" s="115">
        <f>Electricity!H31</f>
        <v>21214</v>
      </c>
      <c r="F27" s="115">
        <f>+Electricity!F31</f>
        <v>3870</v>
      </c>
      <c r="G27" s="115">
        <f>+Electricity!G31</f>
        <v>17344</v>
      </c>
      <c r="H27" s="140" t="s">
        <v>72</v>
      </c>
      <c r="I27" s="115">
        <f>+Electricity!O31</f>
        <v>24696589.356599998</v>
      </c>
      <c r="J27" s="119">
        <f>Gas!D30</f>
        <v>145.09</v>
      </c>
      <c r="K27" s="142">
        <v>5362</v>
      </c>
      <c r="L27" s="115">
        <f>Water!C30</f>
        <v>164.23999999999506</v>
      </c>
      <c r="M27" s="115">
        <v>12500</v>
      </c>
      <c r="N27" s="115">
        <v>74</v>
      </c>
      <c r="O27" s="115">
        <v>226</v>
      </c>
      <c r="P27" s="121" t="e">
        <f>E27*H27+J27*K27+#REF!*#REF!+L27*M27</f>
        <v>#REF!</v>
      </c>
    </row>
    <row r="28" spans="1:16" x14ac:dyDescent="0.25">
      <c r="A28" s="120" t="s">
        <v>63</v>
      </c>
      <c r="B28" s="118">
        <f t="shared" si="0"/>
        <v>27</v>
      </c>
      <c r="C28" s="118">
        <v>5</v>
      </c>
      <c r="D28" s="117">
        <v>2021</v>
      </c>
      <c r="E28" s="115">
        <f>Electricity!H32</f>
        <v>22354</v>
      </c>
      <c r="F28" s="115">
        <f>+Electricity!F32</f>
        <v>3812</v>
      </c>
      <c r="G28" s="115">
        <f>+Electricity!G32</f>
        <v>18542</v>
      </c>
      <c r="H28" s="140" t="s">
        <v>72</v>
      </c>
      <c r="I28" s="115">
        <f>+Electricity!O32</f>
        <v>25881863.483999997</v>
      </c>
      <c r="J28" s="119">
        <f>Gas!D31</f>
        <v>196.67</v>
      </c>
      <c r="K28" s="142">
        <v>5362</v>
      </c>
      <c r="L28" s="115">
        <f>Water!C31</f>
        <v>204.82000000000554</v>
      </c>
      <c r="M28" s="115">
        <v>12500</v>
      </c>
      <c r="N28" s="115">
        <v>64</v>
      </c>
      <c r="O28" s="115">
        <v>275</v>
      </c>
      <c r="P28" s="121" t="e">
        <f>E28*H28+J28*K28+#REF!*#REF!+L28*M28</f>
        <v>#REF!</v>
      </c>
    </row>
    <row r="29" spans="1:16" x14ac:dyDescent="0.25">
      <c r="A29" s="120" t="s">
        <v>63</v>
      </c>
      <c r="B29" s="118">
        <f t="shared" si="0"/>
        <v>28</v>
      </c>
      <c r="C29" s="118">
        <v>5</v>
      </c>
      <c r="D29" s="117">
        <v>2021</v>
      </c>
      <c r="E29" s="115">
        <f>Electricity!H33</f>
        <v>25794</v>
      </c>
      <c r="F29" s="115">
        <f>+Electricity!F33</f>
        <v>5146</v>
      </c>
      <c r="G29" s="115">
        <f>+Electricity!G33</f>
        <v>20648</v>
      </c>
      <c r="H29" s="140" t="s">
        <v>72</v>
      </c>
      <c r="I29" s="115">
        <f>+Electricity!O33</f>
        <v>30263430.397799999</v>
      </c>
      <c r="J29" s="119">
        <f>Gas!D32</f>
        <v>196.48</v>
      </c>
      <c r="K29" s="142">
        <v>5362</v>
      </c>
      <c r="L29" s="115">
        <f>Water!C32</f>
        <v>203.15999999999696</v>
      </c>
      <c r="M29" s="115">
        <v>12500</v>
      </c>
      <c r="N29" s="115">
        <v>73</v>
      </c>
      <c r="O29" s="115">
        <f>119+690</f>
        <v>809</v>
      </c>
      <c r="P29" s="121" t="e">
        <f>E29*H29+J29*K29+#REF!*#REF!+L29*M29</f>
        <v>#REF!</v>
      </c>
    </row>
    <row r="30" spans="1:16" x14ac:dyDescent="0.25">
      <c r="A30" s="120" t="s">
        <v>63</v>
      </c>
      <c r="B30" s="118">
        <f>B29+1</f>
        <v>29</v>
      </c>
      <c r="C30" s="118">
        <v>5</v>
      </c>
      <c r="D30" s="117">
        <v>2021</v>
      </c>
      <c r="E30" s="115">
        <f>Electricity!H34</f>
        <v>20536</v>
      </c>
      <c r="F30" s="115">
        <f>+Electricity!F34</f>
        <v>3560</v>
      </c>
      <c r="G30" s="115">
        <f>+Electricity!G34</f>
        <v>16976</v>
      </c>
      <c r="H30" s="140" t="s">
        <v>72</v>
      </c>
      <c r="I30" s="115">
        <f>+Electricity!O34</f>
        <v>23807900.474399999</v>
      </c>
      <c r="J30" s="119">
        <f>Gas!D33</f>
        <v>137.27000000000001</v>
      </c>
      <c r="K30" s="142">
        <v>5362</v>
      </c>
      <c r="L30" s="115">
        <f>Water!C33</f>
        <v>142.49999999999926</v>
      </c>
      <c r="M30" s="115">
        <v>12500</v>
      </c>
      <c r="N30" s="115">
        <v>104</v>
      </c>
      <c r="O30" s="115">
        <f>209+251</f>
        <v>460</v>
      </c>
      <c r="P30" s="121" t="e">
        <f>E30*H30+J30*K30+#REF!*#REF!+L30*M30</f>
        <v>#REF!</v>
      </c>
    </row>
    <row r="31" spans="1:16" x14ac:dyDescent="0.25">
      <c r="A31" s="120" t="s">
        <v>63</v>
      </c>
      <c r="B31" s="118">
        <f t="shared" si="0"/>
        <v>30</v>
      </c>
      <c r="C31" s="118">
        <v>5</v>
      </c>
      <c r="D31" s="117">
        <v>2021</v>
      </c>
      <c r="E31" s="115">
        <f>Electricity!H35</f>
        <v>19878</v>
      </c>
      <c r="F31" s="115">
        <f>+Electricity!F35</f>
        <v>3502</v>
      </c>
      <c r="G31" s="115">
        <f>+Electricity!G35</f>
        <v>16376</v>
      </c>
      <c r="H31" s="140" t="s">
        <v>72</v>
      </c>
      <c r="I31" s="115">
        <f>+Electricity!O35</f>
        <v>23074972.1886</v>
      </c>
      <c r="J31" s="119">
        <f>Gas!D34</f>
        <v>110.54</v>
      </c>
      <c r="K31" s="142">
        <v>5362</v>
      </c>
      <c r="L31" s="115">
        <f>Water!C34</f>
        <v>171.80000000000291</v>
      </c>
      <c r="M31" s="115">
        <v>12500</v>
      </c>
      <c r="N31" s="115">
        <v>57</v>
      </c>
      <c r="O31" s="115">
        <f>115+247</f>
        <v>362</v>
      </c>
      <c r="P31" s="121"/>
    </row>
    <row r="32" spans="1:16" x14ac:dyDescent="0.25">
      <c r="A32" s="120" t="s">
        <v>63</v>
      </c>
      <c r="B32" s="118">
        <f t="shared" si="0"/>
        <v>31</v>
      </c>
      <c r="C32" s="118">
        <v>5</v>
      </c>
      <c r="D32" s="117">
        <v>2021</v>
      </c>
      <c r="E32" s="115">
        <f>Electricity!H36</f>
        <v>20329</v>
      </c>
      <c r="F32" s="115">
        <f>+Electricity!F36</f>
        <v>3575</v>
      </c>
      <c r="G32" s="115">
        <f>+Electricity!G36</f>
        <v>16754</v>
      </c>
      <c r="H32" s="140" t="s">
        <v>72</v>
      </c>
      <c r="I32" s="115">
        <f>+Electricity!O36</f>
        <v>23595063.221100003</v>
      </c>
      <c r="J32" s="119">
        <f>Gas!D35</f>
        <v>155.5</v>
      </c>
      <c r="K32" s="142">
        <v>5362</v>
      </c>
      <c r="L32" s="115">
        <f>Water!C35</f>
        <v>160.75999999999985</v>
      </c>
      <c r="M32" s="115">
        <v>12500</v>
      </c>
      <c r="N32" s="115">
        <v>87</v>
      </c>
      <c r="O32" s="115">
        <f>176+301</f>
        <v>477</v>
      </c>
      <c r="P32" s="121" t="e">
        <f>E32*H32+J32*K32+#REF!*#REF!+L32*M32</f>
        <v>#REF!</v>
      </c>
    </row>
    <row r="33" spans="1:16" s="115" customFormat="1" x14ac:dyDescent="0.25">
      <c r="A33" s="116"/>
      <c r="B33" s="118"/>
      <c r="C33" s="118"/>
      <c r="D33" s="117"/>
      <c r="H33" s="119"/>
      <c r="I33" s="119"/>
      <c r="J33" s="119"/>
      <c r="K33" s="142"/>
      <c r="L33" s="119"/>
      <c r="M33" s="119"/>
      <c r="P33" s="114"/>
    </row>
    <row r="34" spans="1:16" s="115" customFormat="1" x14ac:dyDescent="0.25">
      <c r="A34" s="116"/>
      <c r="B34" s="118"/>
      <c r="C34" s="118"/>
      <c r="D34" s="117"/>
      <c r="H34" s="119"/>
      <c r="I34" s="119"/>
      <c r="J34" s="119"/>
      <c r="K34" s="142"/>
      <c r="L34" s="119"/>
      <c r="M34" s="119"/>
      <c r="P34" s="114"/>
    </row>
    <row r="35" spans="1:16" s="115" customFormat="1" x14ac:dyDescent="0.25">
      <c r="A35" s="116"/>
      <c r="B35" s="118"/>
      <c r="C35" s="118"/>
      <c r="D35" s="117"/>
      <c r="H35" s="119"/>
      <c r="I35" s="119"/>
      <c r="J35" s="119"/>
      <c r="K35" s="142"/>
      <c r="L35" s="119"/>
      <c r="M35" s="119"/>
      <c r="P35" s="114"/>
    </row>
    <row r="36" spans="1:16" s="115" customFormat="1" x14ac:dyDescent="0.25">
      <c r="A36" s="116"/>
      <c r="B36" s="118"/>
      <c r="C36" s="118"/>
      <c r="D36" s="117"/>
      <c r="H36" s="119"/>
      <c r="I36" s="119"/>
      <c r="J36" s="119"/>
      <c r="K36" s="142"/>
      <c r="L36" s="119"/>
      <c r="M36" s="119"/>
      <c r="P36" s="114"/>
    </row>
    <row r="37" spans="1:16" s="115" customFormat="1" x14ac:dyDescent="0.25">
      <c r="A37" s="116"/>
      <c r="B37" s="118"/>
      <c r="C37" s="118"/>
      <c r="D37" s="117"/>
      <c r="H37" s="119"/>
      <c r="I37" s="119"/>
      <c r="J37" s="119"/>
      <c r="K37" s="142"/>
      <c r="L37" s="119"/>
      <c r="M37" s="119"/>
      <c r="P37" s="114"/>
    </row>
    <row r="38" spans="1:16" s="115" customFormat="1" x14ac:dyDescent="0.25">
      <c r="A38" s="116"/>
      <c r="B38" s="118"/>
      <c r="C38" s="118"/>
      <c r="D38" s="117"/>
      <c r="H38" s="119"/>
      <c r="I38" s="119"/>
      <c r="J38" s="119"/>
      <c r="K38" s="142"/>
      <c r="L38" s="119"/>
      <c r="M38" s="119"/>
      <c r="P38" s="1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55"/>
  <sheetViews>
    <sheetView view="pageBreakPreview" zoomScale="80" zoomScaleNormal="80" zoomScaleSheetLayoutView="80" workbookViewId="0">
      <pane ySplit="4" topLeftCell="A5" activePane="bottomLeft" state="frozen"/>
      <selection pane="bottomLeft" activeCell="F30" sqref="F30"/>
    </sheetView>
  </sheetViews>
  <sheetFormatPr defaultRowHeight="15" x14ac:dyDescent="0.25"/>
  <cols>
    <col min="1" max="1" width="2.28515625" style="32" customWidth="1"/>
    <col min="2" max="5" width="16.28515625" style="32" customWidth="1"/>
    <col min="6" max="7" width="17.7109375" style="96" customWidth="1"/>
    <col min="8" max="10" width="29.7109375" style="96" customWidth="1"/>
    <col min="11" max="11" width="21.5703125" style="32" bestFit="1" customWidth="1"/>
    <col min="12" max="12" width="24.85546875" style="32" customWidth="1"/>
    <col min="13" max="13" width="29.7109375" style="32" customWidth="1"/>
    <col min="14" max="14" width="20.5703125" style="32" bestFit="1" customWidth="1"/>
    <col min="15" max="15" width="23.42578125" style="32" customWidth="1"/>
    <col min="16" max="16" width="11" style="30" customWidth="1"/>
    <col min="17" max="17" width="16.5703125" style="30" customWidth="1"/>
    <col min="18" max="20" width="9.140625" style="30"/>
    <col min="21" max="16384" width="9.140625" style="32"/>
  </cols>
  <sheetData>
    <row r="1" spans="2:20" s="1" customFormat="1" ht="15.75" thickBot="1" x14ac:dyDescent="0.3">
      <c r="B1" s="161" t="s">
        <v>52</v>
      </c>
      <c r="C1" s="162"/>
      <c r="D1" s="162"/>
      <c r="E1" s="162"/>
      <c r="F1" s="78"/>
      <c r="G1" s="79"/>
      <c r="H1" s="79"/>
      <c r="I1" s="79"/>
      <c r="J1" s="79"/>
      <c r="K1" s="74"/>
      <c r="L1" s="73"/>
      <c r="M1" s="73"/>
      <c r="N1" s="73"/>
      <c r="O1" s="75"/>
      <c r="P1" s="2"/>
      <c r="Q1" s="2"/>
    </row>
    <row r="2" spans="2:20" s="3" customFormat="1" ht="63" customHeight="1" x14ac:dyDescent="0.25">
      <c r="B2" s="163" t="s">
        <v>0</v>
      </c>
      <c r="C2" s="129"/>
      <c r="D2" s="129"/>
      <c r="E2" s="166" t="s">
        <v>21</v>
      </c>
      <c r="F2" s="168" t="s">
        <v>25</v>
      </c>
      <c r="G2" s="169"/>
      <c r="H2" s="169"/>
      <c r="I2" s="169"/>
      <c r="J2" s="169"/>
      <c r="K2" s="169"/>
      <c r="L2" s="169"/>
      <c r="M2" s="169"/>
      <c r="N2" s="169"/>
      <c r="O2" s="170"/>
      <c r="P2" s="2"/>
      <c r="Q2" s="2"/>
      <c r="R2" s="1"/>
      <c r="S2" s="1"/>
      <c r="T2" s="1"/>
    </row>
    <row r="3" spans="2:20" s="68" customFormat="1" ht="25.5" customHeight="1" x14ac:dyDescent="0.25">
      <c r="B3" s="164"/>
      <c r="C3" s="130"/>
      <c r="D3" s="130"/>
      <c r="E3" s="158"/>
      <c r="F3" s="65" t="s">
        <v>19</v>
      </c>
      <c r="G3" s="69" t="s">
        <v>28</v>
      </c>
      <c r="H3" s="69" t="s">
        <v>33</v>
      </c>
      <c r="I3" s="171" t="s">
        <v>32</v>
      </c>
      <c r="J3" s="172"/>
      <c r="K3" s="171" t="s">
        <v>34</v>
      </c>
      <c r="L3" s="173"/>
      <c r="M3" s="172"/>
      <c r="N3" s="157" t="s">
        <v>26</v>
      </c>
      <c r="O3" s="159" t="s">
        <v>8</v>
      </c>
      <c r="P3" s="66"/>
      <c r="Q3" s="66"/>
      <c r="R3" s="67"/>
      <c r="S3" s="67"/>
      <c r="T3" s="67"/>
    </row>
    <row r="4" spans="2:20" s="3" customFormat="1" ht="29.25" customHeight="1" x14ac:dyDescent="0.25">
      <c r="B4" s="165"/>
      <c r="C4" s="131"/>
      <c r="D4" s="131"/>
      <c r="E4" s="167"/>
      <c r="F4" s="62" t="s">
        <v>27</v>
      </c>
      <c r="G4" s="61" t="s">
        <v>29</v>
      </c>
      <c r="H4" s="61" t="s">
        <v>30</v>
      </c>
      <c r="I4" s="70" t="s">
        <v>31</v>
      </c>
      <c r="J4" s="71" t="s">
        <v>24</v>
      </c>
      <c r="K4" s="72" t="s">
        <v>19</v>
      </c>
      <c r="L4" s="61" t="s">
        <v>20</v>
      </c>
      <c r="M4" s="61" t="s">
        <v>1</v>
      </c>
      <c r="N4" s="158"/>
      <c r="O4" s="160"/>
      <c r="P4" s="2"/>
      <c r="Q4" s="5"/>
      <c r="R4" s="1"/>
      <c r="S4" s="1"/>
      <c r="T4" s="1"/>
    </row>
    <row r="5" spans="2:20" s="3" customFormat="1" ht="35.25" customHeight="1" x14ac:dyDescent="0.25">
      <c r="B5" s="59"/>
      <c r="C5" s="132" t="s">
        <v>64</v>
      </c>
      <c r="D5" s="132" t="s">
        <v>65</v>
      </c>
      <c r="E5" s="64">
        <v>1035.78</v>
      </c>
      <c r="F5" s="61" t="s">
        <v>22</v>
      </c>
      <c r="G5" s="61" t="s">
        <v>22</v>
      </c>
      <c r="H5" s="61" t="s">
        <v>22</v>
      </c>
      <c r="I5" s="61" t="s">
        <v>22</v>
      </c>
      <c r="J5" s="61" t="s">
        <v>22</v>
      </c>
      <c r="K5" s="61" t="s">
        <v>23</v>
      </c>
      <c r="L5" s="61" t="s">
        <v>23</v>
      </c>
      <c r="M5" s="61" t="s">
        <v>23</v>
      </c>
      <c r="N5" s="60" t="s">
        <v>23</v>
      </c>
      <c r="O5" s="4" t="s">
        <v>23</v>
      </c>
      <c r="P5" s="2"/>
      <c r="Q5" s="5"/>
      <c r="R5" s="1"/>
      <c r="S5" s="1"/>
      <c r="T5" s="1"/>
    </row>
    <row r="6" spans="2:20" s="3" customFormat="1" ht="50.1" customHeight="1" x14ac:dyDescent="0.25">
      <c r="B6" s="6">
        <v>43952</v>
      </c>
      <c r="C6" s="156">
        <f>SUM(TOTAL!N2)</f>
        <v>93</v>
      </c>
      <c r="D6" s="156">
        <f>SUM(TOTAL!O2)</f>
        <v>569</v>
      </c>
      <c r="E6" s="138">
        <v>1035.78</v>
      </c>
      <c r="F6" s="134">
        <v>3900</v>
      </c>
      <c r="G6" s="133">
        <v>16884</v>
      </c>
      <c r="H6" s="63">
        <f t="shared" ref="H6:H36" si="0">G6+F6</f>
        <v>20784</v>
      </c>
      <c r="I6" s="80">
        <v>8560</v>
      </c>
      <c r="J6" s="80">
        <f>+H6-I6</f>
        <v>12224</v>
      </c>
      <c r="K6" s="54">
        <f t="shared" ref="K6:K33" si="1">F6*1.5*E6</f>
        <v>6059313</v>
      </c>
      <c r="L6" s="54">
        <f t="shared" ref="L6:L33" si="2">G6*E6</f>
        <v>17488109.52</v>
      </c>
      <c r="M6" s="54">
        <f t="shared" ref="M6:M33" si="3">L6+K6</f>
        <v>23547422.52</v>
      </c>
      <c r="N6" s="55">
        <f>M6*0.03</f>
        <v>706422.67559999996</v>
      </c>
      <c r="O6" s="76">
        <f>M6+N6</f>
        <v>24253845.195599999</v>
      </c>
      <c r="P6" s="1"/>
      <c r="Q6" s="7"/>
      <c r="R6" s="1"/>
      <c r="S6" s="1"/>
      <c r="T6" s="1"/>
    </row>
    <row r="7" spans="2:20" s="3" customFormat="1" ht="50.1" customHeight="1" x14ac:dyDescent="0.25">
      <c r="B7" s="6">
        <v>43953</v>
      </c>
      <c r="C7" s="156">
        <f>SUM(TOTAL!N3)</f>
        <v>33</v>
      </c>
      <c r="D7" s="156">
        <f>SUM(TOTAL!O3)</f>
        <v>355</v>
      </c>
      <c r="E7" s="138">
        <v>1035.78</v>
      </c>
      <c r="F7" s="81">
        <v>3685</v>
      </c>
      <c r="G7" s="133">
        <v>16986</v>
      </c>
      <c r="H7" s="63">
        <f t="shared" si="0"/>
        <v>20671</v>
      </c>
      <c r="I7" s="80">
        <v>8404</v>
      </c>
      <c r="J7" s="80">
        <f t="shared" ref="J7:J33" si="4">+H7-I7</f>
        <v>12267</v>
      </c>
      <c r="K7" s="54">
        <f t="shared" si="1"/>
        <v>5725273.9500000002</v>
      </c>
      <c r="L7" s="54">
        <f t="shared" si="2"/>
        <v>17593759.079999998</v>
      </c>
      <c r="M7" s="54">
        <f t="shared" si="3"/>
        <v>23319033.029999997</v>
      </c>
      <c r="N7" s="55">
        <f>M7*0.03</f>
        <v>699570.99089999986</v>
      </c>
      <c r="O7" s="76">
        <f>M7+N7</f>
        <v>24018604.020899996</v>
      </c>
      <c r="P7" s="1"/>
      <c r="Q7" s="97"/>
      <c r="R7" s="1"/>
      <c r="S7" s="1"/>
      <c r="T7" s="1"/>
    </row>
    <row r="8" spans="2:20" s="3" customFormat="1" ht="50.1" customHeight="1" x14ac:dyDescent="0.25">
      <c r="B8" s="6">
        <v>43954</v>
      </c>
      <c r="C8" s="156">
        <f>SUM(TOTAL!N4)</f>
        <v>41</v>
      </c>
      <c r="D8" s="156">
        <f>SUM(TOTAL!O4)</f>
        <v>274</v>
      </c>
      <c r="E8" s="138">
        <v>1035.78</v>
      </c>
      <c r="F8" s="81">
        <v>3538</v>
      </c>
      <c r="G8" s="133">
        <v>16662</v>
      </c>
      <c r="H8" s="63">
        <f t="shared" si="0"/>
        <v>20200</v>
      </c>
      <c r="I8" s="80">
        <v>8346</v>
      </c>
      <c r="J8" s="80">
        <f t="shared" si="4"/>
        <v>11854</v>
      </c>
      <c r="K8" s="54">
        <f t="shared" si="1"/>
        <v>5496884.46</v>
      </c>
      <c r="L8" s="54">
        <f t="shared" si="2"/>
        <v>17258166.359999999</v>
      </c>
      <c r="M8" s="54">
        <f t="shared" si="3"/>
        <v>22755050.82</v>
      </c>
      <c r="N8" s="55">
        <f t="shared" ref="N8:N33" si="5">M8*0.03</f>
        <v>682651.5246</v>
      </c>
      <c r="O8" s="76">
        <f t="shared" ref="O8:O33" si="6">M8+N8</f>
        <v>23437702.344599999</v>
      </c>
      <c r="P8" s="1"/>
      <c r="Q8" s="2"/>
      <c r="R8" s="1"/>
      <c r="S8" s="1"/>
      <c r="T8" s="1"/>
    </row>
    <row r="9" spans="2:20" s="3" customFormat="1" ht="50.1" customHeight="1" x14ac:dyDescent="0.25">
      <c r="B9" s="6">
        <v>43955</v>
      </c>
      <c r="C9" s="156">
        <f>SUM(TOTAL!N5)</f>
        <v>42</v>
      </c>
      <c r="D9" s="156">
        <f>SUM(TOTAL!O5)</f>
        <v>459</v>
      </c>
      <c r="E9" s="138">
        <v>1035.78</v>
      </c>
      <c r="F9" s="81">
        <v>3880</v>
      </c>
      <c r="G9" s="133">
        <v>17130</v>
      </c>
      <c r="H9" s="63">
        <f t="shared" si="0"/>
        <v>21010</v>
      </c>
      <c r="I9" s="80">
        <v>8295</v>
      </c>
      <c r="J9" s="80">
        <f t="shared" si="4"/>
        <v>12715</v>
      </c>
      <c r="K9" s="54">
        <f t="shared" si="1"/>
        <v>6028239.5999999996</v>
      </c>
      <c r="L9" s="54">
        <f t="shared" si="2"/>
        <v>17742911.399999999</v>
      </c>
      <c r="M9" s="54">
        <f t="shared" si="3"/>
        <v>23771151</v>
      </c>
      <c r="N9" s="55">
        <f t="shared" si="5"/>
        <v>713134.53</v>
      </c>
      <c r="O9" s="76">
        <f t="shared" si="6"/>
        <v>24484285.530000001</v>
      </c>
      <c r="P9" s="1"/>
      <c r="Q9" s="2"/>
      <c r="R9" s="1"/>
      <c r="S9" s="1"/>
      <c r="T9" s="1"/>
    </row>
    <row r="10" spans="2:20" s="3" customFormat="1" ht="50.1" customHeight="1" x14ac:dyDescent="0.25">
      <c r="B10" s="6">
        <v>43956</v>
      </c>
      <c r="C10" s="156">
        <f>SUM(TOTAL!N6)</f>
        <v>37</v>
      </c>
      <c r="D10" s="156">
        <f>SUM(TOTAL!O6)</f>
        <v>397</v>
      </c>
      <c r="E10" s="138">
        <v>1035.78</v>
      </c>
      <c r="F10" s="81">
        <v>4278</v>
      </c>
      <c r="G10" s="133">
        <v>18874</v>
      </c>
      <c r="H10" s="63">
        <f t="shared" si="0"/>
        <v>23152</v>
      </c>
      <c r="I10" s="80">
        <v>10391</v>
      </c>
      <c r="J10" s="80">
        <f t="shared" si="4"/>
        <v>12761</v>
      </c>
      <c r="K10" s="54">
        <f t="shared" si="1"/>
        <v>6646600.2599999998</v>
      </c>
      <c r="L10" s="54">
        <f t="shared" si="2"/>
        <v>19549311.719999999</v>
      </c>
      <c r="M10" s="54">
        <f t="shared" si="3"/>
        <v>26195911.979999997</v>
      </c>
      <c r="N10" s="55">
        <f t="shared" si="5"/>
        <v>785877.35939999984</v>
      </c>
      <c r="O10" s="76">
        <f t="shared" si="6"/>
        <v>26981789.339399997</v>
      </c>
      <c r="P10" s="1"/>
      <c r="Q10" s="2"/>
      <c r="R10" s="1"/>
      <c r="S10" s="1"/>
      <c r="T10" s="1"/>
    </row>
    <row r="11" spans="2:20" s="3" customFormat="1" ht="50.1" customHeight="1" x14ac:dyDescent="0.25">
      <c r="B11" s="6">
        <v>43957</v>
      </c>
      <c r="C11" s="156">
        <f>SUM(TOTAL!N7)</f>
        <v>27</v>
      </c>
      <c r="D11" s="156">
        <f>SUM(TOTAL!O7)</f>
        <v>273</v>
      </c>
      <c r="E11" s="138">
        <v>1035.78</v>
      </c>
      <c r="F11" s="81">
        <v>3580</v>
      </c>
      <c r="G11" s="133">
        <v>16472</v>
      </c>
      <c r="H11" s="63">
        <f t="shared" si="0"/>
        <v>20052</v>
      </c>
      <c r="I11" s="80">
        <v>8117</v>
      </c>
      <c r="J11" s="80">
        <f t="shared" si="4"/>
        <v>11935</v>
      </c>
      <c r="K11" s="54">
        <f t="shared" si="1"/>
        <v>5562138.5999999996</v>
      </c>
      <c r="L11" s="54">
        <f t="shared" si="2"/>
        <v>17061368.16</v>
      </c>
      <c r="M11" s="54">
        <f t="shared" si="3"/>
        <v>22623506.759999998</v>
      </c>
      <c r="N11" s="55">
        <f t="shared" si="5"/>
        <v>678705.20279999997</v>
      </c>
      <c r="O11" s="76">
        <f t="shared" si="6"/>
        <v>23302211.962799996</v>
      </c>
      <c r="P11" s="1"/>
      <c r="Q11" s="2"/>
      <c r="R11" s="1"/>
      <c r="S11" s="1"/>
      <c r="T11" s="1"/>
    </row>
    <row r="12" spans="2:20" s="3" customFormat="1" ht="50.1" customHeight="1" x14ac:dyDescent="0.25">
      <c r="B12" s="6">
        <v>43958</v>
      </c>
      <c r="C12" s="156">
        <f>SUM(TOTAL!N8)</f>
        <v>49</v>
      </c>
      <c r="D12" s="156">
        <f>SUM(TOTAL!O8)</f>
        <v>394</v>
      </c>
      <c r="E12" s="138">
        <v>1035.78</v>
      </c>
      <c r="F12" s="81">
        <v>3806</v>
      </c>
      <c r="G12" s="133">
        <v>16206</v>
      </c>
      <c r="H12" s="63">
        <f t="shared" si="0"/>
        <v>20012</v>
      </c>
      <c r="I12" s="80">
        <v>8015</v>
      </c>
      <c r="J12" s="80">
        <f t="shared" si="4"/>
        <v>11997</v>
      </c>
      <c r="K12" s="54">
        <f t="shared" si="1"/>
        <v>5913268.0199999996</v>
      </c>
      <c r="L12" s="54">
        <f t="shared" si="2"/>
        <v>16785850.68</v>
      </c>
      <c r="M12" s="54">
        <f t="shared" si="3"/>
        <v>22699118.699999999</v>
      </c>
      <c r="N12" s="55">
        <f t="shared" si="5"/>
        <v>680973.56099999999</v>
      </c>
      <c r="O12" s="76">
        <f t="shared" si="6"/>
        <v>23380092.261</v>
      </c>
      <c r="P12" s="1"/>
      <c r="Q12" s="2"/>
      <c r="R12" s="1"/>
      <c r="S12" s="1"/>
      <c r="T12" s="1"/>
    </row>
    <row r="13" spans="2:20" s="3" customFormat="1" ht="50.1" customHeight="1" x14ac:dyDescent="0.25">
      <c r="B13" s="6">
        <v>43959</v>
      </c>
      <c r="C13" s="156">
        <f>SUM(TOTAL!N9)</f>
        <v>80</v>
      </c>
      <c r="D13" s="156">
        <f>SUM(TOTAL!O9)</f>
        <v>646</v>
      </c>
      <c r="E13" s="138">
        <v>1035.78</v>
      </c>
      <c r="F13" s="81">
        <v>5220</v>
      </c>
      <c r="G13" s="133">
        <v>20150</v>
      </c>
      <c r="H13" s="63">
        <f t="shared" si="0"/>
        <v>25370</v>
      </c>
      <c r="I13" s="80">
        <v>12008</v>
      </c>
      <c r="J13" s="80">
        <f t="shared" si="4"/>
        <v>13362</v>
      </c>
      <c r="K13" s="54">
        <f t="shared" si="1"/>
        <v>8110157.3999999994</v>
      </c>
      <c r="L13" s="54">
        <f t="shared" si="2"/>
        <v>20870967</v>
      </c>
      <c r="M13" s="54">
        <f t="shared" si="3"/>
        <v>28981124.399999999</v>
      </c>
      <c r="N13" s="55">
        <f t="shared" si="5"/>
        <v>869433.73199999996</v>
      </c>
      <c r="O13" s="76">
        <f t="shared" si="6"/>
        <v>29850558.131999999</v>
      </c>
      <c r="P13" s="2"/>
      <c r="Q13" s="2"/>
      <c r="R13" s="1"/>
      <c r="S13" s="1"/>
      <c r="T13" s="1"/>
    </row>
    <row r="14" spans="2:20" s="3" customFormat="1" ht="50.1" customHeight="1" x14ac:dyDescent="0.25">
      <c r="B14" s="6">
        <v>43960</v>
      </c>
      <c r="C14" s="156">
        <f>SUM(TOTAL!N10)</f>
        <v>52</v>
      </c>
      <c r="D14" s="156">
        <f>SUM(TOTAL!O10)</f>
        <v>423</v>
      </c>
      <c r="E14" s="138">
        <v>1035.78</v>
      </c>
      <c r="F14" s="81">
        <v>3638</v>
      </c>
      <c r="G14" s="133">
        <v>16588</v>
      </c>
      <c r="H14" s="63">
        <f t="shared" si="0"/>
        <v>20226</v>
      </c>
      <c r="I14" s="80">
        <v>8005</v>
      </c>
      <c r="J14" s="80">
        <f t="shared" si="4"/>
        <v>12221</v>
      </c>
      <c r="K14" s="54">
        <f t="shared" si="1"/>
        <v>5652251.46</v>
      </c>
      <c r="L14" s="54">
        <f t="shared" si="2"/>
        <v>17181518.640000001</v>
      </c>
      <c r="M14" s="54">
        <f t="shared" si="3"/>
        <v>22833770.100000001</v>
      </c>
      <c r="N14" s="55">
        <f t="shared" si="5"/>
        <v>685013.103</v>
      </c>
      <c r="O14" s="76">
        <f t="shared" si="6"/>
        <v>23518783.203000002</v>
      </c>
      <c r="P14" s="1"/>
      <c r="Q14" s="1"/>
      <c r="R14" s="1"/>
      <c r="S14" s="1"/>
      <c r="T14" s="1"/>
    </row>
    <row r="15" spans="2:20" s="3" customFormat="1" ht="50.1" customHeight="1" x14ac:dyDescent="0.25">
      <c r="B15" s="6">
        <v>43961</v>
      </c>
      <c r="C15" s="156">
        <f>SUM(TOTAL!N11)</f>
        <v>78</v>
      </c>
      <c r="D15" s="156">
        <f>SUM(TOTAL!O11)</f>
        <v>497</v>
      </c>
      <c r="E15" s="138">
        <v>1035.78</v>
      </c>
      <c r="F15" s="81">
        <v>4456</v>
      </c>
      <c r="G15" s="133">
        <v>18966</v>
      </c>
      <c r="H15" s="63">
        <f t="shared" si="0"/>
        <v>23422</v>
      </c>
      <c r="I15" s="80">
        <v>11082</v>
      </c>
      <c r="J15" s="80">
        <f t="shared" si="4"/>
        <v>12340</v>
      </c>
      <c r="K15" s="54">
        <f t="shared" si="1"/>
        <v>6923153.5199999996</v>
      </c>
      <c r="L15" s="54">
        <f t="shared" si="2"/>
        <v>19644603.48</v>
      </c>
      <c r="M15" s="54">
        <f t="shared" si="3"/>
        <v>26567757</v>
      </c>
      <c r="N15" s="55">
        <f t="shared" si="5"/>
        <v>797032.71</v>
      </c>
      <c r="O15" s="76">
        <f t="shared" si="6"/>
        <v>27364789.710000001</v>
      </c>
      <c r="P15" s="1"/>
      <c r="Q15" s="1"/>
      <c r="R15" s="1"/>
      <c r="S15" s="1"/>
      <c r="T15" s="1"/>
    </row>
    <row r="16" spans="2:20" s="3" customFormat="1" ht="50.1" customHeight="1" x14ac:dyDescent="0.25">
      <c r="B16" s="6">
        <v>43962</v>
      </c>
      <c r="C16" s="156">
        <f>SUM(TOTAL!N12)</f>
        <v>40</v>
      </c>
      <c r="D16" s="156">
        <f>SUM(TOTAL!O12)</f>
        <v>411</v>
      </c>
      <c r="E16" s="138">
        <v>1035.78</v>
      </c>
      <c r="F16" s="81">
        <v>3730</v>
      </c>
      <c r="G16" s="133">
        <v>17242</v>
      </c>
      <c r="H16" s="63">
        <f t="shared" si="0"/>
        <v>20972</v>
      </c>
      <c r="I16" s="80">
        <v>8565</v>
      </c>
      <c r="J16" s="80">
        <f t="shared" si="4"/>
        <v>12407</v>
      </c>
      <c r="K16" s="54">
        <f t="shared" si="1"/>
        <v>5795189.0999999996</v>
      </c>
      <c r="L16" s="54">
        <f t="shared" si="2"/>
        <v>17858918.759999998</v>
      </c>
      <c r="M16" s="54">
        <f t="shared" si="3"/>
        <v>23654107.859999999</v>
      </c>
      <c r="N16" s="55">
        <f t="shared" si="5"/>
        <v>709623.23579999991</v>
      </c>
      <c r="O16" s="76">
        <f t="shared" si="6"/>
        <v>24363731.095799997</v>
      </c>
      <c r="P16" s="1"/>
      <c r="Q16" s="1"/>
      <c r="R16" s="1"/>
      <c r="S16" s="1"/>
      <c r="T16" s="1"/>
    </row>
    <row r="17" spans="2:20" s="3" customFormat="1" ht="50.1" customHeight="1" x14ac:dyDescent="0.25">
      <c r="B17" s="6">
        <v>43963</v>
      </c>
      <c r="C17" s="156">
        <f>SUM(TOTAL!N13)</f>
        <v>75</v>
      </c>
      <c r="D17" s="156">
        <f>SUM(TOTAL!O13)</f>
        <v>396</v>
      </c>
      <c r="E17" s="138">
        <v>1035.78</v>
      </c>
      <c r="F17" s="81">
        <v>3798</v>
      </c>
      <c r="G17" s="133">
        <v>16956</v>
      </c>
      <c r="H17" s="63">
        <f t="shared" si="0"/>
        <v>20754</v>
      </c>
      <c r="I17" s="80">
        <v>8628</v>
      </c>
      <c r="J17" s="80">
        <f t="shared" si="4"/>
        <v>12126</v>
      </c>
      <c r="K17" s="54">
        <f t="shared" si="1"/>
        <v>5900838.6600000001</v>
      </c>
      <c r="L17" s="54">
        <f t="shared" si="2"/>
        <v>17562685.68</v>
      </c>
      <c r="M17" s="54">
        <f t="shared" si="3"/>
        <v>23463524.34</v>
      </c>
      <c r="N17" s="55">
        <f t="shared" si="5"/>
        <v>703905.73019999999</v>
      </c>
      <c r="O17" s="76">
        <f t="shared" si="6"/>
        <v>24167430.0702</v>
      </c>
      <c r="P17" s="1"/>
      <c r="Q17" s="1"/>
      <c r="R17" s="1"/>
      <c r="S17" s="1"/>
      <c r="T17" s="1"/>
    </row>
    <row r="18" spans="2:20" s="3" customFormat="1" ht="50.1" customHeight="1" x14ac:dyDescent="0.25">
      <c r="B18" s="6">
        <v>43964</v>
      </c>
      <c r="C18" s="156">
        <f>SUM(TOTAL!N14)</f>
        <v>103</v>
      </c>
      <c r="D18" s="156">
        <f>SUM(TOTAL!O14)</f>
        <v>574</v>
      </c>
      <c r="E18" s="138">
        <v>1035.78</v>
      </c>
      <c r="F18" s="81">
        <v>3780</v>
      </c>
      <c r="G18" s="133">
        <v>17012</v>
      </c>
      <c r="H18" s="63">
        <f t="shared" si="0"/>
        <v>20792</v>
      </c>
      <c r="I18" s="80">
        <v>8458</v>
      </c>
      <c r="J18" s="80">
        <f t="shared" si="4"/>
        <v>12334</v>
      </c>
      <c r="K18" s="54">
        <f t="shared" si="1"/>
        <v>5872872.5999999996</v>
      </c>
      <c r="L18" s="54">
        <f t="shared" si="2"/>
        <v>17620689.359999999</v>
      </c>
      <c r="M18" s="54">
        <f t="shared" si="3"/>
        <v>23493561.960000001</v>
      </c>
      <c r="N18" s="55">
        <f t="shared" si="5"/>
        <v>704806.85880000005</v>
      </c>
      <c r="O18" s="76">
        <f t="shared" si="6"/>
        <v>24198368.818800002</v>
      </c>
      <c r="P18" s="1"/>
      <c r="Q18" s="1"/>
      <c r="R18" s="1"/>
      <c r="S18" s="1"/>
      <c r="T18" s="1"/>
    </row>
    <row r="19" spans="2:20" s="3" customFormat="1" ht="50.1" customHeight="1" x14ac:dyDescent="0.25">
      <c r="B19" s="6">
        <v>43965</v>
      </c>
      <c r="C19" s="156">
        <f>SUM(TOTAL!N15)</f>
        <v>111</v>
      </c>
      <c r="D19" s="156">
        <f>SUM(TOTAL!O15)</f>
        <v>617</v>
      </c>
      <c r="E19" s="138">
        <v>1035.78</v>
      </c>
      <c r="F19" s="81">
        <v>3604</v>
      </c>
      <c r="G19" s="133">
        <v>16520</v>
      </c>
      <c r="H19" s="63">
        <f t="shared" si="0"/>
        <v>20124</v>
      </c>
      <c r="I19" s="80">
        <v>7913</v>
      </c>
      <c r="J19" s="80">
        <f t="shared" si="4"/>
        <v>12211</v>
      </c>
      <c r="K19" s="54">
        <f t="shared" si="1"/>
        <v>5599426.6799999997</v>
      </c>
      <c r="L19" s="54">
        <f t="shared" si="2"/>
        <v>17111085.599999998</v>
      </c>
      <c r="M19" s="54">
        <f t="shared" si="3"/>
        <v>22710512.279999997</v>
      </c>
      <c r="N19" s="55">
        <f t="shared" si="5"/>
        <v>681315.36839999992</v>
      </c>
      <c r="O19" s="76">
        <f t="shared" si="6"/>
        <v>23391827.648399998</v>
      </c>
      <c r="P19" s="1"/>
      <c r="Q19" s="1"/>
      <c r="R19" s="1"/>
      <c r="S19" s="1"/>
      <c r="T19" s="1"/>
    </row>
    <row r="20" spans="2:20" s="3" customFormat="1" ht="50.1" customHeight="1" x14ac:dyDescent="0.25">
      <c r="B20" s="6">
        <v>43966</v>
      </c>
      <c r="C20" s="156">
        <f>SUM(TOTAL!N16)</f>
        <v>105</v>
      </c>
      <c r="D20" s="156">
        <f>SUM(TOTAL!O16)</f>
        <v>699</v>
      </c>
      <c r="E20" s="138">
        <v>1035.78</v>
      </c>
      <c r="F20" s="81">
        <v>3838</v>
      </c>
      <c r="G20" s="133">
        <v>16572</v>
      </c>
      <c r="H20" s="63">
        <f t="shared" si="0"/>
        <v>20410</v>
      </c>
      <c r="I20" s="80">
        <v>8172</v>
      </c>
      <c r="J20" s="80">
        <f t="shared" si="4"/>
        <v>12238</v>
      </c>
      <c r="K20" s="54">
        <f t="shared" si="1"/>
        <v>5962985.46</v>
      </c>
      <c r="L20" s="54">
        <f t="shared" si="2"/>
        <v>17164946.16</v>
      </c>
      <c r="M20" s="54">
        <f t="shared" si="3"/>
        <v>23127931.620000001</v>
      </c>
      <c r="N20" s="55">
        <f t="shared" si="5"/>
        <v>693837.9486</v>
      </c>
      <c r="O20" s="76">
        <f t="shared" si="6"/>
        <v>23821769.568600003</v>
      </c>
      <c r="P20" s="1"/>
      <c r="Q20" s="1"/>
      <c r="R20" s="1"/>
      <c r="S20" s="1"/>
      <c r="T20" s="1"/>
    </row>
    <row r="21" spans="2:20" s="3" customFormat="1" ht="50.1" customHeight="1" x14ac:dyDescent="0.25">
      <c r="B21" s="6">
        <v>43967</v>
      </c>
      <c r="C21" s="156">
        <f>SUM(TOTAL!N17)</f>
        <v>74</v>
      </c>
      <c r="D21" s="156">
        <f>SUM(TOTAL!O17)</f>
        <v>479</v>
      </c>
      <c r="E21" s="138">
        <v>1035.78</v>
      </c>
      <c r="F21" s="81">
        <v>3630</v>
      </c>
      <c r="G21" s="133">
        <v>16676</v>
      </c>
      <c r="H21" s="63">
        <f t="shared" si="0"/>
        <v>20306</v>
      </c>
      <c r="I21" s="80">
        <v>8226</v>
      </c>
      <c r="J21" s="80">
        <f t="shared" si="4"/>
        <v>12080</v>
      </c>
      <c r="K21" s="54">
        <f t="shared" si="1"/>
        <v>5639822.0999999996</v>
      </c>
      <c r="L21" s="54">
        <f t="shared" si="2"/>
        <v>17272667.280000001</v>
      </c>
      <c r="M21" s="54">
        <f t="shared" si="3"/>
        <v>22912489.380000003</v>
      </c>
      <c r="N21" s="55">
        <f t="shared" si="5"/>
        <v>687374.6814</v>
      </c>
      <c r="O21" s="76">
        <f t="shared" si="6"/>
        <v>23599864.061400004</v>
      </c>
      <c r="P21" s="1"/>
      <c r="Q21" s="1"/>
      <c r="R21" s="1"/>
      <c r="S21" s="1"/>
      <c r="T21" s="1"/>
    </row>
    <row r="22" spans="2:20" s="3" customFormat="1" ht="50.1" customHeight="1" x14ac:dyDescent="0.25">
      <c r="B22" s="6">
        <v>43968</v>
      </c>
      <c r="C22" s="156">
        <f>SUM(TOTAL!N18)</f>
        <v>76</v>
      </c>
      <c r="D22" s="156">
        <f>SUM(TOTAL!O18)</f>
        <v>379</v>
      </c>
      <c r="E22" s="138">
        <v>1035.78</v>
      </c>
      <c r="F22" s="81">
        <v>3694</v>
      </c>
      <c r="G22" s="133">
        <v>16416</v>
      </c>
      <c r="H22" s="63">
        <f t="shared" si="0"/>
        <v>20110</v>
      </c>
      <c r="I22" s="80">
        <v>8251</v>
      </c>
      <c r="J22" s="80">
        <f t="shared" si="4"/>
        <v>11859</v>
      </c>
      <c r="K22" s="54">
        <f t="shared" si="1"/>
        <v>5739256.9799999995</v>
      </c>
      <c r="L22" s="54">
        <f t="shared" si="2"/>
        <v>17003364.48</v>
      </c>
      <c r="M22" s="54">
        <f t="shared" si="3"/>
        <v>22742621.460000001</v>
      </c>
      <c r="N22" s="55">
        <f t="shared" si="5"/>
        <v>682278.64379999996</v>
      </c>
      <c r="O22" s="76">
        <f t="shared" si="6"/>
        <v>23424900.103800002</v>
      </c>
      <c r="P22" s="1"/>
      <c r="Q22" s="1"/>
      <c r="R22" s="1"/>
      <c r="S22" s="1"/>
      <c r="T22" s="1"/>
    </row>
    <row r="23" spans="2:20" s="3" customFormat="1" ht="50.1" customHeight="1" x14ac:dyDescent="0.25">
      <c r="B23" s="6">
        <v>43969</v>
      </c>
      <c r="C23" s="156">
        <f>SUM(TOTAL!N19)</f>
        <v>70</v>
      </c>
      <c r="D23" s="156">
        <f>SUM(TOTAL!O19)</f>
        <v>389</v>
      </c>
      <c r="E23" s="138">
        <v>1035.78</v>
      </c>
      <c r="F23" s="81">
        <v>3820</v>
      </c>
      <c r="G23" s="133">
        <v>16616</v>
      </c>
      <c r="H23" s="63">
        <f t="shared" si="0"/>
        <v>20436</v>
      </c>
      <c r="I23" s="80">
        <v>8120</v>
      </c>
      <c r="J23" s="80">
        <f t="shared" si="4"/>
        <v>12316</v>
      </c>
      <c r="K23" s="54">
        <f t="shared" si="1"/>
        <v>5935019.3999999994</v>
      </c>
      <c r="L23" s="54">
        <f t="shared" si="2"/>
        <v>17210520.48</v>
      </c>
      <c r="M23" s="54">
        <f t="shared" si="3"/>
        <v>23145539.879999999</v>
      </c>
      <c r="N23" s="55">
        <f t="shared" si="5"/>
        <v>694366.1963999999</v>
      </c>
      <c r="O23" s="76">
        <f t="shared" si="6"/>
        <v>23839906.076400001</v>
      </c>
      <c r="P23" s="1"/>
      <c r="Q23" s="1"/>
      <c r="R23" s="1"/>
      <c r="S23" s="1"/>
      <c r="T23" s="1"/>
    </row>
    <row r="24" spans="2:20" s="3" customFormat="1" ht="50.1" customHeight="1" x14ac:dyDescent="0.25">
      <c r="B24" s="6">
        <v>43970</v>
      </c>
      <c r="C24" s="156">
        <f>SUM(TOTAL!N20)</f>
        <v>55</v>
      </c>
      <c r="D24" s="156">
        <f>SUM(TOTAL!O20)</f>
        <v>349</v>
      </c>
      <c r="E24" s="138">
        <v>1035.78</v>
      </c>
      <c r="F24" s="81">
        <v>3770</v>
      </c>
      <c r="G24" s="133">
        <v>17076</v>
      </c>
      <c r="H24" s="63">
        <f t="shared" si="0"/>
        <v>20846</v>
      </c>
      <c r="I24" s="80">
        <v>8507</v>
      </c>
      <c r="J24" s="80">
        <f t="shared" si="4"/>
        <v>12339</v>
      </c>
      <c r="K24" s="54">
        <f t="shared" si="1"/>
        <v>5857335.8999999994</v>
      </c>
      <c r="L24" s="54">
        <f t="shared" si="2"/>
        <v>17686979.280000001</v>
      </c>
      <c r="M24" s="54">
        <f t="shared" si="3"/>
        <v>23544315.18</v>
      </c>
      <c r="N24" s="55">
        <f t="shared" si="5"/>
        <v>706329.45539999998</v>
      </c>
      <c r="O24" s="76">
        <f t="shared" si="6"/>
        <v>24250644.635400001</v>
      </c>
      <c r="P24" s="1"/>
      <c r="Q24" s="1"/>
      <c r="R24" s="1"/>
      <c r="S24" s="1"/>
      <c r="T24" s="1"/>
    </row>
    <row r="25" spans="2:20" s="3" customFormat="1" ht="50.1" customHeight="1" x14ac:dyDescent="0.25">
      <c r="B25" s="6">
        <v>43971</v>
      </c>
      <c r="C25" s="156">
        <f>SUM(TOTAL!N21)</f>
        <v>55</v>
      </c>
      <c r="D25" s="156">
        <f>SUM(TOTAL!O21)</f>
        <v>389</v>
      </c>
      <c r="E25" s="138">
        <v>1035.78</v>
      </c>
      <c r="F25" s="81">
        <v>4040</v>
      </c>
      <c r="G25" s="133">
        <v>19226</v>
      </c>
      <c r="H25" s="63">
        <f t="shared" si="0"/>
        <v>23266</v>
      </c>
      <c r="I25" s="80">
        <v>14247</v>
      </c>
      <c r="J25" s="80">
        <f t="shared" si="4"/>
        <v>9019</v>
      </c>
      <c r="K25" s="54">
        <f t="shared" si="1"/>
        <v>6276826.7999999998</v>
      </c>
      <c r="L25" s="54">
        <f t="shared" si="2"/>
        <v>19913906.280000001</v>
      </c>
      <c r="M25" s="54">
        <f t="shared" si="3"/>
        <v>26190733.080000002</v>
      </c>
      <c r="N25" s="55">
        <f t="shared" si="5"/>
        <v>785721.99239999999</v>
      </c>
      <c r="O25" s="76">
        <f t="shared" si="6"/>
        <v>26976455.072400004</v>
      </c>
      <c r="P25" s="1"/>
      <c r="Q25" s="1"/>
      <c r="R25" s="1"/>
      <c r="S25" s="1"/>
      <c r="T25" s="1"/>
    </row>
    <row r="26" spans="2:20" s="3" customFormat="1" ht="50.1" customHeight="1" x14ac:dyDescent="0.25">
      <c r="B26" s="6">
        <v>43972</v>
      </c>
      <c r="C26" s="156">
        <f>SUM(TOTAL!N22)</f>
        <v>75</v>
      </c>
      <c r="D26" s="156">
        <f>SUM(TOTAL!O22)</f>
        <v>294</v>
      </c>
      <c r="E26" s="138">
        <v>1035.78</v>
      </c>
      <c r="F26" s="81">
        <v>3928</v>
      </c>
      <c r="G26" s="133">
        <v>17808</v>
      </c>
      <c r="H26" s="63">
        <f t="shared" si="0"/>
        <v>21736</v>
      </c>
      <c r="I26" s="80">
        <v>24273</v>
      </c>
      <c r="J26" s="80">
        <f t="shared" si="4"/>
        <v>-2537</v>
      </c>
      <c r="K26" s="54">
        <f t="shared" si="1"/>
        <v>6102815.7599999998</v>
      </c>
      <c r="L26" s="54">
        <f t="shared" si="2"/>
        <v>18445170.239999998</v>
      </c>
      <c r="M26" s="54">
        <f t="shared" si="3"/>
        <v>24547986</v>
      </c>
      <c r="N26" s="55">
        <f t="shared" si="5"/>
        <v>736439.58</v>
      </c>
      <c r="O26" s="76">
        <f t="shared" si="6"/>
        <v>25284425.579999998</v>
      </c>
      <c r="P26" s="1"/>
      <c r="Q26" s="1"/>
      <c r="R26" s="1"/>
      <c r="S26" s="1"/>
      <c r="T26" s="1"/>
    </row>
    <row r="27" spans="2:20" s="3" customFormat="1" ht="50.1" customHeight="1" x14ac:dyDescent="0.25">
      <c r="B27" s="6">
        <v>43973</v>
      </c>
      <c r="C27" s="156">
        <f>SUM(TOTAL!N23)</f>
        <v>103</v>
      </c>
      <c r="D27" s="156">
        <f>SUM(TOTAL!O23)</f>
        <v>522</v>
      </c>
      <c r="E27" s="138">
        <v>1035.78</v>
      </c>
      <c r="F27" s="81">
        <v>5048</v>
      </c>
      <c r="G27" s="133">
        <v>20666</v>
      </c>
      <c r="H27" s="77">
        <f t="shared" si="0"/>
        <v>25714</v>
      </c>
      <c r="I27" s="80">
        <v>21767</v>
      </c>
      <c r="J27" s="80">
        <f t="shared" si="4"/>
        <v>3947</v>
      </c>
      <c r="K27" s="54">
        <f t="shared" si="1"/>
        <v>7842926.1600000001</v>
      </c>
      <c r="L27" s="54">
        <f t="shared" si="2"/>
        <v>21405429.48</v>
      </c>
      <c r="M27" s="54">
        <f t="shared" si="3"/>
        <v>29248355.640000001</v>
      </c>
      <c r="N27" s="55">
        <f t="shared" si="5"/>
        <v>877450.6692</v>
      </c>
      <c r="O27" s="76">
        <f t="shared" si="6"/>
        <v>30125806.3092</v>
      </c>
      <c r="P27" s="1"/>
      <c r="Q27" s="1"/>
      <c r="R27" s="1"/>
      <c r="S27" s="1"/>
      <c r="T27" s="1"/>
    </row>
    <row r="28" spans="2:20" s="3" customFormat="1" ht="50.1" customHeight="1" x14ac:dyDescent="0.25">
      <c r="B28" s="6">
        <v>43974</v>
      </c>
      <c r="C28" s="156">
        <f>SUM(TOTAL!N24)</f>
        <v>59</v>
      </c>
      <c r="D28" s="156">
        <f>SUM(TOTAL!O24)</f>
        <v>604</v>
      </c>
      <c r="E28" s="138">
        <v>1035.78</v>
      </c>
      <c r="F28" s="81">
        <v>3902</v>
      </c>
      <c r="G28" s="133">
        <v>20990</v>
      </c>
      <c r="H28" s="77">
        <f t="shared" si="0"/>
        <v>24892</v>
      </c>
      <c r="I28" s="80">
        <v>19723</v>
      </c>
      <c r="J28" s="80">
        <f t="shared" si="4"/>
        <v>5169</v>
      </c>
      <c r="K28" s="54">
        <f t="shared" si="1"/>
        <v>6062420.3399999999</v>
      </c>
      <c r="L28" s="54">
        <f t="shared" si="2"/>
        <v>21741022.199999999</v>
      </c>
      <c r="M28" s="54">
        <f t="shared" si="3"/>
        <v>27803442.539999999</v>
      </c>
      <c r="N28" s="55">
        <f t="shared" si="5"/>
        <v>834103.27619999996</v>
      </c>
      <c r="O28" s="76">
        <f t="shared" si="6"/>
        <v>28637545.816199999</v>
      </c>
      <c r="P28" s="1"/>
      <c r="Q28" s="1"/>
      <c r="R28" s="1"/>
      <c r="S28" s="1"/>
      <c r="T28" s="1"/>
    </row>
    <row r="29" spans="2:20" s="3" customFormat="1" ht="50.1" customHeight="1" x14ac:dyDescent="0.25">
      <c r="B29" s="6">
        <v>43975</v>
      </c>
      <c r="C29" s="156">
        <f>SUM(TOTAL!N25)</f>
        <v>61</v>
      </c>
      <c r="D29" s="156">
        <f>SUM(TOTAL!O25)</f>
        <v>378</v>
      </c>
      <c r="E29" s="138">
        <v>1035.78</v>
      </c>
      <c r="F29" s="81">
        <v>4852</v>
      </c>
      <c r="G29" s="133">
        <v>19822</v>
      </c>
      <c r="H29" s="77">
        <f t="shared" si="0"/>
        <v>24674</v>
      </c>
      <c r="I29" s="80">
        <v>11470</v>
      </c>
      <c r="J29" s="80">
        <f t="shared" si="4"/>
        <v>13204</v>
      </c>
      <c r="K29" s="54">
        <f t="shared" si="1"/>
        <v>7538406.8399999999</v>
      </c>
      <c r="L29" s="54">
        <f t="shared" si="2"/>
        <v>20531231.16</v>
      </c>
      <c r="M29" s="54">
        <f t="shared" si="3"/>
        <v>28069638</v>
      </c>
      <c r="N29" s="55">
        <f t="shared" si="5"/>
        <v>842089.14</v>
      </c>
      <c r="O29" s="76">
        <f t="shared" si="6"/>
        <v>28911727.140000001</v>
      </c>
      <c r="P29" s="1"/>
      <c r="Q29" s="1"/>
      <c r="R29" s="1"/>
      <c r="S29" s="1"/>
      <c r="T29" s="1"/>
    </row>
    <row r="30" spans="2:20" s="3" customFormat="1" ht="50.1" customHeight="1" x14ac:dyDescent="0.25">
      <c r="B30" s="6">
        <v>43976</v>
      </c>
      <c r="C30" s="156">
        <f>SUM(TOTAL!N26)</f>
        <v>81</v>
      </c>
      <c r="D30" s="156">
        <f>SUM(TOTAL!O26)</f>
        <v>380</v>
      </c>
      <c r="E30" s="138">
        <v>1035.78</v>
      </c>
      <c r="F30" s="81">
        <v>4142</v>
      </c>
      <c r="G30" s="133">
        <v>18262</v>
      </c>
      <c r="H30" s="77">
        <f t="shared" si="0"/>
        <v>22404</v>
      </c>
      <c r="I30" s="80">
        <v>9367</v>
      </c>
      <c r="J30" s="80">
        <f t="shared" si="4"/>
        <v>13037</v>
      </c>
      <c r="K30" s="54">
        <f t="shared" si="1"/>
        <v>6435301.1399999997</v>
      </c>
      <c r="L30" s="54">
        <f t="shared" si="2"/>
        <v>18915414.359999999</v>
      </c>
      <c r="M30" s="54">
        <f t="shared" si="3"/>
        <v>25350715.5</v>
      </c>
      <c r="N30" s="55">
        <f t="shared" si="5"/>
        <v>760521.46499999997</v>
      </c>
      <c r="O30" s="76">
        <f t="shared" si="6"/>
        <v>26111236.965</v>
      </c>
      <c r="P30" s="1"/>
      <c r="Q30" s="1"/>
      <c r="R30" s="1"/>
      <c r="S30" s="1"/>
      <c r="T30" s="1"/>
    </row>
    <row r="31" spans="2:20" s="3" customFormat="1" ht="50.1" customHeight="1" x14ac:dyDescent="0.25">
      <c r="B31" s="6">
        <v>43977</v>
      </c>
      <c r="C31" s="156">
        <f>SUM(TOTAL!N27)</f>
        <v>74</v>
      </c>
      <c r="D31" s="156">
        <f>SUM(TOTAL!O27)</f>
        <v>226</v>
      </c>
      <c r="E31" s="138">
        <v>1035.78</v>
      </c>
      <c r="F31" s="81">
        <v>3870</v>
      </c>
      <c r="G31" s="133">
        <v>17344</v>
      </c>
      <c r="H31" s="77">
        <f t="shared" si="0"/>
        <v>21214</v>
      </c>
      <c r="I31" s="80">
        <v>8690</v>
      </c>
      <c r="J31" s="80">
        <f t="shared" si="4"/>
        <v>12524</v>
      </c>
      <c r="K31" s="54">
        <f t="shared" si="1"/>
        <v>6012702.8999999994</v>
      </c>
      <c r="L31" s="54">
        <f t="shared" si="2"/>
        <v>17964568.32</v>
      </c>
      <c r="M31" s="54">
        <f t="shared" si="3"/>
        <v>23977271.219999999</v>
      </c>
      <c r="N31" s="55">
        <f t="shared" si="5"/>
        <v>719318.13659999997</v>
      </c>
      <c r="O31" s="76">
        <f t="shared" si="6"/>
        <v>24696589.356599998</v>
      </c>
      <c r="P31" s="1"/>
      <c r="Q31" s="1"/>
      <c r="R31" s="1"/>
      <c r="S31" s="1"/>
      <c r="T31" s="1"/>
    </row>
    <row r="32" spans="2:20" s="3" customFormat="1" ht="50.1" customHeight="1" x14ac:dyDescent="0.25">
      <c r="B32" s="6">
        <v>43978</v>
      </c>
      <c r="C32" s="156">
        <f>SUM(TOTAL!N28)</f>
        <v>64</v>
      </c>
      <c r="D32" s="156">
        <f>SUM(TOTAL!O28)</f>
        <v>275</v>
      </c>
      <c r="E32" s="138">
        <v>1035.78</v>
      </c>
      <c r="F32" s="81">
        <v>3812</v>
      </c>
      <c r="G32" s="133">
        <v>18542</v>
      </c>
      <c r="H32" s="77">
        <f t="shared" si="0"/>
        <v>22354</v>
      </c>
      <c r="I32" s="80">
        <v>9487</v>
      </c>
      <c r="J32" s="80">
        <f t="shared" si="4"/>
        <v>12867</v>
      </c>
      <c r="K32" s="54">
        <f t="shared" si="1"/>
        <v>5922590.04</v>
      </c>
      <c r="L32" s="54">
        <f t="shared" si="2"/>
        <v>19205432.759999998</v>
      </c>
      <c r="M32" s="54">
        <f t="shared" si="3"/>
        <v>25128022.799999997</v>
      </c>
      <c r="N32" s="55">
        <f t="shared" si="5"/>
        <v>753840.68399999989</v>
      </c>
      <c r="O32" s="76">
        <f t="shared" si="6"/>
        <v>25881863.483999997</v>
      </c>
      <c r="P32" s="1"/>
      <c r="Q32" s="1"/>
      <c r="R32" s="1"/>
      <c r="S32" s="1"/>
      <c r="T32" s="1"/>
    </row>
    <row r="33" spans="2:20" s="3" customFormat="1" ht="50.1" customHeight="1" x14ac:dyDescent="0.25">
      <c r="B33" s="6">
        <v>43979</v>
      </c>
      <c r="C33" s="156">
        <f>SUM(TOTAL!N29)</f>
        <v>73</v>
      </c>
      <c r="D33" s="156">
        <f>SUM(TOTAL!O29)</f>
        <v>809</v>
      </c>
      <c r="E33" s="138">
        <v>1035.78</v>
      </c>
      <c r="F33" s="81">
        <v>5146</v>
      </c>
      <c r="G33" s="133">
        <v>20648</v>
      </c>
      <c r="H33" s="77">
        <f t="shared" si="0"/>
        <v>25794</v>
      </c>
      <c r="I33" s="80">
        <v>12054</v>
      </c>
      <c r="J33" s="80">
        <f t="shared" si="4"/>
        <v>13740</v>
      </c>
      <c r="K33" s="54">
        <f t="shared" si="1"/>
        <v>7995185.8199999994</v>
      </c>
      <c r="L33" s="54">
        <f t="shared" si="2"/>
        <v>21386785.439999998</v>
      </c>
      <c r="M33" s="54">
        <f t="shared" si="3"/>
        <v>29381971.259999998</v>
      </c>
      <c r="N33" s="55">
        <f t="shared" si="5"/>
        <v>881459.13779999991</v>
      </c>
      <c r="O33" s="76">
        <f t="shared" si="6"/>
        <v>30263430.397799999</v>
      </c>
      <c r="P33" s="1"/>
      <c r="Q33" s="1"/>
      <c r="R33" s="1"/>
      <c r="S33" s="1"/>
      <c r="T33" s="1"/>
    </row>
    <row r="34" spans="2:20" s="3" customFormat="1" ht="50.1" customHeight="1" x14ac:dyDescent="0.25">
      <c r="B34" s="6">
        <v>43980</v>
      </c>
      <c r="C34" s="156">
        <f>SUM(TOTAL!N30)</f>
        <v>104</v>
      </c>
      <c r="D34" s="156">
        <f>SUM(TOTAL!O30)</f>
        <v>460</v>
      </c>
      <c r="E34" s="138">
        <v>1035.78</v>
      </c>
      <c r="F34" s="81">
        <v>3560</v>
      </c>
      <c r="G34" s="133">
        <v>16976</v>
      </c>
      <c r="H34" s="77">
        <f t="shared" si="0"/>
        <v>20536</v>
      </c>
      <c r="I34" s="80">
        <v>8093</v>
      </c>
      <c r="J34" s="80">
        <f t="shared" ref="J34:J36" si="7">+H34-I34</f>
        <v>12443</v>
      </c>
      <c r="K34" s="54">
        <f t="shared" ref="K34:K36" si="8">F34*1.5*E34</f>
        <v>5531065.2000000002</v>
      </c>
      <c r="L34" s="54">
        <f t="shared" ref="L34:L36" si="9">G34*E34</f>
        <v>17583401.280000001</v>
      </c>
      <c r="M34" s="54">
        <f t="shared" ref="M34:M36" si="10">L34+K34</f>
        <v>23114466.48</v>
      </c>
      <c r="N34" s="55">
        <f t="shared" ref="N34:N36" si="11">M34*0.03</f>
        <v>693433.99439999997</v>
      </c>
      <c r="O34" s="76">
        <f t="shared" ref="O34:O36" si="12">M34+N34</f>
        <v>23807900.474399999</v>
      </c>
      <c r="P34" s="1"/>
      <c r="Q34" s="1"/>
      <c r="R34" s="1"/>
      <c r="S34" s="1"/>
      <c r="T34" s="1"/>
    </row>
    <row r="35" spans="2:20" s="3" customFormat="1" ht="50.1" customHeight="1" x14ac:dyDescent="0.25">
      <c r="B35" s="6">
        <v>43981</v>
      </c>
      <c r="C35" s="156">
        <f>SUM(TOTAL!N31)</f>
        <v>57</v>
      </c>
      <c r="D35" s="156">
        <f>SUM(TOTAL!O31)</f>
        <v>362</v>
      </c>
      <c r="E35" s="138">
        <v>1035.78</v>
      </c>
      <c r="F35" s="81">
        <v>3502</v>
      </c>
      <c r="G35" s="133">
        <v>16376</v>
      </c>
      <c r="H35" s="77">
        <f>G35+F35</f>
        <v>19878</v>
      </c>
      <c r="I35" s="80">
        <v>7893</v>
      </c>
      <c r="J35" s="80">
        <f>+H35-I35</f>
        <v>11985</v>
      </c>
      <c r="K35" s="54">
        <f t="shared" si="8"/>
        <v>5440952.3399999999</v>
      </c>
      <c r="L35" s="54">
        <f t="shared" si="9"/>
        <v>16961933.280000001</v>
      </c>
      <c r="M35" s="54">
        <f t="shared" si="10"/>
        <v>22402885.620000001</v>
      </c>
      <c r="N35" s="55">
        <f t="shared" si="11"/>
        <v>672086.5686</v>
      </c>
      <c r="O35" s="76">
        <f t="shared" si="12"/>
        <v>23074972.1886</v>
      </c>
      <c r="P35" s="1"/>
      <c r="Q35" s="1"/>
      <c r="R35" s="1"/>
      <c r="S35" s="1"/>
      <c r="T35" s="1"/>
    </row>
    <row r="36" spans="2:20" s="3" customFormat="1" ht="50.1" customHeight="1" x14ac:dyDescent="0.25">
      <c r="B36" s="6">
        <v>43982</v>
      </c>
      <c r="C36" s="156">
        <f>SUM(TOTAL!N32)</f>
        <v>87</v>
      </c>
      <c r="D36" s="156">
        <f>SUM(TOTAL!O32)</f>
        <v>477</v>
      </c>
      <c r="E36" s="138">
        <v>1035.78</v>
      </c>
      <c r="F36" s="81">
        <v>3575</v>
      </c>
      <c r="G36" s="133">
        <v>16754</v>
      </c>
      <c r="H36" s="77">
        <f t="shared" si="0"/>
        <v>20329</v>
      </c>
      <c r="I36" s="80">
        <v>7956</v>
      </c>
      <c r="J36" s="80">
        <f t="shared" si="7"/>
        <v>12373</v>
      </c>
      <c r="K36" s="54">
        <f t="shared" si="8"/>
        <v>5554370.25</v>
      </c>
      <c r="L36" s="54">
        <f t="shared" si="9"/>
        <v>17353458.120000001</v>
      </c>
      <c r="M36" s="54">
        <f t="shared" si="10"/>
        <v>22907828.370000001</v>
      </c>
      <c r="N36" s="55">
        <f t="shared" si="11"/>
        <v>687234.85109999997</v>
      </c>
      <c r="O36" s="76">
        <f t="shared" si="12"/>
        <v>23595063.221100003</v>
      </c>
      <c r="P36" s="1"/>
      <c r="Q36" s="1"/>
      <c r="R36" s="1"/>
      <c r="S36" s="1"/>
      <c r="T36" s="1"/>
    </row>
    <row r="37" spans="2:20" s="1" customFormat="1" x14ac:dyDescent="0.25">
      <c r="B37" s="9"/>
      <c r="C37" s="9"/>
      <c r="D37" s="135">
        <f>SUM(TOTAL!O33)</f>
        <v>0</v>
      </c>
      <c r="E37" s="10" t="s">
        <v>2</v>
      </c>
      <c r="F37" s="82">
        <f t="shared" ref="F37:O37" si="13">SUM(F6:F36)</f>
        <v>123022</v>
      </c>
      <c r="G37" s="82">
        <f t="shared" si="13"/>
        <v>549418</v>
      </c>
      <c r="H37" s="82">
        <f t="shared" si="13"/>
        <v>672440</v>
      </c>
      <c r="I37" s="82">
        <f t="shared" si="13"/>
        <v>321083</v>
      </c>
      <c r="J37" s="82">
        <f t="shared" si="13"/>
        <v>351357</v>
      </c>
      <c r="K37" s="82">
        <f t="shared" si="13"/>
        <v>191135590.73999995</v>
      </c>
      <c r="L37" s="82">
        <f t="shared" si="13"/>
        <v>569076176.03999996</v>
      </c>
      <c r="M37" s="82">
        <f t="shared" si="13"/>
        <v>760211766.77999985</v>
      </c>
      <c r="N37" s="82">
        <f t="shared" si="13"/>
        <v>22806353.003399994</v>
      </c>
      <c r="O37" s="82">
        <f t="shared" si="13"/>
        <v>783018119.78339994</v>
      </c>
    </row>
    <row r="38" spans="2:20" s="1" customFormat="1" x14ac:dyDescent="0.25">
      <c r="B38" s="13"/>
      <c r="C38" s="13"/>
      <c r="D38" s="13"/>
      <c r="E38" s="13"/>
      <c r="F38" s="14"/>
      <c r="G38" s="14"/>
      <c r="H38" s="83"/>
      <c r="I38" s="83"/>
      <c r="J38" s="83"/>
      <c r="K38" s="14"/>
      <c r="L38" s="13"/>
      <c r="M38" s="13"/>
      <c r="N38" s="13"/>
      <c r="O38" s="11"/>
    </row>
    <row r="39" spans="2:20" s="1" customFormat="1" x14ac:dyDescent="0.25">
      <c r="B39" s="13"/>
      <c r="C39" s="13"/>
      <c r="D39" s="13"/>
      <c r="E39" s="15"/>
      <c r="F39" s="84"/>
      <c r="G39" s="84"/>
      <c r="H39" s="85"/>
      <c r="I39" s="85"/>
      <c r="J39" s="85"/>
      <c r="K39" s="17"/>
      <c r="M39" s="18" t="s">
        <v>3</v>
      </c>
      <c r="N39" s="50">
        <v>55985137</v>
      </c>
      <c r="O39" s="11"/>
      <c r="Q39" s="13"/>
    </row>
    <row r="40" spans="2:20" s="1" customFormat="1" x14ac:dyDescent="0.25">
      <c r="B40" s="13"/>
      <c r="C40" s="13"/>
      <c r="D40" s="13"/>
      <c r="E40" s="19"/>
      <c r="F40" s="84"/>
      <c r="G40" s="86"/>
      <c r="H40" s="85"/>
      <c r="I40" s="85"/>
      <c r="J40" s="85"/>
      <c r="K40" s="16"/>
      <c r="L40" s="20"/>
      <c r="M40" s="21" t="s">
        <v>4</v>
      </c>
      <c r="N40" s="50">
        <v>17744976</v>
      </c>
      <c r="O40" s="12">
        <f>N39+N40</f>
        <v>73730113</v>
      </c>
      <c r="P40" s="1" t="s">
        <v>5</v>
      </c>
      <c r="Q40" s="13"/>
    </row>
    <row r="41" spans="2:20" s="1" customFormat="1" x14ac:dyDescent="0.25">
      <c r="B41" s="13"/>
      <c r="C41" s="13"/>
      <c r="D41" s="13"/>
      <c r="F41" s="84"/>
      <c r="G41" s="87"/>
      <c r="H41" s="85"/>
      <c r="I41" s="85"/>
      <c r="J41" s="85"/>
      <c r="K41" s="17"/>
      <c r="M41" s="22"/>
      <c r="N41" s="13"/>
      <c r="O41" s="23">
        <f>O37+O40</f>
        <v>856748232.78339994</v>
      </c>
      <c r="Q41" s="13"/>
    </row>
    <row r="42" spans="2:20" s="1" customFormat="1" x14ac:dyDescent="0.25">
      <c r="B42" s="13"/>
      <c r="C42" s="13"/>
      <c r="D42" s="13"/>
      <c r="E42" s="13"/>
      <c r="F42" s="84"/>
      <c r="G42" s="86"/>
      <c r="H42" s="85"/>
      <c r="I42" s="85"/>
      <c r="J42" s="85"/>
      <c r="K42" s="17"/>
      <c r="M42" s="56" t="s">
        <v>14</v>
      </c>
      <c r="N42" s="52">
        <v>42856377</v>
      </c>
      <c r="O42" s="8"/>
      <c r="Q42" s="13"/>
    </row>
    <row r="43" spans="2:20" s="1" customFormat="1" x14ac:dyDescent="0.25">
      <c r="B43" s="13"/>
      <c r="C43" s="13"/>
      <c r="D43" s="13"/>
      <c r="E43" s="13"/>
      <c r="F43" s="84"/>
      <c r="G43" s="86"/>
      <c r="H43" s="85"/>
      <c r="I43" s="85"/>
      <c r="J43" s="85"/>
      <c r="K43" s="17"/>
      <c r="M43" s="58" t="s">
        <v>16</v>
      </c>
      <c r="N43" s="52">
        <v>72524343</v>
      </c>
      <c r="O43" s="8"/>
      <c r="Q43" s="13"/>
    </row>
    <row r="44" spans="2:20" s="1" customFormat="1" x14ac:dyDescent="0.25">
      <c r="B44" s="13"/>
      <c r="C44" s="13"/>
      <c r="D44" s="13"/>
      <c r="E44" s="24"/>
      <c r="F44" s="84"/>
      <c r="G44" s="84"/>
      <c r="H44" s="85"/>
      <c r="I44" s="85"/>
      <c r="J44" s="85"/>
      <c r="K44" s="17"/>
      <c r="M44" s="25" t="s">
        <v>6</v>
      </c>
      <c r="N44" s="50">
        <v>100000000</v>
      </c>
      <c r="O44" s="8"/>
      <c r="Q44" s="13"/>
    </row>
    <row r="45" spans="2:20" s="1" customFormat="1" x14ac:dyDescent="0.25">
      <c r="B45" s="13"/>
      <c r="C45" s="13"/>
      <c r="D45" s="13"/>
      <c r="F45" s="85"/>
      <c r="G45" s="85"/>
      <c r="H45" s="85"/>
      <c r="I45" s="85"/>
      <c r="J45" s="85"/>
      <c r="M45" s="51" t="s">
        <v>15</v>
      </c>
      <c r="N45" s="52">
        <f>N42+N43+N44</f>
        <v>215380720</v>
      </c>
      <c r="O45" s="23">
        <f>N45</f>
        <v>215380720</v>
      </c>
      <c r="P45" s="26" t="s">
        <v>7</v>
      </c>
      <c r="Q45" s="13"/>
    </row>
    <row r="46" spans="2:20" s="1" customFormat="1" x14ac:dyDescent="0.25">
      <c r="B46" s="13"/>
      <c r="C46" s="13"/>
      <c r="D46" s="13"/>
      <c r="E46" s="19"/>
      <c r="F46" s="88"/>
      <c r="G46" s="88"/>
      <c r="H46" s="89" t="s">
        <v>17</v>
      </c>
      <c r="I46" s="89"/>
      <c r="J46" s="89"/>
      <c r="K46" s="17"/>
      <c r="M46" s="22"/>
      <c r="N46" s="13"/>
      <c r="Q46" s="13"/>
    </row>
    <row r="47" spans="2:20" s="1" customFormat="1" ht="21" x14ac:dyDescent="0.25">
      <c r="B47" s="13"/>
      <c r="C47" s="13"/>
      <c r="D47" s="13"/>
      <c r="E47" s="13"/>
      <c r="F47" s="85"/>
      <c r="G47" s="85"/>
      <c r="H47" s="90"/>
      <c r="I47" s="90"/>
      <c r="J47" s="90"/>
      <c r="K47" s="13"/>
      <c r="M47" s="53" t="s">
        <v>8</v>
      </c>
      <c r="N47" s="13"/>
      <c r="O47" s="27">
        <f>O41-O45</f>
        <v>641367512.78339994</v>
      </c>
      <c r="P47" s="57" t="s">
        <v>18</v>
      </c>
      <c r="Q47" s="13"/>
    </row>
    <row r="48" spans="2:20" s="1" customFormat="1" x14ac:dyDescent="0.25">
      <c r="E48" s="28"/>
      <c r="F48" s="91"/>
      <c r="G48" s="85"/>
      <c r="H48" s="83"/>
      <c r="I48" s="83"/>
      <c r="J48" s="83"/>
    </row>
    <row r="49" spans="6:15" s="1" customFormat="1" x14ac:dyDescent="0.25">
      <c r="F49" s="85"/>
      <c r="G49" s="85"/>
      <c r="H49" s="83"/>
      <c r="I49" s="83"/>
      <c r="J49" s="83"/>
      <c r="O49" s="29"/>
    </row>
    <row r="50" spans="6:15" s="1" customFormat="1" x14ac:dyDescent="0.25">
      <c r="F50" s="85"/>
      <c r="G50" s="85"/>
      <c r="H50" s="92"/>
      <c r="I50" s="92"/>
      <c r="J50" s="92"/>
      <c r="O50" s="29"/>
    </row>
    <row r="51" spans="6:15" s="30" customFormat="1" x14ac:dyDescent="0.25">
      <c r="F51" s="93"/>
      <c r="G51" s="93"/>
      <c r="H51" s="94"/>
      <c r="I51" s="94"/>
      <c r="J51" s="94"/>
      <c r="O51" s="31"/>
    </row>
    <row r="52" spans="6:15" s="30" customFormat="1" x14ac:dyDescent="0.25">
      <c r="F52" s="93"/>
      <c r="G52" s="93"/>
      <c r="H52" s="95"/>
      <c r="I52" s="95"/>
      <c r="J52" s="95"/>
    </row>
    <row r="53" spans="6:15" s="30" customFormat="1" x14ac:dyDescent="0.25">
      <c r="F53" s="93"/>
      <c r="G53" s="93"/>
      <c r="H53" s="93"/>
      <c r="I53" s="93"/>
      <c r="J53" s="93"/>
    </row>
    <row r="54" spans="6:15" s="30" customFormat="1" x14ac:dyDescent="0.25">
      <c r="F54" s="93"/>
      <c r="G54" s="93"/>
      <c r="H54" s="95"/>
      <c r="I54" s="95"/>
      <c r="J54" s="95"/>
    </row>
    <row r="55" spans="6:15" s="30" customFormat="1" x14ac:dyDescent="0.25">
      <c r="F55" s="93"/>
      <c r="G55" s="93"/>
      <c r="H55" s="93"/>
      <c r="I55" s="93"/>
      <c r="J55" s="93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13" priority="35" operator="greaterThan">
      <formula>$H$48</formula>
    </cfRule>
  </conditionalFormatting>
  <conditionalFormatting sqref="H6:H36">
    <cfRule type="cellIs" dxfId="12" priority="34" operator="greaterThan">
      <formula>$H$48</formula>
    </cfRule>
  </conditionalFormatting>
  <conditionalFormatting sqref="F6:F23">
    <cfRule type="cellIs" dxfId="11" priority="13" operator="greaterThan">
      <formula>$D$49</formula>
    </cfRule>
  </conditionalFormatting>
  <conditionalFormatting sqref="G6:G23">
    <cfRule type="cellIs" dxfId="10" priority="12" operator="greaterThan">
      <formula>$E$49</formula>
    </cfRule>
  </conditionalFormatting>
  <conditionalFormatting sqref="I6:I23">
    <cfRule type="cellIs" dxfId="9" priority="11" operator="greaterThan">
      <formula>$G$49</formula>
    </cfRule>
  </conditionalFormatting>
  <conditionalFormatting sqref="I24:I28">
    <cfRule type="cellIs" dxfId="8" priority="10" operator="greaterThan">
      <formula>$G$49</formula>
    </cfRule>
  </conditionalFormatting>
  <conditionalFormatting sqref="G24:G28">
    <cfRule type="cellIs" dxfId="7" priority="8" operator="greaterThan">
      <formula>$E$49</formula>
    </cfRule>
  </conditionalFormatting>
  <conditionalFormatting sqref="F24:F28">
    <cfRule type="cellIs" dxfId="6" priority="7" operator="greaterThan">
      <formula>$D$49</formula>
    </cfRule>
  </conditionalFormatting>
  <conditionalFormatting sqref="F29:F33">
    <cfRule type="cellIs" dxfId="5" priority="6" operator="greaterThan">
      <formula>$D$49</formula>
    </cfRule>
  </conditionalFormatting>
  <conditionalFormatting sqref="G29:G33">
    <cfRule type="cellIs" dxfId="4" priority="5" operator="greaterThan">
      <formula>$E$49</formula>
    </cfRule>
  </conditionalFormatting>
  <conditionalFormatting sqref="I29:I33">
    <cfRule type="cellIs" dxfId="3" priority="4" operator="greaterThan">
      <formula>$G$49</formula>
    </cfRule>
  </conditionalFormatting>
  <conditionalFormatting sqref="F34:F36">
    <cfRule type="cellIs" dxfId="2" priority="3" operator="greaterThan">
      <formula>$D$48</formula>
    </cfRule>
  </conditionalFormatting>
  <conditionalFormatting sqref="G34:G36">
    <cfRule type="cellIs" dxfId="1" priority="2" operator="greaterThan">
      <formula>$E$48</formula>
    </cfRule>
  </conditionalFormatting>
  <conditionalFormatting sqref="I34:I36">
    <cfRule type="cellIs" dxfId="0" priority="1" operator="greaterThan">
      <formula>$G$48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7"/>
  <sheetViews>
    <sheetView zoomScale="90" zoomScaleNormal="90" workbookViewId="0">
      <selection activeCell="D33" sqref="D33"/>
    </sheetView>
  </sheetViews>
  <sheetFormatPr defaultRowHeight="15" x14ac:dyDescent="0.25"/>
  <cols>
    <col min="1" max="2" width="9.140625" style="147"/>
    <col min="3" max="3" width="29" style="147" customWidth="1"/>
    <col min="4" max="7" width="33.140625" style="152" customWidth="1"/>
    <col min="8" max="8" width="13.42578125" style="147" bestFit="1" customWidth="1"/>
    <col min="9" max="9" width="11.5703125" style="147" bestFit="1" customWidth="1"/>
    <col min="10" max="43" width="9.140625" style="147"/>
    <col min="44" max="16384" width="9.140625" style="148"/>
  </cols>
  <sheetData>
    <row r="1" spans="1:43" ht="15" customHeight="1" x14ac:dyDescent="0.25">
      <c r="B1" s="174" t="s">
        <v>9</v>
      </c>
      <c r="C1" s="174"/>
      <c r="D1" s="174"/>
      <c r="E1" s="174"/>
      <c r="F1" s="174"/>
      <c r="G1" s="174"/>
    </row>
    <row r="2" spans="1:43" ht="15" customHeight="1" x14ac:dyDescent="0.25">
      <c r="B2" s="174"/>
      <c r="C2" s="174"/>
      <c r="D2" s="174"/>
      <c r="E2" s="174"/>
      <c r="F2" s="174"/>
      <c r="G2" s="174"/>
    </row>
    <row r="3" spans="1:43" s="109" customFormat="1" ht="27" customHeight="1" x14ac:dyDescent="0.3">
      <c r="A3" s="108"/>
      <c r="B3" s="175" t="s">
        <v>0</v>
      </c>
      <c r="C3" s="145" t="s">
        <v>41</v>
      </c>
      <c r="D3" s="176" t="s">
        <v>43</v>
      </c>
      <c r="E3" s="176"/>
      <c r="F3" s="176"/>
      <c r="G3" s="176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</row>
    <row r="4" spans="1:43" s="109" customFormat="1" ht="27" customHeight="1" x14ac:dyDescent="0.3">
      <c r="A4" s="108"/>
      <c r="B4" s="175"/>
      <c r="C4" s="145" t="s">
        <v>42</v>
      </c>
      <c r="D4" s="145" t="s">
        <v>40</v>
      </c>
      <c r="E4" s="146" t="s">
        <v>13</v>
      </c>
      <c r="F4" s="145" t="s">
        <v>51</v>
      </c>
      <c r="G4" s="145" t="s">
        <v>10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</row>
    <row r="5" spans="1:43" ht="15.75" x14ac:dyDescent="0.25">
      <c r="B5" s="149">
        <v>43952</v>
      </c>
      <c r="C5" s="150">
        <f t="shared" ref="C5:C27" si="0">+SUM(D5:F5)</f>
        <v>161.49999999999491</v>
      </c>
      <c r="D5" s="154">
        <f>+'[1]Clean water &amp; recycle water log'!C173</f>
        <v>68</v>
      </c>
      <c r="E5" s="155">
        <f>+'[1]Clean water &amp; recycle water log'!E173</f>
        <v>74.099999999994907</v>
      </c>
      <c r="F5" s="155">
        <f>+G5*0.2</f>
        <v>19.400000000000002</v>
      </c>
      <c r="G5" s="155">
        <f>'[1]Clean water &amp; recycle water log'!G173</f>
        <v>97</v>
      </c>
    </row>
    <row r="6" spans="1:43" ht="15.75" x14ac:dyDescent="0.25">
      <c r="B6" s="149">
        <v>43953</v>
      </c>
      <c r="C6" s="150">
        <f t="shared" si="0"/>
        <v>160.00000000000438</v>
      </c>
      <c r="D6" s="154">
        <f>+'[1]Clean water &amp; recycle water log'!C174</f>
        <v>61</v>
      </c>
      <c r="E6" s="155">
        <f>+'[1]Clean water &amp; recycle water log'!E174</f>
        <v>88.200000000004366</v>
      </c>
      <c r="F6" s="155">
        <f t="shared" ref="F6:F21" si="1">+G6*0.2</f>
        <v>10.8</v>
      </c>
      <c r="G6" s="155">
        <f>'[1]Clean water &amp; recycle water log'!G174</f>
        <v>54</v>
      </c>
    </row>
    <row r="7" spans="1:43" ht="15.75" x14ac:dyDescent="0.25">
      <c r="B7" s="149">
        <v>43954</v>
      </c>
      <c r="C7" s="150">
        <f t="shared" si="0"/>
        <v>116.89999999999927</v>
      </c>
      <c r="D7" s="154">
        <f>+'[1]Clean water &amp; recycle water log'!C175</f>
        <v>15</v>
      </c>
      <c r="E7" s="155">
        <f>+'[1]Clean water &amp; recycle water log'!E175</f>
        <v>86.299999999999272</v>
      </c>
      <c r="F7" s="155">
        <f t="shared" si="1"/>
        <v>15.600000000000001</v>
      </c>
      <c r="G7" s="155">
        <f>'[1]Clean water &amp; recycle water log'!G175</f>
        <v>78</v>
      </c>
    </row>
    <row r="8" spans="1:43" ht="15.75" x14ac:dyDescent="0.25">
      <c r="B8" s="149">
        <v>43955</v>
      </c>
      <c r="C8" s="150">
        <f t="shared" si="0"/>
        <v>126.39999999999782</v>
      </c>
      <c r="D8" s="154">
        <f>+'[1]Clean water &amp; recycle water log'!C176</f>
        <v>9</v>
      </c>
      <c r="E8" s="155">
        <f>+'[1]Clean water &amp; recycle water log'!E176</f>
        <v>108.39999999999782</v>
      </c>
      <c r="F8" s="155">
        <f t="shared" si="1"/>
        <v>9</v>
      </c>
      <c r="G8" s="155">
        <f>'[1]Clean water &amp; recycle water log'!G176</f>
        <v>45</v>
      </c>
    </row>
    <row r="9" spans="1:43" ht="15.75" x14ac:dyDescent="0.25">
      <c r="B9" s="149">
        <v>43956</v>
      </c>
      <c r="C9" s="150">
        <f t="shared" si="0"/>
        <v>134.8000000000051</v>
      </c>
      <c r="D9" s="154">
        <f>+'[1]Clean water &amp; recycle water log'!C177</f>
        <v>8</v>
      </c>
      <c r="E9" s="155">
        <f>+'[1]Clean water &amp; recycle water log'!E177</f>
        <v>108.40000000000509</v>
      </c>
      <c r="F9" s="155">
        <f t="shared" si="1"/>
        <v>18.400000000000002</v>
      </c>
      <c r="G9" s="155">
        <f>'[1]Clean water &amp; recycle water log'!G177</f>
        <v>92</v>
      </c>
    </row>
    <row r="10" spans="1:43" ht="15.75" x14ac:dyDescent="0.25">
      <c r="B10" s="149">
        <v>43957</v>
      </c>
      <c r="C10" s="150">
        <f t="shared" si="0"/>
        <v>195.89999999999418</v>
      </c>
      <c r="D10" s="154">
        <f>+'[1]Clean water &amp; recycle water log'!C178</f>
        <v>78</v>
      </c>
      <c r="E10" s="155">
        <f>+'[1]Clean water &amp; recycle water log'!E178</f>
        <v>100.89999999999418</v>
      </c>
      <c r="F10" s="155">
        <f t="shared" si="1"/>
        <v>17</v>
      </c>
      <c r="G10" s="155">
        <f>'[1]Clean water &amp; recycle water log'!G178</f>
        <v>85</v>
      </c>
    </row>
    <row r="11" spans="1:43" ht="15.75" x14ac:dyDescent="0.25">
      <c r="B11" s="149">
        <v>43958</v>
      </c>
      <c r="C11" s="150">
        <f t="shared" si="0"/>
        <v>144.20000000000073</v>
      </c>
      <c r="D11" s="154">
        <f>+'[1]Clean water &amp; recycle water log'!C179</f>
        <v>32</v>
      </c>
      <c r="E11" s="155">
        <f>+'[1]Clean water &amp; recycle water log'!E179</f>
        <v>98.200000000000728</v>
      </c>
      <c r="F11" s="155">
        <f t="shared" si="1"/>
        <v>14</v>
      </c>
      <c r="G11" s="155">
        <f>'[1]Clean water &amp; recycle water log'!G179</f>
        <v>70</v>
      </c>
    </row>
    <row r="12" spans="1:43" ht="15.75" x14ac:dyDescent="0.25">
      <c r="B12" s="149">
        <v>43959</v>
      </c>
      <c r="C12" s="150">
        <f t="shared" si="0"/>
        <v>153.49999999999855</v>
      </c>
      <c r="D12" s="154">
        <f>+'[1]Clean water &amp; recycle water log'!C180</f>
        <v>16</v>
      </c>
      <c r="E12" s="155">
        <f>+'[1]Clean water &amp; recycle water log'!E180</f>
        <v>123.09999999999854</v>
      </c>
      <c r="F12" s="155">
        <f t="shared" si="1"/>
        <v>14.4</v>
      </c>
      <c r="G12" s="155">
        <f>'[1]Clean water &amp; recycle water log'!G180</f>
        <v>72</v>
      </c>
    </row>
    <row r="13" spans="1:43" ht="15.75" x14ac:dyDescent="0.25">
      <c r="B13" s="149">
        <v>43960</v>
      </c>
      <c r="C13" s="150">
        <f t="shared" si="0"/>
        <v>209.6</v>
      </c>
      <c r="D13" s="154">
        <f>+'[1]Clean water &amp; recycle water log'!C181</f>
        <v>73</v>
      </c>
      <c r="E13" s="155">
        <f>+'[1]Clean water &amp; recycle water log'!E181</f>
        <v>121</v>
      </c>
      <c r="F13" s="155">
        <f t="shared" si="1"/>
        <v>15.600000000000001</v>
      </c>
      <c r="G13" s="155">
        <f>'[1]Clean water &amp; recycle water log'!G181</f>
        <v>78</v>
      </c>
    </row>
    <row r="14" spans="1:43" ht="15.75" x14ac:dyDescent="0.25">
      <c r="B14" s="149">
        <v>43961</v>
      </c>
      <c r="C14" s="150">
        <f t="shared" si="0"/>
        <v>199.50000000000364</v>
      </c>
      <c r="D14" s="154">
        <f>+'[1]Clean water &amp; recycle water log'!C182</f>
        <v>58</v>
      </c>
      <c r="E14" s="155">
        <f>+'[1]Clean water &amp; recycle water log'!E182</f>
        <v>127.50000000000364</v>
      </c>
      <c r="F14" s="155">
        <f t="shared" si="1"/>
        <v>14</v>
      </c>
      <c r="G14" s="155">
        <f>'[1]Clean water &amp; recycle water log'!G182</f>
        <v>70</v>
      </c>
    </row>
    <row r="15" spans="1:43" ht="15.75" x14ac:dyDescent="0.25">
      <c r="B15" s="149">
        <v>43962</v>
      </c>
      <c r="C15" s="150">
        <f t="shared" si="0"/>
        <v>187.79999999999782</v>
      </c>
      <c r="D15" s="154">
        <f>+'[1]Clean water &amp; recycle water log'!C183</f>
        <v>38</v>
      </c>
      <c r="E15" s="155">
        <f>+'[1]Clean water &amp; recycle water log'!E183</f>
        <v>126.39999999999782</v>
      </c>
      <c r="F15" s="155">
        <f t="shared" si="1"/>
        <v>23.400000000000002</v>
      </c>
      <c r="G15" s="155">
        <f>'[1]Clean water &amp; recycle water log'!G183</f>
        <v>117</v>
      </c>
    </row>
    <row r="16" spans="1:43" ht="15.75" x14ac:dyDescent="0.25">
      <c r="B16" s="149">
        <v>43963</v>
      </c>
      <c r="C16" s="150">
        <f t="shared" si="0"/>
        <v>162.29999999999782</v>
      </c>
      <c r="D16" s="154">
        <f>+'[1]Clean water &amp; recycle water log'!C184</f>
        <v>48</v>
      </c>
      <c r="E16" s="155">
        <f>+'[1]Clean water &amp; recycle water log'!E184</f>
        <v>90.899999999997817</v>
      </c>
      <c r="F16" s="155">
        <f t="shared" si="1"/>
        <v>23.400000000000002</v>
      </c>
      <c r="G16" s="155">
        <f>'[1]Clean water &amp; recycle water log'!G184</f>
        <v>117</v>
      </c>
    </row>
    <row r="17" spans="2:7" ht="15.75" x14ac:dyDescent="0.25">
      <c r="B17" s="149">
        <v>43964</v>
      </c>
      <c r="C17" s="150">
        <f t="shared" si="0"/>
        <v>161.00000000000438</v>
      </c>
      <c r="D17" s="154">
        <f>+'[1]Clean water &amp; recycle water log'!C185</f>
        <v>66</v>
      </c>
      <c r="E17" s="155">
        <f>+'[1]Clean water &amp; recycle water log'!E185</f>
        <v>88.200000000004366</v>
      </c>
      <c r="F17" s="155">
        <f t="shared" si="1"/>
        <v>6.8000000000000007</v>
      </c>
      <c r="G17" s="155">
        <f>'[1]Clean water &amp; recycle water log'!G185</f>
        <v>34</v>
      </c>
    </row>
    <row r="18" spans="2:7" ht="15.75" x14ac:dyDescent="0.25">
      <c r="B18" s="149">
        <v>43965</v>
      </c>
      <c r="C18" s="150">
        <f t="shared" si="0"/>
        <v>165.80000000000365</v>
      </c>
      <c r="D18" s="154">
        <f>+'[1]Clean water &amp; recycle water log'!C186</f>
        <v>66.400000000001455</v>
      </c>
      <c r="E18" s="155">
        <f>+'[1]Clean water &amp; recycle water log'!E186</f>
        <v>92.600000000002183</v>
      </c>
      <c r="F18" s="155">
        <f t="shared" si="1"/>
        <v>6.8000000000000007</v>
      </c>
      <c r="G18" s="155">
        <f>'[1]Clean water &amp; recycle water log'!G186</f>
        <v>34</v>
      </c>
    </row>
    <row r="19" spans="2:7" ht="15.75" x14ac:dyDescent="0.25">
      <c r="B19" s="149">
        <v>43966</v>
      </c>
      <c r="C19" s="150">
        <f t="shared" si="0"/>
        <v>127.89999999999418</v>
      </c>
      <c r="D19" s="154">
        <f>+'[1]Clean water &amp; recycle water log'!C187</f>
        <v>24.299999999995634</v>
      </c>
      <c r="E19" s="155">
        <f>+'[1]Clean water &amp; recycle water log'!E187</f>
        <v>100.59999999999854</v>
      </c>
      <c r="F19" s="155">
        <f t="shared" si="1"/>
        <v>3</v>
      </c>
      <c r="G19" s="155">
        <f>'[1]Clean water &amp; recycle water log'!G187</f>
        <v>15</v>
      </c>
    </row>
    <row r="20" spans="2:7" ht="15.75" x14ac:dyDescent="0.25">
      <c r="B20" s="149">
        <v>43967</v>
      </c>
      <c r="C20" s="150">
        <f t="shared" si="0"/>
        <v>284.30000000000217</v>
      </c>
      <c r="D20" s="154">
        <f>+'[1]Clean water &amp; recycle water log'!C188</f>
        <v>143.30000000000291</v>
      </c>
      <c r="E20" s="155">
        <f>+'[1]Clean water &amp; recycle water log'!E188</f>
        <v>101.79999999999927</v>
      </c>
      <c r="F20" s="155">
        <f t="shared" si="1"/>
        <v>39.200000000000003</v>
      </c>
      <c r="G20" s="155">
        <f>'[1]Clean water &amp; recycle water log'!G188</f>
        <v>196</v>
      </c>
    </row>
    <row r="21" spans="2:7" ht="15.75" x14ac:dyDescent="0.25">
      <c r="B21" s="149">
        <v>43968</v>
      </c>
      <c r="C21" s="150">
        <f t="shared" si="0"/>
        <v>179.81999999999826</v>
      </c>
      <c r="D21" s="154">
        <f>+'[1]Clean water &amp; recycle water log'!C189</f>
        <v>32</v>
      </c>
      <c r="E21" s="155">
        <f>+'[1]Clean water &amp; recycle water log'!E189</f>
        <v>136.19999999999709</v>
      </c>
      <c r="F21" s="155">
        <f t="shared" si="1"/>
        <v>11.620000000001165</v>
      </c>
      <c r="G21" s="155">
        <f>'[1]Clean water &amp; recycle water log'!G189</f>
        <v>58.100000000005821</v>
      </c>
    </row>
    <row r="22" spans="2:7" ht="15.75" x14ac:dyDescent="0.25">
      <c r="B22" s="149">
        <v>43969</v>
      </c>
      <c r="C22" s="150">
        <f t="shared" si="0"/>
        <v>205.29999999999853</v>
      </c>
      <c r="D22" s="154">
        <f>+'[1]Clean water &amp; recycle water log'!C190</f>
        <v>93.599999999998545</v>
      </c>
      <c r="E22" s="155">
        <f>+'[1]Clean water &amp; recycle water log'!E190</f>
        <v>91.5</v>
      </c>
      <c r="F22" s="155">
        <f>+G22*0.2</f>
        <v>20.200000000000003</v>
      </c>
      <c r="G22" s="155">
        <f>'[1]Clean water &amp; recycle water log'!G190</f>
        <v>101</v>
      </c>
    </row>
    <row r="23" spans="2:7" ht="15.75" x14ac:dyDescent="0.25">
      <c r="B23" s="149">
        <v>43970</v>
      </c>
      <c r="C23" s="150">
        <f t="shared" si="0"/>
        <v>141.37999999999883</v>
      </c>
      <c r="D23" s="154">
        <f>+'[1]Clean water &amp; recycle water log'!C191</f>
        <v>32.599999999998545</v>
      </c>
      <c r="E23" s="155">
        <f>+'[1]Clean water &amp; recycle water log'!E191</f>
        <v>96.400000000001455</v>
      </c>
      <c r="F23" s="155">
        <f>+G23*0.2</f>
        <v>12.379999999998837</v>
      </c>
      <c r="G23" s="155">
        <f>'[1]Clean water &amp; recycle water log'!G191</f>
        <v>61.899999999994179</v>
      </c>
    </row>
    <row r="24" spans="2:7" ht="15.75" x14ac:dyDescent="0.25">
      <c r="B24" s="149">
        <v>43971</v>
      </c>
      <c r="C24" s="150">
        <f t="shared" si="0"/>
        <v>164.70000000000437</v>
      </c>
      <c r="D24" s="154">
        <f>+'[1]Clean water &amp; recycle water log'!C192</f>
        <v>46.600000000005821</v>
      </c>
      <c r="E24" s="155">
        <f>+'[1]Clean water &amp; recycle water log'!E192</f>
        <v>102.09999999999854</v>
      </c>
      <c r="F24" s="155">
        <f t="shared" ref="F24:F27" si="2">+G24*0.2</f>
        <v>16</v>
      </c>
      <c r="G24" s="155">
        <f>'[1]Clean water &amp; recycle water log'!G192</f>
        <v>80</v>
      </c>
    </row>
    <row r="25" spans="2:7" ht="15.75" x14ac:dyDescent="0.25">
      <c r="B25" s="149">
        <v>43972</v>
      </c>
      <c r="C25" s="150">
        <f t="shared" si="0"/>
        <v>131.39999999999927</v>
      </c>
      <c r="D25" s="154">
        <f>+'[1]Clean water &amp; recycle water log'!C193</f>
        <v>22.299999999995634</v>
      </c>
      <c r="E25" s="155">
        <f>+'[1]Clean water &amp; recycle water log'!E193</f>
        <v>88.000000000003638</v>
      </c>
      <c r="F25" s="155">
        <f t="shared" si="2"/>
        <v>21.1</v>
      </c>
      <c r="G25" s="155">
        <f>'[1]Clean water &amp; recycle water log'!G193</f>
        <v>105.5</v>
      </c>
    </row>
    <row r="26" spans="2:7" ht="15.75" x14ac:dyDescent="0.25">
      <c r="B26" s="149">
        <v>43973</v>
      </c>
      <c r="C26" s="150">
        <f t="shared" si="0"/>
        <v>138.63999999999578</v>
      </c>
      <c r="D26" s="154">
        <f>+'[1]Clean water &amp; recycle water log'!C194</f>
        <v>23.099999999998545</v>
      </c>
      <c r="E26" s="155">
        <f>+'[1]Clean water &amp; recycle water log'!E194</f>
        <v>103.89999999999782</v>
      </c>
      <c r="F26" s="155">
        <f t="shared" si="2"/>
        <v>11.639999999999418</v>
      </c>
      <c r="G26" s="155">
        <f>'[1]Clean water &amp; recycle water log'!G194</f>
        <v>58.19999999999709</v>
      </c>
    </row>
    <row r="27" spans="2:7" ht="15.75" x14ac:dyDescent="0.25">
      <c r="B27" s="149">
        <v>43974</v>
      </c>
      <c r="C27" s="150">
        <f t="shared" si="0"/>
        <v>154.58000000001192</v>
      </c>
      <c r="D27" s="154">
        <f>+'[1]Clean water &amp; recycle water log'!C195</f>
        <v>28.600000000005821</v>
      </c>
      <c r="E27" s="155">
        <f>+'[1]Clean water &amp; recycle water log'!E195</f>
        <v>113.70000000000437</v>
      </c>
      <c r="F27" s="155">
        <f t="shared" si="2"/>
        <v>12.280000000001747</v>
      </c>
      <c r="G27" s="155">
        <f>'[1]Clean water &amp; recycle water log'!G195</f>
        <v>61.400000000008731</v>
      </c>
    </row>
    <row r="28" spans="2:7" ht="15.75" x14ac:dyDescent="0.25">
      <c r="B28" s="149">
        <v>43975</v>
      </c>
      <c r="C28" s="150">
        <f t="shared" ref="C28:C29" si="3">+SUM(D28:F28)</f>
        <v>251.63999999999652</v>
      </c>
      <c r="D28" s="154">
        <f>+'[1]Clean water &amp; recycle water log'!C196</f>
        <v>122.5</v>
      </c>
      <c r="E28" s="155">
        <f>+'[1]Clean water &amp; recycle water log'!E196</f>
        <v>108.19999999999709</v>
      </c>
      <c r="F28" s="155">
        <f t="shared" ref="F28:F29" si="4">+G28*0.2</f>
        <v>20.939999999999419</v>
      </c>
      <c r="G28" s="155">
        <f>'[1]Clean water &amp; recycle water log'!G196</f>
        <v>104.69999999999709</v>
      </c>
    </row>
    <row r="29" spans="2:7" ht="15.75" x14ac:dyDescent="0.25">
      <c r="B29" s="149">
        <v>43976</v>
      </c>
      <c r="C29" s="150">
        <f t="shared" si="3"/>
        <v>143.83999999999506</v>
      </c>
      <c r="D29" s="154">
        <f>+'[1]Clean water &amp; recycle water log'!C197</f>
        <v>43.799999999995634</v>
      </c>
      <c r="E29" s="155">
        <f>+'[1]Clean water &amp; recycle water log'!E197</f>
        <v>84</v>
      </c>
      <c r="F29" s="155">
        <f t="shared" si="4"/>
        <v>16.03999999999942</v>
      </c>
      <c r="G29" s="155">
        <f>'[1]Clean water &amp; recycle water log'!G197</f>
        <v>80.19999999999709</v>
      </c>
    </row>
    <row r="30" spans="2:7" ht="15.75" x14ac:dyDescent="0.25">
      <c r="B30" s="149">
        <v>43977</v>
      </c>
      <c r="C30" s="150">
        <f t="shared" ref="C30:C31" si="5">+SUM(D30:F30)</f>
        <v>164.23999999999506</v>
      </c>
      <c r="D30" s="154">
        <f>+'[1]Clean water &amp; recycle water log'!C198</f>
        <v>61.900000000001455</v>
      </c>
      <c r="E30" s="155">
        <f>+'[1]Clean water &amp; recycle water log'!E198</f>
        <v>83.899999999994179</v>
      </c>
      <c r="F30" s="155">
        <f t="shared" ref="F30:F31" si="6">+G30*0.2</f>
        <v>18.439999999999419</v>
      </c>
      <c r="G30" s="155">
        <f>'[1]Clean water &amp; recycle water log'!G198</f>
        <v>92.19999999999709</v>
      </c>
    </row>
    <row r="31" spans="2:7" ht="15.75" x14ac:dyDescent="0.25">
      <c r="B31" s="149">
        <v>43978</v>
      </c>
      <c r="C31" s="150">
        <f t="shared" si="5"/>
        <v>204.82000000000554</v>
      </c>
      <c r="D31" s="154">
        <f>+'[1]Clean water &amp; recycle water log'!C199</f>
        <v>34.19999999999709</v>
      </c>
      <c r="E31" s="155">
        <f>+'[1]Clean water &amp; recycle water log'!E199</f>
        <v>151.50000000000728</v>
      </c>
      <c r="F31" s="155">
        <f t="shared" si="6"/>
        <v>19.120000000001166</v>
      </c>
      <c r="G31" s="155">
        <f>'[1]Clean water &amp; recycle water log'!G199</f>
        <v>95.600000000005821</v>
      </c>
    </row>
    <row r="32" spans="2:7" ht="15.75" x14ac:dyDescent="0.25">
      <c r="B32" s="149">
        <v>43979</v>
      </c>
      <c r="C32" s="150">
        <f>+SUM(D32:F32)</f>
        <v>203.15999999999696</v>
      </c>
      <c r="D32" s="154">
        <f>+'[1]Clean water &amp; recycle water log'!C200</f>
        <v>42.900000000001455</v>
      </c>
      <c r="E32" s="155">
        <f>+'[1]Clean water &amp; recycle water log'!E200</f>
        <v>142.59999999999491</v>
      </c>
      <c r="F32" s="155">
        <f t="shared" ref="F32:F35" si="7">+G32*0.2</f>
        <v>17.660000000000583</v>
      </c>
      <c r="G32" s="155">
        <f>'[1]Clean water &amp; recycle water log'!G200</f>
        <v>88.30000000000291</v>
      </c>
    </row>
    <row r="33" spans="2:10" ht="15.75" x14ac:dyDescent="0.25">
      <c r="B33" s="149">
        <v>43980</v>
      </c>
      <c r="C33" s="150">
        <f t="shared" ref="C33:C35" si="8">+SUM(D33:F33)</f>
        <v>142.49999999999926</v>
      </c>
      <c r="D33" s="154">
        <f>+'[1]Clean water &amp; recycle water log'!C201</f>
        <v>44.099999999998545</v>
      </c>
      <c r="E33" s="155">
        <f>+'[1]Clean water &amp; recycle water log'!E201</f>
        <v>93.700000000000728</v>
      </c>
      <c r="F33" s="155">
        <f t="shared" si="7"/>
        <v>4.7</v>
      </c>
      <c r="G33" s="155">
        <f>'[1]Clean water &amp; recycle water log'!G201</f>
        <v>23.5</v>
      </c>
    </row>
    <row r="34" spans="2:10" ht="15.75" x14ac:dyDescent="0.25">
      <c r="B34" s="149">
        <v>43981</v>
      </c>
      <c r="C34" s="150">
        <f t="shared" si="8"/>
        <v>171.80000000000291</v>
      </c>
      <c r="D34" s="154">
        <f>+'[1]Clean water &amp; recycle water log'!C202</f>
        <v>55.100000000005821</v>
      </c>
      <c r="E34" s="155">
        <f>+'[1]Clean water &amp; recycle water log'!E202</f>
        <v>90.69999999999709</v>
      </c>
      <c r="F34" s="155">
        <f t="shared" si="7"/>
        <v>26</v>
      </c>
      <c r="G34" s="155">
        <f>'[1]Clean water &amp; recycle water log'!G202</f>
        <v>130</v>
      </c>
    </row>
    <row r="35" spans="2:10" ht="15.75" x14ac:dyDescent="0.25">
      <c r="B35" s="149">
        <v>43982</v>
      </c>
      <c r="C35" s="150">
        <f t="shared" si="8"/>
        <v>160.75999999999985</v>
      </c>
      <c r="D35" s="154">
        <f>+'[1]Clean water &amp; recycle water log'!C203</f>
        <v>49.69999999999709</v>
      </c>
      <c r="E35" s="155">
        <f>+'[1]Clean water &amp; recycle water log'!E203</f>
        <v>95.900000000005093</v>
      </c>
      <c r="F35" s="155">
        <f t="shared" si="7"/>
        <v>15.159999999997673</v>
      </c>
      <c r="G35" s="155">
        <f>'[1]Clean water &amp; recycle water log'!G203</f>
        <v>75.799999999988358</v>
      </c>
    </row>
    <row r="36" spans="2:10" x14ac:dyDescent="0.25">
      <c r="B36" s="37"/>
      <c r="C36" s="37"/>
      <c r="D36" s="38"/>
      <c r="E36" s="38"/>
      <c r="F36" s="38"/>
      <c r="G36" s="38"/>
    </row>
    <row r="37" spans="2:10" ht="21" x14ac:dyDescent="0.35">
      <c r="B37" s="39"/>
      <c r="C37" s="98">
        <f>+D37+E37+F37</f>
        <v>5249.9799999999968</v>
      </c>
      <c r="D37" s="40">
        <f>SUM(D5:D35)</f>
        <v>1537</v>
      </c>
      <c r="E37" s="40">
        <f>SUM(E5:E35)</f>
        <v>3218.8999999999978</v>
      </c>
      <c r="F37" s="40">
        <f>SUM(F5:F35)</f>
        <v>494.0799999999989</v>
      </c>
      <c r="G37" s="40">
        <f>SUM(G5:G35)</f>
        <v>2470.3999999999942</v>
      </c>
      <c r="J37" s="151"/>
    </row>
    <row r="38" spans="2:10" x14ac:dyDescent="0.25">
      <c r="H38" s="151"/>
      <c r="I38" s="42"/>
    </row>
    <row r="39" spans="2:10" x14ac:dyDescent="0.25">
      <c r="H39" s="151"/>
      <c r="I39" s="42"/>
    </row>
    <row r="40" spans="2:10" ht="15.75" thickBot="1" x14ac:dyDescent="0.3"/>
    <row r="41" spans="2:10" ht="21.75" thickBot="1" x14ac:dyDescent="0.4">
      <c r="B41" s="43" t="s">
        <v>44</v>
      </c>
      <c r="C41" s="43"/>
      <c r="D41" s="44"/>
      <c r="E41" s="45"/>
      <c r="F41" s="45"/>
      <c r="G41" s="99">
        <f>+C37+(G37*20%)-G37</f>
        <v>3273.6600000000017</v>
      </c>
      <c r="H41" s="46"/>
      <c r="I41" s="151"/>
    </row>
    <row r="42" spans="2:10" x14ac:dyDescent="0.25">
      <c r="G42" s="153"/>
    </row>
    <row r="43" spans="2:10" x14ac:dyDescent="0.25">
      <c r="G43" s="153"/>
    </row>
    <row r="44" spans="2:10" ht="15.75" x14ac:dyDescent="0.25">
      <c r="B44" s="47" t="s">
        <v>11</v>
      </c>
      <c r="C44" s="47"/>
      <c r="E44" s="152" t="s">
        <v>45</v>
      </c>
      <c r="G44" s="100">
        <v>12500</v>
      </c>
      <c r="H44" s="48"/>
    </row>
    <row r="45" spans="2:10" ht="15.75" x14ac:dyDescent="0.25">
      <c r="B45" s="47"/>
      <c r="C45" s="47"/>
      <c r="G45" s="153"/>
      <c r="H45" s="48"/>
    </row>
    <row r="46" spans="2:10" ht="16.5" thickBot="1" x14ac:dyDescent="0.3">
      <c r="B46" s="47"/>
      <c r="C46" s="47"/>
      <c r="G46" s="153"/>
      <c r="H46" s="48"/>
    </row>
    <row r="47" spans="2:10" ht="27" thickBot="1" x14ac:dyDescent="0.3">
      <c r="B47" s="47" t="s">
        <v>12</v>
      </c>
      <c r="C47" s="47"/>
      <c r="G47" s="101">
        <f>+G41*G44</f>
        <v>40920750.000000022</v>
      </c>
      <c r="H47" s="49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6"/>
  <sheetViews>
    <sheetView topLeftCell="A10" workbookViewId="0">
      <selection activeCell="D39" sqref="D39"/>
    </sheetView>
  </sheetViews>
  <sheetFormatPr defaultRowHeight="15" x14ac:dyDescent="0.25"/>
  <cols>
    <col min="1" max="2" width="9.140625" style="33"/>
    <col min="3" max="4" width="34.140625" style="41" customWidth="1"/>
    <col min="5" max="8" width="27.7109375" style="41" customWidth="1"/>
    <col min="9" max="9" width="9.140625" style="33"/>
    <col min="10" max="10" width="13.42578125" style="33" bestFit="1" customWidth="1"/>
    <col min="11" max="11" width="11.5703125" style="33" bestFit="1" customWidth="1"/>
    <col min="12" max="45" width="9.140625" style="33"/>
  </cols>
  <sheetData>
    <row r="1" spans="1:45" ht="15" customHeight="1" x14ac:dyDescent="0.25">
      <c r="B1" s="174" t="s">
        <v>9</v>
      </c>
      <c r="C1" s="174"/>
      <c r="D1" s="174"/>
      <c r="E1" s="174"/>
      <c r="F1" s="174"/>
      <c r="G1" s="174"/>
      <c r="H1" s="174"/>
    </row>
    <row r="2" spans="1:45" ht="15" customHeight="1" x14ac:dyDescent="0.25">
      <c r="B2" s="174"/>
      <c r="C2" s="174"/>
      <c r="D2" s="174"/>
      <c r="E2" s="174"/>
      <c r="F2" s="174"/>
      <c r="G2" s="174"/>
      <c r="H2" s="174"/>
    </row>
    <row r="3" spans="1:45" s="111" customFormat="1" ht="33" customHeight="1" x14ac:dyDescent="0.35">
      <c r="A3" s="110"/>
      <c r="B3" s="177" t="s">
        <v>0</v>
      </c>
      <c r="C3" s="181" t="s">
        <v>39</v>
      </c>
      <c r="D3" s="182"/>
      <c r="E3" s="178" t="s">
        <v>47</v>
      </c>
      <c r="F3" s="179"/>
      <c r="G3" s="179"/>
      <c r="H3" s="18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</row>
    <row r="4" spans="1:45" s="111" customFormat="1" ht="33" customHeight="1" x14ac:dyDescent="0.35">
      <c r="A4" s="110"/>
      <c r="B4" s="177"/>
      <c r="C4" s="112" t="s">
        <v>46</v>
      </c>
      <c r="D4" s="112" t="s">
        <v>48</v>
      </c>
      <c r="E4" s="113" t="s">
        <v>35</v>
      </c>
      <c r="F4" s="113" t="s">
        <v>38</v>
      </c>
      <c r="G4" s="113" t="s">
        <v>36</v>
      </c>
      <c r="H4" s="112" t="s">
        <v>37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</row>
    <row r="5" spans="1:45" ht="15.75" x14ac:dyDescent="0.25">
      <c r="B5" s="34">
        <v>43952</v>
      </c>
      <c r="C5" s="139">
        <v>3.67</v>
      </c>
      <c r="D5" s="139">
        <v>98.97</v>
      </c>
      <c r="E5" s="35"/>
      <c r="F5" s="35"/>
      <c r="G5" s="35"/>
      <c r="H5" s="35"/>
      <c r="I5" s="36"/>
    </row>
    <row r="6" spans="1:45" ht="15.75" x14ac:dyDescent="0.25">
      <c r="B6" s="34">
        <v>43953</v>
      </c>
      <c r="C6" s="139">
        <v>4.8099999999999996</v>
      </c>
      <c r="D6" s="139">
        <v>129.52000000000001</v>
      </c>
      <c r="E6" s="35"/>
      <c r="F6" s="35"/>
      <c r="G6" s="35"/>
      <c r="H6" s="35"/>
      <c r="I6" s="36"/>
    </row>
    <row r="7" spans="1:45" ht="15.75" x14ac:dyDescent="0.25">
      <c r="B7" s="34">
        <v>43954</v>
      </c>
      <c r="C7" s="139">
        <v>5.63</v>
      </c>
      <c r="D7" s="139">
        <v>152.79</v>
      </c>
      <c r="E7" s="35"/>
      <c r="F7" s="35"/>
      <c r="G7" s="35"/>
      <c r="H7" s="35"/>
      <c r="I7" s="36"/>
    </row>
    <row r="8" spans="1:45" ht="15.75" x14ac:dyDescent="0.25">
      <c r="B8" s="34">
        <v>43955</v>
      </c>
      <c r="C8" s="139">
        <v>7.22</v>
      </c>
      <c r="D8" s="139">
        <v>193.48</v>
      </c>
      <c r="E8" s="35"/>
      <c r="F8" s="35"/>
      <c r="G8" s="35"/>
      <c r="H8" s="35"/>
      <c r="I8" s="36"/>
    </row>
    <row r="9" spans="1:45" ht="15.75" x14ac:dyDescent="0.25">
      <c r="B9" s="34">
        <v>43956</v>
      </c>
      <c r="C9" s="139">
        <v>7.01</v>
      </c>
      <c r="D9" s="139">
        <v>189.34</v>
      </c>
      <c r="E9" s="35"/>
      <c r="F9" s="35"/>
      <c r="G9" s="35"/>
      <c r="H9" s="35"/>
      <c r="I9" s="36"/>
    </row>
    <row r="10" spans="1:45" ht="15.75" x14ac:dyDescent="0.25">
      <c r="B10" s="34">
        <v>43957</v>
      </c>
      <c r="C10" s="139">
        <v>5.46</v>
      </c>
      <c r="D10" s="139">
        <v>147.88999999999999</v>
      </c>
      <c r="E10" s="35"/>
      <c r="F10" s="35"/>
      <c r="G10" s="35"/>
      <c r="H10" s="35"/>
      <c r="I10" s="36"/>
    </row>
    <row r="11" spans="1:45" ht="15.75" x14ac:dyDescent="0.25">
      <c r="B11" s="34">
        <v>43958</v>
      </c>
      <c r="C11" s="139">
        <v>4.7</v>
      </c>
      <c r="D11" s="139">
        <v>128.11000000000001</v>
      </c>
      <c r="E11" s="35"/>
      <c r="F11" s="35"/>
      <c r="G11" s="35"/>
      <c r="H11" s="35"/>
      <c r="I11" s="36"/>
    </row>
    <row r="12" spans="1:45" ht="15.75" x14ac:dyDescent="0.25">
      <c r="B12" s="34">
        <v>43959</v>
      </c>
      <c r="C12" s="139">
        <v>6.36</v>
      </c>
      <c r="D12" s="139">
        <v>173.42</v>
      </c>
      <c r="E12" s="35"/>
      <c r="F12" s="35"/>
      <c r="G12" s="35"/>
      <c r="H12" s="35"/>
      <c r="I12" s="36"/>
    </row>
    <row r="13" spans="1:45" ht="15.75" x14ac:dyDescent="0.25">
      <c r="B13" s="34">
        <v>43960</v>
      </c>
      <c r="C13" s="139">
        <v>3.6</v>
      </c>
      <c r="D13" s="139">
        <v>98.17</v>
      </c>
      <c r="E13" s="35"/>
      <c r="F13" s="35"/>
      <c r="G13" s="35"/>
      <c r="H13" s="35"/>
      <c r="I13" s="36"/>
    </row>
    <row r="14" spans="1:45" ht="15.75" x14ac:dyDescent="0.25">
      <c r="B14" s="34">
        <v>43961</v>
      </c>
      <c r="C14" s="139">
        <v>4.7</v>
      </c>
      <c r="D14" s="139">
        <v>128.4</v>
      </c>
      <c r="E14" s="35"/>
      <c r="F14" s="35"/>
      <c r="G14" s="35"/>
      <c r="H14" s="35"/>
      <c r="I14" s="36"/>
    </row>
    <row r="15" spans="1:45" ht="15.75" x14ac:dyDescent="0.25">
      <c r="B15" s="34">
        <v>43962</v>
      </c>
      <c r="C15" s="139">
        <v>5.79</v>
      </c>
      <c r="D15" s="139">
        <v>158.41</v>
      </c>
      <c r="E15" s="35"/>
      <c r="F15" s="35"/>
      <c r="G15" s="35"/>
      <c r="H15" s="35"/>
      <c r="I15" s="36"/>
    </row>
    <row r="16" spans="1:45" ht="15.75" x14ac:dyDescent="0.25">
      <c r="B16" s="34">
        <v>43963</v>
      </c>
      <c r="C16" s="139">
        <v>4.6399999999999997</v>
      </c>
      <c r="D16" s="139">
        <v>126.92</v>
      </c>
      <c r="E16" s="35"/>
      <c r="F16" s="35"/>
      <c r="G16" s="35"/>
      <c r="H16" s="35"/>
      <c r="I16" s="36"/>
    </row>
    <row r="17" spans="2:9" ht="15.75" x14ac:dyDescent="0.25">
      <c r="B17" s="34">
        <v>43964</v>
      </c>
      <c r="C17" s="139">
        <v>5.69</v>
      </c>
      <c r="D17" s="139">
        <v>155.53</v>
      </c>
      <c r="E17" s="35"/>
      <c r="F17" s="35"/>
      <c r="G17" s="35"/>
      <c r="H17" s="35"/>
      <c r="I17" s="36"/>
    </row>
    <row r="18" spans="2:9" ht="15.75" x14ac:dyDescent="0.25">
      <c r="B18" s="34">
        <v>43965</v>
      </c>
      <c r="C18" s="139">
        <v>4.3899999999999997</v>
      </c>
      <c r="D18" s="139">
        <v>120.07</v>
      </c>
      <c r="E18" s="35"/>
      <c r="F18" s="35"/>
      <c r="G18" s="35"/>
      <c r="H18" s="35"/>
      <c r="I18" s="36"/>
    </row>
    <row r="19" spans="2:9" ht="15.75" x14ac:dyDescent="0.25">
      <c r="B19" s="34">
        <v>43966</v>
      </c>
      <c r="C19" s="139">
        <v>4.92</v>
      </c>
      <c r="D19" s="139">
        <v>134.47999999999999</v>
      </c>
      <c r="E19" s="35"/>
      <c r="F19" s="35"/>
      <c r="G19" s="35"/>
      <c r="H19" s="35"/>
      <c r="I19" s="36"/>
    </row>
    <row r="20" spans="2:9" ht="15.75" x14ac:dyDescent="0.25">
      <c r="B20" s="34">
        <v>43967</v>
      </c>
      <c r="C20" s="139">
        <v>4.4400000000000004</v>
      </c>
      <c r="D20" s="139">
        <v>121.18</v>
      </c>
      <c r="E20" s="35"/>
      <c r="F20" s="35"/>
      <c r="G20" s="35"/>
      <c r="H20" s="35"/>
      <c r="I20" s="36"/>
    </row>
    <row r="21" spans="2:9" ht="15.75" x14ac:dyDescent="0.25">
      <c r="B21" s="34">
        <v>43968</v>
      </c>
      <c r="C21" s="139">
        <v>3.63</v>
      </c>
      <c r="D21" s="139">
        <v>99.07</v>
      </c>
      <c r="E21" s="35"/>
      <c r="F21" s="35"/>
      <c r="G21" s="35"/>
      <c r="H21" s="35"/>
      <c r="I21" s="36"/>
    </row>
    <row r="22" spans="2:9" ht="15.75" x14ac:dyDescent="0.25">
      <c r="B22" s="34">
        <v>43969</v>
      </c>
      <c r="C22" s="139">
        <v>4.97</v>
      </c>
      <c r="D22" s="139">
        <v>135.69</v>
      </c>
      <c r="E22" s="35"/>
      <c r="F22" s="35"/>
      <c r="G22" s="35"/>
      <c r="H22" s="35"/>
      <c r="I22" s="36"/>
    </row>
    <row r="23" spans="2:9" ht="15.75" x14ac:dyDescent="0.25">
      <c r="B23" s="34">
        <v>43970</v>
      </c>
      <c r="C23" s="136">
        <v>5.1100000000000003</v>
      </c>
      <c r="D23" s="136">
        <v>139.63</v>
      </c>
      <c r="E23" s="35"/>
      <c r="F23" s="35"/>
      <c r="G23" s="35"/>
      <c r="H23" s="35"/>
      <c r="I23" s="36"/>
    </row>
    <row r="24" spans="2:9" ht="15.75" x14ac:dyDescent="0.25">
      <c r="B24" s="34">
        <v>43971</v>
      </c>
      <c r="C24" s="136">
        <v>7.72</v>
      </c>
      <c r="D24" s="136">
        <v>210.84</v>
      </c>
      <c r="E24" s="35"/>
      <c r="F24" s="35"/>
      <c r="G24" s="35"/>
      <c r="H24" s="35"/>
      <c r="I24" s="36"/>
    </row>
    <row r="25" spans="2:9" ht="15.75" x14ac:dyDescent="0.25">
      <c r="B25" s="34">
        <v>43972</v>
      </c>
      <c r="C25" s="137">
        <v>5.88</v>
      </c>
      <c r="D25" s="137">
        <v>160.46</v>
      </c>
      <c r="E25" s="35"/>
      <c r="F25" s="35"/>
      <c r="G25" s="35"/>
      <c r="H25" s="35"/>
      <c r="I25" s="36"/>
    </row>
    <row r="26" spans="2:9" ht="15.75" x14ac:dyDescent="0.25">
      <c r="B26" s="34">
        <v>43973</v>
      </c>
      <c r="C26" s="136">
        <v>7.25</v>
      </c>
      <c r="D26" s="136">
        <v>197.9</v>
      </c>
      <c r="E26" s="35"/>
      <c r="F26" s="35"/>
      <c r="G26" s="35"/>
      <c r="H26" s="35"/>
      <c r="I26" s="36"/>
    </row>
    <row r="27" spans="2:9" ht="15.75" x14ac:dyDescent="0.25">
      <c r="B27" s="34">
        <v>43974</v>
      </c>
      <c r="C27" s="143">
        <v>6.59</v>
      </c>
      <c r="D27" s="143">
        <v>180.1</v>
      </c>
      <c r="E27" s="35"/>
      <c r="F27" s="35"/>
      <c r="G27" s="35"/>
      <c r="H27" s="35"/>
      <c r="I27" s="36"/>
    </row>
    <row r="28" spans="2:9" ht="15.75" x14ac:dyDescent="0.25">
      <c r="B28" s="34">
        <v>43975</v>
      </c>
      <c r="C28" s="139">
        <v>5.51</v>
      </c>
      <c r="D28" s="139">
        <v>150.46</v>
      </c>
      <c r="E28" s="35"/>
      <c r="F28" s="35"/>
      <c r="G28" s="35"/>
      <c r="H28" s="35"/>
      <c r="I28" s="36"/>
    </row>
    <row r="29" spans="2:9" ht="15.75" x14ac:dyDescent="0.25">
      <c r="B29" s="34">
        <v>43976</v>
      </c>
      <c r="C29" s="139">
        <v>5.88</v>
      </c>
      <c r="D29" s="139">
        <v>160.47999999999999</v>
      </c>
      <c r="E29" s="35"/>
      <c r="F29" s="35"/>
      <c r="G29" s="35"/>
      <c r="H29" s="35"/>
      <c r="I29" s="36"/>
    </row>
    <row r="30" spans="2:9" ht="15.75" x14ac:dyDescent="0.25">
      <c r="B30" s="34">
        <v>43977</v>
      </c>
      <c r="C30" s="139">
        <v>5.31</v>
      </c>
      <c r="D30" s="139">
        <v>145.09</v>
      </c>
      <c r="E30" s="35"/>
      <c r="F30" s="35"/>
      <c r="G30" s="35"/>
      <c r="H30" s="35"/>
      <c r="I30" s="36"/>
    </row>
    <row r="31" spans="2:9" ht="15.75" x14ac:dyDescent="0.25">
      <c r="B31" s="34">
        <v>43978</v>
      </c>
      <c r="C31" s="144">
        <v>7.2</v>
      </c>
      <c r="D31" s="144">
        <v>196.67</v>
      </c>
      <c r="E31" s="35"/>
      <c r="F31" s="35"/>
      <c r="G31" s="35"/>
      <c r="H31" s="35"/>
      <c r="I31" s="36"/>
    </row>
    <row r="32" spans="2:9" ht="15.75" x14ac:dyDescent="0.25">
      <c r="B32" s="34">
        <v>43979</v>
      </c>
      <c r="C32" s="144">
        <v>7.19</v>
      </c>
      <c r="D32" s="144">
        <v>196.48</v>
      </c>
      <c r="E32" s="35"/>
      <c r="F32" s="35"/>
      <c r="G32" s="35"/>
      <c r="H32" s="35"/>
      <c r="I32" s="36"/>
    </row>
    <row r="33" spans="2:12" ht="15.75" x14ac:dyDescent="0.25">
      <c r="B33" s="34">
        <v>43980</v>
      </c>
      <c r="C33" s="144">
        <v>5.03</v>
      </c>
      <c r="D33" s="144">
        <v>137.27000000000001</v>
      </c>
      <c r="E33" s="35"/>
      <c r="F33" s="35"/>
      <c r="G33" s="35"/>
      <c r="H33" s="35"/>
      <c r="I33" s="36"/>
    </row>
    <row r="34" spans="2:12" ht="15.75" x14ac:dyDescent="0.25">
      <c r="B34" s="34">
        <v>43981</v>
      </c>
      <c r="C34" s="136">
        <v>4.05</v>
      </c>
      <c r="D34" s="136">
        <v>110.54</v>
      </c>
      <c r="E34" s="35"/>
      <c r="F34" s="35"/>
      <c r="G34" s="35"/>
      <c r="H34" s="35"/>
      <c r="I34" s="36"/>
    </row>
    <row r="35" spans="2:12" ht="15.75" x14ac:dyDescent="0.25">
      <c r="B35" s="34">
        <v>43982</v>
      </c>
      <c r="C35" s="144">
        <v>5.64</v>
      </c>
      <c r="D35" s="144">
        <v>155.5</v>
      </c>
      <c r="E35" s="35"/>
      <c r="F35" s="35"/>
      <c r="G35" s="35"/>
      <c r="H35" s="35"/>
      <c r="I35" s="36"/>
    </row>
    <row r="36" spans="2:12" x14ac:dyDescent="0.25">
      <c r="B36" s="37"/>
      <c r="C36" s="38"/>
      <c r="D36" s="38"/>
      <c r="E36" s="38"/>
      <c r="F36" s="38"/>
      <c r="G36" s="38"/>
      <c r="H36" s="38"/>
    </row>
    <row r="37" spans="2:12" ht="18.75" x14ac:dyDescent="0.3">
      <c r="B37" s="39"/>
      <c r="C37" s="102">
        <f>SUM(C5:C35)</f>
        <v>169.98999999999998</v>
      </c>
      <c r="D37" s="102">
        <f>SUM(D5:D35)</f>
        <v>4632.8600000000006</v>
      </c>
      <c r="E37" s="102">
        <f t="shared" ref="E37:H37" si="0">SUM(E5:E35)</f>
        <v>0</v>
      </c>
      <c r="F37" s="102">
        <f t="shared" si="0"/>
        <v>0</v>
      </c>
      <c r="G37" s="102">
        <f t="shared" si="0"/>
        <v>0</v>
      </c>
      <c r="H37" s="102">
        <f t="shared" si="0"/>
        <v>0</v>
      </c>
      <c r="I37" s="36"/>
      <c r="L37" s="36"/>
    </row>
    <row r="38" spans="2:12" x14ac:dyDescent="0.25">
      <c r="H38" s="41">
        <f>H37*80%</f>
        <v>0</v>
      </c>
      <c r="J38" s="36"/>
      <c r="K38" s="42"/>
    </row>
    <row r="40" spans="2:12" ht="15.75" x14ac:dyDescent="0.25">
      <c r="B40" s="43"/>
      <c r="C40" s="44"/>
      <c r="D40" s="44"/>
      <c r="E40" s="45"/>
      <c r="F40" s="45"/>
      <c r="G40" s="45"/>
      <c r="H40" s="45"/>
      <c r="J40" s="46"/>
      <c r="K40" s="36"/>
    </row>
    <row r="43" spans="2:12" ht="21" x14ac:dyDescent="0.35">
      <c r="C43" s="104" t="s">
        <v>11</v>
      </c>
      <c r="D43" s="103" t="s">
        <v>49</v>
      </c>
      <c r="E43" s="105">
        <v>10.199999999999999</v>
      </c>
      <c r="J43" s="48"/>
    </row>
    <row r="44" spans="2:12" ht="21" x14ac:dyDescent="0.35">
      <c r="C44" s="106" t="s">
        <v>50</v>
      </c>
      <c r="D44" s="103" t="s">
        <v>46</v>
      </c>
      <c r="E44" s="105">
        <v>350</v>
      </c>
      <c r="J44" s="49"/>
    </row>
    <row r="45" spans="2:12" ht="21" x14ac:dyDescent="0.35">
      <c r="C45" s="106"/>
      <c r="D45" s="103"/>
      <c r="E45" s="105"/>
    </row>
    <row r="46" spans="2:12" ht="21" x14ac:dyDescent="0.35">
      <c r="C46" s="104" t="s">
        <v>12</v>
      </c>
      <c r="D46" s="103" t="s">
        <v>49</v>
      </c>
      <c r="E46" s="107">
        <f>IF(C37&gt;E44,(C37*E43),(E44*E43))</f>
        <v>3569.9999999999995</v>
      </c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El Khoury</cp:lastModifiedBy>
  <cp:lastPrinted>2020-01-30T09:39:19Z</cp:lastPrinted>
  <dcterms:created xsi:type="dcterms:W3CDTF">2017-12-04T02:44:15Z</dcterms:created>
  <dcterms:modified xsi:type="dcterms:W3CDTF">2021-06-08T10:56:54Z</dcterms:modified>
</cp:coreProperties>
</file>