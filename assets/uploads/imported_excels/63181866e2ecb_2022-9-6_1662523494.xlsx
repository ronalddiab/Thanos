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55F0ACE7-95A5-4413-A2AD-592D10A506F8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<sst xmlns="http://schemas.openxmlformats.org/spreadsheetml/2006/main" count="66" uniqueCount="32">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</sst>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31.5</v>
          </cell>
        </row>
        <row r="23">
          <cell r="M23">
            <v>168.33576179527256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7" sqref="S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[1]見込!$G$3</f>
        <v>31.5</v>
      </c>
      <c r="G2" s="9">
        <f>'Otemachi Daily'!F5</f>
        <v>153.6</v>
      </c>
      <c r="H2" s="34">
        <f>[1]見込!$M$23</f>
        <v>168.33576179527256</v>
      </c>
      <c r="I2" s="9">
        <f>'Otemachi Daily'!H5</f>
        <v>29081.215199999999</v>
      </c>
      <c r="J2" s="34">
        <v>10.79</v>
      </c>
      <c r="K2" s="9">
        <f>'Otemachi Daily'!J5</f>
        <v>87.506999999999991</v>
      </c>
      <c r="L2" s="34">
        <v>7.22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[1]見込!$G$3</f>
        <v>31.5</v>
      </c>
      <c r="G3" s="9">
        <f>'Otemachi Daily'!F6</f>
        <v>184.4</v>
      </c>
      <c r="H3" s="34">
        <f>[1]見込!$M$23</f>
        <v>168.33576179527256</v>
      </c>
      <c r="I3" s="9">
        <f>'Otemachi Daily'!H6</f>
        <v>16926.353999999999</v>
      </c>
      <c r="J3" s="34">
        <v>10.79</v>
      </c>
      <c r="K3" s="9">
        <f>'Otemachi Daily'!J6</f>
        <v>892.8492</v>
      </c>
      <c r="L3" s="34">
        <v>7.22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[1]見込!$G$3</f>
        <v>31.5</v>
      </c>
      <c r="G4" s="9">
        <f>'Otemachi Daily'!F7</f>
        <v>202.1</v>
      </c>
      <c r="H4" s="34">
        <f>[1]見込!$M$23</f>
        <v>168.33576179527256</v>
      </c>
      <c r="I4" s="9">
        <f>'Otemachi Daily'!H7</f>
        <v>18049.7772</v>
      </c>
      <c r="J4" s="34">
        <v>10.79</v>
      </c>
      <c r="K4" s="9">
        <f>'Otemachi Daily'!J7</f>
        <v>472.5378</v>
      </c>
      <c r="L4" s="34">
        <v>7.22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[1]見込!$G$3</f>
        <v>31.5</v>
      </c>
      <c r="G5" s="9">
        <f>'Otemachi Daily'!F8</f>
        <v>177.2</v>
      </c>
      <c r="H5" s="34">
        <f>[1]見込!$M$23</f>
        <v>168.33576179527256</v>
      </c>
      <c r="I5" s="9">
        <f>'Otemachi Daily'!H8</f>
        <v>22365.678</v>
      </c>
      <c r="J5" s="34">
        <v>10.79</v>
      </c>
      <c r="K5" s="9">
        <f>'Otemachi Daily'!J8</f>
        <v>250.01999999999998</v>
      </c>
      <c r="L5" s="34">
        <v>7.22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[1]見込!$G$3</f>
        <v>31.5</v>
      </c>
      <c r="G6" s="9">
        <f>'Otemachi Daily'!F9</f>
        <v>189.5</v>
      </c>
      <c r="H6" s="34">
        <f>[1]見込!$M$23</f>
        <v>168.33576179527256</v>
      </c>
      <c r="I6" s="9">
        <f>'Otemachi Daily'!H9</f>
        <v>23403.260999999999</v>
      </c>
      <c r="J6" s="34">
        <v>10.79</v>
      </c>
      <c r="K6" s="9">
        <f>'Otemachi Daily'!J9</f>
        <v>222.23999999999998</v>
      </c>
      <c r="L6" s="34">
        <v>7.22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[1]見込!$G$3</f>
        <v>31.5</v>
      </c>
      <c r="G7" s="9">
        <f>'Otemachi Daily'!F10</f>
        <v>180.5</v>
      </c>
      <c r="H7" s="34">
        <f>[1]見込!$M$23</f>
        <v>168.33576179527256</v>
      </c>
      <c r="I7" s="9">
        <f>'Otemachi Daily'!H10</f>
        <v>28574.230199999998</v>
      </c>
      <c r="J7" s="34">
        <v>10.79</v>
      </c>
      <c r="K7" s="9">
        <f>'Otemachi Daily'!J10</f>
        <v>1.6667999999999998</v>
      </c>
      <c r="L7" s="34">
        <v>7.22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0</v>
      </c>
      <c r="F8" s="34">
        <f>[1]見込!$G$3</f>
        <v>31.5</v>
      </c>
      <c r="G8" s="9">
        <f>'Otemachi Daily'!F11</f>
        <v>0</v>
      </c>
      <c r="H8" s="34">
        <f>[1]見込!$M$23</f>
        <v>168.33576179527256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0</v>
      </c>
      <c r="F9" s="34">
        <f>[1]見込!$G$3</f>
        <v>31.5</v>
      </c>
      <c r="G9" s="9">
        <f>'Otemachi Daily'!F12</f>
        <v>0</v>
      </c>
      <c r="H9" s="34">
        <f>[1]見込!$M$23</f>
        <v>168.33576179527256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0</v>
      </c>
      <c r="F10" s="34">
        <f>[1]見込!$G$3</f>
        <v>31.5</v>
      </c>
      <c r="G10" s="9">
        <f>'Otemachi Daily'!F13</f>
        <v>0</v>
      </c>
      <c r="H10" s="34">
        <f>[1]見込!$M$23</f>
        <v>168.33576179527256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0</v>
      </c>
      <c r="F11" s="34">
        <f>[1]見込!$G$3</f>
        <v>31.5</v>
      </c>
      <c r="G11" s="9">
        <f>'Otemachi Daily'!F14</f>
        <v>0</v>
      </c>
      <c r="H11" s="34">
        <f>[1]見込!$M$23</f>
        <v>168.33576179527256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0</v>
      </c>
      <c r="F12" s="34">
        <f>[1]見込!$G$3</f>
        <v>31.5</v>
      </c>
      <c r="G12" s="9">
        <f>'Otemachi Daily'!F15</f>
        <v>0</v>
      </c>
      <c r="H12" s="34">
        <f>[1]見込!$M$23</f>
        <v>168.33576179527256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0</v>
      </c>
      <c r="F13" s="34">
        <f>[1]見込!$G$3</f>
        <v>31.5</v>
      </c>
      <c r="G13" s="9">
        <f>'Otemachi Daily'!F16</f>
        <v>0</v>
      </c>
      <c r="H13" s="34">
        <f>[1]見込!$M$23</f>
        <v>168.33576179527256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0</v>
      </c>
      <c r="F14" s="34">
        <f>[1]見込!$G$3</f>
        <v>31.5</v>
      </c>
      <c r="G14" s="9">
        <f>'Otemachi Daily'!F17</f>
        <v>0</v>
      </c>
      <c r="H14" s="34">
        <f>[1]見込!$M$23</f>
        <v>168.33576179527256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0</v>
      </c>
      <c r="F15" s="34">
        <f>[1]見込!$G$3</f>
        <v>31.5</v>
      </c>
      <c r="G15" s="9">
        <f>'Otemachi Daily'!F18</f>
        <v>0</v>
      </c>
      <c r="H15" s="34">
        <f>[1]見込!$M$23</f>
        <v>168.33576179527256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0</v>
      </c>
      <c r="F16" s="34">
        <f>[1]見込!$G$3</f>
        <v>31.5</v>
      </c>
      <c r="G16" s="9">
        <f>'Otemachi Daily'!F19</f>
        <v>0</v>
      </c>
      <c r="H16" s="34">
        <f>[1]見込!$M$23</f>
        <v>168.33576179527256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0</v>
      </c>
      <c r="F17" s="34">
        <f>[1]見込!$G$3</f>
        <v>31.5</v>
      </c>
      <c r="G17" s="9">
        <f>'Otemachi Daily'!F20</f>
        <v>0</v>
      </c>
      <c r="H17" s="34">
        <f>[1]見込!$M$23</f>
        <v>168.33576179527256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0</v>
      </c>
      <c r="F18" s="34">
        <f>[1]見込!$G$3</f>
        <v>31.5</v>
      </c>
      <c r="G18" s="9">
        <f>'Otemachi Daily'!F21</f>
        <v>0</v>
      </c>
      <c r="H18" s="34">
        <f>[1]見込!$M$23</f>
        <v>168.33576179527256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0</v>
      </c>
      <c r="F19" s="34">
        <f>[1]見込!$G$3</f>
        <v>31.5</v>
      </c>
      <c r="G19" s="9">
        <f>'Otemachi Daily'!F22</f>
        <v>0</v>
      </c>
      <c r="H19" s="34">
        <f>[1]見込!$M$23</f>
        <v>168.33576179527256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0</v>
      </c>
      <c r="F20" s="34">
        <f>[1]見込!$G$3</f>
        <v>31.5</v>
      </c>
      <c r="G20" s="9">
        <f>'Otemachi Daily'!F23</f>
        <v>0</v>
      </c>
      <c r="H20" s="34">
        <f>[1]見込!$M$23</f>
        <v>168.33576179527256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0</v>
      </c>
      <c r="F21" s="34">
        <f>[1]見込!$G$3</f>
        <v>31.5</v>
      </c>
      <c r="G21" s="9">
        <f>'Otemachi Daily'!F24</f>
        <v>0</v>
      </c>
      <c r="H21" s="34">
        <f>[1]見込!$M$23</f>
        <v>168.33576179527256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0</v>
      </c>
      <c r="F22" s="34">
        <f>[1]見込!$G$3</f>
        <v>31.5</v>
      </c>
      <c r="G22" s="9">
        <f>'Otemachi Daily'!F25</f>
        <v>0</v>
      </c>
      <c r="H22" s="34">
        <f>[1]見込!$M$23</f>
        <v>168.33576179527256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0</v>
      </c>
      <c r="F23" s="34">
        <f>[1]見込!$G$3</f>
        <v>31.5</v>
      </c>
      <c r="G23" s="9">
        <f>'Otemachi Daily'!F26</f>
        <v>0</v>
      </c>
      <c r="H23" s="34">
        <f>[1]見込!$M$23</f>
        <v>168.33576179527256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0</v>
      </c>
      <c r="F24" s="34">
        <f>[1]見込!$G$3</f>
        <v>31.5</v>
      </c>
      <c r="G24" s="9">
        <f>'Otemachi Daily'!F27</f>
        <v>0</v>
      </c>
      <c r="H24" s="34">
        <f>[1]見込!$M$23</f>
        <v>168.33576179527256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0</v>
      </c>
      <c r="F25" s="34">
        <f>[1]見込!$G$3</f>
        <v>31.5</v>
      </c>
      <c r="G25" s="9">
        <f>'Otemachi Daily'!F28</f>
        <v>0</v>
      </c>
      <c r="H25" s="34">
        <f>[1]見込!$M$23</f>
        <v>168.33576179527256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0</v>
      </c>
      <c r="F26" s="34">
        <f>[1]見込!$G$3</f>
        <v>31.5</v>
      </c>
      <c r="G26" s="9">
        <f>'Otemachi Daily'!F29</f>
        <v>0</v>
      </c>
      <c r="H26" s="34">
        <f>[1]見込!$M$23</f>
        <v>168.33576179527256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0</v>
      </c>
      <c r="F27" s="34">
        <f>[1]見込!$G$3</f>
        <v>31.5</v>
      </c>
      <c r="G27" s="9">
        <f>'Otemachi Daily'!F30</f>
        <v>0</v>
      </c>
      <c r="H27" s="34">
        <f>[1]見込!$M$23</f>
        <v>168.33576179527256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0</v>
      </c>
      <c r="F28" s="34">
        <f>[1]見込!$G$3</f>
        <v>31.5</v>
      </c>
      <c r="G28" s="9">
        <f>'Otemachi Daily'!F31</f>
        <v>0</v>
      </c>
      <c r="H28" s="34">
        <f>[1]見込!$M$23</f>
        <v>168.33576179527256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0</v>
      </c>
      <c r="F29" s="34">
        <f>[1]見込!$G$3</f>
        <v>31.5</v>
      </c>
      <c r="G29" s="9">
        <f>'Otemachi Daily'!F32</f>
        <v>0</v>
      </c>
      <c r="H29" s="34">
        <f>[1]見込!$M$23</f>
        <v>168.33576179527256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0</v>
      </c>
      <c r="F30" s="34">
        <f>[1]見込!$G$3</f>
        <v>31.5</v>
      </c>
      <c r="G30" s="9">
        <f>'Otemachi Daily'!F33</f>
        <v>0</v>
      </c>
      <c r="H30" s="34">
        <f>[1]見込!$M$23</f>
        <v>168.33576179527256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0</v>
      </c>
      <c r="F31" s="34">
        <f>[1]見込!$G$3</f>
        <v>31.5</v>
      </c>
      <c r="G31" s="9">
        <f>'Otemachi Daily'!F34</f>
        <v>0</v>
      </c>
      <c r="H31" s="34">
        <f>[1]見込!$M$23</f>
        <v>168.33576179527256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[1]見込!$G$3</f>
        <v>31.5</v>
      </c>
      <c r="G32" s="9">
        <f>'Otemachi Daily'!F35</f>
        <v>0</v>
      </c>
      <c r="H32" s="34">
        <f>[1]見込!$M$23</f>
        <v>168.33576179527256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Q32" sqref="Q32:Q3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8"/>
      <c r="C5" s="35">
        <f>[1]コスト!$G$147</f>
        <v>16143</v>
      </c>
      <c r="D5" s="35">
        <f>C5</f>
        <v>16143</v>
      </c>
      <c r="E5" s="35">
        <f>[1]コスト!$G$23</f>
        <v>153.6</v>
      </c>
      <c r="F5" s="35">
        <f>E5</f>
        <v>153.6</v>
      </c>
      <c r="G5" s="35">
        <f>[1]コスト!$G$115</f>
        <v>29081.215199999999</v>
      </c>
      <c r="H5" s="35">
        <f>G5</f>
        <v>29081.215199999999</v>
      </c>
      <c r="I5" s="35">
        <f>[1]コスト!$G$91</f>
        <v>87.506999999999991</v>
      </c>
      <c r="J5" s="35">
        <f>I5</f>
        <v>87.506999999999991</v>
      </c>
      <c r="K5" s="35">
        <f>[1]コスト!$G$41</f>
        <v>141</v>
      </c>
      <c r="L5" s="35">
        <f>K5</f>
        <v>141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8"/>
      <c r="C6" s="35">
        <f>[1]コスト!$H$147</f>
        <v>16181</v>
      </c>
      <c r="D6" s="35">
        <f t="shared" ref="D6:F35" si="0">C6</f>
        <v>16181</v>
      </c>
      <c r="E6" s="35">
        <f>[1]コスト!$H$23</f>
        <v>184.4</v>
      </c>
      <c r="F6" s="35">
        <f t="shared" si="0"/>
        <v>184.4</v>
      </c>
      <c r="G6" s="35">
        <f>[1]コスト!$H$115</f>
        <v>16926.353999999999</v>
      </c>
      <c r="H6" s="35">
        <f t="shared" ref="H6" si="1">G6</f>
        <v>16926.353999999999</v>
      </c>
      <c r="I6" s="35">
        <f>[1]コスト!$H$91</f>
        <v>892.8492</v>
      </c>
      <c r="J6" s="35">
        <f t="shared" ref="J6" si="2">I6</f>
        <v>892.8492</v>
      </c>
      <c r="K6" s="35">
        <f>[1]コスト!$H$41</f>
        <v>138</v>
      </c>
      <c r="L6" s="35">
        <f t="shared" ref="L6" si="3">K6</f>
        <v>138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8"/>
      <c r="C7" s="35">
        <f>[1]コスト!$I$147</f>
        <v>16469</v>
      </c>
      <c r="D7" s="35">
        <f t="shared" si="0"/>
        <v>16469</v>
      </c>
      <c r="E7" s="35">
        <f>[1]コスト!$I$23</f>
        <v>202.1</v>
      </c>
      <c r="F7" s="35">
        <f t="shared" si="0"/>
        <v>202.1</v>
      </c>
      <c r="G7" s="35">
        <f>[1]コスト!$I$115</f>
        <v>18049.7772</v>
      </c>
      <c r="H7" s="35">
        <f t="shared" ref="H7" si="4">G7</f>
        <v>18049.7772</v>
      </c>
      <c r="I7" s="35">
        <f>[1]コスト!$I$91</f>
        <v>472.5378</v>
      </c>
      <c r="J7" s="35">
        <f t="shared" ref="J7" si="5">I7</f>
        <v>472.5378</v>
      </c>
      <c r="K7" s="35">
        <f>[1]コスト!$I$41</f>
        <v>166</v>
      </c>
      <c r="L7" s="35">
        <f t="shared" ref="L7" si="6">K7</f>
        <v>166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8"/>
      <c r="C8" s="35">
        <f>[1]コスト!$J$147</f>
        <v>16608</v>
      </c>
      <c r="D8" s="35">
        <f t="shared" si="0"/>
        <v>16608</v>
      </c>
      <c r="E8" s="35">
        <f>[1]コスト!$J$23</f>
        <v>177.2</v>
      </c>
      <c r="F8" s="35">
        <f t="shared" si="0"/>
        <v>177.2</v>
      </c>
      <c r="G8" s="35">
        <f>[1]コスト!$J$115</f>
        <v>22365.678</v>
      </c>
      <c r="H8" s="35">
        <f t="shared" ref="H8" si="7">G8</f>
        <v>22365.678</v>
      </c>
      <c r="I8" s="35">
        <f>[1]コスト!$J$91</f>
        <v>250.01999999999998</v>
      </c>
      <c r="J8" s="35">
        <f t="shared" ref="J8" si="8">I8</f>
        <v>250.01999999999998</v>
      </c>
      <c r="K8" s="35">
        <f>[1]コスト!$J$41</f>
        <v>181</v>
      </c>
      <c r="L8" s="35">
        <f t="shared" ref="L8" si="9">K8</f>
        <v>181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8"/>
      <c r="C9" s="35">
        <f>[1]コスト!$K$147</f>
        <v>16419</v>
      </c>
      <c r="D9" s="35">
        <f t="shared" si="0"/>
        <v>16419</v>
      </c>
      <c r="E9" s="35">
        <f>[1]コスト!$K$23</f>
        <v>189.5</v>
      </c>
      <c r="F9" s="35">
        <f t="shared" si="0"/>
        <v>189.5</v>
      </c>
      <c r="G9" s="35">
        <f>[1]コスト!$K$115</f>
        <v>23403.260999999999</v>
      </c>
      <c r="H9" s="35">
        <f t="shared" ref="H9" si="10">G9</f>
        <v>23403.260999999999</v>
      </c>
      <c r="I9" s="35">
        <f>[1]コスト!$K$91</f>
        <v>222.23999999999998</v>
      </c>
      <c r="J9" s="35">
        <f t="shared" ref="J9" si="11">I9</f>
        <v>222.23999999999998</v>
      </c>
      <c r="K9" s="35">
        <f>[1]コスト!$K$41</f>
        <v>152</v>
      </c>
      <c r="L9" s="35">
        <f t="shared" ref="L9" si="12">K9</f>
        <v>152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8"/>
      <c r="C10" s="35">
        <f>[1]コスト!$L$147</f>
        <v>16350</v>
      </c>
      <c r="D10" s="35">
        <f t="shared" si="0"/>
        <v>16350</v>
      </c>
      <c r="E10" s="35">
        <f>[1]コスト!$L$23</f>
        <v>180.5</v>
      </c>
      <c r="F10" s="35">
        <f t="shared" si="0"/>
        <v>180.5</v>
      </c>
      <c r="G10" s="35">
        <f>[1]コスト!$L$115</f>
        <v>28574.230199999998</v>
      </c>
      <c r="H10" s="35">
        <f t="shared" ref="H10" si="13">G10</f>
        <v>28574.230199999998</v>
      </c>
      <c r="I10" s="35">
        <f>[1]コスト!$L$91</f>
        <v>1.6667999999999998</v>
      </c>
      <c r="J10" s="35">
        <f t="shared" ref="J10" si="14">I10</f>
        <v>1.6667999999999998</v>
      </c>
      <c r="K10" s="35">
        <f>[1]コスト!$L$41</f>
        <v>131</v>
      </c>
      <c r="L10" s="35">
        <f t="shared" ref="L10" si="15">K10</f>
        <v>131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44812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44813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44814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44815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44816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44817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44818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44819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44820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44821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44822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44823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44824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44825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44826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44827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44828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44829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44830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44831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44832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44833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44834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2022-09-07T04:03:41Z</dcterms:modified>
</cp:coreProperties>
</file>