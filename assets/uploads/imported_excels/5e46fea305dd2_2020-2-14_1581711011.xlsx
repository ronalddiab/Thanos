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Feb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36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R36" i="7" l="1"/>
  <c r="Q36" i="7"/>
  <c r="AU6" i="7"/>
  <c r="AF34" i="7" l="1"/>
  <c r="AV8" i="7" l="1"/>
  <c r="R3" i="9" s="1"/>
  <c r="G3" i="5" s="1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W10" i="7" s="1"/>
  <c r="AV11" i="7"/>
  <c r="AW11" i="7" s="1"/>
  <c r="AV12" i="7"/>
  <c r="R7" i="9" s="1"/>
  <c r="G7" i="5" s="1"/>
  <c r="AV13" i="7"/>
  <c r="AV14" i="7"/>
  <c r="AW14" i="7" s="1"/>
  <c r="AV15" i="7"/>
  <c r="R10" i="9" s="1"/>
  <c r="G10" i="5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R20" i="9" s="1"/>
  <c r="G20" i="5" s="1"/>
  <c r="AV26" i="7"/>
  <c r="AW26" i="7" s="1"/>
  <c r="AV9" i="7"/>
  <c r="AW9" i="7" s="1"/>
  <c r="S7" i="7"/>
  <c r="S8" i="7"/>
  <c r="G3" i="9" s="1"/>
  <c r="S9" i="7"/>
  <c r="AH9" i="7" s="1"/>
  <c r="S10" i="7"/>
  <c r="AH10" i="7" s="1"/>
  <c r="S11" i="7"/>
  <c r="AH11" i="7" s="1"/>
  <c r="S12" i="7"/>
  <c r="G7" i="9" s="1"/>
  <c r="AF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 s="1"/>
  <c r="AB9" i="7"/>
  <c r="P4" i="9" s="1"/>
  <c r="AC9" i="7"/>
  <c r="AR9" i="7" s="1"/>
  <c r="R10" i="7"/>
  <c r="F5" i="9" s="1"/>
  <c r="T10" i="7"/>
  <c r="H5" i="9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AO10" i="7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AL11" i="7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F8" i="9"/>
  <c r="S13" i="7"/>
  <c r="T13" i="7"/>
  <c r="U13" i="7"/>
  <c r="V13" i="7"/>
  <c r="AK13" i="7" s="1"/>
  <c r="W13" i="7"/>
  <c r="X13" i="7"/>
  <c r="Y13" i="7"/>
  <c r="Z13" i="7"/>
  <c r="AA13" i="7"/>
  <c r="AB13" i="7"/>
  <c r="AC13" i="7"/>
  <c r="F9" i="9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F10" i="9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AG16" i="7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AG17" i="7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F13" i="9"/>
  <c r="S18" i="7"/>
  <c r="AH18" i="7" s="1"/>
  <c r="T18" i="7"/>
  <c r="AI18" i="7" s="1"/>
  <c r="U18" i="7"/>
  <c r="I13" i="9" s="1"/>
  <c r="V18" i="7"/>
  <c r="AK18" i="7" s="1"/>
  <c r="W18" i="7"/>
  <c r="X18" i="7"/>
  <c r="L13" i="9" s="1"/>
  <c r="Y18" i="7"/>
  <c r="AN18" i="7" s="1"/>
  <c r="Z18" i="7"/>
  <c r="N13" i="9" s="1"/>
  <c r="AA18" i="7"/>
  <c r="AP18" i="7" s="1"/>
  <c r="AB18" i="7"/>
  <c r="P13" i="9" s="1"/>
  <c r="AC18" i="7"/>
  <c r="Q13" i="9" s="1"/>
  <c r="AG19" i="7"/>
  <c r="S19" i="7"/>
  <c r="G14" i="9" s="1"/>
  <c r="T19" i="7"/>
  <c r="H14" i="9" s="1"/>
  <c r="U19" i="7"/>
  <c r="I14" i="9" s="1"/>
  <c r="V19" i="7"/>
  <c r="J14" i="9" s="1"/>
  <c r="W19" i="7"/>
  <c r="AL19" i="7" s="1"/>
  <c r="X19" i="7"/>
  <c r="AM19" i="7" s="1"/>
  <c r="Y19" i="7"/>
  <c r="AN19" i="7" s="1"/>
  <c r="Z19" i="7"/>
  <c r="AO19" i="7" s="1"/>
  <c r="AA19" i="7"/>
  <c r="O14" i="9" s="1"/>
  <c r="AB19" i="7"/>
  <c r="P14" i="9" s="1"/>
  <c r="AC19" i="7"/>
  <c r="Q14" i="9" s="1"/>
  <c r="AG20" i="7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F16" i="9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AG22" i="7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F18" i="9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AG24" i="7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AG25" i="7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AG26" i="7"/>
  <c r="S26" i="7"/>
  <c r="AH26" i="7" s="1"/>
  <c r="T26" i="7"/>
  <c r="H21" i="9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AG27" i="7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F23" i="9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 s="1"/>
  <c r="Z28" i="7"/>
  <c r="AO28" i="7" s="1"/>
  <c r="AA28" i="7"/>
  <c r="O23" i="9" s="1"/>
  <c r="AB28" i="7"/>
  <c r="P23" i="9" s="1"/>
  <c r="AC28" i="7"/>
  <c r="AR28" i="7" s="1"/>
  <c r="AG29" i="7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N24" i="9" s="1"/>
  <c r="AA29" i="7"/>
  <c r="AP29" i="7" s="1"/>
  <c r="AB29" i="7"/>
  <c r="P24" i="9" s="1"/>
  <c r="AC29" i="7"/>
  <c r="AR29" i="7" s="1"/>
  <c r="AG30" i="7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F26" i="9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F27" i="9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B33" i="7"/>
  <c r="P28" i="9" s="1"/>
  <c r="AC33" i="7"/>
  <c r="AR33" i="7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AG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 s="1"/>
  <c r="AA35" i="7"/>
  <c r="O30" i="9" s="1"/>
  <c r="AB35" i="7"/>
  <c r="P30" i="9" s="1"/>
  <c r="AC35" i="7"/>
  <c r="AR35" i="7" s="1"/>
  <c r="R8" i="7"/>
  <c r="F3" i="9" s="1"/>
  <c r="T8" i="7"/>
  <c r="AI8" i="7" s="1"/>
  <c r="U8" i="7"/>
  <c r="I3" i="9" s="1"/>
  <c r="V8" i="7"/>
  <c r="AK8" i="7" s="1"/>
  <c r="W8" i="7"/>
  <c r="K3" i="9" s="1"/>
  <c r="X8" i="7"/>
  <c r="AM8" i="7" s="1"/>
  <c r="Y8" i="7"/>
  <c r="M3" i="9" s="1"/>
  <c r="Z8" i="7"/>
  <c r="AO8" i="7" s="1"/>
  <c r="AA8" i="7"/>
  <c r="AP8" i="7" s="1"/>
  <c r="AB8" i="7"/>
  <c r="P3" i="9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AF10" i="7" s="1"/>
  <c r="Q11" i="7"/>
  <c r="E6" i="9" s="1"/>
  <c r="Q12" i="7"/>
  <c r="AF12" i="7" s="1"/>
  <c r="AF13" i="7"/>
  <c r="AF14" i="7"/>
  <c r="AF16" i="7"/>
  <c r="E12" i="9"/>
  <c r="E13" i="9"/>
  <c r="E14" i="9"/>
  <c r="AF20" i="7"/>
  <c r="AF21" i="7"/>
  <c r="AF23" i="7"/>
  <c r="E19" i="9"/>
  <c r="E20" i="9"/>
  <c r="E21" i="9"/>
  <c r="AF27" i="7"/>
  <c r="AF28" i="7"/>
  <c r="AF29" i="7"/>
  <c r="E25" i="9"/>
  <c r="E26" i="9"/>
  <c r="AF32" i="7"/>
  <c r="AF33" i="7"/>
  <c r="Q8" i="7"/>
  <c r="E3" i="9" s="1"/>
  <c r="Q7" i="7"/>
  <c r="E2" i="9" s="1"/>
  <c r="AU42" i="7"/>
  <c r="AV43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X23" i="7"/>
  <c r="AM23" i="7" s="1"/>
  <c r="AC22" i="7"/>
  <c r="Q17" i="9" s="1"/>
  <c r="AC23" i="7"/>
  <c r="Q18" i="9" s="1"/>
  <c r="X22" i="7"/>
  <c r="L17" i="9" s="1"/>
  <c r="T20" i="7"/>
  <c r="T21" i="7"/>
  <c r="AI21" i="7" s="1"/>
  <c r="AL32" i="7"/>
  <c r="AL33" i="7"/>
  <c r="R30" i="9"/>
  <c r="G30" i="5" s="1"/>
  <c r="L11" i="9" l="1"/>
  <c r="R8" i="9"/>
  <c r="G8" i="5" s="1"/>
  <c r="AV36" i="7"/>
  <c r="AR13" i="7"/>
  <c r="AC36" i="7"/>
  <c r="AQ13" i="7"/>
  <c r="AB36" i="7"/>
  <c r="O8" i="9"/>
  <c r="AA36" i="7"/>
  <c r="AO13" i="7"/>
  <c r="Z36" i="7"/>
  <c r="AN13" i="7"/>
  <c r="Y36" i="7"/>
  <c r="L8" i="9"/>
  <c r="X36" i="7"/>
  <c r="AL13" i="7"/>
  <c r="W36" i="7"/>
  <c r="I8" i="9"/>
  <c r="U36" i="7"/>
  <c r="H8" i="9"/>
  <c r="T36" i="7"/>
  <c r="AH13" i="7"/>
  <c r="S36" i="7"/>
  <c r="AW13" i="7"/>
  <c r="G6" i="9"/>
  <c r="J26" i="9"/>
  <c r="AG33" i="7"/>
  <c r="AJ35" i="7"/>
  <c r="AG21" i="7"/>
  <c r="AW19" i="7"/>
  <c r="AM28" i="7"/>
  <c r="R6" i="9"/>
  <c r="G6" i="5" s="1"/>
  <c r="P21" i="9"/>
  <c r="AN7" i="7"/>
  <c r="AI25" i="7"/>
  <c r="N14" i="9"/>
  <c r="F11" i="9"/>
  <c r="N12" i="9"/>
  <c r="F14" i="9"/>
  <c r="AG8" i="7"/>
  <c r="F29" i="9"/>
  <c r="AD34" i="7"/>
  <c r="AO35" i="7"/>
  <c r="L3" i="9"/>
  <c r="AF11" i="7"/>
  <c r="R28" i="9"/>
  <c r="G28" i="5" s="1"/>
  <c r="AJ33" i="7"/>
  <c r="F24" i="9"/>
  <c r="AQ28" i="7"/>
  <c r="P22" i="9"/>
  <c r="AI26" i="7"/>
  <c r="AQ24" i="7"/>
  <c r="R17" i="9"/>
  <c r="G17" i="5" s="1"/>
  <c r="F17" i="9"/>
  <c r="AW17" i="7"/>
  <c r="AK17" i="7"/>
  <c r="M11" i="9"/>
  <c r="AW15" i="7"/>
  <c r="P10" i="9"/>
  <c r="P9" i="9"/>
  <c r="AH15" i="7"/>
  <c r="AM22" i="7"/>
  <c r="AG32" i="7"/>
  <c r="AG10" i="7"/>
  <c r="N27" i="9"/>
  <c r="Q30" i="9"/>
  <c r="AP27" i="7"/>
  <c r="I4" i="9"/>
  <c r="AH12" i="7"/>
  <c r="K25" i="9"/>
  <c r="K21" i="9"/>
  <c r="AI11" i="7"/>
  <c r="AJ15" i="7"/>
  <c r="AN34" i="7"/>
  <c r="M28" i="9"/>
  <c r="G26" i="9"/>
  <c r="AH29" i="7"/>
  <c r="AP24" i="7"/>
  <c r="AP10" i="7"/>
  <c r="AL21" i="7"/>
  <c r="Q19" i="9"/>
  <c r="AP20" i="7"/>
  <c r="AR22" i="7"/>
  <c r="N8" i="9"/>
  <c r="K2" i="9"/>
  <c r="AN21" i="7"/>
  <c r="AN25" i="7"/>
  <c r="AN14" i="7"/>
  <c r="G12" i="9"/>
  <c r="AQ21" i="7"/>
  <c r="AO24" i="7"/>
  <c r="O9" i="9"/>
  <c r="P25" i="9"/>
  <c r="F30" i="9"/>
  <c r="H25" i="9"/>
  <c r="Q20" i="9"/>
  <c r="P18" i="9"/>
  <c r="F19" i="9"/>
  <c r="K7" i="9"/>
  <c r="AH21" i="7"/>
  <c r="G18" i="9"/>
  <c r="AH22" i="7"/>
  <c r="E9" i="9"/>
  <c r="H18" i="9"/>
  <c r="AN27" i="7"/>
  <c r="AM12" i="7"/>
  <c r="AI12" i="7"/>
  <c r="AL8" i="7"/>
  <c r="AG18" i="7"/>
  <c r="G13" i="9"/>
  <c r="G29" i="9"/>
  <c r="Q21" i="9"/>
  <c r="AN23" i="7"/>
  <c r="L16" i="9"/>
  <c r="AQ9" i="7"/>
  <c r="P17" i="9"/>
  <c r="L4" i="9"/>
  <c r="F20" i="9"/>
  <c r="AN22" i="7"/>
  <c r="J21" i="9"/>
  <c r="AO31" i="7"/>
  <c r="K26" i="9"/>
  <c r="K14" i="9"/>
  <c r="K12" i="9"/>
  <c r="AK15" i="7"/>
  <c r="J13" i="9"/>
  <c r="AK20" i="7"/>
  <c r="AK19" i="7"/>
  <c r="N3" i="9"/>
  <c r="AQ19" i="7"/>
  <c r="AI9" i="7"/>
  <c r="R21" i="9"/>
  <c r="G21" i="5" s="1"/>
  <c r="I15" i="9"/>
  <c r="AN20" i="7"/>
  <c r="AQ8" i="7"/>
  <c r="H12" i="9"/>
  <c r="K6" i="9"/>
  <c r="AR18" i="7"/>
  <c r="AJ12" i="7"/>
  <c r="AR31" i="7"/>
  <c r="Q24" i="9"/>
  <c r="AL16" i="7"/>
  <c r="AR12" i="7"/>
  <c r="R29" i="9"/>
  <c r="G29" i="5" s="1"/>
  <c r="N23" i="9"/>
  <c r="AL9" i="7"/>
  <c r="G19" i="9"/>
  <c r="AP35" i="7"/>
  <c r="F22" i="9"/>
  <c r="AW12" i="7"/>
  <c r="AJ24" i="7"/>
  <c r="I9" i="9"/>
  <c r="I27" i="9"/>
  <c r="H24" i="9"/>
  <c r="AI19" i="7"/>
  <c r="H9" i="9"/>
  <c r="P8" i="9"/>
  <c r="J8" i="9"/>
  <c r="J7" i="9"/>
  <c r="O6" i="9"/>
  <c r="AO12" i="7"/>
  <c r="AN12" i="7"/>
  <c r="AN11" i="7"/>
  <c r="I6" i="9"/>
  <c r="N5" i="9"/>
  <c r="L6" i="9"/>
  <c r="AI10" i="7"/>
  <c r="F6" i="9"/>
  <c r="R5" i="9"/>
  <c r="G5" i="5" s="1"/>
  <c r="P5" i="9"/>
  <c r="N4" i="9"/>
  <c r="AN9" i="7"/>
  <c r="M5" i="9"/>
  <c r="AL10" i="7"/>
  <c r="J5" i="9"/>
  <c r="Q4" i="9"/>
  <c r="J4" i="9"/>
  <c r="G4" i="9"/>
  <c r="Q3" i="9"/>
  <c r="O3" i="9"/>
  <c r="AN8" i="7"/>
  <c r="J3" i="9"/>
  <c r="AJ8" i="7"/>
  <c r="N2" i="9"/>
  <c r="AQ7" i="7"/>
  <c r="AI7" i="7"/>
  <c r="L2" i="9"/>
  <c r="Q2" i="9"/>
  <c r="R4" i="9"/>
  <c r="G4" i="5" s="1"/>
  <c r="R19" i="9"/>
  <c r="G19" i="5" s="1"/>
  <c r="AW25" i="7"/>
  <c r="R18" i="9"/>
  <c r="G18" i="5" s="1"/>
  <c r="R11" i="9"/>
  <c r="G11" i="5" s="1"/>
  <c r="R22" i="9"/>
  <c r="G22" i="5" s="1"/>
  <c r="AD11" i="7"/>
  <c r="AK7" i="7"/>
  <c r="Q11" i="9"/>
  <c r="AD9" i="7"/>
  <c r="AQ11" i="7"/>
  <c r="AF9" i="7"/>
  <c r="H3" i="9"/>
  <c r="F4" i="9"/>
  <c r="O2" i="9"/>
  <c r="Q10" i="9"/>
  <c r="I5" i="9"/>
  <c r="AI35" i="7"/>
  <c r="G5" i="9"/>
  <c r="P26" i="9"/>
  <c r="AK35" i="7"/>
  <c r="AM30" i="7"/>
  <c r="AP28" i="7"/>
  <c r="F15" i="9"/>
  <c r="AR20" i="7"/>
  <c r="I17" i="9"/>
  <c r="K20" i="9"/>
  <c r="L5" i="9"/>
  <c r="I29" i="9"/>
  <c r="AG15" i="7"/>
  <c r="K23" i="9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M10" i="9"/>
  <c r="AO18" i="7"/>
  <c r="AL35" i="7"/>
  <c r="AH35" i="7"/>
  <c r="Q28" i="9"/>
  <c r="AK24" i="7"/>
  <c r="N15" i="9"/>
  <c r="AP13" i="7"/>
  <c r="J22" i="9"/>
  <c r="L29" i="9"/>
  <c r="AJ30" i="7"/>
  <c r="M23" i="9"/>
  <c r="AI31" i="7"/>
  <c r="F25" i="9"/>
  <c r="N28" i="9"/>
  <c r="AP33" i="7"/>
  <c r="AR30" i="7"/>
  <c r="J25" i="9"/>
  <c r="AM18" i="7"/>
  <c r="AN35" i="7"/>
  <c r="AQ35" i="7"/>
  <c r="N29" i="9"/>
  <c r="L30" i="9"/>
  <c r="AI34" i="7"/>
  <c r="E29" i="9"/>
  <c r="Q29" i="9"/>
  <c r="AQ34" i="7"/>
  <c r="AP34" i="7"/>
  <c r="K29" i="9"/>
  <c r="J29" i="9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Q8" i="9"/>
  <c r="AQ12" i="7"/>
  <c r="M8" i="9"/>
  <c r="AM13" i="7"/>
  <c r="AG13" i="7"/>
  <c r="F7" i="9"/>
  <c r="E8" i="9"/>
  <c r="AD13" i="7"/>
  <c r="AJ31" i="7"/>
  <c r="I26" i="9"/>
  <c r="AM25" i="7"/>
  <c r="L20" i="9"/>
  <c r="H10" i="9"/>
  <c r="AI15" i="7"/>
  <c r="AD23" i="7"/>
  <c r="AP26" i="7"/>
  <c r="AI33" i="7"/>
  <c r="H28" i="9"/>
  <c r="J23" i="9"/>
  <c r="AK28" i="7"/>
  <c r="AQ20" i="7"/>
  <c r="P15" i="9"/>
  <c r="E7" i="9"/>
  <c r="AD12" i="7"/>
  <c r="AD8" i="7"/>
  <c r="F2" i="9"/>
  <c r="AD17" i="7"/>
  <c r="AD15" i="7"/>
  <c r="AD14" i="7"/>
  <c r="AD27" i="7"/>
  <c r="AD31" i="7"/>
  <c r="K17" i="9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AD19" i="7"/>
  <c r="AO25" i="7"/>
  <c r="N20" i="9"/>
  <c r="AH20" i="7"/>
  <c r="G15" i="9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AH19" i="7"/>
  <c r="O7" i="9"/>
  <c r="L10" i="9"/>
  <c r="J6" i="9"/>
  <c r="AQ36" i="7" l="1"/>
  <c r="AP36" i="7"/>
  <c r="AK36" i="7"/>
  <c r="AF36" i="7"/>
  <c r="AW36" i="7"/>
  <c r="AR36" i="7"/>
  <c r="AO36" i="7"/>
  <c r="AN36" i="7"/>
  <c r="AM36" i="7"/>
  <c r="AL36" i="7"/>
  <c r="AJ36" i="7"/>
  <c r="AI36" i="7"/>
  <c r="AH36" i="7"/>
  <c r="AG36" i="7"/>
  <c r="AD36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AS7" i="7"/>
  <c r="E15" i="5"/>
  <c r="AS18" i="7"/>
  <c r="AV37" i="7"/>
  <c r="AV38" i="7" s="1"/>
  <c r="AV39" i="7"/>
  <c r="E7" i="5"/>
  <c r="E26" i="5"/>
  <c r="AS25" i="7"/>
  <c r="AS28" i="7"/>
  <c r="AS36" i="7" l="1"/>
</calcChain>
</file>

<file path=xl/sharedStrings.xml><?xml version="1.0" encoding="utf-8"?>
<sst xmlns="http://schemas.openxmlformats.org/spreadsheetml/2006/main" count="124" uniqueCount="49">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</sst>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0"/>
  <sheetViews>
    <sheetView zoomScale="130" zoomScaleNormal="130" workbookViewId="0">
      <selection activeCell="E30" sqref="E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2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66820</v>
      </c>
      <c r="F2" s="11">
        <v>5.0000000000000001E-3</v>
      </c>
      <c r="G2" s="12">
        <f>Submetering!R2</f>
        <v>497.78141499999992</v>
      </c>
      <c r="H2" s="11">
        <v>0.52800000000000002</v>
      </c>
      <c r="I2" s="12">
        <f>Hotel!B7</f>
        <v>124</v>
      </c>
    </row>
    <row r="3" spans="1:9" s="15" customFormat="1" x14ac:dyDescent="0.25">
      <c r="A3" s="21" t="s">
        <v>31</v>
      </c>
      <c r="B3" s="14">
        <f>B2+1</f>
        <v>2</v>
      </c>
      <c r="C3" s="3">
        <v>2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66130</v>
      </c>
      <c r="F3" s="11">
        <v>5.0000000000000001E-3</v>
      </c>
      <c r="G3" s="12">
        <f>Submetering!R3</f>
        <v>631.40638799999999</v>
      </c>
      <c r="H3" s="11">
        <v>0.52800000000000002</v>
      </c>
      <c r="I3" s="12">
        <f>Hotel!B8</f>
        <v>133</v>
      </c>
    </row>
    <row r="4" spans="1:9" s="15" customFormat="1" x14ac:dyDescent="0.25">
      <c r="A4" s="21" t="s">
        <v>31</v>
      </c>
      <c r="B4" s="14">
        <f t="shared" ref="B4:B30" si="0">B3+1</f>
        <v>3</v>
      </c>
      <c r="C4" s="3">
        <v>2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64440</v>
      </c>
      <c r="F4" s="11">
        <v>5.0000000000000001E-3</v>
      </c>
      <c r="G4" s="12">
        <f>Submetering!R4</f>
        <v>619.67161699999997</v>
      </c>
      <c r="H4" s="11">
        <v>0.52800000000000002</v>
      </c>
      <c r="I4" s="12">
        <f>Hotel!B9</f>
        <v>152</v>
      </c>
    </row>
    <row r="5" spans="1:9" s="15" customFormat="1" x14ac:dyDescent="0.25">
      <c r="A5" s="21" t="s">
        <v>31</v>
      </c>
      <c r="B5" s="14">
        <f t="shared" si="0"/>
        <v>4</v>
      </c>
      <c r="C5" s="3">
        <v>2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64770</v>
      </c>
      <c r="F5" s="11">
        <v>5.0000000000000001E-3</v>
      </c>
      <c r="G5" s="12">
        <f>Submetering!R5</f>
        <v>562.89046699999994</v>
      </c>
      <c r="H5" s="11">
        <v>0.52800000000000002</v>
      </c>
      <c r="I5" s="12">
        <f>Hotel!B10</f>
        <v>250</v>
      </c>
    </row>
    <row r="6" spans="1:9" s="15" customFormat="1" x14ac:dyDescent="0.25">
      <c r="A6" s="21" t="s">
        <v>31</v>
      </c>
      <c r="B6" s="14">
        <f t="shared" si="0"/>
        <v>5</v>
      </c>
      <c r="C6" s="3">
        <v>2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66920</v>
      </c>
      <c r="F6" s="11">
        <v>5.0000000000000001E-3</v>
      </c>
      <c r="G6" s="12">
        <f>Submetering!R6</f>
        <v>761.62449199999992</v>
      </c>
      <c r="H6" s="11">
        <v>0.52800000000000002</v>
      </c>
      <c r="I6" s="12">
        <f>Hotel!B11</f>
        <v>228</v>
      </c>
    </row>
    <row r="7" spans="1:9" s="15" customFormat="1" x14ac:dyDescent="0.25">
      <c r="A7" s="21" t="s">
        <v>31</v>
      </c>
      <c r="B7" s="14">
        <f t="shared" si="0"/>
        <v>6</v>
      </c>
      <c r="C7" s="3">
        <v>2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69030</v>
      </c>
      <c r="F7" s="11">
        <v>5.0000000000000001E-3</v>
      </c>
      <c r="G7" s="12">
        <f>Submetering!R7</f>
        <v>950.13790999999992</v>
      </c>
      <c r="H7" s="11">
        <v>0.52800000000000002</v>
      </c>
      <c r="I7" s="12">
        <f>Hotel!B12</f>
        <v>289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2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69650</v>
      </c>
      <c r="F8" s="11">
        <v>5.0000000000000001E-3</v>
      </c>
      <c r="G8" s="12">
        <f>Submetering!R8</f>
        <v>645.79094599999996</v>
      </c>
      <c r="H8" s="11">
        <v>0.52800000000000002</v>
      </c>
      <c r="I8" s="12">
        <f>Hotel!B13</f>
        <v>145</v>
      </c>
    </row>
    <row r="9" spans="1:9" s="15" customFormat="1" x14ac:dyDescent="0.25">
      <c r="A9" s="21" t="s">
        <v>31</v>
      </c>
      <c r="B9" s="14">
        <f t="shared" si="0"/>
        <v>8</v>
      </c>
      <c r="C9" s="3">
        <v>2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67080</v>
      </c>
      <c r="F9" s="11">
        <v>5.0000000000000001E-3</v>
      </c>
      <c r="G9" s="12">
        <f>Submetering!R9</f>
        <v>684.40212799999995</v>
      </c>
      <c r="H9" s="11">
        <v>0.52800000000000002</v>
      </c>
      <c r="I9" s="12">
        <f>Hotel!B14</f>
        <v>165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2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64290</v>
      </c>
      <c r="F10" s="11">
        <v>5.0000000000000001E-3</v>
      </c>
      <c r="G10" s="12">
        <f>Submetering!R10</f>
        <v>686.67337399999997</v>
      </c>
      <c r="H10" s="11">
        <v>0.52800000000000002</v>
      </c>
      <c r="I10" s="12">
        <f>Hotel!B15</f>
        <v>184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2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64930</v>
      </c>
      <c r="F11" s="11">
        <v>5.0000000000000001E-3</v>
      </c>
      <c r="G11" s="12">
        <f>Submetering!R11</f>
        <v>721.12060499999995</v>
      </c>
      <c r="H11" s="11">
        <v>0.52800000000000002</v>
      </c>
      <c r="I11" s="12">
        <f>Hotel!B16</f>
        <v>201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2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63730</v>
      </c>
      <c r="F12" s="11">
        <v>5.0000000000000001E-3</v>
      </c>
      <c r="G12" s="12">
        <f>Submetering!R12</f>
        <v>575.38232000000005</v>
      </c>
      <c r="H12" s="11">
        <v>0.52800000000000002</v>
      </c>
      <c r="I12" s="12">
        <f>Hotel!B17</f>
        <v>232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2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65180</v>
      </c>
      <c r="F13" s="11">
        <v>5.0000000000000001E-3</v>
      </c>
      <c r="G13" s="12">
        <f>Submetering!R13</f>
        <v>700.30084999999997</v>
      </c>
      <c r="H13" s="11">
        <v>0.52800000000000002</v>
      </c>
      <c r="I13" s="12">
        <f>Hotel!B18</f>
        <v>244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2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62100</v>
      </c>
      <c r="F14" s="11">
        <v>5.0000000000000001E-3</v>
      </c>
      <c r="G14" s="12">
        <f>Submetering!R14</f>
        <v>7575.3624919999993</v>
      </c>
      <c r="H14" s="11">
        <v>0.52800000000000002</v>
      </c>
      <c r="I14" s="12">
        <f>Hotel!B19</f>
        <v>284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2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2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2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2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2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2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2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2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2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2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2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2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2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2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2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Hotel!C34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2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0"/>
  <sheetViews>
    <sheetView workbookViewId="0">
      <selection activeCell="K30" sqref="K30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2</v>
      </c>
      <c r="D2" s="2">
        <v>2020</v>
      </c>
      <c r="E2" s="4">
        <f>Hotel!Q7</f>
        <v>530</v>
      </c>
      <c r="F2" s="4">
        <f>Hotel!R7</f>
        <v>9920</v>
      </c>
      <c r="G2" s="4">
        <f>Hotel!S7</f>
        <v>0</v>
      </c>
      <c r="H2" s="4">
        <f>Hotel!T7</f>
        <v>1450</v>
      </c>
      <c r="I2" s="4">
        <f>Hotel!U7</f>
        <v>7220</v>
      </c>
      <c r="J2" s="4">
        <f>Hotel!V7</f>
        <v>4510</v>
      </c>
      <c r="K2" s="4">
        <f>Hotel!W7</f>
        <v>3050</v>
      </c>
      <c r="L2" s="4">
        <f>Hotel!X7</f>
        <v>4650</v>
      </c>
      <c r="M2" s="4">
        <f>Hotel!Y7</f>
        <v>5610</v>
      </c>
      <c r="N2" s="4">
        <f>Hotel!Z7</f>
        <v>2880</v>
      </c>
      <c r="O2" s="4">
        <f>Hotel!AA7</f>
        <v>3660</v>
      </c>
      <c r="P2" s="4">
        <f>Hotel!AB7</f>
        <v>7170</v>
      </c>
      <c r="Q2" s="4">
        <f>Hotel!AC7</f>
        <v>16170</v>
      </c>
      <c r="R2" s="4">
        <f>Hotel!AV7*0.00378541*100</f>
        <v>497.78141499999992</v>
      </c>
      <c r="S2" s="4">
        <f>Hotel!B7</f>
        <v>124</v>
      </c>
    </row>
    <row r="3" spans="1:19" x14ac:dyDescent="0.25">
      <c r="A3" s="21" t="s">
        <v>31</v>
      </c>
      <c r="B3" s="2">
        <f>B2+1</f>
        <v>2</v>
      </c>
      <c r="C3" s="10">
        <v>2</v>
      </c>
      <c r="D3" s="2">
        <v>2020</v>
      </c>
      <c r="E3" s="4">
        <f>Hotel!Q8</f>
        <v>530</v>
      </c>
      <c r="F3" s="4">
        <f>Hotel!R8</f>
        <v>9420</v>
      </c>
      <c r="G3" s="4">
        <f>Hotel!S8</f>
        <v>0</v>
      </c>
      <c r="H3" s="4">
        <f>Hotel!T8</f>
        <v>1410</v>
      </c>
      <c r="I3" s="4">
        <f>Hotel!U8</f>
        <v>6770</v>
      </c>
      <c r="J3" s="4">
        <f>Hotel!V8</f>
        <v>4710</v>
      </c>
      <c r="K3" s="4">
        <f>Hotel!W8</f>
        <v>4090</v>
      </c>
      <c r="L3" s="4">
        <f>Hotel!X8</f>
        <v>4610</v>
      </c>
      <c r="M3" s="4">
        <f>Hotel!Y8</f>
        <v>5300</v>
      </c>
      <c r="N3" s="4">
        <f>Hotel!Z8</f>
        <v>2720</v>
      </c>
      <c r="O3" s="4">
        <f>Hotel!AA8</f>
        <v>3500</v>
      </c>
      <c r="P3" s="4">
        <f>Hotel!AB8</f>
        <v>6910</v>
      </c>
      <c r="Q3" s="4">
        <f>Hotel!AC8</f>
        <v>16160</v>
      </c>
      <c r="R3" s="4">
        <f>Hotel!AV8*0.00378541*100</f>
        <v>631.40638799999999</v>
      </c>
      <c r="S3" s="4">
        <f>Hotel!B8</f>
        <v>133</v>
      </c>
    </row>
    <row r="4" spans="1:19" x14ac:dyDescent="0.25">
      <c r="A4" s="21" t="s">
        <v>31</v>
      </c>
      <c r="B4" s="2">
        <f t="shared" ref="B4:B29" si="0">B3+1</f>
        <v>3</v>
      </c>
      <c r="C4" s="10">
        <v>2</v>
      </c>
      <c r="D4" s="2">
        <v>2020</v>
      </c>
      <c r="E4" s="4">
        <f>Hotel!Q9</f>
        <v>540</v>
      </c>
      <c r="F4" s="4">
        <f>Hotel!R9</f>
        <v>9630</v>
      </c>
      <c r="G4" s="4">
        <f>Hotel!S9</f>
        <v>0</v>
      </c>
      <c r="H4" s="4">
        <f>Hotel!T9</f>
        <v>1450</v>
      </c>
      <c r="I4" s="4">
        <f>Hotel!U9</f>
        <v>6480</v>
      </c>
      <c r="J4" s="4">
        <f>Hotel!V9</f>
        <v>4430</v>
      </c>
      <c r="K4" s="4">
        <f>Hotel!W9</f>
        <v>2370</v>
      </c>
      <c r="L4" s="4">
        <f>Hotel!X9</f>
        <v>4750</v>
      </c>
      <c r="M4" s="4">
        <f>Hotel!Y9</f>
        <v>5410</v>
      </c>
      <c r="N4" s="4">
        <f>Hotel!Z9</f>
        <v>2780</v>
      </c>
      <c r="O4" s="4">
        <f>Hotel!AA9</f>
        <v>3340</v>
      </c>
      <c r="P4" s="4">
        <f>Hotel!AB9</f>
        <v>6890</v>
      </c>
      <c r="Q4" s="4">
        <f>Hotel!AC9</f>
        <v>16370</v>
      </c>
      <c r="R4" s="4">
        <f>Hotel!AV9*0.00378541*100</f>
        <v>619.67161699999997</v>
      </c>
      <c r="S4" s="4">
        <f>Hotel!B9</f>
        <v>152</v>
      </c>
    </row>
    <row r="5" spans="1:19" x14ac:dyDescent="0.25">
      <c r="A5" s="21" t="s">
        <v>31</v>
      </c>
      <c r="B5" s="2">
        <f t="shared" si="0"/>
        <v>4</v>
      </c>
      <c r="C5" s="10">
        <v>2</v>
      </c>
      <c r="D5" s="2">
        <v>2020</v>
      </c>
      <c r="E5" s="4">
        <f>Hotel!Q10</f>
        <v>520</v>
      </c>
      <c r="F5" s="4">
        <f>Hotel!R10</f>
        <v>9300</v>
      </c>
      <c r="G5" s="4">
        <f>Hotel!S10</f>
        <v>0</v>
      </c>
      <c r="H5" s="4">
        <f>Hotel!T10</f>
        <v>1420</v>
      </c>
      <c r="I5" s="4">
        <f>Hotel!U10</f>
        <v>6420</v>
      </c>
      <c r="J5" s="4">
        <f>Hotel!V10</f>
        <v>4520</v>
      </c>
      <c r="K5" s="4">
        <f>Hotel!W10</f>
        <v>3080</v>
      </c>
      <c r="L5" s="4">
        <f>Hotel!X10</f>
        <v>4630</v>
      </c>
      <c r="M5" s="4">
        <f>Hotel!Y10</f>
        <v>5620</v>
      </c>
      <c r="N5" s="4">
        <f>Hotel!Z10</f>
        <v>2720</v>
      </c>
      <c r="O5" s="4">
        <f>Hotel!AA10</f>
        <v>3520</v>
      </c>
      <c r="P5" s="4">
        <f>Hotel!AB10</f>
        <v>6880</v>
      </c>
      <c r="Q5" s="4">
        <f>Hotel!AC10</f>
        <v>16140</v>
      </c>
      <c r="R5" s="4">
        <f>Hotel!AV10*0.00378541*100</f>
        <v>562.89046699999994</v>
      </c>
      <c r="S5" s="4">
        <f>Hotel!B10</f>
        <v>250</v>
      </c>
    </row>
    <row r="6" spans="1:19" x14ac:dyDescent="0.25">
      <c r="A6" s="21" t="s">
        <v>31</v>
      </c>
      <c r="B6" s="2">
        <f t="shared" si="0"/>
        <v>5</v>
      </c>
      <c r="C6" s="10">
        <v>2</v>
      </c>
      <c r="D6" s="2">
        <v>2020</v>
      </c>
      <c r="E6" s="4">
        <f>Hotel!Q11</f>
        <v>540</v>
      </c>
      <c r="F6" s="4">
        <f>Hotel!R11</f>
        <v>9990</v>
      </c>
      <c r="G6" s="4">
        <f>Hotel!S11</f>
        <v>0</v>
      </c>
      <c r="H6" s="4">
        <f>Hotel!T11</f>
        <v>1400</v>
      </c>
      <c r="I6" s="4">
        <f>Hotel!U11</f>
        <v>6880</v>
      </c>
      <c r="J6" s="4">
        <f>Hotel!V11</f>
        <v>4700</v>
      </c>
      <c r="K6" s="4">
        <f>Hotel!W11</f>
        <v>3180</v>
      </c>
      <c r="L6" s="4">
        <f>Hotel!X11</f>
        <v>4760</v>
      </c>
      <c r="M6" s="4">
        <f>Hotel!Y11</f>
        <v>5750</v>
      </c>
      <c r="N6" s="4">
        <f>Hotel!Z11</f>
        <v>2940</v>
      </c>
      <c r="O6" s="4">
        <f>Hotel!AA11</f>
        <v>3640</v>
      </c>
      <c r="P6" s="4">
        <f>Hotel!AB11</f>
        <v>6870</v>
      </c>
      <c r="Q6" s="4">
        <f>Hotel!AC11</f>
        <v>16270</v>
      </c>
      <c r="R6" s="4">
        <f>Hotel!AV11*0.00378541*100</f>
        <v>761.62449199999992</v>
      </c>
      <c r="S6" s="4">
        <f>Hotel!B11</f>
        <v>228</v>
      </c>
    </row>
    <row r="7" spans="1:19" x14ac:dyDescent="0.25">
      <c r="A7" s="21" t="s">
        <v>31</v>
      </c>
      <c r="B7" s="2">
        <f t="shared" si="0"/>
        <v>6</v>
      </c>
      <c r="C7" s="10">
        <v>2</v>
      </c>
      <c r="D7" s="2">
        <v>2020</v>
      </c>
      <c r="E7" s="4">
        <f>Hotel!Q12</f>
        <v>520</v>
      </c>
      <c r="F7" s="4">
        <f>Hotel!R12</f>
        <v>11050</v>
      </c>
      <c r="G7" s="4">
        <f>Hotel!S12</f>
        <v>0</v>
      </c>
      <c r="H7" s="4">
        <f>Hotel!T12</f>
        <v>1400</v>
      </c>
      <c r="I7" s="4">
        <f>Hotel!U12</f>
        <v>7330</v>
      </c>
      <c r="J7" s="4">
        <f>Hotel!V12</f>
        <v>4770</v>
      </c>
      <c r="K7" s="4">
        <f>Hotel!W12</f>
        <v>3570</v>
      </c>
      <c r="L7" s="4">
        <f>Hotel!X12</f>
        <v>4720</v>
      </c>
      <c r="M7" s="4">
        <f>Hotel!Y12</f>
        <v>5880</v>
      </c>
      <c r="N7" s="4">
        <f>Hotel!Z12</f>
        <v>3020</v>
      </c>
      <c r="O7" s="4">
        <f>Hotel!AA12</f>
        <v>3970</v>
      </c>
      <c r="P7" s="4">
        <f>Hotel!AB12</f>
        <v>6800</v>
      </c>
      <c r="Q7" s="4">
        <f>Hotel!AC12</f>
        <v>16000</v>
      </c>
      <c r="R7" s="4">
        <f>Hotel!AV12*0.00378541*100</f>
        <v>950.13790999999992</v>
      </c>
      <c r="S7" s="4">
        <f>Hotel!B12</f>
        <v>289</v>
      </c>
    </row>
    <row r="8" spans="1:19" x14ac:dyDescent="0.25">
      <c r="A8" s="21" t="s">
        <v>31</v>
      </c>
      <c r="B8" s="2">
        <f t="shared" si="0"/>
        <v>7</v>
      </c>
      <c r="C8" s="10">
        <v>2</v>
      </c>
      <c r="D8" s="2">
        <v>2020</v>
      </c>
      <c r="E8" s="4">
        <f>Hotel!Q13</f>
        <v>530</v>
      </c>
      <c r="F8" s="4">
        <f>Hotel!R13</f>
        <v>11730</v>
      </c>
      <c r="G8" s="4">
        <f>Hotel!S13</f>
        <v>0</v>
      </c>
      <c r="H8" s="4">
        <f>Hotel!T13</f>
        <v>1420</v>
      </c>
      <c r="I8" s="4">
        <f>Hotel!U13</f>
        <v>7160</v>
      </c>
      <c r="J8" s="4">
        <f>Hotel!V13</f>
        <v>4820</v>
      </c>
      <c r="K8" s="4">
        <f>Hotel!W13</f>
        <v>3620</v>
      </c>
      <c r="L8" s="4">
        <f>Hotel!X13</f>
        <v>4670</v>
      </c>
      <c r="M8" s="4">
        <f>Hotel!Y13</f>
        <v>6020</v>
      </c>
      <c r="N8" s="4">
        <f>Hotel!Z13</f>
        <v>3140</v>
      </c>
      <c r="O8" s="4">
        <f>Hotel!AA13</f>
        <v>3920</v>
      </c>
      <c r="P8" s="4">
        <f>Hotel!AB13</f>
        <v>6920</v>
      </c>
      <c r="Q8" s="4">
        <f>Hotel!AC13</f>
        <v>15700</v>
      </c>
      <c r="R8" s="4">
        <f>Hotel!AV13*0.00378541*100</f>
        <v>645.79094599999996</v>
      </c>
      <c r="S8" s="4">
        <f>Hotel!B13</f>
        <v>145</v>
      </c>
    </row>
    <row r="9" spans="1:19" x14ac:dyDescent="0.25">
      <c r="A9" s="21" t="s">
        <v>31</v>
      </c>
      <c r="B9" s="2">
        <f t="shared" si="0"/>
        <v>8</v>
      </c>
      <c r="C9" s="10">
        <v>2</v>
      </c>
      <c r="D9" s="2">
        <v>2020</v>
      </c>
      <c r="E9" s="4">
        <f>Hotel!Q14</f>
        <v>510</v>
      </c>
      <c r="F9" s="4">
        <f>Hotel!R14</f>
        <v>11130</v>
      </c>
      <c r="G9" s="4">
        <f>Hotel!S14</f>
        <v>0</v>
      </c>
      <c r="H9" s="4">
        <f>Hotel!T14</f>
        <v>1410</v>
      </c>
      <c r="I9" s="4">
        <f>Hotel!U14</f>
        <v>6860</v>
      </c>
      <c r="J9" s="4">
        <f>Hotel!V14</f>
        <v>4710</v>
      </c>
      <c r="K9" s="4">
        <f>Hotel!W14</f>
        <v>3350</v>
      </c>
      <c r="L9" s="4">
        <f>Hotel!X14</f>
        <v>4550</v>
      </c>
      <c r="M9" s="4">
        <f>Hotel!Y14</f>
        <v>5760</v>
      </c>
      <c r="N9" s="4">
        <f>Hotel!Z14</f>
        <v>2960</v>
      </c>
      <c r="O9" s="4">
        <f>Hotel!AA14</f>
        <v>4280</v>
      </c>
      <c r="P9" s="4">
        <f>Hotel!AB14</f>
        <v>6550</v>
      </c>
      <c r="Q9" s="4">
        <f>Hotel!AC14</f>
        <v>15010</v>
      </c>
      <c r="R9" s="4">
        <f>Hotel!AV14*0.00378541*100</f>
        <v>684.40212799999995</v>
      </c>
      <c r="S9" s="4">
        <f>Hotel!B14</f>
        <v>165</v>
      </c>
    </row>
    <row r="10" spans="1:19" x14ac:dyDescent="0.25">
      <c r="A10" s="21" t="s">
        <v>31</v>
      </c>
      <c r="B10" s="2">
        <f t="shared" si="0"/>
        <v>9</v>
      </c>
      <c r="C10" s="10">
        <v>2</v>
      </c>
      <c r="D10" s="2">
        <v>2020</v>
      </c>
      <c r="E10" s="4">
        <f>Hotel!Q15</f>
        <v>530</v>
      </c>
      <c r="F10" s="4">
        <f>Hotel!R15</f>
        <v>10070</v>
      </c>
      <c r="G10" s="4">
        <f>Hotel!S15</f>
        <v>0</v>
      </c>
      <c r="H10" s="4">
        <f>Hotel!T15</f>
        <v>1360</v>
      </c>
      <c r="I10" s="4">
        <f>Hotel!U15</f>
        <v>6790</v>
      </c>
      <c r="J10" s="4">
        <f>Hotel!V15</f>
        <v>4050</v>
      </c>
      <c r="K10" s="4">
        <f>Hotel!W15</f>
        <v>3490</v>
      </c>
      <c r="L10" s="4">
        <f>Hotel!X15</f>
        <v>4460</v>
      </c>
      <c r="M10" s="4">
        <f>Hotel!Y15</f>
        <v>5420</v>
      </c>
      <c r="N10" s="4">
        <f>Hotel!Z15</f>
        <v>2980</v>
      </c>
      <c r="O10" s="4">
        <f>Hotel!AA15</f>
        <v>3080</v>
      </c>
      <c r="P10" s="4">
        <f>Hotel!AB15</f>
        <v>6820</v>
      </c>
      <c r="Q10" s="4">
        <f>Hotel!AC15</f>
        <v>15240</v>
      </c>
      <c r="R10" s="4">
        <f>Hotel!AV15*0.00378541*100</f>
        <v>686.67337399999997</v>
      </c>
      <c r="S10" s="4">
        <f>Hotel!B15</f>
        <v>184</v>
      </c>
    </row>
    <row r="11" spans="1:19" x14ac:dyDescent="0.25">
      <c r="A11" s="21" t="s">
        <v>31</v>
      </c>
      <c r="B11" s="2">
        <f t="shared" si="0"/>
        <v>10</v>
      </c>
      <c r="C11" s="10">
        <v>2</v>
      </c>
      <c r="D11" s="2">
        <v>2020</v>
      </c>
      <c r="E11" s="4">
        <f>Hotel!Q16</f>
        <v>540</v>
      </c>
      <c r="F11" s="4">
        <f>Hotel!R16</f>
        <v>9040</v>
      </c>
      <c r="G11" s="4">
        <f>Hotel!S16</f>
        <v>0</v>
      </c>
      <c r="H11" s="4">
        <f>Hotel!T16</f>
        <v>1380</v>
      </c>
      <c r="I11" s="4">
        <f>Hotel!U16</f>
        <v>6380</v>
      </c>
      <c r="J11" s="4">
        <f>Hotel!V16</f>
        <v>5740</v>
      </c>
      <c r="K11" s="4">
        <f>Hotel!W16</f>
        <v>2800</v>
      </c>
      <c r="L11" s="4">
        <f>Hotel!X16</f>
        <v>4820</v>
      </c>
      <c r="M11" s="4">
        <f>Hotel!Y16</f>
        <v>5400</v>
      </c>
      <c r="N11" s="4">
        <f>Hotel!Z16</f>
        <v>2900</v>
      </c>
      <c r="O11" s="4">
        <f>Hotel!AA16</f>
        <v>3460</v>
      </c>
      <c r="P11" s="4">
        <f>Hotel!AB16</f>
        <v>6650</v>
      </c>
      <c r="Q11" s="4">
        <f>Hotel!AC16</f>
        <v>15820</v>
      </c>
      <c r="R11" s="4">
        <f>Hotel!AV16*0.00378541*100</f>
        <v>721.12060499999995</v>
      </c>
      <c r="S11" s="4">
        <f>Hotel!B16</f>
        <v>201</v>
      </c>
    </row>
    <row r="12" spans="1:19" x14ac:dyDescent="0.25">
      <c r="A12" s="21" t="s">
        <v>31</v>
      </c>
      <c r="B12" s="2">
        <f t="shared" si="0"/>
        <v>11</v>
      </c>
      <c r="C12" s="10">
        <v>2</v>
      </c>
      <c r="D12" s="2">
        <v>2020</v>
      </c>
      <c r="E12" s="4">
        <f>Hotel!Q17</f>
        <v>520</v>
      </c>
      <c r="F12" s="4">
        <f>Hotel!R17</f>
        <v>7680</v>
      </c>
      <c r="G12" s="4">
        <f>Hotel!S17</f>
        <v>0</v>
      </c>
      <c r="H12" s="4">
        <f>Hotel!T17</f>
        <v>1350</v>
      </c>
      <c r="I12" s="4">
        <f>Hotel!U17</f>
        <v>6510</v>
      </c>
      <c r="J12" s="4">
        <f>Hotel!V17</f>
        <v>4860</v>
      </c>
      <c r="K12" s="4">
        <f>Hotel!W17</f>
        <v>3000</v>
      </c>
      <c r="L12" s="4">
        <f>Hotel!X17</f>
        <v>4880</v>
      </c>
      <c r="M12" s="4">
        <f>Hotel!Y17</f>
        <v>5370</v>
      </c>
      <c r="N12" s="4">
        <f>Hotel!Z17</f>
        <v>3000</v>
      </c>
      <c r="O12" s="4">
        <f>Hotel!AA17</f>
        <v>3720</v>
      </c>
      <c r="P12" s="4">
        <f>Hotel!AB17</f>
        <v>6950</v>
      </c>
      <c r="Q12" s="4">
        <f>Hotel!AC17</f>
        <v>15890</v>
      </c>
      <c r="R12" s="4">
        <f>Hotel!AV17*0.00378541*100</f>
        <v>575.38232000000005</v>
      </c>
      <c r="S12" s="4">
        <f>Hotel!B17</f>
        <v>232</v>
      </c>
    </row>
    <row r="13" spans="1:19" x14ac:dyDescent="0.25">
      <c r="A13" s="21" t="s">
        <v>31</v>
      </c>
      <c r="B13" s="2">
        <f t="shared" si="0"/>
        <v>12</v>
      </c>
      <c r="C13" s="10">
        <v>2</v>
      </c>
      <c r="D13" s="2">
        <v>2020</v>
      </c>
      <c r="E13" s="4">
        <f>Hotel!Q18</f>
        <v>560</v>
      </c>
      <c r="F13" s="4">
        <f>Hotel!R18</f>
        <v>3800</v>
      </c>
      <c r="G13" s="4">
        <f>Hotel!S18</f>
        <v>1220</v>
      </c>
      <c r="H13" s="4">
        <f>Hotel!T18</f>
        <v>1410</v>
      </c>
      <c r="I13" s="4">
        <f>Hotel!U18</f>
        <v>6980</v>
      </c>
      <c r="J13" s="4">
        <f>Hotel!V18</f>
        <v>5120</v>
      </c>
      <c r="K13" s="4">
        <f>Hotel!W18</f>
        <v>3220</v>
      </c>
      <c r="L13" s="4">
        <f>Hotel!X18</f>
        <v>5010</v>
      </c>
      <c r="M13" s="4">
        <f>Hotel!Y18</f>
        <v>5850</v>
      </c>
      <c r="N13" s="4">
        <f>Hotel!Z18</f>
        <v>3300</v>
      </c>
      <c r="O13" s="4">
        <f>Hotel!AA18</f>
        <v>3930</v>
      </c>
      <c r="P13" s="4">
        <f>Hotel!AB18</f>
        <v>7620</v>
      </c>
      <c r="Q13" s="4">
        <f>Hotel!AC18</f>
        <v>17160</v>
      </c>
      <c r="R13" s="4">
        <f>Hotel!AV18*0.00378541*100</f>
        <v>700.30084999999997</v>
      </c>
      <c r="S13" s="4">
        <f>Hotel!B18</f>
        <v>244</v>
      </c>
    </row>
    <row r="14" spans="1:19" x14ac:dyDescent="0.25">
      <c r="A14" s="21" t="s">
        <v>31</v>
      </c>
      <c r="B14" s="2">
        <f t="shared" si="0"/>
        <v>13</v>
      </c>
      <c r="C14" s="10">
        <v>2</v>
      </c>
      <c r="D14" s="2">
        <v>2020</v>
      </c>
      <c r="E14" s="4">
        <f>Hotel!Q19</f>
        <v>590</v>
      </c>
      <c r="F14" s="4">
        <f>Hotel!R19</f>
        <v>1980</v>
      </c>
      <c r="G14" s="4">
        <f>Hotel!S19</f>
        <v>2240</v>
      </c>
      <c r="H14" s="4">
        <f>Hotel!T19</f>
        <v>1450</v>
      </c>
      <c r="I14" s="4">
        <f>Hotel!U19</f>
        <v>7700</v>
      </c>
      <c r="J14" s="4" t="str">
        <f>Hotel!V19</f>
        <v>0</v>
      </c>
      <c r="K14" s="4">
        <f>Hotel!W19</f>
        <v>3730</v>
      </c>
      <c r="L14" s="4">
        <f>Hotel!X19</f>
        <v>4970</v>
      </c>
      <c r="M14" s="4">
        <f>Hotel!Y19</f>
        <v>6380</v>
      </c>
      <c r="N14" s="4">
        <f>Hotel!Z19</f>
        <v>3300</v>
      </c>
      <c r="O14" s="4">
        <f>Hotel!AA19</f>
        <v>4160</v>
      </c>
      <c r="P14" s="4">
        <f>Hotel!AB19</f>
        <v>7940</v>
      </c>
      <c r="Q14" s="4">
        <f>Hotel!AC19</f>
        <v>17660</v>
      </c>
      <c r="R14" s="4">
        <f>Hotel!AV19*0.00378541*100</f>
        <v>7575.3624919999993</v>
      </c>
      <c r="S14" s="4">
        <f>Hotel!B19</f>
        <v>284</v>
      </c>
    </row>
    <row r="15" spans="1:19" x14ac:dyDescent="0.25">
      <c r="A15" s="21" t="s">
        <v>31</v>
      </c>
      <c r="B15" s="2">
        <f t="shared" si="0"/>
        <v>14</v>
      </c>
      <c r="C15" s="10">
        <v>2</v>
      </c>
      <c r="D15" s="2">
        <v>2020</v>
      </c>
      <c r="E15" s="4" t="str">
        <f>Hotel!Q20</f>
        <v>0</v>
      </c>
      <c r="F15" s="4" t="str">
        <f>Hotel!R20</f>
        <v>0</v>
      </c>
      <c r="G15" s="4" t="str">
        <f>Hotel!S20</f>
        <v>0</v>
      </c>
      <c r="H15" s="4" t="str">
        <f>Hotel!T20</f>
        <v>0</v>
      </c>
      <c r="I15" s="4" t="str">
        <f>Hotel!U20</f>
        <v>0</v>
      </c>
      <c r="J15" s="4" t="str">
        <f>Hotel!V20</f>
        <v>0</v>
      </c>
      <c r="K15" s="4" t="str">
        <f>Hotel!W20</f>
        <v>0</v>
      </c>
      <c r="L15" s="4" t="str">
        <f>Hotel!X20</f>
        <v>0</v>
      </c>
      <c r="M15" s="4" t="str">
        <f>Hotel!Y20</f>
        <v>0</v>
      </c>
      <c r="N15" s="4" t="str">
        <f>Hotel!Z20</f>
        <v>0</v>
      </c>
      <c r="O15" s="4" t="str">
        <f>Hotel!AA20</f>
        <v>0</v>
      </c>
      <c r="P15" s="4" t="str">
        <f>Hotel!AB20</f>
        <v>0</v>
      </c>
      <c r="Q15" s="4" t="str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2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2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2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2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2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2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2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2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2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2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2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2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2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2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Hotel!C34</f>
        <v>0</v>
      </c>
    </row>
    <row r="30" spans="1:19" x14ac:dyDescent="0.25">
      <c r="A30" s="21" t="s">
        <v>31</v>
      </c>
      <c r="B30" s="2">
        <f>B29+1</f>
        <v>29</v>
      </c>
      <c r="C30" s="10">
        <v>2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3"/>
  <sheetViews>
    <sheetView tabSelected="1" topLeftCell="A4" zoomScale="93" zoomScaleNormal="93" workbookViewId="0">
      <selection activeCell="B19" sqref="B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43861</v>
      </c>
      <c r="B2" s="40">
        <v>194</v>
      </c>
      <c r="C2" s="24">
        <v>5938950</v>
      </c>
      <c r="D2" s="24">
        <v>12715040</v>
      </c>
      <c r="E2" s="24">
        <v>1470310</v>
      </c>
      <c r="F2" s="24">
        <v>2690220</v>
      </c>
      <c r="G2" s="24">
        <v>8311430</v>
      </c>
      <c r="H2" s="24">
        <v>4030860</v>
      </c>
      <c r="I2" s="24">
        <v>3934670</v>
      </c>
      <c r="J2" s="24">
        <v>4500570</v>
      </c>
      <c r="K2" s="24">
        <v>7157780</v>
      </c>
      <c r="L2" s="24">
        <v>2607590</v>
      </c>
      <c r="M2" s="24">
        <v>6537970</v>
      </c>
      <c r="N2" s="24">
        <v>9074790</v>
      </c>
      <c r="O2" s="24">
        <v>12186070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768552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6" t="s">
        <v>23</v>
      </c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Q4" s="58" t="s">
        <v>24</v>
      </c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60"/>
      <c r="AD4" s="28" t="s">
        <v>25</v>
      </c>
      <c r="AF4" s="61" t="s">
        <v>26</v>
      </c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29" t="s">
        <v>27</v>
      </c>
      <c r="AU4" s="53" t="s">
        <v>28</v>
      </c>
      <c r="AV4" s="54" t="s">
        <v>29</v>
      </c>
      <c r="AW4" s="55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3"/>
      <c r="AV5" s="54"/>
      <c r="AW5" s="55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768552</v>
      </c>
    </row>
    <row r="7" spans="1:49" x14ac:dyDescent="0.25">
      <c r="A7" s="23">
        <v>43862</v>
      </c>
      <c r="B7" s="40">
        <v>124</v>
      </c>
      <c r="C7" s="24">
        <v>5939480</v>
      </c>
      <c r="D7" s="24">
        <v>12724960</v>
      </c>
      <c r="E7" s="24">
        <v>1470310</v>
      </c>
      <c r="F7" s="24">
        <v>2691670</v>
      </c>
      <c r="G7" s="24">
        <v>8318650</v>
      </c>
      <c r="H7" s="24">
        <v>4035370</v>
      </c>
      <c r="I7" s="24">
        <v>3937720</v>
      </c>
      <c r="J7" s="24">
        <v>4505220</v>
      </c>
      <c r="K7" s="24">
        <v>7163390</v>
      </c>
      <c r="L7" s="24">
        <v>2610470</v>
      </c>
      <c r="M7" s="24">
        <v>6541630</v>
      </c>
      <c r="N7" s="24">
        <v>9081960</v>
      </c>
      <c r="O7" s="24">
        <v>12202240</v>
      </c>
      <c r="Q7" s="37">
        <f>IF((C7-C2&lt;0), "0",C7-C2)</f>
        <v>530</v>
      </c>
      <c r="R7" s="37">
        <f t="shared" ref="R7:AC7" si="0">IF((D7-D2&lt;0), "0",D7-D2)</f>
        <v>9920</v>
      </c>
      <c r="S7" s="37">
        <f>IF((E7-E2&lt;0), "0",E7-E2)</f>
        <v>0</v>
      </c>
      <c r="T7" s="37">
        <f t="shared" si="0"/>
        <v>1450</v>
      </c>
      <c r="U7" s="37">
        <f t="shared" si="0"/>
        <v>7220</v>
      </c>
      <c r="V7" s="37">
        <f t="shared" si="0"/>
        <v>4510</v>
      </c>
      <c r="W7" s="37">
        <f t="shared" si="0"/>
        <v>3050</v>
      </c>
      <c r="X7" s="37">
        <f t="shared" si="0"/>
        <v>4650</v>
      </c>
      <c r="Y7" s="37">
        <f t="shared" si="0"/>
        <v>5610</v>
      </c>
      <c r="Z7" s="37">
        <f t="shared" si="0"/>
        <v>2880</v>
      </c>
      <c r="AA7" s="37">
        <f t="shared" si="0"/>
        <v>3660</v>
      </c>
      <c r="AB7" s="37">
        <f t="shared" si="0"/>
        <v>7170</v>
      </c>
      <c r="AC7" s="37">
        <f t="shared" si="0"/>
        <v>16170</v>
      </c>
      <c r="AD7" s="34">
        <f>SUM(Q7:AC7)</f>
        <v>66820</v>
      </c>
      <c r="AF7" s="20">
        <f t="shared" ref="AF7:AF35" si="1">Q7*$D$37</f>
        <v>2.65</v>
      </c>
      <c r="AG7" s="20">
        <f t="shared" ref="AG7:AG35" si="2">R7*$D$37</f>
        <v>49.6</v>
      </c>
      <c r="AH7" s="20">
        <f t="shared" ref="AH7:AH35" si="3">S7*$D$37</f>
        <v>0</v>
      </c>
      <c r="AI7" s="20">
        <f t="shared" ref="AI7:AI35" si="4">T7*$D$37</f>
        <v>7.25</v>
      </c>
      <c r="AJ7" s="20">
        <f t="shared" ref="AJ7:AJ35" si="5">U7*$D$37</f>
        <v>36.1</v>
      </c>
      <c r="AK7" s="20">
        <f t="shared" ref="AK7:AK35" si="6">V7*$D$37</f>
        <v>22.55</v>
      </c>
      <c r="AL7" s="20">
        <f t="shared" ref="AL7:AL35" si="7">W7*$D$37</f>
        <v>15.25</v>
      </c>
      <c r="AM7" s="20">
        <f t="shared" ref="AM7:AM35" si="8">X7*$D$37</f>
        <v>23.25</v>
      </c>
      <c r="AN7" s="20">
        <f t="shared" ref="AN7:AN35" si="9">Y7*$D$37</f>
        <v>28.05</v>
      </c>
      <c r="AO7" s="20">
        <f t="shared" ref="AO7:AO35" si="10">Z7*$D$37</f>
        <v>14.4</v>
      </c>
      <c r="AP7" s="20">
        <f t="shared" ref="AP7:AP35" si="11">AA7*$D$37</f>
        <v>18.3</v>
      </c>
      <c r="AQ7" s="20">
        <f t="shared" ref="AQ7:AQ35" si="12">AB7*$D$37</f>
        <v>35.85</v>
      </c>
      <c r="AR7" s="20">
        <f t="shared" ref="AR7:AR35" si="13">AC7*$D$37</f>
        <v>80.850000000000009</v>
      </c>
      <c r="AS7" s="35">
        <f>SUM(AF7:AR7)</f>
        <v>334.1</v>
      </c>
      <c r="AU7" s="47">
        <v>769867</v>
      </c>
      <c r="AV7" s="37">
        <f>IF((AU7-AU6&lt;0),"0",AU7-AU6)</f>
        <v>1315</v>
      </c>
      <c r="AW7" s="50">
        <v>0</v>
      </c>
    </row>
    <row r="8" spans="1:49" x14ac:dyDescent="0.25">
      <c r="A8" s="23">
        <v>43863</v>
      </c>
      <c r="B8" s="40">
        <v>133</v>
      </c>
      <c r="C8" s="24">
        <v>5940010</v>
      </c>
      <c r="D8" s="24">
        <v>12734380</v>
      </c>
      <c r="E8" s="24">
        <v>1470310</v>
      </c>
      <c r="F8" s="24">
        <v>2693080</v>
      </c>
      <c r="G8" s="24">
        <v>8325420</v>
      </c>
      <c r="H8" s="24">
        <v>4040080</v>
      </c>
      <c r="I8" s="24">
        <v>3941810</v>
      </c>
      <c r="J8" s="24">
        <v>4509830</v>
      </c>
      <c r="K8" s="24">
        <v>7168690</v>
      </c>
      <c r="L8" s="24">
        <v>2613190</v>
      </c>
      <c r="M8" s="24">
        <v>6545130</v>
      </c>
      <c r="N8" s="24">
        <v>9088870</v>
      </c>
      <c r="O8" s="24">
        <v>12218400</v>
      </c>
      <c r="Q8" s="37">
        <f>IF((C8-C7&lt;0), "0",C8-C7)</f>
        <v>530</v>
      </c>
      <c r="R8" s="37">
        <f t="shared" ref="R8:AC8" si="14">IF((D8-D7&lt;0), "0",D8-D7)</f>
        <v>9420</v>
      </c>
      <c r="S8" s="37">
        <f t="shared" ref="S8:S35" si="15">IF((E8-E7&lt;0), "0",E8-E7)</f>
        <v>0</v>
      </c>
      <c r="T8" s="37">
        <f t="shared" si="14"/>
        <v>1410</v>
      </c>
      <c r="U8" s="37">
        <f t="shared" si="14"/>
        <v>6770</v>
      </c>
      <c r="V8" s="37">
        <f t="shared" si="14"/>
        <v>4710</v>
      </c>
      <c r="W8" s="37">
        <f t="shared" si="14"/>
        <v>4090</v>
      </c>
      <c r="X8" s="37">
        <f t="shared" si="14"/>
        <v>4610</v>
      </c>
      <c r="Y8" s="37">
        <f t="shared" si="14"/>
        <v>5300</v>
      </c>
      <c r="Z8" s="37">
        <f t="shared" si="14"/>
        <v>2720</v>
      </c>
      <c r="AA8" s="37">
        <f t="shared" si="14"/>
        <v>3500</v>
      </c>
      <c r="AB8" s="37">
        <f t="shared" si="14"/>
        <v>6910</v>
      </c>
      <c r="AC8" s="37">
        <f t="shared" si="14"/>
        <v>16160</v>
      </c>
      <c r="AD8" s="35">
        <f>SUM(Q8:AC8)</f>
        <v>66130</v>
      </c>
      <c r="AF8" s="20">
        <f t="shared" si="1"/>
        <v>2.65</v>
      </c>
      <c r="AG8" s="20">
        <f t="shared" si="2"/>
        <v>47.1</v>
      </c>
      <c r="AH8" s="20">
        <f t="shared" si="3"/>
        <v>0</v>
      </c>
      <c r="AI8" s="20">
        <f t="shared" si="4"/>
        <v>7.05</v>
      </c>
      <c r="AJ8" s="20">
        <f t="shared" si="5"/>
        <v>33.85</v>
      </c>
      <c r="AK8" s="20">
        <f t="shared" si="6"/>
        <v>23.55</v>
      </c>
      <c r="AL8" s="20">
        <f t="shared" si="7"/>
        <v>20.45</v>
      </c>
      <c r="AM8" s="20">
        <f t="shared" si="8"/>
        <v>23.05</v>
      </c>
      <c r="AN8" s="20">
        <f t="shared" si="9"/>
        <v>26.5</v>
      </c>
      <c r="AO8" s="20">
        <f t="shared" si="10"/>
        <v>13.6</v>
      </c>
      <c r="AP8" s="20">
        <f t="shared" si="11"/>
        <v>17.5</v>
      </c>
      <c r="AQ8" s="20">
        <f t="shared" si="12"/>
        <v>34.550000000000004</v>
      </c>
      <c r="AR8" s="20">
        <f t="shared" si="13"/>
        <v>80.8</v>
      </c>
      <c r="AS8" s="35">
        <f>SUM(AF8:AR8)</f>
        <v>330.65000000000003</v>
      </c>
      <c r="AU8" s="47">
        <v>771535</v>
      </c>
      <c r="AV8" s="37">
        <f>IF((AU8-AU7&lt;0),"0",AU8-AU7)</f>
        <v>1668</v>
      </c>
      <c r="AW8" s="35">
        <v>0</v>
      </c>
    </row>
    <row r="9" spans="1:49" x14ac:dyDescent="0.25">
      <c r="A9" s="23">
        <v>43864</v>
      </c>
      <c r="B9" s="40">
        <v>152</v>
      </c>
      <c r="C9" s="24">
        <v>5940550</v>
      </c>
      <c r="D9" s="24">
        <v>12744010</v>
      </c>
      <c r="E9" s="24">
        <v>1470310</v>
      </c>
      <c r="F9" s="24">
        <v>2694530</v>
      </c>
      <c r="G9" s="24">
        <v>8331900</v>
      </c>
      <c r="H9" s="24">
        <v>4044510</v>
      </c>
      <c r="I9" s="24">
        <v>3944180</v>
      </c>
      <c r="J9" s="24">
        <v>4514580</v>
      </c>
      <c r="K9" s="24">
        <v>7174100</v>
      </c>
      <c r="L9" s="24">
        <v>2615970</v>
      </c>
      <c r="M9" s="24">
        <v>6548470</v>
      </c>
      <c r="N9" s="24">
        <v>9095760</v>
      </c>
      <c r="O9" s="24">
        <v>12234770</v>
      </c>
      <c r="Q9" s="37">
        <f t="shared" ref="Q9:Q35" si="16">IF((C9-C8&lt;0), "0",C9-C8)</f>
        <v>540</v>
      </c>
      <c r="R9" s="37">
        <f t="shared" ref="R9:R35" si="17">IF((D9-D8&lt;0), "0",D9-D8)</f>
        <v>9630</v>
      </c>
      <c r="S9" s="37">
        <f t="shared" si="15"/>
        <v>0</v>
      </c>
      <c r="T9" s="37">
        <f t="shared" ref="T9:T35" si="18">IF((F9-F8&lt;0), "0",F9-F8)</f>
        <v>1450</v>
      </c>
      <c r="U9" s="37">
        <f t="shared" ref="U9:U35" si="19">IF((G9-G8&lt;0), "0",G9-G8)</f>
        <v>6480</v>
      </c>
      <c r="V9" s="37">
        <f t="shared" ref="V9:V35" si="20">IF((H9-H8&lt;0), "0",H9-H8)</f>
        <v>4430</v>
      </c>
      <c r="W9" s="37">
        <f t="shared" ref="W9:W35" si="21">IF((I9-I8&lt;0), "0",I9-I8)</f>
        <v>2370</v>
      </c>
      <c r="X9" s="37">
        <f t="shared" ref="X9:X35" si="22">IF((J9-J8&lt;0), "0",J9-J8)</f>
        <v>4750</v>
      </c>
      <c r="Y9" s="37">
        <f t="shared" ref="Y9:Y35" si="23">IF((K9-K8&lt;0), "0",K9-K8)</f>
        <v>5410</v>
      </c>
      <c r="Z9" s="37">
        <f t="shared" ref="Z9:Z35" si="24">IF((L9-L8&lt;0), "0",L9-L8)</f>
        <v>2780</v>
      </c>
      <c r="AA9" s="37">
        <f t="shared" ref="AA9:AA35" si="25">IF((M9-M8&lt;0), "0",M9-M8)</f>
        <v>3340</v>
      </c>
      <c r="AB9" s="37">
        <f t="shared" ref="AB9:AB35" si="26">IF((N9-N8&lt;0), "0",N9-N8)</f>
        <v>6890</v>
      </c>
      <c r="AC9" s="37">
        <f t="shared" ref="AC9:AC35" si="27">IF((O9-O8&lt;0), "0",O9-O8)</f>
        <v>16370</v>
      </c>
      <c r="AD9" s="35">
        <f t="shared" ref="AD9:AD33" si="28">SUM(Q9:AC9)</f>
        <v>64440</v>
      </c>
      <c r="AF9" s="20">
        <f t="shared" si="1"/>
        <v>2.7</v>
      </c>
      <c r="AG9" s="20">
        <f t="shared" si="2"/>
        <v>48.15</v>
      </c>
      <c r="AH9" s="20">
        <f t="shared" si="3"/>
        <v>0</v>
      </c>
      <c r="AI9" s="20">
        <f t="shared" si="4"/>
        <v>7.25</v>
      </c>
      <c r="AJ9" s="20">
        <f t="shared" si="5"/>
        <v>32.4</v>
      </c>
      <c r="AK9" s="20">
        <f t="shared" si="6"/>
        <v>22.150000000000002</v>
      </c>
      <c r="AL9" s="20">
        <f t="shared" si="7"/>
        <v>11.85</v>
      </c>
      <c r="AM9" s="20">
        <f t="shared" si="8"/>
        <v>23.75</v>
      </c>
      <c r="AN9" s="20">
        <f t="shared" si="9"/>
        <v>27.05</v>
      </c>
      <c r="AO9" s="20">
        <f t="shared" si="10"/>
        <v>13.9</v>
      </c>
      <c r="AP9" s="20">
        <f t="shared" si="11"/>
        <v>16.7</v>
      </c>
      <c r="AQ9" s="20">
        <f t="shared" si="12"/>
        <v>34.450000000000003</v>
      </c>
      <c r="AR9" s="20">
        <f t="shared" si="13"/>
        <v>81.850000000000009</v>
      </c>
      <c r="AS9" s="35">
        <f t="shared" ref="AS9:AS33" si="29">SUM(AF9:AR9)</f>
        <v>322.20000000000005</v>
      </c>
      <c r="AU9" s="47">
        <v>773172</v>
      </c>
      <c r="AV9" s="37">
        <f>IF((AU9-AU8&lt;0),"0",AU9-AU8)</f>
        <v>1637</v>
      </c>
      <c r="AW9" s="35">
        <f t="shared" ref="AW9:AW35" si="30">AV9*$D$38</f>
        <v>3.274</v>
      </c>
    </row>
    <row r="10" spans="1:49" x14ac:dyDescent="0.25">
      <c r="A10" s="23">
        <v>43865</v>
      </c>
      <c r="B10" s="40">
        <v>250</v>
      </c>
      <c r="C10" s="24">
        <v>5941070</v>
      </c>
      <c r="D10" s="24">
        <v>12753310</v>
      </c>
      <c r="E10" s="24">
        <v>1470310</v>
      </c>
      <c r="F10" s="24">
        <v>2695950</v>
      </c>
      <c r="G10" s="24">
        <v>8338320</v>
      </c>
      <c r="H10" s="24">
        <v>4049030</v>
      </c>
      <c r="I10" s="24">
        <v>3947260</v>
      </c>
      <c r="J10" s="24">
        <v>4519210</v>
      </c>
      <c r="K10" s="24">
        <v>7179720</v>
      </c>
      <c r="L10" s="24">
        <v>2618690</v>
      </c>
      <c r="M10" s="24">
        <v>6551990</v>
      </c>
      <c r="N10" s="24">
        <v>9102640</v>
      </c>
      <c r="O10" s="24">
        <v>12250910</v>
      </c>
      <c r="Q10" s="37">
        <f t="shared" si="16"/>
        <v>520</v>
      </c>
      <c r="R10" s="37">
        <f t="shared" si="17"/>
        <v>9300</v>
      </c>
      <c r="S10" s="37">
        <f t="shared" si="15"/>
        <v>0</v>
      </c>
      <c r="T10" s="37">
        <f t="shared" si="18"/>
        <v>1420</v>
      </c>
      <c r="U10" s="37">
        <f t="shared" si="19"/>
        <v>6420</v>
      </c>
      <c r="V10" s="37">
        <f t="shared" si="20"/>
        <v>4520</v>
      </c>
      <c r="W10" s="37">
        <f t="shared" si="21"/>
        <v>3080</v>
      </c>
      <c r="X10" s="37">
        <f t="shared" si="22"/>
        <v>4630</v>
      </c>
      <c r="Y10" s="37">
        <f t="shared" si="23"/>
        <v>5620</v>
      </c>
      <c r="Z10" s="37">
        <f t="shared" si="24"/>
        <v>2720</v>
      </c>
      <c r="AA10" s="37">
        <f t="shared" si="25"/>
        <v>3520</v>
      </c>
      <c r="AB10" s="37">
        <f t="shared" si="26"/>
        <v>6880</v>
      </c>
      <c r="AC10" s="37">
        <f t="shared" si="27"/>
        <v>16140</v>
      </c>
      <c r="AD10" s="35">
        <f t="shared" si="28"/>
        <v>64770</v>
      </c>
      <c r="AF10" s="20">
        <f t="shared" si="1"/>
        <v>2.6</v>
      </c>
      <c r="AG10" s="20">
        <f t="shared" si="2"/>
        <v>46.5</v>
      </c>
      <c r="AH10" s="20">
        <f t="shared" si="3"/>
        <v>0</v>
      </c>
      <c r="AI10" s="20">
        <f t="shared" si="4"/>
        <v>7.1000000000000005</v>
      </c>
      <c r="AJ10" s="20">
        <f t="shared" si="5"/>
        <v>32.1</v>
      </c>
      <c r="AK10" s="20">
        <f t="shared" si="6"/>
        <v>22.6</v>
      </c>
      <c r="AL10" s="20">
        <f t="shared" si="7"/>
        <v>15.4</v>
      </c>
      <c r="AM10" s="20">
        <f t="shared" si="8"/>
        <v>23.150000000000002</v>
      </c>
      <c r="AN10" s="20">
        <f t="shared" si="9"/>
        <v>28.1</v>
      </c>
      <c r="AO10" s="20">
        <f t="shared" si="10"/>
        <v>13.6</v>
      </c>
      <c r="AP10" s="20">
        <f t="shared" si="11"/>
        <v>17.600000000000001</v>
      </c>
      <c r="AQ10" s="20">
        <f t="shared" si="12"/>
        <v>34.4</v>
      </c>
      <c r="AR10" s="20">
        <f t="shared" si="13"/>
        <v>80.7</v>
      </c>
      <c r="AS10" s="35">
        <f t="shared" si="29"/>
        <v>323.85000000000002</v>
      </c>
      <c r="AU10" s="47">
        <v>774659</v>
      </c>
      <c r="AV10" s="37">
        <f t="shared" ref="AV10:AV26" si="31">IF((AU10-AU9&lt;0),"0",AU10-AU9)</f>
        <v>1487</v>
      </c>
      <c r="AW10" s="35">
        <f t="shared" si="30"/>
        <v>2.9740000000000002</v>
      </c>
    </row>
    <row r="11" spans="1:49" x14ac:dyDescent="0.25">
      <c r="A11" s="23">
        <v>43866</v>
      </c>
      <c r="B11" s="40">
        <v>228</v>
      </c>
      <c r="C11" s="24">
        <v>5941610</v>
      </c>
      <c r="D11" s="24">
        <v>12763300</v>
      </c>
      <c r="E11" s="24">
        <v>1470310</v>
      </c>
      <c r="F11" s="24">
        <v>2697350</v>
      </c>
      <c r="G11" s="24">
        <v>8345200</v>
      </c>
      <c r="H11" s="24">
        <v>4053730</v>
      </c>
      <c r="I11" s="24">
        <v>3950440</v>
      </c>
      <c r="J11" s="24">
        <v>4523970</v>
      </c>
      <c r="K11" s="24">
        <v>7185470</v>
      </c>
      <c r="L11" s="24">
        <v>2621630</v>
      </c>
      <c r="M11" s="24">
        <v>6555630</v>
      </c>
      <c r="N11" s="24">
        <v>9109510</v>
      </c>
      <c r="O11" s="24">
        <v>12267180</v>
      </c>
      <c r="Q11" s="37">
        <f t="shared" si="16"/>
        <v>540</v>
      </c>
      <c r="R11" s="37">
        <f t="shared" si="17"/>
        <v>9990</v>
      </c>
      <c r="S11" s="37">
        <f t="shared" si="15"/>
        <v>0</v>
      </c>
      <c r="T11" s="37">
        <f t="shared" si="18"/>
        <v>1400</v>
      </c>
      <c r="U11" s="37">
        <f t="shared" si="19"/>
        <v>6880</v>
      </c>
      <c r="V11" s="37">
        <f t="shared" si="20"/>
        <v>4700</v>
      </c>
      <c r="W11" s="37">
        <f t="shared" si="21"/>
        <v>3180</v>
      </c>
      <c r="X11" s="37">
        <f t="shared" si="22"/>
        <v>4760</v>
      </c>
      <c r="Y11" s="37">
        <f t="shared" si="23"/>
        <v>5750</v>
      </c>
      <c r="Z11" s="37">
        <f t="shared" si="24"/>
        <v>2940</v>
      </c>
      <c r="AA11" s="37">
        <f t="shared" si="25"/>
        <v>3640</v>
      </c>
      <c r="AB11" s="37">
        <f t="shared" si="26"/>
        <v>6870</v>
      </c>
      <c r="AC11" s="37">
        <f t="shared" si="27"/>
        <v>16270</v>
      </c>
      <c r="AD11" s="35">
        <f t="shared" si="28"/>
        <v>66920</v>
      </c>
      <c r="AF11" s="20">
        <f t="shared" si="1"/>
        <v>2.7</v>
      </c>
      <c r="AG11" s="20">
        <f t="shared" si="2"/>
        <v>49.95</v>
      </c>
      <c r="AH11" s="20">
        <f t="shared" si="3"/>
        <v>0</v>
      </c>
      <c r="AI11" s="20">
        <f t="shared" si="4"/>
        <v>7</v>
      </c>
      <c r="AJ11" s="20">
        <f t="shared" si="5"/>
        <v>34.4</v>
      </c>
      <c r="AK11" s="20">
        <f t="shared" si="6"/>
        <v>23.5</v>
      </c>
      <c r="AL11" s="20">
        <f t="shared" si="7"/>
        <v>15.9</v>
      </c>
      <c r="AM11" s="20">
        <f t="shared" si="8"/>
        <v>23.8</v>
      </c>
      <c r="AN11" s="20">
        <f t="shared" si="9"/>
        <v>28.75</v>
      </c>
      <c r="AO11" s="20">
        <f t="shared" si="10"/>
        <v>14.700000000000001</v>
      </c>
      <c r="AP11" s="20">
        <f t="shared" si="11"/>
        <v>18.2</v>
      </c>
      <c r="AQ11" s="20">
        <f t="shared" si="12"/>
        <v>34.35</v>
      </c>
      <c r="AR11" s="20">
        <f t="shared" si="13"/>
        <v>81.350000000000009</v>
      </c>
      <c r="AS11" s="35">
        <f t="shared" si="29"/>
        <v>334.6</v>
      </c>
      <c r="AU11" s="47">
        <v>776671</v>
      </c>
      <c r="AV11" s="37">
        <f t="shared" si="31"/>
        <v>2012</v>
      </c>
      <c r="AW11" s="35">
        <f t="shared" si="30"/>
        <v>4.024</v>
      </c>
    </row>
    <row r="12" spans="1:49" x14ac:dyDescent="0.25">
      <c r="A12" s="23">
        <v>43867</v>
      </c>
      <c r="B12" s="40">
        <v>289</v>
      </c>
      <c r="C12" s="49">
        <v>5942130</v>
      </c>
      <c r="D12" s="24">
        <v>12774350</v>
      </c>
      <c r="E12" s="24">
        <v>1470310</v>
      </c>
      <c r="F12" s="24">
        <v>2698750</v>
      </c>
      <c r="G12" s="24">
        <v>8352530</v>
      </c>
      <c r="H12" s="24">
        <v>4058500</v>
      </c>
      <c r="I12" s="24">
        <v>3954010</v>
      </c>
      <c r="J12" s="24">
        <v>4528690</v>
      </c>
      <c r="K12" s="24">
        <v>7191350</v>
      </c>
      <c r="L12" s="24">
        <v>2624650</v>
      </c>
      <c r="M12" s="24">
        <v>6559600</v>
      </c>
      <c r="N12" s="24">
        <v>9116310</v>
      </c>
      <c r="O12" s="24">
        <v>12283180</v>
      </c>
      <c r="Q12" s="37">
        <f t="shared" si="16"/>
        <v>520</v>
      </c>
      <c r="R12" s="37">
        <f t="shared" si="17"/>
        <v>11050</v>
      </c>
      <c r="S12" s="37">
        <f t="shared" si="15"/>
        <v>0</v>
      </c>
      <c r="T12" s="37">
        <f t="shared" ref="T12:W14" si="32">IF((F12-F11&lt;0), "0",F12-F11)</f>
        <v>1400</v>
      </c>
      <c r="U12" s="37">
        <f t="shared" si="32"/>
        <v>7330</v>
      </c>
      <c r="V12" s="37">
        <f t="shared" si="32"/>
        <v>4770</v>
      </c>
      <c r="W12" s="37">
        <f t="shared" si="32"/>
        <v>3570</v>
      </c>
      <c r="X12" s="37">
        <f t="shared" si="22"/>
        <v>4720</v>
      </c>
      <c r="Y12" s="37">
        <f t="shared" si="23"/>
        <v>5880</v>
      </c>
      <c r="Z12" s="37">
        <f>IF((L12-L11&lt;0), "0",L12-L11)</f>
        <v>3020</v>
      </c>
      <c r="AA12" s="37">
        <f t="shared" si="25"/>
        <v>3970</v>
      </c>
      <c r="AB12" s="37">
        <f t="shared" si="26"/>
        <v>6800</v>
      </c>
      <c r="AC12" s="37">
        <f t="shared" si="27"/>
        <v>16000</v>
      </c>
      <c r="AD12" s="35">
        <f t="shared" si="28"/>
        <v>69030</v>
      </c>
      <c r="AF12" s="20">
        <f t="shared" si="1"/>
        <v>2.6</v>
      </c>
      <c r="AG12" s="20">
        <f t="shared" si="2"/>
        <v>55.25</v>
      </c>
      <c r="AH12" s="20">
        <f t="shared" si="3"/>
        <v>0</v>
      </c>
      <c r="AI12" s="20">
        <f t="shared" si="4"/>
        <v>7</v>
      </c>
      <c r="AJ12" s="20">
        <f t="shared" si="5"/>
        <v>36.65</v>
      </c>
      <c r="AK12" s="20">
        <f t="shared" si="6"/>
        <v>23.85</v>
      </c>
      <c r="AL12" s="20">
        <f t="shared" si="7"/>
        <v>17.850000000000001</v>
      </c>
      <c r="AM12" s="20">
        <f t="shared" si="8"/>
        <v>23.6</v>
      </c>
      <c r="AN12" s="20">
        <f t="shared" si="9"/>
        <v>29.400000000000002</v>
      </c>
      <c r="AO12" s="20">
        <f t="shared" si="10"/>
        <v>15.1</v>
      </c>
      <c r="AP12" s="20">
        <f t="shared" si="11"/>
        <v>19.850000000000001</v>
      </c>
      <c r="AQ12" s="20">
        <f t="shared" si="12"/>
        <v>34</v>
      </c>
      <c r="AR12" s="20">
        <f t="shared" si="13"/>
        <v>80</v>
      </c>
      <c r="AS12" s="35">
        <f t="shared" si="29"/>
        <v>345.15</v>
      </c>
      <c r="AU12" s="47">
        <v>779181</v>
      </c>
      <c r="AV12" s="37">
        <f t="shared" si="31"/>
        <v>2510</v>
      </c>
      <c r="AW12" s="35">
        <f t="shared" si="30"/>
        <v>5.0200000000000005</v>
      </c>
    </row>
    <row r="13" spans="1:49" x14ac:dyDescent="0.25">
      <c r="A13" s="23">
        <v>43868</v>
      </c>
      <c r="B13" s="40">
        <v>145</v>
      </c>
      <c r="C13" s="24">
        <v>5942660</v>
      </c>
      <c r="D13" s="24">
        <v>12786080</v>
      </c>
      <c r="E13" s="24">
        <v>1470310</v>
      </c>
      <c r="F13" s="24">
        <v>2700170</v>
      </c>
      <c r="G13" s="24">
        <v>8359690</v>
      </c>
      <c r="H13" s="24">
        <v>4063320</v>
      </c>
      <c r="I13" s="24">
        <v>3957630</v>
      </c>
      <c r="J13" s="24">
        <v>4533360</v>
      </c>
      <c r="K13" s="24">
        <v>7197370</v>
      </c>
      <c r="L13" s="24">
        <v>2627790</v>
      </c>
      <c r="M13" s="24">
        <v>6563520</v>
      </c>
      <c r="N13" s="24">
        <v>9123230</v>
      </c>
      <c r="O13" s="24">
        <v>12298880</v>
      </c>
      <c r="Q13" s="37">
        <f t="shared" si="16"/>
        <v>530</v>
      </c>
      <c r="R13" s="37">
        <f t="shared" si="17"/>
        <v>11730</v>
      </c>
      <c r="S13" s="37">
        <f t="shared" si="15"/>
        <v>0</v>
      </c>
      <c r="T13" s="37">
        <f t="shared" si="32"/>
        <v>1420</v>
      </c>
      <c r="U13" s="37">
        <f t="shared" si="32"/>
        <v>7160</v>
      </c>
      <c r="V13" s="37">
        <f t="shared" si="32"/>
        <v>4820</v>
      </c>
      <c r="W13" s="37">
        <f t="shared" si="32"/>
        <v>3620</v>
      </c>
      <c r="X13" s="37">
        <f t="shared" si="22"/>
        <v>4670</v>
      </c>
      <c r="Y13" s="37">
        <f t="shared" si="23"/>
        <v>6020</v>
      </c>
      <c r="Z13" s="37">
        <f>IF((L13-L12&lt;0), "0",L13-L12)</f>
        <v>3140</v>
      </c>
      <c r="AA13" s="37">
        <f t="shared" si="25"/>
        <v>3920</v>
      </c>
      <c r="AB13" s="37">
        <f t="shared" si="26"/>
        <v>6920</v>
      </c>
      <c r="AC13" s="37">
        <f t="shared" si="27"/>
        <v>15700</v>
      </c>
      <c r="AD13" s="35">
        <f t="shared" si="28"/>
        <v>69650</v>
      </c>
      <c r="AF13" s="20">
        <f t="shared" si="1"/>
        <v>2.65</v>
      </c>
      <c r="AG13" s="20">
        <f t="shared" si="2"/>
        <v>58.65</v>
      </c>
      <c r="AH13" s="20">
        <f t="shared" si="3"/>
        <v>0</v>
      </c>
      <c r="AI13" s="20">
        <f t="shared" si="4"/>
        <v>7.1000000000000005</v>
      </c>
      <c r="AJ13" s="20">
        <f t="shared" si="5"/>
        <v>35.800000000000004</v>
      </c>
      <c r="AK13" s="20">
        <f t="shared" si="6"/>
        <v>24.1</v>
      </c>
      <c r="AL13" s="20">
        <f t="shared" si="7"/>
        <v>18.100000000000001</v>
      </c>
      <c r="AM13" s="20">
        <f t="shared" si="8"/>
        <v>23.35</v>
      </c>
      <c r="AN13" s="20">
        <f t="shared" si="9"/>
        <v>30.1</v>
      </c>
      <c r="AO13" s="20">
        <f t="shared" si="10"/>
        <v>15.700000000000001</v>
      </c>
      <c r="AP13" s="20">
        <f t="shared" si="11"/>
        <v>19.600000000000001</v>
      </c>
      <c r="AQ13" s="20">
        <f t="shared" si="12"/>
        <v>34.6</v>
      </c>
      <c r="AR13" s="20">
        <f t="shared" si="13"/>
        <v>78.5</v>
      </c>
      <c r="AS13" s="35">
        <f t="shared" si="29"/>
        <v>348.24999999999994</v>
      </c>
      <c r="AU13" s="47">
        <v>780887</v>
      </c>
      <c r="AV13" s="37">
        <f t="shared" si="31"/>
        <v>1706</v>
      </c>
      <c r="AW13" s="35">
        <f t="shared" si="30"/>
        <v>3.4119999999999999</v>
      </c>
    </row>
    <row r="14" spans="1:49" x14ac:dyDescent="0.25">
      <c r="A14" s="23">
        <v>43869</v>
      </c>
      <c r="B14" s="40">
        <v>165</v>
      </c>
      <c r="C14" s="24">
        <v>5943170</v>
      </c>
      <c r="D14" s="24">
        <v>12797210</v>
      </c>
      <c r="E14" s="24">
        <v>1470310</v>
      </c>
      <c r="F14" s="24">
        <v>2701580</v>
      </c>
      <c r="G14" s="24">
        <v>8366550</v>
      </c>
      <c r="H14" s="24">
        <v>4068030</v>
      </c>
      <c r="I14" s="24">
        <v>3960980</v>
      </c>
      <c r="J14" s="24">
        <v>4537910</v>
      </c>
      <c r="K14" s="24">
        <v>7203130</v>
      </c>
      <c r="L14" s="24">
        <v>2630750</v>
      </c>
      <c r="M14" s="24">
        <v>6567800</v>
      </c>
      <c r="N14" s="24">
        <v>9129780</v>
      </c>
      <c r="O14" s="24">
        <v>12313890</v>
      </c>
      <c r="Q14" s="37">
        <f t="shared" si="16"/>
        <v>510</v>
      </c>
      <c r="R14" s="37">
        <f t="shared" si="17"/>
        <v>11130</v>
      </c>
      <c r="S14" s="37">
        <f t="shared" si="15"/>
        <v>0</v>
      </c>
      <c r="T14" s="37">
        <f t="shared" si="32"/>
        <v>1410</v>
      </c>
      <c r="U14" s="37">
        <f t="shared" si="32"/>
        <v>6860</v>
      </c>
      <c r="V14" s="37">
        <f t="shared" si="32"/>
        <v>4710</v>
      </c>
      <c r="W14" s="37">
        <f t="shared" si="32"/>
        <v>3350</v>
      </c>
      <c r="X14" s="37">
        <f t="shared" si="22"/>
        <v>4550</v>
      </c>
      <c r="Y14" s="37">
        <f t="shared" si="23"/>
        <v>5760</v>
      </c>
      <c r="Z14" s="37">
        <f>IF((L14-L13&lt;0), "0",L14-L13)</f>
        <v>2960</v>
      </c>
      <c r="AA14" s="37">
        <f t="shared" si="25"/>
        <v>4280</v>
      </c>
      <c r="AB14" s="37">
        <f t="shared" si="26"/>
        <v>6550</v>
      </c>
      <c r="AC14" s="37">
        <f t="shared" si="27"/>
        <v>15010</v>
      </c>
      <c r="AD14" s="35">
        <f t="shared" si="28"/>
        <v>67080</v>
      </c>
      <c r="AF14" s="20">
        <f t="shared" si="1"/>
        <v>2.5500000000000003</v>
      </c>
      <c r="AG14" s="20">
        <f t="shared" si="2"/>
        <v>55.65</v>
      </c>
      <c r="AH14" s="20">
        <f t="shared" si="3"/>
        <v>0</v>
      </c>
      <c r="AI14" s="20">
        <f t="shared" si="4"/>
        <v>7.05</v>
      </c>
      <c r="AJ14" s="20">
        <f t="shared" si="5"/>
        <v>34.300000000000004</v>
      </c>
      <c r="AK14" s="20">
        <f t="shared" si="6"/>
        <v>23.55</v>
      </c>
      <c r="AL14" s="20">
        <f t="shared" si="7"/>
        <v>16.75</v>
      </c>
      <c r="AM14" s="20">
        <f t="shared" si="8"/>
        <v>22.75</v>
      </c>
      <c r="AN14" s="20">
        <f t="shared" si="9"/>
        <v>28.8</v>
      </c>
      <c r="AO14" s="20">
        <f t="shared" si="10"/>
        <v>14.8</v>
      </c>
      <c r="AP14" s="20">
        <f t="shared" si="11"/>
        <v>21.400000000000002</v>
      </c>
      <c r="AQ14" s="20">
        <f t="shared" si="12"/>
        <v>32.75</v>
      </c>
      <c r="AR14" s="20">
        <f t="shared" si="13"/>
        <v>75.05</v>
      </c>
      <c r="AS14" s="35">
        <f t="shared" si="29"/>
        <v>335.40000000000003</v>
      </c>
      <c r="AU14" s="47">
        <v>782695</v>
      </c>
      <c r="AV14" s="37">
        <f t="shared" si="31"/>
        <v>1808</v>
      </c>
      <c r="AW14" s="35">
        <f t="shared" si="30"/>
        <v>3.6160000000000001</v>
      </c>
    </row>
    <row r="15" spans="1:49" x14ac:dyDescent="0.25">
      <c r="A15" s="23">
        <v>43870</v>
      </c>
      <c r="B15" s="40">
        <v>184</v>
      </c>
      <c r="C15" s="24">
        <v>5943700</v>
      </c>
      <c r="D15" s="24">
        <v>12807280</v>
      </c>
      <c r="E15" s="24">
        <v>1470310</v>
      </c>
      <c r="F15" s="24">
        <v>2702940</v>
      </c>
      <c r="G15" s="24">
        <v>8373340</v>
      </c>
      <c r="H15" s="24">
        <v>4072080</v>
      </c>
      <c r="I15" s="24">
        <v>3964470</v>
      </c>
      <c r="J15" s="24">
        <v>4542370</v>
      </c>
      <c r="K15" s="24">
        <v>7208550</v>
      </c>
      <c r="L15" s="24">
        <v>2633730</v>
      </c>
      <c r="M15" s="24">
        <v>6570880</v>
      </c>
      <c r="N15" s="24">
        <v>9136600</v>
      </c>
      <c r="O15" s="24">
        <v>12329130</v>
      </c>
      <c r="Q15" s="37">
        <f t="shared" si="16"/>
        <v>530</v>
      </c>
      <c r="R15" s="37">
        <f t="shared" si="17"/>
        <v>10070</v>
      </c>
      <c r="S15" s="37">
        <f t="shared" si="15"/>
        <v>0</v>
      </c>
      <c r="T15" s="37">
        <f t="shared" si="18"/>
        <v>1360</v>
      </c>
      <c r="U15" s="37">
        <f t="shared" si="19"/>
        <v>6790</v>
      </c>
      <c r="V15" s="37">
        <f t="shared" si="20"/>
        <v>4050</v>
      </c>
      <c r="W15" s="37">
        <f t="shared" si="21"/>
        <v>3490</v>
      </c>
      <c r="X15" s="37">
        <f t="shared" si="22"/>
        <v>4460</v>
      </c>
      <c r="Y15" s="37">
        <f t="shared" si="23"/>
        <v>5420</v>
      </c>
      <c r="Z15" s="37">
        <f t="shared" si="24"/>
        <v>2980</v>
      </c>
      <c r="AA15" s="37">
        <f t="shared" si="25"/>
        <v>3080</v>
      </c>
      <c r="AB15" s="37">
        <f t="shared" si="26"/>
        <v>6820</v>
      </c>
      <c r="AC15" s="37">
        <f t="shared" si="27"/>
        <v>15240</v>
      </c>
      <c r="AD15" s="35">
        <f t="shared" si="28"/>
        <v>64290</v>
      </c>
      <c r="AF15" s="20">
        <f t="shared" si="1"/>
        <v>2.65</v>
      </c>
      <c r="AG15" s="20">
        <f t="shared" si="2"/>
        <v>50.35</v>
      </c>
      <c r="AH15" s="20">
        <f t="shared" si="3"/>
        <v>0</v>
      </c>
      <c r="AI15" s="20">
        <f t="shared" si="4"/>
        <v>6.8</v>
      </c>
      <c r="AJ15" s="20">
        <f t="shared" si="5"/>
        <v>33.950000000000003</v>
      </c>
      <c r="AK15" s="20">
        <f t="shared" si="6"/>
        <v>20.25</v>
      </c>
      <c r="AL15" s="20">
        <f t="shared" si="7"/>
        <v>17.45</v>
      </c>
      <c r="AM15" s="20">
        <f t="shared" si="8"/>
        <v>22.3</v>
      </c>
      <c r="AN15" s="20">
        <f t="shared" si="9"/>
        <v>27.1</v>
      </c>
      <c r="AO15" s="20">
        <f t="shared" si="10"/>
        <v>14.9</v>
      </c>
      <c r="AP15" s="20">
        <f t="shared" si="11"/>
        <v>15.4</v>
      </c>
      <c r="AQ15" s="20">
        <f t="shared" si="12"/>
        <v>34.1</v>
      </c>
      <c r="AR15" s="20">
        <f t="shared" si="13"/>
        <v>76.2</v>
      </c>
      <c r="AS15" s="35">
        <f t="shared" si="29"/>
        <v>321.45</v>
      </c>
      <c r="AU15" s="47">
        <v>784509</v>
      </c>
      <c r="AV15" s="37">
        <f t="shared" si="31"/>
        <v>1814</v>
      </c>
      <c r="AW15" s="35">
        <f t="shared" si="30"/>
        <v>3.6280000000000001</v>
      </c>
    </row>
    <row r="16" spans="1:49" x14ac:dyDescent="0.25">
      <c r="A16" s="23">
        <v>43871</v>
      </c>
      <c r="B16" s="40">
        <v>201</v>
      </c>
      <c r="C16" s="24">
        <v>5944240</v>
      </c>
      <c r="D16" s="24">
        <v>12816320</v>
      </c>
      <c r="E16" s="24">
        <v>1470310</v>
      </c>
      <c r="F16" s="24">
        <v>2704320</v>
      </c>
      <c r="G16" s="24">
        <v>8379720</v>
      </c>
      <c r="H16" s="24">
        <v>4077820</v>
      </c>
      <c r="I16" s="24">
        <v>3967270</v>
      </c>
      <c r="J16" s="24">
        <v>4547190</v>
      </c>
      <c r="K16" s="24">
        <v>7213950</v>
      </c>
      <c r="L16" s="24">
        <v>2636630</v>
      </c>
      <c r="M16" s="24">
        <v>6574340</v>
      </c>
      <c r="N16" s="24">
        <v>9143250</v>
      </c>
      <c r="O16" s="24">
        <v>12344950</v>
      </c>
      <c r="Q16" s="37">
        <f t="shared" si="16"/>
        <v>540</v>
      </c>
      <c r="R16" s="37">
        <f t="shared" si="17"/>
        <v>9040</v>
      </c>
      <c r="S16" s="37">
        <f t="shared" si="15"/>
        <v>0</v>
      </c>
      <c r="T16" s="37">
        <f t="shared" si="18"/>
        <v>1380</v>
      </c>
      <c r="U16" s="37">
        <f t="shared" si="19"/>
        <v>6380</v>
      </c>
      <c r="V16" s="37">
        <f t="shared" si="20"/>
        <v>5740</v>
      </c>
      <c r="W16" s="37">
        <f t="shared" si="21"/>
        <v>2800</v>
      </c>
      <c r="X16" s="37">
        <f t="shared" si="22"/>
        <v>4820</v>
      </c>
      <c r="Y16" s="37">
        <f t="shared" si="23"/>
        <v>5400</v>
      </c>
      <c r="Z16" s="37">
        <f t="shared" si="24"/>
        <v>2900</v>
      </c>
      <c r="AA16" s="37">
        <f t="shared" si="25"/>
        <v>3460</v>
      </c>
      <c r="AB16" s="37">
        <f t="shared" si="26"/>
        <v>6650</v>
      </c>
      <c r="AC16" s="37">
        <f t="shared" si="27"/>
        <v>15820</v>
      </c>
      <c r="AD16" s="35">
        <f t="shared" si="28"/>
        <v>64930</v>
      </c>
      <c r="AF16" s="20">
        <f t="shared" si="1"/>
        <v>2.7</v>
      </c>
      <c r="AG16" s="20">
        <f t="shared" si="2"/>
        <v>45.2</v>
      </c>
      <c r="AH16" s="20">
        <f t="shared" si="3"/>
        <v>0</v>
      </c>
      <c r="AI16" s="20">
        <f t="shared" si="4"/>
        <v>6.9</v>
      </c>
      <c r="AJ16" s="20">
        <f t="shared" si="5"/>
        <v>31.900000000000002</v>
      </c>
      <c r="AK16" s="20">
        <f t="shared" si="6"/>
        <v>28.7</v>
      </c>
      <c r="AL16" s="20">
        <f t="shared" si="7"/>
        <v>14</v>
      </c>
      <c r="AM16" s="20">
        <f t="shared" si="8"/>
        <v>24.1</v>
      </c>
      <c r="AN16" s="20">
        <f t="shared" si="9"/>
        <v>27</v>
      </c>
      <c r="AO16" s="20">
        <f t="shared" si="10"/>
        <v>14.5</v>
      </c>
      <c r="AP16" s="20">
        <f t="shared" si="11"/>
        <v>17.3</v>
      </c>
      <c r="AQ16" s="20">
        <f t="shared" si="12"/>
        <v>33.25</v>
      </c>
      <c r="AR16" s="20">
        <f t="shared" si="13"/>
        <v>79.100000000000009</v>
      </c>
      <c r="AS16" s="35">
        <f t="shared" si="29"/>
        <v>324.65000000000003</v>
      </c>
      <c r="AU16" s="47">
        <v>786414</v>
      </c>
      <c r="AV16" s="37">
        <f t="shared" si="31"/>
        <v>1905</v>
      </c>
      <c r="AW16" s="35">
        <f t="shared" si="30"/>
        <v>3.81</v>
      </c>
    </row>
    <row r="17" spans="1:49" x14ac:dyDescent="0.25">
      <c r="A17" s="23">
        <v>43872</v>
      </c>
      <c r="B17" s="40">
        <v>232</v>
      </c>
      <c r="C17" s="24">
        <v>5944760</v>
      </c>
      <c r="D17" s="24">
        <v>12824000</v>
      </c>
      <c r="E17" s="24">
        <v>1470310</v>
      </c>
      <c r="F17" s="24">
        <v>2705670</v>
      </c>
      <c r="G17" s="24">
        <v>8386230</v>
      </c>
      <c r="H17" s="24">
        <v>4082680</v>
      </c>
      <c r="I17" s="24">
        <v>3970270</v>
      </c>
      <c r="J17" s="24">
        <v>4552070</v>
      </c>
      <c r="K17" s="24">
        <v>7219320</v>
      </c>
      <c r="L17" s="24">
        <v>2639630</v>
      </c>
      <c r="M17" s="24">
        <v>6578060</v>
      </c>
      <c r="N17" s="24">
        <v>9150200</v>
      </c>
      <c r="O17" s="24">
        <v>12360840</v>
      </c>
      <c r="Q17" s="37">
        <f t="shared" si="16"/>
        <v>520</v>
      </c>
      <c r="R17" s="37">
        <f t="shared" si="17"/>
        <v>7680</v>
      </c>
      <c r="S17" s="37">
        <f t="shared" si="15"/>
        <v>0</v>
      </c>
      <c r="T17" s="37">
        <f t="shared" si="18"/>
        <v>1350</v>
      </c>
      <c r="U17" s="37">
        <f t="shared" si="19"/>
        <v>6510</v>
      </c>
      <c r="V17" s="37">
        <f t="shared" si="20"/>
        <v>4860</v>
      </c>
      <c r="W17" s="37">
        <f t="shared" si="21"/>
        <v>3000</v>
      </c>
      <c r="X17" s="37">
        <f t="shared" si="22"/>
        <v>4880</v>
      </c>
      <c r="Y17" s="37">
        <f t="shared" si="23"/>
        <v>5370</v>
      </c>
      <c r="Z17" s="37">
        <f t="shared" si="24"/>
        <v>3000</v>
      </c>
      <c r="AA17" s="37">
        <f t="shared" si="25"/>
        <v>3720</v>
      </c>
      <c r="AB17" s="37">
        <f t="shared" si="26"/>
        <v>6950</v>
      </c>
      <c r="AC17" s="37">
        <f t="shared" si="27"/>
        <v>15890</v>
      </c>
      <c r="AD17" s="35">
        <f t="shared" si="28"/>
        <v>63730</v>
      </c>
      <c r="AF17" s="20">
        <f t="shared" si="1"/>
        <v>2.6</v>
      </c>
      <c r="AG17" s="20">
        <f t="shared" si="2"/>
        <v>38.4</v>
      </c>
      <c r="AH17" s="20">
        <f t="shared" si="3"/>
        <v>0</v>
      </c>
      <c r="AI17" s="20">
        <f t="shared" si="4"/>
        <v>6.75</v>
      </c>
      <c r="AJ17" s="20">
        <f t="shared" si="5"/>
        <v>32.549999999999997</v>
      </c>
      <c r="AK17" s="20">
        <f t="shared" si="6"/>
        <v>24.3</v>
      </c>
      <c r="AL17" s="20">
        <f t="shared" si="7"/>
        <v>15</v>
      </c>
      <c r="AM17" s="20">
        <f t="shared" si="8"/>
        <v>24.400000000000002</v>
      </c>
      <c r="AN17" s="20">
        <f t="shared" si="9"/>
        <v>26.85</v>
      </c>
      <c r="AO17" s="20">
        <f t="shared" si="10"/>
        <v>15</v>
      </c>
      <c r="AP17" s="20">
        <f t="shared" si="11"/>
        <v>18.600000000000001</v>
      </c>
      <c r="AQ17" s="20">
        <f t="shared" si="12"/>
        <v>34.75</v>
      </c>
      <c r="AR17" s="20">
        <f t="shared" si="13"/>
        <v>79.45</v>
      </c>
      <c r="AS17" s="35">
        <f t="shared" si="29"/>
        <v>318.64999999999998</v>
      </c>
      <c r="AU17" s="47">
        <v>787934</v>
      </c>
      <c r="AV17" s="37">
        <f t="shared" si="31"/>
        <v>1520</v>
      </c>
      <c r="AW17" s="35">
        <f t="shared" si="30"/>
        <v>3.04</v>
      </c>
    </row>
    <row r="18" spans="1:49" x14ac:dyDescent="0.25">
      <c r="A18" s="23">
        <v>43873</v>
      </c>
      <c r="B18" s="40">
        <v>244</v>
      </c>
      <c r="C18" s="24">
        <v>5945320</v>
      </c>
      <c r="D18" s="24">
        <v>12827800</v>
      </c>
      <c r="E18" s="24">
        <v>1471530</v>
      </c>
      <c r="F18" s="24">
        <v>2707080</v>
      </c>
      <c r="G18" s="24">
        <v>8393210</v>
      </c>
      <c r="H18" s="24">
        <v>4087800</v>
      </c>
      <c r="I18" s="24">
        <v>3973490</v>
      </c>
      <c r="J18" s="24">
        <v>4557080</v>
      </c>
      <c r="K18" s="24">
        <v>7225170</v>
      </c>
      <c r="L18" s="24">
        <v>2642930</v>
      </c>
      <c r="M18" s="24">
        <v>6581990</v>
      </c>
      <c r="N18" s="24">
        <v>9157820</v>
      </c>
      <c r="O18" s="24">
        <v>12378000</v>
      </c>
      <c r="Q18" s="37">
        <f t="shared" si="16"/>
        <v>560</v>
      </c>
      <c r="R18" s="37">
        <f t="shared" si="17"/>
        <v>3800</v>
      </c>
      <c r="S18" s="37">
        <f t="shared" si="15"/>
        <v>1220</v>
      </c>
      <c r="T18" s="37">
        <f t="shared" si="18"/>
        <v>1410</v>
      </c>
      <c r="U18" s="37">
        <f t="shared" si="19"/>
        <v>6980</v>
      </c>
      <c r="V18" s="37">
        <f t="shared" si="20"/>
        <v>5120</v>
      </c>
      <c r="W18" s="37">
        <f t="shared" si="21"/>
        <v>3220</v>
      </c>
      <c r="X18" s="37">
        <f t="shared" si="22"/>
        <v>5010</v>
      </c>
      <c r="Y18" s="37">
        <f t="shared" si="23"/>
        <v>5850</v>
      </c>
      <c r="Z18" s="37">
        <f t="shared" si="24"/>
        <v>3300</v>
      </c>
      <c r="AA18" s="37">
        <f t="shared" si="25"/>
        <v>3930</v>
      </c>
      <c r="AB18" s="37">
        <f t="shared" si="26"/>
        <v>7620</v>
      </c>
      <c r="AC18" s="37">
        <f t="shared" si="27"/>
        <v>17160</v>
      </c>
      <c r="AD18" s="35">
        <f t="shared" si="28"/>
        <v>65180</v>
      </c>
      <c r="AF18" s="20">
        <f t="shared" si="1"/>
        <v>2.8000000000000003</v>
      </c>
      <c r="AG18" s="20">
        <f t="shared" si="2"/>
        <v>19</v>
      </c>
      <c r="AH18" s="20">
        <f t="shared" si="3"/>
        <v>6.1000000000000005</v>
      </c>
      <c r="AI18" s="20">
        <f t="shared" si="4"/>
        <v>7.05</v>
      </c>
      <c r="AJ18" s="20">
        <f t="shared" si="5"/>
        <v>34.9</v>
      </c>
      <c r="AK18" s="20">
        <f t="shared" si="6"/>
        <v>25.6</v>
      </c>
      <c r="AL18" s="20">
        <f t="shared" si="7"/>
        <v>16.100000000000001</v>
      </c>
      <c r="AM18" s="20">
        <f t="shared" si="8"/>
        <v>25.05</v>
      </c>
      <c r="AN18" s="20">
        <f t="shared" si="9"/>
        <v>29.25</v>
      </c>
      <c r="AO18" s="20">
        <f t="shared" si="10"/>
        <v>16.5</v>
      </c>
      <c r="AP18" s="20">
        <f t="shared" si="11"/>
        <v>19.650000000000002</v>
      </c>
      <c r="AQ18" s="20">
        <f t="shared" si="12"/>
        <v>38.1</v>
      </c>
      <c r="AR18" s="20">
        <f t="shared" si="13"/>
        <v>85.8</v>
      </c>
      <c r="AS18" s="35">
        <f t="shared" si="29"/>
        <v>325.89999999999998</v>
      </c>
      <c r="AU18" s="47">
        <v>789784</v>
      </c>
      <c r="AV18" s="37">
        <f t="shared" si="31"/>
        <v>1850</v>
      </c>
      <c r="AW18" s="35">
        <f t="shared" si="30"/>
        <v>3.7</v>
      </c>
    </row>
    <row r="19" spans="1:49" x14ac:dyDescent="0.25">
      <c r="A19" s="23">
        <v>43874</v>
      </c>
      <c r="B19" s="40">
        <v>284</v>
      </c>
      <c r="C19" s="24">
        <v>5945910</v>
      </c>
      <c r="D19" s="24">
        <v>12829780</v>
      </c>
      <c r="E19" s="24">
        <v>1473770</v>
      </c>
      <c r="F19" s="24">
        <v>2708530</v>
      </c>
      <c r="G19" s="24">
        <v>8400910</v>
      </c>
      <c r="H19" s="24">
        <v>4083100</v>
      </c>
      <c r="I19" s="24">
        <v>3977220</v>
      </c>
      <c r="J19" s="24">
        <v>4562050</v>
      </c>
      <c r="K19" s="24">
        <v>7231550</v>
      </c>
      <c r="L19" s="24">
        <v>2646230</v>
      </c>
      <c r="M19" s="24">
        <v>6586150</v>
      </c>
      <c r="N19" s="24">
        <v>9165760</v>
      </c>
      <c r="O19" s="24">
        <v>12395660</v>
      </c>
      <c r="Q19" s="37">
        <f t="shared" si="16"/>
        <v>590</v>
      </c>
      <c r="R19" s="37">
        <f t="shared" si="17"/>
        <v>1980</v>
      </c>
      <c r="S19" s="37">
        <f t="shared" si="15"/>
        <v>2240</v>
      </c>
      <c r="T19" s="37">
        <f t="shared" si="18"/>
        <v>1450</v>
      </c>
      <c r="U19" s="37">
        <f t="shared" si="19"/>
        <v>7700</v>
      </c>
      <c r="V19" s="37" t="str">
        <f t="shared" si="20"/>
        <v>0</v>
      </c>
      <c r="W19" s="37">
        <f t="shared" si="21"/>
        <v>3730</v>
      </c>
      <c r="X19" s="37">
        <f t="shared" si="22"/>
        <v>4970</v>
      </c>
      <c r="Y19" s="37">
        <f t="shared" si="23"/>
        <v>6380</v>
      </c>
      <c r="Z19" s="37">
        <f t="shared" si="24"/>
        <v>3300</v>
      </c>
      <c r="AA19" s="37">
        <f t="shared" si="25"/>
        <v>4160</v>
      </c>
      <c r="AB19" s="37">
        <f t="shared" si="26"/>
        <v>7940</v>
      </c>
      <c r="AC19" s="37">
        <f t="shared" si="27"/>
        <v>17660</v>
      </c>
      <c r="AD19" s="35">
        <f t="shared" si="28"/>
        <v>62100</v>
      </c>
      <c r="AF19" s="20">
        <f t="shared" si="1"/>
        <v>2.95</v>
      </c>
      <c r="AG19" s="20">
        <f t="shared" si="2"/>
        <v>9.9</v>
      </c>
      <c r="AH19" s="20">
        <f t="shared" si="3"/>
        <v>11.200000000000001</v>
      </c>
      <c r="AI19" s="20">
        <f t="shared" si="4"/>
        <v>7.25</v>
      </c>
      <c r="AJ19" s="20">
        <f t="shared" si="5"/>
        <v>38.5</v>
      </c>
      <c r="AK19" s="20">
        <f t="shared" si="6"/>
        <v>0</v>
      </c>
      <c r="AL19" s="20">
        <f t="shared" si="7"/>
        <v>18.650000000000002</v>
      </c>
      <c r="AM19" s="20">
        <f t="shared" si="8"/>
        <v>24.85</v>
      </c>
      <c r="AN19" s="20">
        <f t="shared" si="9"/>
        <v>31.900000000000002</v>
      </c>
      <c r="AO19" s="20">
        <f t="shared" si="10"/>
        <v>16.5</v>
      </c>
      <c r="AP19" s="20">
        <f t="shared" si="11"/>
        <v>20.8</v>
      </c>
      <c r="AQ19" s="20">
        <f t="shared" si="12"/>
        <v>39.700000000000003</v>
      </c>
      <c r="AR19" s="20">
        <f t="shared" si="13"/>
        <v>88.3</v>
      </c>
      <c r="AS19" s="35">
        <f t="shared" si="29"/>
        <v>310.50000000000006</v>
      </c>
      <c r="AU19" s="47">
        <v>809796</v>
      </c>
      <c r="AV19" s="37">
        <f t="shared" si="31"/>
        <v>20012</v>
      </c>
      <c r="AW19" s="35">
        <f t="shared" si="30"/>
        <v>40.024000000000001</v>
      </c>
    </row>
    <row r="20" spans="1:49" x14ac:dyDescent="0.25">
      <c r="A20" s="23">
        <v>43875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 t="str">
        <f t="shared" si="16"/>
        <v>0</v>
      </c>
      <c r="R20" s="37" t="str">
        <f t="shared" si="17"/>
        <v>0</v>
      </c>
      <c r="S20" s="37" t="str">
        <f t="shared" si="15"/>
        <v>0</v>
      </c>
      <c r="T20" s="37" t="str">
        <f t="shared" si="18"/>
        <v>0</v>
      </c>
      <c r="U20" s="37" t="str">
        <f t="shared" si="19"/>
        <v>0</v>
      </c>
      <c r="V20" s="37" t="str">
        <f t="shared" si="20"/>
        <v>0</v>
      </c>
      <c r="W20" s="37" t="str">
        <f t="shared" si="21"/>
        <v>0</v>
      </c>
      <c r="X20" s="37" t="str">
        <f t="shared" si="22"/>
        <v>0</v>
      </c>
      <c r="Y20" s="37" t="str">
        <f t="shared" si="23"/>
        <v>0</v>
      </c>
      <c r="Z20" s="37" t="str">
        <f t="shared" si="24"/>
        <v>0</v>
      </c>
      <c r="AA20" s="37" t="str">
        <f t="shared" si="25"/>
        <v>0</v>
      </c>
      <c r="AB20" s="37" t="str">
        <f t="shared" si="26"/>
        <v>0</v>
      </c>
      <c r="AC20" s="37" t="str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 t="str">
        <f t="shared" si="31"/>
        <v>0</v>
      </c>
      <c r="AW20" s="35">
        <f t="shared" si="30"/>
        <v>0</v>
      </c>
    </row>
    <row r="21" spans="1:49" x14ac:dyDescent="0.25">
      <c r="A21" s="23">
        <v>43876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43877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43878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43879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43880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si="16"/>
        <v>0</v>
      </c>
      <c r="R25" s="37">
        <f t="shared" si="17"/>
        <v>0</v>
      </c>
      <c r="S25" s="37">
        <f t="shared" ref="S25:AC27" si="33">IF((E25-E24&lt;0), "0",E25-E24)</f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43881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16"/>
        <v>0</v>
      </c>
      <c r="R26" s="37">
        <f t="shared" si="17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43882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16"/>
        <v>0</v>
      </c>
      <c r="R27" s="37">
        <f t="shared" si="17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43883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43884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43885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43886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43887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43888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43889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4">
        <f>SUM(Q34:AC34)</f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43890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ht="15.75" customHeight="1" x14ac:dyDescent="0.25">
      <c r="A36" s="20"/>
      <c r="B36" s="43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Q36" s="38">
        <f>SUM(Q7:Q35)</f>
        <v>6960</v>
      </c>
      <c r="R36" s="38">
        <f>SUM(R7:R35)</f>
        <v>114740</v>
      </c>
      <c r="S36" s="38">
        <f>SUM(S7:S35)</f>
        <v>3460</v>
      </c>
      <c r="T36" s="38">
        <f>SUM(T7:T35)</f>
        <v>18310</v>
      </c>
      <c r="U36" s="38">
        <f>SUM(U7:U35)</f>
        <v>89480</v>
      </c>
      <c r="V36" s="30">
        <f>SUM(V3:V7)</f>
        <v>8487680</v>
      </c>
      <c r="W36" s="38">
        <f t="shared" ref="W36:AD36" si="35">SUM(W7:W35)</f>
        <v>42550</v>
      </c>
      <c r="X36" s="38">
        <f t="shared" si="35"/>
        <v>61480</v>
      </c>
      <c r="Y36" s="38">
        <f t="shared" si="35"/>
        <v>73770</v>
      </c>
      <c r="Z36" s="38">
        <f t="shared" si="35"/>
        <v>38640</v>
      </c>
      <c r="AA36" s="38">
        <f t="shared" si="35"/>
        <v>48180</v>
      </c>
      <c r="AB36" s="38">
        <f t="shared" si="35"/>
        <v>90970</v>
      </c>
      <c r="AC36" s="38">
        <f t="shared" si="35"/>
        <v>209590</v>
      </c>
      <c r="AD36" s="34">
        <f t="shared" si="35"/>
        <v>855070</v>
      </c>
      <c r="AF36" s="35">
        <f t="shared" ref="AF36:AS36" si="36">SUM(AF7:AF35)</f>
        <v>34.800000000000004</v>
      </c>
      <c r="AG36" s="35">
        <f t="shared" si="36"/>
        <v>573.69999999999993</v>
      </c>
      <c r="AH36" s="35">
        <f t="shared" si="36"/>
        <v>17.3</v>
      </c>
      <c r="AI36" s="35">
        <f t="shared" si="36"/>
        <v>91.55</v>
      </c>
      <c r="AJ36" s="35">
        <f t="shared" si="36"/>
        <v>447.4</v>
      </c>
      <c r="AK36" s="35">
        <f t="shared" si="36"/>
        <v>284.7</v>
      </c>
      <c r="AL36" s="35">
        <f t="shared" si="36"/>
        <v>212.75</v>
      </c>
      <c r="AM36" s="35">
        <f t="shared" si="36"/>
        <v>307.40000000000003</v>
      </c>
      <c r="AN36" s="35">
        <f t="shared" si="36"/>
        <v>368.85</v>
      </c>
      <c r="AO36" s="35">
        <f t="shared" si="36"/>
        <v>193.2</v>
      </c>
      <c r="AP36" s="35">
        <f t="shared" si="36"/>
        <v>240.90000000000003</v>
      </c>
      <c r="AQ36" s="35">
        <f t="shared" si="36"/>
        <v>454.85</v>
      </c>
      <c r="AR36" s="35">
        <f t="shared" si="36"/>
        <v>1047.95</v>
      </c>
      <c r="AS36" s="35">
        <f t="shared" si="36"/>
        <v>4275.3500000000004</v>
      </c>
      <c r="AU36" s="48"/>
      <c r="AV36" s="34">
        <f>SUM(AV7:AV35)</f>
        <v>41244</v>
      </c>
      <c r="AW36" s="34">
        <f>SUM(AW7:AW35)</f>
        <v>76.522000000000006</v>
      </c>
    </row>
    <row r="37" spans="1:49" x14ac:dyDescent="0.25">
      <c r="D37">
        <v>5.0000000000000001E-3</v>
      </c>
      <c r="AV37" s="36">
        <f>AV36*0.00378541*1000</f>
        <v>156125.45004</v>
      </c>
    </row>
    <row r="38" spans="1:49" x14ac:dyDescent="0.25">
      <c r="D38">
        <v>2E-3</v>
      </c>
      <c r="AV38">
        <f>AV37/31</f>
        <v>5036.3048399999998</v>
      </c>
    </row>
    <row r="39" spans="1:49" x14ac:dyDescent="0.25">
      <c r="AV39">
        <f>AV36*0.00378541</f>
        <v>156.12545004</v>
      </c>
    </row>
    <row r="42" spans="1:49" x14ac:dyDescent="0.25">
      <c r="AU42" s="46">
        <f>0.002</f>
        <v>2E-3</v>
      </c>
      <c r="AV42">
        <v>3.7854099999999999E-3</v>
      </c>
    </row>
    <row r="43" spans="1:49" x14ac:dyDescent="0.25">
      <c r="AV43">
        <f>AU42/AV42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2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2020-02-14T20:09:22Z</dcterms:modified>
</cp:coreProperties>
</file>