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370" windowHeight="0" tabRatio="598" activeTab="6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U34" i="4" l="1"/>
  <c r="B34" i="4"/>
  <c r="Q5" i="1" l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I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5" i="4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5" i="4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5" i="4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5" i="4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5" i="4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5" i="4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5" i="4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J4" i="2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T5" i="2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B5" i="1" l="1"/>
  <c r="C4" i="1"/>
  <c r="H5" i="1"/>
  <c r="N94" i="10"/>
  <c r="I5" i="1" l="1"/>
  <c r="H6" i="1"/>
  <c r="B6" i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B7" i="1"/>
  <c r="C6" i="1"/>
  <c r="I6" i="1"/>
  <c r="H7" i="1"/>
  <c r="D31" i="4"/>
  <c r="C32" i="5"/>
  <c r="C31" i="5"/>
  <c r="I7" i="1" l="1"/>
  <c r="H8" i="1"/>
  <c r="B8" i="1"/>
  <c r="C7" i="1"/>
  <c r="J32" i="11"/>
  <c r="J11" i="11"/>
  <c r="K11" i="11" s="1"/>
  <c r="I3" i="11"/>
  <c r="I4" i="11"/>
  <c r="I6" i="11"/>
  <c r="I7" i="11"/>
  <c r="I8" i="11"/>
  <c r="I9" i="11"/>
  <c r="I10" i="11"/>
  <c r="I12" i="11"/>
  <c r="B9" i="1" l="1"/>
  <c r="C8" i="1"/>
  <c r="H9" i="1"/>
  <c r="I8" i="1"/>
  <c r="G25" i="3"/>
  <c r="H10" i="1" l="1"/>
  <c r="I9" i="1"/>
  <c r="B10" i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2" i="2" s="1"/>
  <c r="R23" i="2" s="1"/>
  <c r="R24" i="2" s="1"/>
  <c r="R25" i="2" s="1"/>
  <c r="R26" i="2" s="1"/>
  <c r="R29" i="2" s="1"/>
  <c r="R31" i="2" s="1"/>
  <c r="R33" i="2" s="1"/>
  <c r="H33" i="3"/>
  <c r="G33" i="3"/>
  <c r="D33" i="3"/>
  <c r="B33" i="3"/>
  <c r="R33" i="4"/>
  <c r="T34" i="4"/>
  <c r="P33" i="4"/>
  <c r="N33" i="4"/>
  <c r="L33" i="4"/>
  <c r="G33" i="4"/>
  <c r="E33" i="4"/>
  <c r="Z2" i="4"/>
  <c r="I2" i="4"/>
  <c r="Q33" i="1"/>
  <c r="R33" i="1" s="1"/>
  <c r="S33" i="1" s="1"/>
  <c r="N33" i="1"/>
  <c r="O33" i="1" s="1"/>
  <c r="K33" i="1"/>
  <c r="L33" i="1" s="1"/>
  <c r="M33" i="1" s="1"/>
  <c r="E33" i="1"/>
  <c r="F33" i="1" s="1"/>
  <c r="D2" i="1"/>
  <c r="S2" i="1"/>
  <c r="P2" i="1"/>
  <c r="M2" i="1"/>
  <c r="J2" i="1"/>
  <c r="G2" i="1"/>
  <c r="H11" i="1" l="1"/>
  <c r="I10" i="1"/>
  <c r="B11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Y2" i="4"/>
  <c r="U2" i="1"/>
  <c r="AC30" i="8" l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11" i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I11" i="1"/>
  <c r="I33" i="4"/>
  <c r="AA30" i="8"/>
  <c r="J33" i="3"/>
  <c r="K33" i="3" s="1"/>
  <c r="K5" i="11"/>
  <c r="AA31" i="8"/>
  <c r="AC31" i="8"/>
  <c r="I32" i="4"/>
  <c r="P31" i="1"/>
  <c r="M31" i="1"/>
  <c r="G31" i="9"/>
  <c r="B33" i="5"/>
  <c r="C33" i="5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D28" i="4"/>
  <c r="H32" i="1" l="1"/>
  <c r="I31" i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V33" i="4"/>
  <c r="W32" i="4"/>
  <c r="C33" i="4"/>
  <c r="D32" i="4"/>
  <c r="W25" i="4"/>
  <c r="F25" i="4"/>
  <c r="T30" i="8" l="1"/>
  <c r="J31" i="1"/>
  <c r="H33" i="1"/>
  <c r="I33" i="1" s="1"/>
  <c r="I32" i="1"/>
  <c r="D33" i="4"/>
  <c r="J26" i="1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D15" i="4"/>
  <c r="W14" i="4"/>
  <c r="S14" i="4"/>
  <c r="Q14" i="4"/>
  <c r="O14" i="4"/>
  <c r="M14" i="4"/>
  <c r="K14" i="4"/>
  <c r="H14" i="4"/>
  <c r="F14" i="4"/>
  <c r="D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8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D8" i="1"/>
  <c r="R8" i="8"/>
  <c r="D10" i="1"/>
  <c r="G2" i="9"/>
  <c r="AB2" i="8"/>
  <c r="AC2" i="8"/>
  <c r="S18" i="2"/>
  <c r="S19" i="2"/>
  <c r="D8" i="4"/>
  <c r="Q7" i="8" s="1"/>
  <c r="K8" i="2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K26" i="11" s="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S4" i="1" s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I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J8" i="1"/>
  <c r="O7" i="1"/>
  <c r="U6" i="8" s="1"/>
  <c r="O6" i="1"/>
  <c r="S8" i="2"/>
  <c r="D7" i="4"/>
  <c r="Q6" i="8" s="1"/>
  <c r="J6" i="8"/>
  <c r="K8" i="4"/>
  <c r="K7" i="8" s="1"/>
  <c r="O8" i="4"/>
  <c r="M7" i="8" s="1"/>
  <c r="O9" i="1"/>
  <c r="P9" i="1" s="1"/>
  <c r="O8" i="1"/>
  <c r="U7" i="8" s="1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H8" i="4"/>
  <c r="L8" i="1"/>
  <c r="G8" i="9"/>
  <c r="G7" i="9"/>
  <c r="W8" i="4"/>
  <c r="P7" i="8" s="1"/>
  <c r="R7" i="1"/>
  <c r="R8" i="1"/>
  <c r="S8" i="1" s="1"/>
  <c r="W9" i="4"/>
  <c r="S8" i="4"/>
  <c r="O7" i="8" s="1"/>
  <c r="Q8" i="4"/>
  <c r="M8" i="4"/>
  <c r="L7" i="8" s="1"/>
  <c r="S9" i="4"/>
  <c r="O8" i="8" s="1"/>
  <c r="M9" i="4"/>
  <c r="L8" i="8" s="1"/>
  <c r="K9" i="4"/>
  <c r="K8" i="8" s="1"/>
  <c r="F8" i="1"/>
  <c r="G8" i="1" s="1"/>
  <c r="F9" i="4"/>
  <c r="I8" i="8" s="1"/>
  <c r="F8" i="4"/>
  <c r="I7" i="8" s="1"/>
  <c r="R9" i="1"/>
  <c r="Q8" i="2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K29" i="11"/>
  <c r="C14" i="11" s="1"/>
  <c r="O4" i="1"/>
  <c r="O5" i="1"/>
  <c r="P5" i="1" s="1"/>
  <c r="C4" i="2"/>
  <c r="I5" i="2"/>
  <c r="I4" i="2"/>
  <c r="K28" i="2"/>
  <c r="C8" i="2"/>
  <c r="E8" i="2"/>
  <c r="G8" i="2"/>
  <c r="I8" i="2"/>
  <c r="M8" i="2"/>
  <c r="O8" i="2"/>
  <c r="AB7" i="8" s="1"/>
  <c r="C5" i="2"/>
  <c r="E6" i="3"/>
  <c r="E7" i="3"/>
  <c r="F6" i="8" s="1"/>
  <c r="G6" i="3"/>
  <c r="E8" i="3"/>
  <c r="F7" i="8" s="1"/>
  <c r="U6" i="2"/>
  <c r="U7" i="2"/>
  <c r="U9" i="2"/>
  <c r="C9" i="2"/>
  <c r="M10" i="2"/>
  <c r="M9" i="2"/>
  <c r="E9" i="3"/>
  <c r="F8" i="8" s="1"/>
  <c r="I7" i="3"/>
  <c r="H6" i="8" s="1"/>
  <c r="G9" i="3"/>
  <c r="G8" i="8" s="1"/>
  <c r="G8" i="3"/>
  <c r="G7" i="8" s="1"/>
  <c r="G7" i="3"/>
  <c r="G6" i="8" s="1"/>
  <c r="E5" i="8"/>
  <c r="I8" i="3"/>
  <c r="H7" i="8" s="1"/>
  <c r="E6" i="8"/>
  <c r="E7" i="8"/>
  <c r="C10" i="3"/>
  <c r="E9" i="8" s="1"/>
  <c r="C11" i="3"/>
  <c r="E10" i="8" s="1"/>
  <c r="C9" i="3"/>
  <c r="E11" i="3"/>
  <c r="U8" i="2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Q13" i="8"/>
  <c r="K14" i="8"/>
  <c r="Q14" i="8"/>
  <c r="D16" i="4"/>
  <c r="Q15" i="8" s="1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D17" i="4"/>
  <c r="Q16" i="8" s="1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D20" i="4"/>
  <c r="Q19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D29" i="4"/>
  <c r="Q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D30" i="4"/>
  <c r="Q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D21" i="4"/>
  <c r="Q20" i="8" s="1"/>
  <c r="D22" i="4"/>
  <c r="Q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D23" i="4"/>
  <c r="Q22" i="8" s="1"/>
  <c r="O25" i="2"/>
  <c r="AB24" i="8" s="1"/>
  <c r="O24" i="2"/>
  <c r="AB23" i="8" s="1"/>
  <c r="M25" i="2"/>
  <c r="I25" i="2"/>
  <c r="I26" i="2"/>
  <c r="D24" i="4"/>
  <c r="Q23" i="8" s="1"/>
  <c r="D25" i="4"/>
  <c r="Q24" i="8" s="1"/>
  <c r="D26" i="4"/>
  <c r="Q25" i="8" s="1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D27" i="4"/>
  <c r="Q26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Q27" i="8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V3" i="8" l="1"/>
  <c r="U3" i="8"/>
  <c r="M3" i="8"/>
  <c r="L3" i="8"/>
  <c r="K3" i="8"/>
  <c r="N3" i="8"/>
  <c r="J3" i="8"/>
  <c r="P3" i="8"/>
  <c r="Q3" i="8"/>
  <c r="O3" i="8"/>
  <c r="H3" i="8"/>
  <c r="I34" i="3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P8" i="1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U5" i="1" s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8" i="4"/>
  <c r="Z22" i="4"/>
  <c r="X22" i="4"/>
  <c r="X10" i="4"/>
  <c r="I10" i="4"/>
  <c r="I8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D11" i="4"/>
  <c r="Q10" i="8" s="1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D19" i="4"/>
  <c r="Q18" i="8" s="1"/>
  <c r="D18" i="4"/>
  <c r="Q17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H4" i="8"/>
  <c r="AD4" i="8" s="1"/>
  <c r="AE4" i="8" s="1"/>
  <c r="J5" i="3"/>
  <c r="K5" i="3" s="1"/>
  <c r="J5" i="8"/>
  <c r="I6" i="4"/>
  <c r="K9" i="2"/>
  <c r="Z2" i="8"/>
  <c r="G21" i="1"/>
  <c r="J10" i="8"/>
  <c r="W2" i="8"/>
  <c r="N7" i="8"/>
  <c r="X8" i="4"/>
  <c r="S7" i="1"/>
  <c r="W6" i="8"/>
  <c r="M8" i="1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J4" i="3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T8" i="1"/>
  <c r="U8" i="1" s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8" i="3"/>
  <c r="K8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C5" i="11"/>
  <c r="D5" i="11" s="1"/>
  <c r="C6" i="11"/>
  <c r="D6" i="11" s="1"/>
  <c r="W34" i="4" l="1"/>
  <c r="I34" i="1"/>
  <c r="Y7" i="4"/>
  <c r="F34" i="1"/>
  <c r="G34" i="3"/>
  <c r="O34" i="1"/>
  <c r="M34" i="4"/>
  <c r="Y3" i="8"/>
  <c r="E3" i="9" s="1"/>
  <c r="Q34" i="4"/>
  <c r="E34" i="3"/>
  <c r="K4" i="3"/>
  <c r="O34" i="2"/>
  <c r="U6" i="1"/>
  <c r="K6" i="3"/>
  <c r="C28" i="1"/>
  <c r="Y5" i="4"/>
  <c r="Y4" i="4"/>
  <c r="S12" i="8"/>
  <c r="Y16" i="4"/>
  <c r="H17" i="4"/>
  <c r="J15" i="8"/>
  <c r="Y15" i="8" s="1"/>
  <c r="E15" i="9" s="1"/>
  <c r="Z12" i="4"/>
  <c r="J17" i="3"/>
  <c r="K17" i="3" s="1"/>
  <c r="Y9" i="4"/>
  <c r="Y8" i="4"/>
  <c r="Y6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C7" i="11"/>
  <c r="D7" i="11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34" i="2" s="1"/>
  <c r="I13" i="2"/>
  <c r="D12" i="4"/>
  <c r="D13" i="4"/>
  <c r="Q12" i="8" s="1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8" i="4"/>
  <c r="AA7" i="4"/>
  <c r="Y7" i="8"/>
  <c r="E7" i="9" s="1"/>
  <c r="G11" i="2"/>
  <c r="Y14" i="8"/>
  <c r="E14" i="9" s="1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K34" i="4" l="1"/>
  <c r="D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E16" i="9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J34" i="3" s="1"/>
  <c r="K19" i="2"/>
  <c r="AA18" i="8" s="1"/>
  <c r="AD18" i="8"/>
  <c r="AE18" i="8" s="1"/>
  <c r="Q11" i="8"/>
  <c r="Y11" i="4"/>
  <c r="G12" i="2"/>
  <c r="G34" i="2" s="1"/>
  <c r="G13" i="2"/>
  <c r="Z12" i="8" s="1"/>
  <c r="AA12" i="4"/>
  <c r="K18" i="8"/>
  <c r="X19" i="4"/>
  <c r="M17" i="8"/>
  <c r="Z19" i="4"/>
  <c r="Y13" i="4"/>
  <c r="Y10" i="8"/>
  <c r="V18" i="8"/>
  <c r="M19" i="1"/>
  <c r="M18" i="1"/>
  <c r="M34" i="1" s="1"/>
  <c r="V17" i="8"/>
  <c r="Z34" i="4" l="1"/>
  <c r="C30" i="1"/>
  <c r="R29" i="8" s="1"/>
  <c r="J17" i="8"/>
  <c r="Y17" i="8" s="1"/>
  <c r="E17" i="9" s="1"/>
  <c r="I18" i="4"/>
  <c r="Y18" i="4" s="1"/>
  <c r="H19" i="4"/>
  <c r="K12" i="2"/>
  <c r="AA11" i="8" s="1"/>
  <c r="Z11" i="8"/>
  <c r="AA22" i="4"/>
  <c r="AA19" i="4"/>
  <c r="AA21" i="4"/>
  <c r="K18" i="3"/>
  <c r="K34" i="3" s="1"/>
  <c r="AA20" i="4"/>
  <c r="K21" i="2"/>
  <c r="AA20" i="8" s="1"/>
  <c r="AA10" i="8"/>
  <c r="E10" i="9" s="1"/>
  <c r="X34" i="4"/>
  <c r="AA34" i="4" l="1"/>
  <c r="D30" i="1"/>
  <c r="T30" i="1"/>
  <c r="U30" i="1" s="1"/>
  <c r="C31" i="1"/>
  <c r="E11" i="9"/>
  <c r="J18" i="8"/>
  <c r="Y18" i="8" s="1"/>
  <c r="E18" i="9" s="1"/>
  <c r="I19" i="4"/>
  <c r="Y19" i="4" s="1"/>
  <c r="H20" i="4"/>
  <c r="K22" i="2"/>
  <c r="AA21" i="8" s="1"/>
  <c r="K23" i="2"/>
  <c r="AA13" i="8"/>
  <c r="E13" i="9" s="1"/>
  <c r="K13" i="2"/>
  <c r="AA22" i="8" l="1"/>
  <c r="K34" i="2"/>
  <c r="R30" i="8"/>
  <c r="T31" i="1"/>
  <c r="U31" i="1" s="1"/>
  <c r="D31" i="1"/>
  <c r="B33" i="1"/>
  <c r="C33" i="1" s="1"/>
  <c r="C32" i="1"/>
  <c r="J19" i="8"/>
  <c r="Y19" i="8" s="1"/>
  <c r="E19" i="9" s="1"/>
  <c r="I20" i="4"/>
  <c r="Y20" i="4" s="1"/>
  <c r="H21" i="4"/>
  <c r="AA12" i="8"/>
  <c r="E12" i="9" s="1"/>
  <c r="D33" i="1" l="1"/>
  <c r="T33" i="1"/>
  <c r="U33" i="1" s="1"/>
  <c r="D32" i="1"/>
  <c r="R31" i="8"/>
  <c r="T32" i="1"/>
  <c r="U32" i="1" s="1"/>
  <c r="I21" i="4"/>
  <c r="Y21" i="4" s="1"/>
  <c r="J20" i="8"/>
  <c r="Y20" i="8" s="1"/>
  <c r="E20" i="9" s="1"/>
  <c r="H22" i="4"/>
  <c r="I22" i="4" l="1"/>
  <c r="Y22" i="4" s="1"/>
  <c r="J21" i="8"/>
  <c r="Y21" i="8" s="1"/>
  <c r="E21" i="9" s="1"/>
  <c r="H24" i="4" l="1"/>
  <c r="I23" i="4"/>
  <c r="Y23" i="4" s="1"/>
  <c r="J22" i="8"/>
  <c r="Y22" i="8" s="1"/>
  <c r="E22" i="9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E23" i="9" s="1"/>
  <c r="I25" i="4"/>
  <c r="Y25" i="4" s="1"/>
  <c r="I24" i="8"/>
  <c r="Y24" i="8" s="1"/>
  <c r="E24" i="9" s="1"/>
  <c r="F27" i="4"/>
  <c r="I24" i="4"/>
  <c r="Y24" i="4" s="1"/>
  <c r="F26" i="4"/>
  <c r="I27" i="4" l="1"/>
  <c r="Y27" i="4" s="1"/>
  <c r="I26" i="8"/>
  <c r="Y26" i="8" s="1"/>
  <c r="E26" i="9" s="1"/>
  <c r="I26" i="4"/>
  <c r="Y26" i="4" s="1"/>
  <c r="I25" i="8"/>
  <c r="Y25" i="8" s="1"/>
  <c r="E25" i="9" s="1"/>
  <c r="F28" i="4"/>
  <c r="F29" i="4" l="1"/>
  <c r="F31" i="4"/>
  <c r="I28" i="4"/>
  <c r="Y28" i="4" s="1"/>
  <c r="I27" i="8"/>
  <c r="Y27" i="8" s="1"/>
  <c r="E27" i="9" s="1"/>
  <c r="F30" i="4" l="1"/>
  <c r="F34" i="4" s="1"/>
  <c r="I28" i="8"/>
  <c r="Y28" i="8" s="1"/>
  <c r="E28" i="9" s="1"/>
  <c r="I29" i="4"/>
  <c r="Y29" i="4" s="1"/>
  <c r="I29" i="8" l="1"/>
  <c r="Y29" i="8" s="1"/>
  <c r="E29" i="9" s="1"/>
  <c r="I30" i="4"/>
  <c r="Y30" i="4" s="1"/>
  <c r="I31" i="4" l="1"/>
  <c r="Y31" i="4" l="1"/>
  <c r="Y34" i="4" s="1"/>
  <c r="I34" i="4"/>
</calcChain>
</file>

<file path=xl/sharedStrings.xml><?xml version="1.0" encoding="utf-8"?>
<sst xmlns="http://schemas.openxmlformats.org/spreadsheetml/2006/main" count="447" uniqueCount="144">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</sst>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4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51030.146099999998</v>
      </c>
      <c r="F2" s="15">
        <v>0</v>
      </c>
      <c r="G2" s="47">
        <f>Gas!C3*0.9147</f>
        <v>1723.2947999999999</v>
      </c>
      <c r="H2" s="15">
        <v>0</v>
      </c>
      <c r="I2" s="47">
        <v>0</v>
      </c>
      <c r="J2" s="48">
        <v>0</v>
      </c>
      <c r="K2" s="47">
        <f>ELECT.!B3</f>
        <v>160</v>
      </c>
    </row>
    <row r="3" spans="1:14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33768.836572</v>
      </c>
      <c r="F3" s="15">
        <v>0</v>
      </c>
      <c r="G3" s="47">
        <f>Gas!C4*0.9147</f>
        <v>2328.8262</v>
      </c>
      <c r="H3" s="15">
        <v>0</v>
      </c>
      <c r="I3" s="47">
        <v>0</v>
      </c>
      <c r="J3" s="48">
        <v>0</v>
      </c>
      <c r="K3" s="47">
        <f>ELECT.!B4</f>
        <v>182</v>
      </c>
    </row>
    <row r="4" spans="1:14" x14ac:dyDescent="0.2">
      <c r="A4" s="58" t="s">
        <v>54</v>
      </c>
      <c r="B4" s="63">
        <f t="shared" ref="B4:B31" si="0">B3+1</f>
        <v>3</v>
      </c>
      <c r="C4" s="63">
        <v>4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5">
        <v>0</v>
      </c>
      <c r="G4" s="47">
        <f>Gas!C5*0.9147</f>
        <v>0</v>
      </c>
      <c r="H4" s="15">
        <v>0</v>
      </c>
      <c r="I4" s="47">
        <v>0</v>
      </c>
      <c r="J4" s="48">
        <v>0</v>
      </c>
      <c r="K4" s="47">
        <f>ELECT.!B5</f>
        <v>0</v>
      </c>
    </row>
    <row r="5" spans="1:14" x14ac:dyDescent="0.2">
      <c r="A5" s="58" t="s">
        <v>54</v>
      </c>
      <c r="B5" s="63">
        <f t="shared" si="0"/>
        <v>4</v>
      </c>
      <c r="C5" s="63">
        <v>4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5">
        <v>0</v>
      </c>
      <c r="G5" s="47">
        <f>Gas!C6*0.9147</f>
        <v>0</v>
      </c>
      <c r="H5" s="15">
        <v>0</v>
      </c>
      <c r="I5" s="47">
        <v>0</v>
      </c>
      <c r="J5" s="48">
        <v>0</v>
      </c>
      <c r="K5" s="47">
        <f>ELECT.!B6</f>
        <v>0</v>
      </c>
    </row>
    <row r="6" spans="1:14" x14ac:dyDescent="0.2">
      <c r="A6" s="58" t="s">
        <v>54</v>
      </c>
      <c r="B6" s="63">
        <f t="shared" si="0"/>
        <v>5</v>
      </c>
      <c r="C6" s="63">
        <v>4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5">
        <v>0</v>
      </c>
      <c r="G6" s="47">
        <f>Gas!C7*0.9147</f>
        <v>0</v>
      </c>
      <c r="H6" s="15">
        <v>0</v>
      </c>
      <c r="I6" s="47">
        <v>0</v>
      </c>
      <c r="J6" s="48">
        <v>0</v>
      </c>
      <c r="K6" s="47">
        <f>ELECT.!B7</f>
        <v>0</v>
      </c>
    </row>
    <row r="7" spans="1:14" x14ac:dyDescent="0.2">
      <c r="A7" s="58" t="s">
        <v>54</v>
      </c>
      <c r="B7" s="63">
        <f t="shared" si="0"/>
        <v>6</v>
      </c>
      <c r="C7" s="63">
        <v>4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5">
        <v>0</v>
      </c>
      <c r="G7" s="47">
        <f>Gas!C8*0.9147</f>
        <v>0</v>
      </c>
      <c r="H7" s="15">
        <v>0</v>
      </c>
      <c r="I7" s="47">
        <v>0</v>
      </c>
      <c r="J7" s="48">
        <v>0</v>
      </c>
      <c r="K7" s="47">
        <f>ELECT.!B8</f>
        <v>0</v>
      </c>
    </row>
    <row r="8" spans="1:14" x14ac:dyDescent="0.2">
      <c r="A8" s="58" t="s">
        <v>54</v>
      </c>
      <c r="B8" s="63">
        <f t="shared" si="0"/>
        <v>7</v>
      </c>
      <c r="C8" s="63">
        <v>4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5">
        <v>0</v>
      </c>
      <c r="G8" s="47">
        <f>Gas!C9*0.9147</f>
        <v>0</v>
      </c>
      <c r="H8" s="15">
        <v>0</v>
      </c>
      <c r="I8" s="47">
        <v>0</v>
      </c>
      <c r="J8" s="48">
        <v>0</v>
      </c>
      <c r="K8" s="47">
        <f>ELECT.!B9</f>
        <v>0</v>
      </c>
    </row>
    <row r="9" spans="1:14" x14ac:dyDescent="0.2">
      <c r="A9" s="58" t="s">
        <v>54</v>
      </c>
      <c r="B9" s="63">
        <f t="shared" si="0"/>
        <v>8</v>
      </c>
      <c r="C9" s="63">
        <v>4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5">
        <v>0</v>
      </c>
      <c r="G9" s="47">
        <f>Gas!C10*0.9147</f>
        <v>0</v>
      </c>
      <c r="H9" s="15">
        <v>0</v>
      </c>
      <c r="I9" s="47">
        <v>0</v>
      </c>
      <c r="J9" s="48">
        <v>0</v>
      </c>
      <c r="K9" s="47">
        <f>ELECT.!B10</f>
        <v>0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4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5">
        <v>0</v>
      </c>
      <c r="G10" s="47">
        <f>Gas!C11*0.9147</f>
        <v>0</v>
      </c>
      <c r="H10" s="15">
        <v>0</v>
      </c>
      <c r="I10" s="47">
        <v>0</v>
      </c>
      <c r="J10" s="48">
        <v>0</v>
      </c>
      <c r="K10" s="47">
        <f>ELECT.!B11</f>
        <v>0</v>
      </c>
    </row>
    <row r="11" spans="1:14" x14ac:dyDescent="0.2">
      <c r="A11" s="58" t="s">
        <v>54</v>
      </c>
      <c r="B11" s="63">
        <f t="shared" si="0"/>
        <v>10</v>
      </c>
      <c r="C11" s="63">
        <v>4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5">
        <v>0</v>
      </c>
      <c r="G11" s="47">
        <f>Gas!C12*0.9147</f>
        <v>0</v>
      </c>
      <c r="H11" s="15">
        <v>0</v>
      </c>
      <c r="I11" s="47">
        <v>0</v>
      </c>
      <c r="J11" s="48">
        <v>0</v>
      </c>
      <c r="K11" s="47">
        <f>ELECT.!B12</f>
        <v>0</v>
      </c>
    </row>
    <row r="12" spans="1:14" x14ac:dyDescent="0.2">
      <c r="A12" s="58" t="s">
        <v>54</v>
      </c>
      <c r="B12" s="63">
        <f t="shared" si="0"/>
        <v>11</v>
      </c>
      <c r="C12" s="63">
        <v>4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5">
        <v>0</v>
      </c>
      <c r="G12" s="47">
        <f>Gas!C13*0.9147</f>
        <v>0</v>
      </c>
      <c r="H12" s="15">
        <v>0</v>
      </c>
      <c r="I12" s="47">
        <v>0</v>
      </c>
      <c r="J12" s="48">
        <v>0</v>
      </c>
      <c r="K12" s="47">
        <f>ELECT.!B13</f>
        <v>0</v>
      </c>
    </row>
    <row r="13" spans="1:14" x14ac:dyDescent="0.2">
      <c r="A13" s="58" t="s">
        <v>54</v>
      </c>
      <c r="B13" s="63">
        <f t="shared" si="0"/>
        <v>12</v>
      </c>
      <c r="C13" s="63">
        <v>4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5">
        <v>0</v>
      </c>
      <c r="G13" s="47">
        <f>Gas!C14*0.9147</f>
        <v>0</v>
      </c>
      <c r="H13" s="15">
        <v>0</v>
      </c>
      <c r="I13" s="47">
        <v>0</v>
      </c>
      <c r="J13" s="48">
        <v>0</v>
      </c>
      <c r="K13" s="47">
        <f>ELECT.!B14</f>
        <v>0</v>
      </c>
    </row>
    <row r="14" spans="1:14" x14ac:dyDescent="0.2">
      <c r="A14" s="58" t="s">
        <v>54</v>
      </c>
      <c r="B14" s="63">
        <f t="shared" si="0"/>
        <v>13</v>
      </c>
      <c r="C14" s="63">
        <v>4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5">
        <v>0</v>
      </c>
      <c r="G14" s="47">
        <f>Gas!C15*0.9147</f>
        <v>0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54</v>
      </c>
      <c r="B15" s="63">
        <f t="shared" si="0"/>
        <v>14</v>
      </c>
      <c r="C15" s="63">
        <v>4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5">
        <v>0</v>
      </c>
      <c r="G15" s="47">
        <f>Gas!C16*0.9147</f>
        <v>0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54</v>
      </c>
      <c r="B16" s="63">
        <f t="shared" si="0"/>
        <v>15</v>
      </c>
      <c r="C16" s="63">
        <v>4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5">
        <v>0</v>
      </c>
      <c r="G16" s="47">
        <f>Gas!C17*0.9147</f>
        <v>0</v>
      </c>
      <c r="H16" s="15">
        <v>0</v>
      </c>
      <c r="I16" s="47">
        <v>0</v>
      </c>
      <c r="J16" s="48">
        <v>0</v>
      </c>
      <c r="K16" s="47">
        <f>ELECT.!B17</f>
        <v>0</v>
      </c>
    </row>
    <row r="17" spans="1:13" x14ac:dyDescent="0.2">
      <c r="A17" s="58" t="s">
        <v>54</v>
      </c>
      <c r="B17" s="63">
        <f t="shared" si="0"/>
        <v>16</v>
      </c>
      <c r="C17" s="63">
        <v>4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5">
        <v>0</v>
      </c>
      <c r="G17" s="47">
        <f>Gas!C18*0.9147</f>
        <v>0</v>
      </c>
      <c r="H17" s="15">
        <v>0</v>
      </c>
      <c r="I17" s="47">
        <v>0</v>
      </c>
      <c r="J17" s="48">
        <v>0</v>
      </c>
      <c r="K17" s="47">
        <f>ELECT.!B18</f>
        <v>0</v>
      </c>
    </row>
    <row r="18" spans="1:13" x14ac:dyDescent="0.2">
      <c r="A18" s="58" t="s">
        <v>54</v>
      </c>
      <c r="B18" s="63">
        <f t="shared" si="0"/>
        <v>17</v>
      </c>
      <c r="C18" s="63">
        <v>4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5">
        <v>0</v>
      </c>
      <c r="G18" s="47">
        <f>Gas!C19*0.9147</f>
        <v>0</v>
      </c>
      <c r="H18" s="15">
        <v>0</v>
      </c>
      <c r="I18" s="47">
        <v>0</v>
      </c>
      <c r="J18" s="48">
        <v>0</v>
      </c>
      <c r="K18" s="47">
        <f>ELECT.!B19</f>
        <v>0</v>
      </c>
    </row>
    <row r="19" spans="1:13" x14ac:dyDescent="0.2">
      <c r="A19" s="58" t="s">
        <v>54</v>
      </c>
      <c r="B19" s="63">
        <f t="shared" si="0"/>
        <v>18</v>
      </c>
      <c r="C19" s="63">
        <v>4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5">
        <v>0</v>
      </c>
      <c r="G19" s="47">
        <f>Gas!C20*0.9147</f>
        <v>0</v>
      </c>
      <c r="H19" s="15">
        <v>0</v>
      </c>
      <c r="I19" s="47">
        <v>0</v>
      </c>
      <c r="J19" s="48">
        <v>0</v>
      </c>
      <c r="K19" s="47">
        <f>ELECT.!B20</f>
        <v>0</v>
      </c>
    </row>
    <row r="20" spans="1:13" x14ac:dyDescent="0.2">
      <c r="A20" s="58" t="s">
        <v>54</v>
      </c>
      <c r="B20" s="63">
        <f t="shared" si="0"/>
        <v>19</v>
      </c>
      <c r="C20" s="63">
        <v>4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5">
        <v>0</v>
      </c>
      <c r="G20" s="47">
        <f>Gas!C21*0.9147</f>
        <v>0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54</v>
      </c>
      <c r="B21" s="63">
        <f t="shared" si="0"/>
        <v>20</v>
      </c>
      <c r="C21" s="63">
        <v>4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5">
        <v>0</v>
      </c>
      <c r="G21" s="47">
        <f>Gas!C22*0.9147</f>
        <v>0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54</v>
      </c>
      <c r="B22" s="63">
        <f t="shared" si="0"/>
        <v>21</v>
      </c>
      <c r="C22" s="63">
        <v>4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5">
        <v>0</v>
      </c>
      <c r="G22" s="47">
        <f>Gas!C23*0.9147</f>
        <v>0</v>
      </c>
      <c r="H22" s="15">
        <v>0</v>
      </c>
      <c r="I22" s="47">
        <v>0</v>
      </c>
      <c r="J22" s="48">
        <v>0</v>
      </c>
      <c r="K22" s="47">
        <f>ELECT.!B23</f>
        <v>0</v>
      </c>
    </row>
    <row r="23" spans="1:13" x14ac:dyDescent="0.2">
      <c r="A23" s="58" t="s">
        <v>54</v>
      </c>
      <c r="B23" s="63">
        <f t="shared" si="0"/>
        <v>22</v>
      </c>
      <c r="C23" s="63">
        <v>4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5">
        <v>0</v>
      </c>
      <c r="G23" s="47">
        <f>Gas!C24*0.9147</f>
        <v>0</v>
      </c>
      <c r="H23" s="15">
        <v>0</v>
      </c>
      <c r="I23" s="47">
        <v>0</v>
      </c>
      <c r="J23" s="48">
        <v>0</v>
      </c>
      <c r="K23" s="47">
        <f>ELECT.!B24</f>
        <v>0</v>
      </c>
    </row>
    <row r="24" spans="1:13" x14ac:dyDescent="0.2">
      <c r="A24" s="58" t="s">
        <v>54</v>
      </c>
      <c r="B24" s="63">
        <f t="shared" si="0"/>
        <v>23</v>
      </c>
      <c r="C24" s="63">
        <v>4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5">
        <v>0</v>
      </c>
      <c r="G24" s="47">
        <f>Gas!C25*0.9147</f>
        <v>0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54</v>
      </c>
      <c r="B25" s="63">
        <f t="shared" si="0"/>
        <v>24</v>
      </c>
      <c r="C25" s="63">
        <v>4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5">
        <v>0</v>
      </c>
      <c r="G25" s="47">
        <f>Gas!C26*0.9147</f>
        <v>0</v>
      </c>
      <c r="H25" s="15">
        <v>0</v>
      </c>
      <c r="I25" s="47">
        <v>0</v>
      </c>
      <c r="J25" s="48">
        <v>0</v>
      </c>
      <c r="K25" s="47">
        <f>ELECT.!B26</f>
        <v>0</v>
      </c>
    </row>
    <row r="26" spans="1:13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5">
        <v>0</v>
      </c>
      <c r="G26" s="47">
        <f>Gas!C27*0.9147</f>
        <v>0</v>
      </c>
      <c r="H26" s="15">
        <v>0</v>
      </c>
      <c r="I26" s="47">
        <v>0</v>
      </c>
      <c r="J26" s="48">
        <v>0</v>
      </c>
      <c r="K26" s="47">
        <f>ELECT.!B27</f>
        <v>0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4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5">
        <v>0</v>
      </c>
      <c r="G27" s="47">
        <f>Gas!C28*0.9147</f>
        <v>0</v>
      </c>
      <c r="H27" s="15">
        <v>0</v>
      </c>
      <c r="I27" s="47">
        <v>0</v>
      </c>
      <c r="J27" s="48">
        <v>0</v>
      </c>
      <c r="K27" s="47">
        <f>ELECT.!B28</f>
        <v>0</v>
      </c>
    </row>
    <row r="28" spans="1:13" x14ac:dyDescent="0.2">
      <c r="A28" s="58" t="s">
        <v>54</v>
      </c>
      <c r="B28" s="63">
        <f t="shared" si="0"/>
        <v>27</v>
      </c>
      <c r="C28" s="63">
        <v>4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5">
        <v>0</v>
      </c>
      <c r="G28" s="47">
        <f>Gas!C29*0.9147</f>
        <v>0</v>
      </c>
      <c r="H28" s="15">
        <v>0</v>
      </c>
      <c r="I28" s="47">
        <v>0</v>
      </c>
      <c r="J28" s="48">
        <v>0</v>
      </c>
      <c r="K28" s="47">
        <f>ELECT.!B29</f>
        <v>0</v>
      </c>
    </row>
    <row r="29" spans="1:13" x14ac:dyDescent="0.2">
      <c r="A29" s="58" t="s">
        <v>54</v>
      </c>
      <c r="B29" s="63">
        <f t="shared" si="0"/>
        <v>28</v>
      </c>
      <c r="C29" s="63">
        <v>4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5">
        <v>0</v>
      </c>
      <c r="G29" s="47">
        <f>Gas!C30*0.9147</f>
        <v>0</v>
      </c>
      <c r="H29" s="15">
        <v>0</v>
      </c>
      <c r="I29" s="47">
        <v>0</v>
      </c>
      <c r="J29" s="48">
        <v>0</v>
      </c>
      <c r="K29" s="47">
        <f>ELECT.!B30</f>
        <v>0</v>
      </c>
    </row>
    <row r="30" spans="1:13" x14ac:dyDescent="0.2">
      <c r="A30" s="58" t="s">
        <v>54</v>
      </c>
      <c r="B30" s="63">
        <f t="shared" si="0"/>
        <v>29</v>
      </c>
      <c r="C30" s="63">
        <v>4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5">
        <v>0</v>
      </c>
      <c r="G30" s="47">
        <f>Gas!C31*0.9147</f>
        <v>0</v>
      </c>
      <c r="H30" s="15">
        <v>0</v>
      </c>
      <c r="I30" s="47">
        <v>0</v>
      </c>
      <c r="J30" s="48">
        <v>0</v>
      </c>
      <c r="K30" s="47">
        <f>ELECT.!B31</f>
        <v>0</v>
      </c>
    </row>
    <row r="31" spans="1:13" x14ac:dyDescent="0.2">
      <c r="A31" s="58" t="s">
        <v>54</v>
      </c>
      <c r="B31" s="63">
        <f t="shared" si="0"/>
        <v>30</v>
      </c>
      <c r="C31" s="63">
        <v>4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5">
        <v>0</v>
      </c>
      <c r="G31" s="47">
        <f>Gas!C32*0.9147</f>
        <v>0</v>
      </c>
      <c r="H31" s="15">
        <v>0</v>
      </c>
      <c r="I31" s="47">
        <v>0</v>
      </c>
      <c r="J31" s="48">
        <v>0</v>
      </c>
      <c r="K31" s="47">
        <f>ELECT.!B32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4</v>
      </c>
      <c r="D2" s="63">
        <v>2021</v>
      </c>
      <c r="E2" s="47">
        <f>Water!C3</f>
        <v>740</v>
      </c>
      <c r="F2" s="47">
        <f>Water!E3</f>
        <v>359.1</v>
      </c>
      <c r="G2" s="47">
        <f>Water!G3</f>
        <v>191.7</v>
      </c>
      <c r="H2" s="47">
        <f>Water!I3</f>
        <v>3.3479999999999999</v>
      </c>
      <c r="I2" s="47">
        <f>ELECT.!F3</f>
        <v>8893</v>
      </c>
      <c r="J2" s="47">
        <f>ELECT.!H3</f>
        <v>45508</v>
      </c>
      <c r="K2" s="47">
        <f>ELECT.!K3</f>
        <v>4854</v>
      </c>
      <c r="L2" s="47">
        <f>ELECT.!M3</f>
        <v>6261</v>
      </c>
      <c r="M2" s="47">
        <f>ELECT.!O3</f>
        <v>2466</v>
      </c>
      <c r="N2" s="47">
        <f>ELECT.!Q3</f>
        <v>8474</v>
      </c>
      <c r="O2" s="47">
        <f>ELECT.!S3</f>
        <v>9775</v>
      </c>
      <c r="P2" s="47">
        <f>ELECT.!W3*2</f>
        <v>21300</v>
      </c>
      <c r="Q2" s="47">
        <f>ELECT.!D3</f>
        <v>320</v>
      </c>
      <c r="R2" s="48">
        <f>BTU!C3</f>
        <v>4.125</v>
      </c>
      <c r="S2" s="48">
        <f>BTU!F3</f>
        <v>1.2909999999997126</v>
      </c>
      <c r="T2" s="48">
        <f>BTU!I3</f>
        <v>5</v>
      </c>
      <c r="U2" s="48">
        <f>BTU!O3</f>
        <v>1.1720000000000255</v>
      </c>
      <c r="V2" s="48">
        <f>BTU!L3</f>
        <v>0.80999999999949068</v>
      </c>
      <c r="W2" s="48">
        <f>BTU!R3</f>
        <v>0.11499999999978172</v>
      </c>
      <c r="X2" s="45">
        <f>ELECT.!B3</f>
        <v>160</v>
      </c>
      <c r="Y2" s="45">
        <f>I2+J2-(K2+L2+M2+N2+O2+P2)</f>
        <v>1271</v>
      </c>
      <c r="Z2">
        <f>'Mall, Citadel, Rotana'!C3+'Mall, Citadel, Rotana'!E3+'Mall, Citadel, Rotana'!G3+'Mall, Citadel, Rotana'!I3</f>
        <v>1712</v>
      </c>
      <c r="AA2">
        <f>'Mall, Citadel, Rotana'!K3+'Mall, Citadel, Rotana'!M3</f>
        <v>800</v>
      </c>
      <c r="AB2">
        <f>'Mall, Citadel, Rotana'!O3</f>
        <v>163</v>
      </c>
      <c r="AC2">
        <f>'Mall, Citadel, Rotana'!Q3+'Mall, Citadel, Rotana'!S3</f>
        <v>61</v>
      </c>
      <c r="AD2" s="45">
        <f>(E2-H2-194)*0.1318</f>
        <v>71.521533600000012</v>
      </c>
      <c r="AE2" s="45">
        <f>E2-H2-AD2-194</f>
        <v>471.13046640000005</v>
      </c>
    </row>
    <row r="3" spans="1:31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Water!C4</f>
        <v>240</v>
      </c>
      <c r="F3" s="47">
        <f>Water!E4</f>
        <v>332.1</v>
      </c>
      <c r="G3" s="47">
        <f>Water!G4</f>
        <v>353.7</v>
      </c>
      <c r="H3" s="47">
        <f>Water!I4</f>
        <v>3.726</v>
      </c>
      <c r="I3" s="47">
        <f>ELECT.!F4</f>
        <v>5807</v>
      </c>
      <c r="J3" s="47">
        <f>ELECT.!H4</f>
        <v>30588</v>
      </c>
      <c r="K3" s="47">
        <f>ELECT.!K4</f>
        <v>3392</v>
      </c>
      <c r="L3" s="47">
        <f>ELECT.!M4</f>
        <v>3820</v>
      </c>
      <c r="M3" s="47">
        <f>ELECT.!O4</f>
        <v>1866</v>
      </c>
      <c r="N3" s="47">
        <f>ELECT.!Q4</f>
        <v>5778</v>
      </c>
      <c r="O3" s="47">
        <f>ELECT.!S4</f>
        <v>6487</v>
      </c>
      <c r="P3" s="47">
        <f>ELECT.!W4*2</f>
        <v>14246</v>
      </c>
      <c r="Q3" s="47">
        <f>ELECT.!D4</f>
        <v>640</v>
      </c>
      <c r="R3" s="48">
        <f>BTU!C4</f>
        <v>4.2249999999985448</v>
      </c>
      <c r="S3" s="48">
        <f>BTU!F4</f>
        <v>1.0289999999999964</v>
      </c>
      <c r="T3" s="48">
        <f>BTU!I4</f>
        <v>5</v>
      </c>
      <c r="U3" s="48">
        <f>BTU!O4</f>
        <v>1.3690000000001419</v>
      </c>
      <c r="V3" s="48">
        <f>BTU!L4</f>
        <v>0.63000000000101863</v>
      </c>
      <c r="W3" s="48">
        <f>BTU!R4</f>
        <v>0.61999999999989086</v>
      </c>
      <c r="X3" s="45">
        <f>ELECT.!B4</f>
        <v>182</v>
      </c>
      <c r="Y3" s="45">
        <f t="shared" ref="Y3:Y31" si="0">I3+J3-(K3+L3+M3+N3+O3+P3)</f>
        <v>806</v>
      </c>
      <c r="Z3">
        <f>'Mall, Citadel, Rotana'!C4+'Mall, Citadel, Rotana'!E4+'Mall, Citadel, Rotana'!G4+'Mall, Citadel, Rotana'!I4</f>
        <v>1539</v>
      </c>
      <c r="AA3">
        <f>'Mall, Citadel, Rotana'!K4+'Mall, Citadel, Rotana'!M4</f>
        <v>480</v>
      </c>
      <c r="AB3">
        <f>'Mall, Citadel, Rotana'!O4</f>
        <v>217</v>
      </c>
      <c r="AC3">
        <f>'Mall, Citadel, Rotana'!Q4+'Mall, Citadel, Rotana'!S4</f>
        <v>20</v>
      </c>
      <c r="AD3" s="45">
        <f t="shared" ref="AD3:AD31" si="1">(E3-H3-194)*0.1318</f>
        <v>5.5717132000000005</v>
      </c>
      <c r="AE3" s="45">
        <f t="shared" ref="AE3:AE31" si="2">E3-H3-AD3-194</f>
        <v>36.702286799999996</v>
      </c>
    </row>
    <row r="4" spans="1:31" x14ac:dyDescent="0.2">
      <c r="A4" s="58" t="s">
        <v>54</v>
      </c>
      <c r="B4" s="63">
        <f t="shared" ref="B4:B31" si="3">B3+1</f>
        <v>3</v>
      </c>
      <c r="C4" s="63">
        <v>4</v>
      </c>
      <c r="D4" s="63">
        <v>2021</v>
      </c>
      <c r="E4" s="47">
        <f>Water!C5</f>
        <v>0</v>
      </c>
      <c r="F4" s="47">
        <f>Water!E5</f>
        <v>0</v>
      </c>
      <c r="G4" s="47">
        <f>Water!G5</f>
        <v>0</v>
      </c>
      <c r="H4" s="47">
        <f>Water!I5</f>
        <v>0</v>
      </c>
      <c r="I4" s="47">
        <f>ELECT.!F5</f>
        <v>0</v>
      </c>
      <c r="J4" s="47">
        <f>ELECT.!H5</f>
        <v>0</v>
      </c>
      <c r="K4" s="47">
        <f>ELECT.!K5</f>
        <v>0</v>
      </c>
      <c r="L4" s="47">
        <f>ELECT.!M5</f>
        <v>0</v>
      </c>
      <c r="M4" s="47">
        <f>ELECT.!O5</f>
        <v>0</v>
      </c>
      <c r="N4" s="47">
        <f>ELECT.!Q5</f>
        <v>0</v>
      </c>
      <c r="O4" s="47">
        <f>ELECT.!S5</f>
        <v>0</v>
      </c>
      <c r="P4" s="47">
        <f>ELECT.!W5*2</f>
        <v>0</v>
      </c>
      <c r="Q4" s="47">
        <f>ELECT.!D5</f>
        <v>0</v>
      </c>
      <c r="R4" s="48">
        <f>BTU!C5</f>
        <v>0</v>
      </c>
      <c r="S4" s="48">
        <f>BTU!F5</f>
        <v>0</v>
      </c>
      <c r="T4" s="48">
        <f>BTU!I5</f>
        <v>0</v>
      </c>
      <c r="U4" s="48">
        <f>BTU!O5</f>
        <v>0</v>
      </c>
      <c r="V4" s="48">
        <f>BTU!L5</f>
        <v>0</v>
      </c>
      <c r="W4" s="48">
        <f>BTU!R5</f>
        <v>0</v>
      </c>
      <c r="X4" s="45">
        <f>ELECT.!B5</f>
        <v>0</v>
      </c>
      <c r="Y4" s="45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45">
        <f t="shared" si="1"/>
        <v>-25.569199999999999</v>
      </c>
      <c r="AE4" s="45">
        <f t="shared" si="2"/>
        <v>-168.4308</v>
      </c>
    </row>
    <row r="5" spans="1:31" x14ac:dyDescent="0.2">
      <c r="A5" s="58" t="s">
        <v>54</v>
      </c>
      <c r="B5" s="63">
        <f t="shared" si="3"/>
        <v>4</v>
      </c>
      <c r="C5" s="63">
        <v>4</v>
      </c>
      <c r="D5" s="63">
        <v>2021</v>
      </c>
      <c r="E5" s="47">
        <f>Water!C6</f>
        <v>0</v>
      </c>
      <c r="F5" s="47">
        <f>Water!E6</f>
        <v>0</v>
      </c>
      <c r="G5" s="47">
        <f>Water!G6</f>
        <v>0</v>
      </c>
      <c r="H5" s="47">
        <f>Water!I6</f>
        <v>0</v>
      </c>
      <c r="I5" s="47">
        <f>ELECT.!F6</f>
        <v>0</v>
      </c>
      <c r="J5" s="47">
        <f>ELECT.!H6</f>
        <v>0</v>
      </c>
      <c r="K5" s="47">
        <f>ELECT.!K6</f>
        <v>0</v>
      </c>
      <c r="L5" s="47">
        <f>ELECT.!M6</f>
        <v>0</v>
      </c>
      <c r="M5" s="47">
        <f>ELECT.!O6</f>
        <v>0</v>
      </c>
      <c r="N5" s="47">
        <f>ELECT.!Q6</f>
        <v>0</v>
      </c>
      <c r="O5" s="47">
        <f>ELECT.!S6</f>
        <v>0</v>
      </c>
      <c r="P5" s="47">
        <f>ELECT.!W6*2</f>
        <v>0</v>
      </c>
      <c r="Q5" s="47">
        <f>ELECT.!D6</f>
        <v>0</v>
      </c>
      <c r="R5" s="48">
        <f>BTU!C6</f>
        <v>0</v>
      </c>
      <c r="S5" s="48">
        <f>BTU!F6</f>
        <v>0</v>
      </c>
      <c r="T5" s="48">
        <f>BTU!I6</f>
        <v>0</v>
      </c>
      <c r="U5" s="48">
        <f>BTU!O6</f>
        <v>0</v>
      </c>
      <c r="V5" s="48">
        <f>BTU!L6</f>
        <v>0</v>
      </c>
      <c r="W5" s="48">
        <f>BTU!R6</f>
        <v>0</v>
      </c>
      <c r="X5" s="45">
        <f>ELECT.!B6</f>
        <v>0</v>
      </c>
      <c r="Y5" s="45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45">
        <f t="shared" si="1"/>
        <v>-25.569199999999999</v>
      </c>
      <c r="AE5" s="45">
        <f t="shared" si="2"/>
        <v>-168.4308</v>
      </c>
    </row>
    <row r="6" spans="1:31" x14ac:dyDescent="0.2">
      <c r="A6" s="58" t="s">
        <v>54</v>
      </c>
      <c r="B6" s="63">
        <f t="shared" si="3"/>
        <v>5</v>
      </c>
      <c r="C6" s="63">
        <v>4</v>
      </c>
      <c r="D6" s="63">
        <v>2021</v>
      </c>
      <c r="E6" s="47">
        <f>Water!C7</f>
        <v>0</v>
      </c>
      <c r="F6" s="47">
        <f>Water!E7</f>
        <v>0</v>
      </c>
      <c r="G6" s="47">
        <f>Water!G7</f>
        <v>0</v>
      </c>
      <c r="H6" s="47">
        <f>Water!I7</f>
        <v>0</v>
      </c>
      <c r="I6" s="47">
        <f>ELECT.!F7</f>
        <v>0</v>
      </c>
      <c r="J6" s="47">
        <f>ELECT.!H7</f>
        <v>0</v>
      </c>
      <c r="K6" s="47">
        <f>ELECT.!K7</f>
        <v>0</v>
      </c>
      <c r="L6" s="47">
        <f>ELECT.!M7</f>
        <v>0</v>
      </c>
      <c r="M6" s="47">
        <f>ELECT.!O7</f>
        <v>0</v>
      </c>
      <c r="N6" s="47">
        <f>ELECT.!Q7</f>
        <v>0</v>
      </c>
      <c r="O6" s="47">
        <f>ELECT.!S7</f>
        <v>0</v>
      </c>
      <c r="P6" s="47">
        <f>ELECT.!W7*2</f>
        <v>0</v>
      </c>
      <c r="Q6" s="47">
        <f>ELECT.!D7</f>
        <v>0</v>
      </c>
      <c r="R6" s="48">
        <f>BTU!C7</f>
        <v>0</v>
      </c>
      <c r="S6" s="48">
        <f>BTU!F7</f>
        <v>0</v>
      </c>
      <c r="T6" s="48">
        <f>BTU!I7</f>
        <v>0</v>
      </c>
      <c r="U6" s="48">
        <f>BTU!O7</f>
        <v>0</v>
      </c>
      <c r="V6" s="48">
        <f>BTU!L7</f>
        <v>0</v>
      </c>
      <c r="W6" s="48">
        <f>BTU!R7</f>
        <v>0</v>
      </c>
      <c r="X6" s="45">
        <f>ELECT.!B7</f>
        <v>0</v>
      </c>
      <c r="Y6" s="45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5">
        <f t="shared" si="1"/>
        <v>-25.569199999999999</v>
      </c>
      <c r="AE6" s="45">
        <f t="shared" si="2"/>
        <v>-168.4308</v>
      </c>
    </row>
    <row r="7" spans="1:31" x14ac:dyDescent="0.2">
      <c r="A7" s="58" t="s">
        <v>54</v>
      </c>
      <c r="B7" s="63">
        <f t="shared" si="3"/>
        <v>6</v>
      </c>
      <c r="C7" s="63">
        <v>4</v>
      </c>
      <c r="D7" s="63">
        <v>2021</v>
      </c>
      <c r="E7" s="47">
        <f>Water!C8</f>
        <v>0</v>
      </c>
      <c r="F7" s="47">
        <f>Water!E8</f>
        <v>0</v>
      </c>
      <c r="G7" s="47">
        <f>Water!G8</f>
        <v>0</v>
      </c>
      <c r="H7" s="47">
        <f>Water!I8</f>
        <v>0</v>
      </c>
      <c r="I7" s="47">
        <f>ELECT.!F8</f>
        <v>0</v>
      </c>
      <c r="J7" s="47">
        <f>ELECT.!H8</f>
        <v>0</v>
      </c>
      <c r="K7" s="47">
        <f>ELECT.!K8</f>
        <v>0</v>
      </c>
      <c r="L7" s="47">
        <f>ELECT.!M8</f>
        <v>0</v>
      </c>
      <c r="M7" s="47">
        <f>ELECT.!O8</f>
        <v>0</v>
      </c>
      <c r="N7" s="47">
        <f>ELECT.!Q8</f>
        <v>0</v>
      </c>
      <c r="O7" s="47">
        <f>ELECT.!S8</f>
        <v>0</v>
      </c>
      <c r="P7" s="47">
        <f>ELECT.!W8*2</f>
        <v>0</v>
      </c>
      <c r="Q7" s="47">
        <f>ELECT.!D8</f>
        <v>0</v>
      </c>
      <c r="R7" s="48">
        <f>BTU!C8</f>
        <v>0</v>
      </c>
      <c r="S7" s="48">
        <f>BTU!F8</f>
        <v>0</v>
      </c>
      <c r="T7" s="48">
        <f>BTU!I8</f>
        <v>0</v>
      </c>
      <c r="U7" s="48">
        <f>BTU!O8</f>
        <v>0</v>
      </c>
      <c r="V7" s="48">
        <f>BTU!L8</f>
        <v>0</v>
      </c>
      <c r="W7" s="48">
        <f>BTU!R8</f>
        <v>0</v>
      </c>
      <c r="X7" s="45">
        <f>ELECT.!B8</f>
        <v>0</v>
      </c>
      <c r="Y7" s="45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5">
        <f t="shared" si="1"/>
        <v>-25.569199999999999</v>
      </c>
      <c r="AE7" s="45">
        <f t="shared" si="2"/>
        <v>-168.4308</v>
      </c>
    </row>
    <row r="8" spans="1:31" x14ac:dyDescent="0.2">
      <c r="A8" s="58" t="s">
        <v>54</v>
      </c>
      <c r="B8" s="63">
        <f t="shared" si="3"/>
        <v>7</v>
      </c>
      <c r="C8" s="63">
        <v>4</v>
      </c>
      <c r="D8" s="63">
        <v>2021</v>
      </c>
      <c r="E8" s="47">
        <f>Water!C9</f>
        <v>0</v>
      </c>
      <c r="F8" s="47">
        <f>Water!E9</f>
        <v>0</v>
      </c>
      <c r="G8" s="47">
        <f>Water!G9</f>
        <v>0</v>
      </c>
      <c r="H8" s="47">
        <f>Water!I9</f>
        <v>0</v>
      </c>
      <c r="I8" s="47">
        <f>ELECT.!F9</f>
        <v>0</v>
      </c>
      <c r="J8" s="47">
        <f>ELECT.!H9</f>
        <v>0</v>
      </c>
      <c r="K8" s="47">
        <f>ELECT.!K9</f>
        <v>0</v>
      </c>
      <c r="L8" s="47">
        <f>ELECT.!M9</f>
        <v>0</v>
      </c>
      <c r="M8" s="47">
        <f>ELECT.!O9</f>
        <v>0</v>
      </c>
      <c r="N8" s="47">
        <f>ELECT.!Q9</f>
        <v>0</v>
      </c>
      <c r="O8" s="47">
        <f>ELECT.!S9</f>
        <v>0</v>
      </c>
      <c r="P8" s="47">
        <f>ELECT.!W9*2</f>
        <v>0</v>
      </c>
      <c r="Q8" s="47">
        <f>ELECT.!D9</f>
        <v>0</v>
      </c>
      <c r="R8" s="48">
        <f>BTU!C9</f>
        <v>0</v>
      </c>
      <c r="S8" s="48">
        <f>BTU!F9</f>
        <v>0</v>
      </c>
      <c r="T8" s="48">
        <f>BTU!I9</f>
        <v>0</v>
      </c>
      <c r="U8" s="48">
        <f>BTU!O9</f>
        <v>0</v>
      </c>
      <c r="V8" s="48">
        <f>BTU!L9</f>
        <v>0</v>
      </c>
      <c r="W8" s="48">
        <f>BTU!R9</f>
        <v>0</v>
      </c>
      <c r="X8" s="45">
        <f>ELECT.!B9</f>
        <v>0</v>
      </c>
      <c r="Y8" s="4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5">
        <f t="shared" si="1"/>
        <v>-25.569199999999999</v>
      </c>
      <c r="AE8" s="45">
        <f t="shared" si="2"/>
        <v>-168.4308</v>
      </c>
    </row>
    <row r="9" spans="1:31" x14ac:dyDescent="0.2">
      <c r="A9" s="58" t="s">
        <v>54</v>
      </c>
      <c r="B9" s="63">
        <f t="shared" si="3"/>
        <v>8</v>
      </c>
      <c r="C9" s="63">
        <v>4</v>
      </c>
      <c r="D9" s="63">
        <v>2021</v>
      </c>
      <c r="E9" s="47">
        <f>Water!C10</f>
        <v>0</v>
      </c>
      <c r="F9" s="47">
        <f>Water!E10</f>
        <v>0</v>
      </c>
      <c r="G9" s="47">
        <f>Water!G10</f>
        <v>0</v>
      </c>
      <c r="H9" s="47">
        <f>Water!I10</f>
        <v>0</v>
      </c>
      <c r="I9" s="47">
        <f>ELECT.!F10</f>
        <v>0</v>
      </c>
      <c r="J9" s="47">
        <f>ELECT.!H10</f>
        <v>0</v>
      </c>
      <c r="K9" s="47">
        <f>ELECT.!K10</f>
        <v>0</v>
      </c>
      <c r="L9" s="47">
        <f>ELECT.!M10</f>
        <v>0</v>
      </c>
      <c r="M9" s="47">
        <f>ELECT.!O10</f>
        <v>0</v>
      </c>
      <c r="N9" s="47">
        <f>ELECT.!Q10</f>
        <v>0</v>
      </c>
      <c r="O9" s="47">
        <f>ELECT.!S10</f>
        <v>0</v>
      </c>
      <c r="P9" s="47">
        <f>ELECT.!W10*2</f>
        <v>0</v>
      </c>
      <c r="Q9" s="47">
        <f>ELECT.!D10</f>
        <v>0</v>
      </c>
      <c r="R9" s="48">
        <f>BTU!C10</f>
        <v>0</v>
      </c>
      <c r="S9" s="48">
        <f>BTU!F10</f>
        <v>0</v>
      </c>
      <c r="T9" s="48">
        <f>BTU!I10</f>
        <v>0</v>
      </c>
      <c r="U9" s="48">
        <f>BTU!O10</f>
        <v>0</v>
      </c>
      <c r="V9" s="48">
        <f>BTU!L10</f>
        <v>0</v>
      </c>
      <c r="W9" s="48">
        <f>BTU!R10</f>
        <v>0</v>
      </c>
      <c r="X9" s="45">
        <f>ELECT.!B10</f>
        <v>0</v>
      </c>
      <c r="Y9" s="4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5">
        <f t="shared" si="1"/>
        <v>-25.569199999999999</v>
      </c>
      <c r="AE9" s="45">
        <f t="shared" si="2"/>
        <v>-168.4308</v>
      </c>
    </row>
    <row r="10" spans="1:31" x14ac:dyDescent="0.2">
      <c r="A10" s="58" t="s">
        <v>54</v>
      </c>
      <c r="B10" s="63">
        <f t="shared" si="3"/>
        <v>9</v>
      </c>
      <c r="C10" s="63">
        <v>4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>
        <f>BTU!F11</f>
        <v>0</v>
      </c>
      <c r="T10" s="48">
        <f>BTU!I11</f>
        <v>0</v>
      </c>
      <c r="U10" s="48">
        <f>BTU!O11</f>
        <v>0</v>
      </c>
      <c r="V10" s="48">
        <f>BTU!L11</f>
        <v>0</v>
      </c>
      <c r="W10" s="48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54</v>
      </c>
      <c r="B11" s="63">
        <f t="shared" si="3"/>
        <v>10</v>
      </c>
      <c r="C11" s="63">
        <v>4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54</v>
      </c>
      <c r="B12" s="63">
        <f t="shared" si="3"/>
        <v>11</v>
      </c>
      <c r="C12" s="63">
        <v>4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54</v>
      </c>
      <c r="B13" s="63">
        <f t="shared" si="3"/>
        <v>12</v>
      </c>
      <c r="C13" s="63">
        <v>4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54</v>
      </c>
      <c r="B14" s="63">
        <f t="shared" si="3"/>
        <v>13</v>
      </c>
      <c r="C14" s="63">
        <v>4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54</v>
      </c>
      <c r="B15" s="63">
        <f t="shared" si="3"/>
        <v>14</v>
      </c>
      <c r="C15" s="63">
        <v>4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54</v>
      </c>
      <c r="B16" s="63">
        <f t="shared" si="3"/>
        <v>15</v>
      </c>
      <c r="C16" s="63">
        <v>4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54</v>
      </c>
      <c r="B17" s="63">
        <f t="shared" si="3"/>
        <v>16</v>
      </c>
      <c r="C17" s="63">
        <v>4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54</v>
      </c>
      <c r="B18" s="63">
        <f t="shared" si="3"/>
        <v>17</v>
      </c>
      <c r="C18" s="63">
        <v>4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54</v>
      </c>
      <c r="B19" s="63">
        <f t="shared" si="3"/>
        <v>18</v>
      </c>
      <c r="C19" s="63">
        <v>4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54</v>
      </c>
      <c r="B20" s="63">
        <f t="shared" si="3"/>
        <v>19</v>
      </c>
      <c r="C20" s="63">
        <v>4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54</v>
      </c>
      <c r="B21" s="63">
        <f t="shared" si="3"/>
        <v>20</v>
      </c>
      <c r="C21" s="63">
        <v>4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54</v>
      </c>
      <c r="B22" s="63">
        <f t="shared" si="3"/>
        <v>21</v>
      </c>
      <c r="C22" s="63">
        <v>4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54</v>
      </c>
      <c r="B23" s="63">
        <f t="shared" si="3"/>
        <v>22</v>
      </c>
      <c r="C23" s="63">
        <v>4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54</v>
      </c>
      <c r="B24" s="63">
        <f t="shared" si="3"/>
        <v>23</v>
      </c>
      <c r="C24" s="63">
        <v>4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54</v>
      </c>
      <c r="B25" s="63">
        <f t="shared" si="3"/>
        <v>24</v>
      </c>
      <c r="C25" s="63">
        <v>4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54</v>
      </c>
      <c r="B27" s="63">
        <f t="shared" si="3"/>
        <v>26</v>
      </c>
      <c r="C27" s="63">
        <v>4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54</v>
      </c>
      <c r="B28" s="63">
        <f t="shared" si="3"/>
        <v>27</v>
      </c>
      <c r="C28" s="63">
        <v>4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54</v>
      </c>
      <c r="B29" s="63">
        <f t="shared" si="3"/>
        <v>28</v>
      </c>
      <c r="C29" s="63">
        <v>4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54</v>
      </c>
      <c r="B30" s="63">
        <f t="shared" si="3"/>
        <v>29</v>
      </c>
      <c r="C30" s="63">
        <v>4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54</v>
      </c>
      <c r="B31" s="63">
        <f t="shared" si="3"/>
        <v>30</v>
      </c>
      <c r="C31" s="63">
        <v>4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B4" sqref="A4:XFD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45039</v>
      </c>
      <c r="C2" s="16">
        <v>0</v>
      </c>
      <c r="D2" s="1">
        <v>39393</v>
      </c>
      <c r="E2" s="16">
        <v>0</v>
      </c>
      <c r="F2" s="1">
        <v>20221</v>
      </c>
      <c r="G2" s="16">
        <v>0</v>
      </c>
      <c r="H2" s="1">
        <v>239849</v>
      </c>
      <c r="I2" s="16">
        <v>0</v>
      </c>
      <c r="J2" s="1">
        <v>303517</v>
      </c>
      <c r="K2" s="16">
        <v>0</v>
      </c>
      <c r="L2" s="1">
        <v>24778</v>
      </c>
      <c r="M2" s="16">
        <v>0</v>
      </c>
      <c r="N2" s="42">
        <v>212904</v>
      </c>
      <c r="O2" s="16">
        <v>0</v>
      </c>
      <c r="P2" s="1">
        <v>98110</v>
      </c>
      <c r="Q2" s="16">
        <v>0</v>
      </c>
      <c r="R2" s="1">
        <v>55047</v>
      </c>
      <c r="S2" s="16">
        <v>0</v>
      </c>
      <c r="T2" s="1">
        <v>3580</v>
      </c>
      <c r="U2" s="16">
        <v>0</v>
      </c>
    </row>
    <row r="3" spans="1:24" ht="13.5" thickBot="1" x14ac:dyDescent="0.25">
      <c r="A3" s="10">
        <v>44286</v>
      </c>
      <c r="B3" s="42">
        <v>45047</v>
      </c>
      <c r="C3" s="16">
        <v>1280</v>
      </c>
      <c r="D3" s="42">
        <v>39395</v>
      </c>
      <c r="E3" s="16">
        <v>320</v>
      </c>
      <c r="F3" s="42">
        <v>20224</v>
      </c>
      <c r="G3" s="16">
        <v>60</v>
      </c>
      <c r="H3" s="42">
        <v>239901</v>
      </c>
      <c r="I3" s="16">
        <v>52</v>
      </c>
      <c r="J3" s="42">
        <v>303517</v>
      </c>
      <c r="K3" s="16">
        <v>0</v>
      </c>
      <c r="L3" s="42">
        <v>24783</v>
      </c>
      <c r="M3" s="16">
        <v>800</v>
      </c>
      <c r="N3" s="42">
        <v>213067</v>
      </c>
      <c r="O3" s="16">
        <v>163</v>
      </c>
      <c r="P3" s="42">
        <v>98351</v>
      </c>
      <c r="Q3" s="16">
        <v>61</v>
      </c>
      <c r="R3" s="42">
        <v>55047</v>
      </c>
      <c r="S3" s="16">
        <v>0</v>
      </c>
      <c r="T3" s="42">
        <v>3583</v>
      </c>
      <c r="U3" s="16">
        <v>160</v>
      </c>
    </row>
    <row r="4" spans="1:24" ht="13.5" thickBot="1" x14ac:dyDescent="0.25">
      <c r="A4" s="10">
        <v>44287</v>
      </c>
      <c r="B4" s="42">
        <v>45053</v>
      </c>
      <c r="C4" s="16">
        <f t="shared" ref="C4:C33" si="0">(B4-B3)*800/5</f>
        <v>960</v>
      </c>
      <c r="D4" s="42">
        <v>39398</v>
      </c>
      <c r="E4" s="16">
        <f t="shared" ref="E4:E33" si="1">(D4-D3)*800/5</f>
        <v>480</v>
      </c>
      <c r="F4" s="42">
        <v>20228</v>
      </c>
      <c r="G4" s="16">
        <f t="shared" ref="G4:G33" si="2">(F4-F3)*100/5</f>
        <v>80</v>
      </c>
      <c r="H4" s="42">
        <v>239920</v>
      </c>
      <c r="I4" s="16">
        <f t="shared" ref="I4:I33" si="3">(H4-H3)</f>
        <v>19</v>
      </c>
      <c r="J4" s="42">
        <f t="shared" ref="B4:T33" si="4">J3</f>
        <v>303517</v>
      </c>
      <c r="K4" s="16">
        <f t="shared" ref="K4:K33" si="5">(J4-J3)*800/5</f>
        <v>0</v>
      </c>
      <c r="L4" s="42">
        <v>24786</v>
      </c>
      <c r="M4" s="16">
        <f t="shared" ref="M4:M33" si="6">(L4-L3)*800/5</f>
        <v>480</v>
      </c>
      <c r="N4" s="42">
        <v>213284</v>
      </c>
      <c r="O4" s="16">
        <f t="shared" ref="O4:O33" si="7">N4-N3</f>
        <v>217</v>
      </c>
      <c r="P4" s="42">
        <v>98371</v>
      </c>
      <c r="Q4" s="16">
        <f t="shared" ref="Q4:Q33" si="8">P4-P3</f>
        <v>20</v>
      </c>
      <c r="R4" s="1">
        <f t="shared" ref="R4:R33" si="9">R3</f>
        <v>55047</v>
      </c>
      <c r="S4" s="16">
        <f t="shared" ref="S4:S33" si="10">R4-R3</f>
        <v>0</v>
      </c>
      <c r="T4" s="42">
        <v>3585</v>
      </c>
      <c r="U4" s="16">
        <f t="shared" ref="U4:U33" si="11">(T4-T3)*800/5</f>
        <v>320</v>
      </c>
    </row>
    <row r="5" spans="1:24" ht="13.5" thickBot="1" x14ac:dyDescent="0.25">
      <c r="A5" s="10">
        <v>44288</v>
      </c>
      <c r="B5" s="42">
        <f t="shared" si="4"/>
        <v>45053</v>
      </c>
      <c r="C5" s="16">
        <f t="shared" si="0"/>
        <v>0</v>
      </c>
      <c r="D5" s="42">
        <f t="shared" si="4"/>
        <v>39398</v>
      </c>
      <c r="E5" s="16">
        <f t="shared" si="1"/>
        <v>0</v>
      </c>
      <c r="F5" s="42">
        <f t="shared" si="4"/>
        <v>20228</v>
      </c>
      <c r="G5" s="16">
        <f t="shared" si="2"/>
        <v>0</v>
      </c>
      <c r="H5" s="42">
        <f t="shared" si="4"/>
        <v>239920</v>
      </c>
      <c r="I5" s="16">
        <f t="shared" si="3"/>
        <v>0</v>
      </c>
      <c r="J5" s="42">
        <f t="shared" si="4"/>
        <v>303517</v>
      </c>
      <c r="K5" s="16">
        <f t="shared" si="5"/>
        <v>0</v>
      </c>
      <c r="L5" s="42">
        <f t="shared" si="4"/>
        <v>24786</v>
      </c>
      <c r="M5" s="16">
        <f t="shared" si="6"/>
        <v>0</v>
      </c>
      <c r="N5" s="42">
        <f t="shared" si="4"/>
        <v>213284</v>
      </c>
      <c r="O5" s="16">
        <f t="shared" si="7"/>
        <v>0</v>
      </c>
      <c r="P5" s="42">
        <f t="shared" si="4"/>
        <v>98371</v>
      </c>
      <c r="Q5" s="16">
        <f t="shared" si="8"/>
        <v>0</v>
      </c>
      <c r="R5" s="1">
        <f t="shared" si="9"/>
        <v>55047</v>
      </c>
      <c r="S5" s="16">
        <f t="shared" si="10"/>
        <v>0</v>
      </c>
      <c r="T5" s="42">
        <f t="shared" si="4"/>
        <v>3585</v>
      </c>
      <c r="U5" s="16">
        <f t="shared" si="11"/>
        <v>0</v>
      </c>
    </row>
    <row r="6" spans="1:24" ht="13.5" thickBot="1" x14ac:dyDescent="0.25">
      <c r="A6" s="10">
        <v>44289</v>
      </c>
      <c r="B6" s="42">
        <f t="shared" si="4"/>
        <v>45053</v>
      </c>
      <c r="C6" s="16">
        <f t="shared" si="0"/>
        <v>0</v>
      </c>
      <c r="D6" s="42">
        <f t="shared" si="4"/>
        <v>39398</v>
      </c>
      <c r="E6" s="16">
        <f t="shared" si="1"/>
        <v>0</v>
      </c>
      <c r="F6" s="42">
        <f t="shared" si="4"/>
        <v>20228</v>
      </c>
      <c r="G6" s="16">
        <f t="shared" si="2"/>
        <v>0</v>
      </c>
      <c r="H6" s="42">
        <f t="shared" si="4"/>
        <v>239920</v>
      </c>
      <c r="I6" s="16">
        <f t="shared" si="3"/>
        <v>0</v>
      </c>
      <c r="J6" s="42">
        <f t="shared" si="4"/>
        <v>303517</v>
      </c>
      <c r="K6" s="16">
        <f t="shared" si="5"/>
        <v>0</v>
      </c>
      <c r="L6" s="42">
        <f t="shared" si="4"/>
        <v>24786</v>
      </c>
      <c r="M6" s="16">
        <f t="shared" si="6"/>
        <v>0</v>
      </c>
      <c r="N6" s="42">
        <f t="shared" si="4"/>
        <v>213284</v>
      </c>
      <c r="O6" s="16">
        <f t="shared" si="7"/>
        <v>0</v>
      </c>
      <c r="P6" s="42">
        <f t="shared" si="4"/>
        <v>98371</v>
      </c>
      <c r="Q6" s="16">
        <f t="shared" si="8"/>
        <v>0</v>
      </c>
      <c r="R6" s="1">
        <f t="shared" si="9"/>
        <v>55047</v>
      </c>
      <c r="S6" s="16">
        <f>R30-R5</f>
        <v>0</v>
      </c>
      <c r="T6" s="42">
        <f t="shared" si="4"/>
        <v>3585</v>
      </c>
      <c r="U6" s="16">
        <f t="shared" si="11"/>
        <v>0</v>
      </c>
    </row>
    <row r="7" spans="1:24" ht="13.5" thickBot="1" x14ac:dyDescent="0.25">
      <c r="A7" s="10">
        <v>44290</v>
      </c>
      <c r="B7" s="42">
        <f t="shared" si="4"/>
        <v>45053</v>
      </c>
      <c r="C7" s="16">
        <f t="shared" si="0"/>
        <v>0</v>
      </c>
      <c r="D7" s="42">
        <f t="shared" si="4"/>
        <v>39398</v>
      </c>
      <c r="E7" s="16">
        <f t="shared" si="1"/>
        <v>0</v>
      </c>
      <c r="F7" s="42">
        <f t="shared" si="4"/>
        <v>20228</v>
      </c>
      <c r="G7" s="16">
        <f t="shared" si="2"/>
        <v>0</v>
      </c>
      <c r="H7" s="42">
        <f t="shared" si="4"/>
        <v>239920</v>
      </c>
      <c r="I7" s="16">
        <f t="shared" si="3"/>
        <v>0</v>
      </c>
      <c r="J7" s="42">
        <f t="shared" si="4"/>
        <v>303517</v>
      </c>
      <c r="K7" s="16">
        <f t="shared" si="5"/>
        <v>0</v>
      </c>
      <c r="L7" s="42">
        <f t="shared" si="4"/>
        <v>24786</v>
      </c>
      <c r="M7" s="16">
        <f t="shared" si="6"/>
        <v>0</v>
      </c>
      <c r="N7" s="42">
        <f t="shared" si="4"/>
        <v>213284</v>
      </c>
      <c r="O7" s="16">
        <f t="shared" si="7"/>
        <v>0</v>
      </c>
      <c r="P7" s="42">
        <f t="shared" si="4"/>
        <v>98371</v>
      </c>
      <c r="Q7" s="16">
        <f t="shared" si="8"/>
        <v>0</v>
      </c>
      <c r="R7" s="1">
        <f t="shared" si="9"/>
        <v>55047</v>
      </c>
      <c r="S7" s="16">
        <f>R7-R30</f>
        <v>0</v>
      </c>
      <c r="T7" s="42">
        <f t="shared" si="4"/>
        <v>3585</v>
      </c>
      <c r="U7" s="16">
        <f t="shared" si="11"/>
        <v>0</v>
      </c>
    </row>
    <row r="8" spans="1:24" ht="13.5" thickBot="1" x14ac:dyDescent="0.25">
      <c r="A8" s="10">
        <v>44291</v>
      </c>
      <c r="B8" s="42">
        <f t="shared" si="4"/>
        <v>45053</v>
      </c>
      <c r="C8" s="16">
        <f t="shared" si="0"/>
        <v>0</v>
      </c>
      <c r="D8" s="42">
        <f t="shared" si="4"/>
        <v>39398</v>
      </c>
      <c r="E8" s="16">
        <f t="shared" si="1"/>
        <v>0</v>
      </c>
      <c r="F8" s="42">
        <f t="shared" si="4"/>
        <v>20228</v>
      </c>
      <c r="G8" s="16">
        <f t="shared" si="2"/>
        <v>0</v>
      </c>
      <c r="H8" s="42">
        <f t="shared" si="4"/>
        <v>239920</v>
      </c>
      <c r="I8" s="16">
        <f t="shared" si="3"/>
        <v>0</v>
      </c>
      <c r="J8" s="42">
        <f t="shared" si="4"/>
        <v>303517</v>
      </c>
      <c r="K8" s="16">
        <f t="shared" si="5"/>
        <v>0</v>
      </c>
      <c r="L8" s="42">
        <f t="shared" si="4"/>
        <v>24786</v>
      </c>
      <c r="M8" s="16">
        <f t="shared" si="6"/>
        <v>0</v>
      </c>
      <c r="N8" s="42">
        <f t="shared" si="4"/>
        <v>213284</v>
      </c>
      <c r="O8" s="16">
        <f t="shared" si="7"/>
        <v>0</v>
      </c>
      <c r="P8" s="42">
        <f t="shared" si="4"/>
        <v>98371</v>
      </c>
      <c r="Q8" s="16">
        <f t="shared" si="8"/>
        <v>0</v>
      </c>
      <c r="R8" s="1">
        <f t="shared" si="9"/>
        <v>55047</v>
      </c>
      <c r="S8" s="16">
        <f t="shared" si="10"/>
        <v>0</v>
      </c>
      <c r="T8" s="42">
        <f t="shared" si="4"/>
        <v>3585</v>
      </c>
      <c r="U8" s="16">
        <f t="shared" si="11"/>
        <v>0</v>
      </c>
    </row>
    <row r="9" spans="1:24" ht="13.5" thickBot="1" x14ac:dyDescent="0.25">
      <c r="A9" s="10">
        <v>44292</v>
      </c>
      <c r="B9" s="42">
        <f t="shared" si="4"/>
        <v>45053</v>
      </c>
      <c r="C9" s="16">
        <f t="shared" si="0"/>
        <v>0</v>
      </c>
      <c r="D9" s="42">
        <f t="shared" si="4"/>
        <v>39398</v>
      </c>
      <c r="E9" s="16">
        <f t="shared" si="1"/>
        <v>0</v>
      </c>
      <c r="F9" s="42">
        <f t="shared" si="4"/>
        <v>20228</v>
      </c>
      <c r="G9" s="16">
        <f t="shared" si="2"/>
        <v>0</v>
      </c>
      <c r="H9" s="42">
        <f t="shared" si="4"/>
        <v>239920</v>
      </c>
      <c r="I9" s="16">
        <f t="shared" si="3"/>
        <v>0</v>
      </c>
      <c r="J9" s="42">
        <f t="shared" si="4"/>
        <v>303517</v>
      </c>
      <c r="K9" s="16">
        <f t="shared" si="5"/>
        <v>0</v>
      </c>
      <c r="L9" s="42">
        <f t="shared" si="4"/>
        <v>24786</v>
      </c>
      <c r="M9" s="16">
        <f t="shared" si="6"/>
        <v>0</v>
      </c>
      <c r="N9" s="42">
        <f t="shared" si="4"/>
        <v>213284</v>
      </c>
      <c r="O9" s="16">
        <f t="shared" si="7"/>
        <v>0</v>
      </c>
      <c r="P9" s="42">
        <f t="shared" si="4"/>
        <v>98371</v>
      </c>
      <c r="Q9" s="16">
        <f>P9-P8</f>
        <v>0</v>
      </c>
      <c r="R9" s="1">
        <f t="shared" si="9"/>
        <v>55047</v>
      </c>
      <c r="S9" s="16">
        <f>R9-R8</f>
        <v>0</v>
      </c>
      <c r="T9" s="42">
        <f t="shared" si="4"/>
        <v>3585</v>
      </c>
      <c r="U9" s="16">
        <f t="shared" si="11"/>
        <v>0</v>
      </c>
    </row>
    <row r="10" spans="1:24" ht="13.5" thickBot="1" x14ac:dyDescent="0.25">
      <c r="A10" s="10">
        <v>44293</v>
      </c>
      <c r="B10" s="42">
        <f t="shared" si="4"/>
        <v>45053</v>
      </c>
      <c r="C10" s="16">
        <f t="shared" si="0"/>
        <v>0</v>
      </c>
      <c r="D10" s="42">
        <f t="shared" si="4"/>
        <v>39398</v>
      </c>
      <c r="E10" s="16">
        <f t="shared" si="1"/>
        <v>0</v>
      </c>
      <c r="F10" s="42">
        <f t="shared" si="4"/>
        <v>20228</v>
      </c>
      <c r="G10" s="16">
        <f t="shared" si="2"/>
        <v>0</v>
      </c>
      <c r="H10" s="42">
        <f t="shared" si="4"/>
        <v>239920</v>
      </c>
      <c r="I10" s="16">
        <f t="shared" si="3"/>
        <v>0</v>
      </c>
      <c r="J10" s="42">
        <f t="shared" si="4"/>
        <v>303517</v>
      </c>
      <c r="K10" s="16">
        <f t="shared" si="5"/>
        <v>0</v>
      </c>
      <c r="L10" s="42">
        <f t="shared" si="4"/>
        <v>24786</v>
      </c>
      <c r="M10" s="16">
        <f t="shared" si="6"/>
        <v>0</v>
      </c>
      <c r="N10" s="42">
        <f t="shared" si="4"/>
        <v>213284</v>
      </c>
      <c r="O10" s="16">
        <f t="shared" si="7"/>
        <v>0</v>
      </c>
      <c r="P10" s="42">
        <f t="shared" si="4"/>
        <v>98371</v>
      </c>
      <c r="Q10" s="16">
        <f>P10-P9</f>
        <v>0</v>
      </c>
      <c r="R10" s="1">
        <f t="shared" si="9"/>
        <v>55047</v>
      </c>
      <c r="S10" s="16">
        <f>R10-R9</f>
        <v>0</v>
      </c>
      <c r="T10" s="42">
        <f t="shared" si="4"/>
        <v>3585</v>
      </c>
      <c r="U10" s="16">
        <f t="shared" si="11"/>
        <v>0</v>
      </c>
    </row>
    <row r="11" spans="1:24" ht="13.5" thickBot="1" x14ac:dyDescent="0.25">
      <c r="A11" s="10">
        <v>44294</v>
      </c>
      <c r="B11" s="42">
        <f t="shared" si="4"/>
        <v>45053</v>
      </c>
      <c r="C11" s="16">
        <f t="shared" si="0"/>
        <v>0</v>
      </c>
      <c r="D11" s="42">
        <f t="shared" si="4"/>
        <v>39398</v>
      </c>
      <c r="E11" s="16">
        <f t="shared" si="1"/>
        <v>0</v>
      </c>
      <c r="F11" s="42">
        <f t="shared" si="4"/>
        <v>20228</v>
      </c>
      <c r="G11" s="16">
        <f t="shared" si="2"/>
        <v>0</v>
      </c>
      <c r="H11" s="42">
        <f t="shared" si="4"/>
        <v>239920</v>
      </c>
      <c r="I11" s="16">
        <f t="shared" si="3"/>
        <v>0</v>
      </c>
      <c r="J11" s="42">
        <f t="shared" si="4"/>
        <v>303517</v>
      </c>
      <c r="K11" s="16">
        <f t="shared" si="5"/>
        <v>0</v>
      </c>
      <c r="L11" s="42">
        <f t="shared" si="4"/>
        <v>24786</v>
      </c>
      <c r="M11" s="16">
        <f t="shared" si="6"/>
        <v>0</v>
      </c>
      <c r="N11" s="42">
        <f t="shared" si="4"/>
        <v>213284</v>
      </c>
      <c r="O11" s="16">
        <f t="shared" si="7"/>
        <v>0</v>
      </c>
      <c r="P11" s="42">
        <f t="shared" si="4"/>
        <v>98371</v>
      </c>
      <c r="Q11" s="16">
        <f t="shared" si="8"/>
        <v>0</v>
      </c>
      <c r="R11" s="1">
        <f t="shared" si="9"/>
        <v>55047</v>
      </c>
      <c r="S11" s="16">
        <f t="shared" si="10"/>
        <v>0</v>
      </c>
      <c r="T11" s="42">
        <f t="shared" si="4"/>
        <v>3585</v>
      </c>
      <c r="U11" s="16">
        <f t="shared" si="11"/>
        <v>0</v>
      </c>
    </row>
    <row r="12" spans="1:24" ht="13.5" thickBot="1" x14ac:dyDescent="0.25">
      <c r="A12" s="10">
        <v>44295</v>
      </c>
      <c r="B12" s="42">
        <f t="shared" si="4"/>
        <v>45053</v>
      </c>
      <c r="C12" s="16">
        <f t="shared" si="0"/>
        <v>0</v>
      </c>
      <c r="D12" s="42">
        <f t="shared" si="4"/>
        <v>39398</v>
      </c>
      <c r="E12" s="16">
        <f t="shared" si="1"/>
        <v>0</v>
      </c>
      <c r="F12" s="42">
        <f t="shared" si="4"/>
        <v>20228</v>
      </c>
      <c r="G12" s="16">
        <f t="shared" si="2"/>
        <v>0</v>
      </c>
      <c r="H12" s="42">
        <f t="shared" si="4"/>
        <v>239920</v>
      </c>
      <c r="I12" s="16">
        <f t="shared" si="3"/>
        <v>0</v>
      </c>
      <c r="J12" s="42">
        <f t="shared" si="4"/>
        <v>303517</v>
      </c>
      <c r="K12" s="16">
        <f t="shared" si="5"/>
        <v>0</v>
      </c>
      <c r="L12" s="42">
        <f t="shared" si="4"/>
        <v>24786</v>
      </c>
      <c r="M12" s="16">
        <f t="shared" si="6"/>
        <v>0</v>
      </c>
      <c r="N12" s="42">
        <f t="shared" si="4"/>
        <v>213284</v>
      </c>
      <c r="O12" s="16">
        <f t="shared" si="7"/>
        <v>0</v>
      </c>
      <c r="P12" s="42">
        <f t="shared" si="4"/>
        <v>98371</v>
      </c>
      <c r="Q12" s="16">
        <f t="shared" si="8"/>
        <v>0</v>
      </c>
      <c r="R12" s="1">
        <f t="shared" si="9"/>
        <v>55047</v>
      </c>
      <c r="S12" s="16">
        <f t="shared" si="10"/>
        <v>0</v>
      </c>
      <c r="T12" s="42">
        <f t="shared" si="4"/>
        <v>3585</v>
      </c>
      <c r="U12" s="16">
        <f t="shared" si="11"/>
        <v>0</v>
      </c>
    </row>
    <row r="13" spans="1:24" ht="13.5" thickBot="1" x14ac:dyDescent="0.25">
      <c r="A13" s="10">
        <v>44296</v>
      </c>
      <c r="B13" s="42">
        <f t="shared" ref="B13:B33" si="12">B12</f>
        <v>45053</v>
      </c>
      <c r="C13" s="16">
        <f t="shared" si="0"/>
        <v>0</v>
      </c>
      <c r="D13" s="42">
        <f t="shared" si="4"/>
        <v>39398</v>
      </c>
      <c r="E13" s="16">
        <f t="shared" si="1"/>
        <v>0</v>
      </c>
      <c r="F13" s="42">
        <f t="shared" si="4"/>
        <v>20228</v>
      </c>
      <c r="G13" s="16">
        <f t="shared" si="2"/>
        <v>0</v>
      </c>
      <c r="H13" s="42">
        <f t="shared" si="4"/>
        <v>239920</v>
      </c>
      <c r="I13" s="16">
        <f t="shared" si="3"/>
        <v>0</v>
      </c>
      <c r="J13" s="42">
        <f t="shared" si="4"/>
        <v>303517</v>
      </c>
      <c r="K13" s="16">
        <f t="shared" si="5"/>
        <v>0</v>
      </c>
      <c r="L13" s="42">
        <f t="shared" si="4"/>
        <v>24786</v>
      </c>
      <c r="M13" s="16">
        <f t="shared" si="6"/>
        <v>0</v>
      </c>
      <c r="N13" s="42">
        <f t="shared" si="4"/>
        <v>213284</v>
      </c>
      <c r="O13" s="16">
        <f t="shared" si="7"/>
        <v>0</v>
      </c>
      <c r="P13" s="42">
        <f t="shared" si="4"/>
        <v>98371</v>
      </c>
      <c r="Q13" s="16">
        <f t="shared" si="8"/>
        <v>0</v>
      </c>
      <c r="R13" s="1">
        <f t="shared" si="9"/>
        <v>55047</v>
      </c>
      <c r="S13" s="16">
        <f t="shared" si="10"/>
        <v>0</v>
      </c>
      <c r="T13" s="42">
        <f t="shared" si="4"/>
        <v>3585</v>
      </c>
      <c r="U13" s="16">
        <f t="shared" si="11"/>
        <v>0</v>
      </c>
    </row>
    <row r="14" spans="1:24" ht="13.5" thickBot="1" x14ac:dyDescent="0.25">
      <c r="A14" s="10">
        <v>44297</v>
      </c>
      <c r="B14" s="42">
        <f t="shared" si="12"/>
        <v>45053</v>
      </c>
      <c r="C14" s="16">
        <f t="shared" si="0"/>
        <v>0</v>
      </c>
      <c r="D14" s="42">
        <f t="shared" si="4"/>
        <v>39398</v>
      </c>
      <c r="E14" s="16">
        <f t="shared" si="1"/>
        <v>0</v>
      </c>
      <c r="F14" s="42">
        <f t="shared" si="4"/>
        <v>20228</v>
      </c>
      <c r="G14" s="16">
        <f t="shared" si="2"/>
        <v>0</v>
      </c>
      <c r="H14" s="42">
        <f t="shared" si="4"/>
        <v>239920</v>
      </c>
      <c r="I14" s="16">
        <f t="shared" si="3"/>
        <v>0</v>
      </c>
      <c r="J14" s="42">
        <f t="shared" si="4"/>
        <v>303517</v>
      </c>
      <c r="K14" s="16">
        <f t="shared" si="5"/>
        <v>0</v>
      </c>
      <c r="L14" s="42">
        <f t="shared" si="4"/>
        <v>24786</v>
      </c>
      <c r="M14" s="16">
        <f t="shared" si="6"/>
        <v>0</v>
      </c>
      <c r="N14" s="42">
        <f t="shared" si="4"/>
        <v>213284</v>
      </c>
      <c r="O14" s="16">
        <f t="shared" si="7"/>
        <v>0</v>
      </c>
      <c r="P14" s="42">
        <f t="shared" si="4"/>
        <v>98371</v>
      </c>
      <c r="Q14" s="16">
        <f t="shared" si="8"/>
        <v>0</v>
      </c>
      <c r="R14" s="1">
        <f t="shared" si="9"/>
        <v>55047</v>
      </c>
      <c r="S14" s="16">
        <f t="shared" si="10"/>
        <v>0</v>
      </c>
      <c r="T14" s="42">
        <f t="shared" si="4"/>
        <v>3585</v>
      </c>
      <c r="U14" s="16">
        <f>(T14-T13)*800/5</f>
        <v>0</v>
      </c>
    </row>
    <row r="15" spans="1:24" ht="13.5" thickBot="1" x14ac:dyDescent="0.25">
      <c r="A15" s="10">
        <v>44298</v>
      </c>
      <c r="B15" s="42">
        <f t="shared" si="12"/>
        <v>45053</v>
      </c>
      <c r="C15" s="16">
        <f t="shared" si="0"/>
        <v>0</v>
      </c>
      <c r="D15" s="42">
        <f t="shared" si="4"/>
        <v>39398</v>
      </c>
      <c r="E15" s="16">
        <f t="shared" si="1"/>
        <v>0</v>
      </c>
      <c r="F15" s="42">
        <f t="shared" si="4"/>
        <v>20228</v>
      </c>
      <c r="G15" s="16">
        <f t="shared" si="2"/>
        <v>0</v>
      </c>
      <c r="H15" s="42">
        <f t="shared" si="4"/>
        <v>239920</v>
      </c>
      <c r="I15" s="16">
        <f t="shared" si="3"/>
        <v>0</v>
      </c>
      <c r="J15" s="42">
        <f t="shared" si="4"/>
        <v>303517</v>
      </c>
      <c r="K15" s="16">
        <f t="shared" si="5"/>
        <v>0</v>
      </c>
      <c r="L15" s="42">
        <f t="shared" si="4"/>
        <v>24786</v>
      </c>
      <c r="M15" s="16">
        <f t="shared" si="6"/>
        <v>0</v>
      </c>
      <c r="N15" s="42">
        <f t="shared" si="4"/>
        <v>213284</v>
      </c>
      <c r="O15" s="16">
        <f t="shared" si="7"/>
        <v>0</v>
      </c>
      <c r="P15" s="42">
        <f t="shared" si="4"/>
        <v>98371</v>
      </c>
      <c r="Q15" s="16">
        <f t="shared" si="8"/>
        <v>0</v>
      </c>
      <c r="R15" s="1">
        <f t="shared" si="9"/>
        <v>55047</v>
      </c>
      <c r="S15" s="16">
        <f t="shared" si="10"/>
        <v>0</v>
      </c>
      <c r="T15" s="42">
        <f t="shared" si="4"/>
        <v>3585</v>
      </c>
      <c r="U15" s="16">
        <f t="shared" ref="U15" si="13">(T15-T14)*800/5</f>
        <v>0</v>
      </c>
      <c r="X15" t="s">
        <v>13</v>
      </c>
    </row>
    <row r="16" spans="1:24" ht="13.5" thickBot="1" x14ac:dyDescent="0.25">
      <c r="A16" s="10">
        <v>44299</v>
      </c>
      <c r="B16" s="42">
        <f t="shared" si="12"/>
        <v>45053</v>
      </c>
      <c r="C16" s="16">
        <f t="shared" si="0"/>
        <v>0</v>
      </c>
      <c r="D16" s="42">
        <f t="shared" si="4"/>
        <v>39398</v>
      </c>
      <c r="E16" s="16">
        <f t="shared" si="1"/>
        <v>0</v>
      </c>
      <c r="F16" s="42">
        <f t="shared" si="4"/>
        <v>20228</v>
      </c>
      <c r="G16" s="16">
        <f t="shared" si="2"/>
        <v>0</v>
      </c>
      <c r="H16" s="42">
        <f t="shared" si="4"/>
        <v>239920</v>
      </c>
      <c r="I16" s="16">
        <f t="shared" si="3"/>
        <v>0</v>
      </c>
      <c r="J16" s="42">
        <f t="shared" si="4"/>
        <v>303517</v>
      </c>
      <c r="K16" s="16">
        <f t="shared" si="5"/>
        <v>0</v>
      </c>
      <c r="L16" s="42">
        <f t="shared" si="4"/>
        <v>24786</v>
      </c>
      <c r="M16" s="16">
        <f t="shared" si="6"/>
        <v>0</v>
      </c>
      <c r="N16" s="42">
        <f t="shared" si="4"/>
        <v>213284</v>
      </c>
      <c r="O16" s="16">
        <f t="shared" si="7"/>
        <v>0</v>
      </c>
      <c r="P16" s="42">
        <f t="shared" si="4"/>
        <v>98371</v>
      </c>
      <c r="Q16" s="16">
        <f t="shared" si="8"/>
        <v>0</v>
      </c>
      <c r="R16" s="1">
        <f t="shared" si="9"/>
        <v>55047</v>
      </c>
      <c r="S16" s="16">
        <f t="shared" si="10"/>
        <v>0</v>
      </c>
      <c r="T16" s="42">
        <f t="shared" si="4"/>
        <v>3585</v>
      </c>
      <c r="U16" s="16">
        <f t="shared" si="11"/>
        <v>0</v>
      </c>
      <c r="W16" t="s">
        <v>13</v>
      </c>
    </row>
    <row r="17" spans="1:23" ht="13.5" thickBot="1" x14ac:dyDescent="0.25">
      <c r="A17" s="10">
        <v>44300</v>
      </c>
      <c r="B17" s="42">
        <f t="shared" si="12"/>
        <v>45053</v>
      </c>
      <c r="C17" s="16">
        <f t="shared" si="0"/>
        <v>0</v>
      </c>
      <c r="D17" s="42">
        <f t="shared" si="4"/>
        <v>39398</v>
      </c>
      <c r="E17" s="16">
        <f t="shared" si="1"/>
        <v>0</v>
      </c>
      <c r="F17" s="42">
        <f t="shared" si="4"/>
        <v>20228</v>
      </c>
      <c r="G17" s="16">
        <f t="shared" si="2"/>
        <v>0</v>
      </c>
      <c r="H17" s="42">
        <f t="shared" si="4"/>
        <v>239920</v>
      </c>
      <c r="I17" s="16">
        <f t="shared" si="3"/>
        <v>0</v>
      </c>
      <c r="J17" s="42">
        <f t="shared" si="4"/>
        <v>303517</v>
      </c>
      <c r="K17" s="16">
        <f t="shared" si="5"/>
        <v>0</v>
      </c>
      <c r="L17" s="42">
        <f t="shared" si="4"/>
        <v>24786</v>
      </c>
      <c r="M17" s="16">
        <f t="shared" si="6"/>
        <v>0</v>
      </c>
      <c r="N17" s="42">
        <f t="shared" si="4"/>
        <v>213284</v>
      </c>
      <c r="O17" s="16">
        <f t="shared" si="7"/>
        <v>0</v>
      </c>
      <c r="P17" s="42">
        <f t="shared" si="4"/>
        <v>98371</v>
      </c>
      <c r="Q17" s="16">
        <f t="shared" si="8"/>
        <v>0</v>
      </c>
      <c r="R17" s="1">
        <f t="shared" si="9"/>
        <v>55047</v>
      </c>
      <c r="S17" s="16">
        <f>S16</f>
        <v>0</v>
      </c>
      <c r="T17" s="42">
        <f t="shared" si="4"/>
        <v>3585</v>
      </c>
      <c r="U17" s="16">
        <f t="shared" si="11"/>
        <v>0</v>
      </c>
    </row>
    <row r="18" spans="1:23" ht="13.5" thickBot="1" x14ac:dyDescent="0.25">
      <c r="A18" s="10">
        <v>44301</v>
      </c>
      <c r="B18" s="42">
        <f t="shared" si="12"/>
        <v>45053</v>
      </c>
      <c r="C18" s="16">
        <f t="shared" si="0"/>
        <v>0</v>
      </c>
      <c r="D18" s="42">
        <f t="shared" si="4"/>
        <v>39398</v>
      </c>
      <c r="E18" s="16">
        <f t="shared" si="1"/>
        <v>0</v>
      </c>
      <c r="F18" s="42">
        <f t="shared" si="4"/>
        <v>20228</v>
      </c>
      <c r="G18" s="16">
        <f t="shared" si="2"/>
        <v>0</v>
      </c>
      <c r="H18" s="42">
        <f t="shared" si="4"/>
        <v>239920</v>
      </c>
      <c r="I18" s="16">
        <f t="shared" si="3"/>
        <v>0</v>
      </c>
      <c r="J18" s="42">
        <f t="shared" si="4"/>
        <v>303517</v>
      </c>
      <c r="K18" s="16">
        <f t="shared" si="5"/>
        <v>0</v>
      </c>
      <c r="L18" s="42">
        <f t="shared" si="4"/>
        <v>24786</v>
      </c>
      <c r="M18" s="16">
        <f t="shared" si="6"/>
        <v>0</v>
      </c>
      <c r="N18" s="42">
        <f t="shared" si="4"/>
        <v>213284</v>
      </c>
      <c r="O18" s="16">
        <f t="shared" si="7"/>
        <v>0</v>
      </c>
      <c r="P18" s="42">
        <f t="shared" si="4"/>
        <v>98371</v>
      </c>
      <c r="Q18" s="16">
        <f t="shared" si="8"/>
        <v>0</v>
      </c>
      <c r="R18" s="1">
        <v>55047</v>
      </c>
      <c r="S18" s="16">
        <f t="shared" si="10"/>
        <v>0</v>
      </c>
      <c r="T18" s="42">
        <f t="shared" si="4"/>
        <v>3585</v>
      </c>
      <c r="U18" s="16">
        <f t="shared" si="11"/>
        <v>0</v>
      </c>
    </row>
    <row r="19" spans="1:23" ht="13.5" thickBot="1" x14ac:dyDescent="0.25">
      <c r="A19" s="10">
        <v>44302</v>
      </c>
      <c r="B19" s="42">
        <f t="shared" si="12"/>
        <v>45053</v>
      </c>
      <c r="C19" s="16">
        <f t="shared" si="0"/>
        <v>0</v>
      </c>
      <c r="D19" s="42">
        <f t="shared" si="4"/>
        <v>39398</v>
      </c>
      <c r="E19" s="16">
        <f t="shared" si="1"/>
        <v>0</v>
      </c>
      <c r="F19" s="42">
        <f t="shared" si="4"/>
        <v>20228</v>
      </c>
      <c r="G19" s="16">
        <f t="shared" si="2"/>
        <v>0</v>
      </c>
      <c r="H19" s="42">
        <f t="shared" si="4"/>
        <v>239920</v>
      </c>
      <c r="I19" s="16">
        <f t="shared" si="3"/>
        <v>0</v>
      </c>
      <c r="J19" s="42">
        <f t="shared" si="4"/>
        <v>303517</v>
      </c>
      <c r="K19" s="16">
        <f t="shared" si="5"/>
        <v>0</v>
      </c>
      <c r="L19" s="42">
        <f t="shared" si="4"/>
        <v>24786</v>
      </c>
      <c r="M19" s="16">
        <f t="shared" si="6"/>
        <v>0</v>
      </c>
      <c r="N19" s="42">
        <f t="shared" si="4"/>
        <v>213284</v>
      </c>
      <c r="O19" s="16">
        <f t="shared" si="7"/>
        <v>0</v>
      </c>
      <c r="P19" s="42">
        <f t="shared" si="4"/>
        <v>98371</v>
      </c>
      <c r="Q19" s="16">
        <f t="shared" si="8"/>
        <v>0</v>
      </c>
      <c r="R19" s="1">
        <f t="shared" si="9"/>
        <v>55047</v>
      </c>
      <c r="S19" s="16">
        <f t="shared" si="10"/>
        <v>0</v>
      </c>
      <c r="T19" s="42">
        <f t="shared" si="4"/>
        <v>3585</v>
      </c>
      <c r="U19" s="16">
        <f t="shared" si="11"/>
        <v>0</v>
      </c>
      <c r="W19" t="s">
        <v>13</v>
      </c>
    </row>
    <row r="20" spans="1:23" ht="13.5" thickBot="1" x14ac:dyDescent="0.25">
      <c r="A20" s="10">
        <v>44303</v>
      </c>
      <c r="B20" s="42">
        <f t="shared" si="12"/>
        <v>45053</v>
      </c>
      <c r="C20" s="16">
        <f t="shared" si="0"/>
        <v>0</v>
      </c>
      <c r="D20" s="42">
        <f t="shared" si="4"/>
        <v>39398</v>
      </c>
      <c r="E20" s="16">
        <f t="shared" si="1"/>
        <v>0</v>
      </c>
      <c r="F20" s="42">
        <f t="shared" si="4"/>
        <v>20228</v>
      </c>
      <c r="G20" s="16">
        <f t="shared" si="2"/>
        <v>0</v>
      </c>
      <c r="H20" s="42">
        <f t="shared" si="4"/>
        <v>239920</v>
      </c>
      <c r="I20" s="16">
        <f t="shared" si="3"/>
        <v>0</v>
      </c>
      <c r="J20" s="42">
        <f t="shared" si="4"/>
        <v>303517</v>
      </c>
      <c r="K20" s="16">
        <v>0</v>
      </c>
      <c r="L20" s="42">
        <f t="shared" si="4"/>
        <v>24786</v>
      </c>
      <c r="M20" s="16">
        <f t="shared" si="6"/>
        <v>0</v>
      </c>
      <c r="N20" s="42">
        <f t="shared" si="4"/>
        <v>213284</v>
      </c>
      <c r="O20" s="16">
        <f t="shared" si="7"/>
        <v>0</v>
      </c>
      <c r="P20" s="42">
        <f t="shared" si="4"/>
        <v>98371</v>
      </c>
      <c r="Q20" s="16">
        <f t="shared" si="8"/>
        <v>0</v>
      </c>
      <c r="R20" s="1">
        <f t="shared" si="9"/>
        <v>55047</v>
      </c>
      <c r="S20" s="16">
        <f t="shared" si="10"/>
        <v>0</v>
      </c>
      <c r="T20" s="42">
        <f t="shared" si="4"/>
        <v>3585</v>
      </c>
      <c r="U20" s="16">
        <f t="shared" si="11"/>
        <v>0</v>
      </c>
    </row>
    <row r="21" spans="1:23" ht="13.5" thickBot="1" x14ac:dyDescent="0.25">
      <c r="A21" s="10">
        <v>44304</v>
      </c>
      <c r="B21" s="42">
        <f t="shared" si="12"/>
        <v>45053</v>
      </c>
      <c r="C21" s="16">
        <f t="shared" si="0"/>
        <v>0</v>
      </c>
      <c r="D21" s="42">
        <f t="shared" si="4"/>
        <v>39398</v>
      </c>
      <c r="E21" s="16">
        <f t="shared" si="1"/>
        <v>0</v>
      </c>
      <c r="F21" s="42">
        <f t="shared" si="4"/>
        <v>20228</v>
      </c>
      <c r="G21" s="16">
        <f t="shared" si="2"/>
        <v>0</v>
      </c>
      <c r="H21" s="42">
        <f t="shared" si="4"/>
        <v>239920</v>
      </c>
      <c r="I21" s="16">
        <f t="shared" si="3"/>
        <v>0</v>
      </c>
      <c r="J21" s="42">
        <f t="shared" si="4"/>
        <v>303517</v>
      </c>
      <c r="K21" s="16">
        <f t="shared" si="5"/>
        <v>0</v>
      </c>
      <c r="L21" s="42">
        <f t="shared" si="4"/>
        <v>24786</v>
      </c>
      <c r="M21" s="16">
        <f t="shared" si="6"/>
        <v>0</v>
      </c>
      <c r="N21" s="42">
        <f t="shared" si="4"/>
        <v>213284</v>
      </c>
      <c r="O21" s="16">
        <f t="shared" si="7"/>
        <v>0</v>
      </c>
      <c r="P21" s="42">
        <f t="shared" si="4"/>
        <v>98371</v>
      </c>
      <c r="Q21" s="16">
        <f t="shared" si="8"/>
        <v>0</v>
      </c>
      <c r="R21" s="1">
        <f t="shared" si="9"/>
        <v>55047</v>
      </c>
      <c r="S21" s="16">
        <f t="shared" si="10"/>
        <v>0</v>
      </c>
      <c r="T21" s="42">
        <f t="shared" si="4"/>
        <v>3585</v>
      </c>
      <c r="U21" s="16">
        <f t="shared" si="11"/>
        <v>0</v>
      </c>
    </row>
    <row r="22" spans="1:23" ht="13.5" thickBot="1" x14ac:dyDescent="0.25">
      <c r="A22" s="10">
        <v>44305</v>
      </c>
      <c r="B22" s="42">
        <f t="shared" si="12"/>
        <v>45053</v>
      </c>
      <c r="C22" s="16">
        <f t="shared" si="0"/>
        <v>0</v>
      </c>
      <c r="D22" s="42">
        <f t="shared" si="4"/>
        <v>39398</v>
      </c>
      <c r="E22" s="16">
        <f t="shared" si="1"/>
        <v>0</v>
      </c>
      <c r="F22" s="42">
        <f t="shared" si="4"/>
        <v>20228</v>
      </c>
      <c r="G22" s="16">
        <f t="shared" si="2"/>
        <v>0</v>
      </c>
      <c r="H22" s="42">
        <f t="shared" si="4"/>
        <v>239920</v>
      </c>
      <c r="I22" s="16">
        <f t="shared" si="3"/>
        <v>0</v>
      </c>
      <c r="J22" s="42">
        <f t="shared" si="4"/>
        <v>303517</v>
      </c>
      <c r="K22" s="16">
        <f t="shared" si="5"/>
        <v>0</v>
      </c>
      <c r="L22" s="42">
        <f t="shared" si="4"/>
        <v>24786</v>
      </c>
      <c r="M22" s="16">
        <f t="shared" si="6"/>
        <v>0</v>
      </c>
      <c r="N22" s="42">
        <f t="shared" si="4"/>
        <v>213284</v>
      </c>
      <c r="O22" s="16">
        <f t="shared" si="7"/>
        <v>0</v>
      </c>
      <c r="P22" s="42">
        <f t="shared" si="4"/>
        <v>98371</v>
      </c>
      <c r="Q22" s="16">
        <f t="shared" si="8"/>
        <v>0</v>
      </c>
      <c r="R22" s="1">
        <f t="shared" si="9"/>
        <v>55047</v>
      </c>
      <c r="S22" s="16">
        <f t="shared" si="10"/>
        <v>0</v>
      </c>
      <c r="T22" s="42">
        <f t="shared" si="4"/>
        <v>3585</v>
      </c>
      <c r="U22" s="16">
        <f t="shared" si="11"/>
        <v>0</v>
      </c>
    </row>
    <row r="23" spans="1:23" ht="13.5" thickBot="1" x14ac:dyDescent="0.25">
      <c r="A23" s="10">
        <v>44306</v>
      </c>
      <c r="B23" s="42">
        <f t="shared" si="12"/>
        <v>45053</v>
      </c>
      <c r="C23" s="16">
        <f t="shared" si="0"/>
        <v>0</v>
      </c>
      <c r="D23" s="42">
        <f t="shared" si="4"/>
        <v>39398</v>
      </c>
      <c r="E23" s="16">
        <f t="shared" si="1"/>
        <v>0</v>
      </c>
      <c r="F23" s="42">
        <f t="shared" si="4"/>
        <v>20228</v>
      </c>
      <c r="G23" s="16">
        <f t="shared" si="2"/>
        <v>0</v>
      </c>
      <c r="H23" s="42">
        <f t="shared" si="4"/>
        <v>239920</v>
      </c>
      <c r="I23" s="16">
        <f t="shared" si="3"/>
        <v>0</v>
      </c>
      <c r="J23" s="42">
        <f t="shared" si="4"/>
        <v>303517</v>
      </c>
      <c r="K23" s="16">
        <f t="shared" si="5"/>
        <v>0</v>
      </c>
      <c r="L23" s="42">
        <f t="shared" si="4"/>
        <v>24786</v>
      </c>
      <c r="M23" s="16">
        <f t="shared" si="6"/>
        <v>0</v>
      </c>
      <c r="N23" s="42">
        <f t="shared" si="4"/>
        <v>213284</v>
      </c>
      <c r="O23" s="16">
        <f t="shared" si="7"/>
        <v>0</v>
      </c>
      <c r="P23" s="42">
        <f t="shared" si="4"/>
        <v>98371</v>
      </c>
      <c r="Q23" s="16">
        <f t="shared" si="8"/>
        <v>0</v>
      </c>
      <c r="R23" s="1">
        <f t="shared" si="9"/>
        <v>55047</v>
      </c>
      <c r="S23" s="16">
        <f t="shared" si="10"/>
        <v>0</v>
      </c>
      <c r="T23" s="42">
        <f t="shared" si="4"/>
        <v>3585</v>
      </c>
      <c r="U23" s="16">
        <f t="shared" si="11"/>
        <v>0</v>
      </c>
    </row>
    <row r="24" spans="1:23" s="156" customFormat="1" ht="13.5" thickBot="1" x14ac:dyDescent="0.25">
      <c r="A24" s="10">
        <v>44307</v>
      </c>
      <c r="B24" s="42">
        <f t="shared" si="12"/>
        <v>45053</v>
      </c>
      <c r="C24" s="16">
        <f t="shared" si="0"/>
        <v>0</v>
      </c>
      <c r="D24" s="42">
        <f t="shared" si="4"/>
        <v>39398</v>
      </c>
      <c r="E24" s="16">
        <f t="shared" si="1"/>
        <v>0</v>
      </c>
      <c r="F24" s="42">
        <f t="shared" si="4"/>
        <v>20228</v>
      </c>
      <c r="G24" s="16">
        <f t="shared" si="2"/>
        <v>0</v>
      </c>
      <c r="H24" s="42">
        <f t="shared" si="4"/>
        <v>239920</v>
      </c>
      <c r="I24" s="16">
        <f t="shared" si="3"/>
        <v>0</v>
      </c>
      <c r="J24" s="42">
        <f t="shared" si="4"/>
        <v>303517</v>
      </c>
      <c r="K24" s="16">
        <f t="shared" si="5"/>
        <v>0</v>
      </c>
      <c r="L24" s="42">
        <f t="shared" si="4"/>
        <v>24786</v>
      </c>
      <c r="M24" s="16">
        <f t="shared" si="6"/>
        <v>0</v>
      </c>
      <c r="N24" s="42">
        <f t="shared" si="4"/>
        <v>213284</v>
      </c>
      <c r="O24" s="16">
        <f t="shared" si="7"/>
        <v>0</v>
      </c>
      <c r="P24" s="42">
        <f t="shared" si="4"/>
        <v>98371</v>
      </c>
      <c r="Q24" s="16">
        <f t="shared" si="8"/>
        <v>0</v>
      </c>
      <c r="R24" s="1">
        <f t="shared" si="9"/>
        <v>55047</v>
      </c>
      <c r="S24" s="16">
        <f t="shared" si="10"/>
        <v>0</v>
      </c>
      <c r="T24" s="42">
        <f t="shared" si="4"/>
        <v>3585</v>
      </c>
      <c r="U24" s="16">
        <f t="shared" si="11"/>
        <v>0</v>
      </c>
    </row>
    <row r="25" spans="1:23" ht="13.5" thickBot="1" x14ac:dyDescent="0.25">
      <c r="A25" s="10">
        <v>44308</v>
      </c>
      <c r="B25" s="42">
        <f t="shared" si="12"/>
        <v>45053</v>
      </c>
      <c r="C25" s="16">
        <f t="shared" si="0"/>
        <v>0</v>
      </c>
      <c r="D25" s="42">
        <f t="shared" si="4"/>
        <v>39398</v>
      </c>
      <c r="E25" s="16">
        <f t="shared" si="1"/>
        <v>0</v>
      </c>
      <c r="F25" s="42">
        <f t="shared" si="4"/>
        <v>20228</v>
      </c>
      <c r="G25" s="16">
        <f t="shared" si="2"/>
        <v>0</v>
      </c>
      <c r="H25" s="42">
        <f t="shared" si="4"/>
        <v>239920</v>
      </c>
      <c r="I25" s="16">
        <f t="shared" si="3"/>
        <v>0</v>
      </c>
      <c r="J25" s="42">
        <f t="shared" si="4"/>
        <v>303517</v>
      </c>
      <c r="K25" s="16">
        <f t="shared" si="5"/>
        <v>0</v>
      </c>
      <c r="L25" s="42">
        <f t="shared" si="4"/>
        <v>24786</v>
      </c>
      <c r="M25" s="16">
        <f t="shared" si="6"/>
        <v>0</v>
      </c>
      <c r="N25" s="42">
        <f t="shared" si="4"/>
        <v>213284</v>
      </c>
      <c r="O25" s="16">
        <f t="shared" si="7"/>
        <v>0</v>
      </c>
      <c r="P25" s="42">
        <f t="shared" si="4"/>
        <v>98371</v>
      </c>
      <c r="Q25" s="16">
        <f t="shared" si="8"/>
        <v>0</v>
      </c>
      <c r="R25" s="1">
        <f t="shared" si="9"/>
        <v>55047</v>
      </c>
      <c r="S25" s="16">
        <f t="shared" si="10"/>
        <v>0</v>
      </c>
      <c r="T25" s="42">
        <f t="shared" si="4"/>
        <v>3585</v>
      </c>
      <c r="U25" s="16">
        <f t="shared" si="11"/>
        <v>0</v>
      </c>
      <c r="V25" t="s">
        <v>13</v>
      </c>
    </row>
    <row r="26" spans="1:23" ht="12.75" customHeight="1" thickBot="1" x14ac:dyDescent="0.25">
      <c r="A26" s="10">
        <v>44309</v>
      </c>
      <c r="B26" s="42">
        <f t="shared" si="12"/>
        <v>45053</v>
      </c>
      <c r="C26" s="16">
        <f t="shared" si="0"/>
        <v>0</v>
      </c>
      <c r="D26" s="42">
        <f t="shared" si="4"/>
        <v>39398</v>
      </c>
      <c r="E26" s="16">
        <f t="shared" si="1"/>
        <v>0</v>
      </c>
      <c r="F26" s="42">
        <f t="shared" si="4"/>
        <v>20228</v>
      </c>
      <c r="G26" s="16">
        <f t="shared" si="2"/>
        <v>0</v>
      </c>
      <c r="H26" s="42">
        <f t="shared" si="4"/>
        <v>239920</v>
      </c>
      <c r="I26" s="16">
        <f t="shared" si="3"/>
        <v>0</v>
      </c>
      <c r="J26" s="42">
        <f t="shared" si="4"/>
        <v>303517</v>
      </c>
      <c r="K26" s="16">
        <f t="shared" si="5"/>
        <v>0</v>
      </c>
      <c r="L26" s="42">
        <f t="shared" si="4"/>
        <v>24786</v>
      </c>
      <c r="M26" s="16">
        <f t="shared" si="6"/>
        <v>0</v>
      </c>
      <c r="N26" s="42">
        <f t="shared" si="4"/>
        <v>213284</v>
      </c>
      <c r="O26" s="16">
        <f t="shared" si="7"/>
        <v>0</v>
      </c>
      <c r="P26" s="42">
        <f t="shared" si="4"/>
        <v>98371</v>
      </c>
      <c r="Q26" s="16">
        <f t="shared" si="8"/>
        <v>0</v>
      </c>
      <c r="R26" s="1">
        <f t="shared" si="9"/>
        <v>55047</v>
      </c>
      <c r="S26" s="16">
        <f t="shared" si="10"/>
        <v>0</v>
      </c>
      <c r="T26" s="42">
        <f t="shared" si="4"/>
        <v>3585</v>
      </c>
      <c r="U26" s="16">
        <f t="shared" si="11"/>
        <v>0</v>
      </c>
      <c r="W26" t="s">
        <v>13</v>
      </c>
    </row>
    <row r="27" spans="1:23" ht="13.5" thickBot="1" x14ac:dyDescent="0.25">
      <c r="A27" s="10">
        <v>44310</v>
      </c>
      <c r="B27" s="42">
        <f t="shared" si="12"/>
        <v>45053</v>
      </c>
      <c r="C27" s="16">
        <f t="shared" si="0"/>
        <v>0</v>
      </c>
      <c r="D27" s="42">
        <f t="shared" si="4"/>
        <v>39398</v>
      </c>
      <c r="E27" s="16">
        <f t="shared" si="1"/>
        <v>0</v>
      </c>
      <c r="F27" s="42">
        <f t="shared" si="4"/>
        <v>20228</v>
      </c>
      <c r="G27" s="16">
        <f t="shared" si="2"/>
        <v>0</v>
      </c>
      <c r="H27" s="42">
        <f t="shared" si="4"/>
        <v>239920</v>
      </c>
      <c r="I27" s="16">
        <f t="shared" si="3"/>
        <v>0</v>
      </c>
      <c r="J27" s="42">
        <f t="shared" si="4"/>
        <v>303517</v>
      </c>
      <c r="K27" s="16">
        <f t="shared" si="5"/>
        <v>0</v>
      </c>
      <c r="L27" s="42">
        <f t="shared" si="4"/>
        <v>24786</v>
      </c>
      <c r="M27" s="16">
        <f t="shared" si="6"/>
        <v>0</v>
      </c>
      <c r="N27" s="42">
        <f t="shared" si="4"/>
        <v>213284</v>
      </c>
      <c r="O27" s="16">
        <f t="shared" si="7"/>
        <v>0</v>
      </c>
      <c r="P27" s="42">
        <f t="shared" si="4"/>
        <v>98371</v>
      </c>
      <c r="Q27" s="16">
        <f t="shared" si="8"/>
        <v>0</v>
      </c>
      <c r="R27" s="1">
        <v>55047</v>
      </c>
      <c r="S27" s="16">
        <f t="shared" si="10"/>
        <v>0</v>
      </c>
      <c r="T27" s="42">
        <f t="shared" si="4"/>
        <v>3585</v>
      </c>
      <c r="U27" s="16">
        <f t="shared" si="11"/>
        <v>0</v>
      </c>
    </row>
    <row r="28" spans="1:23" ht="13.5" thickBot="1" x14ac:dyDescent="0.25">
      <c r="A28" s="10">
        <v>44311</v>
      </c>
      <c r="B28" s="42">
        <f t="shared" si="12"/>
        <v>45053</v>
      </c>
      <c r="C28" s="16">
        <f t="shared" si="0"/>
        <v>0</v>
      </c>
      <c r="D28" s="42">
        <f t="shared" si="4"/>
        <v>39398</v>
      </c>
      <c r="E28" s="16">
        <f t="shared" si="1"/>
        <v>0</v>
      </c>
      <c r="F28" s="42">
        <f t="shared" si="4"/>
        <v>20228</v>
      </c>
      <c r="G28" s="16">
        <f t="shared" si="2"/>
        <v>0</v>
      </c>
      <c r="H28" s="42">
        <f t="shared" si="4"/>
        <v>239920</v>
      </c>
      <c r="I28" s="16">
        <f t="shared" si="3"/>
        <v>0</v>
      </c>
      <c r="J28" s="42">
        <f t="shared" si="4"/>
        <v>303517</v>
      </c>
      <c r="K28" s="16">
        <f t="shared" si="5"/>
        <v>0</v>
      </c>
      <c r="L28" s="42">
        <f t="shared" si="4"/>
        <v>24786</v>
      </c>
      <c r="M28" s="16">
        <f t="shared" si="6"/>
        <v>0</v>
      </c>
      <c r="N28" s="42">
        <f t="shared" si="4"/>
        <v>213284</v>
      </c>
      <c r="O28" s="16">
        <f t="shared" si="7"/>
        <v>0</v>
      </c>
      <c r="P28" s="42">
        <f t="shared" si="4"/>
        <v>98371</v>
      </c>
      <c r="Q28" s="17">
        <f t="shared" si="8"/>
        <v>0</v>
      </c>
      <c r="R28" s="1">
        <v>55047</v>
      </c>
      <c r="S28" s="17">
        <f t="shared" si="10"/>
        <v>0</v>
      </c>
      <c r="T28" s="42">
        <f t="shared" si="4"/>
        <v>3585</v>
      </c>
      <c r="U28" s="16">
        <f t="shared" si="11"/>
        <v>0</v>
      </c>
    </row>
    <row r="29" spans="1:23" ht="13.5" thickBot="1" x14ac:dyDescent="0.25">
      <c r="A29" s="10">
        <v>44312</v>
      </c>
      <c r="B29" s="42">
        <f t="shared" si="12"/>
        <v>45053</v>
      </c>
      <c r="C29" s="16">
        <f t="shared" si="0"/>
        <v>0</v>
      </c>
      <c r="D29" s="42">
        <f t="shared" si="4"/>
        <v>39398</v>
      </c>
      <c r="E29" s="16">
        <f t="shared" si="1"/>
        <v>0</v>
      </c>
      <c r="F29" s="42">
        <f t="shared" si="4"/>
        <v>20228</v>
      </c>
      <c r="G29" s="16">
        <f t="shared" si="2"/>
        <v>0</v>
      </c>
      <c r="H29" s="42">
        <f t="shared" si="4"/>
        <v>239920</v>
      </c>
      <c r="I29" s="16">
        <f t="shared" si="3"/>
        <v>0</v>
      </c>
      <c r="J29" s="42">
        <f t="shared" si="4"/>
        <v>303517</v>
      </c>
      <c r="K29" s="16">
        <f t="shared" si="5"/>
        <v>0</v>
      </c>
      <c r="L29" s="42">
        <f t="shared" si="4"/>
        <v>24786</v>
      </c>
      <c r="M29" s="16">
        <f t="shared" si="6"/>
        <v>0</v>
      </c>
      <c r="N29" s="42">
        <f t="shared" si="4"/>
        <v>213284</v>
      </c>
      <c r="O29" s="16">
        <f t="shared" si="7"/>
        <v>0</v>
      </c>
      <c r="P29" s="42">
        <f t="shared" si="4"/>
        <v>98371</v>
      </c>
      <c r="Q29" s="16">
        <f t="shared" si="8"/>
        <v>0</v>
      </c>
      <c r="R29" s="1">
        <f t="shared" si="9"/>
        <v>55047</v>
      </c>
      <c r="S29" s="16">
        <f t="shared" si="10"/>
        <v>0</v>
      </c>
      <c r="T29" s="42">
        <f t="shared" si="4"/>
        <v>3585</v>
      </c>
      <c r="U29" s="16">
        <f t="shared" si="11"/>
        <v>0</v>
      </c>
    </row>
    <row r="30" spans="1:23" ht="13.5" thickBot="1" x14ac:dyDescent="0.25">
      <c r="A30" s="10">
        <v>44313</v>
      </c>
      <c r="B30" s="42">
        <f t="shared" si="12"/>
        <v>45053</v>
      </c>
      <c r="C30" s="16">
        <f t="shared" si="0"/>
        <v>0</v>
      </c>
      <c r="D30" s="42">
        <f t="shared" si="4"/>
        <v>39398</v>
      </c>
      <c r="E30" s="16">
        <f t="shared" si="1"/>
        <v>0</v>
      </c>
      <c r="F30" s="42">
        <f t="shared" si="4"/>
        <v>20228</v>
      </c>
      <c r="G30" s="16">
        <f t="shared" si="2"/>
        <v>0</v>
      </c>
      <c r="H30" s="42">
        <f t="shared" si="4"/>
        <v>239920</v>
      </c>
      <c r="I30" s="16">
        <f t="shared" si="3"/>
        <v>0</v>
      </c>
      <c r="J30" s="42">
        <f t="shared" si="4"/>
        <v>303517</v>
      </c>
      <c r="K30" s="16">
        <f t="shared" si="5"/>
        <v>0</v>
      </c>
      <c r="L30" s="42">
        <f t="shared" si="4"/>
        <v>24786</v>
      </c>
      <c r="M30" s="16">
        <f t="shared" si="6"/>
        <v>0</v>
      </c>
      <c r="N30" s="42">
        <f t="shared" si="4"/>
        <v>213284</v>
      </c>
      <c r="O30" s="16">
        <f t="shared" si="7"/>
        <v>0</v>
      </c>
      <c r="P30" s="42">
        <f t="shared" si="4"/>
        <v>98371</v>
      </c>
      <c r="Q30" s="16">
        <f t="shared" si="8"/>
        <v>0</v>
      </c>
      <c r="R30" s="1">
        <v>55047</v>
      </c>
      <c r="S30" s="16">
        <f t="shared" si="10"/>
        <v>0</v>
      </c>
      <c r="T30" s="42">
        <f t="shared" si="4"/>
        <v>3585</v>
      </c>
      <c r="U30" s="16">
        <f t="shared" si="11"/>
        <v>0</v>
      </c>
    </row>
    <row r="31" spans="1:23" ht="13.5" thickBot="1" x14ac:dyDescent="0.25">
      <c r="A31" s="10">
        <v>44314</v>
      </c>
      <c r="B31" s="42">
        <f t="shared" si="12"/>
        <v>45053</v>
      </c>
      <c r="C31" s="16">
        <f t="shared" si="0"/>
        <v>0</v>
      </c>
      <c r="D31" s="42">
        <f t="shared" si="4"/>
        <v>39398</v>
      </c>
      <c r="E31" s="16">
        <f t="shared" si="1"/>
        <v>0</v>
      </c>
      <c r="F31" s="42">
        <f t="shared" si="4"/>
        <v>20228</v>
      </c>
      <c r="G31" s="16">
        <f t="shared" si="2"/>
        <v>0</v>
      </c>
      <c r="H31" s="42">
        <f t="shared" si="4"/>
        <v>239920</v>
      </c>
      <c r="I31" s="16">
        <f t="shared" si="3"/>
        <v>0</v>
      </c>
      <c r="J31" s="42">
        <f t="shared" si="4"/>
        <v>303517</v>
      </c>
      <c r="K31" s="16">
        <f t="shared" si="5"/>
        <v>0</v>
      </c>
      <c r="L31" s="42">
        <f t="shared" si="4"/>
        <v>24786</v>
      </c>
      <c r="M31" s="16">
        <f t="shared" si="6"/>
        <v>0</v>
      </c>
      <c r="N31" s="42">
        <f t="shared" si="4"/>
        <v>213284</v>
      </c>
      <c r="O31" s="16">
        <f t="shared" si="7"/>
        <v>0</v>
      </c>
      <c r="P31" s="42">
        <f t="shared" si="4"/>
        <v>98371</v>
      </c>
      <c r="Q31" s="16">
        <f t="shared" si="8"/>
        <v>0</v>
      </c>
      <c r="R31" s="1">
        <f t="shared" si="9"/>
        <v>55047</v>
      </c>
      <c r="S31" s="16">
        <f t="shared" si="10"/>
        <v>0</v>
      </c>
      <c r="T31" s="42">
        <f t="shared" si="4"/>
        <v>3585</v>
      </c>
      <c r="U31" s="16">
        <f t="shared" si="11"/>
        <v>0</v>
      </c>
    </row>
    <row r="32" spans="1:23" ht="15" customHeight="1" thickBot="1" x14ac:dyDescent="0.25">
      <c r="A32" s="10">
        <v>44315</v>
      </c>
      <c r="B32" s="42">
        <f t="shared" si="12"/>
        <v>45053</v>
      </c>
      <c r="C32" s="16">
        <f t="shared" si="0"/>
        <v>0</v>
      </c>
      <c r="D32" s="42">
        <f t="shared" si="4"/>
        <v>39398</v>
      </c>
      <c r="E32" s="16">
        <f t="shared" si="1"/>
        <v>0</v>
      </c>
      <c r="F32" s="42">
        <f t="shared" si="4"/>
        <v>20228</v>
      </c>
      <c r="G32" s="16">
        <f t="shared" si="2"/>
        <v>0</v>
      </c>
      <c r="H32" s="42">
        <f t="shared" si="4"/>
        <v>239920</v>
      </c>
      <c r="I32" s="16">
        <f t="shared" si="3"/>
        <v>0</v>
      </c>
      <c r="J32" s="42">
        <f t="shared" si="4"/>
        <v>303517</v>
      </c>
      <c r="K32" s="16">
        <f t="shared" si="5"/>
        <v>0</v>
      </c>
      <c r="L32" s="42">
        <f t="shared" si="4"/>
        <v>24786</v>
      </c>
      <c r="M32" s="16">
        <f t="shared" si="6"/>
        <v>0</v>
      </c>
      <c r="N32" s="42">
        <f t="shared" si="4"/>
        <v>213284</v>
      </c>
      <c r="O32" s="16">
        <f t="shared" si="7"/>
        <v>0</v>
      </c>
      <c r="P32" s="42">
        <f t="shared" si="4"/>
        <v>98371</v>
      </c>
      <c r="Q32" s="16">
        <f t="shared" si="8"/>
        <v>0</v>
      </c>
      <c r="R32" s="1">
        <v>55047</v>
      </c>
      <c r="S32" s="16">
        <f t="shared" si="10"/>
        <v>0</v>
      </c>
      <c r="T32" s="42">
        <f t="shared" si="4"/>
        <v>3585</v>
      </c>
      <c r="U32" s="16">
        <f t="shared" si="11"/>
        <v>0</v>
      </c>
      <c r="V32" t="s">
        <v>13</v>
      </c>
    </row>
    <row r="33" spans="1:21" ht="13.5" thickBot="1" x14ac:dyDescent="0.25">
      <c r="A33" s="10">
        <v>44316</v>
      </c>
      <c r="B33" s="42">
        <f t="shared" si="12"/>
        <v>45053</v>
      </c>
      <c r="C33" s="16">
        <f t="shared" si="0"/>
        <v>0</v>
      </c>
      <c r="D33" s="42">
        <f t="shared" si="4"/>
        <v>39398</v>
      </c>
      <c r="E33" s="16">
        <f t="shared" si="1"/>
        <v>0</v>
      </c>
      <c r="F33" s="42">
        <f t="shared" si="4"/>
        <v>20228</v>
      </c>
      <c r="G33" s="16">
        <f t="shared" si="2"/>
        <v>0</v>
      </c>
      <c r="H33" s="42">
        <f t="shared" si="4"/>
        <v>239920</v>
      </c>
      <c r="I33" s="16">
        <f t="shared" si="3"/>
        <v>0</v>
      </c>
      <c r="J33" s="42">
        <f t="shared" ref="J33" si="14">J32</f>
        <v>303517</v>
      </c>
      <c r="K33" s="16">
        <f t="shared" si="5"/>
        <v>0</v>
      </c>
      <c r="L33" s="42">
        <f t="shared" ref="L33" si="15">L32</f>
        <v>24786</v>
      </c>
      <c r="M33" s="16">
        <f t="shared" si="6"/>
        <v>0</v>
      </c>
      <c r="N33" s="42">
        <f>N32</f>
        <v>213284</v>
      </c>
      <c r="O33" s="16">
        <f t="shared" si="7"/>
        <v>0</v>
      </c>
      <c r="P33" s="42">
        <f t="shared" ref="P33" si="16">P32</f>
        <v>98371</v>
      </c>
      <c r="Q33" s="16">
        <f t="shared" si="8"/>
        <v>0</v>
      </c>
      <c r="R33" s="1">
        <f t="shared" si="9"/>
        <v>55047</v>
      </c>
      <c r="S33" s="16">
        <f t="shared" si="10"/>
        <v>0</v>
      </c>
      <c r="T33" s="42">
        <f t="shared" ref="T33" si="17">T32</f>
        <v>3585</v>
      </c>
      <c r="U33" s="16">
        <f t="shared" si="11"/>
        <v>0</v>
      </c>
    </row>
    <row r="34" spans="1:21" ht="16.5" thickBot="1" x14ac:dyDescent="0.3">
      <c r="A34" s="10" t="s">
        <v>24</v>
      </c>
      <c r="B34" s="1"/>
      <c r="C34" s="11">
        <f>SUM(C3:C33)</f>
        <v>2240</v>
      </c>
      <c r="D34" s="13"/>
      <c r="E34" s="11">
        <f>SUM(E3:E33)</f>
        <v>800</v>
      </c>
      <c r="F34" s="13"/>
      <c r="G34" s="11">
        <f>SUM(G3:G33)</f>
        <v>140</v>
      </c>
      <c r="H34" s="13"/>
      <c r="I34" s="11">
        <f>SUM(I3:I33)</f>
        <v>71</v>
      </c>
      <c r="J34" s="13"/>
      <c r="K34" s="11">
        <f>SUM(K3:K33)</f>
        <v>0</v>
      </c>
      <c r="L34" s="13"/>
      <c r="M34" s="11">
        <f>SUM(M3:M33)</f>
        <v>1280</v>
      </c>
      <c r="N34" s="43"/>
      <c r="O34" s="11">
        <f>SUM(O3:O33)</f>
        <v>380</v>
      </c>
      <c r="P34" s="13"/>
      <c r="Q34" s="11">
        <f>SUM(Q3:Q33)</f>
        <v>81</v>
      </c>
      <c r="R34" s="1"/>
      <c r="S34" s="11">
        <f>SUM(S3:S33)</f>
        <v>0</v>
      </c>
      <c r="T34" s="1"/>
      <c r="U34" s="11">
        <f>SUM(U3:U33)</f>
        <v>480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4" sqref="A4:XFD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407443</v>
      </c>
      <c r="C2" s="49">
        <v>0</v>
      </c>
      <c r="D2" s="3">
        <v>3767800</v>
      </c>
      <c r="E2" s="49">
        <v>0</v>
      </c>
      <c r="F2" s="3">
        <v>2454800</v>
      </c>
      <c r="G2" s="49">
        <v>0</v>
      </c>
      <c r="H2" s="3">
        <v>726024</v>
      </c>
      <c r="I2" s="54"/>
      <c r="J2" s="23"/>
      <c r="K2" s="24"/>
    </row>
    <row r="3" spans="1:14" ht="16.5" thickBot="1" x14ac:dyDescent="0.3">
      <c r="A3" s="10">
        <v>44286</v>
      </c>
      <c r="B3" s="3">
        <v>407517</v>
      </c>
      <c r="C3" s="49">
        <v>740</v>
      </c>
      <c r="D3" s="3">
        <v>3781100</v>
      </c>
      <c r="E3" s="49">
        <v>359.1</v>
      </c>
      <c r="F3" s="3">
        <v>2534500</v>
      </c>
      <c r="G3" s="49">
        <v>191.7</v>
      </c>
      <c r="H3" s="3">
        <v>726148</v>
      </c>
      <c r="I3" s="54">
        <v>3.3479999999999999</v>
      </c>
      <c r="J3" s="23">
        <v>1294.1479999999999</v>
      </c>
      <c r="K3" s="24">
        <v>7583.7072799999996</v>
      </c>
    </row>
    <row r="4" spans="1:14" ht="16.5" thickBot="1" x14ac:dyDescent="0.3">
      <c r="A4" s="10">
        <v>44287</v>
      </c>
      <c r="B4" s="3">
        <v>407541</v>
      </c>
      <c r="C4" s="49">
        <f t="shared" ref="C4:C8" si="0">(IF((B4-B3)&lt;0,"0",(B4-B3)))*10</f>
        <v>240</v>
      </c>
      <c r="D4" s="3">
        <v>3793400</v>
      </c>
      <c r="E4" s="49">
        <f t="shared" ref="E4:E33" si="1">(IF((D4-D3)&lt;0,"0",(D4-D3)))*0.027</f>
        <v>332.1</v>
      </c>
      <c r="F4" s="3">
        <v>2547600</v>
      </c>
      <c r="G4" s="49">
        <f>(IF((F4-F3)&lt;0,"0",(F4-F3)))*0.027</f>
        <v>353.7</v>
      </c>
      <c r="H4" s="3">
        <v>726286</v>
      </c>
      <c r="I4" s="54">
        <f>(IF((H4-H3)&lt;0,"0",(H4-H3)))*0.027</f>
        <v>3.726</v>
      </c>
      <c r="J4" s="23">
        <f t="shared" ref="J4:J33" si="2">C4+E4+G4+I4</f>
        <v>929.52599999999995</v>
      </c>
      <c r="K4" s="24">
        <f t="shared" ref="K4:K33" si="3">J4*5.86</f>
        <v>5447.0223599999999</v>
      </c>
    </row>
    <row r="5" spans="1:14" ht="16.5" thickBot="1" x14ac:dyDescent="0.3">
      <c r="A5" s="10">
        <v>44288</v>
      </c>
      <c r="B5" s="3">
        <f t="shared" ref="B4:B33" si="4">B4</f>
        <v>407541</v>
      </c>
      <c r="C5" s="49">
        <f t="shared" si="0"/>
        <v>0</v>
      </c>
      <c r="D5" s="3">
        <f t="shared" ref="D4:D33" si="5">D4</f>
        <v>3793400</v>
      </c>
      <c r="E5" s="49">
        <f t="shared" si="1"/>
        <v>0</v>
      </c>
      <c r="F5" s="3">
        <v>2454800</v>
      </c>
      <c r="G5" s="49">
        <f t="shared" ref="G5:G33" si="6">(IF((F5-F4)&lt;0,"0",(F5-F4)))*0.027</f>
        <v>0</v>
      </c>
      <c r="H5" s="3">
        <f t="shared" ref="H4:H33" si="7">H4</f>
        <v>726286</v>
      </c>
      <c r="I5" s="54">
        <f t="shared" ref="I5:I33" si="8">(IF((H5-H4)&lt;0,"0",(H5-H4)))*0.027</f>
        <v>0</v>
      </c>
      <c r="J5" s="23">
        <f t="shared" si="2"/>
        <v>0</v>
      </c>
      <c r="K5" s="24">
        <f t="shared" si="3"/>
        <v>0</v>
      </c>
    </row>
    <row r="6" spans="1:14" ht="16.5" thickBot="1" x14ac:dyDescent="0.3">
      <c r="A6" s="10">
        <v>44289</v>
      </c>
      <c r="B6" s="3">
        <f t="shared" si="4"/>
        <v>407541</v>
      </c>
      <c r="C6" s="49">
        <f t="shared" si="0"/>
        <v>0</v>
      </c>
      <c r="D6" s="3">
        <f t="shared" si="5"/>
        <v>3793400</v>
      </c>
      <c r="E6" s="49">
        <f t="shared" si="1"/>
        <v>0</v>
      </c>
      <c r="F6" s="3">
        <v>2454800</v>
      </c>
      <c r="G6" s="49">
        <f t="shared" si="6"/>
        <v>0</v>
      </c>
      <c r="H6" s="3">
        <f t="shared" si="7"/>
        <v>726286</v>
      </c>
      <c r="I6" s="54">
        <f t="shared" si="8"/>
        <v>0</v>
      </c>
      <c r="J6" s="23">
        <f t="shared" si="2"/>
        <v>0</v>
      </c>
      <c r="K6" s="24">
        <f t="shared" si="3"/>
        <v>0</v>
      </c>
    </row>
    <row r="7" spans="1:14" ht="16.5" thickBot="1" x14ac:dyDescent="0.3">
      <c r="A7" s="10">
        <v>44290</v>
      </c>
      <c r="B7" s="3">
        <f t="shared" si="4"/>
        <v>407541</v>
      </c>
      <c r="C7" s="49">
        <f t="shared" si="0"/>
        <v>0</v>
      </c>
      <c r="D7" s="3">
        <f t="shared" si="5"/>
        <v>3793400</v>
      </c>
      <c r="E7" s="49">
        <f t="shared" si="1"/>
        <v>0</v>
      </c>
      <c r="F7" s="3">
        <v>2454800</v>
      </c>
      <c r="G7" s="49">
        <f t="shared" si="6"/>
        <v>0</v>
      </c>
      <c r="H7" s="3">
        <f t="shared" si="7"/>
        <v>726286</v>
      </c>
      <c r="I7" s="54">
        <f t="shared" si="8"/>
        <v>0</v>
      </c>
      <c r="J7" s="23">
        <f t="shared" si="2"/>
        <v>0</v>
      </c>
      <c r="K7" s="24">
        <f t="shared" si="3"/>
        <v>0</v>
      </c>
      <c r="L7" t="s">
        <v>13</v>
      </c>
      <c r="N7" t="s">
        <v>13</v>
      </c>
    </row>
    <row r="8" spans="1:14" ht="16.5" thickBot="1" x14ac:dyDescent="0.3">
      <c r="A8" s="10">
        <v>44291</v>
      </c>
      <c r="B8" s="3">
        <f t="shared" si="4"/>
        <v>407541</v>
      </c>
      <c r="C8" s="49">
        <f t="shared" si="0"/>
        <v>0</v>
      </c>
      <c r="D8" s="3">
        <f t="shared" si="5"/>
        <v>3793400</v>
      </c>
      <c r="E8" s="49">
        <f t="shared" si="1"/>
        <v>0</v>
      </c>
      <c r="F8" s="3">
        <v>2454800</v>
      </c>
      <c r="G8" s="49">
        <f t="shared" si="6"/>
        <v>0</v>
      </c>
      <c r="H8" s="3">
        <f t="shared" si="7"/>
        <v>726286</v>
      </c>
      <c r="I8" s="54">
        <f t="shared" si="8"/>
        <v>0</v>
      </c>
      <c r="J8" s="23">
        <f t="shared" si="2"/>
        <v>0</v>
      </c>
      <c r="K8" s="24">
        <f t="shared" si="3"/>
        <v>0</v>
      </c>
    </row>
    <row r="9" spans="1:14" ht="16.5" thickBot="1" x14ac:dyDescent="0.3">
      <c r="A9" s="10">
        <v>44292</v>
      </c>
      <c r="B9" s="3">
        <f t="shared" si="4"/>
        <v>407541</v>
      </c>
      <c r="C9" s="49">
        <f t="shared" ref="C9:C33" si="9">(IF((B9-B8)&lt;0,"0",(B9-B8)))*10</f>
        <v>0</v>
      </c>
      <c r="D9" s="3">
        <f t="shared" si="5"/>
        <v>3793400</v>
      </c>
      <c r="E9" s="49">
        <f t="shared" si="1"/>
        <v>0</v>
      </c>
      <c r="F9" s="3">
        <v>2454800</v>
      </c>
      <c r="G9" s="49">
        <f t="shared" si="6"/>
        <v>0</v>
      </c>
      <c r="H9" s="3">
        <f t="shared" si="7"/>
        <v>726286</v>
      </c>
      <c r="I9" s="54">
        <f t="shared" si="8"/>
        <v>0</v>
      </c>
      <c r="J9" s="23">
        <f t="shared" si="2"/>
        <v>0</v>
      </c>
      <c r="K9" s="24">
        <f t="shared" si="3"/>
        <v>0</v>
      </c>
    </row>
    <row r="10" spans="1:14" ht="16.5" thickBot="1" x14ac:dyDescent="0.3">
      <c r="A10" s="10">
        <v>44293</v>
      </c>
      <c r="B10" s="3">
        <f t="shared" si="4"/>
        <v>407541</v>
      </c>
      <c r="C10" s="49">
        <f>(IF((B10-B9)&lt;0,"0",(B10-B9)))*10</f>
        <v>0</v>
      </c>
      <c r="D10" s="3">
        <f t="shared" si="5"/>
        <v>3793400</v>
      </c>
      <c r="E10" s="49">
        <f t="shared" si="1"/>
        <v>0</v>
      </c>
      <c r="F10" s="3">
        <v>2454800</v>
      </c>
      <c r="G10" s="49">
        <f t="shared" si="6"/>
        <v>0</v>
      </c>
      <c r="H10" s="3">
        <f t="shared" si="7"/>
        <v>726286</v>
      </c>
      <c r="I10" s="54">
        <f t="shared" si="8"/>
        <v>0</v>
      </c>
      <c r="J10" s="23">
        <f t="shared" si="2"/>
        <v>0</v>
      </c>
      <c r="K10" s="24">
        <f t="shared" si="3"/>
        <v>0</v>
      </c>
    </row>
    <row r="11" spans="1:14" ht="16.5" thickBot="1" x14ac:dyDescent="0.3">
      <c r="A11" s="10">
        <v>44294</v>
      </c>
      <c r="B11" s="3">
        <f t="shared" si="4"/>
        <v>407541</v>
      </c>
      <c r="C11" s="49">
        <f t="shared" si="9"/>
        <v>0</v>
      </c>
      <c r="D11" s="3">
        <f t="shared" si="5"/>
        <v>3793400</v>
      </c>
      <c r="E11" s="49">
        <f t="shared" si="1"/>
        <v>0</v>
      </c>
      <c r="F11" s="3">
        <v>2454800</v>
      </c>
      <c r="G11" s="49">
        <f t="shared" si="6"/>
        <v>0</v>
      </c>
      <c r="H11" s="3">
        <f t="shared" si="7"/>
        <v>726286</v>
      </c>
      <c r="I11" s="54">
        <f t="shared" si="8"/>
        <v>0</v>
      </c>
      <c r="J11" s="23">
        <f t="shared" si="2"/>
        <v>0</v>
      </c>
      <c r="K11" s="24">
        <f t="shared" si="3"/>
        <v>0</v>
      </c>
      <c r="N11" t="s">
        <v>13</v>
      </c>
    </row>
    <row r="12" spans="1:14" ht="16.5" thickBot="1" x14ac:dyDescent="0.3">
      <c r="A12" s="10">
        <v>44295</v>
      </c>
      <c r="B12" s="3">
        <f t="shared" si="4"/>
        <v>407541</v>
      </c>
      <c r="C12" s="49">
        <f t="shared" si="9"/>
        <v>0</v>
      </c>
      <c r="D12" s="3">
        <f t="shared" si="5"/>
        <v>3793400</v>
      </c>
      <c r="E12" s="49">
        <f t="shared" si="1"/>
        <v>0</v>
      </c>
      <c r="F12" s="3">
        <v>2454800</v>
      </c>
      <c r="G12" s="49">
        <f t="shared" si="6"/>
        <v>0</v>
      </c>
      <c r="H12" s="3">
        <f t="shared" si="7"/>
        <v>726286</v>
      </c>
      <c r="I12" s="54">
        <f t="shared" si="8"/>
        <v>0</v>
      </c>
      <c r="J12" s="23">
        <f t="shared" si="2"/>
        <v>0</v>
      </c>
      <c r="K12" s="24">
        <f t="shared" si="3"/>
        <v>0</v>
      </c>
    </row>
    <row r="13" spans="1:14" ht="16.5" thickBot="1" x14ac:dyDescent="0.3">
      <c r="A13" s="10">
        <v>44296</v>
      </c>
      <c r="B13" s="3">
        <f t="shared" si="4"/>
        <v>407541</v>
      </c>
      <c r="C13" s="49">
        <f t="shared" si="9"/>
        <v>0</v>
      </c>
      <c r="D13" s="3">
        <f t="shared" si="5"/>
        <v>3793400</v>
      </c>
      <c r="E13" s="49">
        <f t="shared" si="1"/>
        <v>0</v>
      </c>
      <c r="F13" s="3">
        <v>2454800</v>
      </c>
      <c r="G13" s="49">
        <f t="shared" si="6"/>
        <v>0</v>
      </c>
      <c r="H13" s="3">
        <f t="shared" si="7"/>
        <v>726286</v>
      </c>
      <c r="I13" s="54">
        <f t="shared" si="8"/>
        <v>0</v>
      </c>
      <c r="J13" s="23">
        <f t="shared" si="2"/>
        <v>0</v>
      </c>
      <c r="K13" s="24">
        <f t="shared" si="3"/>
        <v>0</v>
      </c>
    </row>
    <row r="14" spans="1:14" ht="16.5" thickBot="1" x14ac:dyDescent="0.3">
      <c r="A14" s="10">
        <v>44297</v>
      </c>
      <c r="B14" s="3">
        <f t="shared" si="4"/>
        <v>407541</v>
      </c>
      <c r="C14" s="49">
        <f t="shared" si="9"/>
        <v>0</v>
      </c>
      <c r="D14" s="3">
        <f t="shared" si="5"/>
        <v>3793400</v>
      </c>
      <c r="E14" s="49">
        <f t="shared" si="1"/>
        <v>0</v>
      </c>
      <c r="F14" s="3">
        <v>2454800</v>
      </c>
      <c r="G14" s="49">
        <f t="shared" si="6"/>
        <v>0</v>
      </c>
      <c r="H14" s="3">
        <f t="shared" si="7"/>
        <v>726286</v>
      </c>
      <c r="I14" s="54">
        <f t="shared" si="8"/>
        <v>0</v>
      </c>
      <c r="J14" s="23">
        <f t="shared" si="2"/>
        <v>0</v>
      </c>
      <c r="K14" s="24">
        <f t="shared" si="3"/>
        <v>0</v>
      </c>
    </row>
    <row r="15" spans="1:14" ht="16.5" thickBot="1" x14ac:dyDescent="0.3">
      <c r="A15" s="10">
        <v>44298</v>
      </c>
      <c r="B15" s="3">
        <f t="shared" si="4"/>
        <v>407541</v>
      </c>
      <c r="C15" s="49">
        <f t="shared" si="9"/>
        <v>0</v>
      </c>
      <c r="D15" s="3">
        <f t="shared" si="5"/>
        <v>3793400</v>
      </c>
      <c r="E15" s="49">
        <f t="shared" si="1"/>
        <v>0</v>
      </c>
      <c r="F15" s="3">
        <v>2454800</v>
      </c>
      <c r="G15" s="49">
        <f t="shared" si="6"/>
        <v>0</v>
      </c>
      <c r="H15" s="3">
        <f t="shared" si="7"/>
        <v>726286</v>
      </c>
      <c r="I15" s="54">
        <f t="shared" si="8"/>
        <v>0</v>
      </c>
      <c r="J15" s="23">
        <f t="shared" si="2"/>
        <v>0</v>
      </c>
      <c r="K15" s="24">
        <f t="shared" si="3"/>
        <v>0</v>
      </c>
    </row>
    <row r="16" spans="1:14" ht="16.5" thickBot="1" x14ac:dyDescent="0.3">
      <c r="A16" s="10">
        <v>44299</v>
      </c>
      <c r="B16" s="3">
        <f t="shared" si="4"/>
        <v>407541</v>
      </c>
      <c r="C16" s="49">
        <f t="shared" si="9"/>
        <v>0</v>
      </c>
      <c r="D16" s="3">
        <f t="shared" si="5"/>
        <v>3793400</v>
      </c>
      <c r="E16" s="49">
        <f t="shared" si="1"/>
        <v>0</v>
      </c>
      <c r="F16" s="3">
        <v>2454800</v>
      </c>
      <c r="G16" s="49">
        <f t="shared" si="6"/>
        <v>0</v>
      </c>
      <c r="H16" s="3">
        <f t="shared" si="7"/>
        <v>726286</v>
      </c>
      <c r="I16" s="54">
        <f t="shared" si="8"/>
        <v>0</v>
      </c>
      <c r="J16" s="23">
        <f t="shared" si="2"/>
        <v>0</v>
      </c>
      <c r="K16" s="24">
        <f t="shared" si="3"/>
        <v>0</v>
      </c>
    </row>
    <row r="17" spans="1:25" ht="16.5" thickBot="1" x14ac:dyDescent="0.3">
      <c r="A17" s="10">
        <v>44300</v>
      </c>
      <c r="B17" s="3">
        <f t="shared" si="4"/>
        <v>407541</v>
      </c>
      <c r="C17" s="49">
        <f t="shared" si="9"/>
        <v>0</v>
      </c>
      <c r="D17" s="3">
        <f t="shared" si="5"/>
        <v>3793400</v>
      </c>
      <c r="E17" s="49">
        <f t="shared" si="1"/>
        <v>0</v>
      </c>
      <c r="F17" s="3">
        <v>2454800</v>
      </c>
      <c r="G17" s="49">
        <f t="shared" si="6"/>
        <v>0</v>
      </c>
      <c r="H17" s="3">
        <f t="shared" si="7"/>
        <v>726286</v>
      </c>
      <c r="I17" s="54">
        <f t="shared" si="8"/>
        <v>0</v>
      </c>
      <c r="J17" s="23">
        <f t="shared" si="2"/>
        <v>0</v>
      </c>
      <c r="K17" s="24">
        <f t="shared" si="3"/>
        <v>0</v>
      </c>
      <c r="P17" t="s">
        <v>13</v>
      </c>
      <c r="R17" t="s">
        <v>13</v>
      </c>
    </row>
    <row r="18" spans="1:25" ht="16.5" thickBot="1" x14ac:dyDescent="0.3">
      <c r="A18" s="10">
        <v>44301</v>
      </c>
      <c r="B18" s="3">
        <f t="shared" si="4"/>
        <v>407541</v>
      </c>
      <c r="C18" s="49">
        <f t="shared" si="9"/>
        <v>0</v>
      </c>
      <c r="D18" s="3">
        <f t="shared" si="5"/>
        <v>3793400</v>
      </c>
      <c r="E18" s="49">
        <f t="shared" si="1"/>
        <v>0</v>
      </c>
      <c r="F18" s="3">
        <v>2454800</v>
      </c>
      <c r="G18" s="49">
        <f t="shared" si="6"/>
        <v>0</v>
      </c>
      <c r="H18" s="3">
        <f t="shared" si="7"/>
        <v>726286</v>
      </c>
      <c r="I18" s="54">
        <f t="shared" si="8"/>
        <v>0</v>
      </c>
      <c r="J18" s="23">
        <f t="shared" si="2"/>
        <v>0</v>
      </c>
      <c r="K18" s="24">
        <f t="shared" si="3"/>
        <v>0</v>
      </c>
      <c r="Q18" t="s">
        <v>44</v>
      </c>
    </row>
    <row r="19" spans="1:25" ht="16.5" thickBot="1" x14ac:dyDescent="0.3">
      <c r="A19" s="10">
        <v>44302</v>
      </c>
      <c r="B19" s="3">
        <f t="shared" si="4"/>
        <v>407541</v>
      </c>
      <c r="C19" s="49">
        <f t="shared" si="9"/>
        <v>0</v>
      </c>
      <c r="D19" s="3">
        <f t="shared" si="5"/>
        <v>3793400</v>
      </c>
      <c r="E19" s="49">
        <f t="shared" si="1"/>
        <v>0</v>
      </c>
      <c r="F19" s="3">
        <v>2454800</v>
      </c>
      <c r="G19" s="49">
        <f t="shared" si="6"/>
        <v>0</v>
      </c>
      <c r="H19" s="3">
        <f t="shared" si="7"/>
        <v>726286</v>
      </c>
      <c r="I19" s="54">
        <f t="shared" si="8"/>
        <v>0</v>
      </c>
      <c r="J19" s="23">
        <f t="shared" si="2"/>
        <v>0</v>
      </c>
      <c r="K19" s="24">
        <f t="shared" si="3"/>
        <v>0</v>
      </c>
      <c r="Q19" t="s">
        <v>13</v>
      </c>
    </row>
    <row r="20" spans="1:25" ht="16.5" thickBot="1" x14ac:dyDescent="0.3">
      <c r="A20" s="10">
        <v>44303</v>
      </c>
      <c r="B20" s="3">
        <f t="shared" si="4"/>
        <v>407541</v>
      </c>
      <c r="C20" s="49">
        <f t="shared" si="9"/>
        <v>0</v>
      </c>
      <c r="D20" s="3">
        <f t="shared" si="5"/>
        <v>3793400</v>
      </c>
      <c r="E20" s="49">
        <f t="shared" si="1"/>
        <v>0</v>
      </c>
      <c r="F20" s="3">
        <v>2454800</v>
      </c>
      <c r="G20" s="49">
        <f t="shared" si="6"/>
        <v>0</v>
      </c>
      <c r="H20" s="3">
        <f t="shared" si="7"/>
        <v>726286</v>
      </c>
      <c r="I20" s="54">
        <f t="shared" si="8"/>
        <v>0</v>
      </c>
      <c r="J20" s="23">
        <f t="shared" si="2"/>
        <v>0</v>
      </c>
      <c r="K20" s="24">
        <f t="shared" si="3"/>
        <v>0</v>
      </c>
    </row>
    <row r="21" spans="1:25" ht="16.5" thickBot="1" x14ac:dyDescent="0.3">
      <c r="A21" s="10">
        <v>44304</v>
      </c>
      <c r="B21" s="3">
        <f t="shared" si="4"/>
        <v>407541</v>
      </c>
      <c r="C21" s="49">
        <f t="shared" si="9"/>
        <v>0</v>
      </c>
      <c r="D21" s="3">
        <f t="shared" si="5"/>
        <v>3793400</v>
      </c>
      <c r="E21" s="49">
        <f t="shared" si="1"/>
        <v>0</v>
      </c>
      <c r="F21" s="3">
        <v>2454800</v>
      </c>
      <c r="G21" s="49">
        <f t="shared" si="6"/>
        <v>0</v>
      </c>
      <c r="H21" s="3">
        <f t="shared" si="7"/>
        <v>726286</v>
      </c>
      <c r="I21" s="54">
        <f t="shared" si="8"/>
        <v>0</v>
      </c>
      <c r="J21" s="23">
        <f t="shared" si="2"/>
        <v>0</v>
      </c>
      <c r="K21" s="24">
        <f t="shared" si="3"/>
        <v>0</v>
      </c>
    </row>
    <row r="22" spans="1:25" ht="16.5" thickBot="1" x14ac:dyDescent="0.3">
      <c r="A22" s="10">
        <v>44305</v>
      </c>
      <c r="B22" s="3">
        <f t="shared" si="4"/>
        <v>407541</v>
      </c>
      <c r="C22" s="49">
        <f t="shared" si="9"/>
        <v>0</v>
      </c>
      <c r="D22" s="3">
        <f t="shared" si="5"/>
        <v>3793400</v>
      </c>
      <c r="E22" s="49">
        <f t="shared" si="1"/>
        <v>0</v>
      </c>
      <c r="F22" s="3">
        <v>2454800</v>
      </c>
      <c r="G22" s="49">
        <f t="shared" si="6"/>
        <v>0</v>
      </c>
      <c r="H22" s="3">
        <f t="shared" si="7"/>
        <v>726286</v>
      </c>
      <c r="I22" s="54">
        <f t="shared" si="8"/>
        <v>0</v>
      </c>
      <c r="J22" s="23">
        <f t="shared" si="2"/>
        <v>0</v>
      </c>
      <c r="K22" s="24">
        <f t="shared" si="3"/>
        <v>0</v>
      </c>
      <c r="P22" t="s">
        <v>13</v>
      </c>
      <c r="S22" s="36" t="s">
        <v>13</v>
      </c>
    </row>
    <row r="23" spans="1:25" ht="16.5" thickBot="1" x14ac:dyDescent="0.3">
      <c r="A23" s="10">
        <v>44306</v>
      </c>
      <c r="B23" s="3">
        <f t="shared" si="4"/>
        <v>407541</v>
      </c>
      <c r="C23" s="49">
        <f t="shared" si="9"/>
        <v>0</v>
      </c>
      <c r="D23" s="3">
        <f t="shared" si="5"/>
        <v>3793400</v>
      </c>
      <c r="E23" s="49">
        <f t="shared" si="1"/>
        <v>0</v>
      </c>
      <c r="F23" s="3">
        <v>2454800</v>
      </c>
      <c r="G23" s="49">
        <f t="shared" si="6"/>
        <v>0</v>
      </c>
      <c r="H23" s="3">
        <f t="shared" si="7"/>
        <v>726286</v>
      </c>
      <c r="I23" s="54">
        <f t="shared" si="8"/>
        <v>0</v>
      </c>
      <c r="J23" s="23">
        <f t="shared" si="2"/>
        <v>0</v>
      </c>
      <c r="K23" s="24">
        <f t="shared" si="3"/>
        <v>0</v>
      </c>
      <c r="Q23" t="s">
        <v>13</v>
      </c>
    </row>
    <row r="24" spans="1:25" ht="16.5" thickBot="1" x14ac:dyDescent="0.3">
      <c r="A24" s="10">
        <v>44307</v>
      </c>
      <c r="B24" s="3">
        <f t="shared" si="4"/>
        <v>407541</v>
      </c>
      <c r="C24" s="49">
        <f t="shared" si="9"/>
        <v>0</v>
      </c>
      <c r="D24" s="3">
        <f t="shared" si="5"/>
        <v>3793400</v>
      </c>
      <c r="E24" s="49">
        <f t="shared" si="1"/>
        <v>0</v>
      </c>
      <c r="F24" s="3">
        <v>2454800</v>
      </c>
      <c r="G24" s="49">
        <f t="shared" si="6"/>
        <v>0</v>
      </c>
      <c r="H24" s="3">
        <f t="shared" si="7"/>
        <v>726286</v>
      </c>
      <c r="I24" s="54">
        <f t="shared" si="8"/>
        <v>0</v>
      </c>
      <c r="J24" s="23">
        <f t="shared" si="2"/>
        <v>0</v>
      </c>
      <c r="K24" s="24">
        <f t="shared" si="3"/>
        <v>0</v>
      </c>
    </row>
    <row r="25" spans="1:25" ht="17.25" customHeight="1" thickBot="1" x14ac:dyDescent="0.4">
      <c r="A25" s="10">
        <v>44308</v>
      </c>
      <c r="B25" s="3">
        <f t="shared" si="4"/>
        <v>407541</v>
      </c>
      <c r="C25" s="49">
        <f t="shared" si="9"/>
        <v>0</v>
      </c>
      <c r="D25" s="3">
        <f t="shared" si="5"/>
        <v>3793400</v>
      </c>
      <c r="E25" s="49">
        <f t="shared" si="1"/>
        <v>0</v>
      </c>
      <c r="F25" s="3">
        <v>2454800</v>
      </c>
      <c r="G25" s="49">
        <f>F25-F24</f>
        <v>0</v>
      </c>
      <c r="H25" s="3">
        <f t="shared" si="7"/>
        <v>726286</v>
      </c>
      <c r="I25" s="54">
        <f t="shared" si="8"/>
        <v>0</v>
      </c>
      <c r="J25" s="23">
        <f t="shared" si="2"/>
        <v>0</v>
      </c>
      <c r="K25" s="24">
        <f t="shared" si="3"/>
        <v>0</v>
      </c>
      <c r="Y25" s="65"/>
    </row>
    <row r="26" spans="1:25" ht="16.5" thickBot="1" x14ac:dyDescent="0.3">
      <c r="A26" s="10">
        <v>44309</v>
      </c>
      <c r="B26" s="3">
        <f t="shared" si="4"/>
        <v>407541</v>
      </c>
      <c r="C26" s="49">
        <f t="shared" si="9"/>
        <v>0</v>
      </c>
      <c r="D26" s="3">
        <f t="shared" si="5"/>
        <v>3793400</v>
      </c>
      <c r="E26" s="49">
        <f t="shared" si="1"/>
        <v>0</v>
      </c>
      <c r="F26" s="3">
        <v>2454800</v>
      </c>
      <c r="G26" s="49">
        <f t="shared" si="6"/>
        <v>0</v>
      </c>
      <c r="H26" s="3">
        <f t="shared" si="7"/>
        <v>726286</v>
      </c>
      <c r="I26" s="54">
        <f t="shared" si="8"/>
        <v>0</v>
      </c>
      <c r="J26" s="23">
        <f t="shared" si="2"/>
        <v>0</v>
      </c>
      <c r="K26" s="24">
        <f t="shared" si="3"/>
        <v>0</v>
      </c>
      <c r="L26" t="s">
        <v>13</v>
      </c>
    </row>
    <row r="27" spans="1:25" ht="16.5" thickBot="1" x14ac:dyDescent="0.3">
      <c r="A27" s="10">
        <v>44310</v>
      </c>
      <c r="B27" s="3">
        <f t="shared" si="4"/>
        <v>407541</v>
      </c>
      <c r="C27" s="49">
        <f t="shared" si="9"/>
        <v>0</v>
      </c>
      <c r="D27" s="3">
        <f t="shared" si="5"/>
        <v>3793400</v>
      </c>
      <c r="E27" s="49">
        <f t="shared" si="1"/>
        <v>0</v>
      </c>
      <c r="F27" s="3">
        <v>2454800</v>
      </c>
      <c r="G27" s="49">
        <f t="shared" si="6"/>
        <v>0</v>
      </c>
      <c r="H27" s="3">
        <f t="shared" si="7"/>
        <v>726286</v>
      </c>
      <c r="I27" s="54">
        <f t="shared" si="8"/>
        <v>0</v>
      </c>
      <c r="J27" s="23">
        <f t="shared" si="2"/>
        <v>0</v>
      </c>
      <c r="K27" s="24">
        <f t="shared" si="3"/>
        <v>0</v>
      </c>
      <c r="O27" t="s">
        <v>13</v>
      </c>
    </row>
    <row r="28" spans="1:25" ht="16.5" thickBot="1" x14ac:dyDescent="0.3">
      <c r="A28" s="10">
        <v>44311</v>
      </c>
      <c r="B28" s="3">
        <f t="shared" si="4"/>
        <v>407541</v>
      </c>
      <c r="C28" s="49">
        <f t="shared" si="9"/>
        <v>0</v>
      </c>
      <c r="D28" s="3">
        <f t="shared" si="5"/>
        <v>3793400</v>
      </c>
      <c r="E28" s="49">
        <f t="shared" si="1"/>
        <v>0</v>
      </c>
      <c r="F28" s="3">
        <v>2454800</v>
      </c>
      <c r="G28" s="49">
        <f t="shared" si="6"/>
        <v>0</v>
      </c>
      <c r="H28" s="3">
        <f t="shared" si="7"/>
        <v>726286</v>
      </c>
      <c r="I28" s="54">
        <f t="shared" si="8"/>
        <v>0</v>
      </c>
      <c r="J28" s="23">
        <f t="shared" si="2"/>
        <v>0</v>
      </c>
      <c r="K28" s="24">
        <f t="shared" si="3"/>
        <v>0</v>
      </c>
    </row>
    <row r="29" spans="1:25" ht="16.5" thickBot="1" x14ac:dyDescent="0.3">
      <c r="A29" s="10">
        <v>44312</v>
      </c>
      <c r="B29" s="3">
        <f t="shared" si="4"/>
        <v>407541</v>
      </c>
      <c r="C29" s="49">
        <f t="shared" si="9"/>
        <v>0</v>
      </c>
      <c r="D29" s="3">
        <f t="shared" si="5"/>
        <v>3793400</v>
      </c>
      <c r="E29" s="49">
        <f t="shared" si="1"/>
        <v>0</v>
      </c>
      <c r="F29" s="3">
        <v>2454800</v>
      </c>
      <c r="G29" s="49">
        <f t="shared" si="6"/>
        <v>0</v>
      </c>
      <c r="H29" s="3">
        <f t="shared" si="7"/>
        <v>726286</v>
      </c>
      <c r="I29" s="54">
        <f t="shared" si="8"/>
        <v>0</v>
      </c>
      <c r="J29" s="23">
        <f t="shared" si="2"/>
        <v>0</v>
      </c>
      <c r="K29" s="24">
        <f t="shared" si="3"/>
        <v>0</v>
      </c>
    </row>
    <row r="30" spans="1:25" ht="16.5" thickBot="1" x14ac:dyDescent="0.3">
      <c r="A30" s="10">
        <v>44313</v>
      </c>
      <c r="B30" s="3">
        <f t="shared" si="4"/>
        <v>407541</v>
      </c>
      <c r="C30" s="49">
        <f t="shared" si="9"/>
        <v>0</v>
      </c>
      <c r="D30" s="3">
        <f t="shared" si="5"/>
        <v>3793400</v>
      </c>
      <c r="E30" s="49">
        <f t="shared" si="1"/>
        <v>0</v>
      </c>
      <c r="F30" s="3">
        <v>2454800</v>
      </c>
      <c r="G30" s="49">
        <f t="shared" si="6"/>
        <v>0</v>
      </c>
      <c r="H30" s="3">
        <f t="shared" si="7"/>
        <v>726286</v>
      </c>
      <c r="I30" s="54">
        <f t="shared" si="8"/>
        <v>0</v>
      </c>
      <c r="J30" s="23">
        <f t="shared" si="2"/>
        <v>0</v>
      </c>
      <c r="K30" s="24">
        <f t="shared" si="3"/>
        <v>0</v>
      </c>
    </row>
    <row r="31" spans="1:25" ht="16.5" thickBot="1" x14ac:dyDescent="0.3">
      <c r="A31" s="10">
        <v>44314</v>
      </c>
      <c r="B31" s="3">
        <f t="shared" si="4"/>
        <v>407541</v>
      </c>
      <c r="C31" s="49">
        <f t="shared" si="9"/>
        <v>0</v>
      </c>
      <c r="D31" s="3">
        <f t="shared" si="5"/>
        <v>3793400</v>
      </c>
      <c r="E31" s="49">
        <f t="shared" si="1"/>
        <v>0</v>
      </c>
      <c r="F31" s="3">
        <v>2454800</v>
      </c>
      <c r="G31" s="49">
        <f t="shared" si="6"/>
        <v>0</v>
      </c>
      <c r="H31" s="3">
        <f t="shared" si="7"/>
        <v>726286</v>
      </c>
      <c r="I31" s="54">
        <f t="shared" si="8"/>
        <v>0</v>
      </c>
      <c r="J31" s="23">
        <f t="shared" si="2"/>
        <v>0</v>
      </c>
      <c r="K31" s="24">
        <f t="shared" si="3"/>
        <v>0</v>
      </c>
    </row>
    <row r="32" spans="1:25" ht="16.5" thickBot="1" x14ac:dyDescent="0.3">
      <c r="A32" s="10">
        <v>44315</v>
      </c>
      <c r="B32" s="3">
        <f t="shared" si="4"/>
        <v>407541</v>
      </c>
      <c r="C32" s="49">
        <f t="shared" si="9"/>
        <v>0</v>
      </c>
      <c r="D32" s="3">
        <f t="shared" si="5"/>
        <v>3793400</v>
      </c>
      <c r="E32" s="49">
        <f t="shared" si="1"/>
        <v>0</v>
      </c>
      <c r="F32" s="3">
        <v>2454800</v>
      </c>
      <c r="G32" s="49">
        <f t="shared" si="6"/>
        <v>0</v>
      </c>
      <c r="H32" s="3">
        <f t="shared" si="7"/>
        <v>726286</v>
      </c>
      <c r="I32" s="54">
        <f t="shared" si="8"/>
        <v>0</v>
      </c>
      <c r="J32" s="23">
        <f t="shared" si="2"/>
        <v>0</v>
      </c>
      <c r="K32" s="24">
        <f t="shared" si="3"/>
        <v>0</v>
      </c>
    </row>
    <row r="33" spans="1:11" ht="16.5" thickBot="1" x14ac:dyDescent="0.3">
      <c r="A33" s="10">
        <v>44316</v>
      </c>
      <c r="B33" s="3">
        <f t="shared" si="4"/>
        <v>407541</v>
      </c>
      <c r="C33" s="49">
        <f t="shared" si="9"/>
        <v>0</v>
      </c>
      <c r="D33" s="3">
        <f t="shared" si="5"/>
        <v>3793400</v>
      </c>
      <c r="E33" s="49">
        <f t="shared" si="1"/>
        <v>0</v>
      </c>
      <c r="F33" s="3">
        <v>2454800</v>
      </c>
      <c r="G33" s="49">
        <f t="shared" si="6"/>
        <v>0</v>
      </c>
      <c r="H33" s="3">
        <f t="shared" si="7"/>
        <v>726286</v>
      </c>
      <c r="I33" s="54">
        <f t="shared" si="8"/>
        <v>0</v>
      </c>
      <c r="J33" s="23">
        <f t="shared" si="2"/>
        <v>0</v>
      </c>
      <c r="K33" s="24">
        <f t="shared" si="3"/>
        <v>0</v>
      </c>
    </row>
    <row r="34" spans="1:11" ht="21" thickBot="1" x14ac:dyDescent="0.3">
      <c r="A34" s="9" t="s">
        <v>24</v>
      </c>
      <c r="B34" s="3"/>
      <c r="C34" s="66">
        <f>SUM(C3:C33)</f>
        <v>980</v>
      </c>
      <c r="D34" s="3"/>
      <c r="E34" s="66">
        <f>SUM(E3:E33)</f>
        <v>691.2</v>
      </c>
      <c r="F34" s="3"/>
      <c r="G34" s="66">
        <f>SUM(G3:G33)</f>
        <v>545.4</v>
      </c>
      <c r="H34" s="3"/>
      <c r="I34" s="66">
        <f>SUM(I3:I33)</f>
        <v>7.0739999999999998</v>
      </c>
      <c r="J34" s="66">
        <f>SUM(J3:J33)</f>
        <v>2223.674</v>
      </c>
      <c r="K34" s="66">
        <f>SUM(K3:K33)</f>
        <v>13030.72964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20" zoomScaleNormal="120" zoomScaleSheetLayoutView="110" workbookViewId="0">
      <selection activeCell="A4" sqref="A4:XFD4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0.28515625" style="26" bestFit="1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49">
        <v>18067</v>
      </c>
      <c r="D2" s="49"/>
      <c r="E2" s="140">
        <v>25433539</v>
      </c>
      <c r="F2" s="49"/>
      <c r="G2" s="144">
        <v>79837635</v>
      </c>
      <c r="H2" s="49"/>
      <c r="I2" s="141">
        <f t="shared" ref="I2" si="0">F2+H2</f>
        <v>0</v>
      </c>
      <c r="J2" s="140">
        <v>7752235</v>
      </c>
      <c r="K2" s="49"/>
      <c r="L2" s="142">
        <v>7774835</v>
      </c>
      <c r="M2" s="49"/>
      <c r="N2" s="140">
        <v>5008835</v>
      </c>
      <c r="O2" s="49"/>
      <c r="P2" s="142">
        <v>2893394</v>
      </c>
      <c r="Q2" s="49"/>
      <c r="R2" s="140">
        <v>16985908</v>
      </c>
      <c r="S2" s="49"/>
      <c r="T2" s="140">
        <v>0</v>
      </c>
      <c r="U2" s="143"/>
      <c r="V2" s="140">
        <v>4578564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44286</v>
      </c>
      <c r="B3" s="49">
        <v>160</v>
      </c>
      <c r="C3" s="49">
        <v>18069</v>
      </c>
      <c r="D3" s="49">
        <v>320</v>
      </c>
      <c r="E3" s="140">
        <v>25442432</v>
      </c>
      <c r="F3" s="49">
        <v>8893</v>
      </c>
      <c r="G3" s="144">
        <v>79883133</v>
      </c>
      <c r="H3" s="49">
        <v>45508</v>
      </c>
      <c r="I3" s="141">
        <v>54401</v>
      </c>
      <c r="J3" s="140">
        <v>7757089</v>
      </c>
      <c r="K3" s="49">
        <v>4854</v>
      </c>
      <c r="L3" s="142">
        <v>7781096</v>
      </c>
      <c r="M3" s="49">
        <v>6261</v>
      </c>
      <c r="N3" s="140">
        <v>5010068</v>
      </c>
      <c r="O3" s="49">
        <v>2466</v>
      </c>
      <c r="P3" s="142">
        <v>2901868</v>
      </c>
      <c r="Q3" s="49">
        <v>8474</v>
      </c>
      <c r="R3" s="140">
        <v>16995683</v>
      </c>
      <c r="S3" s="49">
        <v>9775</v>
      </c>
      <c r="T3" s="140">
        <v>0</v>
      </c>
      <c r="U3" s="143"/>
      <c r="V3" s="140">
        <v>4589219</v>
      </c>
      <c r="W3" s="49">
        <v>10650</v>
      </c>
      <c r="X3" s="28">
        <v>42480</v>
      </c>
      <c r="Y3" s="35">
        <v>11921</v>
      </c>
      <c r="Z3" s="27">
        <v>6541.2198800000006</v>
      </c>
      <c r="AA3" s="27">
        <v>24533.201222400003</v>
      </c>
    </row>
    <row r="4" spans="1:27" ht="16.5" thickBot="1" x14ac:dyDescent="0.25">
      <c r="A4" s="10">
        <v>44287</v>
      </c>
      <c r="B4" s="49">
        <v>182</v>
      </c>
      <c r="C4" s="49">
        <v>18073</v>
      </c>
      <c r="D4" s="49">
        <f t="shared" ref="D4:D33" si="3">IF((C4-C3)&lt;0,"0",(C4-C3))*160</f>
        <v>640</v>
      </c>
      <c r="E4" s="140">
        <v>25448239</v>
      </c>
      <c r="F4" s="49">
        <f t="shared" ref="F4:F33" si="4">IF((E4-E3)&lt;0,"0",(E4-E3))</f>
        <v>5807</v>
      </c>
      <c r="G4" s="144">
        <v>79913721</v>
      </c>
      <c r="H4" s="49">
        <f t="shared" ref="H4:H33" si="5">IF((G4-G3)&lt;0,"0",(G4-G3))</f>
        <v>30588</v>
      </c>
      <c r="I4" s="141">
        <f t="shared" ref="I4:I30" si="6">F4+H4</f>
        <v>36395</v>
      </c>
      <c r="J4" s="140">
        <v>7760481</v>
      </c>
      <c r="K4" s="49">
        <f t="shared" ref="K4:K33" si="7">IF((J4-J3)&lt;0,"0",(J4-J3))</f>
        <v>3392</v>
      </c>
      <c r="L4" s="142">
        <v>7784916</v>
      </c>
      <c r="M4" s="49">
        <f t="shared" ref="M4:M33" si="8">IF((L4-L3)&lt;0,"0",(L4-L3))</f>
        <v>3820</v>
      </c>
      <c r="N4" s="140">
        <v>5011001</v>
      </c>
      <c r="O4" s="49">
        <f>(IF((N4-N3)&lt;P96,"0",(N4-N3)))*2</f>
        <v>1866</v>
      </c>
      <c r="P4" s="142">
        <v>2907646</v>
      </c>
      <c r="Q4" s="49">
        <f t="shared" ref="Q4:Q33" si="9">IF((P4-P3)&lt;0,"0",(P4-P3))</f>
        <v>5778</v>
      </c>
      <c r="R4" s="140">
        <v>17002170</v>
      </c>
      <c r="S4" s="49">
        <f t="shared" ref="S4:S33" si="10">IF((R4-R3)&lt;0,"0",(R4-R3))</f>
        <v>6487</v>
      </c>
      <c r="T4" s="140">
        <v>0</v>
      </c>
      <c r="U4" s="143"/>
      <c r="V4" s="140">
        <v>4596342</v>
      </c>
      <c r="W4" s="49">
        <f t="shared" ref="W4:W33" si="11">IF((V4-V3)&lt;0,"0",(V4-V3))</f>
        <v>7123</v>
      </c>
      <c r="X4" s="28">
        <f t="shared" ref="X4:X33" si="12">K4+M4+O4+Q4+S4+U4+W4</f>
        <v>28466</v>
      </c>
      <c r="Y4" s="35">
        <f t="shared" ref="Y4:Y33" si="13">I4-X4</f>
        <v>7929</v>
      </c>
      <c r="Z4" s="27">
        <f t="shared" ref="Z4:Z33" si="14">(0.93352*(W4+S4)+0.5568*(Q4+O4))*0.26</f>
        <v>4409.9604639999998</v>
      </c>
      <c r="AA4" s="27">
        <f>SUM(Z2:Z4)</f>
        <v>10951.180344</v>
      </c>
    </row>
    <row r="5" spans="1:27" ht="16.5" thickBot="1" x14ac:dyDescent="0.25">
      <c r="A5" s="10">
        <v>44288</v>
      </c>
      <c r="B5" s="49"/>
      <c r="C5" s="49">
        <f t="shared" ref="C4:C33" si="15">C4</f>
        <v>18073</v>
      </c>
      <c r="D5" s="49">
        <f t="shared" si="3"/>
        <v>0</v>
      </c>
      <c r="E5" s="140">
        <f t="shared" ref="E4:E33" si="16">E4</f>
        <v>25448239</v>
      </c>
      <c r="F5" s="49">
        <f t="shared" si="4"/>
        <v>0</v>
      </c>
      <c r="G5" s="144">
        <f t="shared" ref="G4:G33" si="17">G4</f>
        <v>79913721</v>
      </c>
      <c r="H5" s="49">
        <f t="shared" si="5"/>
        <v>0</v>
      </c>
      <c r="I5" s="141">
        <f t="shared" si="6"/>
        <v>0</v>
      </c>
      <c r="J5" s="140">
        <f t="shared" ref="J4:J33" si="18">J4</f>
        <v>7760481</v>
      </c>
      <c r="K5" s="49">
        <f t="shared" si="7"/>
        <v>0</v>
      </c>
      <c r="L5" s="142">
        <f t="shared" ref="L4:L33" si="19">L4</f>
        <v>7784916</v>
      </c>
      <c r="M5" s="49">
        <f t="shared" si="8"/>
        <v>0</v>
      </c>
      <c r="N5" s="140">
        <f t="shared" ref="N4:N33" si="20">N4</f>
        <v>5011001</v>
      </c>
      <c r="O5" s="49">
        <f t="shared" ref="O5:O33" si="21">(IF((N5-N4)&lt;0,"0",(N5-N4)))*2</f>
        <v>0</v>
      </c>
      <c r="P5" s="142">
        <f t="shared" ref="P4:P33" si="22">P4</f>
        <v>2907646</v>
      </c>
      <c r="Q5" s="49">
        <f t="shared" si="9"/>
        <v>0</v>
      </c>
      <c r="R5" s="140">
        <f t="shared" ref="R4:R33" si="23">R4</f>
        <v>17002170</v>
      </c>
      <c r="S5" s="49">
        <f t="shared" si="10"/>
        <v>0</v>
      </c>
      <c r="T5" s="140">
        <v>0</v>
      </c>
      <c r="U5" s="143"/>
      <c r="V5" s="140">
        <f t="shared" ref="V4:V33" si="24">V4</f>
        <v>4596342</v>
      </c>
      <c r="W5" s="49">
        <f t="shared" si="11"/>
        <v>0</v>
      </c>
      <c r="X5" s="28">
        <f t="shared" si="12"/>
        <v>0</v>
      </c>
      <c r="Y5" s="35">
        <f t="shared" si="13"/>
        <v>0</v>
      </c>
      <c r="Z5" s="27">
        <f t="shared" si="14"/>
        <v>0</v>
      </c>
      <c r="AA5" s="27">
        <f>SUM(Z3:Z5)</f>
        <v>10951.180344</v>
      </c>
    </row>
    <row r="6" spans="1:27" ht="16.5" thickBot="1" x14ac:dyDescent="0.25">
      <c r="A6" s="10">
        <v>44289</v>
      </c>
      <c r="B6" s="49"/>
      <c r="C6" s="49">
        <f t="shared" si="15"/>
        <v>18073</v>
      </c>
      <c r="D6" s="49">
        <f t="shared" si="3"/>
        <v>0</v>
      </c>
      <c r="E6" s="140">
        <f t="shared" si="16"/>
        <v>25448239</v>
      </c>
      <c r="F6" s="49">
        <f t="shared" si="4"/>
        <v>0</v>
      </c>
      <c r="G6" s="144">
        <f t="shared" si="17"/>
        <v>79913721</v>
      </c>
      <c r="H6" s="49">
        <f t="shared" si="5"/>
        <v>0</v>
      </c>
      <c r="I6" s="141">
        <f t="shared" si="6"/>
        <v>0</v>
      </c>
      <c r="J6" s="140">
        <f t="shared" si="18"/>
        <v>7760481</v>
      </c>
      <c r="K6" s="49">
        <f t="shared" si="7"/>
        <v>0</v>
      </c>
      <c r="L6" s="142">
        <f t="shared" si="19"/>
        <v>7784916</v>
      </c>
      <c r="M6" s="49">
        <f t="shared" si="8"/>
        <v>0</v>
      </c>
      <c r="N6" s="140">
        <f t="shared" si="20"/>
        <v>5011001</v>
      </c>
      <c r="O6" s="49">
        <f t="shared" si="21"/>
        <v>0</v>
      </c>
      <c r="P6" s="142">
        <f t="shared" si="22"/>
        <v>2907646</v>
      </c>
      <c r="Q6" s="49">
        <f t="shared" si="9"/>
        <v>0</v>
      </c>
      <c r="R6" s="140">
        <f t="shared" si="23"/>
        <v>17002170</v>
      </c>
      <c r="S6" s="49">
        <f t="shared" si="10"/>
        <v>0</v>
      </c>
      <c r="T6" s="140">
        <v>0</v>
      </c>
      <c r="U6" s="143"/>
      <c r="V6" s="140">
        <f t="shared" si="24"/>
        <v>4596342</v>
      </c>
      <c r="W6" s="49">
        <f t="shared" si="11"/>
        <v>0</v>
      </c>
      <c r="X6" s="28">
        <f t="shared" si="12"/>
        <v>0</v>
      </c>
      <c r="Y6" s="35">
        <f t="shared" si="13"/>
        <v>0</v>
      </c>
      <c r="Z6" s="27">
        <f t="shared" si="14"/>
        <v>0</v>
      </c>
      <c r="AA6" s="27">
        <f>SUM(Z4:Z6)</f>
        <v>4409.9604639999998</v>
      </c>
    </row>
    <row r="7" spans="1:27" ht="16.5" thickBot="1" x14ac:dyDescent="0.25">
      <c r="A7" s="10">
        <v>44290</v>
      </c>
      <c r="B7" s="49"/>
      <c r="C7" s="49">
        <f t="shared" si="15"/>
        <v>18073</v>
      </c>
      <c r="D7" s="49">
        <f t="shared" si="3"/>
        <v>0</v>
      </c>
      <c r="E7" s="140">
        <f t="shared" si="16"/>
        <v>25448239</v>
      </c>
      <c r="F7" s="49">
        <f t="shared" si="4"/>
        <v>0</v>
      </c>
      <c r="G7" s="144">
        <f t="shared" si="17"/>
        <v>79913721</v>
      </c>
      <c r="H7" s="49">
        <f t="shared" si="5"/>
        <v>0</v>
      </c>
      <c r="I7" s="141">
        <f t="shared" si="6"/>
        <v>0</v>
      </c>
      <c r="J7" s="140">
        <f t="shared" si="18"/>
        <v>7760481</v>
      </c>
      <c r="K7" s="49">
        <f t="shared" si="7"/>
        <v>0</v>
      </c>
      <c r="L7" s="142">
        <f t="shared" si="19"/>
        <v>7784916</v>
      </c>
      <c r="M7" s="49">
        <f t="shared" si="8"/>
        <v>0</v>
      </c>
      <c r="N7" s="140">
        <f t="shared" si="20"/>
        <v>5011001</v>
      </c>
      <c r="O7" s="49">
        <f t="shared" si="21"/>
        <v>0</v>
      </c>
      <c r="P7" s="142">
        <f t="shared" si="22"/>
        <v>2907646</v>
      </c>
      <c r="Q7" s="49">
        <f t="shared" si="9"/>
        <v>0</v>
      </c>
      <c r="R7" s="140">
        <f t="shared" si="23"/>
        <v>17002170</v>
      </c>
      <c r="S7" s="49">
        <f t="shared" si="10"/>
        <v>0</v>
      </c>
      <c r="T7" s="140">
        <v>0</v>
      </c>
      <c r="U7" s="143"/>
      <c r="V7" s="140">
        <f t="shared" si="24"/>
        <v>4596342</v>
      </c>
      <c r="W7" s="49">
        <f t="shared" si="11"/>
        <v>0</v>
      </c>
      <c r="X7" s="28">
        <f t="shared" si="12"/>
        <v>0</v>
      </c>
      <c r="Y7" s="35">
        <f t="shared" si="13"/>
        <v>0</v>
      </c>
      <c r="Z7" s="27">
        <f t="shared" si="14"/>
        <v>0</v>
      </c>
      <c r="AA7" s="27">
        <f t="shared" ref="AA7:AA33" si="25">SUM(Z4:Z7)</f>
        <v>4409.9604639999998</v>
      </c>
    </row>
    <row r="8" spans="1:27" ht="16.5" thickBot="1" x14ac:dyDescent="0.25">
      <c r="A8" s="10">
        <v>44291</v>
      </c>
      <c r="B8" s="49"/>
      <c r="C8" s="49">
        <f t="shared" si="15"/>
        <v>18073</v>
      </c>
      <c r="D8" s="49">
        <f t="shared" si="3"/>
        <v>0</v>
      </c>
      <c r="E8" s="140">
        <f t="shared" si="16"/>
        <v>25448239</v>
      </c>
      <c r="F8" s="49">
        <f t="shared" si="4"/>
        <v>0</v>
      </c>
      <c r="G8" s="144">
        <f t="shared" si="17"/>
        <v>79913721</v>
      </c>
      <c r="H8" s="49">
        <f t="shared" si="5"/>
        <v>0</v>
      </c>
      <c r="I8" s="141">
        <f t="shared" si="6"/>
        <v>0</v>
      </c>
      <c r="J8" s="140">
        <f t="shared" si="18"/>
        <v>7760481</v>
      </c>
      <c r="K8" s="49">
        <f t="shared" si="7"/>
        <v>0</v>
      </c>
      <c r="L8" s="142">
        <f t="shared" si="19"/>
        <v>7784916</v>
      </c>
      <c r="M8" s="49">
        <f t="shared" si="8"/>
        <v>0</v>
      </c>
      <c r="N8" s="140">
        <f t="shared" si="20"/>
        <v>5011001</v>
      </c>
      <c r="O8" s="49">
        <f t="shared" si="21"/>
        <v>0</v>
      </c>
      <c r="P8" s="142">
        <f t="shared" si="22"/>
        <v>2907646</v>
      </c>
      <c r="Q8" s="49">
        <f t="shared" si="9"/>
        <v>0</v>
      </c>
      <c r="R8" s="140">
        <f t="shared" si="23"/>
        <v>17002170</v>
      </c>
      <c r="S8" s="49">
        <f t="shared" si="10"/>
        <v>0</v>
      </c>
      <c r="T8" s="140">
        <v>0</v>
      </c>
      <c r="U8" s="143"/>
      <c r="V8" s="140">
        <f t="shared" si="24"/>
        <v>4596342</v>
      </c>
      <c r="W8" s="49">
        <f t="shared" si="11"/>
        <v>0</v>
      </c>
      <c r="X8" s="28">
        <f t="shared" si="12"/>
        <v>0</v>
      </c>
      <c r="Y8" s="35">
        <f t="shared" si="13"/>
        <v>0</v>
      </c>
      <c r="Z8" s="27">
        <f t="shared" si="14"/>
        <v>0</v>
      </c>
      <c r="AA8" s="27">
        <f t="shared" si="25"/>
        <v>0</v>
      </c>
    </row>
    <row r="9" spans="1:27" ht="16.5" thickBot="1" x14ac:dyDescent="0.25">
      <c r="A9" s="10">
        <v>44292</v>
      </c>
      <c r="B9" s="49"/>
      <c r="C9" s="49">
        <f t="shared" si="15"/>
        <v>18073</v>
      </c>
      <c r="D9" s="49">
        <f t="shared" si="3"/>
        <v>0</v>
      </c>
      <c r="E9" s="140">
        <f t="shared" si="16"/>
        <v>25448239</v>
      </c>
      <c r="F9" s="49">
        <f t="shared" si="4"/>
        <v>0</v>
      </c>
      <c r="G9" s="144">
        <f t="shared" si="17"/>
        <v>79913721</v>
      </c>
      <c r="H9" s="49">
        <f t="shared" si="5"/>
        <v>0</v>
      </c>
      <c r="I9" s="141">
        <f t="shared" si="6"/>
        <v>0</v>
      </c>
      <c r="J9" s="140">
        <f t="shared" si="18"/>
        <v>7760481</v>
      </c>
      <c r="K9" s="49">
        <f t="shared" si="7"/>
        <v>0</v>
      </c>
      <c r="L9" s="142">
        <f t="shared" si="19"/>
        <v>7784916</v>
      </c>
      <c r="M9" s="49">
        <f t="shared" si="8"/>
        <v>0</v>
      </c>
      <c r="N9" s="140">
        <f t="shared" si="20"/>
        <v>5011001</v>
      </c>
      <c r="O9" s="49">
        <f t="shared" si="21"/>
        <v>0</v>
      </c>
      <c r="P9" s="142">
        <f t="shared" si="22"/>
        <v>2907646</v>
      </c>
      <c r="Q9" s="49">
        <f t="shared" si="9"/>
        <v>0</v>
      </c>
      <c r="R9" s="140">
        <f t="shared" si="23"/>
        <v>17002170</v>
      </c>
      <c r="S9" s="49">
        <f t="shared" si="10"/>
        <v>0</v>
      </c>
      <c r="T9" s="140">
        <v>0</v>
      </c>
      <c r="U9" s="143"/>
      <c r="V9" s="140">
        <f t="shared" si="24"/>
        <v>4596342</v>
      </c>
      <c r="W9" s="49">
        <f t="shared" si="11"/>
        <v>0</v>
      </c>
      <c r="X9" s="28">
        <f t="shared" si="12"/>
        <v>0</v>
      </c>
      <c r="Y9" s="35">
        <f t="shared" si="13"/>
        <v>0</v>
      </c>
      <c r="Z9" s="27">
        <f t="shared" si="14"/>
        <v>0</v>
      </c>
      <c r="AA9" s="27">
        <f t="shared" si="25"/>
        <v>0</v>
      </c>
    </row>
    <row r="10" spans="1:27" ht="16.5" thickBot="1" x14ac:dyDescent="0.25">
      <c r="A10" s="10">
        <v>44293</v>
      </c>
      <c r="B10" s="49"/>
      <c r="C10" s="49">
        <f t="shared" si="15"/>
        <v>18073</v>
      </c>
      <c r="D10" s="49">
        <f t="shared" si="3"/>
        <v>0</v>
      </c>
      <c r="E10" s="140">
        <f t="shared" si="16"/>
        <v>25448239</v>
      </c>
      <c r="F10" s="49">
        <f t="shared" si="4"/>
        <v>0</v>
      </c>
      <c r="G10" s="144">
        <f t="shared" si="17"/>
        <v>79913721</v>
      </c>
      <c r="H10" s="49">
        <f t="shared" si="5"/>
        <v>0</v>
      </c>
      <c r="I10" s="141">
        <f t="shared" si="6"/>
        <v>0</v>
      </c>
      <c r="J10" s="140">
        <f t="shared" si="18"/>
        <v>7760481</v>
      </c>
      <c r="K10" s="49">
        <f t="shared" si="7"/>
        <v>0</v>
      </c>
      <c r="L10" s="142">
        <f t="shared" si="19"/>
        <v>7784916</v>
      </c>
      <c r="M10" s="49">
        <f t="shared" si="8"/>
        <v>0</v>
      </c>
      <c r="N10" s="140">
        <f t="shared" si="20"/>
        <v>5011001</v>
      </c>
      <c r="O10" s="49">
        <f t="shared" si="21"/>
        <v>0</v>
      </c>
      <c r="P10" s="142">
        <f t="shared" si="22"/>
        <v>2907646</v>
      </c>
      <c r="Q10" s="49">
        <f t="shared" si="9"/>
        <v>0</v>
      </c>
      <c r="R10" s="140">
        <f t="shared" si="23"/>
        <v>17002170</v>
      </c>
      <c r="S10" s="49">
        <f t="shared" si="10"/>
        <v>0</v>
      </c>
      <c r="T10" s="140">
        <v>0</v>
      </c>
      <c r="U10" s="143"/>
      <c r="V10" s="140">
        <f t="shared" si="24"/>
        <v>4596342</v>
      </c>
      <c r="W10" s="49">
        <f t="shared" si="11"/>
        <v>0</v>
      </c>
      <c r="X10" s="28">
        <f t="shared" si="12"/>
        <v>0</v>
      </c>
      <c r="Y10" s="35">
        <f t="shared" si="13"/>
        <v>0</v>
      </c>
      <c r="Z10" s="27">
        <f t="shared" si="14"/>
        <v>0</v>
      </c>
      <c r="AA10" s="27">
        <f t="shared" si="25"/>
        <v>0</v>
      </c>
    </row>
    <row r="11" spans="1:27" ht="16.5" thickBot="1" x14ac:dyDescent="0.25">
      <c r="A11" s="10">
        <v>44294</v>
      </c>
      <c r="B11" s="49"/>
      <c r="C11" s="49">
        <f t="shared" si="15"/>
        <v>18073</v>
      </c>
      <c r="D11" s="49">
        <f t="shared" si="3"/>
        <v>0</v>
      </c>
      <c r="E11" s="140">
        <f t="shared" si="16"/>
        <v>25448239</v>
      </c>
      <c r="F11" s="49">
        <f t="shared" si="4"/>
        <v>0</v>
      </c>
      <c r="G11" s="144">
        <f t="shared" si="17"/>
        <v>79913721</v>
      </c>
      <c r="H11" s="49">
        <f t="shared" si="5"/>
        <v>0</v>
      </c>
      <c r="I11" s="141">
        <f t="shared" si="6"/>
        <v>0</v>
      </c>
      <c r="J11" s="140">
        <f t="shared" si="18"/>
        <v>7760481</v>
      </c>
      <c r="K11" s="49">
        <f t="shared" si="7"/>
        <v>0</v>
      </c>
      <c r="L11" s="142">
        <f t="shared" si="19"/>
        <v>7784916</v>
      </c>
      <c r="M11" s="49">
        <f t="shared" si="8"/>
        <v>0</v>
      </c>
      <c r="N11" s="140">
        <f t="shared" si="20"/>
        <v>5011001</v>
      </c>
      <c r="O11" s="49">
        <f t="shared" si="21"/>
        <v>0</v>
      </c>
      <c r="P11" s="142">
        <f t="shared" si="22"/>
        <v>2907646</v>
      </c>
      <c r="Q11" s="49">
        <f t="shared" si="9"/>
        <v>0</v>
      </c>
      <c r="R11" s="140">
        <f t="shared" si="23"/>
        <v>17002170</v>
      </c>
      <c r="S11" s="49">
        <f t="shared" si="10"/>
        <v>0</v>
      </c>
      <c r="T11" s="140">
        <v>0</v>
      </c>
      <c r="U11" s="143"/>
      <c r="V11" s="140">
        <f t="shared" si="24"/>
        <v>4596342</v>
      </c>
      <c r="W11" s="49">
        <f t="shared" si="11"/>
        <v>0</v>
      </c>
      <c r="X11" s="28">
        <f t="shared" si="12"/>
        <v>0</v>
      </c>
      <c r="Y11" s="35">
        <f t="shared" si="13"/>
        <v>0</v>
      </c>
      <c r="Z11" s="27">
        <f t="shared" si="14"/>
        <v>0</v>
      </c>
      <c r="AA11" s="27">
        <f t="shared" si="25"/>
        <v>0</v>
      </c>
    </row>
    <row r="12" spans="1:27" ht="16.5" thickBot="1" x14ac:dyDescent="0.25">
      <c r="A12" s="10">
        <v>44295</v>
      </c>
      <c r="B12" s="49"/>
      <c r="C12" s="49">
        <f t="shared" si="15"/>
        <v>18073</v>
      </c>
      <c r="D12" s="49">
        <f t="shared" si="3"/>
        <v>0</v>
      </c>
      <c r="E12" s="140">
        <f t="shared" si="16"/>
        <v>25448239</v>
      </c>
      <c r="F12" s="49">
        <f t="shared" si="4"/>
        <v>0</v>
      </c>
      <c r="G12" s="144">
        <f t="shared" si="17"/>
        <v>79913721</v>
      </c>
      <c r="H12" s="49">
        <f t="shared" si="5"/>
        <v>0</v>
      </c>
      <c r="I12" s="141">
        <f t="shared" si="6"/>
        <v>0</v>
      </c>
      <c r="J12" s="140">
        <f t="shared" si="18"/>
        <v>7760481</v>
      </c>
      <c r="K12" s="49">
        <f t="shared" si="7"/>
        <v>0</v>
      </c>
      <c r="L12" s="142">
        <f t="shared" si="19"/>
        <v>7784916</v>
      </c>
      <c r="M12" s="49">
        <f t="shared" si="8"/>
        <v>0</v>
      </c>
      <c r="N12" s="140">
        <f t="shared" si="20"/>
        <v>5011001</v>
      </c>
      <c r="O12" s="49">
        <f t="shared" si="21"/>
        <v>0</v>
      </c>
      <c r="P12" s="142">
        <f t="shared" si="22"/>
        <v>2907646</v>
      </c>
      <c r="Q12" s="49">
        <f t="shared" si="9"/>
        <v>0</v>
      </c>
      <c r="R12" s="140">
        <f t="shared" si="23"/>
        <v>17002170</v>
      </c>
      <c r="S12" s="49">
        <f t="shared" si="10"/>
        <v>0</v>
      </c>
      <c r="T12" s="140">
        <v>0</v>
      </c>
      <c r="U12" s="143"/>
      <c r="V12" s="140">
        <f t="shared" si="24"/>
        <v>4596342</v>
      </c>
      <c r="W12" s="49">
        <f t="shared" si="11"/>
        <v>0</v>
      </c>
      <c r="X12" s="28">
        <f t="shared" si="12"/>
        <v>0</v>
      </c>
      <c r="Y12" s="35">
        <f t="shared" si="13"/>
        <v>0</v>
      </c>
      <c r="Z12" s="27">
        <f t="shared" si="14"/>
        <v>0</v>
      </c>
      <c r="AA12" s="27">
        <f t="shared" si="25"/>
        <v>0</v>
      </c>
    </row>
    <row r="13" spans="1:27" ht="16.5" thickBot="1" x14ac:dyDescent="0.25">
      <c r="A13" s="10">
        <v>44296</v>
      </c>
      <c r="B13" s="49"/>
      <c r="C13" s="49">
        <f t="shared" si="15"/>
        <v>18073</v>
      </c>
      <c r="D13" s="49">
        <f t="shared" si="3"/>
        <v>0</v>
      </c>
      <c r="E13" s="140">
        <f t="shared" si="16"/>
        <v>25448239</v>
      </c>
      <c r="F13" s="49">
        <f t="shared" si="4"/>
        <v>0</v>
      </c>
      <c r="G13" s="144">
        <f t="shared" si="17"/>
        <v>79913721</v>
      </c>
      <c r="H13" s="49">
        <f t="shared" si="5"/>
        <v>0</v>
      </c>
      <c r="I13" s="141">
        <f t="shared" si="6"/>
        <v>0</v>
      </c>
      <c r="J13" s="140">
        <f t="shared" si="18"/>
        <v>7760481</v>
      </c>
      <c r="K13" s="49">
        <f t="shared" si="7"/>
        <v>0</v>
      </c>
      <c r="L13" s="142">
        <f t="shared" si="19"/>
        <v>7784916</v>
      </c>
      <c r="M13" s="49">
        <f t="shared" si="8"/>
        <v>0</v>
      </c>
      <c r="N13" s="140">
        <f t="shared" si="20"/>
        <v>5011001</v>
      </c>
      <c r="O13" s="49">
        <f t="shared" si="21"/>
        <v>0</v>
      </c>
      <c r="P13" s="142">
        <f t="shared" si="22"/>
        <v>2907646</v>
      </c>
      <c r="Q13" s="49">
        <f t="shared" si="9"/>
        <v>0</v>
      </c>
      <c r="R13" s="140">
        <f t="shared" si="23"/>
        <v>17002170</v>
      </c>
      <c r="S13" s="49">
        <f>IF((R13-R12)&lt;0,"0",(R13-R12))</f>
        <v>0</v>
      </c>
      <c r="T13" s="140">
        <v>0</v>
      </c>
      <c r="U13" s="143"/>
      <c r="V13" s="140">
        <f t="shared" si="24"/>
        <v>4596342</v>
      </c>
      <c r="W13" s="49">
        <f t="shared" si="11"/>
        <v>0</v>
      </c>
      <c r="X13" s="28">
        <f t="shared" si="12"/>
        <v>0</v>
      </c>
      <c r="Y13" s="35">
        <f t="shared" si="13"/>
        <v>0</v>
      </c>
      <c r="Z13" s="27">
        <f t="shared" si="14"/>
        <v>0</v>
      </c>
      <c r="AA13" s="27">
        <f t="shared" si="25"/>
        <v>0</v>
      </c>
    </row>
    <row r="14" spans="1:27" ht="16.5" thickBot="1" x14ac:dyDescent="0.25">
      <c r="A14" s="10">
        <v>44297</v>
      </c>
      <c r="B14" s="49"/>
      <c r="C14" s="49">
        <f t="shared" si="15"/>
        <v>18073</v>
      </c>
      <c r="D14" s="49">
        <f t="shared" si="3"/>
        <v>0</v>
      </c>
      <c r="E14" s="140">
        <f t="shared" si="16"/>
        <v>25448239</v>
      </c>
      <c r="F14" s="49">
        <f>IF((E14-E13)&lt;0,"0",(E14-E13))</f>
        <v>0</v>
      </c>
      <c r="G14" s="144">
        <f t="shared" si="17"/>
        <v>79913721</v>
      </c>
      <c r="H14" s="49">
        <f t="shared" si="5"/>
        <v>0</v>
      </c>
      <c r="I14" s="141">
        <f t="shared" si="6"/>
        <v>0</v>
      </c>
      <c r="J14" s="140">
        <f t="shared" si="18"/>
        <v>7760481</v>
      </c>
      <c r="K14" s="49">
        <f t="shared" si="7"/>
        <v>0</v>
      </c>
      <c r="L14" s="142">
        <f t="shared" si="19"/>
        <v>7784916</v>
      </c>
      <c r="M14" s="49">
        <f t="shared" si="8"/>
        <v>0</v>
      </c>
      <c r="N14" s="140">
        <f t="shared" si="20"/>
        <v>5011001</v>
      </c>
      <c r="O14" s="49">
        <f t="shared" si="21"/>
        <v>0</v>
      </c>
      <c r="P14" s="142">
        <f t="shared" si="22"/>
        <v>2907646</v>
      </c>
      <c r="Q14" s="49">
        <f t="shared" si="9"/>
        <v>0</v>
      </c>
      <c r="R14" s="140">
        <f t="shared" si="23"/>
        <v>17002170</v>
      </c>
      <c r="S14" s="49">
        <f>IF((R14-R13)&lt;0,"0",(R14-R13))</f>
        <v>0</v>
      </c>
      <c r="T14" s="140">
        <v>0</v>
      </c>
      <c r="U14" s="143"/>
      <c r="V14" s="140">
        <f t="shared" si="24"/>
        <v>4596342</v>
      </c>
      <c r="W14" s="49">
        <f t="shared" si="11"/>
        <v>0</v>
      </c>
      <c r="X14" s="28">
        <f t="shared" si="12"/>
        <v>0</v>
      </c>
      <c r="Y14" s="35">
        <f t="shared" si="13"/>
        <v>0</v>
      </c>
      <c r="Z14" s="27">
        <f t="shared" si="14"/>
        <v>0</v>
      </c>
      <c r="AA14" s="27">
        <f t="shared" si="25"/>
        <v>0</v>
      </c>
    </row>
    <row r="15" spans="1:27" ht="16.5" thickBot="1" x14ac:dyDescent="0.25">
      <c r="A15" s="10">
        <v>44298</v>
      </c>
      <c r="B15" s="49"/>
      <c r="C15" s="49">
        <f t="shared" si="15"/>
        <v>18073</v>
      </c>
      <c r="D15" s="49">
        <f t="shared" si="3"/>
        <v>0</v>
      </c>
      <c r="E15" s="140">
        <f t="shared" si="16"/>
        <v>25448239</v>
      </c>
      <c r="F15" s="49">
        <f>IF((E15-E14)&lt;0,"0",(E15-E14))</f>
        <v>0</v>
      </c>
      <c r="G15" s="144">
        <f t="shared" si="17"/>
        <v>79913721</v>
      </c>
      <c r="H15" s="49">
        <f t="shared" si="5"/>
        <v>0</v>
      </c>
      <c r="I15" s="141">
        <f t="shared" si="6"/>
        <v>0</v>
      </c>
      <c r="J15" s="140">
        <f t="shared" si="18"/>
        <v>7760481</v>
      </c>
      <c r="K15" s="49">
        <f t="shared" si="7"/>
        <v>0</v>
      </c>
      <c r="L15" s="142">
        <f t="shared" si="19"/>
        <v>7784916</v>
      </c>
      <c r="M15" s="49">
        <f t="shared" si="8"/>
        <v>0</v>
      </c>
      <c r="N15" s="140">
        <f t="shared" si="20"/>
        <v>5011001</v>
      </c>
      <c r="O15" s="49">
        <f t="shared" si="21"/>
        <v>0</v>
      </c>
      <c r="P15" s="142">
        <f t="shared" si="22"/>
        <v>2907646</v>
      </c>
      <c r="Q15" s="49">
        <f t="shared" si="9"/>
        <v>0</v>
      </c>
      <c r="R15" s="140">
        <f t="shared" si="23"/>
        <v>17002170</v>
      </c>
      <c r="S15" s="49">
        <f>IF((R15-R14)&lt;0,"0",(R15-R14))</f>
        <v>0</v>
      </c>
      <c r="T15" s="140">
        <v>0</v>
      </c>
      <c r="U15" s="143"/>
      <c r="V15" s="140">
        <f t="shared" si="24"/>
        <v>4596342</v>
      </c>
      <c r="W15" s="49">
        <f t="shared" si="11"/>
        <v>0</v>
      </c>
      <c r="X15" s="28">
        <f t="shared" si="12"/>
        <v>0</v>
      </c>
      <c r="Y15" s="35">
        <f t="shared" si="13"/>
        <v>0</v>
      </c>
      <c r="Z15" s="27">
        <f t="shared" si="14"/>
        <v>0</v>
      </c>
      <c r="AA15" s="27">
        <f t="shared" si="25"/>
        <v>0</v>
      </c>
    </row>
    <row r="16" spans="1:27" ht="16.5" thickBot="1" x14ac:dyDescent="0.25">
      <c r="A16" s="10">
        <v>44299</v>
      </c>
      <c r="B16" s="49"/>
      <c r="C16" s="49">
        <f t="shared" si="15"/>
        <v>18073</v>
      </c>
      <c r="D16" s="49">
        <f t="shared" si="3"/>
        <v>0</v>
      </c>
      <c r="E16" s="140">
        <f t="shared" si="16"/>
        <v>25448239</v>
      </c>
      <c r="F16" s="49">
        <f>IF((E16-E15)&lt;0,"0",(E16-E15))</f>
        <v>0</v>
      </c>
      <c r="G16" s="144">
        <f t="shared" si="17"/>
        <v>79913721</v>
      </c>
      <c r="H16" s="49">
        <f t="shared" si="5"/>
        <v>0</v>
      </c>
      <c r="I16" s="141">
        <f t="shared" si="6"/>
        <v>0</v>
      </c>
      <c r="J16" s="140">
        <f t="shared" si="18"/>
        <v>7760481</v>
      </c>
      <c r="K16" s="49">
        <f t="shared" si="7"/>
        <v>0</v>
      </c>
      <c r="L16" s="142">
        <f t="shared" si="19"/>
        <v>7784916</v>
      </c>
      <c r="M16" s="49">
        <f t="shared" si="8"/>
        <v>0</v>
      </c>
      <c r="N16" s="140">
        <f t="shared" si="20"/>
        <v>5011001</v>
      </c>
      <c r="O16" s="49">
        <f t="shared" si="21"/>
        <v>0</v>
      </c>
      <c r="P16" s="142">
        <f t="shared" si="22"/>
        <v>2907646</v>
      </c>
      <c r="Q16" s="49">
        <f t="shared" si="9"/>
        <v>0</v>
      </c>
      <c r="R16" s="140">
        <f t="shared" si="23"/>
        <v>17002170</v>
      </c>
      <c r="S16" s="49">
        <f t="shared" si="10"/>
        <v>0</v>
      </c>
      <c r="T16" s="140">
        <v>0</v>
      </c>
      <c r="U16" s="143"/>
      <c r="V16" s="140">
        <f t="shared" si="24"/>
        <v>4596342</v>
      </c>
      <c r="W16" s="49">
        <f t="shared" si="11"/>
        <v>0</v>
      </c>
      <c r="X16" s="28">
        <f t="shared" si="12"/>
        <v>0</v>
      </c>
      <c r="Y16" s="35">
        <f t="shared" si="13"/>
        <v>0</v>
      </c>
      <c r="Z16" s="27">
        <f t="shared" si="14"/>
        <v>0</v>
      </c>
      <c r="AA16" s="27">
        <f t="shared" si="25"/>
        <v>0</v>
      </c>
    </row>
    <row r="17" spans="1:27" s="154" customFormat="1" ht="16.5" thickBot="1" x14ac:dyDescent="0.25">
      <c r="A17" s="10">
        <v>44300</v>
      </c>
      <c r="B17" s="149"/>
      <c r="C17" s="49">
        <f t="shared" si="15"/>
        <v>18073</v>
      </c>
      <c r="D17" s="49">
        <f t="shared" si="3"/>
        <v>0</v>
      </c>
      <c r="E17" s="140">
        <f t="shared" si="16"/>
        <v>25448239</v>
      </c>
      <c r="F17" s="149">
        <f t="shared" si="4"/>
        <v>0</v>
      </c>
      <c r="G17" s="144">
        <f t="shared" si="17"/>
        <v>79913721</v>
      </c>
      <c r="H17" s="49">
        <f t="shared" si="5"/>
        <v>0</v>
      </c>
      <c r="I17" s="151">
        <f t="shared" si="6"/>
        <v>0</v>
      </c>
      <c r="J17" s="140">
        <f t="shared" si="18"/>
        <v>7760481</v>
      </c>
      <c r="K17" s="149">
        <f t="shared" si="7"/>
        <v>0</v>
      </c>
      <c r="L17" s="142">
        <f t="shared" si="19"/>
        <v>7784916</v>
      </c>
      <c r="M17" s="149">
        <f t="shared" si="8"/>
        <v>0</v>
      </c>
      <c r="N17" s="140">
        <f t="shared" si="20"/>
        <v>5011001</v>
      </c>
      <c r="O17" s="149">
        <f t="shared" si="21"/>
        <v>0</v>
      </c>
      <c r="P17" s="142">
        <f t="shared" si="22"/>
        <v>2907646</v>
      </c>
      <c r="Q17" s="149">
        <f t="shared" si="9"/>
        <v>0</v>
      </c>
      <c r="R17" s="140">
        <f t="shared" si="23"/>
        <v>17002170</v>
      </c>
      <c r="S17" s="149">
        <f t="shared" si="10"/>
        <v>0</v>
      </c>
      <c r="T17" s="150">
        <v>0</v>
      </c>
      <c r="U17" s="143"/>
      <c r="V17" s="140">
        <f t="shared" si="24"/>
        <v>4596342</v>
      </c>
      <c r="W17" s="149">
        <f t="shared" si="11"/>
        <v>0</v>
      </c>
      <c r="X17" s="28">
        <f t="shared" si="12"/>
        <v>0</v>
      </c>
      <c r="Y17" s="152">
        <f t="shared" si="13"/>
        <v>0</v>
      </c>
      <c r="Z17" s="153">
        <f t="shared" si="14"/>
        <v>0</v>
      </c>
      <c r="AA17" s="153">
        <f t="shared" si="25"/>
        <v>0</v>
      </c>
    </row>
    <row r="18" spans="1:27" s="154" customFormat="1" ht="16.5" thickBot="1" x14ac:dyDescent="0.25">
      <c r="A18" s="10">
        <v>44301</v>
      </c>
      <c r="B18" s="149"/>
      <c r="C18" s="49">
        <f t="shared" si="15"/>
        <v>18073</v>
      </c>
      <c r="D18" s="49">
        <f t="shared" si="3"/>
        <v>0</v>
      </c>
      <c r="E18" s="140">
        <f t="shared" si="16"/>
        <v>25448239</v>
      </c>
      <c r="F18" s="149">
        <f t="shared" si="4"/>
        <v>0</v>
      </c>
      <c r="G18" s="144">
        <f t="shared" si="17"/>
        <v>79913721</v>
      </c>
      <c r="H18" s="49">
        <f t="shared" si="5"/>
        <v>0</v>
      </c>
      <c r="I18" s="151">
        <f t="shared" si="6"/>
        <v>0</v>
      </c>
      <c r="J18" s="140">
        <f t="shared" si="18"/>
        <v>7760481</v>
      </c>
      <c r="K18" s="149">
        <f t="shared" si="7"/>
        <v>0</v>
      </c>
      <c r="L18" s="142">
        <f t="shared" si="19"/>
        <v>7784916</v>
      </c>
      <c r="M18" s="149">
        <f t="shared" si="8"/>
        <v>0</v>
      </c>
      <c r="N18" s="140">
        <f t="shared" si="20"/>
        <v>5011001</v>
      </c>
      <c r="O18" s="149">
        <f t="shared" si="21"/>
        <v>0</v>
      </c>
      <c r="P18" s="142">
        <f t="shared" si="22"/>
        <v>2907646</v>
      </c>
      <c r="Q18" s="149">
        <f t="shared" si="9"/>
        <v>0</v>
      </c>
      <c r="R18" s="140">
        <f t="shared" si="23"/>
        <v>17002170</v>
      </c>
      <c r="S18" s="149">
        <f t="shared" si="10"/>
        <v>0</v>
      </c>
      <c r="T18" s="150">
        <v>0</v>
      </c>
      <c r="U18" s="143"/>
      <c r="V18" s="140">
        <f t="shared" si="24"/>
        <v>4596342</v>
      </c>
      <c r="W18" s="149">
        <f t="shared" si="11"/>
        <v>0</v>
      </c>
      <c r="X18" s="28">
        <f t="shared" si="12"/>
        <v>0</v>
      </c>
      <c r="Y18" s="152">
        <f t="shared" si="13"/>
        <v>0</v>
      </c>
      <c r="Z18" s="153">
        <f t="shared" si="14"/>
        <v>0</v>
      </c>
      <c r="AA18" s="153">
        <f t="shared" si="25"/>
        <v>0</v>
      </c>
    </row>
    <row r="19" spans="1:27" s="154" customFormat="1" ht="16.5" thickBot="1" x14ac:dyDescent="0.25">
      <c r="A19" s="10">
        <v>44302</v>
      </c>
      <c r="B19" s="149"/>
      <c r="C19" s="49">
        <f t="shared" si="15"/>
        <v>18073</v>
      </c>
      <c r="D19" s="49">
        <f>IF((C19-C18)&lt;0,"0",(C19-C18))*160</f>
        <v>0</v>
      </c>
      <c r="E19" s="140">
        <f t="shared" si="16"/>
        <v>25448239</v>
      </c>
      <c r="F19" s="149">
        <f t="shared" si="4"/>
        <v>0</v>
      </c>
      <c r="G19" s="144">
        <f t="shared" si="17"/>
        <v>79913721</v>
      </c>
      <c r="H19" s="49">
        <f t="shared" si="5"/>
        <v>0</v>
      </c>
      <c r="I19" s="151">
        <f t="shared" si="6"/>
        <v>0</v>
      </c>
      <c r="J19" s="140">
        <f t="shared" si="18"/>
        <v>7760481</v>
      </c>
      <c r="K19" s="149">
        <f t="shared" si="7"/>
        <v>0</v>
      </c>
      <c r="L19" s="142">
        <f t="shared" si="19"/>
        <v>7784916</v>
      </c>
      <c r="M19" s="149">
        <f t="shared" si="8"/>
        <v>0</v>
      </c>
      <c r="N19" s="140">
        <f t="shared" si="20"/>
        <v>5011001</v>
      </c>
      <c r="O19" s="149">
        <f t="shared" si="21"/>
        <v>0</v>
      </c>
      <c r="P19" s="142">
        <f t="shared" si="22"/>
        <v>2907646</v>
      </c>
      <c r="Q19" s="149">
        <f t="shared" si="9"/>
        <v>0</v>
      </c>
      <c r="R19" s="140">
        <f t="shared" si="23"/>
        <v>17002170</v>
      </c>
      <c r="S19" s="149">
        <f t="shared" si="10"/>
        <v>0</v>
      </c>
      <c r="T19" s="150">
        <v>0</v>
      </c>
      <c r="U19" s="143"/>
      <c r="V19" s="140">
        <f t="shared" si="24"/>
        <v>4596342</v>
      </c>
      <c r="W19" s="149">
        <f t="shared" si="11"/>
        <v>0</v>
      </c>
      <c r="X19" s="28">
        <f t="shared" si="12"/>
        <v>0</v>
      </c>
      <c r="Y19" s="152">
        <f t="shared" si="13"/>
        <v>0</v>
      </c>
      <c r="Z19" s="153">
        <f t="shared" si="14"/>
        <v>0</v>
      </c>
      <c r="AA19" s="153">
        <f t="shared" si="25"/>
        <v>0</v>
      </c>
    </row>
    <row r="20" spans="1:27" s="154" customFormat="1" ht="16.5" thickBot="1" x14ac:dyDescent="0.25">
      <c r="A20" s="10">
        <v>44303</v>
      </c>
      <c r="B20" s="149"/>
      <c r="C20" s="49">
        <f t="shared" si="15"/>
        <v>18073</v>
      </c>
      <c r="D20" s="49">
        <f>IF((C20-C19)&lt;0,"0",(C20-C19))*160</f>
        <v>0</v>
      </c>
      <c r="E20" s="140">
        <f t="shared" si="16"/>
        <v>25448239</v>
      </c>
      <c r="F20" s="149">
        <f t="shared" si="4"/>
        <v>0</v>
      </c>
      <c r="G20" s="144">
        <f t="shared" si="17"/>
        <v>79913721</v>
      </c>
      <c r="H20" s="49">
        <f t="shared" si="5"/>
        <v>0</v>
      </c>
      <c r="I20" s="151">
        <f t="shared" si="6"/>
        <v>0</v>
      </c>
      <c r="J20" s="140">
        <f t="shared" si="18"/>
        <v>7760481</v>
      </c>
      <c r="K20" s="149">
        <f t="shared" si="7"/>
        <v>0</v>
      </c>
      <c r="L20" s="142">
        <f t="shared" si="19"/>
        <v>7784916</v>
      </c>
      <c r="M20" s="149">
        <f t="shared" si="8"/>
        <v>0</v>
      </c>
      <c r="N20" s="140">
        <f t="shared" si="20"/>
        <v>5011001</v>
      </c>
      <c r="O20" s="149">
        <f t="shared" si="21"/>
        <v>0</v>
      </c>
      <c r="P20" s="142">
        <f t="shared" si="22"/>
        <v>2907646</v>
      </c>
      <c r="Q20" s="149">
        <f t="shared" si="9"/>
        <v>0</v>
      </c>
      <c r="R20" s="140">
        <f t="shared" si="23"/>
        <v>17002170</v>
      </c>
      <c r="S20" s="149">
        <f t="shared" si="10"/>
        <v>0</v>
      </c>
      <c r="T20" s="150">
        <v>0</v>
      </c>
      <c r="U20" s="143"/>
      <c r="V20" s="140">
        <f t="shared" si="24"/>
        <v>4596342</v>
      </c>
      <c r="W20" s="149">
        <f t="shared" si="11"/>
        <v>0</v>
      </c>
      <c r="X20" s="28">
        <f t="shared" si="12"/>
        <v>0</v>
      </c>
      <c r="Y20" s="152">
        <f t="shared" si="13"/>
        <v>0</v>
      </c>
      <c r="Z20" s="153">
        <f t="shared" si="14"/>
        <v>0</v>
      </c>
      <c r="AA20" s="153">
        <f t="shared" si="25"/>
        <v>0</v>
      </c>
    </row>
    <row r="21" spans="1:27" s="154" customFormat="1" ht="16.5" thickBot="1" x14ac:dyDescent="0.25">
      <c r="A21" s="10">
        <v>44304</v>
      </c>
      <c r="B21" s="149"/>
      <c r="C21" s="49">
        <f t="shared" si="15"/>
        <v>18073</v>
      </c>
      <c r="D21" s="49">
        <f>IF((C21-C20)&lt;0,"0",(C21-C20))*160</f>
        <v>0</v>
      </c>
      <c r="E21" s="140">
        <f t="shared" si="16"/>
        <v>25448239</v>
      </c>
      <c r="F21" s="149">
        <f t="shared" si="4"/>
        <v>0</v>
      </c>
      <c r="G21" s="144">
        <f t="shared" si="17"/>
        <v>79913721</v>
      </c>
      <c r="H21" s="49">
        <f t="shared" si="5"/>
        <v>0</v>
      </c>
      <c r="I21" s="151">
        <f t="shared" si="6"/>
        <v>0</v>
      </c>
      <c r="J21" s="140">
        <f t="shared" si="18"/>
        <v>7760481</v>
      </c>
      <c r="K21" s="149">
        <f t="shared" si="7"/>
        <v>0</v>
      </c>
      <c r="L21" s="142">
        <f t="shared" si="19"/>
        <v>7784916</v>
      </c>
      <c r="M21" s="149">
        <f t="shared" si="8"/>
        <v>0</v>
      </c>
      <c r="N21" s="140">
        <f t="shared" si="20"/>
        <v>5011001</v>
      </c>
      <c r="O21" s="149">
        <f t="shared" si="21"/>
        <v>0</v>
      </c>
      <c r="P21" s="142">
        <f t="shared" si="22"/>
        <v>2907646</v>
      </c>
      <c r="Q21" s="149">
        <f t="shared" si="9"/>
        <v>0</v>
      </c>
      <c r="R21" s="140">
        <f t="shared" si="23"/>
        <v>17002170</v>
      </c>
      <c r="S21" s="149">
        <f t="shared" si="10"/>
        <v>0</v>
      </c>
      <c r="T21" s="150">
        <v>0</v>
      </c>
      <c r="U21" s="143"/>
      <c r="V21" s="140">
        <f t="shared" si="24"/>
        <v>4596342</v>
      </c>
      <c r="W21" s="149">
        <f t="shared" si="11"/>
        <v>0</v>
      </c>
      <c r="X21" s="28">
        <f t="shared" si="12"/>
        <v>0</v>
      </c>
      <c r="Y21" s="152">
        <f t="shared" si="13"/>
        <v>0</v>
      </c>
      <c r="Z21" s="153">
        <f t="shared" si="14"/>
        <v>0</v>
      </c>
      <c r="AA21" s="153">
        <f t="shared" si="25"/>
        <v>0</v>
      </c>
    </row>
    <row r="22" spans="1:27" ht="16.5" thickBot="1" x14ac:dyDescent="0.25">
      <c r="A22" s="10">
        <v>44305</v>
      </c>
      <c r="B22" s="49"/>
      <c r="C22" s="49">
        <f t="shared" si="15"/>
        <v>18073</v>
      </c>
      <c r="D22" s="49">
        <f t="shared" si="3"/>
        <v>0</v>
      </c>
      <c r="E22" s="140">
        <f t="shared" si="16"/>
        <v>25448239</v>
      </c>
      <c r="F22" s="49">
        <f t="shared" si="4"/>
        <v>0</v>
      </c>
      <c r="G22" s="144">
        <f t="shared" si="17"/>
        <v>79913721</v>
      </c>
      <c r="H22" s="49">
        <f t="shared" si="5"/>
        <v>0</v>
      </c>
      <c r="I22" s="141">
        <f t="shared" si="6"/>
        <v>0</v>
      </c>
      <c r="J22" s="140">
        <f t="shared" si="18"/>
        <v>7760481</v>
      </c>
      <c r="K22" s="49">
        <f t="shared" si="7"/>
        <v>0</v>
      </c>
      <c r="L22" s="142">
        <f t="shared" si="19"/>
        <v>7784916</v>
      </c>
      <c r="M22" s="49">
        <f t="shared" si="8"/>
        <v>0</v>
      </c>
      <c r="N22" s="140">
        <f t="shared" si="20"/>
        <v>5011001</v>
      </c>
      <c r="O22" s="49">
        <f t="shared" si="21"/>
        <v>0</v>
      </c>
      <c r="P22" s="142">
        <f t="shared" si="22"/>
        <v>2907646</v>
      </c>
      <c r="Q22" s="49">
        <f t="shared" si="9"/>
        <v>0</v>
      </c>
      <c r="R22" s="140">
        <f t="shared" si="23"/>
        <v>17002170</v>
      </c>
      <c r="S22" s="49">
        <f t="shared" si="10"/>
        <v>0</v>
      </c>
      <c r="T22" s="140">
        <v>0</v>
      </c>
      <c r="U22" s="143"/>
      <c r="V22" s="140">
        <f t="shared" si="24"/>
        <v>4596342</v>
      </c>
      <c r="W22" s="49">
        <f t="shared" si="11"/>
        <v>0</v>
      </c>
      <c r="X22" s="28">
        <f t="shared" si="12"/>
        <v>0</v>
      </c>
      <c r="Y22" s="35">
        <f t="shared" si="13"/>
        <v>0</v>
      </c>
      <c r="Z22" s="27">
        <f t="shared" si="14"/>
        <v>0</v>
      </c>
      <c r="AA22" s="27">
        <f t="shared" si="25"/>
        <v>0</v>
      </c>
    </row>
    <row r="23" spans="1:27" ht="16.5" thickBot="1" x14ac:dyDescent="0.25">
      <c r="A23" s="10">
        <v>44306</v>
      </c>
      <c r="B23" s="49"/>
      <c r="C23" s="49">
        <f t="shared" si="15"/>
        <v>18073</v>
      </c>
      <c r="D23" s="49">
        <f t="shared" si="3"/>
        <v>0</v>
      </c>
      <c r="E23" s="140">
        <f t="shared" si="16"/>
        <v>25448239</v>
      </c>
      <c r="F23" s="49">
        <f t="shared" si="4"/>
        <v>0</v>
      </c>
      <c r="G23" s="144">
        <f t="shared" si="17"/>
        <v>79913721</v>
      </c>
      <c r="H23" s="49">
        <f t="shared" si="5"/>
        <v>0</v>
      </c>
      <c r="I23" s="141">
        <f t="shared" si="6"/>
        <v>0</v>
      </c>
      <c r="J23" s="140">
        <f t="shared" si="18"/>
        <v>7760481</v>
      </c>
      <c r="K23" s="49">
        <f t="shared" si="7"/>
        <v>0</v>
      </c>
      <c r="L23" s="142">
        <f t="shared" si="19"/>
        <v>7784916</v>
      </c>
      <c r="M23" s="49">
        <f t="shared" si="8"/>
        <v>0</v>
      </c>
      <c r="N23" s="140">
        <f t="shared" si="20"/>
        <v>5011001</v>
      </c>
      <c r="O23" s="49">
        <f t="shared" si="21"/>
        <v>0</v>
      </c>
      <c r="P23" s="142">
        <f t="shared" si="22"/>
        <v>2907646</v>
      </c>
      <c r="Q23" s="49">
        <f t="shared" si="9"/>
        <v>0</v>
      </c>
      <c r="R23" s="140">
        <f t="shared" si="23"/>
        <v>17002170</v>
      </c>
      <c r="S23" s="49">
        <f t="shared" si="10"/>
        <v>0</v>
      </c>
      <c r="T23" s="140">
        <v>0</v>
      </c>
      <c r="U23" s="143"/>
      <c r="V23" s="140">
        <f t="shared" si="24"/>
        <v>4596342</v>
      </c>
      <c r="W23" s="49">
        <f t="shared" si="11"/>
        <v>0</v>
      </c>
      <c r="X23" s="28">
        <f t="shared" si="12"/>
        <v>0</v>
      </c>
      <c r="Y23" s="35">
        <f t="shared" si="13"/>
        <v>0</v>
      </c>
      <c r="Z23" s="27">
        <f t="shared" si="14"/>
        <v>0</v>
      </c>
      <c r="AA23" s="27">
        <f t="shared" si="25"/>
        <v>0</v>
      </c>
    </row>
    <row r="24" spans="1:27" ht="16.5" thickBot="1" x14ac:dyDescent="0.25">
      <c r="A24" s="10">
        <v>44307</v>
      </c>
      <c r="B24" s="49"/>
      <c r="C24" s="49">
        <f t="shared" si="15"/>
        <v>18073</v>
      </c>
      <c r="D24" s="49">
        <f t="shared" si="3"/>
        <v>0</v>
      </c>
      <c r="E24" s="140">
        <f t="shared" si="16"/>
        <v>25448239</v>
      </c>
      <c r="F24" s="49">
        <f t="shared" si="4"/>
        <v>0</v>
      </c>
      <c r="G24" s="144">
        <f t="shared" si="17"/>
        <v>79913721</v>
      </c>
      <c r="H24" s="49">
        <f t="shared" si="5"/>
        <v>0</v>
      </c>
      <c r="I24" s="141">
        <f t="shared" si="6"/>
        <v>0</v>
      </c>
      <c r="J24" s="140">
        <f t="shared" si="18"/>
        <v>7760481</v>
      </c>
      <c r="K24" s="49">
        <f t="shared" si="7"/>
        <v>0</v>
      </c>
      <c r="L24" s="142">
        <f t="shared" si="19"/>
        <v>7784916</v>
      </c>
      <c r="M24" s="49">
        <f t="shared" si="8"/>
        <v>0</v>
      </c>
      <c r="N24" s="140">
        <f t="shared" si="20"/>
        <v>5011001</v>
      </c>
      <c r="O24" s="49">
        <f t="shared" si="21"/>
        <v>0</v>
      </c>
      <c r="P24" s="142">
        <f t="shared" si="22"/>
        <v>2907646</v>
      </c>
      <c r="Q24" s="49">
        <f t="shared" si="9"/>
        <v>0</v>
      </c>
      <c r="R24" s="140">
        <f t="shared" si="23"/>
        <v>17002170</v>
      </c>
      <c r="S24" s="49">
        <f t="shared" si="10"/>
        <v>0</v>
      </c>
      <c r="T24" s="140">
        <v>0</v>
      </c>
      <c r="U24" s="143"/>
      <c r="V24" s="140">
        <f t="shared" si="24"/>
        <v>4596342</v>
      </c>
      <c r="W24" s="49">
        <f t="shared" si="11"/>
        <v>0</v>
      </c>
      <c r="X24" s="28">
        <f t="shared" si="12"/>
        <v>0</v>
      </c>
      <c r="Y24" s="35">
        <f t="shared" si="13"/>
        <v>0</v>
      </c>
      <c r="Z24" s="27">
        <f t="shared" si="14"/>
        <v>0</v>
      </c>
      <c r="AA24" s="27">
        <f t="shared" si="25"/>
        <v>0</v>
      </c>
    </row>
    <row r="25" spans="1:27" ht="16.5" thickBot="1" x14ac:dyDescent="0.25">
      <c r="A25" s="10">
        <v>44308</v>
      </c>
      <c r="B25" s="49"/>
      <c r="C25" s="49">
        <f t="shared" si="15"/>
        <v>18073</v>
      </c>
      <c r="D25" s="49">
        <f t="shared" si="3"/>
        <v>0</v>
      </c>
      <c r="E25" s="140">
        <f t="shared" si="16"/>
        <v>25448239</v>
      </c>
      <c r="F25" s="49">
        <f t="shared" si="4"/>
        <v>0</v>
      </c>
      <c r="G25" s="144">
        <f t="shared" si="17"/>
        <v>79913721</v>
      </c>
      <c r="H25" s="49">
        <f t="shared" si="5"/>
        <v>0</v>
      </c>
      <c r="I25" s="141">
        <f t="shared" si="6"/>
        <v>0</v>
      </c>
      <c r="J25" s="140">
        <f t="shared" si="18"/>
        <v>7760481</v>
      </c>
      <c r="K25" s="49">
        <f t="shared" si="7"/>
        <v>0</v>
      </c>
      <c r="L25" s="142">
        <f t="shared" si="19"/>
        <v>7784916</v>
      </c>
      <c r="M25" s="49">
        <f t="shared" si="8"/>
        <v>0</v>
      </c>
      <c r="N25" s="140">
        <f t="shared" si="20"/>
        <v>5011001</v>
      </c>
      <c r="O25" s="49">
        <f t="shared" si="21"/>
        <v>0</v>
      </c>
      <c r="P25" s="142">
        <f t="shared" si="22"/>
        <v>2907646</v>
      </c>
      <c r="Q25" s="49">
        <f t="shared" si="9"/>
        <v>0</v>
      </c>
      <c r="R25" s="140">
        <f t="shared" si="23"/>
        <v>17002170</v>
      </c>
      <c r="S25" s="49">
        <f t="shared" si="10"/>
        <v>0</v>
      </c>
      <c r="T25" s="140">
        <v>0</v>
      </c>
      <c r="U25" s="143"/>
      <c r="V25" s="140">
        <f t="shared" si="24"/>
        <v>4596342</v>
      </c>
      <c r="W25" s="49">
        <f t="shared" si="11"/>
        <v>0</v>
      </c>
      <c r="X25" s="28">
        <f t="shared" si="12"/>
        <v>0</v>
      </c>
      <c r="Y25" s="35">
        <f t="shared" si="13"/>
        <v>0</v>
      </c>
      <c r="Z25" s="27">
        <f t="shared" si="14"/>
        <v>0</v>
      </c>
      <c r="AA25" s="27">
        <f t="shared" si="25"/>
        <v>0</v>
      </c>
    </row>
    <row r="26" spans="1:27" ht="16.5" thickBot="1" x14ac:dyDescent="0.25">
      <c r="A26" s="10">
        <v>44309</v>
      </c>
      <c r="B26" s="49"/>
      <c r="C26" s="49">
        <f t="shared" si="15"/>
        <v>18073</v>
      </c>
      <c r="D26" s="49">
        <f t="shared" si="3"/>
        <v>0</v>
      </c>
      <c r="E26" s="140">
        <f t="shared" si="16"/>
        <v>25448239</v>
      </c>
      <c r="F26" s="49">
        <f t="shared" si="4"/>
        <v>0</v>
      </c>
      <c r="G26" s="144">
        <f t="shared" si="17"/>
        <v>79913721</v>
      </c>
      <c r="H26" s="49">
        <f t="shared" si="5"/>
        <v>0</v>
      </c>
      <c r="I26" s="141">
        <f t="shared" si="6"/>
        <v>0</v>
      </c>
      <c r="J26" s="140">
        <f t="shared" si="18"/>
        <v>7760481</v>
      </c>
      <c r="K26" s="49">
        <f t="shared" si="7"/>
        <v>0</v>
      </c>
      <c r="L26" s="142">
        <f t="shared" si="19"/>
        <v>7784916</v>
      </c>
      <c r="M26" s="49">
        <f t="shared" si="8"/>
        <v>0</v>
      </c>
      <c r="N26" s="140">
        <f t="shared" si="20"/>
        <v>5011001</v>
      </c>
      <c r="O26" s="49">
        <f t="shared" si="21"/>
        <v>0</v>
      </c>
      <c r="P26" s="142">
        <f t="shared" si="22"/>
        <v>2907646</v>
      </c>
      <c r="Q26" s="49">
        <f t="shared" si="9"/>
        <v>0</v>
      </c>
      <c r="R26" s="140">
        <f t="shared" si="23"/>
        <v>17002170</v>
      </c>
      <c r="S26" s="49">
        <f t="shared" si="10"/>
        <v>0</v>
      </c>
      <c r="T26" s="140">
        <v>0</v>
      </c>
      <c r="U26" s="143"/>
      <c r="V26" s="140">
        <f t="shared" si="24"/>
        <v>4596342</v>
      </c>
      <c r="W26" s="49">
        <f t="shared" si="11"/>
        <v>0</v>
      </c>
      <c r="X26" s="28">
        <f t="shared" si="12"/>
        <v>0</v>
      </c>
      <c r="Y26" s="35">
        <f t="shared" si="13"/>
        <v>0</v>
      </c>
      <c r="Z26" s="27">
        <f t="shared" si="14"/>
        <v>0</v>
      </c>
      <c r="AA26" s="27">
        <f t="shared" si="25"/>
        <v>0</v>
      </c>
    </row>
    <row r="27" spans="1:27" ht="16.5" thickBot="1" x14ac:dyDescent="0.25">
      <c r="A27" s="10">
        <v>44310</v>
      </c>
      <c r="B27" s="49"/>
      <c r="C27" s="49">
        <f t="shared" si="15"/>
        <v>18073</v>
      </c>
      <c r="D27" s="49">
        <f t="shared" si="3"/>
        <v>0</v>
      </c>
      <c r="E27" s="140">
        <f t="shared" si="16"/>
        <v>25448239</v>
      </c>
      <c r="F27" s="49">
        <f t="shared" si="4"/>
        <v>0</v>
      </c>
      <c r="G27" s="144">
        <f t="shared" si="17"/>
        <v>79913721</v>
      </c>
      <c r="H27" s="49">
        <f t="shared" si="5"/>
        <v>0</v>
      </c>
      <c r="I27" s="141">
        <f t="shared" si="6"/>
        <v>0</v>
      </c>
      <c r="J27" s="140">
        <f t="shared" si="18"/>
        <v>7760481</v>
      </c>
      <c r="K27" s="49">
        <f t="shared" si="7"/>
        <v>0</v>
      </c>
      <c r="L27" s="142">
        <f t="shared" si="19"/>
        <v>7784916</v>
      </c>
      <c r="M27" s="49">
        <f t="shared" si="8"/>
        <v>0</v>
      </c>
      <c r="N27" s="140">
        <f t="shared" si="20"/>
        <v>5011001</v>
      </c>
      <c r="O27" s="49">
        <f t="shared" si="21"/>
        <v>0</v>
      </c>
      <c r="P27" s="142">
        <f t="shared" si="22"/>
        <v>2907646</v>
      </c>
      <c r="Q27" s="49">
        <f t="shared" si="9"/>
        <v>0</v>
      </c>
      <c r="R27" s="140">
        <f t="shared" si="23"/>
        <v>17002170</v>
      </c>
      <c r="S27" s="49">
        <f t="shared" si="10"/>
        <v>0</v>
      </c>
      <c r="T27" s="140">
        <v>0</v>
      </c>
      <c r="U27" s="143"/>
      <c r="V27" s="140">
        <f t="shared" si="24"/>
        <v>4596342</v>
      </c>
      <c r="W27" s="49">
        <f t="shared" si="11"/>
        <v>0</v>
      </c>
      <c r="X27" s="28">
        <f t="shared" si="12"/>
        <v>0</v>
      </c>
      <c r="Y27" s="35">
        <f t="shared" si="13"/>
        <v>0</v>
      </c>
      <c r="Z27" s="27">
        <f t="shared" si="14"/>
        <v>0</v>
      </c>
      <c r="AA27" s="27">
        <f t="shared" si="25"/>
        <v>0</v>
      </c>
    </row>
    <row r="28" spans="1:27" ht="16.5" thickBot="1" x14ac:dyDescent="0.25">
      <c r="A28" s="10">
        <v>44311</v>
      </c>
      <c r="B28" s="49"/>
      <c r="C28" s="49">
        <f t="shared" si="15"/>
        <v>18073</v>
      </c>
      <c r="D28" s="49">
        <f t="shared" si="3"/>
        <v>0</v>
      </c>
      <c r="E28" s="140">
        <f t="shared" si="16"/>
        <v>25448239</v>
      </c>
      <c r="F28" s="49">
        <f t="shared" si="4"/>
        <v>0</v>
      </c>
      <c r="G28" s="144">
        <f t="shared" si="17"/>
        <v>79913721</v>
      </c>
      <c r="H28" s="49">
        <f t="shared" si="5"/>
        <v>0</v>
      </c>
      <c r="I28" s="141">
        <f t="shared" si="6"/>
        <v>0</v>
      </c>
      <c r="J28" s="140">
        <f t="shared" si="18"/>
        <v>7760481</v>
      </c>
      <c r="K28" s="49">
        <f t="shared" si="7"/>
        <v>0</v>
      </c>
      <c r="L28" s="142">
        <f t="shared" si="19"/>
        <v>7784916</v>
      </c>
      <c r="M28" s="49">
        <f t="shared" si="8"/>
        <v>0</v>
      </c>
      <c r="N28" s="140">
        <f t="shared" si="20"/>
        <v>5011001</v>
      </c>
      <c r="O28" s="49">
        <f t="shared" si="21"/>
        <v>0</v>
      </c>
      <c r="P28" s="142">
        <f t="shared" si="22"/>
        <v>2907646</v>
      </c>
      <c r="Q28" s="49">
        <f t="shared" si="9"/>
        <v>0</v>
      </c>
      <c r="R28" s="140">
        <f t="shared" si="23"/>
        <v>17002170</v>
      </c>
      <c r="S28" s="49">
        <f t="shared" si="10"/>
        <v>0</v>
      </c>
      <c r="T28" s="140">
        <v>0</v>
      </c>
      <c r="U28" s="143"/>
      <c r="V28" s="140">
        <f t="shared" si="24"/>
        <v>4596342</v>
      </c>
      <c r="W28" s="49">
        <f t="shared" si="11"/>
        <v>0</v>
      </c>
      <c r="X28" s="28">
        <f t="shared" si="12"/>
        <v>0</v>
      </c>
      <c r="Y28" s="35">
        <f t="shared" si="13"/>
        <v>0</v>
      </c>
      <c r="Z28" s="27">
        <f t="shared" si="14"/>
        <v>0</v>
      </c>
      <c r="AA28" s="27">
        <f t="shared" si="25"/>
        <v>0</v>
      </c>
    </row>
    <row r="29" spans="1:27" ht="16.5" thickBot="1" x14ac:dyDescent="0.25">
      <c r="A29" s="10">
        <v>44312</v>
      </c>
      <c r="B29" s="49"/>
      <c r="C29" s="49">
        <f t="shared" si="15"/>
        <v>18073</v>
      </c>
      <c r="D29" s="49">
        <f t="shared" si="3"/>
        <v>0</v>
      </c>
      <c r="E29" s="140">
        <f t="shared" si="16"/>
        <v>25448239</v>
      </c>
      <c r="F29" s="49">
        <f t="shared" si="4"/>
        <v>0</v>
      </c>
      <c r="G29" s="144">
        <f t="shared" si="17"/>
        <v>79913721</v>
      </c>
      <c r="H29" s="49">
        <f t="shared" si="5"/>
        <v>0</v>
      </c>
      <c r="I29" s="141">
        <f t="shared" si="6"/>
        <v>0</v>
      </c>
      <c r="J29" s="140">
        <f t="shared" si="18"/>
        <v>7760481</v>
      </c>
      <c r="K29" s="49">
        <f t="shared" si="7"/>
        <v>0</v>
      </c>
      <c r="L29" s="142">
        <f t="shared" si="19"/>
        <v>7784916</v>
      </c>
      <c r="M29" s="49">
        <f t="shared" si="8"/>
        <v>0</v>
      </c>
      <c r="N29" s="140">
        <f t="shared" si="20"/>
        <v>5011001</v>
      </c>
      <c r="O29" s="49">
        <f t="shared" si="21"/>
        <v>0</v>
      </c>
      <c r="P29" s="142">
        <f t="shared" si="22"/>
        <v>2907646</v>
      </c>
      <c r="Q29" s="49">
        <f t="shared" si="9"/>
        <v>0</v>
      </c>
      <c r="R29" s="140">
        <f t="shared" si="23"/>
        <v>17002170</v>
      </c>
      <c r="S29" s="49">
        <f t="shared" si="10"/>
        <v>0</v>
      </c>
      <c r="T29" s="140">
        <v>0</v>
      </c>
      <c r="U29" s="143"/>
      <c r="V29" s="140">
        <f t="shared" si="24"/>
        <v>4596342</v>
      </c>
      <c r="W29" s="49">
        <f t="shared" si="11"/>
        <v>0</v>
      </c>
      <c r="X29" s="28">
        <f t="shared" si="12"/>
        <v>0</v>
      </c>
      <c r="Y29" s="35">
        <f t="shared" si="13"/>
        <v>0</v>
      </c>
      <c r="Z29" s="27">
        <f t="shared" si="14"/>
        <v>0</v>
      </c>
      <c r="AA29" s="27">
        <f t="shared" si="25"/>
        <v>0</v>
      </c>
    </row>
    <row r="30" spans="1:27" ht="16.5" thickBot="1" x14ac:dyDescent="0.25">
      <c r="A30" s="10">
        <v>44313</v>
      </c>
      <c r="B30" s="49"/>
      <c r="C30" s="49">
        <f t="shared" si="15"/>
        <v>18073</v>
      </c>
      <c r="D30" s="49">
        <f t="shared" si="3"/>
        <v>0</v>
      </c>
      <c r="E30" s="140">
        <f t="shared" si="16"/>
        <v>25448239</v>
      </c>
      <c r="F30" s="49">
        <f t="shared" si="4"/>
        <v>0</v>
      </c>
      <c r="G30" s="144">
        <f t="shared" si="17"/>
        <v>79913721</v>
      </c>
      <c r="H30" s="49">
        <f t="shared" si="5"/>
        <v>0</v>
      </c>
      <c r="I30" s="141">
        <f t="shared" si="6"/>
        <v>0</v>
      </c>
      <c r="J30" s="140">
        <f t="shared" si="18"/>
        <v>7760481</v>
      </c>
      <c r="K30" s="49">
        <f t="shared" si="7"/>
        <v>0</v>
      </c>
      <c r="L30" s="142">
        <f t="shared" si="19"/>
        <v>7784916</v>
      </c>
      <c r="M30" s="49">
        <f t="shared" si="8"/>
        <v>0</v>
      </c>
      <c r="N30" s="140">
        <f t="shared" si="20"/>
        <v>5011001</v>
      </c>
      <c r="O30" s="49">
        <f t="shared" si="21"/>
        <v>0</v>
      </c>
      <c r="P30" s="142">
        <f t="shared" si="22"/>
        <v>2907646</v>
      </c>
      <c r="Q30" s="49">
        <f t="shared" si="9"/>
        <v>0</v>
      </c>
      <c r="R30" s="140">
        <f t="shared" si="23"/>
        <v>17002170</v>
      </c>
      <c r="S30" s="49">
        <f t="shared" si="10"/>
        <v>0</v>
      </c>
      <c r="T30" s="140">
        <v>0</v>
      </c>
      <c r="U30" s="143"/>
      <c r="V30" s="140">
        <f t="shared" si="24"/>
        <v>4596342</v>
      </c>
      <c r="W30" s="49">
        <f t="shared" si="11"/>
        <v>0</v>
      </c>
      <c r="X30" s="28">
        <f t="shared" si="12"/>
        <v>0</v>
      </c>
      <c r="Y30" s="35">
        <f t="shared" si="13"/>
        <v>0</v>
      </c>
      <c r="Z30" s="27">
        <f t="shared" si="14"/>
        <v>0</v>
      </c>
      <c r="AA30" s="27">
        <f t="shared" si="25"/>
        <v>0</v>
      </c>
    </row>
    <row r="31" spans="1:27" ht="16.5" thickBot="1" x14ac:dyDescent="0.25">
      <c r="A31" s="10">
        <v>44314</v>
      </c>
      <c r="B31" s="49"/>
      <c r="C31" s="49">
        <f t="shared" si="15"/>
        <v>18073</v>
      </c>
      <c r="D31" s="49">
        <f t="shared" si="3"/>
        <v>0</v>
      </c>
      <c r="E31" s="140">
        <f t="shared" si="16"/>
        <v>25448239</v>
      </c>
      <c r="F31" s="49">
        <f t="shared" si="4"/>
        <v>0</v>
      </c>
      <c r="G31" s="144">
        <f t="shared" si="17"/>
        <v>79913721</v>
      </c>
      <c r="H31" s="49">
        <f t="shared" si="5"/>
        <v>0</v>
      </c>
      <c r="I31" s="28">
        <f>F31+H31</f>
        <v>0</v>
      </c>
      <c r="J31" s="140">
        <f t="shared" si="18"/>
        <v>7760481</v>
      </c>
      <c r="K31" s="49">
        <f t="shared" si="7"/>
        <v>0</v>
      </c>
      <c r="L31" s="142">
        <f t="shared" si="19"/>
        <v>7784916</v>
      </c>
      <c r="M31" s="49">
        <f t="shared" si="8"/>
        <v>0</v>
      </c>
      <c r="N31" s="140">
        <f t="shared" si="20"/>
        <v>5011001</v>
      </c>
      <c r="O31" s="49">
        <f t="shared" si="21"/>
        <v>0</v>
      </c>
      <c r="P31" s="142">
        <f t="shared" si="22"/>
        <v>2907646</v>
      </c>
      <c r="Q31" s="49">
        <f t="shared" si="9"/>
        <v>0</v>
      </c>
      <c r="R31" s="140">
        <f t="shared" si="23"/>
        <v>17002170</v>
      </c>
      <c r="S31" s="49">
        <f t="shared" si="10"/>
        <v>0</v>
      </c>
      <c r="T31" s="140">
        <v>0</v>
      </c>
      <c r="U31" s="29"/>
      <c r="V31" s="140">
        <f t="shared" si="24"/>
        <v>4596342</v>
      </c>
      <c r="W31" s="49">
        <f t="shared" si="11"/>
        <v>0</v>
      </c>
      <c r="X31" s="28">
        <f t="shared" si="12"/>
        <v>0</v>
      </c>
      <c r="Y31" s="35">
        <f t="shared" si="13"/>
        <v>0</v>
      </c>
      <c r="Z31" s="27">
        <f t="shared" si="14"/>
        <v>0</v>
      </c>
      <c r="AA31" s="27">
        <f t="shared" si="25"/>
        <v>0</v>
      </c>
    </row>
    <row r="32" spans="1:27" ht="16.5" thickBot="1" x14ac:dyDescent="0.25">
      <c r="A32" s="10">
        <v>44315</v>
      </c>
      <c r="B32" s="49"/>
      <c r="C32" s="49">
        <f t="shared" si="15"/>
        <v>18073</v>
      </c>
      <c r="D32" s="49">
        <f t="shared" si="3"/>
        <v>0</v>
      </c>
      <c r="E32" s="140">
        <f t="shared" si="16"/>
        <v>25448239</v>
      </c>
      <c r="F32" s="49">
        <f t="shared" si="4"/>
        <v>0</v>
      </c>
      <c r="G32" s="144">
        <f t="shared" si="17"/>
        <v>79913721</v>
      </c>
      <c r="H32" s="49">
        <f t="shared" si="5"/>
        <v>0</v>
      </c>
      <c r="I32" s="28">
        <f t="shared" ref="I32:I33" si="26">F32+H32</f>
        <v>0</v>
      </c>
      <c r="J32" s="140">
        <f t="shared" si="18"/>
        <v>7760481</v>
      </c>
      <c r="K32" s="49">
        <f t="shared" si="7"/>
        <v>0</v>
      </c>
      <c r="L32" s="142">
        <f t="shared" si="19"/>
        <v>7784916</v>
      </c>
      <c r="M32" s="49">
        <f t="shared" si="8"/>
        <v>0</v>
      </c>
      <c r="N32" s="140">
        <f t="shared" si="20"/>
        <v>5011001</v>
      </c>
      <c r="O32" s="49">
        <f t="shared" si="21"/>
        <v>0</v>
      </c>
      <c r="P32" s="142">
        <f t="shared" si="22"/>
        <v>2907646</v>
      </c>
      <c r="Q32" s="49">
        <f t="shared" si="9"/>
        <v>0</v>
      </c>
      <c r="R32" s="140">
        <f t="shared" si="23"/>
        <v>17002170</v>
      </c>
      <c r="S32" s="49">
        <f t="shared" si="10"/>
        <v>0</v>
      </c>
      <c r="T32" s="140">
        <v>0</v>
      </c>
      <c r="U32" s="29"/>
      <c r="V32" s="140">
        <f t="shared" si="24"/>
        <v>4596342</v>
      </c>
      <c r="W32" s="49">
        <f t="shared" si="11"/>
        <v>0</v>
      </c>
      <c r="X32" s="28">
        <f t="shared" si="12"/>
        <v>0</v>
      </c>
      <c r="Y32" s="35">
        <f t="shared" si="13"/>
        <v>0</v>
      </c>
      <c r="Z32" s="27">
        <f t="shared" si="14"/>
        <v>0</v>
      </c>
      <c r="AA32" s="27">
        <f t="shared" si="25"/>
        <v>0</v>
      </c>
    </row>
    <row r="33" spans="1:28" ht="16.5" thickBot="1" x14ac:dyDescent="0.25">
      <c r="A33" s="10">
        <v>44316</v>
      </c>
      <c r="B33" s="49"/>
      <c r="C33" s="49">
        <f t="shared" si="15"/>
        <v>18073</v>
      </c>
      <c r="D33" s="49">
        <f t="shared" si="3"/>
        <v>0</v>
      </c>
      <c r="E33" s="140">
        <f t="shared" si="16"/>
        <v>25448239</v>
      </c>
      <c r="F33" s="49">
        <f t="shared" si="4"/>
        <v>0</v>
      </c>
      <c r="G33" s="144">
        <f t="shared" si="17"/>
        <v>79913721</v>
      </c>
      <c r="H33" s="49">
        <f t="shared" si="5"/>
        <v>0</v>
      </c>
      <c r="I33" s="28">
        <f t="shared" si="26"/>
        <v>0</v>
      </c>
      <c r="J33" s="140">
        <f t="shared" si="18"/>
        <v>7760481</v>
      </c>
      <c r="K33" s="49">
        <f t="shared" si="7"/>
        <v>0</v>
      </c>
      <c r="L33" s="142">
        <f t="shared" si="19"/>
        <v>7784916</v>
      </c>
      <c r="M33" s="49">
        <f t="shared" si="8"/>
        <v>0</v>
      </c>
      <c r="N33" s="140">
        <f t="shared" si="20"/>
        <v>5011001</v>
      </c>
      <c r="O33" s="49">
        <f t="shared" si="21"/>
        <v>0</v>
      </c>
      <c r="P33" s="142">
        <f t="shared" si="22"/>
        <v>2907646</v>
      </c>
      <c r="Q33" s="49">
        <f t="shared" si="9"/>
        <v>0</v>
      </c>
      <c r="R33" s="140">
        <f t="shared" si="23"/>
        <v>17002170</v>
      </c>
      <c r="S33" s="49">
        <f t="shared" si="10"/>
        <v>0</v>
      </c>
      <c r="T33" s="140">
        <v>0</v>
      </c>
      <c r="U33" s="29"/>
      <c r="V33" s="140">
        <f t="shared" si="24"/>
        <v>4596342</v>
      </c>
      <c r="W33" s="49">
        <f t="shared" si="11"/>
        <v>0</v>
      </c>
      <c r="X33" s="28">
        <f t="shared" si="12"/>
        <v>0</v>
      </c>
      <c r="Y33" s="35">
        <f t="shared" si="13"/>
        <v>0</v>
      </c>
      <c r="Z33" s="27">
        <f t="shared" si="14"/>
        <v>0</v>
      </c>
      <c r="AA33" s="27">
        <f t="shared" si="25"/>
        <v>0</v>
      </c>
    </row>
    <row r="34" spans="1:28" ht="16.5" thickBot="1" x14ac:dyDescent="0.25">
      <c r="A34" s="6" t="s">
        <v>24</v>
      </c>
      <c r="B34" s="162">
        <f>SUM(B2:B33)</f>
        <v>342</v>
      </c>
      <c r="C34" s="162"/>
      <c r="D34" s="162">
        <f>SUM(D2:D33)</f>
        <v>960</v>
      </c>
      <c r="E34" s="162">
        <v>0</v>
      </c>
      <c r="F34" s="162">
        <f>SUM(F2:F33)</f>
        <v>14700</v>
      </c>
      <c r="G34" s="162">
        <v>0</v>
      </c>
      <c r="H34" s="162">
        <f>SUM(H2:H33)</f>
        <v>76096</v>
      </c>
      <c r="I34" s="162">
        <f t="shared" ref="I34:X34" si="27">SUM(I5:I33)</f>
        <v>0</v>
      </c>
      <c r="J34" s="162">
        <v>0</v>
      </c>
      <c r="K34" s="162">
        <f>SUM(K2:K33)</f>
        <v>8246</v>
      </c>
      <c r="L34" s="162">
        <v>0</v>
      </c>
      <c r="M34" s="162">
        <f>SUM(M2:M33)</f>
        <v>10081</v>
      </c>
      <c r="N34" s="162">
        <v>0</v>
      </c>
      <c r="O34" s="162">
        <f>SUM(O2:O33)</f>
        <v>4332</v>
      </c>
      <c r="P34" s="162">
        <v>0</v>
      </c>
      <c r="Q34" s="162">
        <f>SUM(Q2:Q33)</f>
        <v>14252</v>
      </c>
      <c r="R34" s="162">
        <v>0</v>
      </c>
      <c r="S34" s="162">
        <f>SUM(S2:S33)</f>
        <v>16262</v>
      </c>
      <c r="T34" s="162">
        <f t="shared" si="27"/>
        <v>0</v>
      </c>
      <c r="U34" s="162">
        <f>SUM(U2:U33)</f>
        <v>0</v>
      </c>
      <c r="V34" s="162">
        <v>0</v>
      </c>
      <c r="W34" s="162">
        <f>SUM(W2:W33)</f>
        <v>17773</v>
      </c>
      <c r="X34" s="162">
        <f t="shared" si="27"/>
        <v>0</v>
      </c>
      <c r="Y34" s="162">
        <f>SUM(Y2:Y33)</f>
        <v>19850</v>
      </c>
      <c r="Z34" s="162">
        <f>SUM(Z2:Z33)</f>
        <v>10951.180344</v>
      </c>
      <c r="AA34" s="162">
        <f>SUM(AA2:AA33)</f>
        <v>55255.482838399999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4" sqref="A4:XFD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17250461</v>
      </c>
      <c r="C2" s="55"/>
    </row>
    <row r="3" spans="1:9" ht="24" thickBot="1" x14ac:dyDescent="0.4">
      <c r="A3" s="10">
        <v>44286</v>
      </c>
      <c r="B3" s="157">
        <v>17252345</v>
      </c>
      <c r="C3" s="55">
        <v>1884</v>
      </c>
    </row>
    <row r="4" spans="1:9" ht="24" thickBot="1" x14ac:dyDescent="0.4">
      <c r="A4" s="10">
        <v>44287</v>
      </c>
      <c r="B4" s="157">
        <v>17254891</v>
      </c>
      <c r="C4" s="55">
        <f t="shared" ref="C4:C30" si="0">IF((B4-B3)&lt;0,"0",(B4-B3))</f>
        <v>2546</v>
      </c>
    </row>
    <row r="5" spans="1:9" ht="24" thickBot="1" x14ac:dyDescent="0.4">
      <c r="A5" s="10">
        <v>44288</v>
      </c>
      <c r="B5" s="157">
        <f t="shared" ref="B4:B32" si="1">B4</f>
        <v>17254891</v>
      </c>
      <c r="C5" s="55">
        <f t="shared" si="0"/>
        <v>0</v>
      </c>
    </row>
    <row r="6" spans="1:9" ht="24" thickBot="1" x14ac:dyDescent="0.4">
      <c r="A6" s="10">
        <v>44289</v>
      </c>
      <c r="B6" s="157">
        <f t="shared" si="1"/>
        <v>17254891</v>
      </c>
      <c r="C6" s="55">
        <f t="shared" si="0"/>
        <v>0</v>
      </c>
    </row>
    <row r="7" spans="1:9" ht="24" thickBot="1" x14ac:dyDescent="0.4">
      <c r="A7" s="10">
        <v>44290</v>
      </c>
      <c r="B7" s="157">
        <f t="shared" si="1"/>
        <v>17254891</v>
      </c>
      <c r="C7" s="55">
        <f t="shared" si="0"/>
        <v>0</v>
      </c>
    </row>
    <row r="8" spans="1:9" ht="24" thickBot="1" x14ac:dyDescent="0.4">
      <c r="A8" s="10">
        <v>44291</v>
      </c>
      <c r="B8" s="157">
        <f t="shared" si="1"/>
        <v>17254891</v>
      </c>
      <c r="C8" s="55">
        <f t="shared" si="0"/>
        <v>0</v>
      </c>
    </row>
    <row r="9" spans="1:9" ht="24" thickBot="1" x14ac:dyDescent="0.4">
      <c r="A9" s="10">
        <v>44292</v>
      </c>
      <c r="B9" s="157">
        <f t="shared" si="1"/>
        <v>17254891</v>
      </c>
      <c r="C9" s="55">
        <f t="shared" si="0"/>
        <v>0</v>
      </c>
    </row>
    <row r="10" spans="1:9" ht="24" thickBot="1" x14ac:dyDescent="0.4">
      <c r="A10" s="10">
        <v>44293</v>
      </c>
      <c r="B10" s="157">
        <f t="shared" si="1"/>
        <v>17254891</v>
      </c>
      <c r="C10" s="55">
        <f t="shared" si="0"/>
        <v>0</v>
      </c>
    </row>
    <row r="11" spans="1:9" ht="24" thickBot="1" x14ac:dyDescent="0.4">
      <c r="A11" s="10">
        <v>44294</v>
      </c>
      <c r="B11" s="157">
        <f t="shared" si="1"/>
        <v>17254891</v>
      </c>
      <c r="C11" s="55">
        <f t="shared" si="0"/>
        <v>0</v>
      </c>
    </row>
    <row r="12" spans="1:9" ht="24" thickBot="1" x14ac:dyDescent="0.4">
      <c r="A12" s="10">
        <v>44295</v>
      </c>
      <c r="B12" s="157">
        <f t="shared" si="1"/>
        <v>17254891</v>
      </c>
      <c r="C12" s="55">
        <f t="shared" si="0"/>
        <v>0</v>
      </c>
    </row>
    <row r="13" spans="1:9" ht="24" thickBot="1" x14ac:dyDescent="0.4">
      <c r="A13" s="10">
        <v>44296</v>
      </c>
      <c r="B13" s="157">
        <f t="shared" si="1"/>
        <v>17254891</v>
      </c>
      <c r="C13" s="55">
        <f t="shared" si="0"/>
        <v>0</v>
      </c>
    </row>
    <row r="14" spans="1:9" ht="24" thickBot="1" x14ac:dyDescent="0.4">
      <c r="A14" s="10">
        <v>44297</v>
      </c>
      <c r="B14" s="157">
        <f t="shared" si="1"/>
        <v>17254891</v>
      </c>
      <c r="C14" s="55">
        <f t="shared" si="0"/>
        <v>0</v>
      </c>
    </row>
    <row r="15" spans="1:9" ht="24" thickBot="1" x14ac:dyDescent="0.4">
      <c r="A15" s="10">
        <v>44298</v>
      </c>
      <c r="B15" s="157">
        <f t="shared" si="1"/>
        <v>17254891</v>
      </c>
      <c r="C15" s="55">
        <f t="shared" si="0"/>
        <v>0</v>
      </c>
      <c r="I15" t="s">
        <v>13</v>
      </c>
    </row>
    <row r="16" spans="1:9" ht="26.25" customHeight="1" thickBot="1" x14ac:dyDescent="0.4">
      <c r="A16" s="10">
        <v>44299</v>
      </c>
      <c r="B16" s="157">
        <f t="shared" si="1"/>
        <v>17254891</v>
      </c>
      <c r="C16" s="55">
        <f t="shared" si="0"/>
        <v>0</v>
      </c>
    </row>
    <row r="17" spans="1:9" ht="25.5" customHeight="1" thickBot="1" x14ac:dyDescent="0.4">
      <c r="A17" s="10">
        <v>44300</v>
      </c>
      <c r="B17" s="157">
        <f t="shared" si="1"/>
        <v>17254891</v>
      </c>
      <c r="C17" s="55">
        <f t="shared" si="0"/>
        <v>0</v>
      </c>
      <c r="F17" s="155"/>
    </row>
    <row r="18" spans="1:9" ht="24" thickBot="1" x14ac:dyDescent="0.4">
      <c r="A18" s="10">
        <v>44301</v>
      </c>
      <c r="B18" s="157">
        <f t="shared" si="1"/>
        <v>17254891</v>
      </c>
      <c r="C18" s="55">
        <f t="shared" si="0"/>
        <v>0</v>
      </c>
    </row>
    <row r="19" spans="1:9" ht="24" thickBot="1" x14ac:dyDescent="0.4">
      <c r="A19" s="10">
        <v>44302</v>
      </c>
      <c r="B19" s="157">
        <f t="shared" si="1"/>
        <v>17254891</v>
      </c>
      <c r="C19" s="55">
        <f t="shared" si="0"/>
        <v>0</v>
      </c>
    </row>
    <row r="20" spans="1:9" ht="24" thickBot="1" x14ac:dyDescent="0.4">
      <c r="A20" s="10">
        <v>44303</v>
      </c>
      <c r="B20" s="157">
        <f t="shared" si="1"/>
        <v>17254891</v>
      </c>
      <c r="C20" s="55">
        <f t="shared" si="0"/>
        <v>0</v>
      </c>
    </row>
    <row r="21" spans="1:9" ht="24" thickBot="1" x14ac:dyDescent="0.4">
      <c r="A21" s="10">
        <v>44304</v>
      </c>
      <c r="B21" s="157">
        <f t="shared" si="1"/>
        <v>17254891</v>
      </c>
      <c r="C21" s="55">
        <f t="shared" si="0"/>
        <v>0</v>
      </c>
    </row>
    <row r="22" spans="1:9" ht="24" thickBot="1" x14ac:dyDescent="0.4">
      <c r="A22" s="10">
        <v>44305</v>
      </c>
      <c r="B22" s="157">
        <f t="shared" si="1"/>
        <v>17254891</v>
      </c>
      <c r="C22" s="55">
        <f t="shared" si="0"/>
        <v>0</v>
      </c>
    </row>
    <row r="23" spans="1:9" ht="24" thickBot="1" x14ac:dyDescent="0.4">
      <c r="A23" s="10">
        <v>44306</v>
      </c>
      <c r="B23" s="157">
        <f t="shared" si="1"/>
        <v>17254891</v>
      </c>
      <c r="C23" s="55">
        <f t="shared" si="0"/>
        <v>0</v>
      </c>
      <c r="F23" t="s">
        <v>13</v>
      </c>
    </row>
    <row r="24" spans="1:9" ht="24" thickBot="1" x14ac:dyDescent="0.4">
      <c r="A24" s="10">
        <v>44307</v>
      </c>
      <c r="B24" s="157">
        <f t="shared" si="1"/>
        <v>17254891</v>
      </c>
      <c r="C24" s="55">
        <f t="shared" si="0"/>
        <v>0</v>
      </c>
      <c r="E24" t="s">
        <v>13</v>
      </c>
    </row>
    <row r="25" spans="1:9" ht="24" thickBot="1" x14ac:dyDescent="0.4">
      <c r="A25" s="10">
        <v>44308</v>
      </c>
      <c r="B25" s="157">
        <f t="shared" si="1"/>
        <v>17254891</v>
      </c>
      <c r="C25" s="55">
        <f t="shared" si="0"/>
        <v>0</v>
      </c>
    </row>
    <row r="26" spans="1:9" ht="24" thickBot="1" x14ac:dyDescent="0.4">
      <c r="A26" s="10">
        <v>44309</v>
      </c>
      <c r="B26" s="157">
        <f t="shared" si="1"/>
        <v>17254891</v>
      </c>
      <c r="C26" s="55">
        <f t="shared" si="0"/>
        <v>0</v>
      </c>
    </row>
    <row r="27" spans="1:9" ht="24" thickBot="1" x14ac:dyDescent="0.4">
      <c r="A27" s="10">
        <v>44310</v>
      </c>
      <c r="B27" s="157">
        <f t="shared" si="1"/>
        <v>17254891</v>
      </c>
      <c r="C27" s="55">
        <f t="shared" si="0"/>
        <v>0</v>
      </c>
    </row>
    <row r="28" spans="1:9" ht="24" thickBot="1" x14ac:dyDescent="0.4">
      <c r="A28" s="10">
        <v>44311</v>
      </c>
      <c r="B28" s="157">
        <f t="shared" si="1"/>
        <v>17254891</v>
      </c>
      <c r="C28" s="55">
        <f t="shared" si="0"/>
        <v>0</v>
      </c>
      <c r="I28" t="s">
        <v>13</v>
      </c>
    </row>
    <row r="29" spans="1:9" ht="24" thickBot="1" x14ac:dyDescent="0.4">
      <c r="A29" s="10">
        <v>44312</v>
      </c>
      <c r="B29" s="157">
        <f t="shared" si="1"/>
        <v>17254891</v>
      </c>
      <c r="C29" s="55">
        <f t="shared" si="0"/>
        <v>0</v>
      </c>
    </row>
    <row r="30" spans="1:9" ht="24" thickBot="1" x14ac:dyDescent="0.4">
      <c r="A30" s="10">
        <v>44313</v>
      </c>
      <c r="B30" s="157">
        <f t="shared" si="1"/>
        <v>17254891</v>
      </c>
      <c r="C30" s="55">
        <f t="shared" si="0"/>
        <v>0</v>
      </c>
    </row>
    <row r="31" spans="1:9" ht="24" thickBot="1" x14ac:dyDescent="0.4">
      <c r="A31" s="10">
        <v>44314</v>
      </c>
      <c r="B31" s="157">
        <f t="shared" si="1"/>
        <v>17254891</v>
      </c>
      <c r="C31" s="55">
        <f>IF((B31-B30)&lt;0,"0",(B31-B30))</f>
        <v>0</v>
      </c>
    </row>
    <row r="32" spans="1:9" ht="24" thickBot="1" x14ac:dyDescent="0.4">
      <c r="A32" s="10">
        <v>44315</v>
      </c>
      <c r="B32" s="157">
        <f t="shared" si="1"/>
        <v>17254891</v>
      </c>
      <c r="C32" s="55">
        <f t="shared" ref="C32:C33" si="2">IF((B32-B31)&lt;0,"0",(B32-B31))</f>
        <v>0</v>
      </c>
    </row>
    <row r="33" spans="1:3" ht="24" thickBot="1" x14ac:dyDescent="0.4">
      <c r="A33" s="10">
        <v>44316</v>
      </c>
      <c r="B33" s="157">
        <f t="shared" ref="B33" si="3">B32</f>
        <v>17254891</v>
      </c>
      <c r="C33" s="55">
        <f t="shared" si="2"/>
        <v>0</v>
      </c>
    </row>
    <row r="34" spans="1:3" ht="24" thickBot="1" x14ac:dyDescent="0.4">
      <c r="A34" s="165" t="s">
        <v>141</v>
      </c>
      <c r="B34" s="166"/>
      <c r="C34" s="160">
        <f>SUM(C3:C33)</f>
        <v>4430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zoomScale="98" zoomScaleNormal="98" workbookViewId="0">
      <selection activeCell="D4" sqref="A4:XFD4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20276.262999999999</v>
      </c>
      <c r="C2" s="54">
        <v>0</v>
      </c>
      <c r="D2" s="38">
        <f t="shared" ref="D2" si="0">C2*1.9*1000</f>
        <v>0</v>
      </c>
      <c r="E2" s="1">
        <v>3509.5659999999998</v>
      </c>
      <c r="F2" s="54">
        <v>0</v>
      </c>
      <c r="G2" s="38">
        <f t="shared" ref="G2" si="1">F2*1.9*1000</f>
        <v>0</v>
      </c>
      <c r="H2" s="1">
        <v>2721</v>
      </c>
      <c r="I2" s="54">
        <v>0</v>
      </c>
      <c r="J2" s="38">
        <f t="shared" ref="J2" si="2">I2*1.9*1000</f>
        <v>0</v>
      </c>
      <c r="K2" s="7">
        <v>13315.91</v>
      </c>
      <c r="L2" s="54">
        <v>0</v>
      </c>
      <c r="M2" s="38">
        <f t="shared" ref="M2" si="3">L2*1.9*1000</f>
        <v>0</v>
      </c>
      <c r="N2" s="7">
        <v>2970.8620000000001</v>
      </c>
      <c r="O2" s="54">
        <v>0</v>
      </c>
      <c r="P2" s="38">
        <f t="shared" ref="P2" si="4">O2*1.9*1000</f>
        <v>0</v>
      </c>
      <c r="Q2" s="7">
        <v>4723.67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44286</v>
      </c>
      <c r="B3" s="1">
        <v>20280.445</v>
      </c>
      <c r="C3" s="54">
        <v>4.125</v>
      </c>
      <c r="D3" s="38">
        <v>7837.4999999999991</v>
      </c>
      <c r="E3" s="1">
        <v>3510.6309999999999</v>
      </c>
      <c r="F3" s="54">
        <v>1.2909999999997126</v>
      </c>
      <c r="G3" s="38">
        <v>2452.8999999994539</v>
      </c>
      <c r="H3" s="1">
        <v>2727</v>
      </c>
      <c r="I3" s="54">
        <v>5</v>
      </c>
      <c r="J3" s="38">
        <v>9500</v>
      </c>
      <c r="K3" s="7">
        <v>13318.56</v>
      </c>
      <c r="L3" s="54">
        <v>0.80999999999949068</v>
      </c>
      <c r="M3" s="38">
        <v>1538.9999999990323</v>
      </c>
      <c r="N3" s="7">
        <v>2972.1869999999999</v>
      </c>
      <c r="O3" s="54">
        <v>1.1720000000000255</v>
      </c>
      <c r="P3" s="38">
        <v>2226.8000000000484</v>
      </c>
      <c r="Q3" s="7">
        <v>4724.13</v>
      </c>
      <c r="R3" s="54">
        <v>0.11499999999978172</v>
      </c>
      <c r="S3" s="38">
        <v>218.49999999958524</v>
      </c>
      <c r="T3" s="8">
        <v>12.51299999999901</v>
      </c>
      <c r="U3" s="40">
        <v>23774.69999999812</v>
      </c>
    </row>
    <row r="4" spans="1:25" ht="16.5" thickBot="1" x14ac:dyDescent="0.25">
      <c r="A4" s="10">
        <v>44287</v>
      </c>
      <c r="B4" s="1">
        <v>20284.669999999998</v>
      </c>
      <c r="C4" s="54">
        <f t="shared" ref="C4:C33" si="7">IF((B4-B3)&lt;0,"0",(B4-B3))</f>
        <v>4.2249999999985448</v>
      </c>
      <c r="D4" s="38">
        <f t="shared" ref="D4:D33" si="8">C4*1.9*1000</f>
        <v>8027.4999999972342</v>
      </c>
      <c r="E4" s="1">
        <v>3511.66</v>
      </c>
      <c r="F4" s="54">
        <f t="shared" ref="F4:F33" si="9">IF((E4-E3)&lt;0,"0",(E4-E3))</f>
        <v>1.0289999999999964</v>
      </c>
      <c r="G4" s="38">
        <f t="shared" ref="G4:G33" si="10">F4*1.9*1000</f>
        <v>1955.0999999999929</v>
      </c>
      <c r="H4" s="1">
        <v>2732</v>
      </c>
      <c r="I4" s="54">
        <f t="shared" ref="I4:I33" si="11">IF((H4-H3)&lt;0,"0",(H4-H3))</f>
        <v>5</v>
      </c>
      <c r="J4" s="38">
        <f t="shared" ref="J4:J33" si="12">I4*1.9*1000</f>
        <v>9500</v>
      </c>
      <c r="K4" s="7">
        <v>13319.19</v>
      </c>
      <c r="L4" s="54">
        <f t="shared" ref="L4:L33" si="13">IF((K4-K3)&lt;0,"0",(K4-K3))</f>
        <v>0.63000000000101863</v>
      </c>
      <c r="M4" s="38">
        <f t="shared" ref="M4:M33" si="14">L4*1.9*1000</f>
        <v>1197.0000000019354</v>
      </c>
      <c r="N4" s="7">
        <v>2973.556</v>
      </c>
      <c r="O4" s="54">
        <f t="shared" ref="O4:O33" si="15">IF((N4-N3)&lt;0,"0",(N4-N3))</f>
        <v>1.3690000000001419</v>
      </c>
      <c r="P4" s="38">
        <v>0</v>
      </c>
      <c r="Q4" s="7">
        <v>4724.75</v>
      </c>
      <c r="R4" s="54">
        <f t="shared" ref="R4:R33" si="16">IF((Q4-Q3)&lt;0,"0",(Q4-Q3))</f>
        <v>0.61999999999989086</v>
      </c>
      <c r="S4" s="38">
        <f t="shared" ref="S4:S33" si="17">R4*1.9*1000</f>
        <v>1177.9999999997926</v>
      </c>
      <c r="T4" s="8">
        <v>0</v>
      </c>
      <c r="U4" s="40">
        <f t="shared" ref="U4:U33" si="18">T4*1.9*1000</f>
        <v>0</v>
      </c>
    </row>
    <row r="5" spans="1:25" ht="16.5" thickBot="1" x14ac:dyDescent="0.25">
      <c r="A5" s="10">
        <v>44288</v>
      </c>
      <c r="B5" s="1">
        <f t="shared" ref="B4:B33" si="19">B4</f>
        <v>20284.669999999998</v>
      </c>
      <c r="C5" s="54">
        <f t="shared" si="7"/>
        <v>0</v>
      </c>
      <c r="D5" s="38">
        <f t="shared" si="8"/>
        <v>0</v>
      </c>
      <c r="E5" s="1">
        <f t="shared" ref="E4:E33" si="20">E4</f>
        <v>3511.66</v>
      </c>
      <c r="F5" s="54">
        <f t="shared" si="9"/>
        <v>0</v>
      </c>
      <c r="G5" s="38">
        <f t="shared" si="10"/>
        <v>0</v>
      </c>
      <c r="H5" s="1">
        <f t="shared" ref="H4:H33" si="21">H4</f>
        <v>2732</v>
      </c>
      <c r="I5" s="54">
        <f t="shared" si="11"/>
        <v>0</v>
      </c>
      <c r="J5" s="38">
        <f t="shared" si="12"/>
        <v>0</v>
      </c>
      <c r="K5" s="7">
        <f t="shared" ref="K4:K33" si="22">K4</f>
        <v>13319.19</v>
      </c>
      <c r="L5" s="54">
        <f t="shared" si="13"/>
        <v>0</v>
      </c>
      <c r="M5" s="38">
        <f t="shared" si="14"/>
        <v>0</v>
      </c>
      <c r="N5" s="7">
        <f t="shared" ref="N4:N32" si="23">N4</f>
        <v>2973.556</v>
      </c>
      <c r="O5" s="54">
        <f t="shared" si="15"/>
        <v>0</v>
      </c>
      <c r="P5" s="38">
        <f t="shared" ref="P5:P33" si="24">O5*1.9*1000</f>
        <v>0</v>
      </c>
      <c r="Q5" s="7">
        <f t="shared" ref="Q4:Q33" si="25">Q4</f>
        <v>4724.75</v>
      </c>
      <c r="R5" s="54">
        <f t="shared" si="16"/>
        <v>0</v>
      </c>
      <c r="S5" s="38">
        <f t="shared" si="17"/>
        <v>0</v>
      </c>
      <c r="T5" s="8">
        <f t="shared" ref="T5:T33" si="26">C5+F5+I5+L5+O5+R5</f>
        <v>0</v>
      </c>
      <c r="U5" s="40">
        <f t="shared" si="18"/>
        <v>0</v>
      </c>
    </row>
    <row r="6" spans="1:25" ht="16.5" thickBot="1" x14ac:dyDescent="0.25">
      <c r="A6" s="10">
        <v>44289</v>
      </c>
      <c r="B6" s="1">
        <f t="shared" si="19"/>
        <v>20284.669999999998</v>
      </c>
      <c r="C6" s="54">
        <f t="shared" si="7"/>
        <v>0</v>
      </c>
      <c r="D6" s="38">
        <f t="shared" si="8"/>
        <v>0</v>
      </c>
      <c r="E6" s="1">
        <f t="shared" si="20"/>
        <v>3511.66</v>
      </c>
      <c r="F6" s="54">
        <f t="shared" si="9"/>
        <v>0</v>
      </c>
      <c r="G6" s="38">
        <f t="shared" si="10"/>
        <v>0</v>
      </c>
      <c r="H6" s="1">
        <f t="shared" si="21"/>
        <v>2732</v>
      </c>
      <c r="I6" s="54">
        <f t="shared" si="11"/>
        <v>0</v>
      </c>
      <c r="J6" s="38">
        <f t="shared" si="12"/>
        <v>0</v>
      </c>
      <c r="K6" s="7">
        <f t="shared" si="22"/>
        <v>13319.19</v>
      </c>
      <c r="L6" s="54">
        <f t="shared" si="13"/>
        <v>0</v>
      </c>
      <c r="M6" s="38">
        <f t="shared" si="14"/>
        <v>0</v>
      </c>
      <c r="N6" s="7">
        <f t="shared" si="23"/>
        <v>2973.556</v>
      </c>
      <c r="O6" s="54">
        <f t="shared" si="15"/>
        <v>0</v>
      </c>
      <c r="P6" s="38">
        <f t="shared" si="24"/>
        <v>0</v>
      </c>
      <c r="Q6" s="7">
        <f t="shared" si="25"/>
        <v>4724.75</v>
      </c>
      <c r="R6" s="54">
        <f t="shared" si="16"/>
        <v>0</v>
      </c>
      <c r="S6" s="38">
        <f t="shared" si="17"/>
        <v>0</v>
      </c>
      <c r="T6" s="8">
        <f t="shared" si="26"/>
        <v>0</v>
      </c>
      <c r="U6" s="40">
        <f t="shared" si="18"/>
        <v>0</v>
      </c>
    </row>
    <row r="7" spans="1:25" ht="16.5" thickBot="1" x14ac:dyDescent="0.25">
      <c r="A7" s="10">
        <v>44290</v>
      </c>
      <c r="B7" s="1">
        <f t="shared" si="19"/>
        <v>20284.669999999998</v>
      </c>
      <c r="C7" s="54">
        <f t="shared" si="7"/>
        <v>0</v>
      </c>
      <c r="D7" s="38">
        <f t="shared" si="8"/>
        <v>0</v>
      </c>
      <c r="E7" s="1">
        <f t="shared" si="20"/>
        <v>3511.66</v>
      </c>
      <c r="F7" s="54">
        <f t="shared" si="9"/>
        <v>0</v>
      </c>
      <c r="G7" s="38">
        <f t="shared" si="10"/>
        <v>0</v>
      </c>
      <c r="H7" s="1">
        <f t="shared" si="21"/>
        <v>2732</v>
      </c>
      <c r="I7" s="54">
        <f t="shared" si="11"/>
        <v>0</v>
      </c>
      <c r="J7" s="38">
        <f t="shared" si="12"/>
        <v>0</v>
      </c>
      <c r="K7" s="7">
        <f t="shared" si="22"/>
        <v>13319.19</v>
      </c>
      <c r="L7" s="54">
        <f t="shared" si="13"/>
        <v>0</v>
      </c>
      <c r="M7" s="38">
        <f t="shared" si="14"/>
        <v>0</v>
      </c>
      <c r="N7" s="7">
        <f t="shared" si="23"/>
        <v>2973.556</v>
      </c>
      <c r="O7" s="54">
        <f t="shared" si="15"/>
        <v>0</v>
      </c>
      <c r="P7" s="38">
        <f t="shared" si="24"/>
        <v>0</v>
      </c>
      <c r="Q7" s="7">
        <f t="shared" si="25"/>
        <v>4724.75</v>
      </c>
      <c r="R7" s="54">
        <f t="shared" si="16"/>
        <v>0</v>
      </c>
      <c r="S7" s="38">
        <f t="shared" si="17"/>
        <v>0</v>
      </c>
      <c r="T7" s="8">
        <f t="shared" si="26"/>
        <v>0</v>
      </c>
      <c r="U7" s="40">
        <f t="shared" si="18"/>
        <v>0</v>
      </c>
    </row>
    <row r="8" spans="1:25" ht="16.5" thickBot="1" x14ac:dyDescent="0.25">
      <c r="A8" s="10">
        <v>44291</v>
      </c>
      <c r="B8" s="1">
        <f t="shared" si="19"/>
        <v>20284.669999999998</v>
      </c>
      <c r="C8" s="54">
        <f t="shared" si="7"/>
        <v>0</v>
      </c>
      <c r="D8" s="38">
        <f t="shared" si="8"/>
        <v>0</v>
      </c>
      <c r="E8" s="1">
        <f t="shared" si="20"/>
        <v>3511.66</v>
      </c>
      <c r="F8" s="54">
        <f t="shared" si="9"/>
        <v>0</v>
      </c>
      <c r="G8" s="38">
        <f t="shared" si="10"/>
        <v>0</v>
      </c>
      <c r="H8" s="1">
        <f t="shared" si="21"/>
        <v>2732</v>
      </c>
      <c r="I8" s="54">
        <f t="shared" si="11"/>
        <v>0</v>
      </c>
      <c r="J8" s="38">
        <f t="shared" si="12"/>
        <v>0</v>
      </c>
      <c r="K8" s="7">
        <f t="shared" si="22"/>
        <v>13319.19</v>
      </c>
      <c r="L8" s="54">
        <f>IF((K8-K7)&lt;0,"0",(K8-K7))</f>
        <v>0</v>
      </c>
      <c r="M8" s="38">
        <f t="shared" si="14"/>
        <v>0</v>
      </c>
      <c r="N8" s="7">
        <f t="shared" si="23"/>
        <v>2973.556</v>
      </c>
      <c r="O8" s="54">
        <f t="shared" si="15"/>
        <v>0</v>
      </c>
      <c r="P8" s="38">
        <f t="shared" si="24"/>
        <v>0</v>
      </c>
      <c r="Q8" s="7">
        <f t="shared" si="25"/>
        <v>4724.75</v>
      </c>
      <c r="R8" s="54">
        <f t="shared" si="16"/>
        <v>0</v>
      </c>
      <c r="S8" s="38">
        <f t="shared" si="17"/>
        <v>0</v>
      </c>
      <c r="T8" s="8">
        <f t="shared" si="26"/>
        <v>0</v>
      </c>
      <c r="U8" s="40">
        <f t="shared" si="18"/>
        <v>0</v>
      </c>
    </row>
    <row r="9" spans="1:25" ht="16.5" thickBot="1" x14ac:dyDescent="0.25">
      <c r="A9" s="10">
        <v>44292</v>
      </c>
      <c r="B9" s="1">
        <f t="shared" si="19"/>
        <v>20284.669999999998</v>
      </c>
      <c r="C9" s="54">
        <f t="shared" si="7"/>
        <v>0</v>
      </c>
      <c r="D9" s="38">
        <f t="shared" si="8"/>
        <v>0</v>
      </c>
      <c r="E9" s="1">
        <f t="shared" si="20"/>
        <v>3511.66</v>
      </c>
      <c r="F9" s="54">
        <f t="shared" si="9"/>
        <v>0</v>
      </c>
      <c r="G9" s="38">
        <f t="shared" si="10"/>
        <v>0</v>
      </c>
      <c r="H9" s="1">
        <f t="shared" si="21"/>
        <v>2732</v>
      </c>
      <c r="I9" s="54">
        <f t="shared" si="11"/>
        <v>0</v>
      </c>
      <c r="J9" s="38">
        <f t="shared" si="12"/>
        <v>0</v>
      </c>
      <c r="K9" s="7">
        <f t="shared" si="22"/>
        <v>13319.19</v>
      </c>
      <c r="L9" s="54">
        <f t="shared" si="13"/>
        <v>0</v>
      </c>
      <c r="M9" s="38">
        <f t="shared" si="14"/>
        <v>0</v>
      </c>
      <c r="N9" s="7">
        <f t="shared" si="23"/>
        <v>2973.556</v>
      </c>
      <c r="O9" s="54">
        <f t="shared" si="15"/>
        <v>0</v>
      </c>
      <c r="P9" s="38">
        <f t="shared" si="24"/>
        <v>0</v>
      </c>
      <c r="Q9" s="7">
        <f t="shared" si="25"/>
        <v>4724.75</v>
      </c>
      <c r="R9" s="54">
        <f t="shared" si="16"/>
        <v>0</v>
      </c>
      <c r="S9" s="38">
        <f t="shared" si="17"/>
        <v>0</v>
      </c>
      <c r="T9" s="8">
        <f t="shared" si="26"/>
        <v>0</v>
      </c>
      <c r="U9" s="40">
        <f t="shared" si="18"/>
        <v>0</v>
      </c>
    </row>
    <row r="10" spans="1:25" ht="16.5" thickBot="1" x14ac:dyDescent="0.25">
      <c r="A10" s="10">
        <v>44293</v>
      </c>
      <c r="B10" s="1">
        <f t="shared" si="19"/>
        <v>20284.669999999998</v>
      </c>
      <c r="C10" s="54">
        <f t="shared" si="7"/>
        <v>0</v>
      </c>
      <c r="D10" s="38">
        <f t="shared" si="8"/>
        <v>0</v>
      </c>
      <c r="E10" s="1">
        <f t="shared" si="20"/>
        <v>3511.66</v>
      </c>
      <c r="F10" s="54">
        <f t="shared" si="9"/>
        <v>0</v>
      </c>
      <c r="G10" s="38">
        <f t="shared" si="10"/>
        <v>0</v>
      </c>
      <c r="H10" s="1">
        <f t="shared" si="21"/>
        <v>2732</v>
      </c>
      <c r="I10" s="54">
        <f t="shared" si="11"/>
        <v>0</v>
      </c>
      <c r="J10" s="38">
        <f t="shared" si="12"/>
        <v>0</v>
      </c>
      <c r="K10" s="7">
        <f t="shared" si="22"/>
        <v>13319.19</v>
      </c>
      <c r="L10" s="54">
        <f t="shared" si="13"/>
        <v>0</v>
      </c>
      <c r="M10" s="38">
        <f t="shared" si="14"/>
        <v>0</v>
      </c>
      <c r="N10" s="7">
        <f t="shared" si="23"/>
        <v>2973.556</v>
      </c>
      <c r="O10" s="54">
        <f t="shared" si="15"/>
        <v>0</v>
      </c>
      <c r="P10" s="38">
        <f t="shared" si="24"/>
        <v>0</v>
      </c>
      <c r="Q10" s="7">
        <f t="shared" si="25"/>
        <v>4724.75</v>
      </c>
      <c r="R10" s="54">
        <f t="shared" si="16"/>
        <v>0</v>
      </c>
      <c r="S10" s="38">
        <f t="shared" si="17"/>
        <v>0</v>
      </c>
      <c r="T10" s="8">
        <f t="shared" si="26"/>
        <v>0</v>
      </c>
      <c r="U10" s="40">
        <f t="shared" si="18"/>
        <v>0</v>
      </c>
    </row>
    <row r="11" spans="1:25" ht="16.5" thickBot="1" x14ac:dyDescent="0.25">
      <c r="A11" s="10">
        <v>44294</v>
      </c>
      <c r="B11" s="1">
        <f t="shared" si="19"/>
        <v>20284.669999999998</v>
      </c>
      <c r="C11" s="54">
        <f t="shared" si="7"/>
        <v>0</v>
      </c>
      <c r="D11" s="38">
        <f t="shared" si="8"/>
        <v>0</v>
      </c>
      <c r="E11" s="1">
        <f t="shared" si="20"/>
        <v>3511.66</v>
      </c>
      <c r="F11" s="54">
        <f t="shared" si="9"/>
        <v>0</v>
      </c>
      <c r="G11" s="38">
        <f t="shared" si="10"/>
        <v>0</v>
      </c>
      <c r="H11" s="1">
        <f t="shared" si="21"/>
        <v>2732</v>
      </c>
      <c r="I11" s="54">
        <f t="shared" si="11"/>
        <v>0</v>
      </c>
      <c r="J11" s="38">
        <f t="shared" si="12"/>
        <v>0</v>
      </c>
      <c r="K11" s="7">
        <f t="shared" si="22"/>
        <v>13319.19</v>
      </c>
      <c r="L11" s="54">
        <f t="shared" si="13"/>
        <v>0</v>
      </c>
      <c r="M11" s="38">
        <f t="shared" si="14"/>
        <v>0</v>
      </c>
      <c r="N11" s="7">
        <f t="shared" si="23"/>
        <v>2973.556</v>
      </c>
      <c r="O11" s="54">
        <f t="shared" si="15"/>
        <v>0</v>
      </c>
      <c r="P11" s="38">
        <f t="shared" si="24"/>
        <v>0</v>
      </c>
      <c r="Q11" s="7">
        <f t="shared" si="25"/>
        <v>4724.75</v>
      </c>
      <c r="R11" s="54">
        <f t="shared" si="16"/>
        <v>0</v>
      </c>
      <c r="S11" s="38">
        <f t="shared" si="17"/>
        <v>0</v>
      </c>
      <c r="T11" s="8">
        <f t="shared" si="26"/>
        <v>0</v>
      </c>
      <c r="U11" s="40">
        <f t="shared" si="18"/>
        <v>0</v>
      </c>
    </row>
    <row r="12" spans="1:25" ht="16.5" thickBot="1" x14ac:dyDescent="0.25">
      <c r="A12" s="10">
        <v>44295</v>
      </c>
      <c r="B12" s="1">
        <f t="shared" si="19"/>
        <v>20284.669999999998</v>
      </c>
      <c r="C12" s="54">
        <f t="shared" si="7"/>
        <v>0</v>
      </c>
      <c r="D12" s="38">
        <f t="shared" si="8"/>
        <v>0</v>
      </c>
      <c r="E12" s="1">
        <f t="shared" si="20"/>
        <v>3511.66</v>
      </c>
      <c r="F12" s="54">
        <f t="shared" si="9"/>
        <v>0</v>
      </c>
      <c r="G12" s="38">
        <f t="shared" si="10"/>
        <v>0</v>
      </c>
      <c r="H12" s="1">
        <f t="shared" si="21"/>
        <v>2732</v>
      </c>
      <c r="I12" s="54">
        <f t="shared" si="11"/>
        <v>0</v>
      </c>
      <c r="J12" s="38">
        <f t="shared" si="12"/>
        <v>0</v>
      </c>
      <c r="K12" s="7">
        <f t="shared" si="22"/>
        <v>13319.19</v>
      </c>
      <c r="L12" s="54">
        <f t="shared" si="13"/>
        <v>0</v>
      </c>
      <c r="M12" s="38">
        <f t="shared" si="14"/>
        <v>0</v>
      </c>
      <c r="N12" s="7">
        <f t="shared" si="23"/>
        <v>2973.556</v>
      </c>
      <c r="O12" s="54">
        <f t="shared" si="15"/>
        <v>0</v>
      </c>
      <c r="P12" s="38">
        <f t="shared" si="24"/>
        <v>0</v>
      </c>
      <c r="Q12" s="7">
        <f t="shared" si="25"/>
        <v>4724.75</v>
      </c>
      <c r="R12" s="54">
        <f t="shared" si="16"/>
        <v>0</v>
      </c>
      <c r="S12" s="38">
        <f t="shared" si="17"/>
        <v>0</v>
      </c>
      <c r="T12" s="8">
        <f t="shared" si="26"/>
        <v>0</v>
      </c>
      <c r="U12" s="40">
        <f t="shared" si="18"/>
        <v>0</v>
      </c>
    </row>
    <row r="13" spans="1:25" ht="16.5" thickBot="1" x14ac:dyDescent="0.25">
      <c r="A13" s="10">
        <v>44296</v>
      </c>
      <c r="B13" s="1">
        <f t="shared" si="19"/>
        <v>20284.669999999998</v>
      </c>
      <c r="C13" s="54">
        <f t="shared" si="7"/>
        <v>0</v>
      </c>
      <c r="D13" s="38">
        <f t="shared" si="8"/>
        <v>0</v>
      </c>
      <c r="E13" s="1">
        <f t="shared" si="20"/>
        <v>3511.66</v>
      </c>
      <c r="F13" s="54">
        <f t="shared" si="9"/>
        <v>0</v>
      </c>
      <c r="G13" s="38">
        <f t="shared" si="10"/>
        <v>0</v>
      </c>
      <c r="H13" s="1">
        <f t="shared" si="21"/>
        <v>2732</v>
      </c>
      <c r="I13" s="54">
        <f t="shared" si="11"/>
        <v>0</v>
      </c>
      <c r="J13" s="38">
        <f t="shared" si="12"/>
        <v>0</v>
      </c>
      <c r="K13" s="7">
        <f t="shared" si="22"/>
        <v>13319.19</v>
      </c>
      <c r="L13" s="54">
        <f t="shared" si="13"/>
        <v>0</v>
      </c>
      <c r="M13" s="38">
        <f t="shared" si="14"/>
        <v>0</v>
      </c>
      <c r="N13" s="7">
        <f t="shared" si="23"/>
        <v>2973.556</v>
      </c>
      <c r="O13" s="54">
        <f t="shared" si="15"/>
        <v>0</v>
      </c>
      <c r="P13" s="38">
        <f t="shared" si="24"/>
        <v>0</v>
      </c>
      <c r="Q13" s="7">
        <f t="shared" si="25"/>
        <v>4724.75</v>
      </c>
      <c r="R13" s="54">
        <f t="shared" si="16"/>
        <v>0</v>
      </c>
      <c r="S13" s="38">
        <f t="shared" si="17"/>
        <v>0</v>
      </c>
      <c r="T13" s="8">
        <f t="shared" si="26"/>
        <v>0</v>
      </c>
      <c r="U13" s="40">
        <f t="shared" si="18"/>
        <v>0</v>
      </c>
    </row>
    <row r="14" spans="1:25" ht="16.5" thickBot="1" x14ac:dyDescent="0.25">
      <c r="A14" s="10">
        <v>44297</v>
      </c>
      <c r="B14" s="1">
        <f t="shared" si="19"/>
        <v>20284.669999999998</v>
      </c>
      <c r="C14" s="54">
        <f t="shared" si="7"/>
        <v>0</v>
      </c>
      <c r="D14" s="38">
        <f t="shared" si="8"/>
        <v>0</v>
      </c>
      <c r="E14" s="1">
        <f t="shared" si="20"/>
        <v>3511.66</v>
      </c>
      <c r="F14" s="54">
        <f t="shared" si="9"/>
        <v>0</v>
      </c>
      <c r="G14" s="38">
        <f t="shared" si="10"/>
        <v>0</v>
      </c>
      <c r="H14" s="1">
        <f t="shared" si="21"/>
        <v>2732</v>
      </c>
      <c r="I14" s="54">
        <f t="shared" si="11"/>
        <v>0</v>
      </c>
      <c r="J14" s="38">
        <f t="shared" si="12"/>
        <v>0</v>
      </c>
      <c r="K14" s="7">
        <f t="shared" si="22"/>
        <v>13319.19</v>
      </c>
      <c r="L14" s="54">
        <f t="shared" si="13"/>
        <v>0</v>
      </c>
      <c r="M14" s="38">
        <f t="shared" si="14"/>
        <v>0</v>
      </c>
      <c r="N14" s="7">
        <f t="shared" si="23"/>
        <v>2973.556</v>
      </c>
      <c r="O14" s="54">
        <f t="shared" si="15"/>
        <v>0</v>
      </c>
      <c r="P14" s="38">
        <f t="shared" si="24"/>
        <v>0</v>
      </c>
      <c r="Q14" s="7">
        <f t="shared" si="25"/>
        <v>4724.75</v>
      </c>
      <c r="R14" s="54">
        <f t="shared" si="16"/>
        <v>0</v>
      </c>
      <c r="S14" s="38">
        <f t="shared" si="17"/>
        <v>0</v>
      </c>
      <c r="T14" s="8">
        <f t="shared" si="26"/>
        <v>0</v>
      </c>
      <c r="U14" s="40">
        <f t="shared" si="18"/>
        <v>0</v>
      </c>
    </row>
    <row r="15" spans="1:25" ht="16.5" thickBot="1" x14ac:dyDescent="0.25">
      <c r="A15" s="10">
        <v>44298</v>
      </c>
      <c r="B15" s="1">
        <f t="shared" si="19"/>
        <v>20284.669999999998</v>
      </c>
      <c r="C15" s="54">
        <f t="shared" si="7"/>
        <v>0</v>
      </c>
      <c r="D15" s="38">
        <f t="shared" si="8"/>
        <v>0</v>
      </c>
      <c r="E15" s="1">
        <f t="shared" si="20"/>
        <v>3511.66</v>
      </c>
      <c r="F15" s="54">
        <f t="shared" si="9"/>
        <v>0</v>
      </c>
      <c r="G15" s="38">
        <f t="shared" si="10"/>
        <v>0</v>
      </c>
      <c r="H15" s="1">
        <f t="shared" si="21"/>
        <v>2732</v>
      </c>
      <c r="I15" s="54">
        <f t="shared" si="11"/>
        <v>0</v>
      </c>
      <c r="J15" s="38">
        <f t="shared" si="12"/>
        <v>0</v>
      </c>
      <c r="K15" s="7">
        <f t="shared" si="22"/>
        <v>13319.19</v>
      </c>
      <c r="L15" s="54">
        <f t="shared" si="13"/>
        <v>0</v>
      </c>
      <c r="M15" s="38">
        <f t="shared" si="14"/>
        <v>0</v>
      </c>
      <c r="N15" s="7">
        <f t="shared" si="23"/>
        <v>2973.556</v>
      </c>
      <c r="O15" s="54">
        <f t="shared" si="15"/>
        <v>0</v>
      </c>
      <c r="P15" s="38">
        <f t="shared" si="24"/>
        <v>0</v>
      </c>
      <c r="Q15" s="7">
        <f t="shared" si="25"/>
        <v>4724.75</v>
      </c>
      <c r="R15" s="54">
        <f t="shared" si="16"/>
        <v>0</v>
      </c>
      <c r="S15" s="38">
        <f t="shared" si="17"/>
        <v>0</v>
      </c>
      <c r="T15" s="8">
        <f t="shared" si="26"/>
        <v>0</v>
      </c>
      <c r="U15" s="40">
        <f t="shared" si="18"/>
        <v>0</v>
      </c>
      <c r="W15" t="s">
        <v>13</v>
      </c>
    </row>
    <row r="16" spans="1:25" ht="16.5" thickBot="1" x14ac:dyDescent="0.25">
      <c r="A16" s="10">
        <v>44299</v>
      </c>
      <c r="B16" s="1">
        <f t="shared" si="19"/>
        <v>20284.669999999998</v>
      </c>
      <c r="C16" s="54">
        <f t="shared" si="7"/>
        <v>0</v>
      </c>
      <c r="D16" s="38">
        <f t="shared" si="8"/>
        <v>0</v>
      </c>
      <c r="E16" s="1">
        <f t="shared" si="20"/>
        <v>3511.66</v>
      </c>
      <c r="F16" s="54">
        <f t="shared" si="9"/>
        <v>0</v>
      </c>
      <c r="G16" s="38">
        <f t="shared" si="10"/>
        <v>0</v>
      </c>
      <c r="H16" s="1">
        <f t="shared" si="21"/>
        <v>2732</v>
      </c>
      <c r="I16" s="54">
        <f t="shared" si="11"/>
        <v>0</v>
      </c>
      <c r="J16" s="38">
        <f t="shared" si="12"/>
        <v>0</v>
      </c>
      <c r="K16" s="7">
        <f t="shared" si="22"/>
        <v>13319.19</v>
      </c>
      <c r="L16" s="54">
        <f t="shared" si="13"/>
        <v>0</v>
      </c>
      <c r="M16" s="38">
        <f t="shared" si="14"/>
        <v>0</v>
      </c>
      <c r="N16" s="7">
        <f t="shared" si="23"/>
        <v>2973.556</v>
      </c>
      <c r="O16" s="54">
        <f t="shared" si="15"/>
        <v>0</v>
      </c>
      <c r="P16" s="38">
        <f t="shared" si="24"/>
        <v>0</v>
      </c>
      <c r="Q16" s="7">
        <f t="shared" si="25"/>
        <v>4724.75</v>
      </c>
      <c r="R16" s="54">
        <f t="shared" si="16"/>
        <v>0</v>
      </c>
      <c r="S16" s="38">
        <f t="shared" si="17"/>
        <v>0</v>
      </c>
      <c r="T16" s="8">
        <f t="shared" si="26"/>
        <v>0</v>
      </c>
      <c r="U16" s="40">
        <f t="shared" si="18"/>
        <v>0</v>
      </c>
      <c r="Y16" t="s">
        <v>13</v>
      </c>
    </row>
    <row r="17" spans="1:24" ht="16.5" thickBot="1" x14ac:dyDescent="0.25">
      <c r="A17" s="10">
        <v>44300</v>
      </c>
      <c r="B17" s="1">
        <f t="shared" si="19"/>
        <v>20284.669999999998</v>
      </c>
      <c r="C17" s="54">
        <f>IF((B17-B16)&lt;0,"0",(B17-B16))</f>
        <v>0</v>
      </c>
      <c r="D17" s="38">
        <f t="shared" si="8"/>
        <v>0</v>
      </c>
      <c r="E17" s="1">
        <f t="shared" si="20"/>
        <v>3511.66</v>
      </c>
      <c r="F17" s="54">
        <f t="shared" si="9"/>
        <v>0</v>
      </c>
      <c r="G17" s="38">
        <f t="shared" si="10"/>
        <v>0</v>
      </c>
      <c r="H17" s="1">
        <f t="shared" si="21"/>
        <v>2732</v>
      </c>
      <c r="I17" s="54">
        <f t="shared" si="11"/>
        <v>0</v>
      </c>
      <c r="J17" s="38">
        <f t="shared" si="12"/>
        <v>0</v>
      </c>
      <c r="K17" s="7">
        <f t="shared" si="22"/>
        <v>13319.19</v>
      </c>
      <c r="L17" s="54">
        <f t="shared" si="13"/>
        <v>0</v>
      </c>
      <c r="M17" s="38">
        <f t="shared" si="14"/>
        <v>0</v>
      </c>
      <c r="N17" s="7">
        <f t="shared" si="23"/>
        <v>2973.556</v>
      </c>
      <c r="O17" s="54">
        <f t="shared" si="15"/>
        <v>0</v>
      </c>
      <c r="P17" s="38">
        <f t="shared" si="24"/>
        <v>0</v>
      </c>
      <c r="Q17" s="7">
        <f t="shared" si="25"/>
        <v>4724.75</v>
      </c>
      <c r="R17" s="54">
        <f t="shared" si="16"/>
        <v>0</v>
      </c>
      <c r="S17" s="38">
        <f t="shared" si="17"/>
        <v>0</v>
      </c>
      <c r="T17" s="8">
        <f t="shared" si="26"/>
        <v>0</v>
      </c>
      <c r="U17" s="40">
        <f t="shared" si="18"/>
        <v>0</v>
      </c>
    </row>
    <row r="18" spans="1:24" ht="16.5" thickBot="1" x14ac:dyDescent="0.25">
      <c r="A18" s="10">
        <v>44301</v>
      </c>
      <c r="B18" s="1">
        <f t="shared" si="19"/>
        <v>20284.669999999998</v>
      </c>
      <c r="C18" s="54">
        <f>IF((B18-B17)&lt;0,"0",(B18-B17))</f>
        <v>0</v>
      </c>
      <c r="D18" s="38">
        <f t="shared" si="8"/>
        <v>0</v>
      </c>
      <c r="E18" s="1">
        <f t="shared" si="20"/>
        <v>3511.66</v>
      </c>
      <c r="F18" s="54">
        <f t="shared" si="9"/>
        <v>0</v>
      </c>
      <c r="G18" s="38">
        <f t="shared" si="10"/>
        <v>0</v>
      </c>
      <c r="H18" s="1">
        <f t="shared" si="21"/>
        <v>2732</v>
      </c>
      <c r="I18" s="54">
        <f t="shared" si="11"/>
        <v>0</v>
      </c>
      <c r="J18" s="38">
        <f t="shared" si="12"/>
        <v>0</v>
      </c>
      <c r="K18" s="7">
        <f t="shared" si="22"/>
        <v>13319.19</v>
      </c>
      <c r="L18" s="54">
        <f t="shared" si="13"/>
        <v>0</v>
      </c>
      <c r="M18" s="38">
        <f t="shared" si="14"/>
        <v>0</v>
      </c>
      <c r="N18" s="7">
        <f t="shared" si="23"/>
        <v>2973.556</v>
      </c>
      <c r="O18" s="54">
        <f t="shared" si="15"/>
        <v>0</v>
      </c>
      <c r="P18" s="38">
        <f t="shared" si="24"/>
        <v>0</v>
      </c>
      <c r="Q18" s="7">
        <f t="shared" si="25"/>
        <v>4724.75</v>
      </c>
      <c r="R18" s="54">
        <f t="shared" si="16"/>
        <v>0</v>
      </c>
      <c r="S18" s="38">
        <f t="shared" si="17"/>
        <v>0</v>
      </c>
      <c r="T18" s="8">
        <f t="shared" si="26"/>
        <v>0</v>
      </c>
      <c r="U18" s="40">
        <f t="shared" si="18"/>
        <v>0</v>
      </c>
    </row>
    <row r="19" spans="1:24" ht="16.5" thickBot="1" x14ac:dyDescent="0.25">
      <c r="A19" s="10">
        <v>44302</v>
      </c>
      <c r="B19" s="1">
        <f t="shared" si="19"/>
        <v>20284.669999999998</v>
      </c>
      <c r="C19" s="54">
        <f>IF((B19-B18)&lt;0,"0",(B19-B18))</f>
        <v>0</v>
      </c>
      <c r="D19" s="38">
        <f t="shared" si="8"/>
        <v>0</v>
      </c>
      <c r="E19" s="1">
        <f t="shared" si="20"/>
        <v>3511.66</v>
      </c>
      <c r="F19" s="54">
        <f t="shared" si="9"/>
        <v>0</v>
      </c>
      <c r="G19" s="38">
        <f t="shared" si="10"/>
        <v>0</v>
      </c>
      <c r="H19" s="1">
        <f t="shared" si="21"/>
        <v>2732</v>
      </c>
      <c r="I19" s="54">
        <f t="shared" si="11"/>
        <v>0</v>
      </c>
      <c r="J19" s="38">
        <f t="shared" si="12"/>
        <v>0</v>
      </c>
      <c r="K19" s="7">
        <f t="shared" si="22"/>
        <v>13319.19</v>
      </c>
      <c r="L19" s="54">
        <f t="shared" si="13"/>
        <v>0</v>
      </c>
      <c r="M19" s="38">
        <f t="shared" si="14"/>
        <v>0</v>
      </c>
      <c r="N19" s="7">
        <f t="shared" si="23"/>
        <v>2973.556</v>
      </c>
      <c r="O19" s="54">
        <f t="shared" si="15"/>
        <v>0</v>
      </c>
      <c r="P19" s="38">
        <f t="shared" si="24"/>
        <v>0</v>
      </c>
      <c r="Q19" s="7">
        <f t="shared" si="25"/>
        <v>4724.75</v>
      </c>
      <c r="R19" s="54">
        <f t="shared" si="16"/>
        <v>0</v>
      </c>
      <c r="S19" s="38">
        <f t="shared" si="17"/>
        <v>0</v>
      </c>
      <c r="T19" s="8">
        <f t="shared" si="26"/>
        <v>0</v>
      </c>
      <c r="U19" s="40">
        <f t="shared" si="18"/>
        <v>0</v>
      </c>
    </row>
    <row r="20" spans="1:24" ht="16.5" thickBot="1" x14ac:dyDescent="0.25">
      <c r="A20" s="10">
        <v>44303</v>
      </c>
      <c r="B20" s="1">
        <f t="shared" si="19"/>
        <v>20284.669999999998</v>
      </c>
      <c r="C20" s="54">
        <f t="shared" si="7"/>
        <v>0</v>
      </c>
      <c r="D20" s="38">
        <f t="shared" si="8"/>
        <v>0</v>
      </c>
      <c r="E20" s="1">
        <f t="shared" si="20"/>
        <v>3511.66</v>
      </c>
      <c r="F20" s="54">
        <f t="shared" si="9"/>
        <v>0</v>
      </c>
      <c r="G20" s="38">
        <f t="shared" si="10"/>
        <v>0</v>
      </c>
      <c r="H20" s="1">
        <f t="shared" si="21"/>
        <v>2732</v>
      </c>
      <c r="I20" s="54">
        <f t="shared" si="11"/>
        <v>0</v>
      </c>
      <c r="J20" s="38">
        <f t="shared" si="12"/>
        <v>0</v>
      </c>
      <c r="K20" s="7">
        <f t="shared" si="22"/>
        <v>13319.19</v>
      </c>
      <c r="L20" s="54">
        <f t="shared" si="13"/>
        <v>0</v>
      </c>
      <c r="M20" s="38">
        <f t="shared" si="14"/>
        <v>0</v>
      </c>
      <c r="N20" s="7">
        <f t="shared" si="23"/>
        <v>2973.556</v>
      </c>
      <c r="O20" s="54">
        <f t="shared" si="15"/>
        <v>0</v>
      </c>
      <c r="P20" s="38">
        <f t="shared" si="24"/>
        <v>0</v>
      </c>
      <c r="Q20" s="7">
        <f t="shared" si="25"/>
        <v>4724.75</v>
      </c>
      <c r="R20" s="54">
        <v>0</v>
      </c>
      <c r="S20" s="38">
        <f t="shared" si="17"/>
        <v>0</v>
      </c>
      <c r="T20" s="8">
        <f t="shared" si="26"/>
        <v>0</v>
      </c>
      <c r="U20" s="40">
        <f t="shared" si="18"/>
        <v>0</v>
      </c>
      <c r="X20" t="s">
        <v>13</v>
      </c>
    </row>
    <row r="21" spans="1:24" ht="16.5" thickBot="1" x14ac:dyDescent="0.25">
      <c r="A21" s="10">
        <v>44304</v>
      </c>
      <c r="B21" s="1">
        <f t="shared" si="19"/>
        <v>20284.669999999998</v>
      </c>
      <c r="C21" s="54">
        <f t="shared" si="7"/>
        <v>0</v>
      </c>
      <c r="D21" s="38">
        <f t="shared" si="8"/>
        <v>0</v>
      </c>
      <c r="E21" s="1">
        <f t="shared" si="20"/>
        <v>3511.66</v>
      </c>
      <c r="F21" s="54">
        <f t="shared" si="9"/>
        <v>0</v>
      </c>
      <c r="G21" s="38">
        <f t="shared" si="10"/>
        <v>0</v>
      </c>
      <c r="H21" s="1">
        <f t="shared" si="21"/>
        <v>2732</v>
      </c>
      <c r="I21" s="54">
        <f t="shared" si="11"/>
        <v>0</v>
      </c>
      <c r="J21" s="38">
        <f t="shared" si="12"/>
        <v>0</v>
      </c>
      <c r="K21" s="7">
        <f t="shared" si="22"/>
        <v>13319.19</v>
      </c>
      <c r="L21" s="54">
        <f t="shared" si="13"/>
        <v>0</v>
      </c>
      <c r="M21" s="38">
        <f t="shared" si="14"/>
        <v>0</v>
      </c>
      <c r="N21" s="7">
        <f t="shared" si="23"/>
        <v>2973.556</v>
      </c>
      <c r="O21" s="54">
        <f t="shared" si="15"/>
        <v>0</v>
      </c>
      <c r="P21" s="38">
        <f t="shared" si="24"/>
        <v>0</v>
      </c>
      <c r="Q21" s="7">
        <f t="shared" si="25"/>
        <v>4724.75</v>
      </c>
      <c r="R21" s="54">
        <f t="shared" si="16"/>
        <v>0</v>
      </c>
      <c r="S21" s="38">
        <f t="shared" si="17"/>
        <v>0</v>
      </c>
      <c r="T21" s="8">
        <f t="shared" si="26"/>
        <v>0</v>
      </c>
      <c r="U21" s="40">
        <f t="shared" si="18"/>
        <v>0</v>
      </c>
    </row>
    <row r="22" spans="1:24" ht="16.5" thickBot="1" x14ac:dyDescent="0.25">
      <c r="A22" s="10">
        <v>44305</v>
      </c>
      <c r="B22" s="1">
        <f t="shared" si="19"/>
        <v>20284.669999999998</v>
      </c>
      <c r="C22" s="54">
        <f t="shared" si="7"/>
        <v>0</v>
      </c>
      <c r="D22" s="38">
        <f t="shared" si="8"/>
        <v>0</v>
      </c>
      <c r="E22" s="1">
        <f t="shared" si="20"/>
        <v>3511.66</v>
      </c>
      <c r="F22" s="54">
        <f t="shared" si="9"/>
        <v>0</v>
      </c>
      <c r="G22" s="38">
        <f t="shared" si="10"/>
        <v>0</v>
      </c>
      <c r="H22" s="1">
        <f t="shared" si="21"/>
        <v>2732</v>
      </c>
      <c r="I22" s="54">
        <f t="shared" si="11"/>
        <v>0</v>
      </c>
      <c r="J22" s="38">
        <f t="shared" si="12"/>
        <v>0</v>
      </c>
      <c r="K22" s="7">
        <f t="shared" si="22"/>
        <v>13319.19</v>
      </c>
      <c r="L22" s="54">
        <f t="shared" si="13"/>
        <v>0</v>
      </c>
      <c r="M22" s="38">
        <f t="shared" si="14"/>
        <v>0</v>
      </c>
      <c r="N22" s="7">
        <f t="shared" si="23"/>
        <v>2973.556</v>
      </c>
      <c r="O22" s="54">
        <f t="shared" si="15"/>
        <v>0</v>
      </c>
      <c r="P22" s="38">
        <f t="shared" si="24"/>
        <v>0</v>
      </c>
      <c r="Q22" s="7">
        <f t="shared" si="25"/>
        <v>4724.75</v>
      </c>
      <c r="R22" s="54">
        <f t="shared" si="16"/>
        <v>0</v>
      </c>
      <c r="S22" s="38">
        <f t="shared" si="17"/>
        <v>0</v>
      </c>
      <c r="T22" s="8">
        <f t="shared" si="26"/>
        <v>0</v>
      </c>
      <c r="U22" s="40">
        <f t="shared" si="18"/>
        <v>0</v>
      </c>
    </row>
    <row r="23" spans="1:24" ht="16.5" thickBot="1" x14ac:dyDescent="0.25">
      <c r="A23" s="10">
        <v>44306</v>
      </c>
      <c r="B23" s="1">
        <f t="shared" si="19"/>
        <v>20284.669999999998</v>
      </c>
      <c r="C23" s="54">
        <f t="shared" si="7"/>
        <v>0</v>
      </c>
      <c r="D23" s="38">
        <f t="shared" si="8"/>
        <v>0</v>
      </c>
      <c r="E23" s="1">
        <f t="shared" si="20"/>
        <v>3511.66</v>
      </c>
      <c r="F23" s="54">
        <f t="shared" si="9"/>
        <v>0</v>
      </c>
      <c r="G23" s="38">
        <f t="shared" si="10"/>
        <v>0</v>
      </c>
      <c r="H23" s="1">
        <f t="shared" si="21"/>
        <v>2732</v>
      </c>
      <c r="I23" s="54">
        <f t="shared" si="11"/>
        <v>0</v>
      </c>
      <c r="J23" s="38">
        <f t="shared" si="12"/>
        <v>0</v>
      </c>
      <c r="K23" s="7">
        <f t="shared" si="22"/>
        <v>13319.19</v>
      </c>
      <c r="L23" s="54">
        <f t="shared" si="13"/>
        <v>0</v>
      </c>
      <c r="M23" s="38">
        <f t="shared" si="14"/>
        <v>0</v>
      </c>
      <c r="N23" s="7">
        <f t="shared" si="23"/>
        <v>2973.556</v>
      </c>
      <c r="O23" s="54">
        <f t="shared" si="15"/>
        <v>0</v>
      </c>
      <c r="P23" s="38">
        <f t="shared" si="24"/>
        <v>0</v>
      </c>
      <c r="Q23" s="7">
        <f t="shared" si="25"/>
        <v>4724.75</v>
      </c>
      <c r="R23" s="54">
        <f t="shared" si="16"/>
        <v>0</v>
      </c>
      <c r="S23" s="38">
        <f t="shared" si="17"/>
        <v>0</v>
      </c>
      <c r="T23" s="8">
        <f t="shared" si="26"/>
        <v>0</v>
      </c>
      <c r="U23" s="40">
        <f t="shared" si="18"/>
        <v>0</v>
      </c>
    </row>
    <row r="24" spans="1:24" ht="16.5" thickBot="1" x14ac:dyDescent="0.25">
      <c r="A24" s="10">
        <v>44307</v>
      </c>
      <c r="B24" s="1">
        <f t="shared" si="19"/>
        <v>20284.669999999998</v>
      </c>
      <c r="C24" s="54">
        <f t="shared" si="7"/>
        <v>0</v>
      </c>
      <c r="D24" s="38">
        <f t="shared" si="8"/>
        <v>0</v>
      </c>
      <c r="E24" s="1">
        <f t="shared" si="20"/>
        <v>3511.66</v>
      </c>
      <c r="F24" s="54">
        <f t="shared" si="9"/>
        <v>0</v>
      </c>
      <c r="G24" s="38">
        <f t="shared" si="10"/>
        <v>0</v>
      </c>
      <c r="H24" s="1">
        <f t="shared" si="21"/>
        <v>2732</v>
      </c>
      <c r="I24" s="54">
        <f t="shared" si="11"/>
        <v>0</v>
      </c>
      <c r="J24" s="38">
        <f t="shared" si="12"/>
        <v>0</v>
      </c>
      <c r="K24" s="7">
        <f t="shared" si="22"/>
        <v>13319.19</v>
      </c>
      <c r="L24" s="54">
        <f t="shared" si="13"/>
        <v>0</v>
      </c>
      <c r="M24" s="38">
        <f t="shared" si="14"/>
        <v>0</v>
      </c>
      <c r="N24" s="7">
        <f t="shared" si="23"/>
        <v>2973.556</v>
      </c>
      <c r="O24" s="54">
        <f t="shared" si="15"/>
        <v>0</v>
      </c>
      <c r="P24" s="38">
        <f t="shared" si="24"/>
        <v>0</v>
      </c>
      <c r="Q24" s="7">
        <f t="shared" si="25"/>
        <v>4724.75</v>
      </c>
      <c r="R24" s="54">
        <f t="shared" si="16"/>
        <v>0</v>
      </c>
      <c r="S24" s="38">
        <f t="shared" si="17"/>
        <v>0</v>
      </c>
      <c r="T24" s="8">
        <f t="shared" si="26"/>
        <v>0</v>
      </c>
      <c r="U24" s="40">
        <f t="shared" si="18"/>
        <v>0</v>
      </c>
    </row>
    <row r="25" spans="1:24" ht="16.5" thickBot="1" x14ac:dyDescent="0.25">
      <c r="A25" s="10">
        <v>44308</v>
      </c>
      <c r="B25" s="1">
        <f t="shared" si="19"/>
        <v>20284.669999999998</v>
      </c>
      <c r="C25" s="54">
        <f t="shared" si="7"/>
        <v>0</v>
      </c>
      <c r="D25" s="38">
        <f t="shared" si="8"/>
        <v>0</v>
      </c>
      <c r="E25" s="1">
        <f t="shared" si="20"/>
        <v>3511.66</v>
      </c>
      <c r="F25" s="54">
        <f t="shared" si="9"/>
        <v>0</v>
      </c>
      <c r="G25" s="38">
        <f t="shared" si="10"/>
        <v>0</v>
      </c>
      <c r="H25" s="1">
        <f t="shared" si="21"/>
        <v>2732</v>
      </c>
      <c r="I25" s="54">
        <f t="shared" si="11"/>
        <v>0</v>
      </c>
      <c r="J25" s="38">
        <f t="shared" si="12"/>
        <v>0</v>
      </c>
      <c r="K25" s="7">
        <f t="shared" si="22"/>
        <v>13319.19</v>
      </c>
      <c r="L25" s="54">
        <f t="shared" si="13"/>
        <v>0</v>
      </c>
      <c r="M25" s="38">
        <f t="shared" si="14"/>
        <v>0</v>
      </c>
      <c r="N25" s="7">
        <f t="shared" si="23"/>
        <v>2973.556</v>
      </c>
      <c r="O25" s="54">
        <f t="shared" si="15"/>
        <v>0</v>
      </c>
      <c r="P25" s="38">
        <f t="shared" si="24"/>
        <v>0</v>
      </c>
      <c r="Q25" s="7">
        <f t="shared" si="25"/>
        <v>4724.75</v>
      </c>
      <c r="R25" s="54">
        <f t="shared" si="16"/>
        <v>0</v>
      </c>
      <c r="S25" s="38">
        <f t="shared" si="17"/>
        <v>0</v>
      </c>
      <c r="T25" s="8">
        <f t="shared" si="26"/>
        <v>0</v>
      </c>
      <c r="U25" s="40">
        <f t="shared" si="18"/>
        <v>0</v>
      </c>
    </row>
    <row r="26" spans="1:24" ht="16.5" thickBot="1" x14ac:dyDescent="0.25">
      <c r="A26" s="10">
        <v>44309</v>
      </c>
      <c r="B26" s="1">
        <f t="shared" si="19"/>
        <v>20284.669999999998</v>
      </c>
      <c r="C26" s="54">
        <f t="shared" si="7"/>
        <v>0</v>
      </c>
      <c r="D26" s="38">
        <f t="shared" si="8"/>
        <v>0</v>
      </c>
      <c r="E26" s="1">
        <f t="shared" si="20"/>
        <v>3511.66</v>
      </c>
      <c r="F26" s="54">
        <f t="shared" si="9"/>
        <v>0</v>
      </c>
      <c r="G26" s="38">
        <f t="shared" si="10"/>
        <v>0</v>
      </c>
      <c r="H26" s="1">
        <f t="shared" si="21"/>
        <v>2732</v>
      </c>
      <c r="I26" s="54">
        <f t="shared" si="11"/>
        <v>0</v>
      </c>
      <c r="J26" s="38">
        <f t="shared" si="12"/>
        <v>0</v>
      </c>
      <c r="K26" s="7">
        <f t="shared" si="22"/>
        <v>13319.19</v>
      </c>
      <c r="L26" s="54">
        <f t="shared" si="13"/>
        <v>0</v>
      </c>
      <c r="M26" s="38">
        <f t="shared" si="14"/>
        <v>0</v>
      </c>
      <c r="N26" s="7">
        <f t="shared" si="23"/>
        <v>2973.556</v>
      </c>
      <c r="O26" s="54">
        <f t="shared" si="15"/>
        <v>0</v>
      </c>
      <c r="P26" s="38">
        <f t="shared" si="24"/>
        <v>0</v>
      </c>
      <c r="Q26" s="7">
        <f t="shared" si="25"/>
        <v>4724.75</v>
      </c>
      <c r="R26" s="54">
        <f t="shared" si="16"/>
        <v>0</v>
      </c>
      <c r="S26" s="38">
        <f t="shared" si="17"/>
        <v>0</v>
      </c>
      <c r="T26" s="8">
        <f t="shared" si="26"/>
        <v>0</v>
      </c>
      <c r="U26" s="40">
        <f t="shared" si="18"/>
        <v>0</v>
      </c>
      <c r="V26" t="s">
        <v>13</v>
      </c>
    </row>
    <row r="27" spans="1:24" ht="16.5" thickBot="1" x14ac:dyDescent="0.25">
      <c r="A27" s="10">
        <v>44310</v>
      </c>
      <c r="B27" s="1">
        <f t="shared" si="19"/>
        <v>20284.669999999998</v>
      </c>
      <c r="C27" s="54">
        <f t="shared" si="7"/>
        <v>0</v>
      </c>
      <c r="D27" s="38">
        <f t="shared" si="8"/>
        <v>0</v>
      </c>
      <c r="E27" s="1">
        <f t="shared" si="20"/>
        <v>3511.66</v>
      </c>
      <c r="F27" s="54">
        <f t="shared" si="9"/>
        <v>0</v>
      </c>
      <c r="G27" s="38">
        <f t="shared" si="10"/>
        <v>0</v>
      </c>
      <c r="H27" s="1">
        <f t="shared" si="21"/>
        <v>2732</v>
      </c>
      <c r="I27" s="54">
        <f t="shared" si="11"/>
        <v>0</v>
      </c>
      <c r="J27" s="38">
        <f t="shared" si="12"/>
        <v>0</v>
      </c>
      <c r="K27" s="7">
        <f t="shared" si="22"/>
        <v>13319.19</v>
      </c>
      <c r="L27" s="54">
        <f t="shared" si="13"/>
        <v>0</v>
      </c>
      <c r="M27" s="38">
        <f t="shared" si="14"/>
        <v>0</v>
      </c>
      <c r="N27" s="7">
        <f t="shared" si="23"/>
        <v>2973.556</v>
      </c>
      <c r="O27" s="54">
        <f t="shared" si="15"/>
        <v>0</v>
      </c>
      <c r="P27" s="38">
        <f t="shared" si="24"/>
        <v>0</v>
      </c>
      <c r="Q27" s="7">
        <f t="shared" si="25"/>
        <v>4724.75</v>
      </c>
      <c r="R27" s="54">
        <f t="shared" si="16"/>
        <v>0</v>
      </c>
      <c r="S27" s="38">
        <f t="shared" si="17"/>
        <v>0</v>
      </c>
      <c r="T27" s="8">
        <f t="shared" si="26"/>
        <v>0</v>
      </c>
      <c r="U27" s="40">
        <f t="shared" si="18"/>
        <v>0</v>
      </c>
      <c r="V27" t="s">
        <v>13</v>
      </c>
    </row>
    <row r="28" spans="1:24" ht="16.5" thickBot="1" x14ac:dyDescent="0.25">
      <c r="A28" s="10">
        <v>44311</v>
      </c>
      <c r="B28" s="1">
        <f t="shared" si="19"/>
        <v>20284.669999999998</v>
      </c>
      <c r="C28" s="54">
        <f t="shared" si="7"/>
        <v>0</v>
      </c>
      <c r="D28" s="38">
        <f t="shared" si="8"/>
        <v>0</v>
      </c>
      <c r="E28" s="1">
        <f t="shared" si="20"/>
        <v>3511.66</v>
      </c>
      <c r="F28" s="54">
        <f t="shared" si="9"/>
        <v>0</v>
      </c>
      <c r="G28" s="38">
        <f t="shared" si="10"/>
        <v>0</v>
      </c>
      <c r="H28" s="1">
        <f t="shared" si="21"/>
        <v>2732</v>
      </c>
      <c r="I28" s="54">
        <f t="shared" si="11"/>
        <v>0</v>
      </c>
      <c r="J28" s="38">
        <f t="shared" si="12"/>
        <v>0</v>
      </c>
      <c r="K28" s="7">
        <f t="shared" si="22"/>
        <v>13319.19</v>
      </c>
      <c r="L28" s="54">
        <f t="shared" si="13"/>
        <v>0</v>
      </c>
      <c r="M28" s="38">
        <f t="shared" si="14"/>
        <v>0</v>
      </c>
      <c r="N28" s="7">
        <f t="shared" si="23"/>
        <v>2973.556</v>
      </c>
      <c r="O28" s="54">
        <f t="shared" si="15"/>
        <v>0</v>
      </c>
      <c r="P28" s="38">
        <f t="shared" si="24"/>
        <v>0</v>
      </c>
      <c r="Q28" s="7">
        <f t="shared" si="25"/>
        <v>4724.75</v>
      </c>
      <c r="R28" s="54">
        <f t="shared" si="16"/>
        <v>0</v>
      </c>
      <c r="S28" s="38">
        <f t="shared" si="17"/>
        <v>0</v>
      </c>
      <c r="T28" s="8">
        <f t="shared" si="26"/>
        <v>0</v>
      </c>
      <c r="U28" s="40">
        <f t="shared" si="18"/>
        <v>0</v>
      </c>
    </row>
    <row r="29" spans="1:24" ht="16.5" thickBot="1" x14ac:dyDescent="0.25">
      <c r="A29" s="10">
        <v>44312</v>
      </c>
      <c r="B29" s="1">
        <f t="shared" si="19"/>
        <v>20284.669999999998</v>
      </c>
      <c r="C29" s="54">
        <f t="shared" si="7"/>
        <v>0</v>
      </c>
      <c r="D29" s="38">
        <f t="shared" si="8"/>
        <v>0</v>
      </c>
      <c r="E29" s="1">
        <f t="shared" si="20"/>
        <v>3511.66</v>
      </c>
      <c r="F29" s="54">
        <f t="shared" si="9"/>
        <v>0</v>
      </c>
      <c r="G29" s="38">
        <f t="shared" si="10"/>
        <v>0</v>
      </c>
      <c r="H29" s="1">
        <f t="shared" si="21"/>
        <v>2732</v>
      </c>
      <c r="I29" s="54">
        <f t="shared" si="11"/>
        <v>0</v>
      </c>
      <c r="J29" s="38">
        <f t="shared" si="12"/>
        <v>0</v>
      </c>
      <c r="K29" s="7">
        <f t="shared" si="22"/>
        <v>13319.19</v>
      </c>
      <c r="L29" s="54">
        <f t="shared" si="13"/>
        <v>0</v>
      </c>
      <c r="M29" s="38">
        <f t="shared" si="14"/>
        <v>0</v>
      </c>
      <c r="N29" s="7">
        <f t="shared" si="23"/>
        <v>2973.556</v>
      </c>
      <c r="O29" s="54">
        <f t="shared" si="15"/>
        <v>0</v>
      </c>
      <c r="P29" s="38">
        <f t="shared" si="24"/>
        <v>0</v>
      </c>
      <c r="Q29" s="7">
        <f t="shared" si="25"/>
        <v>4724.75</v>
      </c>
      <c r="R29" s="54">
        <f t="shared" si="16"/>
        <v>0</v>
      </c>
      <c r="S29" s="38">
        <f t="shared" si="17"/>
        <v>0</v>
      </c>
      <c r="T29" s="8">
        <f t="shared" si="26"/>
        <v>0</v>
      </c>
      <c r="U29" s="40">
        <f t="shared" si="18"/>
        <v>0</v>
      </c>
    </row>
    <row r="30" spans="1:24" ht="16.5" thickBot="1" x14ac:dyDescent="0.25">
      <c r="A30" s="10">
        <v>44313</v>
      </c>
      <c r="B30" s="1">
        <f t="shared" si="19"/>
        <v>20284.669999999998</v>
      </c>
      <c r="C30" s="54">
        <f t="shared" si="7"/>
        <v>0</v>
      </c>
      <c r="D30" s="38">
        <f t="shared" si="8"/>
        <v>0</v>
      </c>
      <c r="E30" s="1">
        <f t="shared" si="20"/>
        <v>3511.66</v>
      </c>
      <c r="F30" s="54">
        <f t="shared" si="9"/>
        <v>0</v>
      </c>
      <c r="G30" s="38">
        <f t="shared" si="10"/>
        <v>0</v>
      </c>
      <c r="H30" s="1">
        <f t="shared" si="21"/>
        <v>2732</v>
      </c>
      <c r="I30" s="54">
        <f t="shared" si="11"/>
        <v>0</v>
      </c>
      <c r="J30" s="38">
        <f t="shared" si="12"/>
        <v>0</v>
      </c>
      <c r="K30" s="7">
        <f t="shared" si="22"/>
        <v>13319.19</v>
      </c>
      <c r="L30" s="54">
        <f t="shared" si="13"/>
        <v>0</v>
      </c>
      <c r="M30" s="38">
        <f t="shared" si="14"/>
        <v>0</v>
      </c>
      <c r="N30" s="7">
        <f t="shared" si="23"/>
        <v>2973.556</v>
      </c>
      <c r="O30" s="54">
        <f t="shared" si="15"/>
        <v>0</v>
      </c>
      <c r="P30" s="38">
        <f t="shared" si="24"/>
        <v>0</v>
      </c>
      <c r="Q30" s="7">
        <f t="shared" si="25"/>
        <v>4724.75</v>
      </c>
      <c r="R30" s="54">
        <f t="shared" si="16"/>
        <v>0</v>
      </c>
      <c r="S30" s="38">
        <f t="shared" si="17"/>
        <v>0</v>
      </c>
      <c r="T30" s="8">
        <f t="shared" si="26"/>
        <v>0</v>
      </c>
      <c r="U30" s="40">
        <f t="shared" si="18"/>
        <v>0</v>
      </c>
    </row>
    <row r="31" spans="1:24" ht="16.5" thickBot="1" x14ac:dyDescent="0.25">
      <c r="A31" s="10">
        <v>44314</v>
      </c>
      <c r="B31" s="1">
        <f t="shared" si="19"/>
        <v>20284.669999999998</v>
      </c>
      <c r="C31" s="54">
        <f t="shared" si="7"/>
        <v>0</v>
      </c>
      <c r="D31" s="38">
        <f t="shared" si="8"/>
        <v>0</v>
      </c>
      <c r="E31" s="1">
        <f t="shared" si="20"/>
        <v>3511.66</v>
      </c>
      <c r="F31" s="54">
        <f t="shared" si="9"/>
        <v>0</v>
      </c>
      <c r="G31" s="38">
        <f t="shared" si="10"/>
        <v>0</v>
      </c>
      <c r="H31" s="1">
        <f t="shared" si="21"/>
        <v>2732</v>
      </c>
      <c r="I31" s="54">
        <f t="shared" si="11"/>
        <v>0</v>
      </c>
      <c r="J31" s="38">
        <f t="shared" si="12"/>
        <v>0</v>
      </c>
      <c r="K31" s="7">
        <f t="shared" si="22"/>
        <v>13319.19</v>
      </c>
      <c r="L31" s="54">
        <f t="shared" si="13"/>
        <v>0</v>
      </c>
      <c r="M31" s="38">
        <f t="shared" si="14"/>
        <v>0</v>
      </c>
      <c r="N31" s="7">
        <f t="shared" si="23"/>
        <v>2973.556</v>
      </c>
      <c r="O31" s="54">
        <f t="shared" si="15"/>
        <v>0</v>
      </c>
      <c r="P31" s="38">
        <f t="shared" si="24"/>
        <v>0</v>
      </c>
      <c r="Q31" s="7">
        <f t="shared" si="25"/>
        <v>4724.75</v>
      </c>
      <c r="R31" s="54">
        <f t="shared" si="16"/>
        <v>0</v>
      </c>
      <c r="S31" s="38">
        <f t="shared" si="17"/>
        <v>0</v>
      </c>
      <c r="T31" s="8">
        <f t="shared" si="26"/>
        <v>0</v>
      </c>
      <c r="U31" s="40">
        <f t="shared" si="18"/>
        <v>0</v>
      </c>
    </row>
    <row r="32" spans="1:24" ht="16.5" thickBot="1" x14ac:dyDescent="0.25">
      <c r="A32" s="10">
        <v>44315</v>
      </c>
      <c r="B32" s="1">
        <f t="shared" si="19"/>
        <v>20284.669999999998</v>
      </c>
      <c r="C32" s="54">
        <f t="shared" si="7"/>
        <v>0</v>
      </c>
      <c r="D32" s="38">
        <f t="shared" si="8"/>
        <v>0</v>
      </c>
      <c r="E32" s="1">
        <f t="shared" si="20"/>
        <v>3511.66</v>
      </c>
      <c r="F32" s="54">
        <f t="shared" si="9"/>
        <v>0</v>
      </c>
      <c r="G32" s="38">
        <f t="shared" si="10"/>
        <v>0</v>
      </c>
      <c r="H32" s="1">
        <f t="shared" si="21"/>
        <v>2732</v>
      </c>
      <c r="I32" s="54">
        <f t="shared" si="11"/>
        <v>0</v>
      </c>
      <c r="J32" s="38">
        <f t="shared" si="12"/>
        <v>0</v>
      </c>
      <c r="K32" s="7">
        <f t="shared" si="22"/>
        <v>13319.19</v>
      </c>
      <c r="L32" s="54">
        <f t="shared" si="13"/>
        <v>0</v>
      </c>
      <c r="M32" s="38">
        <f t="shared" si="14"/>
        <v>0</v>
      </c>
      <c r="N32" s="7">
        <f t="shared" si="23"/>
        <v>2973.556</v>
      </c>
      <c r="O32" s="54">
        <f t="shared" si="15"/>
        <v>0</v>
      </c>
      <c r="P32" s="38">
        <f t="shared" si="24"/>
        <v>0</v>
      </c>
      <c r="Q32" s="7">
        <f t="shared" si="25"/>
        <v>4724.75</v>
      </c>
      <c r="R32" s="54">
        <f t="shared" si="16"/>
        <v>0</v>
      </c>
      <c r="S32" s="38">
        <f t="shared" si="17"/>
        <v>0</v>
      </c>
      <c r="T32" s="8">
        <f t="shared" si="26"/>
        <v>0</v>
      </c>
      <c r="U32" s="40">
        <f t="shared" si="18"/>
        <v>0</v>
      </c>
    </row>
    <row r="33" spans="1:27" ht="16.5" thickBot="1" x14ac:dyDescent="0.25">
      <c r="A33" s="10">
        <v>44316</v>
      </c>
      <c r="B33" s="1">
        <f t="shared" si="19"/>
        <v>20284.669999999998</v>
      </c>
      <c r="C33" s="54">
        <f t="shared" si="7"/>
        <v>0</v>
      </c>
      <c r="D33" s="38">
        <f t="shared" si="8"/>
        <v>0</v>
      </c>
      <c r="E33" s="1">
        <f t="shared" si="20"/>
        <v>3511.66</v>
      </c>
      <c r="F33" s="54">
        <f t="shared" si="9"/>
        <v>0</v>
      </c>
      <c r="G33" s="38">
        <f t="shared" si="10"/>
        <v>0</v>
      </c>
      <c r="H33" s="1">
        <f t="shared" si="21"/>
        <v>2732</v>
      </c>
      <c r="I33" s="54">
        <f t="shared" si="11"/>
        <v>0</v>
      </c>
      <c r="J33" s="38">
        <f t="shared" si="12"/>
        <v>0</v>
      </c>
      <c r="K33" s="7">
        <f t="shared" si="22"/>
        <v>13319.19</v>
      </c>
      <c r="L33" s="54">
        <f t="shared" si="13"/>
        <v>0</v>
      </c>
      <c r="M33" s="38">
        <f t="shared" si="14"/>
        <v>0</v>
      </c>
      <c r="N33" s="7">
        <f t="shared" ref="N33" si="27">N32</f>
        <v>2973.556</v>
      </c>
      <c r="O33" s="54">
        <f t="shared" si="15"/>
        <v>0</v>
      </c>
      <c r="P33" s="38">
        <f t="shared" si="24"/>
        <v>0</v>
      </c>
      <c r="Q33" s="7">
        <f t="shared" si="25"/>
        <v>4724.75</v>
      </c>
      <c r="R33" s="54">
        <f t="shared" si="16"/>
        <v>0</v>
      </c>
      <c r="S33" s="38">
        <f t="shared" si="17"/>
        <v>0</v>
      </c>
      <c r="T33" s="8">
        <f t="shared" si="26"/>
        <v>0</v>
      </c>
      <c r="U33" s="40">
        <f t="shared" si="18"/>
        <v>0</v>
      </c>
    </row>
    <row r="34" spans="1:27" s="26" customFormat="1" ht="16.5" thickBot="1" x14ac:dyDescent="0.25">
      <c r="A34" s="6" t="s">
        <v>24</v>
      </c>
      <c r="B34" s="162"/>
      <c r="C34" s="162">
        <v>0</v>
      </c>
      <c r="D34" s="162">
        <f>SUM(D2:D33)</f>
        <v>15864.999999997233</v>
      </c>
      <c r="E34" s="162">
        <v>0</v>
      </c>
      <c r="F34" s="162">
        <f>SUM(F2:F33)</f>
        <v>2.319999999999709</v>
      </c>
      <c r="G34" s="162">
        <f>SUM(G2:G33)</f>
        <v>4407.999999999447</v>
      </c>
      <c r="H34" s="162"/>
      <c r="I34" s="162">
        <f>SUM(I2:I33)</f>
        <v>10</v>
      </c>
      <c r="J34" s="162">
        <f>SUM(J2:J33)</f>
        <v>19000</v>
      </c>
      <c r="K34" s="162"/>
      <c r="L34" s="162">
        <f>SUM(L2:L33)</f>
        <v>1.4400000000005093</v>
      </c>
      <c r="M34" s="162">
        <f>SUM(M2:M33)</f>
        <v>2736.0000000009677</v>
      </c>
      <c r="N34" s="162"/>
      <c r="O34" s="162">
        <f>SUM(O2:O33)</f>
        <v>2.5410000000001673</v>
      </c>
      <c r="P34" s="162">
        <f>SUM(P2:P33)</f>
        <v>2226.8000000000484</v>
      </c>
      <c r="Q34" s="162"/>
      <c r="R34" s="162">
        <v>0</v>
      </c>
      <c r="S34" s="162">
        <f>SUM(S2:S33)</f>
        <v>1396.4999999993779</v>
      </c>
      <c r="T34" s="162">
        <f>SUM(T2:T33)</f>
        <v>12.51299999999901</v>
      </c>
      <c r="U34" s="162">
        <f>SUM(U2:U33)</f>
        <v>23774.69999999812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85" zoomScaleNormal="85" workbookViewId="0">
      <selection activeCell="J21" sqref="J2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8"/>
      <c r="B2" s="109" t="s">
        <v>93</v>
      </c>
      <c r="C2" s="110">
        <f>K8+K9+K14</f>
        <v>20641</v>
      </c>
      <c r="D2" s="110">
        <f>C2*1.27</f>
        <v>26214.07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25433539</v>
      </c>
      <c r="J3" s="158">
        <f>ELECT.!E33</f>
        <v>25448239</v>
      </c>
      <c r="K3" s="105">
        <f>J3-I3</f>
        <v>14700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79837635</v>
      </c>
      <c r="J4" s="158">
        <f>ELECT.!G33</f>
        <v>79913721</v>
      </c>
      <c r="K4" s="105">
        <f>J4-I4</f>
        <v>76086</v>
      </c>
    </row>
    <row r="5" spans="1:11" ht="13.5" thickBot="1" x14ac:dyDescent="0.25">
      <c r="A5" s="108"/>
      <c r="B5" s="114" t="s">
        <v>28</v>
      </c>
      <c r="C5" s="118">
        <f>(K10+K12)*0.842284+K26</f>
        <v>44605.472311999998</v>
      </c>
      <c r="D5" s="118">
        <f t="shared" ref="D5:D11" si="0">C5*1.27</f>
        <v>56648.949836239997</v>
      </c>
      <c r="E5" s="119"/>
      <c r="F5" s="108"/>
      <c r="G5" s="108"/>
      <c r="H5" s="114" t="s">
        <v>24</v>
      </c>
      <c r="I5" s="120"/>
      <c r="J5" s="120"/>
      <c r="K5" s="145">
        <f>K3+K4</f>
        <v>90786</v>
      </c>
    </row>
    <row r="6" spans="1:11" ht="13.5" thickBot="1" x14ac:dyDescent="0.25">
      <c r="A6" s="108"/>
      <c r="B6" s="114" t="s">
        <v>100</v>
      </c>
      <c r="C6" s="118">
        <f>(K10+K12+K26)*0.1488</f>
        <v>7853.366399999999</v>
      </c>
      <c r="D6" s="118">
        <f t="shared" si="0"/>
        <v>9973.7753279999997</v>
      </c>
      <c r="E6" s="119"/>
      <c r="F6" s="108"/>
      <c r="G6" s="108"/>
      <c r="H6" s="114" t="s">
        <v>101</v>
      </c>
      <c r="I6" s="163">
        <f>ELECT.!J2</f>
        <v>7752235</v>
      </c>
      <c r="J6" s="159">
        <f>ELECT.!J33</f>
        <v>7760481</v>
      </c>
      <c r="K6" s="105">
        <f>J6-I6</f>
        <v>8246</v>
      </c>
    </row>
    <row r="7" spans="1:11" ht="13.5" thickBot="1" x14ac:dyDescent="0.25">
      <c r="A7" s="108"/>
      <c r="B7" s="114" t="s">
        <v>102</v>
      </c>
      <c r="C7" s="118">
        <f>(K6+K7)-(C8+C9+C10+C11+K26)</f>
        <v>11955</v>
      </c>
      <c r="D7" s="118">
        <f t="shared" si="0"/>
        <v>15182.85</v>
      </c>
      <c r="E7" s="119"/>
      <c r="F7" s="108"/>
      <c r="G7" s="108"/>
      <c r="H7" s="114" t="s">
        <v>103</v>
      </c>
      <c r="I7" s="163">
        <f>ELECT.!L2</f>
        <v>7774835</v>
      </c>
      <c r="J7" s="159">
        <f>ELECT.!L33</f>
        <v>7784916</v>
      </c>
      <c r="K7" s="105">
        <f>J7-I7</f>
        <v>10081</v>
      </c>
    </row>
    <row r="8" spans="1:11" ht="13.5" thickBot="1" x14ac:dyDescent="0.25">
      <c r="A8" s="108"/>
      <c r="B8" s="114" t="s">
        <v>104</v>
      </c>
      <c r="C8" s="118">
        <f>K21+K22+K23+K24</f>
        <v>2691</v>
      </c>
      <c r="D8" s="118">
        <f t="shared" si="0"/>
        <v>3417.57</v>
      </c>
      <c r="E8" s="119"/>
      <c r="F8" s="108"/>
      <c r="G8" s="108"/>
      <c r="H8" s="114" t="s">
        <v>105</v>
      </c>
      <c r="I8" s="163">
        <f>ELECT.!N2</f>
        <v>5008835</v>
      </c>
      <c r="J8" s="159">
        <f>ELECT.!N33</f>
        <v>5011001</v>
      </c>
      <c r="K8" s="105">
        <f>(J8-I8)*2</f>
        <v>4332</v>
      </c>
    </row>
    <row r="9" spans="1:11" ht="13.5" thickBot="1" x14ac:dyDescent="0.25">
      <c r="A9" s="108"/>
      <c r="B9" s="114" t="s">
        <v>138</v>
      </c>
      <c r="C9" s="118">
        <f>K25+K16+K17</f>
        <v>1180</v>
      </c>
      <c r="D9" s="118">
        <f t="shared" si="0"/>
        <v>1498.6</v>
      </c>
      <c r="E9" s="119"/>
      <c r="F9" s="108"/>
      <c r="G9" s="108"/>
      <c r="H9" s="114" t="s">
        <v>106</v>
      </c>
      <c r="I9" s="163">
        <f>ELECT.!P2</f>
        <v>2893394</v>
      </c>
      <c r="J9" s="159">
        <f>ELECT.!P33</f>
        <v>2907646</v>
      </c>
      <c r="K9" s="105">
        <f>J9-I9</f>
        <v>14252</v>
      </c>
    </row>
    <row r="10" spans="1:11" ht="13.5" thickBot="1" x14ac:dyDescent="0.25">
      <c r="A10" s="108"/>
      <c r="B10" s="114" t="s">
        <v>107</v>
      </c>
      <c r="C10" s="118">
        <f>K18</f>
        <v>1280</v>
      </c>
      <c r="D10" s="118">
        <f t="shared" si="0"/>
        <v>1625.6</v>
      </c>
      <c r="E10" s="119"/>
      <c r="F10" s="108"/>
      <c r="G10" s="108"/>
      <c r="H10" s="114" t="s">
        <v>108</v>
      </c>
      <c r="I10" s="163">
        <f>ELECT.!R2</f>
        <v>16985908</v>
      </c>
      <c r="J10" s="159">
        <f>ELECT.!R33</f>
        <v>17002170</v>
      </c>
      <c r="K10" s="105">
        <f>J10-I10</f>
        <v>16262</v>
      </c>
    </row>
    <row r="11" spans="1:11" ht="13.5" thickBot="1" x14ac:dyDescent="0.25">
      <c r="A11" s="108"/>
      <c r="B11" s="114" t="s">
        <v>109</v>
      </c>
      <c r="C11" s="118">
        <f>K19+K20</f>
        <v>261</v>
      </c>
      <c r="D11" s="118">
        <f t="shared" si="0"/>
        <v>331.47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4578564</v>
      </c>
      <c r="J12" s="159">
        <f>ELECT.!V33</f>
        <v>4596342</v>
      </c>
      <c r="K12" s="105">
        <f>(J12-I12)*2</f>
        <v>35556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88729</v>
      </c>
    </row>
    <row r="14" spans="1:11" ht="13.5" thickBot="1" x14ac:dyDescent="0.25">
      <c r="A14" s="108"/>
      <c r="B14" s="114" t="s">
        <v>43</v>
      </c>
      <c r="C14" s="118">
        <f>K29</f>
        <v>980</v>
      </c>
      <c r="D14" s="126">
        <f t="shared" ref="D14:D22" si="1">C14*10.03</f>
        <v>9829.4</v>
      </c>
      <c r="E14" s="127"/>
      <c r="F14" s="108"/>
      <c r="G14" s="108"/>
      <c r="H14" s="114" t="s">
        <v>115</v>
      </c>
      <c r="I14" s="123"/>
      <c r="J14" s="124"/>
      <c r="K14" s="106">
        <f>K5-K13</f>
        <v>2057</v>
      </c>
    </row>
    <row r="15" spans="1:11" ht="13.5" thickBot="1" x14ac:dyDescent="0.25">
      <c r="A15" s="108"/>
      <c r="B15" s="114" t="s">
        <v>116</v>
      </c>
      <c r="C15" s="128">
        <f>K30</f>
        <v>7.0739999999999998</v>
      </c>
      <c r="D15" s="126">
        <f t="shared" si="1"/>
        <v>70.952219999999997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-638.84435320000011</v>
      </c>
      <c r="D16" s="126">
        <f t="shared" si="1"/>
        <v>-6407.608862596001</v>
      </c>
      <c r="E16" s="127"/>
      <c r="F16" s="108"/>
      <c r="G16" s="108"/>
      <c r="H16" s="129" t="s">
        <v>137</v>
      </c>
      <c r="I16" s="130">
        <f>'Mall, Citadel, Rotana'!T2</f>
        <v>3580</v>
      </c>
      <c r="J16" s="130">
        <f>'Mall, Citadel, Rotana'!T33</f>
        <v>3585</v>
      </c>
      <c r="K16" s="107">
        <f>(J16-I16)*160</f>
        <v>800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24778</v>
      </c>
      <c r="J18" s="130">
        <f>'Mall, Citadel, Rotana'!L33</f>
        <v>24786</v>
      </c>
      <c r="K18" s="107">
        <f>(J18-I18)*160</f>
        <v>1280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68" t="s">
        <v>117</v>
      </c>
      <c r="F19" s="169"/>
      <c r="G19" s="108"/>
      <c r="H19" s="129" t="s">
        <v>118</v>
      </c>
      <c r="I19" s="130">
        <f>'Mall, Citadel, Rotana'!P2</f>
        <v>98110</v>
      </c>
      <c r="J19" s="130">
        <f>'Mall, Citadel, Rotana'!P33</f>
        <v>98371</v>
      </c>
      <c r="K19" s="107">
        <f>J19-I19</f>
        <v>261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45039</v>
      </c>
      <c r="J21" s="130">
        <f>'Mall, Citadel, Rotana'!B33</f>
        <v>45053</v>
      </c>
      <c r="K21" s="107">
        <f>(J21-I21)*120</f>
        <v>1680</v>
      </c>
    </row>
    <row r="22" spans="1:11" ht="13.5" thickBot="1" x14ac:dyDescent="0.25">
      <c r="A22" s="108"/>
      <c r="B22" s="114" t="s">
        <v>120</v>
      </c>
      <c r="C22" s="126">
        <f>C14-(C15+C16+C17+C18+C19+C20+C21)</f>
        <v>-4208.2296468000004</v>
      </c>
      <c r="D22" s="126">
        <f t="shared" si="1"/>
        <v>-42208.543357404</v>
      </c>
      <c r="E22" s="127"/>
      <c r="F22" s="108"/>
      <c r="G22" s="108"/>
      <c r="H22" s="129" t="s">
        <v>16</v>
      </c>
      <c r="I22" s="130">
        <f>'Mall, Citadel, Rotana'!D2</f>
        <v>39393</v>
      </c>
      <c r="J22" s="130">
        <f>'Mall, Citadel, Rotana'!D33</f>
        <v>39398</v>
      </c>
      <c r="K22" s="107">
        <f>(J22-I22)*160</f>
        <v>800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20221</v>
      </c>
      <c r="J23" s="130">
        <f>'Mall, Citadel, Rotana'!F33</f>
        <v>20228</v>
      </c>
      <c r="K23" s="107">
        <f>(J23-I23)*20</f>
        <v>140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239849</v>
      </c>
      <c r="J24" s="130">
        <f>'Mall, Citadel, Rotana'!H33</f>
        <v>239920</v>
      </c>
      <c r="K24" s="107">
        <f>J24-I24</f>
        <v>71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212904</v>
      </c>
      <c r="J25" s="130">
        <f>'Mall, Citadel, Rotana'!N33</f>
        <v>213284</v>
      </c>
      <c r="K25" s="107">
        <f>J25-I25</f>
        <v>380</v>
      </c>
    </row>
    <row r="26" spans="1:11" ht="13.5" thickBot="1" x14ac:dyDescent="0.25">
      <c r="A26" s="108"/>
      <c r="B26" s="114" t="s">
        <v>43</v>
      </c>
      <c r="C26" s="132">
        <f>K35</f>
        <v>4430</v>
      </c>
      <c r="D26" s="118">
        <f>C26*3.65</f>
        <v>16169.5</v>
      </c>
      <c r="E26" s="119"/>
      <c r="F26" s="108"/>
      <c r="G26" s="108"/>
      <c r="H26" s="129" t="s">
        <v>124</v>
      </c>
      <c r="I26" s="139">
        <f>ELECT.!C2</f>
        <v>18067</v>
      </c>
      <c r="J26" s="139">
        <f>ELECT.!C33</f>
        <v>18073</v>
      </c>
      <c r="K26" s="107">
        <f>(J26-I26)*160</f>
        <v>960</v>
      </c>
    </row>
    <row r="27" spans="1:11" ht="13.5" thickBot="1" x14ac:dyDescent="0.25">
      <c r="A27" s="108"/>
      <c r="B27" s="109" t="s">
        <v>125</v>
      </c>
      <c r="C27" s="132">
        <f>C26</f>
        <v>4430</v>
      </c>
      <c r="D27" s="118">
        <f>C27*3.65</f>
        <v>16169.5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407443</v>
      </c>
      <c r="J29" s="130">
        <f>Water!B33</f>
        <v>407541</v>
      </c>
      <c r="K29" s="107">
        <f>(J29-I29)*10</f>
        <v>980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726024</v>
      </c>
      <c r="J30" s="130">
        <f>Water!H33</f>
        <v>726286</v>
      </c>
      <c r="K30" s="107">
        <f>(J30-I30)*0.027</f>
        <v>7.0739999999999998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3767800</v>
      </c>
      <c r="J31" s="130">
        <f>Water!D33</f>
        <v>3793400</v>
      </c>
      <c r="K31" s="107">
        <f>(J31-I31)*0.027</f>
        <v>691.2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2454800</v>
      </c>
      <c r="J32" s="130">
        <f>Water!F33</f>
        <v>2454800</v>
      </c>
      <c r="K32" s="107">
        <f>(J32-I32)*0.027</f>
        <v>0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17250461</v>
      </c>
      <c r="J35" s="161">
        <f>Gas!B33</f>
        <v>17254891</v>
      </c>
      <c r="K35" s="138">
        <f>J35-I35</f>
        <v>4430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0" sqref="N1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139</v>
      </c>
      <c r="F1" s="69" t="s">
        <v>140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140</v>
      </c>
      <c r="M1" s="69" t="s">
        <v>142</v>
      </c>
      <c r="N1" s="69" t="s">
        <v>92</v>
      </c>
      <c r="O1" s="70" t="s">
        <v>80</v>
      </c>
    </row>
    <row r="2" spans="2:15" ht="15" x14ac:dyDescent="0.2">
      <c r="B2" s="67"/>
      <c r="C2" s="170">
        <v>6</v>
      </c>
      <c r="D2" s="71" t="s">
        <v>81</v>
      </c>
      <c r="E2" s="72">
        <v>272089</v>
      </c>
      <c r="F2" s="72">
        <v>274698</v>
      </c>
      <c r="G2" s="73">
        <f>F2-E2</f>
        <v>2609</v>
      </c>
      <c r="H2" s="74"/>
      <c r="J2" s="170">
        <v>6</v>
      </c>
      <c r="K2" s="71" t="s">
        <v>81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2"/>
      <c r="D3" s="71" t="s">
        <v>82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2"/>
      <c r="K3" s="71" t="s">
        <v>82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1"/>
      <c r="D4" s="71" t="s">
        <v>83</v>
      </c>
      <c r="E4" s="72">
        <v>186678</v>
      </c>
      <c r="F4" s="72">
        <v>187896</v>
      </c>
      <c r="G4" s="73">
        <f t="shared" si="0"/>
        <v>1218</v>
      </c>
      <c r="H4" s="74"/>
      <c r="J4" s="171"/>
      <c r="K4" s="71" t="s">
        <v>83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0">
        <v>7</v>
      </c>
      <c r="D5" s="71" t="s">
        <v>81</v>
      </c>
      <c r="E5" s="72">
        <v>234919</v>
      </c>
      <c r="F5" s="72">
        <v>235909</v>
      </c>
      <c r="G5" s="73">
        <f t="shared" si="0"/>
        <v>990</v>
      </c>
      <c r="H5" s="74"/>
      <c r="J5" s="170">
        <v>7</v>
      </c>
      <c r="K5" s="71" t="s">
        <v>81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2"/>
      <c r="D6" s="71" t="s">
        <v>82</v>
      </c>
      <c r="E6" s="72">
        <v>153441</v>
      </c>
      <c r="F6" s="72">
        <v>153504</v>
      </c>
      <c r="G6" s="73">
        <f t="shared" si="0"/>
        <v>63</v>
      </c>
      <c r="H6" s="74"/>
      <c r="J6" s="172"/>
      <c r="K6" s="71" t="s">
        <v>82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1"/>
      <c r="D7" s="71" t="s">
        <v>83</v>
      </c>
      <c r="E7" s="72">
        <v>115849</v>
      </c>
      <c r="F7" s="72">
        <v>116610</v>
      </c>
      <c r="G7" s="73">
        <f t="shared" si="0"/>
        <v>761</v>
      </c>
      <c r="H7" s="74"/>
      <c r="J7" s="171"/>
      <c r="K7" s="71" t="s">
        <v>83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0">
        <v>8</v>
      </c>
      <c r="D8" s="71" t="s">
        <v>81</v>
      </c>
      <c r="E8" s="72">
        <v>71827</v>
      </c>
      <c r="F8" s="72">
        <v>72003</v>
      </c>
      <c r="G8" s="73">
        <f t="shared" si="0"/>
        <v>176</v>
      </c>
      <c r="H8" s="74"/>
      <c r="J8" s="170">
        <v>8</v>
      </c>
      <c r="K8" s="71" t="s">
        <v>81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2"/>
      <c r="D9" s="71" t="s">
        <v>82</v>
      </c>
      <c r="E9" s="72">
        <v>1580</v>
      </c>
      <c r="F9" s="72">
        <v>1580</v>
      </c>
      <c r="G9" s="73">
        <f t="shared" si="0"/>
        <v>0</v>
      </c>
      <c r="H9" s="76" t="s">
        <v>13</v>
      </c>
      <c r="J9" s="172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1"/>
      <c r="D10" s="71" t="s">
        <v>83</v>
      </c>
      <c r="E10" s="72">
        <v>94047</v>
      </c>
      <c r="F10" s="72">
        <v>94510</v>
      </c>
      <c r="G10" s="73">
        <f t="shared" si="0"/>
        <v>463</v>
      </c>
      <c r="H10" s="74"/>
      <c r="J10" s="171"/>
      <c r="K10" s="71" t="s">
        <v>83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0">
        <v>9</v>
      </c>
      <c r="D11" s="71" t="s">
        <v>81</v>
      </c>
      <c r="E11" s="72">
        <v>34479</v>
      </c>
      <c r="F11" s="72">
        <v>39500</v>
      </c>
      <c r="G11" s="73">
        <f t="shared" si="0"/>
        <v>5021</v>
      </c>
      <c r="H11" s="74"/>
      <c r="J11" s="170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2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72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1"/>
      <c r="D13" s="71" t="s">
        <v>83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1"/>
      <c r="K13" s="71" t="s">
        <v>83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0">
        <v>10</v>
      </c>
      <c r="D14" s="71" t="s">
        <v>81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0">
        <v>10</v>
      </c>
      <c r="K14" s="71" t="s">
        <v>81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2"/>
      <c r="D15" s="71" t="s">
        <v>82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2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1"/>
      <c r="D16" s="71" t="s">
        <v>83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1"/>
      <c r="K16" s="71" t="s">
        <v>83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0">
        <v>11</v>
      </c>
      <c r="D17" s="71" t="s">
        <v>81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0">
        <v>11</v>
      </c>
      <c r="K17" s="71" t="s">
        <v>81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2"/>
      <c r="D18" s="71" t="s">
        <v>82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2"/>
      <c r="K18" s="71" t="s">
        <v>82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1"/>
      <c r="D19" s="71" t="s">
        <v>83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1"/>
      <c r="K19" s="71" t="s">
        <v>83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0">
        <v>12</v>
      </c>
      <c r="D20" s="71" t="s">
        <v>81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0">
        <v>12</v>
      </c>
      <c r="K20" s="71" t="s">
        <v>81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2"/>
      <c r="D21" s="71" t="s">
        <v>82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13</v>
      </c>
      <c r="J21" s="172"/>
      <c r="K21" s="71" t="s">
        <v>82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1"/>
      <c r="D22" s="71" t="s">
        <v>83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1"/>
      <c r="K22" s="71" t="s">
        <v>83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0">
        <v>14</v>
      </c>
      <c r="D23" s="71" t="s">
        <v>81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0">
        <v>14</v>
      </c>
      <c r="K23" s="71" t="s">
        <v>81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2"/>
      <c r="D24" s="71" t="s">
        <v>82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2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1"/>
      <c r="D25" s="71" t="s">
        <v>83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1"/>
      <c r="K25" s="71" t="s">
        <v>83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0">
        <v>15</v>
      </c>
      <c r="D26" s="71" t="s">
        <v>81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13</v>
      </c>
      <c r="J26" s="170">
        <v>15</v>
      </c>
      <c r="K26" s="71" t="s">
        <v>81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2"/>
      <c r="D27" s="71" t="s">
        <v>82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13</v>
      </c>
      <c r="J27" s="172"/>
      <c r="K27" s="71" t="s">
        <v>82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1"/>
      <c r="D28" s="71" t="s">
        <v>83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1"/>
      <c r="K28" s="71" t="s">
        <v>83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0">
        <v>16</v>
      </c>
      <c r="D29" s="71" t="s">
        <v>81</v>
      </c>
      <c r="E29" s="79">
        <v>97965</v>
      </c>
      <c r="F29" s="79">
        <v>97965</v>
      </c>
      <c r="G29" s="73">
        <f t="shared" si="0"/>
        <v>0</v>
      </c>
      <c r="H29" s="76" t="s">
        <v>13</v>
      </c>
      <c r="I29" s="78"/>
      <c r="J29" s="170">
        <v>16</v>
      </c>
      <c r="K29" s="71" t="s">
        <v>81</v>
      </c>
      <c r="L29" s="79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72"/>
      <c r="D30" s="71" t="s">
        <v>82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2"/>
      <c r="K30" s="71" t="s">
        <v>82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1"/>
      <c r="D31" s="71" t="s">
        <v>83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1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0">
        <v>17</v>
      </c>
      <c r="D32" s="71" t="s">
        <v>81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0">
        <v>17</v>
      </c>
      <c r="K32" s="71" t="s">
        <v>81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2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2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1"/>
      <c r="D34" s="71" t="s">
        <v>83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1"/>
      <c r="K34" s="71" t="s">
        <v>83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0">
        <v>18</v>
      </c>
      <c r="D35" s="71" t="s">
        <v>81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0">
        <v>18</v>
      </c>
      <c r="K35" s="71" t="s">
        <v>81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2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2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1"/>
      <c r="D37" s="71" t="s">
        <v>83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1"/>
      <c r="K37" s="71" t="s">
        <v>83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0">
        <v>19</v>
      </c>
      <c r="D38" s="71" t="s">
        <v>81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0">
        <v>19</v>
      </c>
      <c r="K38" s="71" t="s">
        <v>81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2"/>
      <c r="D39" s="71" t="s">
        <v>82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2"/>
      <c r="K39" s="71" t="s">
        <v>82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1"/>
      <c r="D40" s="71" t="s">
        <v>83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1"/>
      <c r="K40" s="71" t="s">
        <v>83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0">
        <v>20</v>
      </c>
      <c r="D41" s="71" t="s">
        <v>81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0">
        <v>20</v>
      </c>
      <c r="K41" s="71" t="s">
        <v>81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2"/>
      <c r="D42" s="71" t="s">
        <v>82</v>
      </c>
      <c r="E42" s="79">
        <v>68225</v>
      </c>
      <c r="F42" s="79">
        <v>68333</v>
      </c>
      <c r="G42" s="73">
        <f t="shared" si="0"/>
        <v>108</v>
      </c>
      <c r="H42" s="74"/>
      <c r="J42" s="172"/>
      <c r="K42" s="71" t="s">
        <v>82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1"/>
      <c r="D43" s="71" t="s">
        <v>83</v>
      </c>
      <c r="E43" s="72">
        <v>3223</v>
      </c>
      <c r="F43" s="72">
        <v>3224</v>
      </c>
      <c r="G43" s="73">
        <f t="shared" si="0"/>
        <v>1</v>
      </c>
      <c r="H43" s="74"/>
      <c r="J43" s="171"/>
      <c r="K43" s="71" t="s">
        <v>83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0">
        <v>21</v>
      </c>
      <c r="D45" s="87" t="s">
        <v>84</v>
      </c>
      <c r="E45" s="72">
        <v>3114</v>
      </c>
      <c r="F45" s="72">
        <v>3182</v>
      </c>
      <c r="G45" s="73">
        <f t="shared" si="0"/>
        <v>68</v>
      </c>
      <c r="H45" s="76" t="s">
        <v>13</v>
      </c>
      <c r="J45" s="170">
        <v>21</v>
      </c>
      <c r="K45" s="87" t="s">
        <v>84</v>
      </c>
      <c r="L45" s="72">
        <v>3182</v>
      </c>
      <c r="M45" s="72">
        <v>3182</v>
      </c>
      <c r="N45" s="73">
        <f t="shared" si="1"/>
        <v>0</v>
      </c>
      <c r="O45" s="76" t="s">
        <v>13</v>
      </c>
    </row>
    <row r="46" spans="2:15" ht="15" x14ac:dyDescent="0.2">
      <c r="B46" s="67"/>
      <c r="C46" s="172"/>
      <c r="D46" s="87" t="s">
        <v>83</v>
      </c>
      <c r="E46" s="72">
        <v>38096</v>
      </c>
      <c r="F46" s="72">
        <v>38125</v>
      </c>
      <c r="G46" s="73">
        <f t="shared" si="0"/>
        <v>29</v>
      </c>
      <c r="H46" s="74"/>
      <c r="J46" s="172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0">
        <v>22</v>
      </c>
      <c r="D47" s="87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70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2"/>
      <c r="D48" s="87" t="s">
        <v>83</v>
      </c>
      <c r="E48" s="88">
        <v>18873</v>
      </c>
      <c r="F48" s="88">
        <v>19003</v>
      </c>
      <c r="G48" s="73">
        <f t="shared" si="0"/>
        <v>130</v>
      </c>
      <c r="H48" s="74"/>
      <c r="J48" s="172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0">
        <v>23</v>
      </c>
      <c r="D49" s="71" t="s">
        <v>84</v>
      </c>
      <c r="E49" s="88"/>
      <c r="F49" s="88"/>
      <c r="G49" s="73">
        <f t="shared" si="0"/>
        <v>0</v>
      </c>
      <c r="H49" s="74"/>
      <c r="J49" s="170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2"/>
      <c r="D50" s="71" t="s">
        <v>83</v>
      </c>
      <c r="E50" s="88"/>
      <c r="F50" s="88"/>
      <c r="G50" s="73">
        <f t="shared" si="0"/>
        <v>0</v>
      </c>
      <c r="H50" s="74"/>
      <c r="J50" s="172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3">
        <v>24</v>
      </c>
      <c r="D52" s="71" t="s">
        <v>85</v>
      </c>
      <c r="E52" s="79">
        <v>236508</v>
      </c>
      <c r="F52" s="79">
        <v>237611</v>
      </c>
      <c r="G52" s="73">
        <f t="shared" si="0"/>
        <v>1103</v>
      </c>
      <c r="H52" s="90"/>
      <c r="J52" s="173">
        <v>24</v>
      </c>
      <c r="K52" s="71" t="s">
        <v>85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4"/>
      <c r="D53" s="71" t="s">
        <v>86</v>
      </c>
      <c r="E53" s="79">
        <v>533385</v>
      </c>
      <c r="F53" s="79">
        <v>533854</v>
      </c>
      <c r="G53" s="73">
        <f t="shared" si="0"/>
        <v>469</v>
      </c>
      <c r="H53" s="82"/>
      <c r="J53" s="174"/>
      <c r="K53" s="71" t="s">
        <v>86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75"/>
      <c r="D54" s="71" t="s">
        <v>85</v>
      </c>
      <c r="E54" s="79">
        <v>34567</v>
      </c>
      <c r="F54" s="79">
        <v>34567</v>
      </c>
      <c r="G54" s="73">
        <f t="shared" si="0"/>
        <v>0</v>
      </c>
      <c r="H54" s="91" t="s">
        <v>13</v>
      </c>
      <c r="J54" s="175"/>
      <c r="K54" s="71" t="s">
        <v>85</v>
      </c>
      <c r="L54" s="79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70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70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1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1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0">
        <v>26</v>
      </c>
      <c r="D57" s="71" t="s">
        <v>85</v>
      </c>
      <c r="E57" s="72">
        <v>685258</v>
      </c>
      <c r="F57" s="72">
        <v>688763</v>
      </c>
      <c r="G57" s="73">
        <f t="shared" si="0"/>
        <v>3505</v>
      </c>
      <c r="H57" s="74"/>
      <c r="J57" s="170">
        <v>26</v>
      </c>
      <c r="K57" s="71" t="s">
        <v>85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1"/>
      <c r="D58" s="71" t="s">
        <v>86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1"/>
      <c r="K58" s="71" t="s">
        <v>86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0">
        <v>27</v>
      </c>
      <c r="D59" s="71" t="s">
        <v>85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0">
        <v>27</v>
      </c>
      <c r="K59" s="71" t="s">
        <v>85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1"/>
      <c r="D60" s="71" t="s">
        <v>86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1"/>
      <c r="K60" s="71" t="s">
        <v>86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0">
        <v>28</v>
      </c>
      <c r="D62" s="179" t="s">
        <v>87</v>
      </c>
      <c r="E62" s="72"/>
      <c r="F62" s="72"/>
      <c r="G62" s="73"/>
      <c r="H62" s="181" t="s">
        <v>88</v>
      </c>
      <c r="I62" s="78"/>
      <c r="J62" s="170">
        <v>28</v>
      </c>
      <c r="K62" s="179" t="s">
        <v>87</v>
      </c>
      <c r="L62" s="72"/>
      <c r="M62" s="72"/>
      <c r="N62" s="73"/>
      <c r="O62" s="181" t="s">
        <v>88</v>
      </c>
    </row>
    <row r="63" spans="1:15" ht="15" x14ac:dyDescent="0.2">
      <c r="A63" s="78"/>
      <c r="B63" s="67"/>
      <c r="C63" s="171"/>
      <c r="D63" s="180"/>
      <c r="E63" s="72"/>
      <c r="F63" s="72"/>
      <c r="G63" s="73"/>
      <c r="H63" s="182"/>
      <c r="I63" s="78"/>
      <c r="J63" s="171"/>
      <c r="K63" s="180"/>
      <c r="L63" s="72"/>
      <c r="M63" s="72"/>
      <c r="N63" s="73"/>
      <c r="O63" s="182"/>
    </row>
    <row r="64" spans="1:15" x14ac:dyDescent="0.2">
      <c r="A64" s="78"/>
      <c r="B64" s="67"/>
      <c r="C64" s="183" t="s">
        <v>89</v>
      </c>
      <c r="D64" s="183"/>
      <c r="E64" s="183"/>
      <c r="F64" s="183"/>
      <c r="G64" s="93">
        <f>SUM(G2:G63)</f>
        <v>36510</v>
      </c>
      <c r="H64" s="94"/>
      <c r="I64" s="78"/>
      <c r="J64" s="183" t="s">
        <v>89</v>
      </c>
      <c r="K64" s="183"/>
      <c r="L64" s="183"/>
      <c r="M64" s="183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84">
        <v>44228</v>
      </c>
      <c r="C69" s="185"/>
      <c r="D69" s="185"/>
      <c r="E69" s="186"/>
      <c r="F69" s="97"/>
      <c r="G69" s="184">
        <v>44256</v>
      </c>
      <c r="H69" s="185"/>
      <c r="I69" s="185"/>
      <c r="J69" s="186"/>
      <c r="K69" s="97"/>
      <c r="L69" s="176" t="s">
        <v>26</v>
      </c>
      <c r="M69" s="177"/>
      <c r="N69" s="177"/>
      <c r="O69" s="178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90775</v>
      </c>
      <c r="D71" s="102">
        <v>54843</v>
      </c>
      <c r="E71" s="103">
        <v>78552</v>
      </c>
      <c r="F71" s="95"/>
      <c r="G71" s="100">
        <v>6</v>
      </c>
      <c r="H71" s="101">
        <v>91470</v>
      </c>
      <c r="I71" s="102">
        <v>54889</v>
      </c>
      <c r="J71" s="103">
        <v>78552</v>
      </c>
      <c r="K71" s="95"/>
      <c r="L71" s="99">
        <v>6</v>
      </c>
      <c r="M71" s="104">
        <f>H71-C71</f>
        <v>695</v>
      </c>
      <c r="N71" s="104">
        <f>I71-D71</f>
        <v>46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94967</v>
      </c>
      <c r="D72" s="102">
        <v>103139</v>
      </c>
      <c r="E72" s="103">
        <v>62576</v>
      </c>
      <c r="F72" s="95"/>
      <c r="G72" s="100">
        <v>7</v>
      </c>
      <c r="H72" s="101">
        <v>95126</v>
      </c>
      <c r="I72" s="102">
        <v>103305</v>
      </c>
      <c r="J72" s="103">
        <v>62782</v>
      </c>
      <c r="K72" s="95"/>
      <c r="L72" s="99">
        <v>7</v>
      </c>
      <c r="M72" s="104">
        <f t="shared" ref="M72:O94" si="2">H72-C72</f>
        <v>159</v>
      </c>
      <c r="N72" s="104">
        <f t="shared" si="2"/>
        <v>166</v>
      </c>
      <c r="O72" s="104">
        <f t="shared" si="2"/>
        <v>206</v>
      </c>
    </row>
    <row r="73" spans="1:15" ht="15.75" thickBot="1" x14ac:dyDescent="0.25">
      <c r="A73" s="95"/>
      <c r="B73" s="100">
        <v>8</v>
      </c>
      <c r="C73" s="101">
        <v>110347</v>
      </c>
      <c r="D73" s="102">
        <v>242489</v>
      </c>
      <c r="E73" s="103">
        <v>105323</v>
      </c>
      <c r="F73" s="95"/>
      <c r="G73" s="100">
        <v>8</v>
      </c>
      <c r="H73" s="101">
        <v>110953</v>
      </c>
      <c r="I73" s="102">
        <v>242857</v>
      </c>
      <c r="J73" s="103">
        <v>105408</v>
      </c>
      <c r="K73" s="95"/>
      <c r="L73" s="99">
        <v>8</v>
      </c>
      <c r="M73" s="104">
        <f t="shared" si="2"/>
        <v>606</v>
      </c>
      <c r="N73" s="104">
        <f t="shared" si="2"/>
        <v>368</v>
      </c>
      <c r="O73" s="104">
        <f t="shared" si="2"/>
        <v>85</v>
      </c>
    </row>
    <row r="74" spans="1:15" ht="15.75" thickBot="1" x14ac:dyDescent="0.25">
      <c r="A74" s="95"/>
      <c r="B74" s="100">
        <v>9</v>
      </c>
      <c r="C74" s="101">
        <v>67954</v>
      </c>
      <c r="D74" s="102">
        <v>148472</v>
      </c>
      <c r="E74" s="103">
        <v>147276</v>
      </c>
      <c r="F74" s="95"/>
      <c r="G74" s="100">
        <v>9</v>
      </c>
      <c r="H74" s="101">
        <v>68063</v>
      </c>
      <c r="I74" s="102">
        <v>149328</v>
      </c>
      <c r="J74" s="103">
        <v>148112</v>
      </c>
      <c r="K74" s="95"/>
      <c r="L74" s="99">
        <v>9</v>
      </c>
      <c r="M74" s="104">
        <f t="shared" si="2"/>
        <v>109</v>
      </c>
      <c r="N74" s="104">
        <f t="shared" si="2"/>
        <v>856</v>
      </c>
      <c r="O74" s="104">
        <f t="shared" si="2"/>
        <v>836</v>
      </c>
    </row>
    <row r="75" spans="1:15" ht="15.75" thickBot="1" x14ac:dyDescent="0.25">
      <c r="A75" s="95"/>
      <c r="B75" s="100">
        <v>10</v>
      </c>
      <c r="C75" s="101">
        <v>68687</v>
      </c>
      <c r="D75" s="102">
        <v>110346</v>
      </c>
      <c r="E75" s="103">
        <v>140694</v>
      </c>
      <c r="F75" s="95"/>
      <c r="G75" s="100">
        <v>10</v>
      </c>
      <c r="H75" s="101">
        <v>69195</v>
      </c>
      <c r="I75" s="102">
        <v>110744</v>
      </c>
      <c r="J75" s="103">
        <v>141284</v>
      </c>
      <c r="K75" s="95"/>
      <c r="L75" s="99">
        <v>10</v>
      </c>
      <c r="M75" s="104">
        <f t="shared" si="2"/>
        <v>508</v>
      </c>
      <c r="N75" s="104">
        <f t="shared" si="2"/>
        <v>398</v>
      </c>
      <c r="O75" s="104">
        <f t="shared" si="2"/>
        <v>590</v>
      </c>
    </row>
    <row r="76" spans="1:15" ht="15.75" thickBot="1" x14ac:dyDescent="0.25">
      <c r="A76" s="95"/>
      <c r="B76" s="100">
        <v>11</v>
      </c>
      <c r="C76" s="101">
        <v>150937</v>
      </c>
      <c r="D76" s="102">
        <v>179158</v>
      </c>
      <c r="E76" s="103">
        <v>210113</v>
      </c>
      <c r="F76" s="95"/>
      <c r="G76" s="100">
        <v>11</v>
      </c>
      <c r="H76" s="101">
        <v>151372</v>
      </c>
      <c r="I76" s="102">
        <v>179549</v>
      </c>
      <c r="J76" s="103">
        <v>210251</v>
      </c>
      <c r="K76" s="95"/>
      <c r="L76" s="99">
        <v>11</v>
      </c>
      <c r="M76" s="104">
        <f t="shared" si="2"/>
        <v>435</v>
      </c>
      <c r="N76" s="104">
        <f t="shared" si="2"/>
        <v>391</v>
      </c>
      <c r="O76" s="104">
        <f t="shared" si="2"/>
        <v>138</v>
      </c>
    </row>
    <row r="77" spans="1:15" ht="15.75" thickBot="1" x14ac:dyDescent="0.25">
      <c r="A77" s="95"/>
      <c r="B77" s="100">
        <v>12</v>
      </c>
      <c r="C77" s="101">
        <v>146499</v>
      </c>
      <c r="D77" s="102">
        <v>95492</v>
      </c>
      <c r="E77" s="103">
        <v>100024</v>
      </c>
      <c r="F77" s="95"/>
      <c r="G77" s="100">
        <v>12</v>
      </c>
      <c r="H77" s="101">
        <v>147165</v>
      </c>
      <c r="I77" s="102">
        <v>95707</v>
      </c>
      <c r="J77" s="103">
        <v>100054</v>
      </c>
      <c r="K77" s="95"/>
      <c r="L77" s="99">
        <v>12</v>
      </c>
      <c r="M77" s="104">
        <f t="shared" si="2"/>
        <v>666</v>
      </c>
      <c r="N77" s="104">
        <f>I77-D77</f>
        <v>215</v>
      </c>
      <c r="O77" s="104">
        <f t="shared" si="2"/>
        <v>30</v>
      </c>
    </row>
    <row r="78" spans="1:15" ht="15.75" thickBot="1" x14ac:dyDescent="0.25">
      <c r="A78" s="95"/>
      <c r="B78" s="100">
        <v>14</v>
      </c>
      <c r="C78" s="101">
        <v>123654</v>
      </c>
      <c r="D78" s="102">
        <v>47628</v>
      </c>
      <c r="E78" s="103">
        <v>50623</v>
      </c>
      <c r="F78" s="95"/>
      <c r="G78" s="100">
        <v>14</v>
      </c>
      <c r="H78" s="101">
        <v>123657</v>
      </c>
      <c r="I78" s="102">
        <v>47659</v>
      </c>
      <c r="J78" s="103">
        <v>50711</v>
      </c>
      <c r="K78" s="95"/>
      <c r="L78" s="99">
        <v>14</v>
      </c>
      <c r="M78" s="104">
        <f t="shared" si="2"/>
        <v>3</v>
      </c>
      <c r="N78" s="104">
        <f t="shared" si="2"/>
        <v>31</v>
      </c>
      <c r="O78" s="104">
        <f t="shared" si="2"/>
        <v>88</v>
      </c>
    </row>
    <row r="79" spans="1:15" ht="15.75" thickBot="1" x14ac:dyDescent="0.25">
      <c r="A79" s="95"/>
      <c r="B79" s="100">
        <v>15</v>
      </c>
      <c r="C79" s="101">
        <v>164622</v>
      </c>
      <c r="D79" s="103">
        <v>143229</v>
      </c>
      <c r="E79" s="103">
        <v>155553</v>
      </c>
      <c r="F79" s="95"/>
      <c r="G79" s="100">
        <v>15</v>
      </c>
      <c r="H79" s="101">
        <v>165166</v>
      </c>
      <c r="I79" s="102">
        <v>144390</v>
      </c>
      <c r="J79" s="103">
        <v>156136</v>
      </c>
      <c r="K79" s="95"/>
      <c r="L79" s="99">
        <v>15</v>
      </c>
      <c r="M79" s="104">
        <f t="shared" si="2"/>
        <v>544</v>
      </c>
      <c r="N79" s="104">
        <f t="shared" si="2"/>
        <v>1161</v>
      </c>
      <c r="O79" s="104">
        <f t="shared" si="2"/>
        <v>583</v>
      </c>
    </row>
    <row r="80" spans="1:15" ht="15.75" thickBot="1" x14ac:dyDescent="0.25">
      <c r="A80" s="95"/>
      <c r="B80" s="100">
        <v>16</v>
      </c>
      <c r="C80" s="101">
        <v>120434</v>
      </c>
      <c r="D80" s="102">
        <v>144955</v>
      </c>
      <c r="E80" s="103">
        <v>214702</v>
      </c>
      <c r="F80" s="95"/>
      <c r="G80" s="100">
        <v>16</v>
      </c>
      <c r="H80" s="101">
        <v>120591</v>
      </c>
      <c r="I80" s="102">
        <v>145481</v>
      </c>
      <c r="J80" s="103">
        <v>214855</v>
      </c>
      <c r="K80" s="95"/>
      <c r="L80" s="99">
        <v>16</v>
      </c>
      <c r="M80" s="104">
        <f t="shared" si="2"/>
        <v>157</v>
      </c>
      <c r="N80" s="104">
        <f t="shared" si="2"/>
        <v>526</v>
      </c>
      <c r="O80" s="104">
        <f t="shared" si="2"/>
        <v>153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84120</v>
      </c>
      <c r="E81" s="103">
        <v>201146</v>
      </c>
      <c r="F81" s="95"/>
      <c r="G81" s="100">
        <v>17</v>
      </c>
      <c r="H81" s="101">
        <v>38476</v>
      </c>
      <c r="I81" s="102">
        <v>84399</v>
      </c>
      <c r="J81" s="103">
        <v>201455</v>
      </c>
      <c r="K81" s="95"/>
      <c r="L81" s="99">
        <v>17</v>
      </c>
      <c r="M81" s="104">
        <f t="shared" si="2"/>
        <v>0</v>
      </c>
      <c r="N81" s="104">
        <f t="shared" si="2"/>
        <v>279</v>
      </c>
      <c r="O81" s="104">
        <f t="shared" si="2"/>
        <v>309</v>
      </c>
    </row>
    <row r="82" spans="1:15" ht="15.75" thickBot="1" x14ac:dyDescent="0.25">
      <c r="A82" s="95"/>
      <c r="B82" s="100">
        <v>18</v>
      </c>
      <c r="C82" s="101">
        <v>135815</v>
      </c>
      <c r="D82" s="102">
        <v>71782</v>
      </c>
      <c r="E82" s="103">
        <v>161761</v>
      </c>
      <c r="F82" s="95"/>
      <c r="G82" s="100">
        <v>18</v>
      </c>
      <c r="H82" s="101">
        <v>135942</v>
      </c>
      <c r="I82" s="102">
        <v>71992</v>
      </c>
      <c r="J82" s="103">
        <v>162109</v>
      </c>
      <c r="K82" s="95"/>
      <c r="L82" s="99">
        <v>18</v>
      </c>
      <c r="M82" s="104">
        <f t="shared" si="2"/>
        <v>127</v>
      </c>
      <c r="N82" s="104">
        <f t="shared" si="2"/>
        <v>210</v>
      </c>
      <c r="O82" s="104">
        <f t="shared" si="2"/>
        <v>348</v>
      </c>
    </row>
    <row r="83" spans="1:15" ht="15.75" thickBot="1" x14ac:dyDescent="0.25">
      <c r="A83" s="95"/>
      <c r="B83" s="100">
        <v>19</v>
      </c>
      <c r="C83" s="101">
        <v>74571</v>
      </c>
      <c r="D83" s="102">
        <v>168677</v>
      </c>
      <c r="E83" s="103">
        <v>118794</v>
      </c>
      <c r="F83" s="95"/>
      <c r="G83" s="100">
        <v>19</v>
      </c>
      <c r="H83" s="101">
        <v>74916</v>
      </c>
      <c r="I83" s="102">
        <v>169125</v>
      </c>
      <c r="J83" s="103">
        <v>119705</v>
      </c>
      <c r="K83" s="95"/>
      <c r="L83" s="99">
        <v>19</v>
      </c>
      <c r="M83" s="104">
        <f t="shared" si="2"/>
        <v>345</v>
      </c>
      <c r="N83" s="104">
        <f t="shared" si="2"/>
        <v>448</v>
      </c>
      <c r="O83" s="104">
        <f t="shared" si="2"/>
        <v>911</v>
      </c>
    </row>
    <row r="84" spans="1:15" ht="15.75" thickBot="1" x14ac:dyDescent="0.25">
      <c r="A84" s="95"/>
      <c r="B84" s="100">
        <v>20</v>
      </c>
      <c r="C84" s="101">
        <v>141834</v>
      </c>
      <c r="D84" s="102">
        <v>169763</v>
      </c>
      <c r="E84" s="103">
        <v>86594</v>
      </c>
      <c r="F84" s="95"/>
      <c r="G84" s="100">
        <v>20</v>
      </c>
      <c r="H84" s="101">
        <v>141936</v>
      </c>
      <c r="I84" s="102">
        <v>170122</v>
      </c>
      <c r="J84" s="103">
        <v>87002</v>
      </c>
      <c r="K84" s="95"/>
      <c r="L84" s="99">
        <v>20</v>
      </c>
      <c r="M84" s="104">
        <f>H84-C84</f>
        <v>102</v>
      </c>
      <c r="N84" s="104">
        <f t="shared" si="2"/>
        <v>359</v>
      </c>
      <c r="O84" s="104">
        <f t="shared" si="2"/>
        <v>408</v>
      </c>
    </row>
    <row r="85" spans="1:15" ht="15.75" thickBot="1" x14ac:dyDescent="0.25">
      <c r="A85" s="95"/>
      <c r="B85" s="100">
        <v>21</v>
      </c>
      <c r="C85" s="101">
        <v>190110</v>
      </c>
      <c r="D85" s="102">
        <v>87677</v>
      </c>
      <c r="E85" s="103">
        <v>108563</v>
      </c>
      <c r="F85" s="95"/>
      <c r="G85" s="100">
        <v>21</v>
      </c>
      <c r="H85" s="101">
        <v>190497</v>
      </c>
      <c r="I85" s="102">
        <v>87854</v>
      </c>
      <c r="J85" s="103">
        <v>109217</v>
      </c>
      <c r="K85" s="95"/>
      <c r="L85" s="99">
        <v>21</v>
      </c>
      <c r="M85" s="104">
        <f t="shared" si="2"/>
        <v>387</v>
      </c>
      <c r="N85" s="104">
        <f t="shared" si="2"/>
        <v>177</v>
      </c>
      <c r="O85" s="104">
        <f t="shared" si="2"/>
        <v>654</v>
      </c>
    </row>
    <row r="86" spans="1:15" ht="15.75" thickBot="1" x14ac:dyDescent="0.25">
      <c r="A86" s="95"/>
      <c r="B86" s="100">
        <v>22</v>
      </c>
      <c r="C86" s="101">
        <v>129832</v>
      </c>
      <c r="D86" s="102">
        <v>89214</v>
      </c>
      <c r="E86" s="103">
        <v>113073</v>
      </c>
      <c r="F86" s="95"/>
      <c r="G86" s="100">
        <v>22</v>
      </c>
      <c r="H86" s="101">
        <v>130468</v>
      </c>
      <c r="I86" s="102">
        <v>89706</v>
      </c>
      <c r="J86" s="103">
        <v>113532</v>
      </c>
      <c r="K86" s="95"/>
      <c r="L86" s="99">
        <v>22</v>
      </c>
      <c r="M86" s="104">
        <f t="shared" si="2"/>
        <v>636</v>
      </c>
      <c r="N86" s="104">
        <f t="shared" si="2"/>
        <v>492</v>
      </c>
      <c r="O86" s="104">
        <f t="shared" si="2"/>
        <v>459</v>
      </c>
    </row>
    <row r="87" spans="1:15" ht="15.75" thickBot="1" x14ac:dyDescent="0.25">
      <c r="A87" s="95"/>
      <c r="B87" s="100">
        <v>23</v>
      </c>
      <c r="C87" s="101">
        <v>127095</v>
      </c>
      <c r="D87" s="102">
        <v>153993</v>
      </c>
      <c r="E87" s="103">
        <v>287225</v>
      </c>
      <c r="F87" s="95"/>
      <c r="G87" s="100">
        <v>23</v>
      </c>
      <c r="H87" s="101">
        <v>126084</v>
      </c>
      <c r="I87" s="102">
        <v>154166</v>
      </c>
      <c r="J87" s="103">
        <v>287362</v>
      </c>
      <c r="K87" s="95"/>
      <c r="L87" s="99">
        <v>23</v>
      </c>
      <c r="M87" s="104">
        <f t="shared" si="2"/>
        <v>-1011</v>
      </c>
      <c r="N87" s="104">
        <f t="shared" si="2"/>
        <v>173</v>
      </c>
      <c r="O87" s="104">
        <f t="shared" si="2"/>
        <v>137</v>
      </c>
    </row>
    <row r="88" spans="1:15" ht="15.75" thickBot="1" x14ac:dyDescent="0.25">
      <c r="A88" s="95"/>
      <c r="B88" s="100">
        <v>24</v>
      </c>
      <c r="C88" s="101">
        <v>78015</v>
      </c>
      <c r="D88" s="102">
        <v>148505</v>
      </c>
      <c r="E88" s="103">
        <v>101009</v>
      </c>
      <c r="F88" s="95"/>
      <c r="G88" s="100">
        <v>24</v>
      </c>
      <c r="H88" s="101">
        <v>78141</v>
      </c>
      <c r="I88" s="102">
        <v>148871</v>
      </c>
      <c r="J88" s="103">
        <v>101100</v>
      </c>
      <c r="K88" s="95"/>
      <c r="L88" s="99">
        <v>24</v>
      </c>
      <c r="M88" s="104">
        <f t="shared" si="2"/>
        <v>126</v>
      </c>
      <c r="N88" s="104">
        <f t="shared" si="2"/>
        <v>366</v>
      </c>
      <c r="O88" s="104">
        <f>J88-E88</f>
        <v>91</v>
      </c>
    </row>
    <row r="89" spans="1:15" ht="15.75" thickBot="1" x14ac:dyDescent="0.25">
      <c r="A89" s="95"/>
      <c r="B89" s="100">
        <v>25</v>
      </c>
      <c r="C89" s="101">
        <v>120043</v>
      </c>
      <c r="D89" s="102">
        <v>178534</v>
      </c>
      <c r="E89" s="103">
        <v>155803</v>
      </c>
      <c r="F89" s="95"/>
      <c r="G89" s="100">
        <v>25</v>
      </c>
      <c r="H89" s="101">
        <v>120117</v>
      </c>
      <c r="I89" s="102">
        <v>178766</v>
      </c>
      <c r="J89" s="103">
        <v>157645</v>
      </c>
      <c r="K89" s="95"/>
      <c r="L89" s="99">
        <v>25</v>
      </c>
      <c r="M89" s="104">
        <f t="shared" si="2"/>
        <v>74</v>
      </c>
      <c r="N89" s="104">
        <f t="shared" si="2"/>
        <v>232</v>
      </c>
      <c r="O89" s="104">
        <f>J89-E89</f>
        <v>1842</v>
      </c>
    </row>
    <row r="90" spans="1:15" ht="15.75" thickBot="1" x14ac:dyDescent="0.25">
      <c r="A90" s="95"/>
      <c r="B90" s="100">
        <v>26</v>
      </c>
      <c r="C90" s="101">
        <v>110896</v>
      </c>
      <c r="D90" s="102">
        <v>50258</v>
      </c>
      <c r="E90" s="103">
        <v>52916</v>
      </c>
      <c r="F90" s="95"/>
      <c r="G90" s="100">
        <v>26</v>
      </c>
      <c r="H90" s="101">
        <v>110959</v>
      </c>
      <c r="I90" s="102">
        <v>50394</v>
      </c>
      <c r="J90" s="103">
        <v>52714</v>
      </c>
      <c r="K90" s="95"/>
      <c r="L90" s="99">
        <v>26</v>
      </c>
      <c r="M90" s="104">
        <f t="shared" si="2"/>
        <v>63</v>
      </c>
      <c r="N90" s="104">
        <f t="shared" si="2"/>
        <v>136</v>
      </c>
      <c r="O90" s="104">
        <f t="shared" si="2"/>
        <v>-202</v>
      </c>
    </row>
    <row r="91" spans="1:15" ht="15.75" thickBot="1" x14ac:dyDescent="0.25">
      <c r="A91" s="95"/>
      <c r="B91" s="100">
        <v>27</v>
      </c>
      <c r="C91" s="101">
        <v>100954</v>
      </c>
      <c r="D91" s="102">
        <v>107381</v>
      </c>
      <c r="E91" s="103">
        <v>119608</v>
      </c>
      <c r="F91" s="95"/>
      <c r="G91" s="100">
        <v>27</v>
      </c>
      <c r="H91" s="101">
        <v>101127</v>
      </c>
      <c r="I91" s="102">
        <v>107674</v>
      </c>
      <c r="J91" s="103">
        <v>119724</v>
      </c>
      <c r="K91" s="95"/>
      <c r="L91" s="99">
        <v>27</v>
      </c>
      <c r="M91" s="104">
        <f t="shared" si="2"/>
        <v>173</v>
      </c>
      <c r="N91" s="104">
        <f t="shared" si="2"/>
        <v>293</v>
      </c>
      <c r="O91" s="104">
        <f t="shared" si="2"/>
        <v>116</v>
      </c>
    </row>
    <row r="92" spans="1:15" ht="15.75" thickBot="1" x14ac:dyDescent="0.25">
      <c r="A92" s="95"/>
      <c r="B92" s="100">
        <v>28</v>
      </c>
      <c r="C92" s="101">
        <v>192744</v>
      </c>
      <c r="D92" s="102">
        <v>101904</v>
      </c>
      <c r="E92" s="103">
        <v>109404</v>
      </c>
      <c r="F92" s="95"/>
      <c r="G92" s="100">
        <v>28</v>
      </c>
      <c r="H92" s="101">
        <v>1933586</v>
      </c>
      <c r="I92" s="102">
        <v>101990</v>
      </c>
      <c r="J92" s="103">
        <v>109763</v>
      </c>
      <c r="K92" s="95"/>
      <c r="L92" s="99">
        <v>28</v>
      </c>
      <c r="M92" s="104">
        <f t="shared" si="2"/>
        <v>1740842</v>
      </c>
      <c r="N92" s="104">
        <f t="shared" si="2"/>
        <v>86</v>
      </c>
      <c r="O92" s="104">
        <f t="shared" si="2"/>
        <v>359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79720</v>
      </c>
      <c r="J93" s="103"/>
      <c r="K93" s="95"/>
      <c r="L93" s="99">
        <v>29</v>
      </c>
      <c r="M93" s="104">
        <f t="shared" si="2"/>
        <v>0</v>
      </c>
      <c r="N93" s="104">
        <f t="shared" si="2"/>
        <v>0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2018-07-02T08:24:59Z</cp:lastPrinted>
  <dcterms:created xsi:type="dcterms:W3CDTF">2017-07-31T14:40:49Z</dcterms:created>
  <dcterms:modified xsi:type="dcterms:W3CDTF">2021-04-02T00:57:48Z</dcterms:modified>
</cp:coreProperties>
</file>