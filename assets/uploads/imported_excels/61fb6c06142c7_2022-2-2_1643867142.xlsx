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" yWindow="30" windowWidth="20460" windowHeight="10890" tabRatio="915" activeTab="36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5" i="31"/>
  <c r="E55"/>
  <c r="G157" i="43" l="1"/>
  <c r="G158"/>
  <c r="G112" i="30" l="1"/>
  <c r="E66" i="28" l="1"/>
  <c r="E67"/>
  <c r="E68"/>
  <c r="E69"/>
  <c r="E70"/>
  <c r="E8" i="27" l="1"/>
  <c r="E9"/>
  <c r="E10"/>
  <c r="E11"/>
  <c r="E12"/>
  <c r="E156" i="40"/>
  <c r="E157"/>
  <c r="E158"/>
  <c r="E129" i="25"/>
  <c r="E130"/>
  <c r="E131"/>
  <c r="E132"/>
  <c r="E133"/>
  <c r="E134"/>
  <c r="E36" i="40"/>
  <c r="E37"/>
  <c r="E38"/>
  <c r="E39"/>
  <c r="E40"/>
  <c r="E41"/>
  <c r="E42"/>
  <c r="E43"/>
  <c r="E44"/>
  <c r="E45"/>
  <c r="E46"/>
  <c r="E8"/>
  <c r="E9"/>
  <c r="E10"/>
  <c r="E11"/>
  <c r="E12"/>
  <c r="E156" i="25"/>
  <c r="E157"/>
  <c r="E158"/>
  <c r="E157" i="23"/>
  <c r="G157" s="1"/>
  <c r="E158"/>
  <c r="G158" s="1"/>
  <c r="E157" i="24"/>
  <c r="E158"/>
  <c r="E132" i="22"/>
  <c r="E75" i="21" l="1"/>
  <c r="E40"/>
  <c r="E149" i="20" l="1"/>
  <c r="G9" i="50"/>
  <c r="E12" i="19"/>
  <c r="E11"/>
  <c r="G11" l="1"/>
  <c r="E132" i="18"/>
  <c r="E158" i="19"/>
  <c r="G158" s="1"/>
  <c r="E15" i="17"/>
  <c r="E157" i="16" l="1"/>
  <c r="E158"/>
  <c r="E150"/>
  <c r="G157" i="15" l="1"/>
  <c r="G158"/>
  <c r="G157" i="14" l="1"/>
  <c r="G158"/>
  <c r="G158" i="13" l="1"/>
  <c r="H158" s="1"/>
  <c r="G157"/>
  <c r="H157" s="1"/>
  <c r="J157" l="1"/>
  <c r="H157" i="14"/>
  <c r="J158" i="13"/>
  <c r="H158" i="14"/>
  <c r="E50" i="12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50" i="10"/>
  <c r="F148" i="33"/>
  <c r="J159"/>
  <c r="E156"/>
  <c r="E157"/>
  <c r="G157" s="1"/>
  <c r="E158"/>
  <c r="G158" s="1"/>
  <c r="E157" i="5"/>
  <c r="G157" s="1"/>
  <c r="H157" s="1"/>
  <c r="J157" s="1"/>
  <c r="E158"/>
  <c r="G158" s="1"/>
  <c r="H158" s="1"/>
  <c r="J158" s="1"/>
  <c r="E156" i="4"/>
  <c r="G156" s="1"/>
  <c r="E157"/>
  <c r="G157" s="1"/>
  <c r="E158"/>
  <c r="G158" s="1"/>
  <c r="G158" i="3"/>
  <c r="E156"/>
  <c r="E157"/>
  <c r="G157" s="1"/>
  <c r="E161"/>
  <c r="G164" i="2"/>
  <c r="G158"/>
  <c r="G157"/>
  <c r="J158" i="14" l="1"/>
  <c r="H158" i="15"/>
  <c r="J158" s="1"/>
  <c r="J157" i="14"/>
  <c r="H157" i="15"/>
  <c r="J157" s="1"/>
  <c r="H157" i="33"/>
  <c r="J157" s="1"/>
  <c r="H158"/>
  <c r="J158" s="1"/>
  <c r="E156" i="31"/>
  <c r="G156" s="1"/>
  <c r="E157"/>
  <c r="G157" s="1"/>
  <c r="E158"/>
  <c r="G158" s="1"/>
  <c r="K8" i="48"/>
  <c r="L8"/>
  <c r="E139" i="43"/>
  <c r="E140"/>
  <c r="E141"/>
  <c r="E142"/>
  <c r="E143"/>
  <c r="E144"/>
  <c r="E145"/>
  <c r="E146"/>
  <c r="E147"/>
  <c r="E148"/>
  <c r="E149"/>
  <c r="E150"/>
  <c r="E151"/>
  <c r="E152"/>
  <c r="E36"/>
  <c r="E37"/>
  <c r="E38"/>
  <c r="E39"/>
  <c r="E40"/>
  <c r="E41"/>
  <c r="E42"/>
  <c r="E43"/>
  <c r="E44"/>
  <c r="E45"/>
  <c r="E46"/>
  <c r="E157" i="30" l="1"/>
  <c r="G157" s="1"/>
  <c r="H157" s="1"/>
  <c r="E158"/>
  <c r="G158" s="1"/>
  <c r="H158" s="1"/>
  <c r="G157" i="29"/>
  <c r="G158"/>
  <c r="G157" i="24"/>
  <c r="G158"/>
  <c r="E156" i="28"/>
  <c r="G156" s="1"/>
  <c r="E157"/>
  <c r="G157" s="1"/>
  <c r="E158"/>
  <c r="G158" s="1"/>
  <c r="E36"/>
  <c r="E37"/>
  <c r="E38"/>
  <c r="E39"/>
  <c r="E40"/>
  <c r="E41"/>
  <c r="E42"/>
  <c r="E43"/>
  <c r="E44"/>
  <c r="E45"/>
  <c r="E46"/>
  <c r="G157" i="40"/>
  <c r="G158"/>
  <c r="E156" i="27"/>
  <c r="G156" s="1"/>
  <c r="E157"/>
  <c r="G157" s="1"/>
  <c r="E158"/>
  <c r="G158" s="1"/>
  <c r="E139" i="40"/>
  <c r="E140"/>
  <c r="E141"/>
  <c r="E142"/>
  <c r="E143"/>
  <c r="E144"/>
  <c r="E145"/>
  <c r="E146"/>
  <c r="E147"/>
  <c r="E148"/>
  <c r="E149"/>
  <c r="E150"/>
  <c r="E151"/>
  <c r="E152"/>
  <c r="G158" i="25"/>
  <c r="G157"/>
  <c r="G156"/>
  <c r="E75"/>
  <c r="E76"/>
  <c r="E77"/>
  <c r="E78"/>
  <c r="E134" i="23"/>
  <c r="E134" i="22"/>
  <c r="E157"/>
  <c r="G157" s="1"/>
  <c r="E158"/>
  <c r="G158" s="1"/>
  <c r="E157" i="21"/>
  <c r="G157" s="1"/>
  <c r="H157" s="1"/>
  <c r="J157" s="1"/>
  <c r="E158"/>
  <c r="G158" s="1"/>
  <c r="H158" s="1"/>
  <c r="J158" s="1"/>
  <c r="E180"/>
  <c r="E156" i="20"/>
  <c r="G156" s="1"/>
  <c r="E157"/>
  <c r="G157" s="1"/>
  <c r="E158"/>
  <c r="G158" s="1"/>
  <c r="E156" i="19"/>
  <c r="G156" s="1"/>
  <c r="E157"/>
  <c r="G157" s="1"/>
  <c r="F191" i="18"/>
  <c r="E157"/>
  <c r="G157" s="1"/>
  <c r="E158"/>
  <c r="G158" s="1"/>
  <c r="E156" i="17"/>
  <c r="E157"/>
  <c r="G157" s="1"/>
  <c r="E158"/>
  <c r="G158" s="1"/>
  <c r="H158" i="43" l="1"/>
  <c r="J158" i="30"/>
  <c r="H157" i="43"/>
  <c r="J157" i="30"/>
  <c r="H158" i="22"/>
  <c r="H157"/>
  <c r="G158" i="16"/>
  <c r="H158" s="1"/>
  <c r="J158" s="1"/>
  <c r="G157"/>
  <c r="H157" s="1"/>
  <c r="J157" s="1"/>
  <c r="G15" i="15"/>
  <c r="J157" i="43" l="1"/>
  <c r="H157" i="31"/>
  <c r="J158" i="43"/>
  <c r="H158" i="31"/>
  <c r="J157" i="22"/>
  <c r="H157" i="23"/>
  <c r="J158" i="22"/>
  <c r="H158" i="23"/>
  <c r="H157" i="17"/>
  <c r="H158"/>
  <c r="E139" i="13"/>
  <c r="E140"/>
  <c r="E141"/>
  <c r="E142"/>
  <c r="E143"/>
  <c r="E144"/>
  <c r="E145"/>
  <c r="E146"/>
  <c r="E147"/>
  <c r="E148"/>
  <c r="E149"/>
  <c r="E150"/>
  <c r="E151"/>
  <c r="E152"/>
  <c r="E129"/>
  <c r="E130"/>
  <c r="E131"/>
  <c r="E132"/>
  <c r="E133"/>
  <c r="E51"/>
  <c r="E52"/>
  <c r="E53"/>
  <c r="E54"/>
  <c r="E55"/>
  <c r="E56"/>
  <c r="E57"/>
  <c r="E58"/>
  <c r="E36"/>
  <c r="E37"/>
  <c r="E38"/>
  <c r="E39"/>
  <c r="E40"/>
  <c r="E41"/>
  <c r="E42"/>
  <c r="E44"/>
  <c r="E45"/>
  <c r="E46"/>
  <c r="E11"/>
  <c r="E12"/>
  <c r="E129" i="12"/>
  <c r="E130"/>
  <c r="E131"/>
  <c r="E132"/>
  <c r="E133"/>
  <c r="E134"/>
  <c r="J158" i="23" l="1"/>
  <c r="H158" i="24"/>
  <c r="J157" i="23"/>
  <c r="H157" i="24"/>
  <c r="J158" i="17"/>
  <c r="H158" i="18"/>
  <c r="J157" i="17"/>
  <c r="H157" i="18"/>
  <c r="E50" i="11"/>
  <c r="E51"/>
  <c r="E52"/>
  <c r="E53"/>
  <c r="E54"/>
  <c r="E55"/>
  <c r="E56"/>
  <c r="E57"/>
  <c r="E58"/>
  <c r="E121" i="33"/>
  <c r="E49"/>
  <c r="E134" i="4"/>
  <c r="G190" i="2"/>
  <c r="G190" i="43"/>
  <c r="I7" i="30"/>
  <c r="E180" i="24"/>
  <c r="E129"/>
  <c r="E56"/>
  <c r="E40"/>
  <c r="E39"/>
  <c r="E37"/>
  <c r="E35"/>
  <c r="E130"/>
  <c r="E130" i="23"/>
  <c r="G130" s="1"/>
  <c r="E120"/>
  <c r="E113"/>
  <c r="E63"/>
  <c r="E55"/>
  <c r="E56"/>
  <c r="E57"/>
  <c r="E58"/>
  <c r="E49"/>
  <c r="E178" i="21"/>
  <c r="F190" i="20"/>
  <c r="F190" i="19"/>
  <c r="H191" i="18"/>
  <c r="I191" s="1"/>
  <c r="K191" s="1"/>
  <c r="E145"/>
  <c r="E146"/>
  <c r="E114"/>
  <c r="H191" i="17"/>
  <c r="I191" s="1"/>
  <c r="K191" s="1"/>
  <c r="P15"/>
  <c r="O7" i="16"/>
  <c r="J157" i="24" l="1"/>
  <c r="H157" i="25"/>
  <c r="H157" i="40" s="1"/>
  <c r="H157" i="27" s="1"/>
  <c r="H157" i="28" s="1"/>
  <c r="J158" i="24"/>
  <c r="H158" i="25"/>
  <c r="H158" i="40" s="1"/>
  <c r="H158" i="27" s="1"/>
  <c r="H158" i="28" s="1"/>
  <c r="J157" i="18"/>
  <c r="H157" i="19"/>
  <c r="J157" s="1"/>
  <c r="J158" i="18"/>
  <c r="H158" i="19"/>
  <c r="J158" s="1"/>
  <c r="H190" i="20"/>
  <c r="I190" s="1"/>
  <c r="K190" s="1"/>
  <c r="H190" i="19"/>
  <c r="I190" s="1"/>
  <c r="K190" s="1"/>
  <c r="E134" i="10" l="1"/>
  <c r="E146" i="33" l="1"/>
  <c r="E155" i="5"/>
  <c r="E149" i="4"/>
  <c r="E150"/>
  <c r="E151"/>
  <c r="E152"/>
  <c r="E69" i="3"/>
  <c r="E155"/>
  <c r="G134" i="2"/>
  <c r="G37"/>
  <c r="G18"/>
  <c r="E31" s="1"/>
  <c r="E90" i="31" l="1"/>
  <c r="G90" s="1"/>
  <c r="B30" i="48"/>
  <c r="H30"/>
  <c r="B22"/>
  <c r="G56" i="23"/>
  <c r="E155"/>
  <c r="E39" i="22" l="1"/>
  <c r="E139"/>
  <c r="E140"/>
  <c r="E141"/>
  <c r="E142"/>
  <c r="E143"/>
  <c r="E144"/>
  <c r="E145"/>
  <c r="E146"/>
  <c r="E147"/>
  <c r="E148"/>
  <c r="E149"/>
  <c r="E150"/>
  <c r="E151"/>
  <c r="E152"/>
  <c r="E113"/>
  <c r="E114"/>
  <c r="E115"/>
  <c r="E116"/>
  <c r="E117"/>
  <c r="E118"/>
  <c r="E119"/>
  <c r="E120"/>
  <c r="E121"/>
  <c r="E122"/>
  <c r="E123"/>
  <c r="E36" i="21"/>
  <c r="E37"/>
  <c r="E38"/>
  <c r="E39"/>
  <c r="E41"/>
  <c r="E42"/>
  <c r="E43"/>
  <c r="E44"/>
  <c r="E45"/>
  <c r="E46"/>
  <c r="E184" i="20"/>
  <c r="E185"/>
  <c r="E183"/>
  <c r="E179"/>
  <c r="E180"/>
  <c r="E178"/>
  <c r="E174"/>
  <c r="E175"/>
  <c r="E173"/>
  <c r="E162"/>
  <c r="E163"/>
  <c r="E164"/>
  <c r="E165"/>
  <c r="E161"/>
  <c r="E155"/>
  <c r="E152"/>
  <c r="E139"/>
  <c r="E140"/>
  <c r="E141"/>
  <c r="E142"/>
  <c r="E143"/>
  <c r="E144"/>
  <c r="E145"/>
  <c r="E146"/>
  <c r="E147"/>
  <c r="E148"/>
  <c r="E150"/>
  <c r="E151"/>
  <c r="E138"/>
  <c r="E134"/>
  <c r="E129"/>
  <c r="E130"/>
  <c r="E131"/>
  <c r="E132"/>
  <c r="E133"/>
  <c r="E128"/>
  <c r="E124"/>
  <c r="E113"/>
  <c r="E114"/>
  <c r="E115"/>
  <c r="E116"/>
  <c r="E117"/>
  <c r="E118"/>
  <c r="E119"/>
  <c r="E120"/>
  <c r="E121"/>
  <c r="E122"/>
  <c r="E123"/>
  <c r="E112"/>
  <c r="E83"/>
  <c r="E84"/>
  <c r="E85"/>
  <c r="E86"/>
  <c r="E87"/>
  <c r="E88"/>
  <c r="E89"/>
  <c r="E90"/>
  <c r="E91"/>
  <c r="E92"/>
  <c r="E82"/>
  <c r="E75"/>
  <c r="E76"/>
  <c r="E77"/>
  <c r="E78"/>
  <c r="E79"/>
  <c r="E74"/>
  <c r="E63"/>
  <c r="E64"/>
  <c r="E65"/>
  <c r="E66"/>
  <c r="E67"/>
  <c r="E68"/>
  <c r="E69"/>
  <c r="E70"/>
  <c r="E71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3"/>
  <c r="E24"/>
  <c r="E22"/>
  <c r="E11"/>
  <c r="E12"/>
  <c r="E57" i="19"/>
  <c r="E84" i="17" l="1"/>
  <c r="E134" i="16"/>
  <c r="J188" i="15"/>
  <c r="AH4" i="45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L4"/>
  <c r="I4"/>
  <c r="G4"/>
  <c r="F4"/>
  <c r="Q4" i="48"/>
  <c r="E92" i="9" l="1"/>
  <c r="G2" i="48"/>
  <c r="E155" i="4"/>
  <c r="O11" i="3" l="1"/>
  <c r="O11" i="2" l="1"/>
  <c r="E79" i="25" l="1"/>
  <c r="E155" i="31"/>
  <c r="G155" s="1"/>
  <c r="G156" i="43"/>
  <c r="E155"/>
  <c r="G155" s="1"/>
  <c r="E156" i="30"/>
  <c r="G156" s="1"/>
  <c r="E155"/>
  <c r="G155" s="1"/>
  <c r="E156" i="29"/>
  <c r="G156" s="1"/>
  <c r="E155"/>
  <c r="G155" s="1"/>
  <c r="E155" i="28"/>
  <c r="G155" s="1"/>
  <c r="E155" i="27"/>
  <c r="G155" s="1"/>
  <c r="G156" i="40"/>
  <c r="E155"/>
  <c r="G155" s="1"/>
  <c r="E155" i="25"/>
  <c r="G155" s="1"/>
  <c r="E156" i="24"/>
  <c r="G156" s="1"/>
  <c r="E155"/>
  <c r="G155" s="1"/>
  <c r="E156" i="23"/>
  <c r="G156" s="1"/>
  <c r="G155"/>
  <c r="E156" i="22"/>
  <c r="G156" s="1"/>
  <c r="E155"/>
  <c r="G155" s="1"/>
  <c r="E156" i="21"/>
  <c r="G156" s="1"/>
  <c r="E155"/>
  <c r="G155" s="1"/>
  <c r="E155" i="19"/>
  <c r="G155" s="1"/>
  <c r="E156" i="18"/>
  <c r="G156" s="1"/>
  <c r="E155"/>
  <c r="G155" s="1"/>
  <c r="G156" i="17"/>
  <c r="E155"/>
  <c r="G155" s="1"/>
  <c r="E156" i="16"/>
  <c r="G156" s="1"/>
  <c r="E155"/>
  <c r="G155" s="1"/>
  <c r="E156" i="15"/>
  <c r="G156" s="1"/>
  <c r="E155"/>
  <c r="G155" s="1"/>
  <c r="G156" i="14"/>
  <c r="G155"/>
  <c r="E156" i="13"/>
  <c r="G156" s="1"/>
  <c r="E155"/>
  <c r="G155" s="1"/>
  <c r="E156" i="12"/>
  <c r="G156" s="1"/>
  <c r="E155"/>
  <c r="G155" s="1"/>
  <c r="E156" i="11"/>
  <c r="G156" s="1"/>
  <c r="E155"/>
  <c r="G155" s="1"/>
  <c r="E156" i="10"/>
  <c r="G156" s="1"/>
  <c r="E155"/>
  <c r="G155" s="1"/>
  <c r="E156" i="9"/>
  <c r="G156" s="1"/>
  <c r="E155"/>
  <c r="G155" s="1"/>
  <c r="E156" i="8"/>
  <c r="G156" s="1"/>
  <c r="E155"/>
  <c r="G155" s="1"/>
  <c r="E156" i="7"/>
  <c r="G156" s="1"/>
  <c r="E155"/>
  <c r="G155" s="1"/>
  <c r="G156" i="33"/>
  <c r="E155"/>
  <c r="G155" s="1"/>
  <c r="E156" i="5"/>
  <c r="G156" s="1"/>
  <c r="G155"/>
  <c r="G155" i="4"/>
  <c r="G156" i="3"/>
  <c r="H156" s="1"/>
  <c r="J156" s="1"/>
  <c r="G155"/>
  <c r="H155" s="1"/>
  <c r="J155" s="1"/>
  <c r="G156" i="2"/>
  <c r="G155"/>
  <c r="J156"/>
  <c r="J155"/>
  <c r="G159" i="14" l="1"/>
  <c r="G159" i="13"/>
  <c r="G159" i="16"/>
  <c r="G159" i="15"/>
  <c r="G159" i="17"/>
  <c r="H159" s="1"/>
  <c r="J159" s="1"/>
  <c r="H156" i="4"/>
  <c r="H156" i="5" s="1"/>
  <c r="H156" i="33" s="1"/>
  <c r="J156" s="1"/>
  <c r="H155" i="4"/>
  <c r="H155" i="5" s="1"/>
  <c r="H155" i="33" s="1"/>
  <c r="G155" i="20"/>
  <c r="V5" i="1"/>
  <c r="E152" i="31"/>
  <c r="G152" s="1"/>
  <c r="E151"/>
  <c r="G151" s="1"/>
  <c r="Z35" i="44" s="1"/>
  <c r="E150" i="31"/>
  <c r="G150" s="1"/>
  <c r="E149"/>
  <c r="G149" s="1"/>
  <c r="E148"/>
  <c r="G148" s="1"/>
  <c r="W35" i="44" s="1"/>
  <c r="E147" i="31"/>
  <c r="G147" s="1"/>
  <c r="V35" i="44" s="1"/>
  <c r="E146" i="31"/>
  <c r="G146" s="1"/>
  <c r="T35" i="44" s="1"/>
  <c r="E145" i="31"/>
  <c r="G145" s="1"/>
  <c r="S35" i="44" s="1"/>
  <c r="E144" i="31"/>
  <c r="G144" s="1"/>
  <c r="U35" i="44" s="1"/>
  <c r="E143" i="31"/>
  <c r="G143" s="1"/>
  <c r="X35" i="44" s="1"/>
  <c r="E134" i="43"/>
  <c r="G134" s="1"/>
  <c r="E134" i="31"/>
  <c r="G134" s="1"/>
  <c r="G152" i="43"/>
  <c r="G151"/>
  <c r="Z34" i="44" s="1"/>
  <c r="G150" i="43"/>
  <c r="G149"/>
  <c r="G148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s="1"/>
  <c r="E151"/>
  <c r="G151" s="1"/>
  <c r="Z33" i="44" s="1"/>
  <c r="E150" i="30"/>
  <c r="G150" s="1"/>
  <c r="E149"/>
  <c r="G149" s="1"/>
  <c r="E148"/>
  <c r="G148" s="1"/>
  <c r="W33" i="44" s="1"/>
  <c r="E147" i="30"/>
  <c r="G147" s="1"/>
  <c r="V33" i="44" s="1"/>
  <c r="E146" i="30"/>
  <c r="G146" s="1"/>
  <c r="T33" i="44" s="1"/>
  <c r="E145" i="30"/>
  <c r="G145" s="1"/>
  <c r="S33" i="44" s="1"/>
  <c r="E144" i="30"/>
  <c r="G144" s="1"/>
  <c r="U33" i="44" s="1"/>
  <c r="E143" i="30"/>
  <c r="G143" s="1"/>
  <c r="X33" i="44" s="1"/>
  <c r="E134" i="30"/>
  <c r="G134" s="1"/>
  <c r="E152" i="29"/>
  <c r="G152" s="1"/>
  <c r="E151"/>
  <c r="G151" s="1"/>
  <c r="Z32" i="44" s="1"/>
  <c r="E150" i="29"/>
  <c r="G150" s="1"/>
  <c r="E149"/>
  <c r="G149" s="1"/>
  <c r="E148"/>
  <c r="G148" s="1"/>
  <c r="W32" i="44" s="1"/>
  <c r="E147" i="29"/>
  <c r="G147" s="1"/>
  <c r="V32" i="44" s="1"/>
  <c r="E146" i="29"/>
  <c r="G146" s="1"/>
  <c r="T32" i="44" s="1"/>
  <c r="E145" i="29"/>
  <c r="G145" s="1"/>
  <c r="S32" i="44" s="1"/>
  <c r="E144" i="29"/>
  <c r="G144" s="1"/>
  <c r="U32" i="44" s="1"/>
  <c r="E143" i="29"/>
  <c r="G143" s="1"/>
  <c r="X32" i="44" s="1"/>
  <c r="E134" i="29"/>
  <c r="G134" s="1"/>
  <c r="E152" i="28"/>
  <c r="G152" s="1"/>
  <c r="E151"/>
  <c r="G151" s="1"/>
  <c r="Z31" i="44" s="1"/>
  <c r="E150" i="28"/>
  <c r="G150" s="1"/>
  <c r="E149"/>
  <c r="G149" s="1"/>
  <c r="E148"/>
  <c r="G148" s="1"/>
  <c r="W31" i="44" s="1"/>
  <c r="E147" i="28"/>
  <c r="G147" s="1"/>
  <c r="V31" i="44" s="1"/>
  <c r="E146" i="28"/>
  <c r="G146" s="1"/>
  <c r="T31" i="44" s="1"/>
  <c r="E145" i="28"/>
  <c r="G145" s="1"/>
  <c r="S31" i="44" s="1"/>
  <c r="E144" i="28"/>
  <c r="G144" s="1"/>
  <c r="U31" i="44" s="1"/>
  <c r="E143" i="28"/>
  <c r="G143" s="1"/>
  <c r="X31" i="44" s="1"/>
  <c r="E134" i="28"/>
  <c r="G134" s="1"/>
  <c r="E152" i="27"/>
  <c r="G152" s="1"/>
  <c r="E151"/>
  <c r="G151" s="1"/>
  <c r="Z30" i="44" s="1"/>
  <c r="E150" i="27"/>
  <c r="G150" s="1"/>
  <c r="E149"/>
  <c r="G149" s="1"/>
  <c r="E148"/>
  <c r="G148" s="1"/>
  <c r="W30" i="44" s="1"/>
  <c r="E147" i="27"/>
  <c r="G147" s="1"/>
  <c r="V30" i="44" s="1"/>
  <c r="E146" i="27"/>
  <c r="G146" s="1"/>
  <c r="T30" i="44" s="1"/>
  <c r="E145" i="27"/>
  <c r="G145" s="1"/>
  <c r="S30" i="44" s="1"/>
  <c r="E144" i="27"/>
  <c r="G144" s="1"/>
  <c r="U30" i="44" s="1"/>
  <c r="E143" i="27"/>
  <c r="G143" s="1"/>
  <c r="X30" i="44" s="1"/>
  <c r="E134" i="27"/>
  <c r="G134" s="1"/>
  <c r="G152" i="40"/>
  <c r="G151"/>
  <c r="Z29" i="44" s="1"/>
  <c r="G150" i="40"/>
  <c r="G149"/>
  <c r="G148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s="1"/>
  <c r="E152" i="25"/>
  <c r="G152" s="1"/>
  <c r="E151"/>
  <c r="G151" s="1"/>
  <c r="Z28" i="44" s="1"/>
  <c r="E150" i="25"/>
  <c r="G150" s="1"/>
  <c r="E149"/>
  <c r="G149" s="1"/>
  <c r="E148"/>
  <c r="G148" s="1"/>
  <c r="W28" i="44" s="1"/>
  <c r="E147" i="25"/>
  <c r="G147" s="1"/>
  <c r="V28" i="44" s="1"/>
  <c r="E146" i="25"/>
  <c r="G146" s="1"/>
  <c r="T28" i="44" s="1"/>
  <c r="E145" i="25"/>
  <c r="G145" s="1"/>
  <c r="S28" i="44" s="1"/>
  <c r="E144" i="25"/>
  <c r="G144" s="1"/>
  <c r="U28" i="44" s="1"/>
  <c r="E143" i="25"/>
  <c r="G143" s="1"/>
  <c r="X28" i="44" s="1"/>
  <c r="G134" i="25"/>
  <c r="E152" i="24"/>
  <c r="G152" s="1"/>
  <c r="E151"/>
  <c r="G151" s="1"/>
  <c r="Z27" i="44" s="1"/>
  <c r="E150" i="24"/>
  <c r="G150" s="1"/>
  <c r="E149"/>
  <c r="G149" s="1"/>
  <c r="E148"/>
  <c r="G148" s="1"/>
  <c r="W27" i="44" s="1"/>
  <c r="E147" i="24"/>
  <c r="G147" s="1"/>
  <c r="V27" i="44" s="1"/>
  <c r="E146" i="24"/>
  <c r="G146" s="1"/>
  <c r="T27" i="44" s="1"/>
  <c r="E145" i="24"/>
  <c r="G145" s="1"/>
  <c r="S27" i="44" s="1"/>
  <c r="E144" i="24"/>
  <c r="G144" s="1"/>
  <c r="U27" i="44" s="1"/>
  <c r="E143" i="24"/>
  <c r="G143" s="1"/>
  <c r="X27" i="44" s="1"/>
  <c r="E141" i="24"/>
  <c r="G141" s="1"/>
  <c r="Q27" i="44" s="1"/>
  <c r="E142" i="24"/>
  <c r="G142" s="1"/>
  <c r="R27" i="44" s="1"/>
  <c r="E134" i="24"/>
  <c r="G134" s="1"/>
  <c r="J156" i="4" l="1"/>
  <c r="J156" i="5"/>
  <c r="J155" i="4"/>
  <c r="J155" i="33"/>
  <c r="H155" i="7"/>
  <c r="J155" i="5"/>
  <c r="E152" i="23"/>
  <c r="G152" s="1"/>
  <c r="E151"/>
  <c r="G151" s="1"/>
  <c r="Z26" i="44" s="1"/>
  <c r="E150" i="23"/>
  <c r="G150" s="1"/>
  <c r="E149"/>
  <c r="G149" s="1"/>
  <c r="E148"/>
  <c r="G148" s="1"/>
  <c r="W26" i="44" s="1"/>
  <c r="E147" i="23"/>
  <c r="G147" s="1"/>
  <c r="V26" i="44" s="1"/>
  <c r="E146" i="23"/>
  <c r="G146" s="1"/>
  <c r="T26" i="44" s="1"/>
  <c r="E145" i="23"/>
  <c r="G145" s="1"/>
  <c r="S26" i="44" s="1"/>
  <c r="E144" i="23"/>
  <c r="G144" s="1"/>
  <c r="U26" i="44" s="1"/>
  <c r="E143" i="23"/>
  <c r="G143" s="1"/>
  <c r="X26" i="44" s="1"/>
  <c r="G134" i="22"/>
  <c r="G134" i="23"/>
  <c r="G152" i="22"/>
  <c r="G151"/>
  <c r="Z25" i="44" s="1"/>
  <c r="G149" i="22"/>
  <c r="G148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s="1"/>
  <c r="E151"/>
  <c r="G151" s="1"/>
  <c r="Z24" i="44" s="1"/>
  <c r="E150" i="21"/>
  <c r="G150" s="1"/>
  <c r="E149"/>
  <c r="G149" s="1"/>
  <c r="E148"/>
  <c r="G148" s="1"/>
  <c r="W24" i="44" s="1"/>
  <c r="E147" i="21"/>
  <c r="G147" s="1"/>
  <c r="V24" i="44" s="1"/>
  <c r="E146" i="21"/>
  <c r="G146" s="1"/>
  <c r="T24" i="44" s="1"/>
  <c r="E145" i="21"/>
  <c r="G145" s="1"/>
  <c r="S24" i="44" s="1"/>
  <c r="E144" i="21"/>
  <c r="G144" s="1"/>
  <c r="U24" i="44" s="1"/>
  <c r="E143" i="21"/>
  <c r="G143" s="1"/>
  <c r="X24" i="44" s="1"/>
  <c r="E134" i="21"/>
  <c r="G134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s="1"/>
  <c r="E152" i="18"/>
  <c r="G152" s="1"/>
  <c r="E151"/>
  <c r="G151" s="1"/>
  <c r="Z21" i="44" s="1"/>
  <c r="E150" i="18"/>
  <c r="G150" s="1"/>
  <c r="E149"/>
  <c r="G149" s="1"/>
  <c r="E148"/>
  <c r="G148" s="1"/>
  <c r="W21" i="44" s="1"/>
  <c r="E147" i="18"/>
  <c r="G147" s="1"/>
  <c r="V21" i="44" s="1"/>
  <c r="G146" i="18"/>
  <c r="T21" i="44" s="1"/>
  <c r="G145" i="18"/>
  <c r="S21" i="44" s="1"/>
  <c r="E144" i="18"/>
  <c r="G144" s="1"/>
  <c r="U21" i="44" s="1"/>
  <c r="E143" i="18"/>
  <c r="G143" s="1"/>
  <c r="X21" i="44" s="1"/>
  <c r="E134" i="18"/>
  <c r="G134" s="1"/>
  <c r="E152" i="17"/>
  <c r="G152" s="1"/>
  <c r="E151"/>
  <c r="G151" s="1"/>
  <c r="Z20" i="44" s="1"/>
  <c r="E150" i="17"/>
  <c r="G150" s="1"/>
  <c r="E149"/>
  <c r="G149" s="1"/>
  <c r="E148"/>
  <c r="G148" s="1"/>
  <c r="W20" i="44" s="1"/>
  <c r="E147" i="17"/>
  <c r="G147" s="1"/>
  <c r="V20" i="44" s="1"/>
  <c r="E146" i="17"/>
  <c r="G146" s="1"/>
  <c r="T20" i="44" s="1"/>
  <c r="E145" i="17"/>
  <c r="G145" s="1"/>
  <c r="S20" i="44" s="1"/>
  <c r="E144" i="17"/>
  <c r="G144" s="1"/>
  <c r="U20" i="44" s="1"/>
  <c r="E143" i="17"/>
  <c r="G143" s="1"/>
  <c r="X20" i="44" s="1"/>
  <c r="E134" i="17"/>
  <c r="G134" s="1"/>
  <c r="E152" i="16"/>
  <c r="G152" s="1"/>
  <c r="E151"/>
  <c r="G151" s="1"/>
  <c r="Z19" i="44" s="1"/>
  <c r="G150" i="16"/>
  <c r="E149"/>
  <c r="G149" s="1"/>
  <c r="E148"/>
  <c r="G148" s="1"/>
  <c r="W19" i="44" s="1"/>
  <c r="E147" i="16"/>
  <c r="G147" s="1"/>
  <c r="V19" i="44" s="1"/>
  <c r="E146" i="16"/>
  <c r="G146" s="1"/>
  <c r="T19" i="44" s="1"/>
  <c r="E145" i="16"/>
  <c r="G145" s="1"/>
  <c r="S19" i="44" s="1"/>
  <c r="E144" i="16"/>
  <c r="G144" s="1"/>
  <c r="U19" i="44" s="1"/>
  <c r="E143" i="16"/>
  <c r="G143" s="1"/>
  <c r="X19" i="44" s="1"/>
  <c r="G134" i="16"/>
  <c r="E152" i="15"/>
  <c r="G152" s="1"/>
  <c r="E151"/>
  <c r="G151" s="1"/>
  <c r="Z18" i="44" s="1"/>
  <c r="E150" i="15"/>
  <c r="G150" s="1"/>
  <c r="E149"/>
  <c r="G149" s="1"/>
  <c r="E148"/>
  <c r="G148" s="1"/>
  <c r="W18" i="44" s="1"/>
  <c r="E147" i="15"/>
  <c r="G147" s="1"/>
  <c r="V18" i="44" s="1"/>
  <c r="E146" i="15"/>
  <c r="G146" s="1"/>
  <c r="T18" i="44" s="1"/>
  <c r="E145" i="15"/>
  <c r="G145" s="1"/>
  <c r="S18" i="44" s="1"/>
  <c r="E144" i="15"/>
  <c r="G144" s="1"/>
  <c r="U18" i="44" s="1"/>
  <c r="E143" i="15"/>
  <c r="G143" s="1"/>
  <c r="X18" i="44" s="1"/>
  <c r="E134" i="15"/>
  <c r="G134" s="1"/>
  <c r="E152" i="14"/>
  <c r="G152" s="1"/>
  <c r="E151"/>
  <c r="G151" s="1"/>
  <c r="Z17" i="44" s="1"/>
  <c r="E150" i="14"/>
  <c r="G150" s="1"/>
  <c r="G149"/>
  <c r="E148"/>
  <c r="G148" s="1"/>
  <c r="W17" i="44" s="1"/>
  <c r="E147" i="14"/>
  <c r="G147" s="1"/>
  <c r="V17" i="44" s="1"/>
  <c r="E146" i="14"/>
  <c r="G146" s="1"/>
  <c r="T17" i="44" s="1"/>
  <c r="E145" i="14"/>
  <c r="G145" s="1"/>
  <c r="S17" i="44" s="1"/>
  <c r="E144" i="14"/>
  <c r="G144" s="1"/>
  <c r="U17" i="44" s="1"/>
  <c r="E143" i="14"/>
  <c r="G143" s="1"/>
  <c r="X17" i="44" s="1"/>
  <c r="G134" i="14"/>
  <c r="G152" i="13"/>
  <c r="G151"/>
  <c r="Z16" i="44" s="1"/>
  <c r="G150" i="13"/>
  <c r="G149"/>
  <c r="G148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s="1"/>
  <c r="E151"/>
  <c r="G151" s="1"/>
  <c r="Z15" i="44" s="1"/>
  <c r="E150" i="12"/>
  <c r="G150" s="1"/>
  <c r="E149"/>
  <c r="G149" s="1"/>
  <c r="E148"/>
  <c r="G148" s="1"/>
  <c r="W15" i="44" s="1"/>
  <c r="E147" i="12"/>
  <c r="G147" s="1"/>
  <c r="V15" i="44" s="1"/>
  <c r="E146" i="12"/>
  <c r="G146" s="1"/>
  <c r="T15" i="44" s="1"/>
  <c r="E145" i="12"/>
  <c r="G145" s="1"/>
  <c r="S15" i="44" s="1"/>
  <c r="E144" i="12"/>
  <c r="G144" s="1"/>
  <c r="U15" i="44" s="1"/>
  <c r="E143" i="12"/>
  <c r="G143" s="1"/>
  <c r="X15" i="44" s="1"/>
  <c r="G134" i="12"/>
  <c r="E152" i="11"/>
  <c r="G152" s="1"/>
  <c r="E151"/>
  <c r="G151" s="1"/>
  <c r="Z14" i="44" s="1"/>
  <c r="E150" i="11"/>
  <c r="G150" s="1"/>
  <c r="E149"/>
  <c r="G149" s="1"/>
  <c r="E148"/>
  <c r="G148" s="1"/>
  <c r="W14" i="44" s="1"/>
  <c r="E147" i="11"/>
  <c r="G147" s="1"/>
  <c r="V14" i="44" s="1"/>
  <c r="E146" i="11"/>
  <c r="G146" s="1"/>
  <c r="T14" i="44" s="1"/>
  <c r="E145" i="11"/>
  <c r="G145" s="1"/>
  <c r="S14" i="44" s="1"/>
  <c r="E144" i="11"/>
  <c r="G144" s="1"/>
  <c r="U14" i="44" s="1"/>
  <c r="E143" i="11"/>
  <c r="G143" s="1"/>
  <c r="X14" i="44" s="1"/>
  <c r="G134" i="11"/>
  <c r="E152" i="10"/>
  <c r="G152" s="1"/>
  <c r="E151"/>
  <c r="G151" s="1"/>
  <c r="Z13" i="44" s="1"/>
  <c r="E150" i="10"/>
  <c r="G150" s="1"/>
  <c r="E149"/>
  <c r="G149" s="1"/>
  <c r="E148"/>
  <c r="G148" s="1"/>
  <c r="W13" i="44" s="1"/>
  <c r="E147" i="10"/>
  <c r="G147" s="1"/>
  <c r="V13" i="44" s="1"/>
  <c r="E146" i="10"/>
  <c r="G146" s="1"/>
  <c r="T13" i="44" s="1"/>
  <c r="E145" i="10"/>
  <c r="G145" s="1"/>
  <c r="S13" i="44" s="1"/>
  <c r="E144" i="10"/>
  <c r="G144" s="1"/>
  <c r="U13" i="44" s="1"/>
  <c r="E143" i="10"/>
  <c r="G143" s="1"/>
  <c r="X13" i="44" s="1"/>
  <c r="G134" i="10"/>
  <c r="E152" i="9"/>
  <c r="G152" s="1"/>
  <c r="E151"/>
  <c r="G151" s="1"/>
  <c r="Z12" i="44" s="1"/>
  <c r="E150" i="9"/>
  <c r="G150" s="1"/>
  <c r="E149"/>
  <c r="G149" s="1"/>
  <c r="E148"/>
  <c r="G148" s="1"/>
  <c r="W12" i="44" s="1"/>
  <c r="E147" i="9"/>
  <c r="G147" s="1"/>
  <c r="V12" i="44" s="1"/>
  <c r="E146" i="9"/>
  <c r="G146" s="1"/>
  <c r="T12" i="44" s="1"/>
  <c r="E145" i="9"/>
  <c r="G145" s="1"/>
  <c r="S12" i="44" s="1"/>
  <c r="E144" i="9"/>
  <c r="G144" s="1"/>
  <c r="U12" i="44" s="1"/>
  <c r="E143" i="9"/>
  <c r="G143" s="1"/>
  <c r="X12" i="44" s="1"/>
  <c r="E134" i="9"/>
  <c r="G134" s="1"/>
  <c r="E152" i="8"/>
  <c r="G152" s="1"/>
  <c r="E151"/>
  <c r="G151" s="1"/>
  <c r="Z11" i="44" s="1"/>
  <c r="E150" i="8"/>
  <c r="G150" s="1"/>
  <c r="E149"/>
  <c r="G149" s="1"/>
  <c r="E148"/>
  <c r="G148" s="1"/>
  <c r="W11" i="44" s="1"/>
  <c r="E147" i="8"/>
  <c r="G147" s="1"/>
  <c r="V11" i="44" s="1"/>
  <c r="E146" i="8"/>
  <c r="G146" s="1"/>
  <c r="T11" i="44" s="1"/>
  <c r="E145" i="8"/>
  <c r="G145" s="1"/>
  <c r="S11" i="44" s="1"/>
  <c r="E144" i="8"/>
  <c r="G144" s="1"/>
  <c r="U11" i="44" s="1"/>
  <c r="E143" i="8"/>
  <c r="G143" s="1"/>
  <c r="X11" i="44" s="1"/>
  <c r="E152" i="7"/>
  <c r="G152" s="1"/>
  <c r="E151"/>
  <c r="G151" s="1"/>
  <c r="Z10" i="44" s="1"/>
  <c r="E150" i="7"/>
  <c r="G150" s="1"/>
  <c r="E149"/>
  <c r="G149" s="1"/>
  <c r="E148"/>
  <c r="G148" s="1"/>
  <c r="W10" i="44" s="1"/>
  <c r="E147" i="7"/>
  <c r="G147" s="1"/>
  <c r="V10" i="44" s="1"/>
  <c r="E146" i="7"/>
  <c r="G146" s="1"/>
  <c r="T10" i="44" s="1"/>
  <c r="E145" i="7"/>
  <c r="G145" s="1"/>
  <c r="S10" i="44" s="1"/>
  <c r="E144" i="7"/>
  <c r="G144" s="1"/>
  <c r="U10" i="44" s="1"/>
  <c r="E143" i="7"/>
  <c r="G143" s="1"/>
  <c r="X10" i="44" s="1"/>
  <c r="E134" i="8"/>
  <c r="G134" s="1"/>
  <c r="E134" i="7"/>
  <c r="G134" s="1"/>
  <c r="E152" i="33"/>
  <c r="G152" s="1"/>
  <c r="E151"/>
  <c r="G151" s="1"/>
  <c r="Z9" i="44" s="1"/>
  <c r="E150" i="33"/>
  <c r="G150" s="1"/>
  <c r="E149"/>
  <c r="G149" s="1"/>
  <c r="E148"/>
  <c r="G148" s="1"/>
  <c r="W9" i="44" s="1"/>
  <c r="E147" i="33"/>
  <c r="G147" s="1"/>
  <c r="V9" i="44" s="1"/>
  <c r="G146" i="33"/>
  <c r="T9" i="44" s="1"/>
  <c r="E145" i="33"/>
  <c r="G145" s="1"/>
  <c r="S9" i="44" s="1"/>
  <c r="E144" i="33"/>
  <c r="G144" s="1"/>
  <c r="U9" i="44" s="1"/>
  <c r="E143" i="33"/>
  <c r="G143" s="1"/>
  <c r="X9" i="44" s="1"/>
  <c r="E134" i="33"/>
  <c r="G134" s="1"/>
  <c r="G168" i="2"/>
  <c r="H168" s="1"/>
  <c r="H168" i="3" s="1"/>
  <c r="H168" i="4" s="1"/>
  <c r="G167" i="2"/>
  <c r="H167" s="1"/>
  <c r="H167" i="3" s="1"/>
  <c r="H167" i="4" s="1"/>
  <c r="G166" i="2"/>
  <c r="H166" s="1"/>
  <c r="H166" i="3" s="1"/>
  <c r="H166" i="4" s="1"/>
  <c r="E152" i="5"/>
  <c r="G152" s="1"/>
  <c r="E151"/>
  <c r="G151" s="1"/>
  <c r="Z8" i="44" s="1"/>
  <c r="E150" i="5"/>
  <c r="G150" s="1"/>
  <c r="E149"/>
  <c r="G149" s="1"/>
  <c r="E148"/>
  <c r="G148" s="1"/>
  <c r="W8" i="44" s="1"/>
  <c r="E147" i="5"/>
  <c r="G147" s="1"/>
  <c r="V8" i="44" s="1"/>
  <c r="E146" i="5"/>
  <c r="G146" s="1"/>
  <c r="T8" i="44" s="1"/>
  <c r="E145" i="5"/>
  <c r="G145" s="1"/>
  <c r="S8" i="44" s="1"/>
  <c r="E144" i="5"/>
  <c r="G144" s="1"/>
  <c r="U8" i="44" s="1"/>
  <c r="E143" i="5"/>
  <c r="G143" s="1"/>
  <c r="X8" i="44" s="1"/>
  <c r="E134" i="5"/>
  <c r="G134" s="1"/>
  <c r="G134" i="4"/>
  <c r="G152"/>
  <c r="G151"/>
  <c r="Z7" i="44" s="1"/>
  <c r="E148" i="4"/>
  <c r="G148" s="1"/>
  <c r="W7" i="44" s="1"/>
  <c r="E147" i="4"/>
  <c r="G147" s="1"/>
  <c r="V7" i="44" s="1"/>
  <c r="E146" i="4"/>
  <c r="G146" s="1"/>
  <c r="T7" i="44" s="1"/>
  <c r="E145" i="4"/>
  <c r="G145" s="1"/>
  <c r="S7" i="44" s="1"/>
  <c r="E144" i="4"/>
  <c r="G144" s="1"/>
  <c r="U7" i="44" s="1"/>
  <c r="E143" i="4"/>
  <c r="G143" s="1"/>
  <c r="X7" i="44" s="1"/>
  <c r="G150" i="4"/>
  <c r="G149"/>
  <c r="E139" i="3"/>
  <c r="E152"/>
  <c r="G152" s="1"/>
  <c r="E151"/>
  <c r="G151" s="1"/>
  <c r="Z6" i="44" s="1"/>
  <c r="E150" i="3"/>
  <c r="G150" s="1"/>
  <c r="E149"/>
  <c r="G149" s="1"/>
  <c r="E148"/>
  <c r="G148" s="1"/>
  <c r="W6" i="44" s="1"/>
  <c r="E147" i="3"/>
  <c r="G147" s="1"/>
  <c r="V6" i="44" s="1"/>
  <c r="E146" i="3"/>
  <c r="G146" s="1"/>
  <c r="T6" i="44" s="1"/>
  <c r="E145" i="3"/>
  <c r="G145" s="1"/>
  <c r="S6" i="44" s="1"/>
  <c r="E144" i="3"/>
  <c r="G144" s="1"/>
  <c r="U6" i="44" s="1"/>
  <c r="E143" i="3"/>
  <c r="G143" s="1"/>
  <c r="X6" i="44" s="1"/>
  <c r="E142" i="3"/>
  <c r="E141"/>
  <c r="E134"/>
  <c r="G134" s="1"/>
  <c r="J172" i="2"/>
  <c r="G152"/>
  <c r="H152" s="1"/>
  <c r="J152" s="1"/>
  <c r="G151"/>
  <c r="H134"/>
  <c r="J134" s="1"/>
  <c r="E189" i="31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89"/>
  <c r="E88"/>
  <c r="E87"/>
  <c r="E86"/>
  <c r="E85"/>
  <c r="E84"/>
  <c r="E83"/>
  <c r="E82"/>
  <c r="E79"/>
  <c r="E78"/>
  <c r="E77"/>
  <c r="E76"/>
  <c r="E75"/>
  <c r="E74"/>
  <c r="E71"/>
  <c r="E70"/>
  <c r="E69"/>
  <c r="E68"/>
  <c r="E67"/>
  <c r="E66"/>
  <c r="E65"/>
  <c r="E64"/>
  <c r="E63"/>
  <c r="E62"/>
  <c r="E58"/>
  <c r="E57"/>
  <c r="E56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43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5"/>
  <c r="E54"/>
  <c r="E53"/>
  <c r="E52"/>
  <c r="E51"/>
  <c r="E50"/>
  <c r="E49"/>
  <c r="E35"/>
  <c r="E24"/>
  <c r="E23"/>
  <c r="E22"/>
  <c r="E12"/>
  <c r="E11"/>
  <c r="E189" i="30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G113" s="1"/>
  <c r="E92"/>
  <c r="E91"/>
  <c r="E90"/>
  <c r="E89"/>
  <c r="E88"/>
  <c r="E87"/>
  <c r="E86"/>
  <c r="E85"/>
  <c r="E84"/>
  <c r="E83"/>
  <c r="E82"/>
  <c r="E79"/>
  <c r="E78"/>
  <c r="E77"/>
  <c r="E76"/>
  <c r="E75"/>
  <c r="E74"/>
  <c r="E71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H26" i="29"/>
  <c r="E189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H124" i="28"/>
  <c r="H124" i="29" s="1"/>
  <c r="H124" i="30" s="1"/>
  <c r="H124" i="43" s="1"/>
  <c r="H124" i="31" s="1"/>
  <c r="E189" i="28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G84" s="1"/>
  <c r="E83"/>
  <c r="E82"/>
  <c r="E79"/>
  <c r="E78"/>
  <c r="E77"/>
  <c r="E76"/>
  <c r="E75"/>
  <c r="E74"/>
  <c r="E65"/>
  <c r="E64"/>
  <c r="E63"/>
  <c r="E62"/>
  <c r="E58"/>
  <c r="E57"/>
  <c r="E56"/>
  <c r="E55"/>
  <c r="E54"/>
  <c r="E53"/>
  <c r="E52"/>
  <c r="E51"/>
  <c r="E50"/>
  <c r="E49"/>
  <c r="E35"/>
  <c r="E24"/>
  <c r="E23"/>
  <c r="E22"/>
  <c r="E12"/>
  <c r="E11"/>
  <c r="E189" i="27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9" i="40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G84" s="1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35"/>
  <c r="E24"/>
  <c r="E23"/>
  <c r="E22"/>
  <c r="E189" i="25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75" i="24"/>
  <c r="E185"/>
  <c r="E184"/>
  <c r="E183"/>
  <c r="E179"/>
  <c r="E178"/>
  <c r="E174"/>
  <c r="E173"/>
  <c r="E168"/>
  <c r="E167"/>
  <c r="E166"/>
  <c r="E165"/>
  <c r="E164"/>
  <c r="E163"/>
  <c r="E162"/>
  <c r="E161"/>
  <c r="E140"/>
  <c r="E139"/>
  <c r="E138"/>
  <c r="E133"/>
  <c r="E132"/>
  <c r="E131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5"/>
  <c r="E54"/>
  <c r="E53"/>
  <c r="E52"/>
  <c r="E51"/>
  <c r="E50"/>
  <c r="E49"/>
  <c r="E46"/>
  <c r="E45"/>
  <c r="E44"/>
  <c r="E43"/>
  <c r="E42"/>
  <c r="E41"/>
  <c r="E38"/>
  <c r="E36"/>
  <c r="E24"/>
  <c r="E23"/>
  <c r="E22"/>
  <c r="E12"/>
  <c r="E11"/>
  <c r="E185" i="23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29"/>
  <c r="E128"/>
  <c r="E124"/>
  <c r="E123"/>
  <c r="E122"/>
  <c r="E121"/>
  <c r="E119"/>
  <c r="E118"/>
  <c r="E117"/>
  <c r="E116"/>
  <c r="E115"/>
  <c r="E114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2"/>
  <c r="E54"/>
  <c r="E53"/>
  <c r="E52"/>
  <c r="E51"/>
  <c r="E50"/>
  <c r="E46"/>
  <c r="E45"/>
  <c r="E44"/>
  <c r="E43"/>
  <c r="E42"/>
  <c r="E41"/>
  <c r="E40"/>
  <c r="E39"/>
  <c r="E38"/>
  <c r="E37"/>
  <c r="E36"/>
  <c r="E35"/>
  <c r="E24"/>
  <c r="E23"/>
  <c r="E22"/>
  <c r="E12"/>
  <c r="E11"/>
  <c r="E185" i="22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33"/>
  <c r="E131"/>
  <c r="E130"/>
  <c r="E129"/>
  <c r="E128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8"/>
  <c r="E37"/>
  <c r="E36"/>
  <c r="E35"/>
  <c r="E24"/>
  <c r="E23"/>
  <c r="E22"/>
  <c r="E12"/>
  <c r="E11"/>
  <c r="H124" i="21"/>
  <c r="H124" i="22" s="1"/>
  <c r="H124" i="23" s="1"/>
  <c r="H124" i="24" s="1"/>
  <c r="E185" i="21"/>
  <c r="E184"/>
  <c r="E183"/>
  <c r="E179"/>
  <c r="E175"/>
  <c r="E174"/>
  <c r="E173"/>
  <c r="E168"/>
  <c r="E167"/>
  <c r="E166"/>
  <c r="G166" s="1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4"/>
  <c r="E70"/>
  <c r="E69"/>
  <c r="E68"/>
  <c r="E67"/>
  <c r="E66"/>
  <c r="E65"/>
  <c r="E64"/>
  <c r="E63"/>
  <c r="E62"/>
  <c r="E58"/>
  <c r="E57"/>
  <c r="E56"/>
  <c r="E55"/>
  <c r="G55" s="1"/>
  <c r="E54"/>
  <c r="E53"/>
  <c r="E52"/>
  <c r="E51"/>
  <c r="E50"/>
  <c r="E49"/>
  <c r="E35"/>
  <c r="E24"/>
  <c r="E23"/>
  <c r="E22"/>
  <c r="E12"/>
  <c r="E11"/>
  <c r="E185" i="19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G84" s="1"/>
  <c r="E83"/>
  <c r="E82"/>
  <c r="E79"/>
  <c r="E78"/>
  <c r="E77"/>
  <c r="E76"/>
  <c r="G76" s="1"/>
  <c r="E75"/>
  <c r="E74"/>
  <c r="G74" s="1"/>
  <c r="E70"/>
  <c r="E69"/>
  <c r="E68"/>
  <c r="E67"/>
  <c r="G67" s="1"/>
  <c r="E66"/>
  <c r="E65"/>
  <c r="E64"/>
  <c r="E63"/>
  <c r="E62"/>
  <c r="E58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3"/>
  <c r="G23" s="1"/>
  <c r="E22"/>
  <c r="H124" i="18"/>
  <c r="H124" i="19" s="1"/>
  <c r="E174" i="18"/>
  <c r="E185"/>
  <c r="E184"/>
  <c r="E183"/>
  <c r="E180"/>
  <c r="E179"/>
  <c r="E178"/>
  <c r="E175"/>
  <c r="E173"/>
  <c r="E165"/>
  <c r="E164"/>
  <c r="E163"/>
  <c r="E162"/>
  <c r="E161"/>
  <c r="E142"/>
  <c r="E141"/>
  <c r="E140"/>
  <c r="E139"/>
  <c r="E138"/>
  <c r="E133"/>
  <c r="E131"/>
  <c r="E130"/>
  <c r="E129"/>
  <c r="E128"/>
  <c r="E124"/>
  <c r="E123"/>
  <c r="E122"/>
  <c r="E121"/>
  <c r="E120"/>
  <c r="E119"/>
  <c r="E118"/>
  <c r="E117"/>
  <c r="E116"/>
  <c r="E115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9" i="17"/>
  <c r="E188"/>
  <c r="E187"/>
  <c r="E186"/>
  <c r="E185"/>
  <c r="E184"/>
  <c r="E183"/>
  <c r="E182"/>
  <c r="E181"/>
  <c r="E180"/>
  <c r="E179"/>
  <c r="E178"/>
  <c r="E177"/>
  <c r="E176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G92" s="1"/>
  <c r="E91"/>
  <c r="G91" s="1"/>
  <c r="E90"/>
  <c r="E89"/>
  <c r="E88"/>
  <c r="E87"/>
  <c r="E86"/>
  <c r="E85"/>
  <c r="E83"/>
  <c r="E82"/>
  <c r="E79"/>
  <c r="E78"/>
  <c r="E77"/>
  <c r="E76"/>
  <c r="E75"/>
  <c r="E74"/>
  <c r="E70"/>
  <c r="E69"/>
  <c r="E68"/>
  <c r="E67"/>
  <c r="E66"/>
  <c r="E65"/>
  <c r="E63"/>
  <c r="E62"/>
  <c r="E58"/>
  <c r="E57"/>
  <c r="E56"/>
  <c r="E55"/>
  <c r="E54"/>
  <c r="E53"/>
  <c r="E52"/>
  <c r="E51"/>
  <c r="E50"/>
  <c r="E49"/>
  <c r="E46"/>
  <c r="E45"/>
  <c r="E44"/>
  <c r="E42"/>
  <c r="E41"/>
  <c r="E40"/>
  <c r="E39"/>
  <c r="E38"/>
  <c r="E37"/>
  <c r="E36"/>
  <c r="E35"/>
  <c r="E24"/>
  <c r="E23"/>
  <c r="E22"/>
  <c r="E12"/>
  <c r="E11"/>
  <c r="E185" i="16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15"/>
  <c r="E184"/>
  <c r="E183"/>
  <c r="E180"/>
  <c r="E179"/>
  <c r="E178"/>
  <c r="E175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2"/>
  <c r="E58"/>
  <c r="E57"/>
  <c r="E56"/>
  <c r="E55"/>
  <c r="E54"/>
  <c r="E53"/>
  <c r="E52"/>
  <c r="E51"/>
  <c r="E50"/>
  <c r="E49"/>
  <c r="E46"/>
  <c r="E45"/>
  <c r="E44"/>
  <c r="E41"/>
  <c r="E40"/>
  <c r="E39"/>
  <c r="E38"/>
  <c r="E37"/>
  <c r="E36"/>
  <c r="E35"/>
  <c r="E24"/>
  <c r="E23"/>
  <c r="E22"/>
  <c r="E12"/>
  <c r="E11"/>
  <c r="E10"/>
  <c r="E185" i="14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13"/>
  <c r="E184"/>
  <c r="E183"/>
  <c r="E180"/>
  <c r="E179"/>
  <c r="E178"/>
  <c r="E175"/>
  <c r="E173"/>
  <c r="E168"/>
  <c r="E167"/>
  <c r="E166"/>
  <c r="E165"/>
  <c r="E164"/>
  <c r="E163"/>
  <c r="E162"/>
  <c r="E161"/>
  <c r="E138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49"/>
  <c r="E35"/>
  <c r="E24"/>
  <c r="E23"/>
  <c r="E22"/>
  <c r="E185" i="12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49"/>
  <c r="E35"/>
  <c r="E24"/>
  <c r="E23"/>
  <c r="E22"/>
  <c r="E12"/>
  <c r="E11"/>
  <c r="H124" i="11"/>
  <c r="H26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10"/>
  <c r="E184"/>
  <c r="E183"/>
  <c r="E180"/>
  <c r="E179"/>
  <c r="E178"/>
  <c r="E175"/>
  <c r="E174"/>
  <c r="E173"/>
  <c r="E168"/>
  <c r="E167"/>
  <c r="E166"/>
  <c r="G166" s="1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3"/>
  <c r="E52"/>
  <c r="E51"/>
  <c r="E46"/>
  <c r="E45"/>
  <c r="E44"/>
  <c r="E43"/>
  <c r="E42"/>
  <c r="E41"/>
  <c r="E40"/>
  <c r="E36"/>
  <c r="E24"/>
  <c r="E23"/>
  <c r="E22"/>
  <c r="E12"/>
  <c r="E11"/>
  <c r="E185" i="9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8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46" i="7"/>
  <c r="E185"/>
  <c r="E184"/>
  <c r="E183"/>
  <c r="E182"/>
  <c r="E181"/>
  <c r="E180"/>
  <c r="E179"/>
  <c r="E178"/>
  <c r="E177"/>
  <c r="E176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5"/>
  <c r="E44"/>
  <c r="E43"/>
  <c r="E42"/>
  <c r="E41"/>
  <c r="E40"/>
  <c r="E39"/>
  <c r="E38"/>
  <c r="E37"/>
  <c r="E36"/>
  <c r="E35"/>
  <c r="E24"/>
  <c r="E23"/>
  <c r="E22"/>
  <c r="E12"/>
  <c r="E11"/>
  <c r="E185" i="33"/>
  <c r="E184"/>
  <c r="E183"/>
  <c r="E182"/>
  <c r="E181"/>
  <c r="E180"/>
  <c r="E179"/>
  <c r="E178"/>
  <c r="E177"/>
  <c r="E176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0"/>
  <c r="E119"/>
  <c r="E118"/>
  <c r="E117"/>
  <c r="E116"/>
  <c r="E115"/>
  <c r="E114"/>
  <c r="E113"/>
  <c r="E112"/>
  <c r="G112" s="1"/>
  <c r="E92"/>
  <c r="E91"/>
  <c r="E90"/>
  <c r="E89"/>
  <c r="E88"/>
  <c r="E87"/>
  <c r="E86"/>
  <c r="E85"/>
  <c r="E84"/>
  <c r="E83"/>
  <c r="E82"/>
  <c r="E78"/>
  <c r="E77"/>
  <c r="E76"/>
  <c r="E75"/>
  <c r="E74"/>
  <c r="E70"/>
  <c r="E69"/>
  <c r="E68"/>
  <c r="E67"/>
  <c r="E66"/>
  <c r="E65"/>
  <c r="E64"/>
  <c r="E63"/>
  <c r="E62"/>
  <c r="G62" s="1"/>
  <c r="E58"/>
  <c r="E57"/>
  <c r="E56"/>
  <c r="E55"/>
  <c r="E54"/>
  <c r="E53"/>
  <c r="E52"/>
  <c r="E51"/>
  <c r="E50"/>
  <c r="E46"/>
  <c r="E45"/>
  <c r="E44"/>
  <c r="E43"/>
  <c r="E42"/>
  <c r="E41"/>
  <c r="E40"/>
  <c r="E39"/>
  <c r="E38"/>
  <c r="E37"/>
  <c r="E36"/>
  <c r="E35"/>
  <c r="E24"/>
  <c r="E23"/>
  <c r="E22"/>
  <c r="E12"/>
  <c r="E11"/>
  <c r="H124" i="5"/>
  <c r="E185"/>
  <c r="E184"/>
  <c r="E183"/>
  <c r="E180"/>
  <c r="E179"/>
  <c r="E178"/>
  <c r="E175"/>
  <c r="E174"/>
  <c r="E173"/>
  <c r="E168"/>
  <c r="G168" s="1"/>
  <c r="E167"/>
  <c r="G167" s="1"/>
  <c r="E166"/>
  <c r="G166" s="1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3"/>
  <c r="E62"/>
  <c r="E57"/>
  <c r="E56"/>
  <c r="E55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4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G128" s="1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33" i="3"/>
  <c r="E132"/>
  <c r="E131"/>
  <c r="E130"/>
  <c r="E129"/>
  <c r="E128"/>
  <c r="E74"/>
  <c r="E79"/>
  <c r="E78"/>
  <c r="E77"/>
  <c r="E76"/>
  <c r="E75"/>
  <c r="E24"/>
  <c r="E19"/>
  <c r="E18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/>
  <c r="E183"/>
  <c r="E180"/>
  <c r="E179"/>
  <c r="E178"/>
  <c r="E175"/>
  <c r="E174"/>
  <c r="E173"/>
  <c r="E168"/>
  <c r="E167"/>
  <c r="E166"/>
  <c r="E165"/>
  <c r="E164"/>
  <c r="E163"/>
  <c r="E162"/>
  <c r="E140"/>
  <c r="E13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0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3"/>
  <c r="E22"/>
  <c r="G22" s="1"/>
  <c r="E15"/>
  <c r="E12"/>
  <c r="E11"/>
  <c r="G11" s="1"/>
  <c r="E10"/>
  <c r="E8"/>
  <c r="E7"/>
  <c r="E9"/>
  <c r="H182" i="2"/>
  <c r="J182" s="1"/>
  <c r="H177"/>
  <c r="J177" s="1"/>
  <c r="H127"/>
  <c r="J127" s="1"/>
  <c r="G23"/>
  <c r="H23" s="1"/>
  <c r="J23" s="1"/>
  <c r="G22"/>
  <c r="G19"/>
  <c r="E30" s="1"/>
  <c r="G15"/>
  <c r="E28" s="1"/>
  <c r="G13"/>
  <c r="H13" s="1"/>
  <c r="J13" s="1"/>
  <c r="G12"/>
  <c r="H12" s="1"/>
  <c r="J12" s="1"/>
  <c r="G11"/>
  <c r="H11" s="1"/>
  <c r="J11" s="1"/>
  <c r="G10"/>
  <c r="H10" s="1"/>
  <c r="J10" s="1"/>
  <c r="G9"/>
  <c r="H9" s="1"/>
  <c r="J9" s="1"/>
  <c r="G8"/>
  <c r="E27" s="1"/>
  <c r="G27" s="1"/>
  <c r="G7"/>
  <c r="I18" i="3"/>
  <c r="I7"/>
  <c r="G22" i="19" l="1"/>
  <c r="G24" s="1"/>
  <c r="E29" s="1"/>
  <c r="E24"/>
  <c r="G8" i="3"/>
  <c r="E27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s="1"/>
  <c r="E9" i="4"/>
  <c r="E9" i="5" s="1"/>
  <c r="E9" i="33" s="1"/>
  <c r="G19" i="3"/>
  <c r="E19" i="4"/>
  <c r="E19" i="5" s="1"/>
  <c r="G18" i="3"/>
  <c r="E10" i="16"/>
  <c r="G10" s="1"/>
  <c r="E15"/>
  <c r="G15" i="17" s="1"/>
  <c r="G149" i="19"/>
  <c r="G151"/>
  <c r="Z22" i="44" s="1"/>
  <c r="G146" i="19"/>
  <c r="T22" i="44" s="1"/>
  <c r="G147" i="19"/>
  <c r="V22" i="44" s="1"/>
  <c r="H156" i="7"/>
  <c r="J156" s="1"/>
  <c r="G145" i="19"/>
  <c r="S22" i="44" s="1"/>
  <c r="G150" i="19"/>
  <c r="G143"/>
  <c r="X22" i="44" s="1"/>
  <c r="J155" i="7"/>
  <c r="H155" i="8"/>
  <c r="H18" i="2"/>
  <c r="J18" s="1"/>
  <c r="H19"/>
  <c r="J19" s="1"/>
  <c r="H8"/>
  <c r="J8" s="1"/>
  <c r="I9" s="1"/>
  <c r="H15"/>
  <c r="J15" s="1"/>
  <c r="I16" s="1"/>
  <c r="G24"/>
  <c r="E29" s="1"/>
  <c r="I13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s="1"/>
  <c r="H182" i="3"/>
  <c r="H182" i="4" s="1"/>
  <c r="J182" s="1"/>
  <c r="H152" i="3"/>
  <c r="H152" i="4" s="1"/>
  <c r="H127" i="3"/>
  <c r="H127" i="4" s="1"/>
  <c r="J127" s="1"/>
  <c r="H177" i="3"/>
  <c r="H177" i="4" s="1"/>
  <c r="H177" i="5" s="1"/>
  <c r="H151" i="2"/>
  <c r="J151" s="1"/>
  <c r="Z5" i="44"/>
  <c r="H134" i="3"/>
  <c r="H134" i="4" s="1"/>
  <c r="G134" i="20"/>
  <c r="H22" i="2"/>
  <c r="J22" s="1"/>
  <c r="H23" i="3"/>
  <c r="H11"/>
  <c r="J11" s="1"/>
  <c r="H12"/>
  <c r="H7" i="2"/>
  <c r="J7" s="1"/>
  <c r="G20"/>
  <c r="H20" s="1"/>
  <c r="J20" s="1"/>
  <c r="I20" s="1"/>
  <c r="G20" i="3" l="1"/>
  <c r="H20" s="1"/>
  <c r="H9"/>
  <c r="J9" s="1"/>
  <c r="G7"/>
  <c r="H7" s="1"/>
  <c r="J7" s="1"/>
  <c r="P16"/>
  <c r="G10"/>
  <c r="H10" s="1"/>
  <c r="J10" s="1"/>
  <c r="G15"/>
  <c r="H15" s="1"/>
  <c r="J15" s="1"/>
  <c r="I16" s="1"/>
  <c r="E19" i="33"/>
  <c r="E15" i="7"/>
  <c r="E9"/>
  <c r="E8"/>
  <c r="E10" i="17"/>
  <c r="E7" i="7"/>
  <c r="E15" i="18"/>
  <c r="O15" i="16"/>
  <c r="Z37" i="44"/>
  <c r="Z36"/>
  <c r="H19" i="3"/>
  <c r="J19" s="1"/>
  <c r="H18"/>
  <c r="J18" s="1"/>
  <c r="H156" i="8"/>
  <c r="J156" s="1"/>
  <c r="H155" i="9"/>
  <c r="J155" i="8"/>
  <c r="H8" i="3"/>
  <c r="J8" s="1"/>
  <c r="I9" s="1"/>
  <c r="H24" i="2"/>
  <c r="H166" i="8"/>
  <c r="J166" s="1"/>
  <c r="J168" i="7"/>
  <c r="J167"/>
  <c r="J177" i="4"/>
  <c r="J134" i="3"/>
  <c r="H182" i="5"/>
  <c r="H182" i="33" s="1"/>
  <c r="J127" i="3"/>
  <c r="J182"/>
  <c r="H127" i="5"/>
  <c r="J127" s="1"/>
  <c r="J152" i="3"/>
  <c r="J152" i="4"/>
  <c r="H152" i="5"/>
  <c r="J134" i="4"/>
  <c r="H134" i="5"/>
  <c r="H151" i="3"/>
  <c r="H22"/>
  <c r="J22" s="1"/>
  <c r="H177" i="33"/>
  <c r="J177" i="5"/>
  <c r="J168" i="8"/>
  <c r="H168" i="9"/>
  <c r="H167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/>
  <c r="G185" i="31"/>
  <c r="G184"/>
  <c r="G183"/>
  <c r="G180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/>
  <c r="G163"/>
  <c r="G162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/>
  <c r="G132"/>
  <c r="G131"/>
  <c r="G130"/>
  <c r="G129"/>
  <c r="G128"/>
  <c r="G123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/>
  <c r="G113"/>
  <c r="G112"/>
  <c r="G92"/>
  <c r="G91"/>
  <c r="AK34" i="1" s="1"/>
  <c r="AI34"/>
  <c r="G89" i="31"/>
  <c r="G88"/>
  <c r="G87"/>
  <c r="AC34" i="1" s="1"/>
  <c r="G86" i="31"/>
  <c r="AB34" i="1" s="1"/>
  <c r="G85" i="31"/>
  <c r="AA34" i="1" s="1"/>
  <c r="G84" i="31"/>
  <c r="Z34" i="1" s="1"/>
  <c r="G83" i="31"/>
  <c r="G82"/>
  <c r="G78"/>
  <c r="AS35" i="44" s="1"/>
  <c r="G77" i="31"/>
  <c r="AR35" i="44" s="1"/>
  <c r="G76" i="31"/>
  <c r="AQ35" i="44" s="1"/>
  <c r="G75" i="31"/>
  <c r="AP35" i="44" s="1"/>
  <c r="G74" i="31"/>
  <c r="G70"/>
  <c r="AH15" i="45" s="1"/>
  <c r="G69" i="31"/>
  <c r="AH14" i="45" s="1"/>
  <c r="G68" i="31"/>
  <c r="AH13" i="45" s="1"/>
  <c r="G67" i="31"/>
  <c r="G66"/>
  <c r="G65"/>
  <c r="G63"/>
  <c r="AH8" i="45" s="1"/>
  <c r="G62" i="31"/>
  <c r="AH7" i="45" s="1"/>
  <c r="G58" i="31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K9"/>
  <c r="M8"/>
  <c r="G185" i="43"/>
  <c r="G184"/>
  <c r="G183"/>
  <c r="G180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/>
  <c r="G163"/>
  <c r="G162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/>
  <c r="G132"/>
  <c r="G131"/>
  <c r="G130"/>
  <c r="G129"/>
  <c r="G128"/>
  <c r="G12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/>
  <c r="G113"/>
  <c r="G112"/>
  <c r="G92"/>
  <c r="AL33" i="1" s="1"/>
  <c r="G91" i="43"/>
  <c r="G90"/>
  <c r="G89"/>
  <c r="G88"/>
  <c r="G87"/>
  <c r="AC33" i="1" s="1"/>
  <c r="G86" i="43"/>
  <c r="AB33" i="1" s="1"/>
  <c r="G85" i="43"/>
  <c r="AA33" i="1" s="1"/>
  <c r="G84" i="43"/>
  <c r="Z33" i="1" s="1"/>
  <c r="G83" i="43"/>
  <c r="G82"/>
  <c r="G78"/>
  <c r="AS34" i="44" s="1"/>
  <c r="G77" i="43"/>
  <c r="AR34" i="44" s="1"/>
  <c r="G76" i="43"/>
  <c r="AQ34" i="44" s="1"/>
  <c r="G75" i="43"/>
  <c r="AP34" i="44" s="1"/>
  <c r="G74" i="43"/>
  <c r="G70"/>
  <c r="AG15" i="45" s="1"/>
  <c r="G69" i="43"/>
  <c r="AG14" i="45" s="1"/>
  <c r="G68" i="43"/>
  <c r="AG13" i="45" s="1"/>
  <c r="G67" i="43"/>
  <c r="G66"/>
  <c r="G65"/>
  <c r="G63"/>
  <c r="AG8" i="45" s="1"/>
  <c r="G62" i="43"/>
  <c r="AG7" i="45" s="1"/>
  <c r="G58" i="43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30"/>
  <c r="G184"/>
  <c r="G183"/>
  <c r="G180"/>
  <c r="AF23" i="45" s="1"/>
  <c r="G179" i="30"/>
  <c r="AF22" i="45" s="1"/>
  <c r="G178" i="30"/>
  <c r="G175"/>
  <c r="AF19" i="45" s="1"/>
  <c r="G174" i="30"/>
  <c r="AF18" i="45" s="1"/>
  <c r="G173" i="30"/>
  <c r="AF17" i="45" s="1"/>
  <c r="G165" i="30"/>
  <c r="G164"/>
  <c r="G163"/>
  <c r="G162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/>
  <c r="G132"/>
  <c r="G131"/>
  <c r="G130"/>
  <c r="G129"/>
  <c r="G128"/>
  <c r="G123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/>
  <c r="G92"/>
  <c r="AL32" i="1" s="1"/>
  <c r="G91" i="30"/>
  <c r="G90"/>
  <c r="G89"/>
  <c r="G88"/>
  <c r="G87"/>
  <c r="AC32" i="1" s="1"/>
  <c r="G86" i="30"/>
  <c r="AB32" i="1" s="1"/>
  <c r="G85" i="30"/>
  <c r="AA32" i="1" s="1"/>
  <c r="G84" i="30"/>
  <c r="Z32" i="1" s="1"/>
  <c r="G83" i="30"/>
  <c r="G82"/>
  <c r="G78"/>
  <c r="AS33" i="44" s="1"/>
  <c r="G77" i="30"/>
  <c r="AR33" i="44" s="1"/>
  <c r="G76" i="30"/>
  <c r="AQ33" i="44" s="1"/>
  <c r="G75" i="30"/>
  <c r="AP33" i="44" s="1"/>
  <c r="G74" i="30"/>
  <c r="G70"/>
  <c r="AF15" i="45" s="1"/>
  <c r="G69" i="30"/>
  <c r="AF14" i="45" s="1"/>
  <c r="G68" i="30"/>
  <c r="AF13" i="45" s="1"/>
  <c r="G67" i="30"/>
  <c r="G66"/>
  <c r="G65"/>
  <c r="G63"/>
  <c r="AF8" i="45" s="1"/>
  <c r="G62" i="30"/>
  <c r="AF7" i="45" s="1"/>
  <c r="G58" i="3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9"/>
  <c r="G184"/>
  <c r="G183"/>
  <c r="G180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/>
  <c r="G163"/>
  <c r="G162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/>
  <c r="G132"/>
  <c r="G131"/>
  <c r="G130"/>
  <c r="G129"/>
  <c r="G128"/>
  <c r="G123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/>
  <c r="G113"/>
  <c r="G112"/>
  <c r="G92"/>
  <c r="AL31" i="1" s="1"/>
  <c r="G90" i="29"/>
  <c r="G89"/>
  <c r="G88"/>
  <c r="G87"/>
  <c r="AC31" i="1" s="1"/>
  <c r="G86" i="29"/>
  <c r="AB31" i="1" s="1"/>
  <c r="G85" i="29"/>
  <c r="AA31" i="1" s="1"/>
  <c r="G84" i="29"/>
  <c r="Z31" i="1" s="1"/>
  <c r="G83" i="29"/>
  <c r="G82"/>
  <c r="G78"/>
  <c r="AS32" i="44" s="1"/>
  <c r="G77" i="29"/>
  <c r="AR32" i="44" s="1"/>
  <c r="G76" i="29"/>
  <c r="AQ32" i="44" s="1"/>
  <c r="G75" i="29"/>
  <c r="AP32" i="44" s="1"/>
  <c r="G74" i="29"/>
  <c r="G70"/>
  <c r="AE15" i="45" s="1"/>
  <c r="G69" i="29"/>
  <c r="AE14" i="45" s="1"/>
  <c r="G68" i="29"/>
  <c r="AE13" i="45" s="1"/>
  <c r="G67" i="29"/>
  <c r="G66"/>
  <c r="G65"/>
  <c r="G63"/>
  <c r="AE8" i="45" s="1"/>
  <c r="G62" i="29"/>
  <c r="AE7" i="45" s="1"/>
  <c r="G58" i="29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8"/>
  <c r="G184"/>
  <c r="G183"/>
  <c r="G180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/>
  <c r="G163"/>
  <c r="G162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/>
  <c r="G132"/>
  <c r="G131"/>
  <c r="G130"/>
  <c r="G129"/>
  <c r="G128"/>
  <c r="G123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/>
  <c r="G113"/>
  <c r="G112"/>
  <c r="G92"/>
  <c r="AL30" i="1" s="1"/>
  <c r="G91" i="28"/>
  <c r="G90"/>
  <c r="G89"/>
  <c r="G88"/>
  <c r="G87"/>
  <c r="AC30" i="1" s="1"/>
  <c r="G86" i="28"/>
  <c r="AB30" i="1" s="1"/>
  <c r="G85" i="28"/>
  <c r="AA30" i="1" s="1"/>
  <c r="Z30"/>
  <c r="G83" i="28"/>
  <c r="G82"/>
  <c r="G78"/>
  <c r="AS31" i="44" s="1"/>
  <c r="G77" i="28"/>
  <c r="AR31" i="44" s="1"/>
  <c r="G76" i="28"/>
  <c r="AQ31" i="44" s="1"/>
  <c r="G75" i="28"/>
  <c r="AP31" i="44" s="1"/>
  <c r="G74" i="28"/>
  <c r="G70"/>
  <c r="G69"/>
  <c r="G68"/>
  <c r="G67"/>
  <c r="G66"/>
  <c r="G65"/>
  <c r="G63"/>
  <c r="G62"/>
  <c r="AD7" i="45" s="1"/>
  <c r="G58" i="2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7"/>
  <c r="G184"/>
  <c r="G183"/>
  <c r="G180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/>
  <c r="G163"/>
  <c r="G162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/>
  <c r="G132"/>
  <c r="G131"/>
  <c r="G130"/>
  <c r="G129"/>
  <c r="G128"/>
  <c r="G123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/>
  <c r="G113"/>
  <c r="G112"/>
  <c r="G92"/>
  <c r="AL29" i="1" s="1"/>
  <c r="G91" i="27"/>
  <c r="G90"/>
  <c r="G89"/>
  <c r="G88"/>
  <c r="G87"/>
  <c r="AC29" i="1" s="1"/>
  <c r="G86" i="27"/>
  <c r="AB29" i="1" s="1"/>
  <c r="G85" i="27"/>
  <c r="AA29" i="1" s="1"/>
  <c r="G84" i="27"/>
  <c r="Z29" i="1" s="1"/>
  <c r="G83" i="27"/>
  <c r="G82"/>
  <c r="G78"/>
  <c r="AS30" i="44" s="1"/>
  <c r="G77" i="27"/>
  <c r="AR30" i="44" s="1"/>
  <c r="G76" i="27"/>
  <c r="AQ30" i="44" s="1"/>
  <c r="G75" i="27"/>
  <c r="AP30" i="44" s="1"/>
  <c r="G74" i="27"/>
  <c r="G70"/>
  <c r="AC15" i="45" s="1"/>
  <c r="G69" i="27"/>
  <c r="AC14" i="45" s="1"/>
  <c r="G68" i="27"/>
  <c r="AC13" i="45" s="1"/>
  <c r="G67" i="27"/>
  <c r="G66"/>
  <c r="G65"/>
  <c r="G63"/>
  <c r="AC8" i="45" s="1"/>
  <c r="G62" i="27"/>
  <c r="AC7" i="45" s="1"/>
  <c r="G58" i="27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40"/>
  <c r="G184"/>
  <c r="G183"/>
  <c r="G18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/>
  <c r="G163"/>
  <c r="G162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/>
  <c r="G132"/>
  <c r="G131"/>
  <c r="G130"/>
  <c r="G129"/>
  <c r="G128"/>
  <c r="G123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/>
  <c r="G113"/>
  <c r="G112"/>
  <c r="G92"/>
  <c r="AL28" i="1" s="1"/>
  <c r="G91" i="40"/>
  <c r="G90"/>
  <c r="G89"/>
  <c r="G88"/>
  <c r="G87"/>
  <c r="AC28" i="1" s="1"/>
  <c r="G86" i="40"/>
  <c r="AB28" i="1" s="1"/>
  <c r="G85" i="40"/>
  <c r="AA28" i="1" s="1"/>
  <c r="Z28"/>
  <c r="G83" i="40"/>
  <c r="G82"/>
  <c r="G78"/>
  <c r="AS29" i="44" s="1"/>
  <c r="G77" i="40"/>
  <c r="AR29" i="44" s="1"/>
  <c r="G76" i="40"/>
  <c r="AQ29" i="44" s="1"/>
  <c r="G75" i="40"/>
  <c r="AP29" i="44" s="1"/>
  <c r="G74" i="40"/>
  <c r="G70"/>
  <c r="AB15" i="45" s="1"/>
  <c r="G69" i="40"/>
  <c r="AB14" i="45" s="1"/>
  <c r="AB13"/>
  <c r="G67" i="40"/>
  <c r="G66"/>
  <c r="G65"/>
  <c r="G63"/>
  <c r="AB8" i="45" s="1"/>
  <c r="G62" i="40"/>
  <c r="AB7" i="45" s="1"/>
  <c r="G58" i="4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5"/>
  <c r="G184"/>
  <c r="G183"/>
  <c r="G180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/>
  <c r="G163"/>
  <c r="G162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/>
  <c r="G132"/>
  <c r="G131"/>
  <c r="G130"/>
  <c r="G129"/>
  <c r="G128"/>
  <c r="G123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/>
  <c r="G113"/>
  <c r="G112"/>
  <c r="G92"/>
  <c r="AL27" i="1" s="1"/>
  <c r="G91" i="25"/>
  <c r="G90"/>
  <c r="G89"/>
  <c r="G88"/>
  <c r="G87"/>
  <c r="AC27" i="1" s="1"/>
  <c r="G86" i="25"/>
  <c r="AB27" i="1" s="1"/>
  <c r="G85" i="25"/>
  <c r="AA27" i="1" s="1"/>
  <c r="G84" i="25"/>
  <c r="Z27" i="1" s="1"/>
  <c r="G83" i="25"/>
  <c r="G82"/>
  <c r="G78"/>
  <c r="AS28" i="44" s="1"/>
  <c r="G77" i="25"/>
  <c r="AR28" i="44" s="1"/>
  <c r="G76" i="25"/>
  <c r="AQ28" i="44" s="1"/>
  <c r="G75" i="25"/>
  <c r="AP28" i="44" s="1"/>
  <c r="G74" i="25"/>
  <c r="G70"/>
  <c r="AA15" i="45" s="1"/>
  <c r="G69" i="25"/>
  <c r="AA14" i="45" s="1"/>
  <c r="G68" i="25"/>
  <c r="AA13" i="45" s="1"/>
  <c r="G67" i="25"/>
  <c r="G66"/>
  <c r="G65"/>
  <c r="G63"/>
  <c r="AA8" i="45" s="1"/>
  <c r="G62" i="25"/>
  <c r="AA7" i="45" s="1"/>
  <c r="G58" i="25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4"/>
  <c r="G184"/>
  <c r="G183"/>
  <c r="G180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/>
  <c r="G163"/>
  <c r="G162"/>
  <c r="AB27" i="44" s="1"/>
  <c r="G161" i="24"/>
  <c r="AA27" i="44" s="1"/>
  <c r="G140" i="24"/>
  <c r="P27" i="44" s="1"/>
  <c r="G139" i="24"/>
  <c r="O27" i="44" s="1"/>
  <c r="G138" i="24"/>
  <c r="G133"/>
  <c r="G132"/>
  <c r="G131"/>
  <c r="G130"/>
  <c r="G129"/>
  <c r="G128"/>
  <c r="G123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/>
  <c r="G113"/>
  <c r="G112"/>
  <c r="G92"/>
  <c r="AL26" i="1" s="1"/>
  <c r="G91" i="24"/>
  <c r="G90"/>
  <c r="G89"/>
  <c r="G88"/>
  <c r="G87"/>
  <c r="AC26" i="1" s="1"/>
  <c r="G86" i="24"/>
  <c r="AB26" i="1" s="1"/>
  <c r="G85" i="24"/>
  <c r="AA26" i="1" s="1"/>
  <c r="G84" i="24"/>
  <c r="Z26" i="1" s="1"/>
  <c r="G83" i="24"/>
  <c r="G82"/>
  <c r="G78"/>
  <c r="AS27" i="44" s="1"/>
  <c r="G77" i="24"/>
  <c r="AR27" i="44" s="1"/>
  <c r="G76" i="24"/>
  <c r="AQ27" i="44" s="1"/>
  <c r="G75" i="24"/>
  <c r="AP27" i="44" s="1"/>
  <c r="G74" i="24"/>
  <c r="G70"/>
  <c r="Z15" i="45" s="1"/>
  <c r="G69" i="24"/>
  <c r="Z14" i="45" s="1"/>
  <c r="G68" i="24"/>
  <c r="Z13" i="45" s="1"/>
  <c r="G67" i="24"/>
  <c r="G66"/>
  <c r="G65"/>
  <c r="G63"/>
  <c r="Z8" i="45" s="1"/>
  <c r="G62" i="24"/>
  <c r="Z7" i="45" s="1"/>
  <c r="G58" i="24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3"/>
  <c r="G184"/>
  <c r="G183"/>
  <c r="G180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/>
  <c r="G163"/>
  <c r="G162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/>
  <c r="G132"/>
  <c r="G131"/>
  <c r="G129"/>
  <c r="G128"/>
  <c r="G1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/>
  <c r="G113"/>
  <c r="G112"/>
  <c r="G92"/>
  <c r="AL25" i="1" s="1"/>
  <c r="G91" i="23"/>
  <c r="G90"/>
  <c r="G89"/>
  <c r="G88"/>
  <c r="G87"/>
  <c r="AC25" i="1" s="1"/>
  <c r="G86" i="23"/>
  <c r="AB25" i="1" s="1"/>
  <c r="G85" i="23"/>
  <c r="AA25" i="1" s="1"/>
  <c r="G84" i="23"/>
  <c r="Z25" i="1" s="1"/>
  <c r="G83" i="23"/>
  <c r="G82"/>
  <c r="G78"/>
  <c r="AS26" i="44" s="1"/>
  <c r="G77" i="23"/>
  <c r="AR26" i="44" s="1"/>
  <c r="G76" i="23"/>
  <c r="AQ26" i="44" s="1"/>
  <c r="G75" i="23"/>
  <c r="AP26" i="44" s="1"/>
  <c r="G74" i="23"/>
  <c r="G70"/>
  <c r="Y15" i="45" s="1"/>
  <c r="G69" i="23"/>
  <c r="Y14" i="45" s="1"/>
  <c r="G68" i="23"/>
  <c r="Y13" i="45" s="1"/>
  <c r="G67" i="23"/>
  <c r="G66"/>
  <c r="G65"/>
  <c r="G63"/>
  <c r="Y8" i="45" s="1"/>
  <c r="G62" i="23"/>
  <c r="Y7" i="45" s="1"/>
  <c r="G58" i="23"/>
  <c r="G57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2"/>
  <c r="G184"/>
  <c r="G183"/>
  <c r="G180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/>
  <c r="G163"/>
  <c r="G16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/>
  <c r="G132"/>
  <c r="G131"/>
  <c r="G130"/>
  <c r="G129"/>
  <c r="G128"/>
  <c r="G123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/>
  <c r="G113"/>
  <c r="G112"/>
  <c r="G92"/>
  <c r="AL24" i="1" s="1"/>
  <c r="G91" i="22"/>
  <c r="G90"/>
  <c r="G89"/>
  <c r="G88"/>
  <c r="G87"/>
  <c r="AC24" i="1" s="1"/>
  <c r="G86" i="22"/>
  <c r="AB24" i="1" s="1"/>
  <c r="G85" i="22"/>
  <c r="AA24" i="1" s="1"/>
  <c r="G84" i="22"/>
  <c r="Z24" i="1" s="1"/>
  <c r="G83" i="22"/>
  <c r="G82"/>
  <c r="G78"/>
  <c r="AS25" i="44" s="1"/>
  <c r="G77" i="22"/>
  <c r="AR25" i="44" s="1"/>
  <c r="G76" i="22"/>
  <c r="AQ25" i="44" s="1"/>
  <c r="G75" i="22"/>
  <c r="AP25" i="44" s="1"/>
  <c r="G74" i="22"/>
  <c r="G70"/>
  <c r="X15" i="45" s="1"/>
  <c r="G69" i="22"/>
  <c r="X14" i="45" s="1"/>
  <c r="G68" i="22"/>
  <c r="X13" i="45" s="1"/>
  <c r="G67" i="22"/>
  <c r="G66"/>
  <c r="G65"/>
  <c r="G63"/>
  <c r="X8" i="45" s="1"/>
  <c r="G62" i="22"/>
  <c r="X7" i="45" s="1"/>
  <c r="G58" i="22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1"/>
  <c r="G184"/>
  <c r="G183"/>
  <c r="G180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/>
  <c r="G163"/>
  <c r="G162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/>
  <c r="G132"/>
  <c r="G131"/>
  <c r="G130"/>
  <c r="G129"/>
  <c r="G128"/>
  <c r="G123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/>
  <c r="G113"/>
  <c r="G112"/>
  <c r="G92"/>
  <c r="AL23" i="1" s="1"/>
  <c r="G91" i="21"/>
  <c r="G90"/>
  <c r="G89"/>
  <c r="G88"/>
  <c r="G87"/>
  <c r="AC23" i="1" s="1"/>
  <c r="G86" i="21"/>
  <c r="AB23" i="1" s="1"/>
  <c r="G85" i="21"/>
  <c r="AA23" i="1" s="1"/>
  <c r="G84" i="21"/>
  <c r="Z23" i="1" s="1"/>
  <c r="G83" i="21"/>
  <c r="G82"/>
  <c r="G78"/>
  <c r="AS24" i="44" s="1"/>
  <c r="G77" i="21"/>
  <c r="AR24" i="44" s="1"/>
  <c r="G76" i="21"/>
  <c r="AQ24" i="44" s="1"/>
  <c r="G75" i="21"/>
  <c r="AP24" i="44" s="1"/>
  <c r="G74" i="21"/>
  <c r="G70"/>
  <c r="W15" i="45" s="1"/>
  <c r="G69" i="21"/>
  <c r="W14" i="45" s="1"/>
  <c r="G68" i="21"/>
  <c r="W13" i="45" s="1"/>
  <c r="G67" i="21"/>
  <c r="G66"/>
  <c r="G65"/>
  <c r="G63"/>
  <c r="W8" i="45" s="1"/>
  <c r="G62" i="21"/>
  <c r="G58"/>
  <c r="G57"/>
  <c r="G56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0"/>
  <c r="G184"/>
  <c r="G183"/>
  <c r="G18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/>
  <c r="G163"/>
  <c r="G162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/>
  <c r="G132"/>
  <c r="G131"/>
  <c r="G130"/>
  <c r="G129"/>
  <c r="G128"/>
  <c r="G123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/>
  <c r="G113"/>
  <c r="G112"/>
  <c r="G92"/>
  <c r="AL22" i="1" s="1"/>
  <c r="G91" i="20"/>
  <c r="G90"/>
  <c r="G89"/>
  <c r="G88"/>
  <c r="G87"/>
  <c r="AC22" i="1" s="1"/>
  <c r="G86" i="20"/>
  <c r="AB22" i="1" s="1"/>
  <c r="G85" i="20"/>
  <c r="AA22" i="1" s="1"/>
  <c r="G84" i="20"/>
  <c r="Z22" i="1" s="1"/>
  <c r="G83" i="20"/>
  <c r="G82"/>
  <c r="G78"/>
  <c r="AS23" i="44" s="1"/>
  <c r="G77" i="20"/>
  <c r="AR23" i="44" s="1"/>
  <c r="G76" i="20"/>
  <c r="AQ23" i="44" s="1"/>
  <c r="G75" i="20"/>
  <c r="AP23" i="44" s="1"/>
  <c r="G74" i="20"/>
  <c r="G70"/>
  <c r="V15" i="45" s="1"/>
  <c r="G69" i="20"/>
  <c r="V14" i="45" s="1"/>
  <c r="G68" i="20"/>
  <c r="V13" i="45" s="1"/>
  <c r="G67" i="20"/>
  <c r="G66"/>
  <c r="G65"/>
  <c r="G63"/>
  <c r="V8" i="45" s="1"/>
  <c r="G62" i="20"/>
  <c r="V7" i="45" s="1"/>
  <c r="G58" i="2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19"/>
  <c r="G184"/>
  <c r="G183"/>
  <c r="G180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/>
  <c r="G163"/>
  <c r="G162"/>
  <c r="AB22" i="44" s="1"/>
  <c r="G161" i="19"/>
  <c r="G142"/>
  <c r="R22" i="44" s="1"/>
  <c r="G141" i="19"/>
  <c r="Q22" i="44" s="1"/>
  <c r="G140" i="19"/>
  <c r="P22" i="44" s="1"/>
  <c r="G139" i="19"/>
  <c r="O22" i="44" s="1"/>
  <c r="G138" i="19"/>
  <c r="G133"/>
  <c r="G132"/>
  <c r="G131"/>
  <c r="G130"/>
  <c r="G129"/>
  <c r="G128"/>
  <c r="G123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/>
  <c r="G113"/>
  <c r="G112"/>
  <c r="G92"/>
  <c r="AL21" i="1" s="1"/>
  <c r="G91" i="19"/>
  <c r="G90"/>
  <c r="G89"/>
  <c r="G88"/>
  <c r="G87"/>
  <c r="AC21" i="1" s="1"/>
  <c r="G86" i="19"/>
  <c r="AB21" i="1" s="1"/>
  <c r="G85" i="19"/>
  <c r="AA21" i="1" s="1"/>
  <c r="Z21"/>
  <c r="G83" i="19"/>
  <c r="G82"/>
  <c r="G78"/>
  <c r="AS22" i="44" s="1"/>
  <c r="G77" i="19"/>
  <c r="AR22" i="44" s="1"/>
  <c r="AQ22"/>
  <c r="G75" i="19"/>
  <c r="AP22" i="44" s="1"/>
  <c r="G70" i="19"/>
  <c r="U15" i="45" s="1"/>
  <c r="G69" i="19"/>
  <c r="U14" i="45" s="1"/>
  <c r="G68" i="19"/>
  <c r="U13" i="45" s="1"/>
  <c r="G66" i="19"/>
  <c r="G65"/>
  <c r="G63"/>
  <c r="U8" i="45" s="1"/>
  <c r="G62" i="19"/>
  <c r="U7" i="45" s="1"/>
  <c r="G58" i="19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18"/>
  <c r="E31" s="1"/>
  <c r="G31" s="1"/>
  <c r="K9"/>
  <c r="M8"/>
  <c r="G185" i="18"/>
  <c r="G184"/>
  <c r="G183"/>
  <c r="G180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/>
  <c r="G163"/>
  <c r="G162"/>
  <c r="AB21" i="44" s="1"/>
  <c r="G161" i="18"/>
  <c r="G142"/>
  <c r="R21" i="44" s="1"/>
  <c r="G141" i="18"/>
  <c r="Q21" i="44" s="1"/>
  <c r="G140" i="18"/>
  <c r="P21" i="44" s="1"/>
  <c r="G139" i="18"/>
  <c r="O21" i="44" s="1"/>
  <c r="G138" i="18"/>
  <c r="G133"/>
  <c r="G132"/>
  <c r="G131"/>
  <c r="G130"/>
  <c r="G129"/>
  <c r="G128"/>
  <c r="G123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/>
  <c r="G113"/>
  <c r="G112"/>
  <c r="G92"/>
  <c r="AL20" i="1" s="1"/>
  <c r="G91" i="18"/>
  <c r="G90"/>
  <c r="G89"/>
  <c r="G88"/>
  <c r="G87"/>
  <c r="AC20" i="1" s="1"/>
  <c r="G86" i="18"/>
  <c r="AB20" i="1" s="1"/>
  <c r="G85" i="18"/>
  <c r="AA20" i="1" s="1"/>
  <c r="G84" i="18"/>
  <c r="Z20" i="1" s="1"/>
  <c r="G83" i="18"/>
  <c r="G82"/>
  <c r="G78"/>
  <c r="AS21" i="44" s="1"/>
  <c r="G77" i="18"/>
  <c r="AR21" i="44" s="1"/>
  <c r="G76" i="18"/>
  <c r="AQ21" i="44" s="1"/>
  <c r="G75" i="18"/>
  <c r="AP21" i="44" s="1"/>
  <c r="G74" i="18"/>
  <c r="G70"/>
  <c r="T15" i="45" s="1"/>
  <c r="G69" i="18"/>
  <c r="T14" i="45" s="1"/>
  <c r="G68" i="18"/>
  <c r="T13" i="45" s="1"/>
  <c r="G67" i="18"/>
  <c r="G66"/>
  <c r="G65"/>
  <c r="G63"/>
  <c r="T8" i="45" s="1"/>
  <c r="G62" i="18"/>
  <c r="T7" i="45" s="1"/>
  <c r="G58" i="1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17"/>
  <c r="G184"/>
  <c r="G183"/>
  <c r="G180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/>
  <c r="G163"/>
  <c r="G162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/>
  <c r="G132"/>
  <c r="G131"/>
  <c r="G130"/>
  <c r="G129"/>
  <c r="G128"/>
  <c r="G123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/>
  <c r="G112"/>
  <c r="AL19" i="1"/>
  <c r="G90" i="17"/>
  <c r="G89"/>
  <c r="G88"/>
  <c r="G87"/>
  <c r="AC19" i="1" s="1"/>
  <c r="G86" i="17"/>
  <c r="AB19" i="1" s="1"/>
  <c r="G85" i="17"/>
  <c r="AA19" i="1" s="1"/>
  <c r="G84" i="17"/>
  <c r="Z19" i="1" s="1"/>
  <c r="G83" i="17"/>
  <c r="G82"/>
  <c r="G78"/>
  <c r="AS20" i="44" s="1"/>
  <c r="G77" i="17"/>
  <c r="AR20" i="44" s="1"/>
  <c r="G76" i="17"/>
  <c r="AQ20" i="44" s="1"/>
  <c r="G75" i="17"/>
  <c r="AP20" i="44" s="1"/>
  <c r="G74" i="17"/>
  <c r="G70"/>
  <c r="S15" i="45" s="1"/>
  <c r="G69" i="17"/>
  <c r="S14" i="45" s="1"/>
  <c r="G68" i="17"/>
  <c r="S13" i="45" s="1"/>
  <c r="G67" i="17"/>
  <c r="G66"/>
  <c r="G65"/>
  <c r="G63"/>
  <c r="S8" i="45" s="1"/>
  <c r="G62" i="17"/>
  <c r="S7" i="45" s="1"/>
  <c r="G58" i="17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16"/>
  <c r="G184"/>
  <c r="G183"/>
  <c r="G180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/>
  <c r="G163"/>
  <c r="G162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/>
  <c r="G132"/>
  <c r="G131"/>
  <c r="G130"/>
  <c r="G129"/>
  <c r="G128"/>
  <c r="G123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/>
  <c r="G113"/>
  <c r="G112"/>
  <c r="G92"/>
  <c r="AL18" i="1" s="1"/>
  <c r="G91" i="16"/>
  <c r="G90"/>
  <c r="G89"/>
  <c r="G88"/>
  <c r="G87"/>
  <c r="AC18" i="1" s="1"/>
  <c r="G86" i="16"/>
  <c r="AB18" i="1" s="1"/>
  <c r="G85" i="16"/>
  <c r="AA18" i="1" s="1"/>
  <c r="G84" i="16"/>
  <c r="Z18" i="1" s="1"/>
  <c r="G83" i="16"/>
  <c r="G82"/>
  <c r="G78"/>
  <c r="AS19" i="44" s="1"/>
  <c r="G77" i="16"/>
  <c r="AR19" i="44" s="1"/>
  <c r="G76" i="16"/>
  <c r="AQ19" i="44" s="1"/>
  <c r="G75" i="16"/>
  <c r="AP19" i="44" s="1"/>
  <c r="G74" i="16"/>
  <c r="G70"/>
  <c r="R15" i="45" s="1"/>
  <c r="G69" i="16"/>
  <c r="R14" i="45" s="1"/>
  <c r="G68" i="16"/>
  <c r="R13" i="45" s="1"/>
  <c r="G67" i="16"/>
  <c r="G66"/>
  <c r="G65"/>
  <c r="G63"/>
  <c r="R8" i="45" s="1"/>
  <c r="G62" i="16"/>
  <c r="R7" i="45" s="1"/>
  <c r="G58" i="16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5"/>
  <c r="K9"/>
  <c r="M8"/>
  <c r="G185" i="15"/>
  <c r="G184"/>
  <c r="G183"/>
  <c r="G180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/>
  <c r="G163"/>
  <c r="G162"/>
  <c r="AB18" i="44" s="1"/>
  <c r="G161" i="15"/>
  <c r="G142"/>
  <c r="R18" i="44" s="1"/>
  <c r="G141" i="15"/>
  <c r="Q18" i="44" s="1"/>
  <c r="G140" i="15"/>
  <c r="P18" i="44" s="1"/>
  <c r="G139" i="15"/>
  <c r="O18" i="44" s="1"/>
  <c r="G138" i="15"/>
  <c r="G133"/>
  <c r="G132"/>
  <c r="G131"/>
  <c r="G130"/>
  <c r="G129"/>
  <c r="G128"/>
  <c r="G123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/>
  <c r="G113"/>
  <c r="G112"/>
  <c r="G92"/>
  <c r="AL17" i="1" s="1"/>
  <c r="G91" i="15"/>
  <c r="G90"/>
  <c r="G89"/>
  <c r="G88"/>
  <c r="G87"/>
  <c r="AC17" i="1" s="1"/>
  <c r="G86" i="15"/>
  <c r="AB17" i="1" s="1"/>
  <c r="G85" i="15"/>
  <c r="AA17" i="1" s="1"/>
  <c r="G84" i="15"/>
  <c r="Z17" i="1" s="1"/>
  <c r="G83" i="15"/>
  <c r="G82"/>
  <c r="G78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/>
  <c r="G65"/>
  <c r="G63"/>
  <c r="Q8" i="45" s="1"/>
  <c r="G62" i="15"/>
  <c r="Q7" i="45" s="1"/>
  <c r="G58" i="15"/>
  <c r="G57"/>
  <c r="G56"/>
  <c r="G55"/>
  <c r="G54"/>
  <c r="G53"/>
  <c r="G52"/>
  <c r="G51"/>
  <c r="G50"/>
  <c r="G49"/>
  <c r="G46"/>
  <c r="G45"/>
  <c r="G44"/>
  <c r="AO17" i="1" s="1"/>
  <c r="G43" i="15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4"/>
  <c r="G184"/>
  <c r="G183"/>
  <c r="G180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/>
  <c r="G163"/>
  <c r="G162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/>
  <c r="G132"/>
  <c r="G131"/>
  <c r="G130"/>
  <c r="G129"/>
  <c r="G128"/>
  <c r="G123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/>
  <c r="G113"/>
  <c r="G112"/>
  <c r="G92"/>
  <c r="AL16" i="1" s="1"/>
  <c r="G91" i="14"/>
  <c r="G90"/>
  <c r="G89"/>
  <c r="G88"/>
  <c r="G87"/>
  <c r="AC16" i="1" s="1"/>
  <c r="G86" i="14"/>
  <c r="AB16" i="1" s="1"/>
  <c r="G85" i="14"/>
  <c r="AA16" i="1" s="1"/>
  <c r="G84" i="14"/>
  <c r="Z16" i="1" s="1"/>
  <c r="G83" i="14"/>
  <c r="G82"/>
  <c r="G78"/>
  <c r="AS17" i="44" s="1"/>
  <c r="G77" i="14"/>
  <c r="AR17" i="44" s="1"/>
  <c r="G76" i="14"/>
  <c r="AQ17" i="44" s="1"/>
  <c r="G75" i="14"/>
  <c r="AP17" i="44" s="1"/>
  <c r="G74" i="14"/>
  <c r="G70"/>
  <c r="P15" i="45" s="1"/>
  <c r="G69" i="14"/>
  <c r="P14" i="45" s="1"/>
  <c r="G68" i="14"/>
  <c r="P13" i="45" s="1"/>
  <c r="G67" i="14"/>
  <c r="G66"/>
  <c r="G65"/>
  <c r="G63"/>
  <c r="P8" i="45" s="1"/>
  <c r="G62" i="14"/>
  <c r="P7" i="45" s="1"/>
  <c r="G58" i="14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3"/>
  <c r="G184"/>
  <c r="G183"/>
  <c r="G180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/>
  <c r="G163"/>
  <c r="G162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/>
  <c r="G132"/>
  <c r="G131"/>
  <c r="G130"/>
  <c r="G129"/>
  <c r="G128"/>
  <c r="G12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/>
  <c r="G113"/>
  <c r="G112"/>
  <c r="G92"/>
  <c r="AL15" i="1" s="1"/>
  <c r="G91" i="13"/>
  <c r="G90"/>
  <c r="G89"/>
  <c r="G88"/>
  <c r="G87"/>
  <c r="AC15" i="1" s="1"/>
  <c r="G86" i="13"/>
  <c r="AB15" i="1" s="1"/>
  <c r="G85" i="13"/>
  <c r="AA15" i="1" s="1"/>
  <c r="G84" i="13"/>
  <c r="Z15" i="1" s="1"/>
  <c r="G83" i="13"/>
  <c r="G82"/>
  <c r="G78"/>
  <c r="AS16" i="44" s="1"/>
  <c r="G77" i="13"/>
  <c r="AR16" i="44" s="1"/>
  <c r="G76" i="13"/>
  <c r="AQ16" i="44" s="1"/>
  <c r="G75" i="13"/>
  <c r="AP16" i="44" s="1"/>
  <c r="G74" i="13"/>
  <c r="G70"/>
  <c r="G69"/>
  <c r="O14" i="45" s="1"/>
  <c r="G68" i="13"/>
  <c r="O13" i="45" s="1"/>
  <c r="G67" i="13"/>
  <c r="G66"/>
  <c r="G65"/>
  <c r="G63"/>
  <c r="O8" i="45" s="1"/>
  <c r="G62" i="13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2"/>
  <c r="G184"/>
  <c r="G183"/>
  <c r="G180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/>
  <c r="G163"/>
  <c r="G16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/>
  <c r="G132"/>
  <c r="G131"/>
  <c r="G130"/>
  <c r="G129"/>
  <c r="G128"/>
  <c r="G123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/>
  <c r="G113"/>
  <c r="G112"/>
  <c r="G92"/>
  <c r="AL14" i="1" s="1"/>
  <c r="G91" i="12"/>
  <c r="G90"/>
  <c r="G89"/>
  <c r="G88"/>
  <c r="G87"/>
  <c r="AC14" i="1" s="1"/>
  <c r="G86" i="12"/>
  <c r="AB14" i="1" s="1"/>
  <c r="G85" i="12"/>
  <c r="AA14" i="1" s="1"/>
  <c r="G84" i="12"/>
  <c r="Z14" i="1" s="1"/>
  <c r="G83" i="12"/>
  <c r="G82"/>
  <c r="G78"/>
  <c r="AS15" i="44" s="1"/>
  <c r="G77" i="12"/>
  <c r="AR15" i="44" s="1"/>
  <c r="G76" i="12"/>
  <c r="AQ15" i="44" s="1"/>
  <c r="G75" i="12"/>
  <c r="AP15" i="44" s="1"/>
  <c r="G74" i="12"/>
  <c r="G70"/>
  <c r="N15" i="45" s="1"/>
  <c r="G69" i="12"/>
  <c r="N14" i="45" s="1"/>
  <c r="G68" i="12"/>
  <c r="N13" i="45" s="1"/>
  <c r="G67" i="12"/>
  <c r="G66"/>
  <c r="G65"/>
  <c r="G63"/>
  <c r="N8" i="45" s="1"/>
  <c r="G62" i="1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1"/>
  <c r="G184"/>
  <c r="G183"/>
  <c r="G180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/>
  <c r="G163"/>
  <c r="G162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/>
  <c r="AM14" i="44" s="1"/>
  <c r="G132" i="11"/>
  <c r="G131"/>
  <c r="G130"/>
  <c r="G129"/>
  <c r="G128"/>
  <c r="G123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/>
  <c r="G113"/>
  <c r="G112"/>
  <c r="G92"/>
  <c r="AL13" i="1" s="1"/>
  <c r="G91" i="11"/>
  <c r="G90"/>
  <c r="G89"/>
  <c r="G88"/>
  <c r="G87"/>
  <c r="AC13" i="1" s="1"/>
  <c r="G86" i="11"/>
  <c r="AB13" i="1" s="1"/>
  <c r="G85" i="11"/>
  <c r="AA13" i="1" s="1"/>
  <c r="G84" i="11"/>
  <c r="Z13" i="1" s="1"/>
  <c r="G83" i="11"/>
  <c r="G82"/>
  <c r="G78"/>
  <c r="AS14" i="44" s="1"/>
  <c r="G77" i="11"/>
  <c r="AR14" i="44" s="1"/>
  <c r="G76" i="11"/>
  <c r="AQ14" i="44" s="1"/>
  <c r="G75" i="11"/>
  <c r="AP14" i="44" s="1"/>
  <c r="G74" i="11"/>
  <c r="G70"/>
  <c r="M15" i="45" s="1"/>
  <c r="G69" i="11"/>
  <c r="M14" i="45" s="1"/>
  <c r="G68" i="11"/>
  <c r="M13" i="45" s="1"/>
  <c r="G67" i="11"/>
  <c r="G66"/>
  <c r="G65"/>
  <c r="G63"/>
  <c r="M8" i="45" s="1"/>
  <c r="G62" i="11"/>
  <c r="M7" i="45" s="1"/>
  <c r="G58" i="11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0"/>
  <c r="G184"/>
  <c r="G183"/>
  <c r="G18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/>
  <c r="G163"/>
  <c r="G162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/>
  <c r="AM13" i="44" s="1"/>
  <c r="G132" i="10"/>
  <c r="G131"/>
  <c r="G130"/>
  <c r="G129"/>
  <c r="G128"/>
  <c r="G123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/>
  <c r="G113"/>
  <c r="G112"/>
  <c r="G92"/>
  <c r="AL12" i="1" s="1"/>
  <c r="G91" i="10"/>
  <c r="G90"/>
  <c r="G89"/>
  <c r="G88"/>
  <c r="G87"/>
  <c r="AC12" i="1" s="1"/>
  <c r="G86" i="10"/>
  <c r="AB12" i="1" s="1"/>
  <c r="G85" i="10"/>
  <c r="AA12" i="1" s="1"/>
  <c r="G84" i="10"/>
  <c r="Z12" i="1" s="1"/>
  <c r="G83" i="10"/>
  <c r="G82"/>
  <c r="G78"/>
  <c r="AS13" i="44" s="1"/>
  <c r="G77" i="10"/>
  <c r="AR13" i="44" s="1"/>
  <c r="G76" i="10"/>
  <c r="AQ13" i="44" s="1"/>
  <c r="G75" i="10"/>
  <c r="AP13" i="44" s="1"/>
  <c r="G74" i="10"/>
  <c r="G70"/>
  <c r="L15" i="45" s="1"/>
  <c r="G69" i="10"/>
  <c r="L14" i="45" s="1"/>
  <c r="G68" i="10"/>
  <c r="L13" i="45" s="1"/>
  <c r="G67" i="10"/>
  <c r="G66"/>
  <c r="G65"/>
  <c r="G63"/>
  <c r="L8" i="45" s="1"/>
  <c r="G62" i="10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9"/>
  <c r="G184"/>
  <c r="G183"/>
  <c r="G180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/>
  <c r="G163"/>
  <c r="G162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/>
  <c r="AM12" i="44" s="1"/>
  <c r="G132" i="9"/>
  <c r="G131"/>
  <c r="G130"/>
  <c r="G129"/>
  <c r="G128"/>
  <c r="G123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/>
  <c r="G113"/>
  <c r="G112"/>
  <c r="G92"/>
  <c r="AL11" i="1" s="1"/>
  <c r="G91" i="9"/>
  <c r="G90"/>
  <c r="G89"/>
  <c r="G88"/>
  <c r="G87"/>
  <c r="AC11" i="1" s="1"/>
  <c r="G86" i="9"/>
  <c r="AB11" i="1" s="1"/>
  <c r="G85" i="9"/>
  <c r="AA11" i="1" s="1"/>
  <c r="G84" i="9"/>
  <c r="Z11" i="1" s="1"/>
  <c r="G83" i="9"/>
  <c r="G82"/>
  <c r="G78"/>
  <c r="AS12" i="44" s="1"/>
  <c r="G77" i="9"/>
  <c r="AR12" i="44" s="1"/>
  <c r="G76" i="9"/>
  <c r="AQ12" i="44" s="1"/>
  <c r="G75" i="9"/>
  <c r="AP12" i="44" s="1"/>
  <c r="G74" i="9"/>
  <c r="G70"/>
  <c r="K15" i="45" s="1"/>
  <c r="G69" i="9"/>
  <c r="K14" i="45" s="1"/>
  <c r="G68" i="9"/>
  <c r="K13" i="45" s="1"/>
  <c r="G67" i="9"/>
  <c r="G66"/>
  <c r="G65"/>
  <c r="G63"/>
  <c r="K8" i="45" s="1"/>
  <c r="G62" i="9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G10"/>
  <c r="K9"/>
  <c r="M8"/>
  <c r="G188" i="29" l="1"/>
  <c r="AD8" i="45"/>
  <c r="AD13"/>
  <c r="AD15"/>
  <c r="AD14"/>
  <c r="G47" i="17"/>
  <c r="N7" i="45"/>
  <c r="O15"/>
  <c r="G188" i="13"/>
  <c r="G13" i="3"/>
  <c r="H13" s="1"/>
  <c r="J13" s="1"/>
  <c r="E19" i="7"/>
  <c r="E15" i="8"/>
  <c r="G15" i="18"/>
  <c r="G79" s="1"/>
  <c r="G80" s="1"/>
  <c r="E7" i="8"/>
  <c r="G10" i="17"/>
  <c r="E8" i="8"/>
  <c r="E9"/>
  <c r="AD13" i="44"/>
  <c r="G47" i="29"/>
  <c r="AD29" i="44"/>
  <c r="G153" i="19"/>
  <c r="I153" s="1"/>
  <c r="G47"/>
  <c r="AD24" i="44"/>
  <c r="AD22"/>
  <c r="AD21"/>
  <c r="AD32"/>
  <c r="AD26"/>
  <c r="AD27"/>
  <c r="AD31"/>
  <c r="AD35"/>
  <c r="AD33"/>
  <c r="AD34"/>
  <c r="G153" i="29"/>
  <c r="I153" s="1"/>
  <c r="AD30" i="44"/>
  <c r="AD28"/>
  <c r="AD25"/>
  <c r="AD23"/>
  <c r="AD20"/>
  <c r="AD19"/>
  <c r="AD18"/>
  <c r="AD17"/>
  <c r="AD16"/>
  <c r="AD15"/>
  <c r="AD14"/>
  <c r="AD12"/>
  <c r="AF21" i="45"/>
  <c r="G181" i="30"/>
  <c r="G189" s="1"/>
  <c r="G135" i="12"/>
  <c r="I135" s="1"/>
  <c r="G135" i="19"/>
  <c r="I135" s="1"/>
  <c r="G135" i="9"/>
  <c r="I135" s="1"/>
  <c r="G125" i="23"/>
  <c r="I125" s="1"/>
  <c r="G135" i="22"/>
  <c r="I135" s="1"/>
  <c r="G125" i="11"/>
  <c r="I125" s="1"/>
  <c r="G135" i="13"/>
  <c r="I135" s="1"/>
  <c r="G135" i="28"/>
  <c r="I135" s="1"/>
  <c r="G125" i="31"/>
  <c r="I125" s="1"/>
  <c r="G135" i="40"/>
  <c r="I135" s="1"/>
  <c r="N25" i="44"/>
  <c r="G153" i="22"/>
  <c r="I153" s="1"/>
  <c r="N18" i="44"/>
  <c r="G153" i="15"/>
  <c r="I153" s="1"/>
  <c r="G135" i="18"/>
  <c r="I135" s="1"/>
  <c r="G125" i="20"/>
  <c r="I125" s="1"/>
  <c r="N26" i="44"/>
  <c r="G153" i="23"/>
  <c r="I153" s="1"/>
  <c r="G125" i="27"/>
  <c r="I125" s="1"/>
  <c r="N32" i="44"/>
  <c r="G135" i="43"/>
  <c r="I135" s="1"/>
  <c r="N29" i="44"/>
  <c r="G153" i="40"/>
  <c r="I153" s="1"/>
  <c r="G125" i="10"/>
  <c r="I125" s="1"/>
  <c r="N14" i="44"/>
  <c r="G153" i="11"/>
  <c r="I153" s="1"/>
  <c r="G125" i="14"/>
  <c r="I125" s="1"/>
  <c r="G125" i="16"/>
  <c r="I125" s="1"/>
  <c r="G125" i="30"/>
  <c r="I125" s="1"/>
  <c r="N35" i="44"/>
  <c r="G153" i="31"/>
  <c r="I153" s="1"/>
  <c r="G135" i="15"/>
  <c r="I135" s="1"/>
  <c r="G125" i="17"/>
  <c r="I125" s="1"/>
  <c r="N23" i="44"/>
  <c r="G153" i="20"/>
  <c r="I153" s="1"/>
  <c r="G125" i="21"/>
  <c r="I125" s="1"/>
  <c r="G125" i="25"/>
  <c r="I125" s="1"/>
  <c r="N30" i="44"/>
  <c r="G153" i="27"/>
  <c r="I153" s="1"/>
  <c r="G135" i="29"/>
  <c r="I135" s="1"/>
  <c r="N15" i="44"/>
  <c r="G153" i="12"/>
  <c r="I153" s="1"/>
  <c r="G125" i="9"/>
  <c r="I125" s="1"/>
  <c r="N13" i="44"/>
  <c r="G153" i="10"/>
  <c r="I153" s="1"/>
  <c r="G135" i="11"/>
  <c r="I135" s="1"/>
  <c r="G125" i="13"/>
  <c r="N17" i="44"/>
  <c r="G153" i="14"/>
  <c r="I153" s="1"/>
  <c r="N19" i="44"/>
  <c r="G153" i="16"/>
  <c r="I153" s="1"/>
  <c r="N20" i="44"/>
  <c r="G153" i="17"/>
  <c r="I153" s="1"/>
  <c r="G135" i="23"/>
  <c r="I135" s="1"/>
  <c r="G125" i="28"/>
  <c r="I125" s="1"/>
  <c r="N33" i="44"/>
  <c r="G153" i="30"/>
  <c r="I153" s="1"/>
  <c r="G135" i="31"/>
  <c r="I135" s="1"/>
  <c r="G125" i="18"/>
  <c r="I125" s="1"/>
  <c r="G135" i="20"/>
  <c r="I135" s="1"/>
  <c r="N24" i="44"/>
  <c r="G153" i="21"/>
  <c r="I153" s="1"/>
  <c r="G135" i="27"/>
  <c r="I135" s="1"/>
  <c r="G125" i="43"/>
  <c r="I125" s="1"/>
  <c r="N12" i="44"/>
  <c r="G153" i="9"/>
  <c r="I153" s="1"/>
  <c r="G135" i="10"/>
  <c r="I135" s="1"/>
  <c r="G125" i="12"/>
  <c r="I125" s="1"/>
  <c r="N16" i="44"/>
  <c r="G153" i="13"/>
  <c r="I153" s="1"/>
  <c r="G135" i="14"/>
  <c r="I135" s="1"/>
  <c r="G135" i="16"/>
  <c r="I135" s="1"/>
  <c r="G135" i="17"/>
  <c r="I135" s="1"/>
  <c r="G125" i="19"/>
  <c r="I125" s="1"/>
  <c r="G125" i="22"/>
  <c r="I125" s="1"/>
  <c r="G125" i="40"/>
  <c r="I125" s="1"/>
  <c r="N31" i="44"/>
  <c r="G153" i="28"/>
  <c r="I153" s="1"/>
  <c r="G135" i="30"/>
  <c r="I135" s="1"/>
  <c r="G125" i="15"/>
  <c r="I125" s="1"/>
  <c r="G153" i="18"/>
  <c r="I153" s="1"/>
  <c r="G135" i="21"/>
  <c r="I135" s="1"/>
  <c r="G135" i="25"/>
  <c r="I135" s="1"/>
  <c r="G125" i="29"/>
  <c r="I125" s="1"/>
  <c r="N34" i="44"/>
  <c r="G153" i="43"/>
  <c r="I153" s="1"/>
  <c r="N28" i="44"/>
  <c r="G153" i="25"/>
  <c r="I153" s="1"/>
  <c r="N27" i="44"/>
  <c r="G153" i="24"/>
  <c r="I153" s="1"/>
  <c r="G135"/>
  <c r="I135" s="1"/>
  <c r="G125"/>
  <c r="I125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17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/>
  <c r="AW34" i="44"/>
  <c r="AK33" i="1"/>
  <c r="AU34" i="44"/>
  <c r="AO33" i="1"/>
  <c r="AO34" i="44"/>
  <c r="AG33" i="1"/>
  <c r="AV34" i="44"/>
  <c r="AI33" i="1"/>
  <c r="AX34" i="44"/>
  <c r="AX35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/>
  <c r="N22"/>
  <c r="AO22" i="1"/>
  <c r="AO23" i="44"/>
  <c r="AG21" i="1"/>
  <c r="AV22" i="44"/>
  <c r="AA22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Z18" s="1"/>
  <c r="AG17" i="1"/>
  <c r="AV18" i="44"/>
  <c r="AA18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/>
  <c r="BJ11"/>
  <c r="G96" i="11"/>
  <c r="G102" i="12"/>
  <c r="G98" i="13"/>
  <c r="G100"/>
  <c r="G102" i="27"/>
  <c r="G100" i="28"/>
  <c r="G102" i="43"/>
  <c r="J152" i="5"/>
  <c r="H152" i="33"/>
  <c r="G100" i="9"/>
  <c r="G102" i="16"/>
  <c r="G104" i="15"/>
  <c r="G102" i="19"/>
  <c r="G47" i="43"/>
  <c r="G186"/>
  <c r="G186" i="30"/>
  <c r="I88" i="28"/>
  <c r="I90" i="27"/>
  <c r="G186"/>
  <c r="G186" i="40"/>
  <c r="G47"/>
  <c r="I90" i="25"/>
  <c r="I90" i="23"/>
  <c r="G186" i="22"/>
  <c r="G186" i="21"/>
  <c r="I90" i="18"/>
  <c r="I90" i="16"/>
  <c r="I88" i="14"/>
  <c r="G186" i="11"/>
  <c r="G186" i="9"/>
  <c r="I90"/>
  <c r="H168" i="10"/>
  <c r="J168" i="9"/>
  <c r="H167" i="10"/>
  <c r="J167" i="9"/>
  <c r="H182" i="7"/>
  <c r="J182" i="33"/>
  <c r="H177" i="7"/>
  <c r="J177" i="33"/>
  <c r="J20" i="3"/>
  <c r="I20" s="1"/>
  <c r="G104" i="31"/>
  <c r="G186"/>
  <c r="G102"/>
  <c r="E31"/>
  <c r="G31" s="1"/>
  <c r="G94"/>
  <c r="G98"/>
  <c r="G100"/>
  <c r="I90"/>
  <c r="G71"/>
  <c r="I90" i="43"/>
  <c r="G71"/>
  <c r="G96"/>
  <c r="I90" i="30"/>
  <c r="G71"/>
  <c r="G100"/>
  <c r="G47"/>
  <c r="G100" i="29"/>
  <c r="G181" i="28"/>
  <c r="G189" s="1"/>
  <c r="G47" i="27"/>
  <c r="I90" i="40"/>
  <c r="G71"/>
  <c r="G96"/>
  <c r="G186" i="25"/>
  <c r="G176" i="24"/>
  <c r="G181"/>
  <c r="G189" s="1"/>
  <c r="G186" i="23"/>
  <c r="G71"/>
  <c r="G47"/>
  <c r="G47" i="22"/>
  <c r="G96" i="21"/>
  <c r="G186" i="20"/>
  <c r="I90"/>
  <c r="G71"/>
  <c r="I85" i="19"/>
  <c r="G104"/>
  <c r="G181" i="18"/>
  <c r="G189" s="1"/>
  <c r="I88"/>
  <c r="G186" i="16"/>
  <c r="G71"/>
  <c r="G47"/>
  <c r="G186" i="15"/>
  <c r="G79"/>
  <c r="G181" i="14"/>
  <c r="G189" s="1"/>
  <c r="I90"/>
  <c r="G176" i="13"/>
  <c r="G181"/>
  <c r="G189" s="1"/>
  <c r="I85"/>
  <c r="G186" i="12"/>
  <c r="G47"/>
  <c r="I90" i="11"/>
  <c r="G71"/>
  <c r="G47"/>
  <c r="G186" i="10"/>
  <c r="G47"/>
  <c r="G71" i="9"/>
  <c r="G96"/>
  <c r="G47"/>
  <c r="I88" i="31"/>
  <c r="G59"/>
  <c r="G176"/>
  <c r="G181"/>
  <c r="G189" s="1"/>
  <c r="G64"/>
  <c r="G96"/>
  <c r="G47"/>
  <c r="I85"/>
  <c r="G71" i="10"/>
  <c r="I90" i="12"/>
  <c r="G176" i="14"/>
  <c r="G181" i="15"/>
  <c r="G189" s="1"/>
  <c r="I90" i="10"/>
  <c r="G71" i="12"/>
  <c r="I88" i="17"/>
  <c r="G176" i="15"/>
  <c r="G181" i="17"/>
  <c r="G189" s="1"/>
  <c r="G186" i="18"/>
  <c r="G176" i="19"/>
  <c r="G176" i="21"/>
  <c r="G186" i="24"/>
  <c r="G176" i="28"/>
  <c r="G94" i="43"/>
  <c r="G59"/>
  <c r="G98"/>
  <c r="G100" i="14"/>
  <c r="G96" i="15"/>
  <c r="G79" i="16"/>
  <c r="G80" s="1"/>
  <c r="G102" i="17"/>
  <c r="G71" i="29"/>
  <c r="G176" i="18"/>
  <c r="G186" i="28"/>
  <c r="G104" i="14"/>
  <c r="G96"/>
  <c r="G104" i="43"/>
  <c r="G64"/>
  <c r="G176"/>
  <c r="G181"/>
  <c r="G189" s="1"/>
  <c r="G96" i="12"/>
  <c r="G102" i="14"/>
  <c r="G79" i="17"/>
  <c r="G80" s="1"/>
  <c r="G100"/>
  <c r="G104" i="18"/>
  <c r="G96"/>
  <c r="G186" i="19"/>
  <c r="I90" i="29"/>
  <c r="G186"/>
  <c r="G181" i="19"/>
  <c r="G189" s="1"/>
  <c r="I88" i="43"/>
  <c r="G100" i="15"/>
  <c r="G104" i="17"/>
  <c r="G96"/>
  <c r="G102" i="18"/>
  <c r="G71" i="25"/>
  <c r="G71" i="27"/>
  <c r="G102" i="24"/>
  <c r="G96" i="25"/>
  <c r="G71" i="22"/>
  <c r="I90"/>
  <c r="I85" i="43"/>
  <c r="G100" i="24"/>
  <c r="G104" i="28"/>
  <c r="G96"/>
  <c r="G96" i="29"/>
  <c r="G181" i="21"/>
  <c r="G189" s="1"/>
  <c r="G96" i="24"/>
  <c r="I88" i="30"/>
  <c r="G94"/>
  <c r="G59"/>
  <c r="G98"/>
  <c r="G176"/>
  <c r="G96"/>
  <c r="G104"/>
  <c r="G64"/>
  <c r="I85"/>
  <c r="I88" i="29"/>
  <c r="G59"/>
  <c r="G176"/>
  <c r="G181"/>
  <c r="G189" s="1"/>
  <c r="G64"/>
  <c r="I85"/>
  <c r="I90" i="28"/>
  <c r="G71"/>
  <c r="I85"/>
  <c r="G47"/>
  <c r="G59"/>
  <c r="G64"/>
  <c r="G94"/>
  <c r="G98"/>
  <c r="I88" i="27"/>
  <c r="G94"/>
  <c r="G59"/>
  <c r="G98"/>
  <c r="G176"/>
  <c r="G181"/>
  <c r="G189" s="1"/>
  <c r="G96"/>
  <c r="G104"/>
  <c r="G64"/>
  <c r="I85"/>
  <c r="I88" i="40"/>
  <c r="G94"/>
  <c r="G59"/>
  <c r="G98"/>
  <c r="G176"/>
  <c r="G181"/>
  <c r="G189" s="1"/>
  <c r="G104"/>
  <c r="G64"/>
  <c r="I85"/>
  <c r="I88" i="25"/>
  <c r="G59"/>
  <c r="G176"/>
  <c r="G181"/>
  <c r="G189" s="1"/>
  <c r="G64"/>
  <c r="G47"/>
  <c r="I85"/>
  <c r="I90" i="24"/>
  <c r="G71"/>
  <c r="I85"/>
  <c r="G47"/>
  <c r="I88"/>
  <c r="G59"/>
  <c r="G64"/>
  <c r="G94"/>
  <c r="G98"/>
  <c r="I88" i="23"/>
  <c r="G94"/>
  <c r="G59"/>
  <c r="G98"/>
  <c r="G176"/>
  <c r="G181"/>
  <c r="G189" s="1"/>
  <c r="G96"/>
  <c r="G104"/>
  <c r="G64"/>
  <c r="I85"/>
  <c r="I88" i="22"/>
  <c r="G94"/>
  <c r="G59"/>
  <c r="G98"/>
  <c r="G176"/>
  <c r="G181"/>
  <c r="G189" s="1"/>
  <c r="G96"/>
  <c r="G104"/>
  <c r="G64"/>
  <c r="I85"/>
  <c r="G64" i="21"/>
  <c r="G59"/>
  <c r="G71"/>
  <c r="I85"/>
  <c r="I90"/>
  <c r="G47"/>
  <c r="I88"/>
  <c r="G94"/>
  <c r="G98"/>
  <c r="I88" i="20"/>
  <c r="G59"/>
  <c r="G176"/>
  <c r="G181"/>
  <c r="G189" s="1"/>
  <c r="G96"/>
  <c r="G64"/>
  <c r="G47"/>
  <c r="I85"/>
  <c r="G64" i="19"/>
  <c r="I90"/>
  <c r="G96"/>
  <c r="G59"/>
  <c r="G71"/>
  <c r="I88"/>
  <c r="G94"/>
  <c r="G98"/>
  <c r="I85" i="18"/>
  <c r="G71"/>
  <c r="G47"/>
  <c r="G59"/>
  <c r="G64"/>
  <c r="G94"/>
  <c r="G98"/>
  <c r="G71" i="17"/>
  <c r="I85"/>
  <c r="I90"/>
  <c r="G186"/>
  <c r="G59"/>
  <c r="G64"/>
  <c r="G94"/>
  <c r="G98"/>
  <c r="E28"/>
  <c r="G28" s="1"/>
  <c r="I88" i="16"/>
  <c r="G94"/>
  <c r="G59"/>
  <c r="G98"/>
  <c r="G176"/>
  <c r="G181"/>
  <c r="G189" s="1"/>
  <c r="G96"/>
  <c r="G104"/>
  <c r="G64"/>
  <c r="I85"/>
  <c r="E28"/>
  <c r="G28" s="1"/>
  <c r="I90" i="15"/>
  <c r="G64"/>
  <c r="G59"/>
  <c r="G71"/>
  <c r="I85"/>
  <c r="G47"/>
  <c r="I88"/>
  <c r="G94"/>
  <c r="G98"/>
  <c r="E28"/>
  <c r="G28" s="1"/>
  <c r="I85" i="14"/>
  <c r="G186"/>
  <c r="G71"/>
  <c r="G47"/>
  <c r="G59"/>
  <c r="G64"/>
  <c r="G94"/>
  <c r="G98"/>
  <c r="G59" i="13"/>
  <c r="G71"/>
  <c r="G64"/>
  <c r="I90"/>
  <c r="G96"/>
  <c r="G186"/>
  <c r="G47"/>
  <c r="I88"/>
  <c r="G64" i="12"/>
  <c r="I88"/>
  <c r="G94"/>
  <c r="G59"/>
  <c r="G98"/>
  <c r="G176"/>
  <c r="G181"/>
  <c r="G189" s="1"/>
  <c r="G104"/>
  <c r="I85"/>
  <c r="G64" i="11"/>
  <c r="I88"/>
  <c r="G94"/>
  <c r="G59"/>
  <c r="G98"/>
  <c r="G176"/>
  <c r="G181"/>
  <c r="G189" s="1"/>
  <c r="G104"/>
  <c r="I85"/>
  <c r="G104" i="10"/>
  <c r="G64"/>
  <c r="I88"/>
  <c r="G94"/>
  <c r="G59"/>
  <c r="G98"/>
  <c r="G100"/>
  <c r="G102"/>
  <c r="G176"/>
  <c r="G181"/>
  <c r="G189" s="1"/>
  <c r="G96"/>
  <c r="I85"/>
  <c r="G64" i="9"/>
  <c r="I88"/>
  <c r="G59"/>
  <c r="G94"/>
  <c r="G98"/>
  <c r="G176"/>
  <c r="G181"/>
  <c r="G189" s="1"/>
  <c r="G104"/>
  <c r="E31"/>
  <c r="G31" s="1"/>
  <c r="I85"/>
  <c r="G185" i="8"/>
  <c r="G184"/>
  <c r="G183"/>
  <c r="G180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/>
  <c r="G163"/>
  <c r="G162"/>
  <c r="AB11" i="44" s="1"/>
  <c r="G161" i="8"/>
  <c r="G142"/>
  <c r="R11" i="44" s="1"/>
  <c r="G141" i="8"/>
  <c r="Q11" i="44" s="1"/>
  <c r="G140" i="8"/>
  <c r="P11" i="44" s="1"/>
  <c r="G139" i="8"/>
  <c r="O11" i="44" s="1"/>
  <c r="G138" i="8"/>
  <c r="G133"/>
  <c r="G132"/>
  <c r="G131"/>
  <c r="G130"/>
  <c r="G129"/>
  <c r="G128"/>
  <c r="G123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/>
  <c r="G113"/>
  <c r="G112"/>
  <c r="G92"/>
  <c r="AL10" i="1" s="1"/>
  <c r="G91" i="8"/>
  <c r="G90"/>
  <c r="G89"/>
  <c r="G88"/>
  <c r="G87"/>
  <c r="AC10" i="1" s="1"/>
  <c r="G86" i="8"/>
  <c r="AB10" i="1" s="1"/>
  <c r="G85" i="8"/>
  <c r="AA10" i="1" s="1"/>
  <c r="G84" i="8"/>
  <c r="Z10" i="1" s="1"/>
  <c r="G83" i="8"/>
  <c r="G82"/>
  <c r="G78"/>
  <c r="AS11" i="44" s="1"/>
  <c r="G77" i="8"/>
  <c r="AR11" i="44" s="1"/>
  <c r="G76" i="8"/>
  <c r="AQ11" i="44" s="1"/>
  <c r="G75" i="8"/>
  <c r="AP11" i="44" s="1"/>
  <c r="G74" i="8"/>
  <c r="G70"/>
  <c r="J15" i="45" s="1"/>
  <c r="G69" i="8"/>
  <c r="J14" i="45" s="1"/>
  <c r="G68" i="8"/>
  <c r="J13" i="45" s="1"/>
  <c r="G67" i="8"/>
  <c r="G66"/>
  <c r="G65"/>
  <c r="G63"/>
  <c r="J8" i="45" s="1"/>
  <c r="G62" i="8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7"/>
  <c r="G184"/>
  <c r="G183"/>
  <c r="G180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/>
  <c r="G163"/>
  <c r="G162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/>
  <c r="G132"/>
  <c r="G131"/>
  <c r="G130"/>
  <c r="G129"/>
  <c r="G128"/>
  <c r="G123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/>
  <c r="G113"/>
  <c r="G112"/>
  <c r="G92"/>
  <c r="AL9" i="1" s="1"/>
  <c r="G91" i="7"/>
  <c r="G90"/>
  <c r="G89"/>
  <c r="AW10" i="44" s="1"/>
  <c r="G88" i="7"/>
  <c r="G87"/>
  <c r="AC9" i="1" s="1"/>
  <c r="G86" i="7"/>
  <c r="AB9" i="1" s="1"/>
  <c r="G85" i="7"/>
  <c r="AA9" i="1" s="1"/>
  <c r="G84" i="7"/>
  <c r="Z9" i="1" s="1"/>
  <c r="G83" i="7"/>
  <c r="G82"/>
  <c r="G78"/>
  <c r="AS10" i="44" s="1"/>
  <c r="G77" i="7"/>
  <c r="AR10" i="44" s="1"/>
  <c r="G76" i="7"/>
  <c r="AQ10" i="44" s="1"/>
  <c r="G75" i="7"/>
  <c r="AP10" i="44" s="1"/>
  <c r="G74" i="7"/>
  <c r="G70"/>
  <c r="I15" i="45" s="1"/>
  <c r="G69" i="7"/>
  <c r="I14" i="45" s="1"/>
  <c r="G68" i="7"/>
  <c r="I13" i="45" s="1"/>
  <c r="G67" i="7"/>
  <c r="G66"/>
  <c r="G65"/>
  <c r="G63"/>
  <c r="I8" i="45" s="1"/>
  <c r="G62" i="7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5"/>
  <c r="G10"/>
  <c r="K9"/>
  <c r="M8"/>
  <c r="G8"/>
  <c r="G7"/>
  <c r="G185" i="33"/>
  <c r="G184"/>
  <c r="G183"/>
  <c r="G180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/>
  <c r="G163"/>
  <c r="G162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/>
  <c r="G132"/>
  <c r="G131"/>
  <c r="G130"/>
  <c r="G129"/>
  <c r="G128"/>
  <c r="G12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/>
  <c r="G113"/>
  <c r="G92"/>
  <c r="AL8" i="1" s="1"/>
  <c r="G91" i="33"/>
  <c r="G90"/>
  <c r="G89"/>
  <c r="G88"/>
  <c r="G87"/>
  <c r="AC8" i="1" s="1"/>
  <c r="G86" i="33"/>
  <c r="AB8" i="1" s="1"/>
  <c r="G85" i="33"/>
  <c r="AA8" i="1" s="1"/>
  <c r="G84" i="33"/>
  <c r="Z8" i="1" s="1"/>
  <c r="G83" i="33"/>
  <c r="G82"/>
  <c r="G78"/>
  <c r="AS9" i="44" s="1"/>
  <c r="G77" i="33"/>
  <c r="AR9" i="44" s="1"/>
  <c r="G76" i="33"/>
  <c r="AQ9" i="44" s="1"/>
  <c r="G75" i="33"/>
  <c r="AP9" i="44" s="1"/>
  <c r="G74" i="33"/>
  <c r="G70"/>
  <c r="H15" i="45" s="1"/>
  <c r="G69" i="33"/>
  <c r="H14" i="45" s="1"/>
  <c r="G68" i="33"/>
  <c r="H13" i="45" s="1"/>
  <c r="G67" i="33"/>
  <c r="G66"/>
  <c r="G65"/>
  <c r="G63"/>
  <c r="H8" i="45" s="1"/>
  <c r="H7"/>
  <c r="G58" i="33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7" s="1"/>
  <c r="G18"/>
  <c r="E31" s="1"/>
  <c r="G31" s="1"/>
  <c r="G15"/>
  <c r="G10"/>
  <c r="K9"/>
  <c r="G9"/>
  <c r="M8"/>
  <c r="G8"/>
  <c r="G7"/>
  <c r="G185" i="5"/>
  <c r="G184"/>
  <c r="G183"/>
  <c r="G180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/>
  <c r="G163"/>
  <c r="G162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/>
  <c r="AM8" i="44" s="1"/>
  <c r="G132" i="5"/>
  <c r="G131"/>
  <c r="G130"/>
  <c r="G129"/>
  <c r="G128"/>
  <c r="G123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/>
  <c r="G113"/>
  <c r="G112"/>
  <c r="G92"/>
  <c r="AL7" i="1" s="1"/>
  <c r="G91" i="5"/>
  <c r="G90"/>
  <c r="G89"/>
  <c r="G88"/>
  <c r="G87"/>
  <c r="AC7" i="1" s="1"/>
  <c r="G86" i="5"/>
  <c r="AB7" i="1" s="1"/>
  <c r="G85" i="5"/>
  <c r="AA7" i="1" s="1"/>
  <c r="G84" i="5"/>
  <c r="Z7" i="1" s="1"/>
  <c r="G83" i="5"/>
  <c r="G82"/>
  <c r="G78"/>
  <c r="AS8" i="44" s="1"/>
  <c r="G77" i="5"/>
  <c r="AR8" i="44" s="1"/>
  <c r="G76" i="5"/>
  <c r="AQ8" i="44" s="1"/>
  <c r="G75" i="5"/>
  <c r="AP8" i="44" s="1"/>
  <c r="G74" i="5"/>
  <c r="G70"/>
  <c r="G15" i="45" s="1"/>
  <c r="G69" i="5"/>
  <c r="G14" i="45" s="1"/>
  <c r="G68" i="5"/>
  <c r="G13" i="45" s="1"/>
  <c r="G67" i="5"/>
  <c r="G66"/>
  <c r="G65"/>
  <c r="G63"/>
  <c r="G8" i="45" s="1"/>
  <c r="G62" i="5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G9"/>
  <c r="M8"/>
  <c r="G8"/>
  <c r="G7"/>
  <c r="G185" i="4"/>
  <c r="G184"/>
  <c r="G183"/>
  <c r="G180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/>
  <c r="G163"/>
  <c r="G162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/>
  <c r="AM7" i="44" s="1"/>
  <c r="G132" i="4"/>
  <c r="G131"/>
  <c r="G130"/>
  <c r="G129"/>
  <c r="G123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/>
  <c r="G113"/>
  <c r="G112"/>
  <c r="G92"/>
  <c r="AL6" i="1" s="1"/>
  <c r="G91" i="4"/>
  <c r="G90"/>
  <c r="G89"/>
  <c r="G88"/>
  <c r="G87"/>
  <c r="AC6" i="1" s="1"/>
  <c r="G86" i="4"/>
  <c r="AB6" i="1" s="1"/>
  <c r="G85" i="4"/>
  <c r="AA6" i="1" s="1"/>
  <c r="G84" i="4"/>
  <c r="Z6" i="1" s="1"/>
  <c r="G83" i="4"/>
  <c r="G82"/>
  <c r="G78"/>
  <c r="AS7" i="44" s="1"/>
  <c r="G77" i="4"/>
  <c r="AR7" i="44" s="1"/>
  <c r="G76" i="4"/>
  <c r="AQ7" i="44" s="1"/>
  <c r="G75" i="4"/>
  <c r="AP7" i="44" s="1"/>
  <c r="G74" i="4"/>
  <c r="G70"/>
  <c r="F15" i="45" s="1"/>
  <c r="G69" i="4"/>
  <c r="F14" i="45" s="1"/>
  <c r="G68" i="4"/>
  <c r="F13" i="45" s="1"/>
  <c r="G67" i="4"/>
  <c r="G66"/>
  <c r="G65"/>
  <c r="G63"/>
  <c r="F8" i="45" s="1"/>
  <c r="G62" i="4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H22" s="1"/>
  <c r="G19"/>
  <c r="H19" s="1"/>
  <c r="G18"/>
  <c r="G15"/>
  <c r="H15" s="1"/>
  <c r="G10"/>
  <c r="H10" s="1"/>
  <c r="K9"/>
  <c r="G9"/>
  <c r="H9" s="1"/>
  <c r="M8"/>
  <c r="G8"/>
  <c r="H8" s="1"/>
  <c r="G7"/>
  <c r="H7" s="1"/>
  <c r="G185" i="3"/>
  <c r="G184"/>
  <c r="G183"/>
  <c r="G180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/>
  <c r="G163"/>
  <c r="G162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/>
  <c r="G132"/>
  <c r="G131"/>
  <c r="G130"/>
  <c r="G129"/>
  <c r="G128"/>
  <c r="G12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/>
  <c r="G113"/>
  <c r="G112"/>
  <c r="G92"/>
  <c r="AL5" i="1" s="1"/>
  <c r="G91" i="3"/>
  <c r="G90"/>
  <c r="G89"/>
  <c r="G88"/>
  <c r="G87"/>
  <c r="AC5" i="1" s="1"/>
  <c r="G86" i="3"/>
  <c r="AB5" i="1" s="1"/>
  <c r="G85" i="3"/>
  <c r="AA5" i="1" s="1"/>
  <c r="G84" i="3"/>
  <c r="Z5" i="1" s="1"/>
  <c r="G83" i="3"/>
  <c r="G82"/>
  <c r="G78"/>
  <c r="AS6" i="44" s="1"/>
  <c r="G77" i="3"/>
  <c r="AR6" i="44" s="1"/>
  <c r="G76" i="3"/>
  <c r="AQ6" i="44" s="1"/>
  <c r="G75" i="3"/>
  <c r="AP6" i="44" s="1"/>
  <c r="G74" i="3"/>
  <c r="G70"/>
  <c r="E15" i="45" s="1"/>
  <c r="G69" i="3"/>
  <c r="E14" i="45" s="1"/>
  <c r="G68" i="3"/>
  <c r="E13" i="45" s="1"/>
  <c r="G67" i="3"/>
  <c r="G66"/>
  <c r="G65"/>
  <c r="G63"/>
  <c r="E8" i="45" s="1"/>
  <c r="G62" i="3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K9"/>
  <c r="M8"/>
  <c r="G185" i="2"/>
  <c r="H185" s="1"/>
  <c r="J185" s="1"/>
  <c r="G184"/>
  <c r="G183"/>
  <c r="G180"/>
  <c r="D23" i="45" s="1"/>
  <c r="G179" i="2"/>
  <c r="D22" i="45" s="1"/>
  <c r="G178" i="2"/>
  <c r="G175"/>
  <c r="D19" i="45" s="1"/>
  <c r="G174" i="2"/>
  <c r="D18" i="45" s="1"/>
  <c r="G173" i="2"/>
  <c r="D17" i="45" s="1"/>
  <c r="G165" i="2"/>
  <c r="G163"/>
  <c r="G162"/>
  <c r="AB5" i="44" s="1"/>
  <c r="G161" i="2"/>
  <c r="G150"/>
  <c r="G149"/>
  <c r="G148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/>
  <c r="G132"/>
  <c r="H132" s="1"/>
  <c r="J132" s="1"/>
  <c r="G131"/>
  <c r="G130"/>
  <c r="G129"/>
  <c r="G128"/>
  <c r="G123"/>
  <c r="AL5" i="44" s="1"/>
  <c r="G122" i="2"/>
  <c r="G121"/>
  <c r="AJ5" i="44" s="1"/>
  <c r="G120" i="2"/>
  <c r="G119"/>
  <c r="AH5" i="44" s="1"/>
  <c r="G118" i="2"/>
  <c r="G117"/>
  <c r="AF5" i="44" s="1"/>
  <c r="G116" i="2"/>
  <c r="G115"/>
  <c r="G114"/>
  <c r="H114" s="1"/>
  <c r="J114" s="1"/>
  <c r="G113"/>
  <c r="G112"/>
  <c r="G92"/>
  <c r="G91"/>
  <c r="G90"/>
  <c r="G89"/>
  <c r="G88"/>
  <c r="G87"/>
  <c r="G86"/>
  <c r="G85"/>
  <c r="G84"/>
  <c r="G83"/>
  <c r="H83" s="1"/>
  <c r="G82"/>
  <c r="H82" s="1"/>
  <c r="G78"/>
  <c r="G77"/>
  <c r="G76"/>
  <c r="G75"/>
  <c r="G74"/>
  <c r="G70"/>
  <c r="G69"/>
  <c r="G68"/>
  <c r="G67"/>
  <c r="G66"/>
  <c r="G65"/>
  <c r="G63"/>
  <c r="G62"/>
  <c r="G187" s="1"/>
  <c r="G58"/>
  <c r="H58" s="1"/>
  <c r="G57"/>
  <c r="H57" s="1"/>
  <c r="G56"/>
  <c r="H56" s="1"/>
  <c r="G55"/>
  <c r="H55" s="1"/>
  <c r="G54"/>
  <c r="H54" s="1"/>
  <c r="G53"/>
  <c r="H53" s="1"/>
  <c r="G52"/>
  <c r="H52" s="1"/>
  <c r="G51"/>
  <c r="H51" s="1"/>
  <c r="G50"/>
  <c r="H50" s="1"/>
  <c r="G49"/>
  <c r="G46"/>
  <c r="H46" s="1"/>
  <c r="G45"/>
  <c r="H45" s="1"/>
  <c r="G44"/>
  <c r="H44" s="1"/>
  <c r="G43"/>
  <c r="H43" s="1"/>
  <c r="G42"/>
  <c r="H42" s="1"/>
  <c r="G41"/>
  <c r="H41" s="1"/>
  <c r="G40"/>
  <c r="H40" s="1"/>
  <c r="G39"/>
  <c r="H39" s="1"/>
  <c r="G38"/>
  <c r="H37"/>
  <c r="G36"/>
  <c r="G35"/>
  <c r="H35" s="1"/>
  <c r="G29"/>
  <c r="H29" s="1"/>
  <c r="G30"/>
  <c r="H30" s="1"/>
  <c r="G31"/>
  <c r="H31" s="1"/>
  <c r="K9"/>
  <c r="M8"/>
  <c r="H27"/>
  <c r="AZ12" i="44" l="1"/>
  <c r="G60" i="19"/>
  <c r="AZ14" i="44"/>
  <c r="AZ28"/>
  <c r="AZ15"/>
  <c r="AZ20"/>
  <c r="AZ24"/>
  <c r="AZ23"/>
  <c r="AZ26"/>
  <c r="AZ27"/>
  <c r="AZ13"/>
  <c r="AZ25"/>
  <c r="AZ16"/>
  <c r="AZ19"/>
  <c r="AZ17"/>
  <c r="AZ22"/>
  <c r="AZ21"/>
  <c r="N49" i="4"/>
  <c r="G188"/>
  <c r="H49" i="2"/>
  <c r="G59"/>
  <c r="I13" i="3"/>
  <c r="G19" i="7"/>
  <c r="E30" s="1"/>
  <c r="G30" s="1"/>
  <c r="G15" i="8"/>
  <c r="G79" s="1"/>
  <c r="G9"/>
  <c r="G8"/>
  <c r="E27" s="1"/>
  <c r="G27" s="1"/>
  <c r="G9" i="7"/>
  <c r="E10" i="18"/>
  <c r="G7" i="8"/>
  <c r="G60" i="18"/>
  <c r="G60" i="29"/>
  <c r="G60" i="17"/>
  <c r="E28" i="18"/>
  <c r="G28" s="1"/>
  <c r="AD11" i="44"/>
  <c r="AD10"/>
  <c r="AD9"/>
  <c r="AD8"/>
  <c r="AD7"/>
  <c r="AD6"/>
  <c r="E15" i="19"/>
  <c r="AL37" i="44"/>
  <c r="O36"/>
  <c r="AB36"/>
  <c r="AJ37"/>
  <c r="R36"/>
  <c r="P37"/>
  <c r="AF36"/>
  <c r="Q36"/>
  <c r="AH37"/>
  <c r="Q37"/>
  <c r="U37"/>
  <c r="U36"/>
  <c r="S37"/>
  <c r="S36"/>
  <c r="AH36"/>
  <c r="AL36"/>
  <c r="R37"/>
  <c r="T37"/>
  <c r="T36"/>
  <c r="V36"/>
  <c r="V37"/>
  <c r="O37"/>
  <c r="W36"/>
  <c r="W37"/>
  <c r="G125" i="7"/>
  <c r="I125" s="1"/>
  <c r="AF37" i="44"/>
  <c r="AJ36"/>
  <c r="P36"/>
  <c r="AB37"/>
  <c r="X36"/>
  <c r="X37"/>
  <c r="G135" i="8"/>
  <c r="I135" s="1"/>
  <c r="N8" i="44"/>
  <c r="G153" i="5"/>
  <c r="I153" s="1"/>
  <c r="G125" i="8"/>
  <c r="I125" s="1"/>
  <c r="G135" i="2"/>
  <c r="G125" i="4"/>
  <c r="I125" s="1"/>
  <c r="N7" i="44"/>
  <c r="G153" i="4"/>
  <c r="I153" s="1"/>
  <c r="G135" i="5"/>
  <c r="I135" s="1"/>
  <c r="N11" i="44"/>
  <c r="G153" i="8"/>
  <c r="N10" i="44"/>
  <c r="G153" i="7"/>
  <c r="I153" s="1"/>
  <c r="H112" i="2"/>
  <c r="J112" s="1"/>
  <c r="G125"/>
  <c r="I125" s="1"/>
  <c r="N6" i="44"/>
  <c r="G153" i="3"/>
  <c r="I153" s="1"/>
  <c r="G135" i="4"/>
  <c r="I135" s="1"/>
  <c r="G125" i="5"/>
  <c r="I125" s="1"/>
  <c r="N9" i="44"/>
  <c r="G153" i="33"/>
  <c r="I15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2"/>
  <c r="G188" i="33"/>
  <c r="G135" i="7"/>
  <c r="I135" s="1"/>
  <c r="E9" i="45"/>
  <c r="G188" i="3"/>
  <c r="G188" i="7"/>
  <c r="G7" i="45"/>
  <c r="G187" i="5"/>
  <c r="F7" i="45"/>
  <c r="G187" i="4"/>
  <c r="G188" i="5"/>
  <c r="G135" i="33"/>
  <c r="J7" i="45"/>
  <c r="H183" i="2"/>
  <c r="J183" s="1"/>
  <c r="G186"/>
  <c r="G102" i="5"/>
  <c r="G103" s="1"/>
  <c r="H127" i="7"/>
  <c r="H127" i="8" s="1"/>
  <c r="E7" i="45"/>
  <c r="G187" i="3"/>
  <c r="I7" i="45"/>
  <c r="G188" i="8"/>
  <c r="AA11" i="44"/>
  <c r="J156" i="9"/>
  <c r="G125" i="33"/>
  <c r="I125" s="1"/>
  <c r="G98"/>
  <c r="G99" s="1"/>
  <c r="G125" i="3"/>
  <c r="I125" s="1"/>
  <c r="G104" i="4"/>
  <c r="G105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s="1"/>
  <c r="D21" i="45"/>
  <c r="G102" i="4"/>
  <c r="G103" s="1"/>
  <c r="G100" i="5"/>
  <c r="G101" s="1"/>
  <c r="G94" i="8"/>
  <c r="J152" i="33"/>
  <c r="H152" i="7"/>
  <c r="H120" i="2"/>
  <c r="J120" s="1"/>
  <c r="AI5" i="44"/>
  <c r="H118" i="2"/>
  <c r="J118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/>
  <c r="AM5" i="44"/>
  <c r="AD5"/>
  <c r="G100" i="4"/>
  <c r="G101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s="1"/>
  <c r="AK5" i="44"/>
  <c r="G94" i="33"/>
  <c r="G95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s="1"/>
  <c r="H9"/>
  <c r="H9" i="33" s="1"/>
  <c r="G47" i="5"/>
  <c r="G71"/>
  <c r="H7"/>
  <c r="H7" i="33" s="1"/>
  <c r="H7" i="7" s="1"/>
  <c r="H19" i="5"/>
  <c r="H19" i="33" s="1"/>
  <c r="E31" i="4"/>
  <c r="G31" s="1"/>
  <c r="H18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/>
  <c r="J131" s="1"/>
  <c r="H129"/>
  <c r="H128"/>
  <c r="J128" s="1"/>
  <c r="H130"/>
  <c r="H182" i="8"/>
  <c r="J182" i="7"/>
  <c r="J166" i="10"/>
  <c r="H166" i="11"/>
  <c r="H132" i="3"/>
  <c r="H29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s="1"/>
  <c r="G176" i="2"/>
  <c r="H173"/>
  <c r="H175"/>
  <c r="G186" i="3"/>
  <c r="H180" i="2"/>
  <c r="J180" s="1"/>
  <c r="H174"/>
  <c r="H179"/>
  <c r="J179" s="1"/>
  <c r="H184"/>
  <c r="H185" i="3"/>
  <c r="H161" i="2"/>
  <c r="J161" s="1"/>
  <c r="H163"/>
  <c r="J163" s="1"/>
  <c r="H165"/>
  <c r="J165" s="1"/>
  <c r="H162"/>
  <c r="H164"/>
  <c r="H139"/>
  <c r="H143"/>
  <c r="H147"/>
  <c r="H149"/>
  <c r="H141"/>
  <c r="J141" s="1"/>
  <c r="H145"/>
  <c r="H140"/>
  <c r="H142"/>
  <c r="J142" s="1"/>
  <c r="H144"/>
  <c r="H148"/>
  <c r="H150"/>
  <c r="H138"/>
  <c r="H146"/>
  <c r="H117"/>
  <c r="J117" s="1"/>
  <c r="H112" i="3"/>
  <c r="H119" i="2"/>
  <c r="J119" s="1"/>
  <c r="H113"/>
  <c r="J113" s="1"/>
  <c r="H121"/>
  <c r="J121" s="1"/>
  <c r="H114" i="3"/>
  <c r="H115" i="2"/>
  <c r="H123"/>
  <c r="J12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s="1"/>
  <c r="H36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s="1"/>
  <c r="H42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s="1"/>
  <c r="H38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s="1"/>
  <c r="H40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6"/>
  <c r="G80" i="15"/>
  <c r="G60" i="10"/>
  <c r="G186" i="8"/>
  <c r="G96"/>
  <c r="G71" i="7"/>
  <c r="G102"/>
  <c r="G103" s="1"/>
  <c r="G79" i="33"/>
  <c r="G80" s="1"/>
  <c r="G71"/>
  <c r="G186" i="5"/>
  <c r="I90"/>
  <c r="G96" i="4"/>
  <c r="G97" s="1"/>
  <c r="G60" i="31"/>
  <c r="G71" i="3"/>
  <c r="G186" i="33"/>
  <c r="G176" i="4"/>
  <c r="G71" i="8"/>
  <c r="G181" i="2"/>
  <c r="I90" i="3"/>
  <c r="H80" i="17"/>
  <c r="G104" i="2"/>
  <c r="H104" s="1"/>
  <c r="G96"/>
  <c r="H96" s="1"/>
  <c r="G79" i="4"/>
  <c r="G181"/>
  <c r="G189" s="1"/>
  <c r="G60" i="28"/>
  <c r="G60" i="40"/>
  <c r="G60" i="24"/>
  <c r="G60" i="21"/>
  <c r="H189" i="20"/>
  <c r="G60"/>
  <c r="G60" i="15"/>
  <c r="G60" i="14"/>
  <c r="G60" i="13"/>
  <c r="G60" i="9"/>
  <c r="I88" i="8"/>
  <c r="G104"/>
  <c r="G59"/>
  <c r="G102"/>
  <c r="G176"/>
  <c r="G181"/>
  <c r="G189" s="1"/>
  <c r="G64"/>
  <c r="G47"/>
  <c r="I85"/>
  <c r="E27" i="7"/>
  <c r="G27" s="1"/>
  <c r="I88"/>
  <c r="G104"/>
  <c r="G96"/>
  <c r="G59"/>
  <c r="G176"/>
  <c r="G181"/>
  <c r="G189" s="1"/>
  <c r="G79"/>
  <c r="G94"/>
  <c r="G98"/>
  <c r="G64"/>
  <c r="G47"/>
  <c r="I85"/>
  <c r="E28"/>
  <c r="G28" s="1"/>
  <c r="E27" i="33"/>
  <c r="G27" s="1"/>
  <c r="I88"/>
  <c r="G100"/>
  <c r="G104"/>
  <c r="G96"/>
  <c r="G64"/>
  <c r="G59"/>
  <c r="G102"/>
  <c r="G176"/>
  <c r="G181"/>
  <c r="G189" s="1"/>
  <c r="E30"/>
  <c r="G30" s="1"/>
  <c r="G47"/>
  <c r="G20"/>
  <c r="I85"/>
  <c r="E28"/>
  <c r="G28" s="1"/>
  <c r="G64" i="5"/>
  <c r="I88"/>
  <c r="G98"/>
  <c r="G94"/>
  <c r="G59"/>
  <c r="G176"/>
  <c r="G181"/>
  <c r="G189" s="1"/>
  <c r="G79"/>
  <c r="E27"/>
  <c r="G27" s="1"/>
  <c r="E30"/>
  <c r="G30" s="1"/>
  <c r="G104"/>
  <c r="G20"/>
  <c r="I85"/>
  <c r="E28"/>
  <c r="G28" s="1"/>
  <c r="G64" i="4"/>
  <c r="E30"/>
  <c r="G30" s="1"/>
  <c r="E27"/>
  <c r="G27" s="1"/>
  <c r="G59"/>
  <c r="G71"/>
  <c r="I85"/>
  <c r="I90"/>
  <c r="G186"/>
  <c r="G47"/>
  <c r="I88"/>
  <c r="G20"/>
  <c r="H20" s="1"/>
  <c r="G94"/>
  <c r="G98"/>
  <c r="E28"/>
  <c r="G28" s="1"/>
  <c r="E30" i="3"/>
  <c r="G64"/>
  <c r="I88"/>
  <c r="G104"/>
  <c r="G96"/>
  <c r="G59"/>
  <c r="G176"/>
  <c r="G181"/>
  <c r="G189" s="1"/>
  <c r="G79"/>
  <c r="G94"/>
  <c r="G98"/>
  <c r="E31"/>
  <c r="G47"/>
  <c r="I85"/>
  <c r="E28"/>
  <c r="G28" s="1"/>
  <c r="G71" i="2"/>
  <c r="H71" s="1"/>
  <c r="I85"/>
  <c r="I90"/>
  <c r="G47"/>
  <c r="I88"/>
  <c r="H59"/>
  <c r="G64"/>
  <c r="H64" s="1"/>
  <c r="G94"/>
  <c r="H94" s="1"/>
  <c r="G98"/>
  <c r="H98" s="1"/>
  <c r="G28"/>
  <c r="H28" s="1"/>
  <c r="G178" i="50"/>
  <c r="H178" s="1"/>
  <c r="J178" s="1"/>
  <c r="E177"/>
  <c r="G177" s="1"/>
  <c r="H177" s="1"/>
  <c r="J177" s="1"/>
  <c r="E176"/>
  <c r="G176" s="1"/>
  <c r="H176" s="1"/>
  <c r="J176" s="1"/>
  <c r="H175"/>
  <c r="J175" s="1"/>
  <c r="E173"/>
  <c r="G173" s="1"/>
  <c r="H173" s="1"/>
  <c r="J173" s="1"/>
  <c r="E172"/>
  <c r="G172" s="1"/>
  <c r="H172" s="1"/>
  <c r="J172" s="1"/>
  <c r="E171"/>
  <c r="G171" s="1"/>
  <c r="H170"/>
  <c r="E168"/>
  <c r="G168" s="1"/>
  <c r="H168" s="1"/>
  <c r="J168" s="1"/>
  <c r="E167"/>
  <c r="G167" s="1"/>
  <c r="H167" s="1"/>
  <c r="J167" s="1"/>
  <c r="E166"/>
  <c r="G166" s="1"/>
  <c r="E158"/>
  <c r="G158" s="1"/>
  <c r="H158" s="1"/>
  <c r="J158" s="1"/>
  <c r="E157"/>
  <c r="G157" s="1"/>
  <c r="H157" s="1"/>
  <c r="J157" s="1"/>
  <c r="E156"/>
  <c r="G156" s="1"/>
  <c r="H156" s="1"/>
  <c r="J156" s="1"/>
  <c r="E155"/>
  <c r="G155" s="1"/>
  <c r="H155" s="1"/>
  <c r="J155" s="1"/>
  <c r="E154"/>
  <c r="G154" s="1"/>
  <c r="H154" s="1"/>
  <c r="J154" s="1"/>
  <c r="H136"/>
  <c r="J136" s="1"/>
  <c r="H135"/>
  <c r="J135" s="1"/>
  <c r="E151"/>
  <c r="G151" s="1"/>
  <c r="H151" s="1"/>
  <c r="J151" s="1"/>
  <c r="E150"/>
  <c r="G150" s="1"/>
  <c r="H150" s="1"/>
  <c r="J150" s="1"/>
  <c r="E149"/>
  <c r="G149" s="1"/>
  <c r="H149" s="1"/>
  <c r="J149" s="1"/>
  <c r="E148"/>
  <c r="G148" s="1"/>
  <c r="H148" s="1"/>
  <c r="J148" s="1"/>
  <c r="E147"/>
  <c r="G147" s="1"/>
  <c r="H147" s="1"/>
  <c r="J147" s="1"/>
  <c r="E146"/>
  <c r="G146" s="1"/>
  <c r="H146" s="1"/>
  <c r="J146" s="1"/>
  <c r="E145"/>
  <c r="G145" s="1"/>
  <c r="H145" s="1"/>
  <c r="J145" s="1"/>
  <c r="E144"/>
  <c r="G144" s="1"/>
  <c r="H144" s="1"/>
  <c r="J144" s="1"/>
  <c r="E143"/>
  <c r="G143" s="1"/>
  <c r="H143" s="1"/>
  <c r="J143" s="1"/>
  <c r="E142"/>
  <c r="G142" s="1"/>
  <c r="H142" s="1"/>
  <c r="J142" s="1"/>
  <c r="E141"/>
  <c r="G141" s="1"/>
  <c r="H141" s="1"/>
  <c r="J141" s="1"/>
  <c r="E140"/>
  <c r="G140" s="1"/>
  <c r="H140" s="1"/>
  <c r="J140" s="1"/>
  <c r="E139"/>
  <c r="G139" s="1"/>
  <c r="H139" s="1"/>
  <c r="J139" s="1"/>
  <c r="E134"/>
  <c r="G134" s="1"/>
  <c r="H134" s="1"/>
  <c r="J134" s="1"/>
  <c r="E133"/>
  <c r="G133" s="1"/>
  <c r="E132"/>
  <c r="G132" s="1"/>
  <c r="E131"/>
  <c r="G131" s="1"/>
  <c r="E130"/>
  <c r="G130" s="1"/>
  <c r="E129"/>
  <c r="G129" s="1"/>
  <c r="G118"/>
  <c r="G116"/>
  <c r="H116" s="1"/>
  <c r="J116" s="1"/>
  <c r="G115"/>
  <c r="H115" s="1"/>
  <c r="J115" s="1"/>
  <c r="G114"/>
  <c r="H114" s="1"/>
  <c r="J114" s="1"/>
  <c r="G113"/>
  <c r="H113" s="1"/>
  <c r="J113" s="1"/>
  <c r="E93"/>
  <c r="G93" s="1"/>
  <c r="E92"/>
  <c r="G92" s="1"/>
  <c r="E91"/>
  <c r="G91" s="1"/>
  <c r="E90"/>
  <c r="G90" s="1"/>
  <c r="E89"/>
  <c r="G89" s="1"/>
  <c r="E88"/>
  <c r="G88" s="1"/>
  <c r="E87"/>
  <c r="G87" s="1"/>
  <c r="E86"/>
  <c r="G86" s="1"/>
  <c r="E85"/>
  <c r="G85" s="1"/>
  <c r="E84"/>
  <c r="G84" s="1"/>
  <c r="E83"/>
  <c r="G83" s="1"/>
  <c r="E79"/>
  <c r="G79" s="1"/>
  <c r="E78"/>
  <c r="G78" s="1"/>
  <c r="E77"/>
  <c r="G77" s="1"/>
  <c r="E76"/>
  <c r="G76" s="1"/>
  <c r="E75"/>
  <c r="G75" s="1"/>
  <c r="E71"/>
  <c r="G71" s="1"/>
  <c r="E70"/>
  <c r="G70" s="1"/>
  <c r="E69"/>
  <c r="G69" s="1"/>
  <c r="E68"/>
  <c r="G68" s="1"/>
  <c r="E67"/>
  <c r="G67" s="1"/>
  <c r="E66"/>
  <c r="G66" s="1"/>
  <c r="E64"/>
  <c r="G64" s="1"/>
  <c r="E63"/>
  <c r="G63" s="1"/>
  <c r="G123"/>
  <c r="G121"/>
  <c r="G119"/>
  <c r="E59"/>
  <c r="G59" s="1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G47"/>
  <c r="G46"/>
  <c r="G45"/>
  <c r="G44"/>
  <c r="G43"/>
  <c r="G42"/>
  <c r="G41"/>
  <c r="G40"/>
  <c r="G39"/>
  <c r="G38"/>
  <c r="G37"/>
  <c r="G36"/>
  <c r="E30"/>
  <c r="G30" s="1"/>
  <c r="E25"/>
  <c r="E24"/>
  <c r="E23"/>
  <c r="G23" s="1"/>
  <c r="G19"/>
  <c r="E19"/>
  <c r="G16"/>
  <c r="K9"/>
  <c r="M8"/>
  <c r="H67" i="28" l="1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70" i="28"/>
  <c r="H70" i="29" s="1"/>
  <c r="H70" i="30" s="1"/>
  <c r="H70" i="43" s="1"/>
  <c r="H68" i="28"/>
  <c r="H68" i="29" s="1"/>
  <c r="H68" i="30" s="1"/>
  <c r="H68" i="43" s="1"/>
  <c r="H68" i="31" s="1"/>
  <c r="J68" s="1"/>
  <c r="AZ5" i="44"/>
  <c r="H19" i="7"/>
  <c r="AZ11" i="44"/>
  <c r="E28" i="8"/>
  <c r="G28" s="1"/>
  <c r="H15"/>
  <c r="H47" i="2"/>
  <c r="G60"/>
  <c r="H60" s="1"/>
  <c r="G60" i="4"/>
  <c r="H9" i="7"/>
  <c r="H9" i="8" s="1"/>
  <c r="E15" i="9"/>
  <c r="G15" s="1"/>
  <c r="H8" i="8"/>
  <c r="G187" i="7"/>
  <c r="G20"/>
  <c r="E19" i="8"/>
  <c r="E15" i="20"/>
  <c r="G99" i="8"/>
  <c r="G97"/>
  <c r="G101"/>
  <c r="E7" i="9"/>
  <c r="H7" i="8"/>
  <c r="G95"/>
  <c r="E8" i="9"/>
  <c r="G10" i="18"/>
  <c r="H10" s="1"/>
  <c r="E9" i="9"/>
  <c r="AM37" i="44"/>
  <c r="H183" i="3"/>
  <c r="J183" s="1"/>
  <c r="N37" i="44"/>
  <c r="AW37"/>
  <c r="AX36"/>
  <c r="H74" i="30"/>
  <c r="H74" i="43" s="1"/>
  <c r="AO36" i="44"/>
  <c r="AV36"/>
  <c r="AV37"/>
  <c r="AO37"/>
  <c r="AM36"/>
  <c r="N36"/>
  <c r="AE36"/>
  <c r="AE37"/>
  <c r="AP37"/>
  <c r="AP36"/>
  <c r="AI37"/>
  <c r="AI36"/>
  <c r="AW36"/>
  <c r="AK36"/>
  <c r="AK37"/>
  <c r="AA36"/>
  <c r="AA37"/>
  <c r="AX37"/>
  <c r="AS37"/>
  <c r="AS36"/>
  <c r="AR37"/>
  <c r="AR36"/>
  <c r="AQ36"/>
  <c r="AQ37"/>
  <c r="AG36"/>
  <c r="AG37"/>
  <c r="I135" i="33"/>
  <c r="H153" i="2"/>
  <c r="I153"/>
  <c r="I135"/>
  <c r="H135"/>
  <c r="J135" s="1"/>
  <c r="I135" i="3"/>
  <c r="H178"/>
  <c r="H178" i="4" s="1"/>
  <c r="H122" i="3"/>
  <c r="J122" s="1"/>
  <c r="J127" i="7"/>
  <c r="H181" i="2"/>
  <c r="J181" s="1"/>
  <c r="G189"/>
  <c r="H189" s="1"/>
  <c r="J189" s="1"/>
  <c r="G60" i="5"/>
  <c r="I59" s="1"/>
  <c r="G30" i="3"/>
  <c r="H30" s="1"/>
  <c r="H30" i="4" s="1"/>
  <c r="H30" i="5" s="1"/>
  <c r="H30" i="33" s="1"/>
  <c r="H30" i="7" s="1"/>
  <c r="H118" i="3"/>
  <c r="J118" s="1"/>
  <c r="G31"/>
  <c r="H31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/>
  <c r="H120" i="4" s="1"/>
  <c r="J155" i="11"/>
  <c r="H155" i="12"/>
  <c r="J156" i="11"/>
  <c r="H156" i="12"/>
  <c r="H131" i="3"/>
  <c r="J131" s="1"/>
  <c r="H117"/>
  <c r="H117" i="4" s="1"/>
  <c r="H121" i="3"/>
  <c r="J121" s="1"/>
  <c r="G97" i="2"/>
  <c r="H97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s="1"/>
  <c r="H119" i="3"/>
  <c r="H119" i="4" s="1"/>
  <c r="H28" i="3"/>
  <c r="H28" i="4" s="1"/>
  <c r="H28" i="5" s="1"/>
  <c r="H28" i="33" s="1"/>
  <c r="H28" i="7" s="1"/>
  <c r="H28" i="8" s="1"/>
  <c r="G105" i="2"/>
  <c r="H105" s="1"/>
  <c r="H161" i="3"/>
  <c r="J161" s="1"/>
  <c r="J148" i="2"/>
  <c r="H148" i="3"/>
  <c r="H148" i="4" s="1"/>
  <c r="J143" i="2"/>
  <c r="H143" i="3"/>
  <c r="H143" i="4" s="1"/>
  <c r="J147" i="2"/>
  <c r="H147" i="3"/>
  <c r="H147" i="4" s="1"/>
  <c r="H129" i="3"/>
  <c r="J129" s="1"/>
  <c r="J129" i="2"/>
  <c r="H116" i="3"/>
  <c r="J116" s="1"/>
  <c r="J144" i="2"/>
  <c r="H144" i="3"/>
  <c r="H144" i="4" s="1"/>
  <c r="H139" i="3"/>
  <c r="H139" i="4" s="1"/>
  <c r="J139" i="2"/>
  <c r="H128" i="3"/>
  <c r="J128" s="1"/>
  <c r="H133"/>
  <c r="H133" i="4" s="1"/>
  <c r="J133" i="2"/>
  <c r="J152" i="7"/>
  <c r="H152" i="8"/>
  <c r="H115" i="3"/>
  <c r="J115" s="1"/>
  <c r="J115" i="2"/>
  <c r="J150"/>
  <c r="H150" i="3"/>
  <c r="H150" i="4" s="1"/>
  <c r="H173" i="3"/>
  <c r="H173" i="4" s="1"/>
  <c r="J173" i="2"/>
  <c r="H140" i="3"/>
  <c r="J140" s="1"/>
  <c r="J140" i="2"/>
  <c r="H164" i="3"/>
  <c r="H164" i="4" s="1"/>
  <c r="J164" i="2"/>
  <c r="H184" i="3"/>
  <c r="J184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s="1"/>
  <c r="J138" i="2"/>
  <c r="H162" i="3"/>
  <c r="J162" s="1"/>
  <c r="J162" i="2"/>
  <c r="H174" i="3"/>
  <c r="H174" i="4" s="1"/>
  <c r="J174" i="2"/>
  <c r="H130" i="3"/>
  <c r="H130" i="4" s="1"/>
  <c r="J130" i="2"/>
  <c r="H123" i="3"/>
  <c r="H123" i="4" s="1"/>
  <c r="H142" i="3"/>
  <c r="J142" s="1"/>
  <c r="J149" i="2"/>
  <c r="H149" i="3"/>
  <c r="H149" i="4" s="1"/>
  <c r="G101" i="2"/>
  <c r="H101" s="1"/>
  <c r="H101" i="3" s="1"/>
  <c r="H101" i="4" s="1"/>
  <c r="H101" i="5" s="1"/>
  <c r="G103" i="2"/>
  <c r="H103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/>
  <c r="H141" i="3"/>
  <c r="J141" s="1"/>
  <c r="H179"/>
  <c r="H179" i="4" s="1"/>
  <c r="H180" i="3"/>
  <c r="J180" s="1"/>
  <c r="H168" i="12"/>
  <c r="J168" i="11"/>
  <c r="J166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s="1"/>
  <c r="H176" i="2"/>
  <c r="J176" s="1"/>
  <c r="H186"/>
  <c r="H185" i="4"/>
  <c r="J185" i="3"/>
  <c r="H175"/>
  <c r="H188" i="2"/>
  <c r="H187"/>
  <c r="J187" s="1"/>
  <c r="H163" i="3"/>
  <c r="H113"/>
  <c r="J114"/>
  <c r="H114" i="4"/>
  <c r="J112" i="3"/>
  <c r="H112" i="4"/>
  <c r="H86" i="31"/>
  <c r="J86" s="1"/>
  <c r="J86" i="43"/>
  <c r="H92" i="31"/>
  <c r="J92" s="1"/>
  <c r="J92" i="43"/>
  <c r="J85"/>
  <c r="H85" i="31"/>
  <c r="J85" s="1"/>
  <c r="H90"/>
  <c r="J90" s="1"/>
  <c r="J90" i="43"/>
  <c r="J89"/>
  <c r="H89" i="31"/>
  <c r="J89" s="1"/>
  <c r="J87" i="43"/>
  <c r="H87" i="31"/>
  <c r="J87" s="1"/>
  <c r="H84"/>
  <c r="J84" s="1"/>
  <c r="J84" i="43"/>
  <c r="H91" i="31"/>
  <c r="J91" s="1"/>
  <c r="J91" i="43"/>
  <c r="J88"/>
  <c r="H88" i="31"/>
  <c r="J88" s="1"/>
  <c r="H75"/>
  <c r="J75" s="1"/>
  <c r="J75" i="43"/>
  <c r="H76" i="31"/>
  <c r="J76" s="1"/>
  <c r="J76" i="43"/>
  <c r="J62"/>
  <c r="H62" i="31"/>
  <c r="J62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s="1"/>
  <c r="G80" i="4"/>
  <c r="G80" i="3"/>
  <c r="H80" s="1"/>
  <c r="G80" i="7"/>
  <c r="G60" i="8"/>
  <c r="G105"/>
  <c r="G103"/>
  <c r="G95" i="7"/>
  <c r="G99"/>
  <c r="G32"/>
  <c r="G60"/>
  <c r="G105"/>
  <c r="G97"/>
  <c r="G105" i="33"/>
  <c r="G101"/>
  <c r="G32"/>
  <c r="G60"/>
  <c r="G97"/>
  <c r="G103"/>
  <c r="G105" i="5"/>
  <c r="G95"/>
  <c r="G99"/>
  <c r="G32"/>
  <c r="G80"/>
  <c r="G99" i="4"/>
  <c r="G32"/>
  <c r="G95"/>
  <c r="G97" i="3"/>
  <c r="G95"/>
  <c r="G99"/>
  <c r="G60"/>
  <c r="G105"/>
  <c r="G95" i="2"/>
  <c r="H95" s="1"/>
  <c r="G99"/>
  <c r="H99" s="1"/>
  <c r="G32"/>
  <c r="H32" s="1"/>
  <c r="G181" i="50"/>
  <c r="H181" s="1"/>
  <c r="J181" s="1"/>
  <c r="G180"/>
  <c r="H180" s="1"/>
  <c r="J180" s="1"/>
  <c r="H166"/>
  <c r="J166" s="1"/>
  <c r="G169"/>
  <c r="H169" s="1"/>
  <c r="J169" s="1"/>
  <c r="H171"/>
  <c r="J171" s="1"/>
  <c r="G174"/>
  <c r="G179"/>
  <c r="H179" s="1"/>
  <c r="J179" s="1"/>
  <c r="G95"/>
  <c r="I86"/>
  <c r="G99"/>
  <c r="G80"/>
  <c r="G97"/>
  <c r="E32"/>
  <c r="G32" s="1"/>
  <c r="G103"/>
  <c r="G101"/>
  <c r="G117"/>
  <c r="G72"/>
  <c r="G122"/>
  <c r="I89"/>
  <c r="G120"/>
  <c r="G124"/>
  <c r="G60"/>
  <c r="G65"/>
  <c r="E29"/>
  <c r="G29" s="1"/>
  <c r="I91"/>
  <c r="G48"/>
  <c r="H69" i="31" l="1"/>
  <c r="J69" s="1"/>
  <c r="J69" i="43"/>
  <c r="H66" i="31"/>
  <c r="J66" s="1"/>
  <c r="J66" i="43"/>
  <c r="H67" i="31"/>
  <c r="J67" s="1"/>
  <c r="J67" i="43"/>
  <c r="H70" i="31"/>
  <c r="J70" s="1"/>
  <c r="J70" i="43"/>
  <c r="H65" i="31"/>
  <c r="J65" s="1"/>
  <c r="J65" i="43"/>
  <c r="H63" i="31"/>
  <c r="J63" s="1"/>
  <c r="J63" i="43"/>
  <c r="H64" i="28"/>
  <c r="H64" i="29" s="1"/>
  <c r="H64" i="30" s="1"/>
  <c r="H64" i="43" s="1"/>
  <c r="H64" i="31" s="1"/>
  <c r="J64" s="1"/>
  <c r="H71" i="28"/>
  <c r="H71" i="29" s="1"/>
  <c r="H71" i="30" s="1"/>
  <c r="H71" i="43" s="1"/>
  <c r="J71" s="1"/>
  <c r="J68"/>
  <c r="H15" i="9"/>
  <c r="E10" i="19"/>
  <c r="E10" i="20" s="1"/>
  <c r="G15" i="19"/>
  <c r="H20" i="7"/>
  <c r="G19" i="8"/>
  <c r="E15" i="21"/>
  <c r="G79" i="9"/>
  <c r="G80" s="1"/>
  <c r="E28"/>
  <c r="G28" s="1"/>
  <c r="H28" s="1"/>
  <c r="E15" i="10"/>
  <c r="G7" i="9"/>
  <c r="G9"/>
  <c r="H9" s="1"/>
  <c r="G8"/>
  <c r="H122" i="4"/>
  <c r="J122" s="1"/>
  <c r="H183"/>
  <c r="J183" s="1"/>
  <c r="J74" i="43"/>
  <c r="H74" i="31"/>
  <c r="J74" s="1"/>
  <c r="H104" i="30"/>
  <c r="H104" i="43" s="1"/>
  <c r="H135" i="3"/>
  <c r="H135" i="4" s="1"/>
  <c r="J178" i="3"/>
  <c r="H181"/>
  <c r="H181" i="4" s="1"/>
  <c r="J117" i="3"/>
  <c r="H118" i="4"/>
  <c r="J118" s="1"/>
  <c r="H138"/>
  <c r="H138" i="5" s="1"/>
  <c r="G32" i="3"/>
  <c r="H32" s="1"/>
  <c r="H32" i="4" s="1"/>
  <c r="H32" i="5" s="1"/>
  <c r="H32" i="33" s="1"/>
  <c r="H32" i="7" s="1"/>
  <c r="H115" i="4"/>
  <c r="H115" i="5" s="1"/>
  <c r="H121" i="4"/>
  <c r="J121" s="1"/>
  <c r="H27" i="3"/>
  <c r="H27" i="4" s="1"/>
  <c r="H27" i="5" s="1"/>
  <c r="H27" i="33" s="1"/>
  <c r="H27" i="7" s="1"/>
  <c r="H27" i="8" s="1"/>
  <c r="J164" i="3"/>
  <c r="H161" i="4"/>
  <c r="H161" i="5" s="1"/>
  <c r="J150" i="3"/>
  <c r="J149"/>
  <c r="J120"/>
  <c r="J143"/>
  <c r="H97"/>
  <c r="H97" i="4" s="1"/>
  <c r="H97" i="5" s="1"/>
  <c r="H97" i="33" s="1"/>
  <c r="H97" i="7" s="1"/>
  <c r="H97" i="8" s="1"/>
  <c r="H80" i="4"/>
  <c r="H80" i="5" s="1"/>
  <c r="J139" i="3"/>
  <c r="J174"/>
  <c r="J156" i="12"/>
  <c r="H156" i="13"/>
  <c r="H155"/>
  <c r="J155" i="12"/>
  <c r="J146" i="3"/>
  <c r="J144"/>
  <c r="H131" i="4"/>
  <c r="J131" s="1"/>
  <c r="J123" i="3"/>
  <c r="J119"/>
  <c r="H116" i="4"/>
  <c r="J116" s="1"/>
  <c r="H140"/>
  <c r="H140" i="5" s="1"/>
  <c r="H184" i="4"/>
  <c r="H184" i="5" s="1"/>
  <c r="H142" i="4"/>
  <c r="H142" i="5" s="1"/>
  <c r="J147" i="3"/>
  <c r="J148"/>
  <c r="H105"/>
  <c r="H105" i="4" s="1"/>
  <c r="H105" i="5" s="1"/>
  <c r="H105" i="33" s="1"/>
  <c r="H105" i="7" s="1"/>
  <c r="H105" i="8" s="1"/>
  <c r="H162" i="4"/>
  <c r="J162" s="1"/>
  <c r="H129"/>
  <c r="J129" s="1"/>
  <c r="J130" i="3"/>
  <c r="H141" i="4"/>
  <c r="J141" s="1"/>
  <c r="H165"/>
  <c r="J165" s="1"/>
  <c r="H128"/>
  <c r="J128" s="1"/>
  <c r="H134" i="9"/>
  <c r="J134" i="8"/>
  <c r="H103" i="33"/>
  <c r="H103" i="7" s="1"/>
  <c r="H103" i="8" s="1"/>
  <c r="H150" i="5"/>
  <c r="J150" i="4"/>
  <c r="H189" i="3"/>
  <c r="H189" i="4" s="1"/>
  <c r="J145"/>
  <c r="H145" i="5"/>
  <c r="H147"/>
  <c r="J147" i="4"/>
  <c r="J173" i="3"/>
  <c r="J179"/>
  <c r="J133"/>
  <c r="H149" i="5"/>
  <c r="J149" i="4"/>
  <c r="J146"/>
  <c r="H146" i="5"/>
  <c r="J144" i="4"/>
  <c r="H144" i="5"/>
  <c r="H143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s="1"/>
  <c r="J94" i="43"/>
  <c r="H101" i="33"/>
  <c r="H101" i="7" s="1"/>
  <c r="H101" i="8" s="1"/>
  <c r="H102" i="31"/>
  <c r="J102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/>
  <c r="J174" i="4"/>
  <c r="H175"/>
  <c r="J175" i="3"/>
  <c r="J179" i="4"/>
  <c r="H179" i="5"/>
  <c r="H176" i="3"/>
  <c r="H173" i="5"/>
  <c r="J173" i="4"/>
  <c r="H178" i="5"/>
  <c r="J178" i="4"/>
  <c r="H163"/>
  <c r="J163" i="3"/>
  <c r="H164" i="5"/>
  <c r="J164" i="4"/>
  <c r="H188" i="3"/>
  <c r="H187"/>
  <c r="J145"/>
  <c r="J139" i="4"/>
  <c r="H139" i="5"/>
  <c r="H114"/>
  <c r="J114" i="4"/>
  <c r="H117" i="5"/>
  <c r="J117" i="4"/>
  <c r="H123" i="5"/>
  <c r="J123" i="4"/>
  <c r="H119" i="5"/>
  <c r="J119" i="4"/>
  <c r="H120" i="5"/>
  <c r="J120" i="4"/>
  <c r="H113"/>
  <c r="J113" i="3"/>
  <c r="H112" i="5"/>
  <c r="J112" i="4"/>
  <c r="J100" i="43"/>
  <c r="H100" i="31"/>
  <c r="J100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/>
  <c r="H182" s="1"/>
  <c r="J182" s="1"/>
  <c r="H174"/>
  <c r="J174" s="1"/>
  <c r="G61"/>
  <c r="B26" i="48"/>
  <c r="J64" i="43" l="1"/>
  <c r="H71" i="31"/>
  <c r="J71" s="1"/>
  <c r="G10" i="19"/>
  <c r="H10" s="1"/>
  <c r="G79"/>
  <c r="G80" s="1"/>
  <c r="H80" s="1"/>
  <c r="E28"/>
  <c r="G28" s="1"/>
  <c r="E19" i="9"/>
  <c r="G19" s="1"/>
  <c r="E8" i="10"/>
  <c r="G8" s="1"/>
  <c r="E27" s="1"/>
  <c r="G27" s="1"/>
  <c r="G187" i="8"/>
  <c r="E30"/>
  <c r="G30" s="1"/>
  <c r="G20"/>
  <c r="H20" s="1"/>
  <c r="H19"/>
  <c r="G15" i="10"/>
  <c r="E15" i="22"/>
  <c r="G15" i="21"/>
  <c r="G15" i="20"/>
  <c r="H79" i="9"/>
  <c r="G10" i="20"/>
  <c r="G95" i="9"/>
  <c r="H95" s="1"/>
  <c r="G97"/>
  <c r="H97" s="1"/>
  <c r="G105"/>
  <c r="H105" s="1"/>
  <c r="G103"/>
  <c r="H103" s="1"/>
  <c r="G101"/>
  <c r="H101" s="1"/>
  <c r="G99"/>
  <c r="H99" s="1"/>
  <c r="I59"/>
  <c r="E27"/>
  <c r="G27" s="1"/>
  <c r="H8"/>
  <c r="E7" i="10"/>
  <c r="H7" i="9"/>
  <c r="H183" i="5"/>
  <c r="H183" i="33" s="1"/>
  <c r="H122" i="5"/>
  <c r="J122" s="1"/>
  <c r="H104" i="31"/>
  <c r="J104" s="1"/>
  <c r="J104" i="43"/>
  <c r="J135" i="3"/>
  <c r="H135" i="5"/>
  <c r="J135" i="4"/>
  <c r="J161"/>
  <c r="H121" i="5"/>
  <c r="J121" s="1"/>
  <c r="J181" i="3"/>
  <c r="J115" i="4"/>
  <c r="J138"/>
  <c r="J140"/>
  <c r="H118" i="5"/>
  <c r="H118" i="33" s="1"/>
  <c r="J184" i="4"/>
  <c r="H155" i="14"/>
  <c r="J155" i="13"/>
  <c r="H156" i="14"/>
  <c r="J156" i="13"/>
  <c r="H131" i="5"/>
  <c r="J131" s="1"/>
  <c r="J186" i="3"/>
  <c r="H116" i="5"/>
  <c r="J116" s="1"/>
  <c r="H129"/>
  <c r="J129" s="1"/>
  <c r="H165"/>
  <c r="H165" i="33" s="1"/>
  <c r="J142" i="4"/>
  <c r="H162" i="5"/>
  <c r="J162" s="1"/>
  <c r="H141"/>
  <c r="J141" s="1"/>
  <c r="H128"/>
  <c r="J128" s="1"/>
  <c r="J189" i="3"/>
  <c r="H152" i="10"/>
  <c r="J152" i="9"/>
  <c r="H145" i="33"/>
  <c r="J145" i="5"/>
  <c r="H149" i="33"/>
  <c r="J149" i="5"/>
  <c r="H151" i="8"/>
  <c r="J151" i="7"/>
  <c r="H143" i="33"/>
  <c r="J143" i="5"/>
  <c r="J150"/>
  <c r="H150" i="33"/>
  <c r="J144" i="5"/>
  <c r="H144" i="33"/>
  <c r="H146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/>
  <c r="J186" i="4"/>
  <c r="J181"/>
  <c r="H181" i="5"/>
  <c r="H184" i="33"/>
  <c r="J184" i="5"/>
  <c r="H180" i="33"/>
  <c r="J180" i="5"/>
  <c r="H176" i="4"/>
  <c r="J176" i="3"/>
  <c r="H175" i="5"/>
  <c r="J175" i="4"/>
  <c r="J189"/>
  <c r="H189" i="5"/>
  <c r="H164" i="33"/>
  <c r="J164" i="5"/>
  <c r="H161" i="33"/>
  <c r="J161" i="5"/>
  <c r="H188" i="4"/>
  <c r="J188" i="3"/>
  <c r="H163" i="5"/>
  <c r="J163" i="4"/>
  <c r="H187"/>
  <c r="J187" i="3"/>
  <c r="H139" i="33"/>
  <c r="J139" i="5"/>
  <c r="J142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0" i="20" l="1"/>
  <c r="H8" i="10"/>
  <c r="G20" i="9"/>
  <c r="H20" s="1"/>
  <c r="G187"/>
  <c r="E30"/>
  <c r="G30" s="1"/>
  <c r="G32" s="1"/>
  <c r="E19" i="10"/>
  <c r="G32" i="8"/>
  <c r="H32" s="1"/>
  <c r="H30"/>
  <c r="H19" i="9"/>
  <c r="G79" i="20"/>
  <c r="G80" s="1"/>
  <c r="E28"/>
  <c r="G28" s="1"/>
  <c r="E28" i="21"/>
  <c r="G28" s="1"/>
  <c r="G79"/>
  <c r="G80" s="1"/>
  <c r="E15" i="23"/>
  <c r="G15" i="22"/>
  <c r="E28" i="10"/>
  <c r="G28" s="1"/>
  <c r="H28" s="1"/>
  <c r="G79"/>
  <c r="G80" s="1"/>
  <c r="H15"/>
  <c r="E15" i="11"/>
  <c r="E8"/>
  <c r="G9" i="10"/>
  <c r="H9" s="1"/>
  <c r="G7"/>
  <c r="H7" s="1"/>
  <c r="E10" i="21"/>
  <c r="H27" i="9"/>
  <c r="H27" i="10" s="1"/>
  <c r="J183" i="5"/>
  <c r="H122" i="33"/>
  <c r="J122" s="1"/>
  <c r="H162"/>
  <c r="H162" i="7" s="1"/>
  <c r="J135" i="5"/>
  <c r="H135" i="33"/>
  <c r="H121"/>
  <c r="H121" i="7" s="1"/>
  <c r="J118" i="5"/>
  <c r="J156" i="14"/>
  <c r="H156" i="15"/>
  <c r="H129" i="33"/>
  <c r="J129" s="1"/>
  <c r="H155" i="15"/>
  <c r="J155" i="14"/>
  <c r="H131" i="33"/>
  <c r="J131" s="1"/>
  <c r="J165" i="5"/>
  <c r="H116" i="33"/>
  <c r="H116" i="7" s="1"/>
  <c r="H141" i="33"/>
  <c r="H141" i="7" s="1"/>
  <c r="H128" i="33"/>
  <c r="J128" s="1"/>
  <c r="H151" i="9"/>
  <c r="J151" i="8"/>
  <c r="H144" i="7"/>
  <c r="J144" i="33"/>
  <c r="J134" i="10"/>
  <c r="H134" i="11"/>
  <c r="J149" i="33"/>
  <c r="H149" i="7"/>
  <c r="H150"/>
  <c r="J150" i="33"/>
  <c r="J146"/>
  <c r="H146" i="7"/>
  <c r="J147" i="33"/>
  <c r="H147" i="7"/>
  <c r="H145"/>
  <c r="J145" i="33"/>
  <c r="J148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/>
  <c r="J177" i="11"/>
  <c r="H130" i="7"/>
  <c r="J130" i="33"/>
  <c r="H167" i="15"/>
  <c r="J167" i="14"/>
  <c r="J166"/>
  <c r="H166" i="15"/>
  <c r="H133" i="7"/>
  <c r="J133" i="33"/>
  <c r="H168" i="15"/>
  <c r="J168" i="14"/>
  <c r="H176" i="5"/>
  <c r="J176" i="4"/>
  <c r="H183" i="7"/>
  <c r="J183" i="33"/>
  <c r="J174"/>
  <c r="H174" i="7"/>
  <c r="H179"/>
  <c r="J179" i="33"/>
  <c r="J178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/>
  <c r="J164" i="33"/>
  <c r="J165"/>
  <c r="H165" i="7"/>
  <c r="H188" i="5"/>
  <c r="J188" i="4"/>
  <c r="J138" i="33"/>
  <c r="H138" i="7"/>
  <c r="J142" i="33"/>
  <c r="H142" i="7"/>
  <c r="H139"/>
  <c r="J139" i="33"/>
  <c r="H140" i="7"/>
  <c r="J140" i="33"/>
  <c r="H122" i="7"/>
  <c r="J119" i="33"/>
  <c r="H119" i="7"/>
  <c r="J112" i="33"/>
  <c r="H112" i="7"/>
  <c r="H114"/>
  <c r="J114" i="33"/>
  <c r="J123"/>
  <c r="H123" i="7"/>
  <c r="H113" i="33"/>
  <c r="J113" i="5"/>
  <c r="H118" i="7"/>
  <c r="J118" i="33"/>
  <c r="J117"/>
  <c r="H117" i="7"/>
  <c r="J115" i="33"/>
  <c r="H115" i="7"/>
  <c r="J120" i="33"/>
  <c r="H120" i="7"/>
  <c r="B20" i="48"/>
  <c r="H30" i="9" l="1"/>
  <c r="E7" i="11"/>
  <c r="G7" s="1"/>
  <c r="H7" s="1"/>
  <c r="H32" i="9"/>
  <c r="G19" i="10"/>
  <c r="H19" s="1"/>
  <c r="E15" i="24"/>
  <c r="G15" i="23"/>
  <c r="E15" i="12"/>
  <c r="G15" i="11"/>
  <c r="H15" s="1"/>
  <c r="H79" i="10"/>
  <c r="E28" i="22"/>
  <c r="G28" s="1"/>
  <c r="G79"/>
  <c r="G80" s="1"/>
  <c r="E9" i="11"/>
  <c r="E8" i="12"/>
  <c r="G8" i="11"/>
  <c r="G10" i="21"/>
  <c r="H10" s="1"/>
  <c r="G99" i="10"/>
  <c r="H99" s="1"/>
  <c r="G103"/>
  <c r="H103" s="1"/>
  <c r="G97"/>
  <c r="H97" s="1"/>
  <c r="G95"/>
  <c r="H95" s="1"/>
  <c r="G105"/>
  <c r="H105" s="1"/>
  <c r="G101"/>
  <c r="H101" s="1"/>
  <c r="I59"/>
  <c r="J162" i="33"/>
  <c r="J135"/>
  <c r="H135" i="7"/>
  <c r="H129"/>
  <c r="J129" s="1"/>
  <c r="J121" i="33"/>
  <c r="J141"/>
  <c r="J155" i="15"/>
  <c r="H155" i="16"/>
  <c r="H156"/>
  <c r="J156" i="15"/>
  <c r="H131" i="7"/>
  <c r="H131" i="8" s="1"/>
  <c r="J116" i="33"/>
  <c r="H128" i="7"/>
  <c r="J128" s="1"/>
  <c r="J149"/>
  <c r="H149" i="8"/>
  <c r="H145"/>
  <c r="J145" i="7"/>
  <c r="J147"/>
  <c r="H147" i="8"/>
  <c r="J134" i="11"/>
  <c r="H134" i="12"/>
  <c r="H152"/>
  <c r="J152" i="11"/>
  <c r="H143" i="8"/>
  <c r="J143" i="7"/>
  <c r="H146" i="8"/>
  <c r="J146" i="7"/>
  <c r="J144"/>
  <c r="H144" i="8"/>
  <c r="J148" i="7"/>
  <c r="H148" i="8"/>
  <c r="H150"/>
  <c r="J150" i="7"/>
  <c r="H151" i="10"/>
  <c r="J151" i="9"/>
  <c r="H189" i="25"/>
  <c r="J189" i="24"/>
  <c r="J166" i="15"/>
  <c r="H166" i="16"/>
  <c r="J127" i="12"/>
  <c r="H127" i="13"/>
  <c r="H182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/>
  <c r="J162" i="7"/>
  <c r="J165"/>
  <c r="H165" i="8"/>
  <c r="H188" i="33"/>
  <c r="J188" i="5"/>
  <c r="J164" i="7"/>
  <c r="H164" i="8"/>
  <c r="J163" i="33"/>
  <c r="H163" i="7"/>
  <c r="J141"/>
  <c r="H141" i="8"/>
  <c r="J142" i="7"/>
  <c r="H142" i="8"/>
  <c r="H140"/>
  <c r="J140" i="7"/>
  <c r="H139" i="8"/>
  <c r="J139" i="7"/>
  <c r="J138"/>
  <c r="H138" i="8"/>
  <c r="H118"/>
  <c r="J118" i="7"/>
  <c r="H122" i="8"/>
  <c r="J122" i="7"/>
  <c r="J121"/>
  <c r="H121" i="8"/>
  <c r="J115" i="7"/>
  <c r="H115" i="8"/>
  <c r="J112" i="7"/>
  <c r="H112" i="8"/>
  <c r="J123" i="7"/>
  <c r="H123" i="8"/>
  <c r="J113" i="33"/>
  <c r="H113" i="7"/>
  <c r="H114" i="8"/>
  <c r="J114" i="7"/>
  <c r="J120"/>
  <c r="H120" i="8"/>
  <c r="J116" i="7"/>
  <c r="H116" i="8"/>
  <c r="J117" i="7"/>
  <c r="H117" i="8"/>
  <c r="J119" i="7"/>
  <c r="H119" i="8"/>
  <c r="C33" i="48"/>
  <c r="D33"/>
  <c r="F33"/>
  <c r="B3"/>
  <c r="E4" i="45" s="1"/>
  <c r="B4" i="48"/>
  <c r="B5"/>
  <c r="B6"/>
  <c r="B7"/>
  <c r="B8"/>
  <c r="B9"/>
  <c r="B10"/>
  <c r="B11"/>
  <c r="B12"/>
  <c r="B13"/>
  <c r="B14"/>
  <c r="B15"/>
  <c r="B16"/>
  <c r="B17"/>
  <c r="B18"/>
  <c r="B19"/>
  <c r="B21"/>
  <c r="B25"/>
  <c r="B27"/>
  <c r="B28"/>
  <c r="B29"/>
  <c r="B31"/>
  <c r="B32"/>
  <c r="B2"/>
  <c r="D4" i="45" s="1"/>
  <c r="K2" i="48"/>
  <c r="E7" i="12" l="1"/>
  <c r="G7" s="1"/>
  <c r="E30" i="10"/>
  <c r="G30" s="1"/>
  <c r="G187"/>
  <c r="G20"/>
  <c r="H20" s="1"/>
  <c r="E19" i="11"/>
  <c r="E28"/>
  <c r="G28" s="1"/>
  <c r="H28" s="1"/>
  <c r="G79"/>
  <c r="G80" s="1"/>
  <c r="E15" i="13"/>
  <c r="G15" i="12"/>
  <c r="G79" i="23"/>
  <c r="G80" s="1"/>
  <c r="E28"/>
  <c r="G28" s="1"/>
  <c r="G15" i="24"/>
  <c r="E15" i="25"/>
  <c r="G99" i="11"/>
  <c r="H99" s="1"/>
  <c r="G97"/>
  <c r="H97" s="1"/>
  <c r="G103"/>
  <c r="H103" s="1"/>
  <c r="G105"/>
  <c r="H105" s="1"/>
  <c r="G101"/>
  <c r="H101" s="1"/>
  <c r="G95"/>
  <c r="H95" s="1"/>
  <c r="I59"/>
  <c r="E27"/>
  <c r="G27" s="1"/>
  <c r="H8"/>
  <c r="E9" i="12"/>
  <c r="G9" i="11"/>
  <c r="H9" s="1"/>
  <c r="E10" i="22"/>
  <c r="H135" i="8"/>
  <c r="J135" i="7"/>
  <c r="H129" i="8"/>
  <c r="H129" i="9" s="1"/>
  <c r="H156" i="17"/>
  <c r="J156" i="16"/>
  <c r="J155"/>
  <c r="H155" i="17"/>
  <c r="J131" i="7"/>
  <c r="H128" i="8"/>
  <c r="J12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/>
  <c r="J145" i="8"/>
  <c r="H148" i="9"/>
  <c r="J148" i="8"/>
  <c r="J149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/>
  <c r="J173" i="8"/>
  <c r="J181" i="7"/>
  <c r="H181" i="8"/>
  <c r="H184" i="9"/>
  <c r="J184" i="8"/>
  <c r="H183" i="9"/>
  <c r="J183" i="8"/>
  <c r="H189"/>
  <c r="J189" i="7"/>
  <c r="J176" i="33"/>
  <c r="H176" i="7"/>
  <c r="J174" i="8"/>
  <c r="H174" i="9"/>
  <c r="H180"/>
  <c r="J180" i="8"/>
  <c r="J186" i="7"/>
  <c r="H186" i="8"/>
  <c r="H185" i="9"/>
  <c r="J185" i="8"/>
  <c r="H179" i="9"/>
  <c r="J179" i="8"/>
  <c r="H175"/>
  <c r="J175" i="7"/>
  <c r="H188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/>
  <c r="H138" i="9"/>
  <c r="J142" i="8"/>
  <c r="H142" i="9"/>
  <c r="J141" i="8"/>
  <c r="H141" i="9"/>
  <c r="H139"/>
  <c r="J139" i="8"/>
  <c r="H140" i="9"/>
  <c r="J140" i="8"/>
  <c r="J116"/>
  <c r="H116" i="9"/>
  <c r="J123" i="8"/>
  <c r="H123" i="9"/>
  <c r="H118"/>
  <c r="J118" i="8"/>
  <c r="J120"/>
  <c r="H120" i="9"/>
  <c r="J113" i="7"/>
  <c r="H113" i="8"/>
  <c r="J112"/>
  <c r="H112" i="9"/>
  <c r="J121" i="8"/>
  <c r="H121" i="9"/>
  <c r="J119" i="8"/>
  <c r="H119" i="9"/>
  <c r="J115" i="8"/>
  <c r="H115" i="9"/>
  <c r="J117" i="8"/>
  <c r="H117" i="9"/>
  <c r="H114"/>
  <c r="J114" i="8"/>
  <c r="H122" i="9"/>
  <c r="J122" i="8"/>
  <c r="B33" i="48"/>
  <c r="G19" i="11" l="1"/>
  <c r="G32" i="10"/>
  <c r="H32" s="1"/>
  <c r="H30"/>
  <c r="G79" i="12"/>
  <c r="G80" s="1"/>
  <c r="E28"/>
  <c r="G28" s="1"/>
  <c r="H28" s="1"/>
  <c r="G15" i="13"/>
  <c r="E15" i="14"/>
  <c r="G15" i="25"/>
  <c r="E15" i="40"/>
  <c r="H15" i="12"/>
  <c r="G79" i="24"/>
  <c r="G80" s="1"/>
  <c r="E28"/>
  <c r="G28" s="1"/>
  <c r="H79" i="11"/>
  <c r="H27"/>
  <c r="E9" i="13"/>
  <c r="G9" i="12"/>
  <c r="H9" s="1"/>
  <c r="G10" i="22"/>
  <c r="H10" s="1"/>
  <c r="G105" i="12"/>
  <c r="H105" s="1"/>
  <c r="G97"/>
  <c r="H97" s="1"/>
  <c r="G99"/>
  <c r="H99" s="1"/>
  <c r="G95"/>
  <c r="H95" s="1"/>
  <c r="G101"/>
  <c r="H101" s="1"/>
  <c r="G103"/>
  <c r="H103" s="1"/>
  <c r="I59"/>
  <c r="E7" i="13"/>
  <c r="E8"/>
  <c r="G8" i="12"/>
  <c r="E27" s="1"/>
  <c r="G27" s="1"/>
  <c r="H7"/>
  <c r="H135" i="9"/>
  <c r="J135" i="8"/>
  <c r="J129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/>
  <c r="J129" i="9"/>
  <c r="J131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/>
  <c r="J186" i="8"/>
  <c r="H186" i="9"/>
  <c r="H174" i="10"/>
  <c r="J174" i="9"/>
  <c r="H175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/>
  <c r="H115" i="10"/>
  <c r="H121"/>
  <c r="J121" i="9"/>
  <c r="J113" i="8"/>
  <c r="H113" i="9"/>
  <c r="H122" i="10"/>
  <c r="J122" i="9"/>
  <c r="H117" i="10"/>
  <c r="J117" i="9"/>
  <c r="J119"/>
  <c r="H119" i="10"/>
  <c r="H112"/>
  <c r="J112" i="9"/>
  <c r="H120" i="10"/>
  <c r="J120" i="9"/>
  <c r="J123"/>
  <c r="H123" i="10"/>
  <c r="H3" i="48"/>
  <c r="K4" i="45" s="1"/>
  <c r="H4" i="48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1"/>
  <c r="H32"/>
  <c r="H2"/>
  <c r="H79" i="12" l="1"/>
  <c r="H8"/>
  <c r="H15" i="13"/>
  <c r="G187" i="11"/>
  <c r="E30"/>
  <c r="G30" s="1"/>
  <c r="G32" s="1"/>
  <c r="H32" s="1"/>
  <c r="G20"/>
  <c r="H20" s="1"/>
  <c r="H19"/>
  <c r="E19" i="12"/>
  <c r="G15" i="40"/>
  <c r="E15" i="27"/>
  <c r="G79" i="25"/>
  <c r="E28"/>
  <c r="G28" s="1"/>
  <c r="G15" i="14"/>
  <c r="E28" i="13"/>
  <c r="G28" s="1"/>
  <c r="H28" s="1"/>
  <c r="G79"/>
  <c r="G80" s="1"/>
  <c r="H80" s="1"/>
  <c r="J80" s="1"/>
  <c r="H27" i="12"/>
  <c r="G8" i="13"/>
  <c r="E27" s="1"/>
  <c r="G27" s="1"/>
  <c r="E8" i="14"/>
  <c r="G7" i="13"/>
  <c r="H7" s="1"/>
  <c r="G9"/>
  <c r="H9" s="1"/>
  <c r="E9" i="14"/>
  <c r="E10" i="23"/>
  <c r="H135" i="10"/>
  <c r="J135" i="9"/>
  <c r="J156" i="18"/>
  <c r="H156" i="19"/>
  <c r="H155"/>
  <c r="J155" i="18"/>
  <c r="J128" i="9"/>
  <c r="J134" i="14"/>
  <c r="H134" i="15"/>
  <c r="H147" i="11"/>
  <c r="J147" i="10"/>
  <c r="J144"/>
  <c r="H144" i="11"/>
  <c r="H150"/>
  <c r="J150" i="10"/>
  <c r="H152" i="15"/>
  <c r="J152" i="14"/>
  <c r="J151" i="12"/>
  <c r="H151" i="13"/>
  <c r="H148" i="11"/>
  <c r="J148" i="10"/>
  <c r="J149"/>
  <c r="H149" i="11"/>
  <c r="J145" i="10"/>
  <c r="H145" i="11"/>
  <c r="J146" i="10"/>
  <c r="H146" i="11"/>
  <c r="H143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/>
  <c r="H129" i="11"/>
  <c r="J129" i="10"/>
  <c r="J132"/>
  <c r="H132" i="11"/>
  <c r="H133"/>
  <c r="J133" i="10"/>
  <c r="H177" i="16"/>
  <c r="J177" i="15"/>
  <c r="H127" i="16"/>
  <c r="J127" i="15"/>
  <c r="H173" i="11"/>
  <c r="J173" i="10"/>
  <c r="H189"/>
  <c r="J189" i="9"/>
  <c r="H178" i="11"/>
  <c r="J178" i="10"/>
  <c r="H180" i="11"/>
  <c r="J180" i="10"/>
  <c r="H175"/>
  <c r="J175" i="9"/>
  <c r="H186" i="10"/>
  <c r="J186" i="9"/>
  <c r="H176"/>
  <c r="J176" i="8"/>
  <c r="H184" i="11"/>
  <c r="J184" i="10"/>
  <c r="J179"/>
  <c r="H179" i="11"/>
  <c r="H181" i="10"/>
  <c r="J181" i="9"/>
  <c r="J183" i="10"/>
  <c r="H183" i="11"/>
  <c r="H185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/>
  <c r="J162" i="10"/>
  <c r="H138" i="11"/>
  <c r="J138" i="10"/>
  <c r="H141" i="11"/>
  <c r="J141" i="10"/>
  <c r="J139"/>
  <c r="H139" i="11"/>
  <c r="H140"/>
  <c r="J140" i="10"/>
  <c r="H142" i="11"/>
  <c r="J142" i="10"/>
  <c r="J123"/>
  <c r="H123" i="11"/>
  <c r="J122" i="10"/>
  <c r="H122" i="11"/>
  <c r="J121" i="10"/>
  <c r="H121" i="11"/>
  <c r="H116"/>
  <c r="J116" i="10"/>
  <c r="J114"/>
  <c r="H114" i="11"/>
  <c r="J119" i="10"/>
  <c r="H119" i="11"/>
  <c r="H120"/>
  <c r="J120" i="10"/>
  <c r="H112" i="11"/>
  <c r="J112" i="10"/>
  <c r="J117"/>
  <c r="H117" i="11"/>
  <c r="J118" i="10"/>
  <c r="H118" i="11"/>
  <c r="H113" i="10"/>
  <c r="J113" i="9"/>
  <c r="J115" i="10"/>
  <c r="H115" i="11"/>
  <c r="H33" i="48"/>
  <c r="E7" i="14" l="1"/>
  <c r="G7" s="1"/>
  <c r="H30" i="11"/>
  <c r="G19" i="12"/>
  <c r="G79" i="14"/>
  <c r="E28"/>
  <c r="G28" s="1"/>
  <c r="H28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H79" i="13"/>
  <c r="J79" s="1"/>
  <c r="G79" i="40"/>
  <c r="E28"/>
  <c r="G28" s="1"/>
  <c r="H27" i="13"/>
  <c r="E9" i="15"/>
  <c r="G9" i="14"/>
  <c r="H9" s="1"/>
  <c r="E8" i="15"/>
  <c r="G8" i="14"/>
  <c r="E27" s="1"/>
  <c r="G27" s="1"/>
  <c r="G99" i="13"/>
  <c r="H99" s="1"/>
  <c r="G105"/>
  <c r="H105" s="1"/>
  <c r="G97"/>
  <c r="H97" s="1"/>
  <c r="G103"/>
  <c r="H103" s="1"/>
  <c r="G101"/>
  <c r="H101" s="1"/>
  <c r="G95"/>
  <c r="H95" s="1"/>
  <c r="I59"/>
  <c r="G10" i="23"/>
  <c r="H10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/>
  <c r="H146" i="12"/>
  <c r="J151" i="13"/>
  <c r="H151" i="14"/>
  <c r="H147" i="12"/>
  <c r="J147" i="11"/>
  <c r="H145" i="12"/>
  <c r="J145" i="11"/>
  <c r="H134" i="16"/>
  <c r="J134" i="15"/>
  <c r="J152"/>
  <c r="H152" i="16"/>
  <c r="H189" i="29"/>
  <c r="J189" i="28"/>
  <c r="H133" i="12"/>
  <c r="J133" i="11"/>
  <c r="J128"/>
  <c r="H128" i="12"/>
  <c r="H130"/>
  <c r="J130" i="11"/>
  <c r="H182" i="17"/>
  <c r="J182" i="16"/>
  <c r="J127"/>
  <c r="H127" i="17"/>
  <c r="H129" i="12"/>
  <c r="J129" i="11"/>
  <c r="J168" i="19"/>
  <c r="H177" i="17"/>
  <c r="J177" i="16"/>
  <c r="J166" i="19"/>
  <c r="J167"/>
  <c r="J132" i="11"/>
  <c r="H132" i="12"/>
  <c r="J131" i="11"/>
  <c r="H131" i="12"/>
  <c r="H174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/>
  <c r="J181" i="10"/>
  <c r="H184" i="12"/>
  <c r="J184" i="11"/>
  <c r="H186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/>
  <c r="H120" i="12"/>
  <c r="H123"/>
  <c r="J123" i="11"/>
  <c r="H117" i="12"/>
  <c r="J117" i="11"/>
  <c r="H114" i="12"/>
  <c r="J114" i="11"/>
  <c r="H121" i="12"/>
  <c r="J121" i="11"/>
  <c r="J112"/>
  <c r="H112" i="12"/>
  <c r="J116" i="11"/>
  <c r="H116" i="12"/>
  <c r="H118"/>
  <c r="J118" i="11"/>
  <c r="H119" i="12"/>
  <c r="J119" i="11"/>
  <c r="H122" i="12"/>
  <c r="J122" i="11"/>
  <c r="E34" i="1"/>
  <c r="F34"/>
  <c r="S34"/>
  <c r="U34" s="1"/>
  <c r="H19" i="12" l="1"/>
  <c r="G187"/>
  <c r="E10" i="24"/>
  <c r="G10" s="1"/>
  <c r="H10" s="1"/>
  <c r="E7" i="15"/>
  <c r="E7" i="16" s="1"/>
  <c r="E30" i="12"/>
  <c r="G30" s="1"/>
  <c r="G20"/>
  <c r="H20" s="1"/>
  <c r="E19" i="13"/>
  <c r="G15" i="28"/>
  <c r="E15" i="29"/>
  <c r="G15" s="1"/>
  <c r="G79" s="1"/>
  <c r="G80" s="1"/>
  <c r="E28" i="27"/>
  <c r="G28" s="1"/>
  <c r="H15"/>
  <c r="G79"/>
  <c r="H28" i="40"/>
  <c r="G80"/>
  <c r="G80" i="14"/>
  <c r="H79"/>
  <c r="H79" i="15" s="1"/>
  <c r="G105" i="14"/>
  <c r="H105" s="1"/>
  <c r="G95"/>
  <c r="H95" s="1"/>
  <c r="G103"/>
  <c r="H103" s="1"/>
  <c r="G97"/>
  <c r="H97" s="1"/>
  <c r="G101"/>
  <c r="H101" s="1"/>
  <c r="G99"/>
  <c r="H99" s="1"/>
  <c r="I59"/>
  <c r="H7"/>
  <c r="G8" i="15"/>
  <c r="E27" s="1"/>
  <c r="G27" s="1"/>
  <c r="E8" i="16"/>
  <c r="E9"/>
  <c r="G9" s="1"/>
  <c r="G9" i="15"/>
  <c r="H9" s="1"/>
  <c r="H27" i="14"/>
  <c r="H135" i="22"/>
  <c r="H135" i="23"/>
  <c r="H135" i="18"/>
  <c r="H135" i="19"/>
  <c r="H135" i="24"/>
  <c r="H135" i="30" s="1"/>
  <c r="H135" i="20"/>
  <c r="H135" i="16"/>
  <c r="H135" i="13"/>
  <c r="H135" i="14" s="1"/>
  <c r="J135" s="1"/>
  <c r="H135" i="12"/>
  <c r="J135" s="1"/>
  <c r="H135" i="17"/>
  <c r="J135" i="11"/>
  <c r="J156" i="20"/>
  <c r="H156" i="21"/>
  <c r="J155" i="20"/>
  <c r="H155" i="21"/>
  <c r="J147" i="12"/>
  <c r="H147" i="13"/>
  <c r="H14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/>
  <c r="J149" i="12"/>
  <c r="H189" i="30"/>
  <c r="J189" i="29"/>
  <c r="H131" i="13"/>
  <c r="J131" i="12"/>
  <c r="H127" i="18"/>
  <c r="J127" i="17"/>
  <c r="H167" i="21"/>
  <c r="H168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/>
  <c r="J186" i="11"/>
  <c r="H181" i="12"/>
  <c r="J181" i="11"/>
  <c r="H179" i="13"/>
  <c r="J179" i="12"/>
  <c r="H173" i="13"/>
  <c r="J173" i="12"/>
  <c r="H174" i="13"/>
  <c r="J174" i="12"/>
  <c r="H189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/>
  <c r="J113" i="11"/>
  <c r="E17" i="48"/>
  <c r="H79" i="16" l="1"/>
  <c r="H79" i="17" s="1"/>
  <c r="H79" i="18" s="1"/>
  <c r="H79" i="19" s="1"/>
  <c r="H79" i="20" s="1"/>
  <c r="H79" i="21" s="1"/>
  <c r="H79" i="22" s="1"/>
  <c r="H79" i="23" s="1"/>
  <c r="H79" i="24" s="1"/>
  <c r="H79" i="25" s="1"/>
  <c r="J79" s="1"/>
  <c r="J79" i="15"/>
  <c r="E28" i="29"/>
  <c r="G28" s="1"/>
  <c r="E15" i="30"/>
  <c r="G15" s="1"/>
  <c r="G7" i="15"/>
  <c r="G105" s="1"/>
  <c r="H105" s="1"/>
  <c r="H27"/>
  <c r="G19" i="13"/>
  <c r="G187" s="1"/>
  <c r="G32" i="12"/>
  <c r="H32" s="1"/>
  <c r="H30"/>
  <c r="G80" i="27"/>
  <c r="H28"/>
  <c r="H15" i="28"/>
  <c r="H15" i="29" s="1"/>
  <c r="E28" i="28"/>
  <c r="G28" s="1"/>
  <c r="G79"/>
  <c r="E9" i="17"/>
  <c r="H9" i="16"/>
  <c r="N7"/>
  <c r="N8"/>
  <c r="E10" i="25"/>
  <c r="H135" i="43"/>
  <c r="J135" s="1"/>
  <c r="H135" i="40"/>
  <c r="H135" i="27"/>
  <c r="H135" i="29"/>
  <c r="H135" i="25"/>
  <c r="H135" i="31"/>
  <c r="H135" i="28"/>
  <c r="J155" i="21"/>
  <c r="H155" i="22"/>
  <c r="H156"/>
  <c r="J156" i="21"/>
  <c r="H151" i="16"/>
  <c r="J151" i="15"/>
  <c r="J152" i="17"/>
  <c r="H152" i="18"/>
  <c r="J149" i="13"/>
  <c r="H149" i="14"/>
  <c r="H144"/>
  <c r="J144" i="13"/>
  <c r="J148"/>
  <c r="H148" i="14"/>
  <c r="J134" i="17"/>
  <c r="H134" i="18"/>
  <c r="J143" i="13"/>
  <c r="H143" i="14"/>
  <c r="H150"/>
  <c r="J150" i="13"/>
  <c r="J145"/>
  <c r="H145" i="14"/>
  <c r="H147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/>
  <c r="J175" i="12"/>
  <c r="H174" i="14"/>
  <c r="J174" i="13"/>
  <c r="H179" i="14"/>
  <c r="J179" i="13"/>
  <c r="H186"/>
  <c r="J186" i="12"/>
  <c r="H178" i="14"/>
  <c r="J178" i="13"/>
  <c r="H185" i="14"/>
  <c r="J185" i="13"/>
  <c r="H180" i="14"/>
  <c r="J180" i="13"/>
  <c r="H189"/>
  <c r="J189" i="12"/>
  <c r="H173" i="14"/>
  <c r="J173" i="13"/>
  <c r="H181"/>
  <c r="J181" i="12"/>
  <c r="H187"/>
  <c r="J187" i="11"/>
  <c r="H162" i="14"/>
  <c r="J162" i="13"/>
  <c r="H16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/>
  <c r="J113" i="12"/>
  <c r="K32" i="47"/>
  <c r="L32"/>
  <c r="E31" i="48"/>
  <c r="G31"/>
  <c r="H79" i="40" l="1"/>
  <c r="H79" i="27" s="1"/>
  <c r="H79" i="28" s="1"/>
  <c r="H79" i="29" s="1"/>
  <c r="G103" i="15"/>
  <c r="H103" s="1"/>
  <c r="G99"/>
  <c r="H99" s="1"/>
  <c r="G95"/>
  <c r="H95" s="1"/>
  <c r="G97"/>
  <c r="H97" s="1"/>
  <c r="I59"/>
  <c r="G101"/>
  <c r="H101" s="1"/>
  <c r="H7"/>
  <c r="H28" i="28"/>
  <c r="H28" i="29" s="1"/>
  <c r="G20" i="13"/>
  <c r="H20" s="1"/>
  <c r="E30"/>
  <c r="G30" s="1"/>
  <c r="G32" s="1"/>
  <c r="H32" s="1"/>
  <c r="H19"/>
  <c r="E19" i="14"/>
  <c r="G80" i="28"/>
  <c r="G9" i="17"/>
  <c r="H9" s="1"/>
  <c r="E9" i="18"/>
  <c r="E7" i="17"/>
  <c r="G7" i="16"/>
  <c r="G10" i="25"/>
  <c r="H10" s="1"/>
  <c r="E8" i="17"/>
  <c r="G8" i="16"/>
  <c r="E27" s="1"/>
  <c r="G27" s="1"/>
  <c r="G79" i="30"/>
  <c r="G80" s="1"/>
  <c r="E28"/>
  <c r="G28" s="1"/>
  <c r="E15" i="43"/>
  <c r="H15" i="30"/>
  <c r="J156" i="22"/>
  <c r="H156" i="23"/>
  <c r="H156" i="24" s="1"/>
  <c r="J156" s="1"/>
  <c r="H155" i="23"/>
  <c r="J155" i="22"/>
  <c r="H150" i="15"/>
  <c r="J150" i="14"/>
  <c r="H144" i="15"/>
  <c r="J144" i="14"/>
  <c r="H143" i="15"/>
  <c r="J143" i="14"/>
  <c r="J149"/>
  <c r="H149" i="15"/>
  <c r="H146"/>
  <c r="J146" i="14"/>
  <c r="H134" i="19"/>
  <c r="J134" i="18"/>
  <c r="J152"/>
  <c r="H152" i="19"/>
  <c r="J147" i="14"/>
  <c r="H147" i="15"/>
  <c r="H145"/>
  <c r="J145" i="14"/>
  <c r="H148" i="15"/>
  <c r="J148" i="14"/>
  <c r="H151" i="17"/>
  <c r="J151" i="16"/>
  <c r="J189" i="43"/>
  <c r="H189" i="31"/>
  <c r="J189" s="1"/>
  <c r="H133" i="50"/>
  <c r="J133" s="1"/>
  <c r="H131" i="15"/>
  <c r="J131" i="14"/>
  <c r="J177" i="19"/>
  <c r="H177" i="20"/>
  <c r="H130" i="15"/>
  <c r="J130" i="14"/>
  <c r="H168" i="23"/>
  <c r="J168" i="22"/>
  <c r="J166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s="1"/>
  <c r="J135" s="1"/>
  <c r="J128" i="14"/>
  <c r="H181"/>
  <c r="J181" i="13"/>
  <c r="H189" i="14"/>
  <c r="J189" i="13"/>
  <c r="H185" i="15"/>
  <c r="J185" i="14"/>
  <c r="H186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/>
  <c r="J175" i="13"/>
  <c r="H183" i="15"/>
  <c r="J183" i="14"/>
  <c r="H165" i="15"/>
  <c r="J165" i="14"/>
  <c r="H163"/>
  <c r="J163" i="13"/>
  <c r="H187"/>
  <c r="J187" i="12"/>
  <c r="H188" i="13"/>
  <c r="H188" i="14" s="1"/>
  <c r="J188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/>
  <c r="D33"/>
  <c r="S33"/>
  <c r="U33" s="1"/>
  <c r="H30" i="13" l="1"/>
  <c r="H28" i="30"/>
  <c r="G19" i="14"/>
  <c r="H19" s="1"/>
  <c r="H27" i="16"/>
  <c r="G8" i="17"/>
  <c r="E27" s="1"/>
  <c r="G27" s="1"/>
  <c r="E8" i="18"/>
  <c r="E9" i="19"/>
  <c r="G103" i="16"/>
  <c r="H103" s="1"/>
  <c r="H7"/>
  <c r="G97"/>
  <c r="H97" s="1"/>
  <c r="G95"/>
  <c r="H95" s="1"/>
  <c r="G101"/>
  <c r="H101" s="1"/>
  <c r="G105"/>
  <c r="H105" s="1"/>
  <c r="I59"/>
  <c r="G99"/>
  <c r="H99" s="1"/>
  <c r="G7" i="17"/>
  <c r="E7" i="18"/>
  <c r="G15" i="43"/>
  <c r="H79" i="30"/>
  <c r="H155" i="24"/>
  <c r="J155" i="23"/>
  <c r="H156" i="25"/>
  <c r="J156" i="23"/>
  <c r="J147" i="15"/>
  <c r="H147" i="16"/>
  <c r="H149"/>
  <c r="J149" i="15"/>
  <c r="J152" i="19"/>
  <c r="H152" i="20"/>
  <c r="H151" i="18"/>
  <c r="J151" i="17"/>
  <c r="J143" i="15"/>
  <c r="H143" i="16"/>
  <c r="H148"/>
  <c r="J148" i="15"/>
  <c r="J134" i="19"/>
  <c r="H134" i="20"/>
  <c r="J144" i="15"/>
  <c r="H144" i="16"/>
  <c r="J145" i="15"/>
  <c r="H145" i="16"/>
  <c r="H146"/>
  <c r="J146" i="15"/>
  <c r="J150"/>
  <c r="H150" i="16"/>
  <c r="H128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/>
  <c r="J181" i="14"/>
  <c r="H175" i="15"/>
  <c r="J175" i="14"/>
  <c r="H178" i="16"/>
  <c r="J178" i="15"/>
  <c r="H173" i="16"/>
  <c r="J173" i="15"/>
  <c r="H184" i="16"/>
  <c r="J184" i="15"/>
  <c r="H186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H7" i="1"/>
  <c r="J7" s="1"/>
  <c r="G7"/>
  <c r="H6"/>
  <c r="J6" s="1"/>
  <c r="G6"/>
  <c r="H5"/>
  <c r="J5" s="1"/>
  <c r="G5"/>
  <c r="AN2" i="49"/>
  <c r="G4" i="1"/>
  <c r="E30" i="14" l="1"/>
  <c r="G30" s="1"/>
  <c r="G20"/>
  <c r="H20" s="1"/>
  <c r="G187"/>
  <c r="H187" s="1"/>
  <c r="J187" s="1"/>
  <c r="E19" i="15"/>
  <c r="G10" i="40"/>
  <c r="H10" s="1"/>
  <c r="G9" i="19"/>
  <c r="G9" i="18"/>
  <c r="H9" s="1"/>
  <c r="G8"/>
  <c r="E8" i="19"/>
  <c r="G7" i="18"/>
  <c r="E7" i="19"/>
  <c r="H27" i="17"/>
  <c r="G101"/>
  <c r="H101" s="1"/>
  <c r="G103"/>
  <c r="H103" s="1"/>
  <c r="I59"/>
  <c r="G105"/>
  <c r="H105" s="1"/>
  <c r="H7"/>
  <c r="G97"/>
  <c r="H97" s="1"/>
  <c r="G99"/>
  <c r="H99" s="1"/>
  <c r="G95"/>
  <c r="H95" s="1"/>
  <c r="H156" i="40"/>
  <c r="H156" i="27" s="1"/>
  <c r="H156" i="28" s="1"/>
  <c r="J156" i="25"/>
  <c r="E28" i="43"/>
  <c r="G28" s="1"/>
  <c r="H28" s="1"/>
  <c r="G79"/>
  <c r="G80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/>
  <c r="H145" i="17"/>
  <c r="H143"/>
  <c r="J143" i="16"/>
  <c r="H147" i="17"/>
  <c r="J147" i="16"/>
  <c r="H177" i="22"/>
  <c r="J177" i="21"/>
  <c r="H131" i="17"/>
  <c r="J131" i="16"/>
  <c r="J167" i="24"/>
  <c r="H167" i="25"/>
  <c r="H168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/>
  <c r="J181" i="15"/>
  <c r="H174" i="17"/>
  <c r="J174" i="16"/>
  <c r="H180" i="17"/>
  <c r="J180" i="16"/>
  <c r="H183" i="17"/>
  <c r="J183" i="16"/>
  <c r="H186"/>
  <c r="J186" i="15"/>
  <c r="H173" i="17"/>
  <c r="J173" i="16"/>
  <c r="H175"/>
  <c r="J175" i="15"/>
  <c r="H185" i="17"/>
  <c r="J185" i="16"/>
  <c r="H176" i="15"/>
  <c r="J176" i="14"/>
  <c r="H179" i="17"/>
  <c r="J179" i="16"/>
  <c r="H163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/>
  <c r="J113" i="15"/>
  <c r="H122" i="17"/>
  <c r="J122" i="16"/>
  <c r="H118" i="17"/>
  <c r="J118" i="16"/>
  <c r="H121" i="17"/>
  <c r="J121" i="16"/>
  <c r="H117" i="17"/>
  <c r="J117" i="16"/>
  <c r="J114"/>
  <c r="H112" i="17"/>
  <c r="J112" i="16"/>
  <c r="H123" i="17"/>
  <c r="J123" i="16"/>
  <c r="D5" i="44"/>
  <c r="H4" i="1"/>
  <c r="J4" s="1"/>
  <c r="B5" i="44"/>
  <c r="C5"/>
  <c r="J2" i="48" s="1"/>
  <c r="D6" i="44"/>
  <c r="D7"/>
  <c r="D8"/>
  <c r="B8"/>
  <c r="B6"/>
  <c r="B7"/>
  <c r="C6"/>
  <c r="C7"/>
  <c r="C8"/>
  <c r="AN4" i="49"/>
  <c r="AN3"/>
  <c r="E27" i="18" l="1"/>
  <c r="G27" s="1"/>
  <c r="H27" s="1"/>
  <c r="G19" i="15"/>
  <c r="G32" i="14"/>
  <c r="H32" s="1"/>
  <c r="H30"/>
  <c r="G15" i="31"/>
  <c r="E8" i="20"/>
  <c r="G8" i="19"/>
  <c r="E27" s="1"/>
  <c r="G27" s="1"/>
  <c r="H9"/>
  <c r="E9" i="20"/>
  <c r="E7"/>
  <c r="G7" i="19"/>
  <c r="G95" i="18"/>
  <c r="H95" s="1"/>
  <c r="G97"/>
  <c r="H97" s="1"/>
  <c r="I59"/>
  <c r="G99"/>
  <c r="H99" s="1"/>
  <c r="H7"/>
  <c r="G105"/>
  <c r="H105" s="1"/>
  <c r="G103"/>
  <c r="H103" s="1"/>
  <c r="G101"/>
  <c r="H101" s="1"/>
  <c r="H79" i="43"/>
  <c r="G8" i="40"/>
  <c r="E27" s="1"/>
  <c r="G27" s="1"/>
  <c r="H155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/>
  <c r="J189" i="16"/>
  <c r="H176"/>
  <c r="J176" i="15"/>
  <c r="H175" i="17"/>
  <c r="J175" i="16"/>
  <c r="J186"/>
  <c r="H186" i="17"/>
  <c r="H180" i="18"/>
  <c r="J180" i="17"/>
  <c r="H181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/>
  <c r="E6"/>
  <c r="E8"/>
  <c r="AN5" i="49"/>
  <c r="E19" i="16" l="1"/>
  <c r="F19" s="1"/>
  <c r="G19" s="1"/>
  <c r="E30" i="15"/>
  <c r="G30" s="1"/>
  <c r="G32" s="1"/>
  <c r="H32" s="1"/>
  <c r="G187"/>
  <c r="H187" s="1"/>
  <c r="J187" s="1"/>
  <c r="G20"/>
  <c r="H20" s="1"/>
  <c r="H19"/>
  <c r="H15" i="31"/>
  <c r="G79"/>
  <c r="G80" s="1"/>
  <c r="E28"/>
  <c r="G28" s="1"/>
  <c r="H28" s="1"/>
  <c r="G7" i="20"/>
  <c r="E7" i="21"/>
  <c r="G9" i="20"/>
  <c r="H9" s="1"/>
  <c r="E9" i="21"/>
  <c r="G105" i="19"/>
  <c r="H105" s="1"/>
  <c r="G95"/>
  <c r="H95" s="1"/>
  <c r="G97"/>
  <c r="H97" s="1"/>
  <c r="I59"/>
  <c r="G99"/>
  <c r="H99" s="1"/>
  <c r="G101"/>
  <c r="H101" s="1"/>
  <c r="G103"/>
  <c r="H103" s="1"/>
  <c r="H7"/>
  <c r="G10" i="27"/>
  <c r="H10" s="1"/>
  <c r="H27" i="19"/>
  <c r="E8" i="21"/>
  <c r="G8" i="20"/>
  <c r="E27" s="1"/>
  <c r="G27" s="1"/>
  <c r="J156" i="40"/>
  <c r="H155" i="27"/>
  <c r="J155" i="40"/>
  <c r="H148" i="19"/>
  <c r="J148" i="18"/>
  <c r="J149"/>
  <c r="H149" i="19"/>
  <c r="J143" i="18"/>
  <c r="H143" i="19"/>
  <c r="H147"/>
  <c r="J147" i="18"/>
  <c r="J144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/>
  <c r="J175" i="17"/>
  <c r="H189" i="18"/>
  <c r="J189" i="17"/>
  <c r="H174" i="19"/>
  <c r="J174" i="18"/>
  <c r="H173" i="19"/>
  <c r="J173" i="18"/>
  <c r="H179" i="19"/>
  <c r="J179" i="18"/>
  <c r="H181"/>
  <c r="J181" i="17"/>
  <c r="H176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/>
  <c r="J163" i="17"/>
  <c r="H188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/>
  <c r="J113" i="17"/>
  <c r="H117" i="19"/>
  <c r="J117" i="18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79" i="31" l="1"/>
  <c r="E10" i="28"/>
  <c r="G10" s="1"/>
  <c r="H10" s="1"/>
  <c r="H30" i="15"/>
  <c r="H27" i="20"/>
  <c r="E19" i="17"/>
  <c r="H19" i="16"/>
  <c r="G20"/>
  <c r="H20" s="1"/>
  <c r="G187"/>
  <c r="H187" s="1"/>
  <c r="J187" s="1"/>
  <c r="E30"/>
  <c r="G30" s="1"/>
  <c r="G32" s="1"/>
  <c r="H32" s="1"/>
  <c r="G9" i="21"/>
  <c r="H9" s="1"/>
  <c r="E9" i="22"/>
  <c r="E8"/>
  <c r="G7" i="21"/>
  <c r="E7" i="22"/>
  <c r="G103" i="20"/>
  <c r="H103" s="1"/>
  <c r="G99"/>
  <c r="H99" s="1"/>
  <c r="G101"/>
  <c r="H101" s="1"/>
  <c r="G97"/>
  <c r="H97" s="1"/>
  <c r="G95"/>
  <c r="H95" s="1"/>
  <c r="G105"/>
  <c r="H105" s="1"/>
  <c r="H7"/>
  <c r="I59"/>
  <c r="G8" i="27"/>
  <c r="E27" s="1"/>
  <c r="G27" s="1"/>
  <c r="E8" i="28"/>
  <c r="J156" i="27"/>
  <c r="J155"/>
  <c r="H155" i="28"/>
  <c r="H148" i="20"/>
  <c r="J148" i="19"/>
  <c r="H146" i="20"/>
  <c r="J146" i="19"/>
  <c r="J152" i="23"/>
  <c r="J147" i="19"/>
  <c r="H147" i="20"/>
  <c r="H150"/>
  <c r="J150" i="19"/>
  <c r="J134" i="23"/>
  <c r="H134" i="24"/>
  <c r="H143" i="20"/>
  <c r="J143" i="19"/>
  <c r="J145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/>
  <c r="J181" i="18"/>
  <c r="H173" i="20"/>
  <c r="J173" i="19"/>
  <c r="H189"/>
  <c r="J189" s="1"/>
  <c r="J189" i="18"/>
  <c r="H180" i="20"/>
  <c r="J180" i="19"/>
  <c r="H186"/>
  <c r="J186" i="18"/>
  <c r="H183" i="20"/>
  <c r="J183" i="19"/>
  <c r="H176" i="18"/>
  <c r="J176" i="17"/>
  <c r="H179" i="20"/>
  <c r="J179" i="19"/>
  <c r="H174" i="20"/>
  <c r="J174" i="19"/>
  <c r="H175"/>
  <c r="J175" i="18"/>
  <c r="H184" i="20"/>
  <c r="J184" i="19"/>
  <c r="H188" i="18"/>
  <c r="J188" i="17"/>
  <c r="H162" i="20"/>
  <c r="J162" i="19"/>
  <c r="H164" i="20"/>
  <c r="J164" i="19"/>
  <c r="H163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8" i="21" l="1"/>
  <c r="E27" s="1"/>
  <c r="G27" s="1"/>
  <c r="H27" s="1"/>
  <c r="H30" i="16"/>
  <c r="F19" i="17"/>
  <c r="G19" s="1"/>
  <c r="E9" i="23"/>
  <c r="G7" i="22"/>
  <c r="E7" i="23"/>
  <c r="I59" i="21"/>
  <c r="G101"/>
  <c r="H101" s="1"/>
  <c r="H7"/>
  <c r="G103"/>
  <c r="H103" s="1"/>
  <c r="G97"/>
  <c r="H97" s="1"/>
  <c r="G99"/>
  <c r="H99" s="1"/>
  <c r="G95"/>
  <c r="H95" s="1"/>
  <c r="G105"/>
  <c r="H105" s="1"/>
  <c r="E10" i="29"/>
  <c r="G8" i="22"/>
  <c r="E27" s="1"/>
  <c r="G27" s="1"/>
  <c r="E8" i="23"/>
  <c r="G8" i="28"/>
  <c r="E8" i="29"/>
  <c r="J155" i="28"/>
  <c r="H155" i="29"/>
  <c r="J156" i="28"/>
  <c r="H156" i="29"/>
  <c r="J145" i="20"/>
  <c r="H145" i="21"/>
  <c r="H147"/>
  <c r="J147" i="20"/>
  <c r="H144" i="21"/>
  <c r="J144" i="20"/>
  <c r="J143"/>
  <c r="H143" i="21"/>
  <c r="H152" i="25"/>
  <c r="J152" i="24"/>
  <c r="H134" i="25"/>
  <c r="J134" i="24"/>
  <c r="H151" i="23"/>
  <c r="J151" i="22"/>
  <c r="J146" i="20"/>
  <c r="H146" i="21"/>
  <c r="J149" i="20"/>
  <c r="H149" i="21"/>
  <c r="H150"/>
  <c r="J150" i="20"/>
  <c r="J148"/>
  <c r="H148" i="21"/>
  <c r="H132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/>
  <c r="J163" i="19"/>
  <c r="H188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/>
  <c r="G5"/>
  <c r="G6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K2" i="47"/>
  <c r="E14" i="48"/>
  <c r="E15"/>
  <c r="E21"/>
  <c r="E22"/>
  <c r="E23"/>
  <c r="E24"/>
  <c r="E25"/>
  <c r="E26"/>
  <c r="E27"/>
  <c r="E28"/>
  <c r="E29"/>
  <c r="E30"/>
  <c r="H4" i="45"/>
  <c r="AM35" i="1"/>
  <c r="T35"/>
  <c r="P35"/>
  <c r="M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0" i="17" l="1"/>
  <c r="G30" s="1"/>
  <c r="G20"/>
  <c r="H20" s="1"/>
  <c r="G187"/>
  <c r="H187" s="1"/>
  <c r="J187" s="1"/>
  <c r="E19" i="18"/>
  <c r="H19" i="17"/>
  <c r="G7" i="23"/>
  <c r="E7" i="24"/>
  <c r="H7" i="22"/>
  <c r="I59"/>
  <c r="G99"/>
  <c r="H99" s="1"/>
  <c r="G97"/>
  <c r="H97" s="1"/>
  <c r="G95"/>
  <c r="H95" s="1"/>
  <c r="G105"/>
  <c r="H105" s="1"/>
  <c r="G103"/>
  <c r="H103" s="1"/>
  <c r="G101"/>
  <c r="H101" s="1"/>
  <c r="G8" i="29"/>
  <c r="G9" i="23"/>
  <c r="E9" i="24"/>
  <c r="G10" i="29"/>
  <c r="H10" s="1"/>
  <c r="G8" i="23"/>
  <c r="E27" s="1"/>
  <c r="G27" s="1"/>
  <c r="E8" i="24"/>
  <c r="G9" i="22"/>
  <c r="H9" s="1"/>
  <c r="H27"/>
  <c r="E27" i="28"/>
  <c r="G27" s="1"/>
  <c r="J3" i="48"/>
  <c r="M4" i="45" s="1"/>
  <c r="J4"/>
  <c r="K5" i="47"/>
  <c r="J5" i="48"/>
  <c r="K4" i="47"/>
  <c r="J4" i="48"/>
  <c r="H156" i="30"/>
  <c r="J156" i="29"/>
  <c r="J155"/>
  <c r="H155" i="30"/>
  <c r="H146" i="22"/>
  <c r="J146" i="21"/>
  <c r="H143" i="22"/>
  <c r="J143" i="21"/>
  <c r="J152" i="25"/>
  <c r="H152" i="40"/>
  <c r="H151" i="24"/>
  <c r="J151" i="23"/>
  <c r="J144" i="21"/>
  <c r="H144" i="22"/>
  <c r="H150"/>
  <c r="J150" i="21"/>
  <c r="H134" i="40"/>
  <c r="J134" i="25"/>
  <c r="J147" i="21"/>
  <c r="H147" i="22"/>
  <c r="J148" i="21"/>
  <c r="H148" i="22"/>
  <c r="H149"/>
  <c r="J149" i="21"/>
  <c r="J145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/>
  <c r="J175" i="20"/>
  <c r="H181" i="21"/>
  <c r="J181" i="20"/>
  <c r="H176"/>
  <c r="J176" i="19"/>
  <c r="H184" i="22"/>
  <c r="J184" i="21"/>
  <c r="H178" i="22"/>
  <c r="J178" i="21"/>
  <c r="H180" i="22"/>
  <c r="J180" i="21"/>
  <c r="H179" i="22"/>
  <c r="J179" i="21"/>
  <c r="H185" i="22"/>
  <c r="J185" i="21"/>
  <c r="H186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/>
  <c r="J113" i="20"/>
  <c r="H123" i="22"/>
  <c r="J123" i="21"/>
  <c r="H122" i="22"/>
  <c r="J122" i="21"/>
  <c r="K3" i="47"/>
  <c r="G33" i="48"/>
  <c r="E33"/>
  <c r="H9" i="23" l="1"/>
  <c r="G19" i="18"/>
  <c r="G32" i="17"/>
  <c r="H32" s="1"/>
  <c r="H30"/>
  <c r="E27" i="29"/>
  <c r="G27" s="1"/>
  <c r="O8"/>
  <c r="O15"/>
  <c r="E10" i="30"/>
  <c r="G9" i="24"/>
  <c r="E9" i="25"/>
  <c r="G8" i="24"/>
  <c r="E27" s="1"/>
  <c r="G27" s="1"/>
  <c r="E8" i="25"/>
  <c r="G8" s="1"/>
  <c r="E27" s="1"/>
  <c r="G27" s="1"/>
  <c r="G7" i="24"/>
  <c r="E7" i="25"/>
  <c r="H27" i="23"/>
  <c r="G105"/>
  <c r="H105" s="1"/>
  <c r="G95"/>
  <c r="H95" s="1"/>
  <c r="I59"/>
  <c r="G101"/>
  <c r="H101" s="1"/>
  <c r="H7"/>
  <c r="G103"/>
  <c r="H103" s="1"/>
  <c r="G99"/>
  <c r="H99" s="1"/>
  <c r="G97"/>
  <c r="H97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/>
  <c r="J150" i="22"/>
  <c r="H143" i="23"/>
  <c r="J143" i="22"/>
  <c r="H148" i="23"/>
  <c r="J148" i="22"/>
  <c r="J144"/>
  <c r="H144" i="23"/>
  <c r="J146" i="22"/>
  <c r="H146" i="23"/>
  <c r="H129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/>
  <c r="J181" i="21"/>
  <c r="H183" i="23"/>
  <c r="J183" i="22"/>
  <c r="H163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s="1"/>
  <c r="J142" i="22"/>
  <c r="H140" i="23"/>
  <c r="J140" i="22"/>
  <c r="H141" i="23"/>
  <c r="H141" i="24" s="1"/>
  <c r="J141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/>
  <c r="J113" i="21"/>
  <c r="H119" i="23"/>
  <c r="J119" i="22"/>
  <c r="H120" i="23"/>
  <c r="J120" i="22"/>
  <c r="H115" i="23"/>
  <c r="J115" i="22"/>
  <c r="H116" i="23"/>
  <c r="J116" i="22"/>
  <c r="AP45" i="44"/>
  <c r="AP41"/>
  <c r="H9" i="24" l="1"/>
  <c r="G20" i="18"/>
  <c r="H20" s="1"/>
  <c r="G187"/>
  <c r="H187" s="1"/>
  <c r="J187" s="1"/>
  <c r="E30"/>
  <c r="G30" s="1"/>
  <c r="G32" s="1"/>
  <c r="H32" s="1"/>
  <c r="E19" i="19"/>
  <c r="H19" i="18"/>
  <c r="G9" i="25"/>
  <c r="G7"/>
  <c r="E7" i="40"/>
  <c r="G10" i="30"/>
  <c r="H10" s="1"/>
  <c r="H7" i="24"/>
  <c r="G99"/>
  <c r="H99" s="1"/>
  <c r="G95"/>
  <c r="H95" s="1"/>
  <c r="I59"/>
  <c r="G101"/>
  <c r="H101" s="1"/>
  <c r="G105"/>
  <c r="H105" s="1"/>
  <c r="G97"/>
  <c r="H97" s="1"/>
  <c r="G103"/>
  <c r="H103" s="1"/>
  <c r="G8" i="30"/>
  <c r="E27" s="1"/>
  <c r="G27" s="1"/>
  <c r="H27" i="24"/>
  <c r="H27" i="25" s="1"/>
  <c r="H27" i="40" s="1"/>
  <c r="H27" i="27" s="1"/>
  <c r="H27" i="28" s="1"/>
  <c r="H27" i="29" s="1"/>
  <c r="G7" i="28"/>
  <c r="O9" s="1"/>
  <c r="H155" i="31"/>
  <c r="J155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s="1"/>
  <c r="J166" i="43"/>
  <c r="J177" i="28"/>
  <c r="H177" i="29"/>
  <c r="J127" i="28"/>
  <c r="H127" i="29"/>
  <c r="H132" i="24"/>
  <c r="J132" i="23"/>
  <c r="H168" i="31"/>
  <c r="J168" s="1"/>
  <c r="J168" i="43"/>
  <c r="H128" i="24"/>
  <c r="J128" i="23"/>
  <c r="H131" i="24"/>
  <c r="J131" i="23"/>
  <c r="H130" i="24"/>
  <c r="J130" i="23"/>
  <c r="H133" i="24"/>
  <c r="J133" i="23"/>
  <c r="H167" i="31"/>
  <c r="J167" s="1"/>
  <c r="J167" i="43"/>
  <c r="H181" i="23"/>
  <c r="J181" i="22"/>
  <c r="H180" i="24"/>
  <c r="J180" i="23"/>
  <c r="H174" i="24"/>
  <c r="J174" i="23"/>
  <c r="H175"/>
  <c r="J175" i="22"/>
  <c r="H178" i="24"/>
  <c r="J178" i="23"/>
  <c r="H186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/>
  <c r="J142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/>
  <c r="J113" i="22"/>
  <c r="H118" i="24"/>
  <c r="J118" i="23"/>
  <c r="H117" i="24"/>
  <c r="J117" i="23"/>
  <c r="H112" i="24"/>
  <c r="J112" i="23"/>
  <c r="AC35" i="44"/>
  <c r="H9" i="25" l="1"/>
  <c r="E8" i="43"/>
  <c r="E8" i="31" s="1"/>
  <c r="E19" i="20"/>
  <c r="G19" i="19"/>
  <c r="H30" i="18"/>
  <c r="E10" i="43"/>
  <c r="G7" i="40"/>
  <c r="E7" i="27"/>
  <c r="G7" s="1"/>
  <c r="G95" i="25"/>
  <c r="H95" s="1"/>
  <c r="G99"/>
  <c r="H99" s="1"/>
  <c r="G103"/>
  <c r="H103" s="1"/>
  <c r="G97"/>
  <c r="H97" s="1"/>
  <c r="G101"/>
  <c r="H101" s="1"/>
  <c r="I59"/>
  <c r="H7"/>
  <c r="G105"/>
  <c r="H105" s="1"/>
  <c r="G9" i="40"/>
  <c r="H27" i="30"/>
  <c r="G105" i="28"/>
  <c r="G103"/>
  <c r="G101"/>
  <c r="G97"/>
  <c r="G95"/>
  <c r="G99"/>
  <c r="I59"/>
  <c r="E7" i="29"/>
  <c r="H144" i="25"/>
  <c r="J144" i="24"/>
  <c r="J147"/>
  <c r="H147" i="25"/>
  <c r="J150" i="24"/>
  <c r="H150" i="25"/>
  <c r="H143"/>
  <c r="J143" i="24"/>
  <c r="H145" i="25"/>
  <c r="J145" i="24"/>
  <c r="H152" i="29"/>
  <c r="J152" i="28"/>
  <c r="H151" i="27"/>
  <c r="J151" i="40"/>
  <c r="J148" i="24"/>
  <c r="H148" i="25"/>
  <c r="H149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/>
  <c r="J181" i="23"/>
  <c r="H179" i="25"/>
  <c r="J179" i="24"/>
  <c r="H173" i="25"/>
  <c r="J173" i="24"/>
  <c r="H184" i="25"/>
  <c r="J184" i="24"/>
  <c r="H186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/>
  <c r="J163" i="23"/>
  <c r="H188"/>
  <c r="J188" i="22"/>
  <c r="H139" i="25"/>
  <c r="J139" i="24"/>
  <c r="H142" i="25"/>
  <c r="H141"/>
  <c r="H140"/>
  <c r="J140" i="24"/>
  <c r="H138" i="25"/>
  <c r="J138" i="24"/>
  <c r="H117" i="25"/>
  <c r="J117" i="24"/>
  <c r="H113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9" i="40" l="1"/>
  <c r="E30" i="19"/>
  <c r="G30" s="1"/>
  <c r="G32" s="1"/>
  <c r="H32" s="1"/>
  <c r="G20"/>
  <c r="H20" s="1"/>
  <c r="G187"/>
  <c r="H187" s="1"/>
  <c r="J187" s="1"/>
  <c r="E19" i="21"/>
  <c r="G19" i="20"/>
  <c r="H19" i="19"/>
  <c r="G9" i="27"/>
  <c r="E9" i="28"/>
  <c r="G95" i="27"/>
  <c r="I59"/>
  <c r="G97"/>
  <c r="G101"/>
  <c r="G105"/>
  <c r="G103"/>
  <c r="G99"/>
  <c r="O10" i="29"/>
  <c r="H7" i="40"/>
  <c r="H7" i="27" s="1"/>
  <c r="H7" i="28" s="1"/>
  <c r="G105" i="40"/>
  <c r="H105" s="1"/>
  <c r="G103"/>
  <c r="H103" s="1"/>
  <c r="G99"/>
  <c r="H99" s="1"/>
  <c r="I59"/>
  <c r="G101"/>
  <c r="H101" s="1"/>
  <c r="G97"/>
  <c r="H97" s="1"/>
  <c r="G95"/>
  <c r="H95" s="1"/>
  <c r="G8" i="43"/>
  <c r="E27" s="1"/>
  <c r="G27" s="1"/>
  <c r="G8" i="50"/>
  <c r="E28" s="1"/>
  <c r="G28" s="1"/>
  <c r="G8" i="31"/>
  <c r="E27" s="1"/>
  <c r="G27" s="1"/>
  <c r="J143" i="25"/>
  <c r="H143" i="40"/>
  <c r="J150" i="25"/>
  <c r="H150" i="40"/>
  <c r="H134" i="30"/>
  <c r="J134" i="29"/>
  <c r="H151" i="28"/>
  <c r="J151" i="27"/>
  <c r="J147" i="25"/>
  <c r="H147" i="40"/>
  <c r="H146"/>
  <c r="J146" i="25"/>
  <c r="H152" i="30"/>
  <c r="J152" i="29"/>
  <c r="J148" i="25"/>
  <c r="H148" i="40"/>
  <c r="H149"/>
  <c r="J149" i="25"/>
  <c r="J145"/>
  <c r="H145" i="40"/>
  <c r="J144" i="25"/>
  <c r="H144" i="40"/>
  <c r="H129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/>
  <c r="J186" i="24"/>
  <c r="H173" i="40"/>
  <c r="J173" i="25"/>
  <c r="H181"/>
  <c r="J181" i="24"/>
  <c r="H178" i="40"/>
  <c r="J178" i="25"/>
  <c r="H185" i="40"/>
  <c r="J185" i="25"/>
  <c r="H188" i="24"/>
  <c r="J188" i="23"/>
  <c r="H162" i="40"/>
  <c r="J162" i="25"/>
  <c r="H164" i="40"/>
  <c r="J164" i="25"/>
  <c r="H163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/>
  <c r="J113" i="24"/>
  <c r="H9" i="27" l="1"/>
  <c r="H30" i="19"/>
  <c r="H99" i="27"/>
  <c r="H99" i="28" s="1"/>
  <c r="H105" i="27"/>
  <c r="H105" i="28" s="1"/>
  <c r="H19" i="20"/>
  <c r="G20"/>
  <c r="H20" s="1"/>
  <c r="G187"/>
  <c r="H187" s="1"/>
  <c r="J187" s="1"/>
  <c r="E30"/>
  <c r="G30" s="1"/>
  <c r="G19" i="21"/>
  <c r="G7" i="29"/>
  <c r="I59" s="1"/>
  <c r="H95" i="27"/>
  <c r="H95" i="28" s="1"/>
  <c r="H103" i="27"/>
  <c r="H103" i="28" s="1"/>
  <c r="E9" i="29"/>
  <c r="G9" i="28"/>
  <c r="G10" i="43"/>
  <c r="H10" s="1"/>
  <c r="H10" i="50" s="1"/>
  <c r="E10" i="31"/>
  <c r="G10" s="1"/>
  <c r="H101" i="27"/>
  <c r="H101" i="28" s="1"/>
  <c r="H97" i="27"/>
  <c r="H97" i="28" s="1"/>
  <c r="H27" i="43"/>
  <c r="H27" i="31" s="1"/>
  <c r="H151" i="29"/>
  <c r="J151" i="28"/>
  <c r="H144" i="27"/>
  <c r="J144" i="40"/>
  <c r="H152" i="43"/>
  <c r="J152" i="30"/>
  <c r="H134" i="43"/>
  <c r="J134" i="30"/>
  <c r="J145" i="40"/>
  <c r="H145" i="27"/>
  <c r="H150"/>
  <c r="J150" i="40"/>
  <c r="H148" i="27"/>
  <c r="J148" i="40"/>
  <c r="H146" i="27"/>
  <c r="J146" i="40"/>
  <c r="H147" i="27"/>
  <c r="J147" i="40"/>
  <c r="H143" i="27"/>
  <c r="J143" i="40"/>
  <c r="J149"/>
  <c r="H149" i="27"/>
  <c r="H133"/>
  <c r="J133" i="40"/>
  <c r="H129" i="27"/>
  <c r="J129" i="40"/>
  <c r="J182" i="43"/>
  <c r="H182" i="31"/>
  <c r="J182" s="1"/>
  <c r="H131" i="27"/>
  <c r="J131" i="40"/>
  <c r="J177" i="43"/>
  <c r="H177" i="31"/>
  <c r="J177" s="1"/>
  <c r="H121" i="50"/>
  <c r="J121" s="1"/>
  <c r="H130" i="27"/>
  <c r="J130" i="40"/>
  <c r="H132" i="27"/>
  <c r="J132" i="40"/>
  <c r="H128" i="27"/>
  <c r="J128" i="40"/>
  <c r="H127" i="31"/>
  <c r="J127" s="1"/>
  <c r="J127" i="43"/>
  <c r="H178" i="27"/>
  <c r="J178" i="40"/>
  <c r="H173" i="27"/>
  <c r="J173" i="40"/>
  <c r="H180" i="27"/>
  <c r="J180" i="40"/>
  <c r="H183" i="27"/>
  <c r="J183" i="40"/>
  <c r="H179" i="27"/>
  <c r="J179" i="40"/>
  <c r="H175"/>
  <c r="J175" i="25"/>
  <c r="H185" i="27"/>
  <c r="J185" i="40"/>
  <c r="H181"/>
  <c r="J181" i="25"/>
  <c r="H186" i="40"/>
  <c r="J186" i="25"/>
  <c r="H176"/>
  <c r="J176" i="24"/>
  <c r="H174" i="27"/>
  <c r="J174" i="40"/>
  <c r="H184" i="27"/>
  <c r="J184" i="40"/>
  <c r="H165" i="27"/>
  <c r="J165" i="40"/>
  <c r="H163"/>
  <c r="J163" i="25"/>
  <c r="H188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/>
  <c r="AC7"/>
  <c r="AC8"/>
  <c r="AC6"/>
  <c r="G32" i="20" l="1"/>
  <c r="H32" s="1"/>
  <c r="H9" i="28"/>
  <c r="G103" i="29"/>
  <c r="H103" s="1"/>
  <c r="G101"/>
  <c r="H101" s="1"/>
  <c r="G97"/>
  <c r="H97" s="1"/>
  <c r="G105"/>
  <c r="H105" s="1"/>
  <c r="G95"/>
  <c r="H95" s="1"/>
  <c r="G99"/>
  <c r="H99" s="1"/>
  <c r="E19" i="22"/>
  <c r="G19" s="1"/>
  <c r="H30" i="20"/>
  <c r="G187" i="21"/>
  <c r="H187" s="1"/>
  <c r="J187" s="1"/>
  <c r="E30"/>
  <c r="G30" s="1"/>
  <c r="G32" s="1"/>
  <c r="G20"/>
  <c r="H20" s="1"/>
  <c r="H19"/>
  <c r="H10" i="31"/>
  <c r="G9" i="29"/>
  <c r="E9" i="30"/>
  <c r="G9" s="1"/>
  <c r="O12" i="29"/>
  <c r="H7"/>
  <c r="G7" i="30"/>
  <c r="H146" i="28"/>
  <c r="J146" i="27"/>
  <c r="J134" i="43"/>
  <c r="H134" i="31"/>
  <c r="J134" s="1"/>
  <c r="J149" i="27"/>
  <c r="H149" i="28"/>
  <c r="H148"/>
  <c r="J148" i="27"/>
  <c r="H152" i="31"/>
  <c r="J152" s="1"/>
  <c r="J152" i="43"/>
  <c r="H143" i="28"/>
  <c r="J143" i="27"/>
  <c r="J150"/>
  <c r="H150" i="28"/>
  <c r="J144" i="27"/>
  <c r="H144" i="28"/>
  <c r="H145"/>
  <c r="J145" i="27"/>
  <c r="J14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/>
  <c r="H32" i="21" l="1"/>
  <c r="H9" i="29"/>
  <c r="H9" i="30" s="1"/>
  <c r="E19" i="23"/>
  <c r="G19" s="1"/>
  <c r="H19" i="22"/>
  <c r="E9" i="43"/>
  <c r="G9" s="1"/>
  <c r="H30" i="21"/>
  <c r="E30" i="22"/>
  <c r="G30" s="1"/>
  <c r="G32" s="1"/>
  <c r="G20"/>
  <c r="H20" s="1"/>
  <c r="G187"/>
  <c r="H187" s="1"/>
  <c r="J187" s="1"/>
  <c r="G105" i="30"/>
  <c r="H105" s="1"/>
  <c r="G99"/>
  <c r="H99" s="1"/>
  <c r="G97"/>
  <c r="H97" s="1"/>
  <c r="G95"/>
  <c r="H95" s="1"/>
  <c r="G103"/>
  <c r="H103" s="1"/>
  <c r="G101"/>
  <c r="H101" s="1"/>
  <c r="I59"/>
  <c r="H7"/>
  <c r="E7" i="43"/>
  <c r="H144" i="29"/>
  <c r="J144" i="28"/>
  <c r="H148" i="29"/>
  <c r="J148" i="28"/>
  <c r="J146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/>
  <c r="J181" i="27"/>
  <c r="H184" i="29"/>
  <c r="J184" i="28"/>
  <c r="H180" i="29"/>
  <c r="J180" i="28"/>
  <c r="H185" i="29"/>
  <c r="J185" i="28"/>
  <c r="H174" i="29"/>
  <c r="J174" i="28"/>
  <c r="H173" i="29"/>
  <c r="J173" i="28"/>
  <c r="H175"/>
  <c r="J175" i="27"/>
  <c r="H176"/>
  <c r="J176" i="40"/>
  <c r="H178" i="29"/>
  <c r="J178" i="28"/>
  <c r="H179" i="29"/>
  <c r="J179" i="28"/>
  <c r="H186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32" i="22" l="1"/>
  <c r="H9" i="43"/>
  <c r="H9" i="50" s="1"/>
  <c r="J9" s="1"/>
  <c r="E19" i="24"/>
  <c r="H30" i="22"/>
  <c r="G20" i="23"/>
  <c r="H20" s="1"/>
  <c r="G187"/>
  <c r="H187" s="1"/>
  <c r="J187" s="1"/>
  <c r="E30"/>
  <c r="G30" s="1"/>
  <c r="G32" s="1"/>
  <c r="H19"/>
  <c r="E9" i="31"/>
  <c r="G9" s="1"/>
  <c r="E7"/>
  <c r="J144" i="29"/>
  <c r="H144" i="30"/>
  <c r="H143"/>
  <c r="J143" i="29"/>
  <c r="J151" i="43"/>
  <c r="H151" i="31"/>
  <c r="J151" s="1"/>
  <c r="H147" i="30"/>
  <c r="J147" i="29"/>
  <c r="H146" i="30"/>
  <c r="J146" i="29"/>
  <c r="J148"/>
  <c r="H148" i="30"/>
  <c r="H150"/>
  <c r="J150" i="29"/>
  <c r="J149"/>
  <c r="H149" i="30"/>
  <c r="H145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/>
  <c r="J186" i="28"/>
  <c r="H178" i="30"/>
  <c r="J178" i="29"/>
  <c r="H175"/>
  <c r="J175" i="28"/>
  <c r="H174" i="30"/>
  <c r="J174" i="29"/>
  <c r="H180" i="30"/>
  <c r="J180" i="29"/>
  <c r="H181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/>
  <c r="AC28" i="44"/>
  <c r="Z25" i="49"/>
  <c r="AB7"/>
  <c r="AB9"/>
  <c r="Z30"/>
  <c r="H32" i="23" l="1"/>
  <c r="H9" i="31"/>
  <c r="H30" i="23"/>
  <c r="G19" i="24"/>
  <c r="AB25" i="49"/>
  <c r="N7" i="31"/>
  <c r="G7"/>
  <c r="G7" i="43"/>
  <c r="G7" i="50"/>
  <c r="G11" s="1"/>
  <c r="H147" i="43"/>
  <c r="J147" i="30"/>
  <c r="J150"/>
  <c r="H150" i="43"/>
  <c r="H148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/>
  <c r="J175" i="29"/>
  <c r="H186" i="30"/>
  <c r="J186" i="29"/>
  <c r="H184" i="43"/>
  <c r="J184" i="30"/>
  <c r="H173" i="43"/>
  <c r="J173" i="30"/>
  <c r="H179" i="43"/>
  <c r="J179" i="30"/>
  <c r="H181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J165" i="30"/>
  <c r="H161" i="43"/>
  <c r="J161" i="30"/>
  <c r="H162" i="43"/>
  <c r="J162" i="30"/>
  <c r="H163"/>
  <c r="J163" i="29"/>
  <c r="H188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/>
  <c r="J113" i="29"/>
  <c r="H117" i="43"/>
  <c r="J117" i="30"/>
  <c r="AC27" i="44"/>
  <c r="AB24" i="49" s="1"/>
  <c r="Z24"/>
  <c r="AB8"/>
  <c r="AA32"/>
  <c r="AB10"/>
  <c r="AB5"/>
  <c r="AA24"/>
  <c r="AA25"/>
  <c r="Z11"/>
  <c r="Z10"/>
  <c r="Z9"/>
  <c r="Z8"/>
  <c r="Z7"/>
  <c r="AA6"/>
  <c r="AB6"/>
  <c r="Z6"/>
  <c r="AA5"/>
  <c r="Z5"/>
  <c r="Z4"/>
  <c r="AB4"/>
  <c r="AA4"/>
  <c r="Z31"/>
  <c r="Z29"/>
  <c r="Z27"/>
  <c r="Z26"/>
  <c r="Z23"/>
  <c r="Z22"/>
  <c r="Z21"/>
  <c r="Z20"/>
  <c r="Z19"/>
  <c r="Z18"/>
  <c r="Z17"/>
  <c r="Z16"/>
  <c r="Z15"/>
  <c r="Z14"/>
  <c r="Z13"/>
  <c r="Z12"/>
  <c r="AA7"/>
  <c r="AC25" i="44"/>
  <c r="AB22" i="49" s="1"/>
  <c r="AA13"/>
  <c r="AA23"/>
  <c r="AA12"/>
  <c r="AA22"/>
  <c r="AC21" i="44"/>
  <c r="AB18" i="49" s="1"/>
  <c r="AC17" i="44"/>
  <c r="AB14" i="49" s="1"/>
  <c r="AA31"/>
  <c r="AA11"/>
  <c r="AA20"/>
  <c r="AB11"/>
  <c r="AC20" i="44"/>
  <c r="AB17" i="49" s="1"/>
  <c r="AA26"/>
  <c r="AC31" i="44"/>
  <c r="AB28" i="49" s="1"/>
  <c r="AA29"/>
  <c r="Z32"/>
  <c r="AA18"/>
  <c r="AC15" i="44"/>
  <c r="AC16"/>
  <c r="AB13" i="49" s="1"/>
  <c r="AA16"/>
  <c r="AC22" i="44"/>
  <c r="AB19" i="49" s="1"/>
  <c r="AC24" i="44"/>
  <c r="AB21" i="49" s="1"/>
  <c r="AC32" i="44"/>
  <c r="AB29" i="49" s="1"/>
  <c r="AC34" i="44"/>
  <c r="AB31" i="49" s="1"/>
  <c r="AC29" i="44"/>
  <c r="AB26" i="49" s="1"/>
  <c r="AA14"/>
  <c r="AA10"/>
  <c r="AA27"/>
  <c r="AA15"/>
  <c r="AA30"/>
  <c r="AA21"/>
  <c r="AA17"/>
  <c r="AC19" i="44"/>
  <c r="AB16" i="49" s="1"/>
  <c r="AC18" i="44"/>
  <c r="AB15" i="49" s="1"/>
  <c r="AA19"/>
  <c r="AA8"/>
  <c r="AA9"/>
  <c r="AC30" i="44"/>
  <c r="AB27" i="49" s="1"/>
  <c r="AC26" i="44"/>
  <c r="AB23" i="49" s="1"/>
  <c r="AC23" i="44"/>
  <c r="AB20" i="49" s="1"/>
  <c r="AA28"/>
  <c r="E19" i="25" l="1"/>
  <c r="G19" s="1"/>
  <c r="E30" i="24"/>
  <c r="G30" s="1"/>
  <c r="G32" s="1"/>
  <c r="H32" s="1"/>
  <c r="G187"/>
  <c r="H187" s="1"/>
  <c r="J187" s="1"/>
  <c r="G20"/>
  <c r="H20" s="1"/>
  <c r="H19"/>
  <c r="AC36" i="44"/>
  <c r="AC37"/>
  <c r="G104" i="50"/>
  <c r="G98"/>
  <c r="G100"/>
  <c r="G106"/>
  <c r="G96"/>
  <c r="G102"/>
  <c r="I60"/>
  <c r="G97" i="43"/>
  <c r="H97" s="1"/>
  <c r="J97" s="1"/>
  <c r="G99"/>
  <c r="H99" s="1"/>
  <c r="J99" s="1"/>
  <c r="G103"/>
  <c r="H103" s="1"/>
  <c r="J103" s="1"/>
  <c r="G101"/>
  <c r="H101" s="1"/>
  <c r="J101" s="1"/>
  <c r="G95"/>
  <c r="H95" s="1"/>
  <c r="G105"/>
  <c r="H105" s="1"/>
  <c r="I59"/>
  <c r="H7"/>
  <c r="G103" i="31"/>
  <c r="G95"/>
  <c r="G97"/>
  <c r="G101"/>
  <c r="G105"/>
  <c r="G99"/>
  <c r="I59"/>
  <c r="AB12" i="49"/>
  <c r="J146" i="43"/>
  <c r="H146" i="31"/>
  <c r="J146" s="1"/>
  <c r="H149"/>
  <c r="J149" s="1"/>
  <c r="J149" i="43"/>
  <c r="J145"/>
  <c r="H145" i="31"/>
  <c r="J145" s="1"/>
  <c r="H148"/>
  <c r="J148" s="1"/>
  <c r="J148" i="43"/>
  <c r="J150"/>
  <c r="H150" i="31"/>
  <c r="J150" s="1"/>
  <c r="J144" i="43"/>
  <c r="H144" i="31"/>
  <c r="J144" s="1"/>
  <c r="J143" i="43"/>
  <c r="H143" i="31"/>
  <c r="J143" s="1"/>
  <c r="H147"/>
  <c r="J147" s="1"/>
  <c r="J147" i="43"/>
  <c r="H130" i="31"/>
  <c r="J130" s="1"/>
  <c r="J130" i="43"/>
  <c r="H132" i="31"/>
  <c r="J132" s="1"/>
  <c r="J132" i="43"/>
  <c r="H128" i="31"/>
  <c r="J128" s="1"/>
  <c r="J128" i="43"/>
  <c r="J129"/>
  <c r="H129" i="31"/>
  <c r="J129" s="1"/>
  <c r="H80" i="50"/>
  <c r="H131" i="31"/>
  <c r="J131" s="1"/>
  <c r="J131" i="43"/>
  <c r="H82" i="31"/>
  <c r="J82" s="1"/>
  <c r="H133"/>
  <c r="J133" s="1"/>
  <c r="J133" i="43"/>
  <c r="J185"/>
  <c r="H185" i="31"/>
  <c r="J185" s="1"/>
  <c r="H129" i="50"/>
  <c r="J129" s="1"/>
  <c r="H178" i="31"/>
  <c r="J178" s="1"/>
  <c r="J178" i="43"/>
  <c r="H122" i="50"/>
  <c r="J122" s="1"/>
  <c r="H181" i="43"/>
  <c r="J181" i="30"/>
  <c r="H173" i="31"/>
  <c r="J173" s="1"/>
  <c r="J173" i="43"/>
  <c r="H117" i="50"/>
  <c r="J117" s="1"/>
  <c r="H186" i="43"/>
  <c r="J186" i="30"/>
  <c r="J180" i="43"/>
  <c r="H180" i="31"/>
  <c r="J180" s="1"/>
  <c r="H124" i="50"/>
  <c r="J124" s="1"/>
  <c r="H176" i="30"/>
  <c r="J176" i="29"/>
  <c r="J183" i="43"/>
  <c r="H183" i="31"/>
  <c r="J183" s="1"/>
  <c r="J174" i="43"/>
  <c r="H174" i="31"/>
  <c r="J174" s="1"/>
  <c r="H118" i="50"/>
  <c r="J118" s="1"/>
  <c r="J179" i="43"/>
  <c r="H179" i="31"/>
  <c r="J179" s="1"/>
  <c r="H123" i="50"/>
  <c r="J123" s="1"/>
  <c r="J184" i="43"/>
  <c r="H184" i="31"/>
  <c r="J184" s="1"/>
  <c r="H128" i="50"/>
  <c r="J128" s="1"/>
  <c r="H175" i="43"/>
  <c r="J175" i="30"/>
  <c r="H188"/>
  <c r="J188" i="29"/>
  <c r="J162" i="43"/>
  <c r="H162" i="31"/>
  <c r="J162" s="1"/>
  <c r="J164" i="43"/>
  <c r="H164" i="31"/>
  <c r="H163" i="43"/>
  <c r="J163" i="30"/>
  <c r="H161" i="31"/>
  <c r="J161" s="1"/>
  <c r="J161" i="43"/>
  <c r="J165" i="31"/>
  <c r="J165" i="43"/>
  <c r="J142"/>
  <c r="H142" i="31"/>
  <c r="J142" s="1"/>
  <c r="J140" i="43"/>
  <c r="H140" i="31"/>
  <c r="J140" s="1"/>
  <c r="H139"/>
  <c r="J139" s="1"/>
  <c r="J139" i="43"/>
  <c r="H141" i="31"/>
  <c r="J141" s="1"/>
  <c r="J141" i="43"/>
  <c r="H138" i="31"/>
  <c r="J138" s="1"/>
  <c r="J138" i="43"/>
  <c r="H113"/>
  <c r="J113" i="30"/>
  <c r="J114" i="43"/>
  <c r="H114" i="31"/>
  <c r="J114" s="1"/>
  <c r="H115"/>
  <c r="J115" s="1"/>
  <c r="J115" i="43"/>
  <c r="J118"/>
  <c r="H118" i="31"/>
  <c r="J118" s="1"/>
  <c r="H123"/>
  <c r="J123" s="1"/>
  <c r="J123" i="43"/>
  <c r="H119" i="31"/>
  <c r="J119" s="1"/>
  <c r="J119" i="43"/>
  <c r="H117" i="31"/>
  <c r="J117" s="1"/>
  <c r="J117" i="43"/>
  <c r="H116" i="31"/>
  <c r="J116" s="1"/>
  <c r="J116" i="43"/>
  <c r="H122" i="31"/>
  <c r="J122" s="1"/>
  <c r="J122" i="43"/>
  <c r="J112"/>
  <c r="H112" i="31"/>
  <c r="J112" s="1"/>
  <c r="J120" i="43"/>
  <c r="H120" i="31"/>
  <c r="J120" s="1"/>
  <c r="H121"/>
  <c r="J121" s="1"/>
  <c r="J121" i="43"/>
  <c r="Z3" i="49"/>
  <c r="AB3"/>
  <c r="AA3"/>
  <c r="Z2"/>
  <c r="AB2"/>
  <c r="AA2"/>
  <c r="H30" i="24" l="1"/>
  <c r="H19" i="25"/>
  <c r="E30"/>
  <c r="G30" s="1"/>
  <c r="G32" s="1"/>
  <c r="H32" s="1"/>
  <c r="G187"/>
  <c r="H187" s="1"/>
  <c r="J187" s="1"/>
  <c r="G20"/>
  <c r="H20" s="1"/>
  <c r="E19" i="40"/>
  <c r="H101" i="31"/>
  <c r="J101" s="1"/>
  <c r="H99"/>
  <c r="J99" s="1"/>
  <c r="H103"/>
  <c r="J103" s="1"/>
  <c r="H105"/>
  <c r="J105" s="1"/>
  <c r="J105" i="43"/>
  <c r="H95" i="31"/>
  <c r="J95" s="1"/>
  <c r="J95" i="43"/>
  <c r="AU35" i="44"/>
  <c r="H97" i="31"/>
  <c r="J97" s="1"/>
  <c r="J164"/>
  <c r="H176" i="43"/>
  <c r="J176" i="30"/>
  <c r="J175" i="43"/>
  <c r="H175" i="31"/>
  <c r="J175" s="1"/>
  <c r="H119" i="50"/>
  <c r="J119" s="1"/>
  <c r="H181" i="31"/>
  <c r="J181" s="1"/>
  <c r="J181" i="43"/>
  <c r="J186"/>
  <c r="H186" i="31"/>
  <c r="J186" s="1"/>
  <c r="H130" i="50"/>
  <c r="J130" s="1"/>
  <c r="H163" i="31"/>
  <c r="J163" s="1"/>
  <c r="J163" i="43"/>
  <c r="H188"/>
  <c r="J188" i="30"/>
  <c r="J113" i="43"/>
  <c r="H113" i="31"/>
  <c r="J113" s="1"/>
  <c r="AN10" i="49"/>
  <c r="AE10"/>
  <c r="Y13" i="44"/>
  <c r="X10" i="49" s="1"/>
  <c r="AD10"/>
  <c r="G19" i="40" l="1"/>
  <c r="H30" i="25"/>
  <c r="AD36" i="44"/>
  <c r="AD37"/>
  <c r="AU36"/>
  <c r="AU37"/>
  <c r="AC32" i="49"/>
  <c r="H176" i="31"/>
  <c r="J176" s="1"/>
  <c r="J176" i="43"/>
  <c r="H120" i="50"/>
  <c r="J120" s="1"/>
  <c r="H188" i="31"/>
  <c r="J188" s="1"/>
  <c r="J188" i="43"/>
  <c r="H132" i="50"/>
  <c r="J132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s="1"/>
  <c r="J187" s="1"/>
  <c r="G20"/>
  <c r="H20" s="1"/>
  <c r="E30"/>
  <c r="G30" s="1"/>
  <c r="G32" s="1"/>
  <c r="H32" s="1"/>
  <c r="H19"/>
  <c r="E19" i="27"/>
  <c r="AT10" i="49"/>
  <c r="BB10"/>
  <c r="AS10"/>
  <c r="BA10"/>
  <c r="H30" i="40" l="1"/>
  <c r="G19" i="27"/>
  <c r="H19" s="1"/>
  <c r="C9" i="44"/>
  <c r="J6" i="48" s="1"/>
  <c r="H8" i="1"/>
  <c r="J8" s="1"/>
  <c r="C10" i="44"/>
  <c r="H9" i="1"/>
  <c r="J9" s="1"/>
  <c r="AN32" i="49"/>
  <c r="BA34" i="1"/>
  <c r="BC34"/>
  <c r="BD34"/>
  <c r="BE34"/>
  <c r="BG34"/>
  <c r="Y35" i="44"/>
  <c r="AZ34" i="1"/>
  <c r="AR34"/>
  <c r="AU34"/>
  <c r="AV34"/>
  <c r="AW34"/>
  <c r="D35" i="44"/>
  <c r="BF34" i="1"/>
  <c r="AX34"/>
  <c r="AT34"/>
  <c r="G20" i="27" l="1"/>
  <c r="H20" s="1"/>
  <c r="E30"/>
  <c r="G30" s="1"/>
  <c r="G187"/>
  <c r="H187" s="1"/>
  <c r="J18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/>
  <c r="AE32"/>
  <c r="X32"/>
  <c r="G19" i="28" l="1"/>
  <c r="G32" i="27"/>
  <c r="H32" s="1"/>
  <c r="H30"/>
  <c r="N34" i="1"/>
  <c r="G32" i="47"/>
  <c r="AT35" i="44"/>
  <c r="AT32" i="49"/>
  <c r="BB32"/>
  <c r="AS32"/>
  <c r="BA32"/>
  <c r="E19" i="29" l="1"/>
  <c r="E30" i="28"/>
  <c r="G30" s="1"/>
  <c r="G32" s="1"/>
  <c r="H32" s="1"/>
  <c r="G187"/>
  <c r="H187" s="1"/>
  <c r="J187" s="1"/>
  <c r="G20"/>
  <c r="H20" s="1"/>
  <c r="H19"/>
  <c r="AI25" i="45"/>
  <c r="AI27"/>
  <c r="H30" i="28" l="1"/>
  <c r="E19" i="30"/>
  <c r="G19" i="29"/>
  <c r="AD20" i="49"/>
  <c r="G187" i="29" l="1"/>
  <c r="H187" s="1"/>
  <c r="J187" s="1"/>
  <c r="E30"/>
  <c r="G30" s="1"/>
  <c r="G32" s="1"/>
  <c r="H32" s="1"/>
  <c r="G20"/>
  <c r="H20" s="1"/>
  <c r="H19"/>
  <c r="G19" i="30"/>
  <c r="E19" i="43"/>
  <c r="L15" i="44"/>
  <c r="K12" i="49" s="1"/>
  <c r="Y15" i="44"/>
  <c r="X12" i="49" s="1"/>
  <c r="H19" i="30" l="1"/>
  <c r="G20"/>
  <c r="H20" s="1"/>
  <c r="E30"/>
  <c r="G30" s="1"/>
  <c r="G32" s="1"/>
  <c r="H32" s="1"/>
  <c r="G187"/>
  <c r="H187" s="1"/>
  <c r="J187" s="1"/>
  <c r="H30" i="29"/>
  <c r="AX7" i="49"/>
  <c r="AW7"/>
  <c r="AV9"/>
  <c r="AZ10"/>
  <c r="AY10"/>
  <c r="AX10"/>
  <c r="AW10"/>
  <c r="AV10"/>
  <c r="AU10"/>
  <c r="AZ14"/>
  <c r="AY14"/>
  <c r="AX14"/>
  <c r="AW14"/>
  <c r="AV14"/>
  <c r="AU14"/>
  <c r="AZ15"/>
  <c r="AY15"/>
  <c r="AX15"/>
  <c r="AW15"/>
  <c r="AV15"/>
  <c r="AU15"/>
  <c r="AZ16"/>
  <c r="AY16"/>
  <c r="AX16"/>
  <c r="AW16"/>
  <c r="AV16"/>
  <c r="AU16"/>
  <c r="AZ18"/>
  <c r="AY18"/>
  <c r="AX18"/>
  <c r="AW18"/>
  <c r="AV18"/>
  <c r="AU18"/>
  <c r="AZ19"/>
  <c r="AY19"/>
  <c r="AX19"/>
  <c r="AW19"/>
  <c r="AV19"/>
  <c r="AU19"/>
  <c r="AZ24"/>
  <c r="AY24"/>
  <c r="AX24"/>
  <c r="AW24"/>
  <c r="AV24"/>
  <c r="AU24"/>
  <c r="AZ25"/>
  <c r="AY25"/>
  <c r="AX25"/>
  <c r="AW25"/>
  <c r="AV25"/>
  <c r="AU25"/>
  <c r="AZ26"/>
  <c r="AY26"/>
  <c r="AX26"/>
  <c r="AW26"/>
  <c r="AV26"/>
  <c r="AU26"/>
  <c r="AZ27"/>
  <c r="AY27"/>
  <c r="AX27"/>
  <c r="AW27"/>
  <c r="AV27"/>
  <c r="AU27"/>
  <c r="AZ28"/>
  <c r="AY28"/>
  <c r="AX28"/>
  <c r="AW28"/>
  <c r="AV28"/>
  <c r="AU28"/>
  <c r="AZ29"/>
  <c r="AY29"/>
  <c r="AX29"/>
  <c r="AW29"/>
  <c r="AV29"/>
  <c r="AU29"/>
  <c r="AZ32"/>
  <c r="AY32"/>
  <c r="AX32"/>
  <c r="AW32"/>
  <c r="AV32"/>
  <c r="AU32"/>
  <c r="H30" i="30" l="1"/>
  <c r="G19" i="43"/>
  <c r="E20" i="50"/>
  <c r="G20" s="1"/>
  <c r="E19" i="31"/>
  <c r="G19" s="1"/>
  <c r="AT26" i="49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U31"/>
  <c r="BB31"/>
  <c r="BA31"/>
  <c r="AZ31"/>
  <c r="AY31"/>
  <c r="AX31"/>
  <c r="AW31"/>
  <c r="AV31"/>
  <c r="AT29"/>
  <c r="BB29"/>
  <c r="AT27"/>
  <c r="BB27"/>
  <c r="AT28"/>
  <c r="BB28"/>
  <c r="AS27"/>
  <c r="BA27"/>
  <c r="AX21"/>
  <c r="AY22"/>
  <c r="AW21"/>
  <c r="AU20"/>
  <c r="AX22"/>
  <c r="AV21"/>
  <c r="AW22"/>
  <c r="AU21"/>
  <c r="AY21"/>
  <c r="AV22"/>
  <c r="AZ20"/>
  <c r="AW20"/>
  <c r="AV20"/>
  <c r="AU22"/>
  <c r="AY20"/>
  <c r="AZ22"/>
  <c r="AZ21"/>
  <c r="AX20"/>
  <c r="AT17"/>
  <c r="AY3"/>
  <c r="AW5"/>
  <c r="AU9"/>
  <c r="AY9"/>
  <c r="AW8"/>
  <c r="AU7"/>
  <c r="AZ7"/>
  <c r="AX6"/>
  <c r="AZ5"/>
  <c r="AU3"/>
  <c r="AY4"/>
  <c r="AZ9"/>
  <c r="AX8"/>
  <c r="AU6"/>
  <c r="AX3"/>
  <c r="AX4"/>
  <c r="AW3"/>
  <c r="AW4"/>
  <c r="AX9"/>
  <c r="AV8"/>
  <c r="AZ8"/>
  <c r="AW6"/>
  <c r="AU5"/>
  <c r="AY5"/>
  <c r="AU4"/>
  <c r="AY6"/>
  <c r="AV3"/>
  <c r="AZ3"/>
  <c r="AV4"/>
  <c r="AZ4"/>
  <c r="AU8"/>
  <c r="AY8"/>
  <c r="AV6"/>
  <c r="AZ6"/>
  <c r="AX5"/>
  <c r="AZ11"/>
  <c r="AY11"/>
  <c r="AW11"/>
  <c r="AV11"/>
  <c r="AZ23"/>
  <c r="AU23"/>
  <c r="AY23"/>
  <c r="AW23"/>
  <c r="AV23"/>
  <c r="AV2"/>
  <c r="AZ2"/>
  <c r="AU2"/>
  <c r="AW2"/>
  <c r="AX30"/>
  <c r="AW30"/>
  <c r="AV30"/>
  <c r="AZ30"/>
  <c r="AU30"/>
  <c r="AY30"/>
  <c r="AU13"/>
  <c r="AX13"/>
  <c r="AY13"/>
  <c r="AW13"/>
  <c r="AV13"/>
  <c r="AZ13"/>
  <c r="AX12"/>
  <c r="AW12"/>
  <c r="AV12"/>
  <c r="AZ12"/>
  <c r="AU12"/>
  <c r="AY12"/>
  <c r="AU11"/>
  <c r="AX11"/>
  <c r="AY7"/>
  <c r="AW9"/>
  <c r="AV7"/>
  <c r="AV5"/>
  <c r="AX23"/>
  <c r="G187" i="31" l="1"/>
  <c r="G20"/>
  <c r="E30"/>
  <c r="G30" s="1"/>
  <c r="G32" s="1"/>
  <c r="G21" i="50"/>
  <c r="E31"/>
  <c r="G31" s="1"/>
  <c r="G33" s="1"/>
  <c r="G20" i="43"/>
  <c r="H20" s="1"/>
  <c r="H20" i="31" s="1"/>
  <c r="G187" i="43"/>
  <c r="H187" s="1"/>
  <c r="E30"/>
  <c r="G30" s="1"/>
  <c r="H19"/>
  <c r="H19" i="31" s="1"/>
  <c r="AU17" i="49"/>
  <c r="AS17"/>
  <c r="BB17"/>
  <c r="AZ17"/>
  <c r="AS26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J187" i="43" l="1"/>
  <c r="H131" i="50"/>
  <c r="J131" s="1"/>
  <c r="G32" i="43"/>
  <c r="H32" s="1"/>
  <c r="H32" i="31" s="1"/>
  <c r="H30" i="43"/>
  <c r="H30" i="31" s="1"/>
  <c r="H187"/>
  <c r="J187" s="1"/>
  <c r="H11" i="1"/>
  <c r="J11" s="1"/>
  <c r="C11" i="44" l="1"/>
  <c r="H10" i="1"/>
  <c r="J10" s="1"/>
  <c r="H12"/>
  <c r="J12" s="1"/>
  <c r="C12" i="44"/>
  <c r="J9" i="48" s="1"/>
  <c r="J8" l="1"/>
  <c r="C13" i="44"/>
  <c r="BB13" l="1"/>
  <c r="J10" i="48"/>
  <c r="H14" i="1"/>
  <c r="J14" s="1"/>
  <c r="C15" i="44"/>
  <c r="J12" i="48" s="1"/>
  <c r="H13" i="1"/>
  <c r="J13" s="1"/>
  <c r="C14" i="44"/>
  <c r="J11" i="48" s="1"/>
  <c r="H15" i="1" l="1"/>
  <c r="J15" s="1"/>
  <c r="C16" i="44"/>
  <c r="J13" i="48" s="1"/>
  <c r="C17" i="44" l="1"/>
  <c r="J14" i="48" s="1"/>
  <c r="H16" i="1"/>
  <c r="J16" s="1"/>
  <c r="H17" l="1"/>
  <c r="J17" s="1"/>
  <c r="C18" i="44"/>
  <c r="J15" i="48" s="1"/>
  <c r="W5" i="45"/>
  <c r="H18" i="1" l="1"/>
  <c r="J18" s="1"/>
  <c r="C19" i="44"/>
  <c r="J16" i="48" s="1"/>
  <c r="H19" i="1" l="1"/>
  <c r="J19" s="1"/>
  <c r="C20" i="44"/>
  <c r="J17" i="48" s="1"/>
  <c r="H20" i="1" l="1"/>
  <c r="J20" s="1"/>
  <c r="C21" i="44"/>
  <c r="J18" i="48" s="1"/>
  <c r="H21" i="1" l="1"/>
  <c r="J21" s="1"/>
  <c r="C22" i="44"/>
  <c r="J19" i="48" s="1"/>
  <c r="H22" i="1" l="1"/>
  <c r="J22" s="1"/>
  <c r="C23" i="44"/>
  <c r="J20" i="48" s="1"/>
  <c r="H23" i="1" l="1"/>
  <c r="J23" s="1"/>
  <c r="C24" i="44"/>
  <c r="J21" i="48" s="1"/>
  <c r="C25" i="44" l="1"/>
  <c r="J22" i="48" s="1"/>
  <c r="H24" i="1"/>
  <c r="J24" s="1"/>
  <c r="Y25" i="49"/>
  <c r="H25" i="1" l="1"/>
  <c r="J25" s="1"/>
  <c r="C26" i="44"/>
  <c r="J23" i="48" s="1"/>
  <c r="L28" i="44"/>
  <c r="K25" i="49" l="1"/>
  <c r="C27" i="44"/>
  <c r="J24" i="48" s="1"/>
  <c r="H26" i="1"/>
  <c r="J26" s="1"/>
  <c r="BL25" i="49"/>
  <c r="BK25"/>
  <c r="BJ25"/>
  <c r="BI25"/>
  <c r="BH25"/>
  <c r="BC25"/>
  <c r="AQ25"/>
  <c r="AN25"/>
  <c r="AL25"/>
  <c r="W25"/>
  <c r="V25"/>
  <c r="U25"/>
  <c r="T25"/>
  <c r="S25"/>
  <c r="R25"/>
  <c r="Q25"/>
  <c r="P25"/>
  <c r="O25"/>
  <c r="N25"/>
  <c r="M25"/>
  <c r="AK25"/>
  <c r="AJ25"/>
  <c r="AI25"/>
  <c r="AH25"/>
  <c r="AG25"/>
  <c r="AF25"/>
  <c r="AE25"/>
  <c r="AD25"/>
  <c r="Y28" i="44"/>
  <c r="X25" i="49" l="1"/>
  <c r="H27" i="1"/>
  <c r="J27" s="1"/>
  <c r="C28" i="44"/>
  <c r="AA27" i="45"/>
  <c r="BF25" i="49" s="1"/>
  <c r="AR25"/>
  <c r="AP25"/>
  <c r="AM25"/>
  <c r="AA29" i="45"/>
  <c r="AO25" i="49"/>
  <c r="M28" i="44"/>
  <c r="K28"/>
  <c r="I28"/>
  <c r="J28"/>
  <c r="G28"/>
  <c r="F28"/>
  <c r="H28"/>
  <c r="AA30" i="45"/>
  <c r="AA5"/>
  <c r="AY28" i="44"/>
  <c r="AA25" i="45"/>
  <c r="BE25" i="49" s="1"/>
  <c r="J25" l="1"/>
  <c r="I25"/>
  <c r="H25"/>
  <c r="G25"/>
  <c r="F25"/>
  <c r="L25"/>
  <c r="E25"/>
  <c r="J25" i="48"/>
  <c r="BB28" i="44"/>
  <c r="C29"/>
  <c r="J26" i="48" s="1"/>
  <c r="H28" i="1"/>
  <c r="J28" s="1"/>
  <c r="AA31" i="45"/>
  <c r="C30" i="44" l="1"/>
  <c r="J27" i="48" s="1"/>
  <c r="H29" i="1"/>
  <c r="J29" s="1"/>
  <c r="C31" i="44" l="1"/>
  <c r="H30" i="1"/>
  <c r="J30" s="1"/>
  <c r="J28" i="48" l="1"/>
  <c r="H31" i="1"/>
  <c r="J31" s="1"/>
  <c r="C32" i="44"/>
  <c r="AV9" i="1"/>
  <c r="BI32" i="49"/>
  <c r="BJ32"/>
  <c r="BK32"/>
  <c r="BL32"/>
  <c r="AQ32"/>
  <c r="BC32"/>
  <c r="N32"/>
  <c r="Q32"/>
  <c r="R32"/>
  <c r="S32"/>
  <c r="T32"/>
  <c r="U32"/>
  <c r="V32"/>
  <c r="W32"/>
  <c r="Y32"/>
  <c r="M32"/>
  <c r="AF32"/>
  <c r="AG32"/>
  <c r="AH32"/>
  <c r="AI32"/>
  <c r="AJ32"/>
  <c r="AK32"/>
  <c r="BJ31"/>
  <c r="BK31"/>
  <c r="BL31"/>
  <c r="AN31"/>
  <c r="N31"/>
  <c r="O31"/>
  <c r="P31"/>
  <c r="Q31"/>
  <c r="R31"/>
  <c r="S31"/>
  <c r="T31"/>
  <c r="U31"/>
  <c r="V31"/>
  <c r="W31"/>
  <c r="Y31"/>
  <c r="M31"/>
  <c r="AL10"/>
  <c r="BB20" i="1"/>
  <c r="BD20"/>
  <c r="BG5"/>
  <c r="BF5"/>
  <c r="BE5"/>
  <c r="BD5"/>
  <c r="BC5"/>
  <c r="BA5"/>
  <c r="AZ5"/>
  <c r="AV13"/>
  <c r="BI10" i="49"/>
  <c r="BJ10"/>
  <c r="BK10"/>
  <c r="BL10"/>
  <c r="N10"/>
  <c r="O10"/>
  <c r="P10"/>
  <c r="Q10"/>
  <c r="R10"/>
  <c r="S10"/>
  <c r="T10"/>
  <c r="U10"/>
  <c r="V10"/>
  <c r="W10"/>
  <c r="Y10"/>
  <c r="AY27" i="1"/>
  <c r="AQ27"/>
  <c r="AR27"/>
  <c r="AV27"/>
  <c r="AX27"/>
  <c r="BL20" i="49"/>
  <c r="BK20"/>
  <c r="BJ20"/>
  <c r="BC20"/>
  <c r="BC14" i="1"/>
  <c r="BD14"/>
  <c r="BE14"/>
  <c r="BF14"/>
  <c r="BG14"/>
  <c r="BC11" i="49"/>
  <c r="AN11"/>
  <c r="N11"/>
  <c r="O11"/>
  <c r="P11"/>
  <c r="Q11"/>
  <c r="R11"/>
  <c r="S11"/>
  <c r="T11"/>
  <c r="U11"/>
  <c r="V11"/>
  <c r="W11"/>
  <c r="Y11"/>
  <c r="AL11"/>
  <c r="BB13" i="1"/>
  <c r="BC13"/>
  <c r="BD13"/>
  <c r="BE13"/>
  <c r="BF13"/>
  <c r="BG13"/>
  <c r="Y14" i="44"/>
  <c r="X11" i="49" s="1"/>
  <c r="AV10" i="1"/>
  <c r="AZ10"/>
  <c r="BA10"/>
  <c r="BB10"/>
  <c r="BC10"/>
  <c r="BD10"/>
  <c r="BE10"/>
  <c r="BG10"/>
  <c r="Y11" i="44"/>
  <c r="X8" i="49" s="1"/>
  <c r="AD8"/>
  <c r="AE8"/>
  <c r="AF8"/>
  <c r="AG8"/>
  <c r="AH8"/>
  <c r="AI8"/>
  <c r="AJ8"/>
  <c r="N8"/>
  <c r="O8"/>
  <c r="P8"/>
  <c r="Q8"/>
  <c r="R8"/>
  <c r="S8"/>
  <c r="T8"/>
  <c r="U8"/>
  <c r="V8"/>
  <c r="W8"/>
  <c r="Y8"/>
  <c r="AN8"/>
  <c r="BC8"/>
  <c r="BI8"/>
  <c r="BJ8"/>
  <c r="BK8"/>
  <c r="BL8"/>
  <c r="BC4"/>
  <c r="AT6" i="1"/>
  <c r="BA6"/>
  <c r="BC6"/>
  <c r="BG6"/>
  <c r="Y7" i="44"/>
  <c r="X4" i="49" s="1"/>
  <c r="AH4"/>
  <c r="M4"/>
  <c r="N4"/>
  <c r="O4"/>
  <c r="P4"/>
  <c r="Q4"/>
  <c r="R4"/>
  <c r="S4"/>
  <c r="T4"/>
  <c r="U4"/>
  <c r="V4"/>
  <c r="W4"/>
  <c r="Y4"/>
  <c r="AL4"/>
  <c r="BI4"/>
  <c r="BJ4"/>
  <c r="BK4"/>
  <c r="BL4"/>
  <c r="J16" i="35"/>
  <c r="AF9" i="49"/>
  <c r="N22"/>
  <c r="O22"/>
  <c r="P22"/>
  <c r="Q22"/>
  <c r="R22"/>
  <c r="S22"/>
  <c r="T22"/>
  <c r="U22"/>
  <c r="V22"/>
  <c r="W22"/>
  <c r="Y22"/>
  <c r="BA19" i="1"/>
  <c r="BD19"/>
  <c r="BE19"/>
  <c r="BF19"/>
  <c r="BG19"/>
  <c r="Y20" i="44"/>
  <c r="X17" i="49" s="1"/>
  <c r="AV19" i="1"/>
  <c r="AN13" i="49"/>
  <c r="Y14"/>
  <c r="W14"/>
  <c r="V14"/>
  <c r="U14"/>
  <c r="T14"/>
  <c r="S14"/>
  <c r="R14"/>
  <c r="Q14"/>
  <c r="P14"/>
  <c r="O14"/>
  <c r="N14"/>
  <c r="M10"/>
  <c r="Y9"/>
  <c r="W9"/>
  <c r="V9"/>
  <c r="U9"/>
  <c r="T9"/>
  <c r="S9"/>
  <c r="R9"/>
  <c r="Q9"/>
  <c r="P9"/>
  <c r="O9"/>
  <c r="N9"/>
  <c r="M9"/>
  <c r="Y7"/>
  <c r="W7"/>
  <c r="V7"/>
  <c r="U7"/>
  <c r="T7"/>
  <c r="S7"/>
  <c r="R7"/>
  <c r="Q7"/>
  <c r="P7"/>
  <c r="O7"/>
  <c r="N7"/>
  <c r="M7"/>
  <c r="Y6"/>
  <c r="W6"/>
  <c r="V6"/>
  <c r="U6"/>
  <c r="T6"/>
  <c r="S6"/>
  <c r="R6"/>
  <c r="Q6"/>
  <c r="P6"/>
  <c r="O6"/>
  <c r="N6"/>
  <c r="M6"/>
  <c r="AL5"/>
  <c r="Y5"/>
  <c r="W5"/>
  <c r="V5"/>
  <c r="U5"/>
  <c r="T5"/>
  <c r="S5"/>
  <c r="R5"/>
  <c r="Q5"/>
  <c r="N5"/>
  <c r="M5"/>
  <c r="BI11"/>
  <c r="BJ11"/>
  <c r="BK11"/>
  <c r="BL11"/>
  <c r="BI9"/>
  <c r="BJ9"/>
  <c r="BK9"/>
  <c r="BL9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AE30" i="49"/>
  <c r="L33" i="44"/>
  <c r="K30" i="49" s="1"/>
  <c r="M33" i="44"/>
  <c r="L30" i="49" s="1"/>
  <c r="BL29"/>
  <c r="BK29"/>
  <c r="BJ29"/>
  <c r="BI29"/>
  <c r="BH29"/>
  <c r="BC29"/>
  <c r="AN29"/>
  <c r="AL29"/>
  <c r="Y29"/>
  <c r="W29"/>
  <c r="V29"/>
  <c r="U29"/>
  <c r="T29"/>
  <c r="S29"/>
  <c r="R29"/>
  <c r="Q29"/>
  <c r="P29"/>
  <c r="O29"/>
  <c r="N29"/>
  <c r="M29"/>
  <c r="AK29"/>
  <c r="AJ29"/>
  <c r="AI29"/>
  <c r="AH29"/>
  <c r="AG29"/>
  <c r="AF29"/>
  <c r="AE29"/>
  <c r="Y32" i="44"/>
  <c r="X29" i="49" s="1"/>
  <c r="BG31" i="1"/>
  <c r="BF31"/>
  <c r="BD31"/>
  <c r="BA31"/>
  <c r="AZ31"/>
  <c r="AV31"/>
  <c r="BL28" i="49"/>
  <c r="BK28"/>
  <c r="BJ28"/>
  <c r="BI28"/>
  <c r="BC28"/>
  <c r="AN28"/>
  <c r="Y28"/>
  <c r="W28"/>
  <c r="V28"/>
  <c r="U28"/>
  <c r="T28"/>
  <c r="S28"/>
  <c r="R28"/>
  <c r="Q28"/>
  <c r="P28"/>
  <c r="O28"/>
  <c r="N28"/>
  <c r="M28"/>
  <c r="BF30" i="1"/>
  <c r="BD30"/>
  <c r="AP30"/>
  <c r="BL27" i="49"/>
  <c r="BK27"/>
  <c r="BJ27"/>
  <c r="BI27"/>
  <c r="BC27"/>
  <c r="AN27"/>
  <c r="Y27"/>
  <c r="W27"/>
  <c r="V27"/>
  <c r="U27"/>
  <c r="T27"/>
  <c r="S27"/>
  <c r="R27"/>
  <c r="Q27"/>
  <c r="P27"/>
  <c r="O27"/>
  <c r="N27"/>
  <c r="M27"/>
  <c r="BF29" i="1"/>
  <c r="BD29"/>
  <c r="BC29"/>
  <c r="BA29"/>
  <c r="AZ29"/>
  <c r="BL26" i="49"/>
  <c r="BK26"/>
  <c r="BJ26"/>
  <c r="BI26"/>
  <c r="BC26"/>
  <c r="AN26"/>
  <c r="Y26"/>
  <c r="W26"/>
  <c r="V26"/>
  <c r="U26"/>
  <c r="T26"/>
  <c r="S26"/>
  <c r="R26"/>
  <c r="Q26"/>
  <c r="P26"/>
  <c r="O26"/>
  <c r="N26"/>
  <c r="M26"/>
  <c r="BG28" i="1"/>
  <c r="BF28"/>
  <c r="BE28"/>
  <c r="BC28"/>
  <c r="BB28"/>
  <c r="BA28"/>
  <c r="BG27"/>
  <c r="BF27"/>
  <c r="BE27"/>
  <c r="BC27"/>
  <c r="BA27"/>
  <c r="BH27"/>
  <c r="AZ27"/>
  <c r="AP27"/>
  <c r="BL24" i="49"/>
  <c r="BK24"/>
  <c r="BJ24"/>
  <c r="BI24"/>
  <c r="BC24"/>
  <c r="AN24"/>
  <c r="Y24"/>
  <c r="W24"/>
  <c r="V24"/>
  <c r="U24"/>
  <c r="T24"/>
  <c r="S24"/>
  <c r="R24"/>
  <c r="Q24"/>
  <c r="P24"/>
  <c r="O24"/>
  <c r="N24"/>
  <c r="Y27" i="44"/>
  <c r="X24" i="49" s="1"/>
  <c r="BG26" i="1"/>
  <c r="BF26"/>
  <c r="BE26"/>
  <c r="BD26"/>
  <c r="BC26"/>
  <c r="BB26"/>
  <c r="BA26"/>
  <c r="AZ26"/>
  <c r="AV26"/>
  <c r="AN23" i="49"/>
  <c r="BL22"/>
  <c r="BK22"/>
  <c r="BJ22"/>
  <c r="BI22"/>
  <c r="BC22"/>
  <c r="AN22"/>
  <c r="M22"/>
  <c r="BL21"/>
  <c r="BK21"/>
  <c r="BJ21"/>
  <c r="BI21"/>
  <c r="BC21"/>
  <c r="AN21"/>
  <c r="Y21"/>
  <c r="W21"/>
  <c r="V21"/>
  <c r="U21"/>
  <c r="T21"/>
  <c r="S21"/>
  <c r="R21"/>
  <c r="P21"/>
  <c r="O21"/>
  <c r="N21"/>
  <c r="M21"/>
  <c r="BI20"/>
  <c r="AN20"/>
  <c r="Y20"/>
  <c r="W20"/>
  <c r="V20"/>
  <c r="U20"/>
  <c r="T20"/>
  <c r="S20"/>
  <c r="R20"/>
  <c r="P20"/>
  <c r="O20"/>
  <c r="N20"/>
  <c r="M20"/>
  <c r="BG22" i="1"/>
  <c r="BF22"/>
  <c r="BE22"/>
  <c r="BD22"/>
  <c r="BC22"/>
  <c r="BA22"/>
  <c r="AZ22"/>
  <c r="BL19" i="49"/>
  <c r="BK19"/>
  <c r="BJ19"/>
  <c r="BI19"/>
  <c r="BC19"/>
  <c r="AN19"/>
  <c r="Y19"/>
  <c r="W19"/>
  <c r="V19"/>
  <c r="U19"/>
  <c r="T19"/>
  <c r="S19"/>
  <c r="R19"/>
  <c r="Q19"/>
  <c r="P19"/>
  <c r="O19"/>
  <c r="N19"/>
  <c r="BL18"/>
  <c r="BK18"/>
  <c r="BJ18"/>
  <c r="BI18"/>
  <c r="BC18"/>
  <c r="AO18"/>
  <c r="AN18"/>
  <c r="Y18"/>
  <c r="W18"/>
  <c r="V18"/>
  <c r="U18"/>
  <c r="T18"/>
  <c r="S18"/>
  <c r="R18"/>
  <c r="Q18"/>
  <c r="P18"/>
  <c r="O18"/>
  <c r="N18"/>
  <c r="Y21" i="44"/>
  <c r="X18" i="49" s="1"/>
  <c r="BE20" i="1"/>
  <c r="BC20"/>
  <c r="BA20"/>
  <c r="L21" i="44"/>
  <c r="K18" i="49" s="1"/>
  <c r="M21" i="44"/>
  <c r="L18" i="49" s="1"/>
  <c r="BL17"/>
  <c r="BK17"/>
  <c r="BJ17"/>
  <c r="BI17"/>
  <c r="AN17"/>
  <c r="Y17"/>
  <c r="W17"/>
  <c r="V17"/>
  <c r="U17"/>
  <c r="T17"/>
  <c r="S17"/>
  <c r="R17"/>
  <c r="Q17"/>
  <c r="P17"/>
  <c r="O17"/>
  <c r="N17"/>
  <c r="M17"/>
  <c r="AK17"/>
  <c r="AJ17"/>
  <c r="AI17"/>
  <c r="AH17"/>
  <c r="AG17"/>
  <c r="AE17"/>
  <c r="AD17"/>
  <c r="BL16"/>
  <c r="BK16"/>
  <c r="BJ16"/>
  <c r="BI16"/>
  <c r="BC16"/>
  <c r="AN16"/>
  <c r="Y16"/>
  <c r="W16"/>
  <c r="V16"/>
  <c r="U16"/>
  <c r="T16"/>
  <c r="S16"/>
  <c r="R16"/>
  <c r="Q16"/>
  <c r="P16"/>
  <c r="O16"/>
  <c r="M16"/>
  <c r="AJ16"/>
  <c r="AI16"/>
  <c r="AH16"/>
  <c r="AG16"/>
  <c r="AF16"/>
  <c r="AE16"/>
  <c r="AD16"/>
  <c r="Y19" i="44"/>
  <c r="X16" i="49" s="1"/>
  <c r="BG18" i="1"/>
  <c r="BF18"/>
  <c r="BE18"/>
  <c r="BD18"/>
  <c r="BC18"/>
  <c r="BA18"/>
  <c r="BL15" i="49"/>
  <c r="BK15"/>
  <c r="BJ15"/>
  <c r="BC15"/>
  <c r="AN15"/>
  <c r="BG17" i="1"/>
  <c r="BE17"/>
  <c r="BD17"/>
  <c r="BC17"/>
  <c r="BA17"/>
  <c r="BL14" i="49"/>
  <c r="BK14"/>
  <c r="BJ14"/>
  <c r="BI14"/>
  <c r="BC14"/>
  <c r="AQ14"/>
  <c r="AN14"/>
  <c r="BG16" i="1"/>
  <c r="BF16"/>
  <c r="BE16"/>
  <c r="BD16"/>
  <c r="BC16"/>
  <c r="BA16"/>
  <c r="AZ16"/>
  <c r="AZ14"/>
  <c r="BH11" i="49"/>
  <c r="AZ13" i="1"/>
  <c r="BC10" i="49"/>
  <c r="AJ10"/>
  <c r="AI10"/>
  <c r="AH10"/>
  <c r="AG10"/>
  <c r="AF10"/>
  <c r="BG12" i="1"/>
  <c r="BF12"/>
  <c r="BE12"/>
  <c r="BD12"/>
  <c r="BB12"/>
  <c r="BA12"/>
  <c r="AZ12"/>
  <c r="AV12"/>
  <c r="BC9" i="49"/>
  <c r="AJ9"/>
  <c r="AI9"/>
  <c r="AH9"/>
  <c r="AG9"/>
  <c r="AE9"/>
  <c r="AD9"/>
  <c r="Y12" i="44"/>
  <c r="X9" i="49" s="1"/>
  <c r="BG11" i="1"/>
  <c r="BF11"/>
  <c r="BE11"/>
  <c r="BD11"/>
  <c r="BC11"/>
  <c r="BA11"/>
  <c r="AV11"/>
  <c r="BL7" i="49"/>
  <c r="BK7"/>
  <c r="BJ7"/>
  <c r="BI7"/>
  <c r="BC7"/>
  <c r="AN7"/>
  <c r="Y10" i="44"/>
  <c r="BG9" i="1"/>
  <c r="BF9"/>
  <c r="BE9"/>
  <c r="BD9"/>
  <c r="BC9"/>
  <c r="BB9"/>
  <c r="AZ9"/>
  <c r="BI6" i="49"/>
  <c r="BJ6"/>
  <c r="BK6"/>
  <c r="BL6"/>
  <c r="BC6"/>
  <c r="AN6"/>
  <c r="BA8" i="1"/>
  <c r="BB8"/>
  <c r="BC8"/>
  <c r="BD8"/>
  <c r="BE8"/>
  <c r="BF8"/>
  <c r="BG8"/>
  <c r="Y9" i="44"/>
  <c r="X6" i="49" s="1"/>
  <c r="AZ8" i="1"/>
  <c r="AV8"/>
  <c r="BI5" i="49"/>
  <c r="BJ5"/>
  <c r="BK5"/>
  <c r="BL5"/>
  <c r="BC5"/>
  <c r="BB7" i="1"/>
  <c r="BD7"/>
  <c r="BE7"/>
  <c r="BG7"/>
  <c r="Y8" i="44"/>
  <c r="X5" i="49" s="1"/>
  <c r="AV7" i="1"/>
  <c r="AT27"/>
  <c r="AF17" i="49"/>
  <c r="BC3"/>
  <c r="AO3"/>
  <c r="BC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M5" i="44"/>
  <c r="S25" i="1"/>
  <c r="S22"/>
  <c r="S7"/>
  <c r="S9"/>
  <c r="S12"/>
  <c r="S13"/>
  <c r="S14"/>
  <c r="S21"/>
  <c r="S15"/>
  <c r="S16"/>
  <c r="S18"/>
  <c r="S20"/>
  <c r="S24"/>
  <c r="S31"/>
  <c r="S27"/>
  <c r="S19"/>
  <c r="S10"/>
  <c r="S8"/>
  <c r="S17"/>
  <c r="S26"/>
  <c r="S28"/>
  <c r="S29"/>
  <c r="S30"/>
  <c r="S32"/>
  <c r="S23"/>
  <c r="S6"/>
  <c r="S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M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J29" i="48" l="1"/>
  <c r="X7" i="49"/>
  <c r="BK3"/>
  <c r="S3"/>
  <c r="BJ3"/>
  <c r="R3"/>
  <c r="BI3"/>
  <c r="Q3"/>
  <c r="P3"/>
  <c r="Y3"/>
  <c r="O3"/>
  <c r="W3"/>
  <c r="N3"/>
  <c r="V3"/>
  <c r="AD3"/>
  <c r="M3"/>
  <c r="U3"/>
  <c r="BL3"/>
  <c r="T3"/>
  <c r="BC21" i="1"/>
  <c r="AZ17"/>
  <c r="AV21"/>
  <c r="BI15" i="49"/>
  <c r="AT21" i="1"/>
  <c r="BA21"/>
  <c r="Y22" i="44"/>
  <c r="X19" i="49" s="1"/>
  <c r="BG21" i="1"/>
  <c r="BF21"/>
  <c r="J33" i="44"/>
  <c r="I30" i="49" s="1"/>
  <c r="C33" i="44"/>
  <c r="H32" i="1"/>
  <c r="J32" s="1"/>
  <c r="AD29"/>
  <c r="BE33"/>
  <c r="AN34"/>
  <c r="AX33"/>
  <c r="AJ34"/>
  <c r="AT33"/>
  <c r="BF33"/>
  <c r="BC31" i="49"/>
  <c r="BD33" i="1"/>
  <c r="AU33"/>
  <c r="BG33"/>
  <c r="BI31" i="49"/>
  <c r="AV33" i="1"/>
  <c r="AY35" i="44"/>
  <c r="BA35" s="1"/>
  <c r="AS33" i="1"/>
  <c r="I34" i="44"/>
  <c r="H31" i="49" s="1"/>
  <c r="I33" i="44"/>
  <c r="H30" i="49" s="1"/>
  <c r="AN9"/>
  <c r="AR33" i="1"/>
  <c r="H34" i="44"/>
  <c r="G31" i="49" s="1"/>
  <c r="AP33" i="1"/>
  <c r="F34" i="44"/>
  <c r="E31" i="49" s="1"/>
  <c r="L2"/>
  <c r="AQ33" i="1"/>
  <c r="G34" i="44"/>
  <c r="AW33" i="1"/>
  <c r="K34" i="44"/>
  <c r="J31" i="49" s="1"/>
  <c r="BA33" i="1"/>
  <c r="BB33"/>
  <c r="AL31" i="49"/>
  <c r="BC33" i="1"/>
  <c r="L34" i="44"/>
  <c r="K31" i="49" s="1"/>
  <c r="BH33" i="1"/>
  <c r="AZ33"/>
  <c r="M34" i="44"/>
  <c r="L31" i="49" s="1"/>
  <c r="AY33" i="1"/>
  <c r="AZ28"/>
  <c r="AN12" i="49"/>
  <c r="AN30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G33" i="44"/>
  <c r="F30" i="49" s="1"/>
  <c r="Q20"/>
  <c r="AA36" i="1"/>
  <c r="I8" i="44"/>
  <c r="H5" i="49" s="1"/>
  <c r="K10" i="44"/>
  <c r="G25"/>
  <c r="F22" i="49" s="1"/>
  <c r="F8" i="44"/>
  <c r="H8"/>
  <c r="G5" i="49" s="1"/>
  <c r="BC7" i="1"/>
  <c r="K9" i="44"/>
  <c r="J6" i="49" s="1"/>
  <c r="L12" i="44"/>
  <c r="K9" i="49" s="1"/>
  <c r="F18" i="44"/>
  <c r="K18"/>
  <c r="J15" i="49" s="1"/>
  <c r="F19" i="44"/>
  <c r="M2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/>
  <c r="L27" i="49" s="1"/>
  <c r="I19" i="44"/>
  <c r="H16" i="49" s="1"/>
  <c r="M9" i="44"/>
  <c r="L6" i="49" s="1"/>
  <c r="I10" i="44"/>
  <c r="L10"/>
  <c r="I12"/>
  <c r="H9" i="49" s="1"/>
  <c r="I23" i="44"/>
  <c r="H20" i="49" s="1"/>
  <c r="F24" i="44"/>
  <c r="K24"/>
  <c r="J21" i="49" s="1"/>
  <c r="G27" i="44"/>
  <c r="F24" i="49" s="1"/>
  <c r="I31" i="44"/>
  <c r="H28" i="49" s="1"/>
  <c r="F31" i="44"/>
  <c r="K32"/>
  <c r="J29" i="49" s="1"/>
  <c r="I32" i="44"/>
  <c r="H29" i="49" s="1"/>
  <c r="M7" i="44"/>
  <c r="L4" i="49" s="1"/>
  <c r="H15" i="44"/>
  <c r="G12" i="49" s="1"/>
  <c r="M14" i="44"/>
  <c r="L11" i="49" s="1"/>
  <c r="L6" i="44"/>
  <c r="F29"/>
  <c r="F30"/>
  <c r="L9"/>
  <c r="K6" i="49" s="1"/>
  <c r="F16" i="44"/>
  <c r="F20"/>
  <c r="G9"/>
  <c r="F6" i="49" s="1"/>
  <c r="H10" i="44"/>
  <c r="H12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/>
  <c r="F9" i="49" s="1"/>
  <c r="L18" i="44"/>
  <c r="K15" i="49" s="1"/>
  <c r="J19" i="44"/>
  <c r="I16" i="49" s="1"/>
  <c r="H22" i="44"/>
  <c r="G19" i="49" s="1"/>
  <c r="G23" i="44"/>
  <c r="F20" i="49" s="1"/>
  <c r="F27" i="44"/>
  <c r="K27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/>
  <c r="J24"/>
  <c r="I21" i="49" s="1"/>
  <c r="M11" i="44"/>
  <c r="L8" i="49" s="1"/>
  <c r="K15" i="44"/>
  <c r="J12" i="49" s="1"/>
  <c r="M8" i="44"/>
  <c r="L5" i="49" s="1"/>
  <c r="M32" i="44"/>
  <c r="L29" i="49" s="1"/>
  <c r="F9" i="44"/>
  <c r="I9"/>
  <c r="H6" i="49" s="1"/>
  <c r="M10" i="44"/>
  <c r="M12"/>
  <c r="L9" i="49" s="1"/>
  <c r="F15" i="44"/>
  <c r="I18"/>
  <c r="H15" i="49" s="1"/>
  <c r="M23" i="44"/>
  <c r="L20" i="49" s="1"/>
  <c r="L24" i="44"/>
  <c r="K21" i="49" s="1"/>
  <c r="L29" i="44"/>
  <c r="L30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/>
  <c r="G21" i="49" s="1"/>
  <c r="L27" i="44"/>
  <c r="K24" i="49" s="1"/>
  <c r="M18" i="44"/>
  <c r="L15" i="49" s="1"/>
  <c r="L8" i="44"/>
  <c r="K5" i="49" s="1"/>
  <c r="F10" i="44"/>
  <c r="F12"/>
  <c r="K12"/>
  <c r="J9" i="49" s="1"/>
  <c r="L16" i="44"/>
  <c r="K13" i="49" s="1"/>
  <c r="L17" i="44"/>
  <c r="K14" i="49" s="1"/>
  <c r="H18" i="44"/>
  <c r="G15" i="49" s="1"/>
  <c r="F23" i="44"/>
  <c r="K23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/>
  <c r="J5"/>
  <c r="H19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/>
  <c r="J13" i="49" s="1"/>
  <c r="K5" i="44"/>
  <c r="F14"/>
  <c r="F25"/>
  <c r="M26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/>
  <c r="G27" i="49" s="1"/>
  <c r="H5" i="44"/>
  <c r="F5"/>
  <c r="I17"/>
  <c r="H14" i="49" s="1"/>
  <c r="K8" i="44"/>
  <c r="J5" i="49" s="1"/>
  <c r="K7" i="44"/>
  <c r="J4" i="49" s="1"/>
  <c r="F7" i="44"/>
  <c r="H11"/>
  <c r="G8" i="49" s="1"/>
  <c r="G16" i="44"/>
  <c r="F13" i="49" s="1"/>
  <c r="K14" i="44"/>
  <c r="J11" i="49" s="1"/>
  <c r="G30" i="44"/>
  <c r="F27" i="49" s="1"/>
  <c r="I29" i="44"/>
  <c r="I5"/>
  <c r="L5"/>
  <c r="J10"/>
  <c r="J12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/>
  <c r="I31" i="49" s="1"/>
  <c r="G32" i="44"/>
  <c r="F29" i="49" s="1"/>
  <c r="G17" i="44"/>
  <c r="F14" i="49" s="1"/>
  <c r="J14" i="44"/>
  <c r="I11" i="49" s="1"/>
  <c r="F6" i="44"/>
  <c r="K30"/>
  <c r="J27" i="49" s="1"/>
  <c r="G29" i="44"/>
  <c r="AD5" i="49"/>
  <c r="AH5"/>
  <c r="AJ6"/>
  <c r="AF6"/>
  <c r="AD7"/>
  <c r="AH7"/>
  <c r="AG4"/>
  <c r="AI5"/>
  <c r="AE5"/>
  <c r="AK6"/>
  <c r="AG6"/>
  <c r="AG7"/>
  <c r="AK7"/>
  <c r="AD4"/>
  <c r="AJ5"/>
  <c r="AF5"/>
  <c r="AD6"/>
  <c r="AH6"/>
  <c r="AF7"/>
  <c r="AJ7"/>
  <c r="AI4"/>
  <c r="AE4"/>
  <c r="AK5"/>
  <c r="AG5"/>
  <c r="AI6"/>
  <c r="AE6"/>
  <c r="AE7"/>
  <c r="AI7"/>
  <c r="AJ4"/>
  <c r="AF4"/>
  <c r="D35" i="1"/>
  <c r="F35"/>
  <c r="F38" s="1"/>
  <c r="AH30" i="45"/>
  <c r="M24" i="49"/>
  <c r="G8" i="1"/>
  <c r="Y30" i="44"/>
  <c r="X27" i="49" s="1"/>
  <c r="Y31" i="44"/>
  <c r="X28" i="49" s="1"/>
  <c r="AV30" i="1"/>
  <c r="Y29" i="44"/>
  <c r="Y17"/>
  <c r="X14" i="49" s="1"/>
  <c r="Y18" i="44"/>
  <c r="X15" i="49" s="1"/>
  <c r="BB17" i="1"/>
  <c r="BB16"/>
  <c r="AV17"/>
  <c r="AV16"/>
  <c r="Y6" i="44"/>
  <c r="AV5" i="1"/>
  <c r="AE15" i="49"/>
  <c r="F21" i="44"/>
  <c r="AD18" i="49"/>
  <c r="T29" i="45"/>
  <c r="AF19" i="49"/>
  <c r="AV22" i="1"/>
  <c r="BA23"/>
  <c r="AD21" i="49"/>
  <c r="BF25" i="1"/>
  <c r="BK23" i="49"/>
  <c r="BA24" i="1"/>
  <c r="AE22" i="49"/>
  <c r="AE11"/>
  <c r="AD11"/>
  <c r="AV20" i="1"/>
  <c r="AD19" i="49"/>
  <c r="AI19"/>
  <c r="BD23" i="1"/>
  <c r="BA25"/>
  <c r="BE25"/>
  <c r="AD30" i="49"/>
  <c r="BF24" i="1"/>
  <c r="AD31" i="49"/>
  <c r="AH19"/>
  <c r="BG23" i="1"/>
  <c r="BD25"/>
  <c r="BI23" i="49"/>
  <c r="AE14"/>
  <c r="AE19"/>
  <c r="BG24" i="1"/>
  <c r="AV6"/>
  <c r="AE31" i="49"/>
  <c r="AD13"/>
  <c r="AD14"/>
  <c r="AE18"/>
  <c r="AG19"/>
  <c r="BF23" i="1"/>
  <c r="AE21" i="49"/>
  <c r="AD22"/>
  <c r="BG25" i="1"/>
  <c r="BL23" i="49"/>
  <c r="AE13"/>
  <c r="AZ19" i="1"/>
  <c r="BJ23" i="49"/>
  <c r="BC23"/>
  <c r="Y23"/>
  <c r="W23"/>
  <c r="V23"/>
  <c r="U23"/>
  <c r="T23"/>
  <c r="S23"/>
  <c r="R23"/>
  <c r="Q23"/>
  <c r="P23"/>
  <c r="O23"/>
  <c r="N23"/>
  <c r="M23"/>
  <c r="Y26" i="44"/>
  <c r="X23" i="49" s="1"/>
  <c r="BC25" i="1"/>
  <c r="BB25"/>
  <c r="AZ25"/>
  <c r="Y25" i="44"/>
  <c r="X22" i="49" s="1"/>
  <c r="BC24" i="1"/>
  <c r="BB24"/>
  <c r="AZ24"/>
  <c r="AV24"/>
  <c r="Y23" i="44"/>
  <c r="X20" i="49" s="1"/>
  <c r="Y24" i="44"/>
  <c r="X21" i="49" s="1"/>
  <c r="BB23" i="1"/>
  <c r="AZ23"/>
  <c r="AV23"/>
  <c r="AK19" i="49"/>
  <c r="Y16" i="44"/>
  <c r="X13" i="49" s="1"/>
  <c r="AK11"/>
  <c r="AJ11"/>
  <c r="AI11"/>
  <c r="AH11"/>
  <c r="AG11"/>
  <c r="AF11"/>
  <c r="BG4" i="1"/>
  <c r="AX4"/>
  <c r="BH4"/>
  <c r="BF4"/>
  <c r="AW4"/>
  <c r="Y5" i="44"/>
  <c r="AY4" i="1"/>
  <c r="AK31" i="49"/>
  <c r="AJ31"/>
  <c r="AI31"/>
  <c r="AH31"/>
  <c r="AG31"/>
  <c r="AF31"/>
  <c r="Y34" i="44"/>
  <c r="X31" i="49" s="1"/>
  <c r="Y33" i="44"/>
  <c r="X30" i="49" s="1"/>
  <c r="AD29"/>
  <c r="BC31" i="1"/>
  <c r="AV29"/>
  <c r="AD28" i="49"/>
  <c r="AH28"/>
  <c r="AG28"/>
  <c r="AK28"/>
  <c r="AF28"/>
  <c r="AJ28"/>
  <c r="AE28"/>
  <c r="AI28"/>
  <c r="AE27"/>
  <c r="AI27"/>
  <c r="AD27"/>
  <c r="AH27"/>
  <c r="AG27"/>
  <c r="AK27"/>
  <c r="AF27"/>
  <c r="AJ27"/>
  <c r="AE26"/>
  <c r="AI26"/>
  <c r="AD26"/>
  <c r="AH26"/>
  <c r="AG26"/>
  <c r="AK26"/>
  <c r="AF26"/>
  <c r="AJ26"/>
  <c r="AG24"/>
  <c r="AK24"/>
  <c r="AF24"/>
  <c r="AJ24"/>
  <c r="AE24"/>
  <c r="AI24"/>
  <c r="AD24"/>
  <c r="AH24"/>
  <c r="AK22"/>
  <c r="AJ22"/>
  <c r="AI22"/>
  <c r="AH22"/>
  <c r="AG22"/>
  <c r="AF22"/>
  <c r="AK21"/>
  <c r="AJ21"/>
  <c r="AI21"/>
  <c r="AH21"/>
  <c r="AG21"/>
  <c r="AF21"/>
  <c r="AE20"/>
  <c r="AK20"/>
  <c r="AJ20"/>
  <c r="AI20"/>
  <c r="AH20"/>
  <c r="AG20"/>
  <c r="AF20"/>
  <c r="AJ19"/>
  <c r="AK18"/>
  <c r="AJ18"/>
  <c r="AI18"/>
  <c r="AH18"/>
  <c r="AG18"/>
  <c r="AF18"/>
  <c r="I17" i="35"/>
  <c r="AJ15" i="49"/>
  <c r="AI15"/>
  <c r="AH15"/>
  <c r="AG15"/>
  <c r="AF15"/>
  <c r="AD15"/>
  <c r="I16" i="35"/>
  <c r="AJ14" i="49"/>
  <c r="AI14"/>
  <c r="AH14"/>
  <c r="AG14"/>
  <c r="AF14"/>
  <c r="AJ13"/>
  <c r="AH13"/>
  <c r="AG13"/>
  <c r="AF13"/>
  <c r="BG32" i="1"/>
  <c r="AF30" i="49"/>
  <c r="AJ30"/>
  <c r="BC30"/>
  <c r="BI30"/>
  <c r="U30"/>
  <c r="Q30"/>
  <c r="AV32" i="1"/>
  <c r="BF32"/>
  <c r="AI30" i="49"/>
  <c r="AQ30"/>
  <c r="BL30"/>
  <c r="V30"/>
  <c r="R30"/>
  <c r="N30"/>
  <c r="D5" i="45"/>
  <c r="BA32" i="1"/>
  <c r="AH30" i="49"/>
  <c r="M30"/>
  <c r="BK30"/>
  <c r="W30"/>
  <c r="S30"/>
  <c r="O30"/>
  <c r="BG36" i="1"/>
  <c r="AG30" i="49"/>
  <c r="AK30"/>
  <c r="BJ30"/>
  <c r="Y30"/>
  <c r="T30"/>
  <c r="P30"/>
  <c r="U13"/>
  <c r="Q13"/>
  <c r="BJ13"/>
  <c r="AT24" i="1"/>
  <c r="AZ15"/>
  <c r="BC15"/>
  <c r="BG15"/>
  <c r="V13" i="49"/>
  <c r="R13"/>
  <c r="N13"/>
  <c r="BK13"/>
  <c r="BD15" i="1"/>
  <c r="BC13" i="49"/>
  <c r="W13"/>
  <c r="S13"/>
  <c r="O13"/>
  <c r="BL13"/>
  <c r="AV15" i="1"/>
  <c r="BI13" i="49"/>
  <c r="Y13"/>
  <c r="T13"/>
  <c r="P13"/>
  <c r="BE15" i="1"/>
  <c r="N12" i="49"/>
  <c r="V12"/>
  <c r="BC12"/>
  <c r="BI12"/>
  <c r="Q12"/>
  <c r="U12"/>
  <c r="BL12"/>
  <c r="P12"/>
  <c r="T12"/>
  <c r="Y12"/>
  <c r="AV14" i="1"/>
  <c r="BJ12" i="49"/>
  <c r="R12"/>
  <c r="BK12"/>
  <c r="O12"/>
  <c r="S12"/>
  <c r="W12"/>
  <c r="T5" i="45"/>
  <c r="AQ19" i="49"/>
  <c r="G5" i="45"/>
  <c r="M5"/>
  <c r="AD5"/>
  <c r="AQ6" i="49"/>
  <c r="BE21" i="1"/>
  <c r="L5" i="45"/>
  <c r="U5"/>
  <c r="X5"/>
  <c r="AC5"/>
  <c r="AY10" i="44"/>
  <c r="K25" i="45"/>
  <c r="AQ15" i="49"/>
  <c r="AY24" i="44"/>
  <c r="AQ13" i="49"/>
  <c r="AE12"/>
  <c r="P5" i="45"/>
  <c r="AD12" i="49"/>
  <c r="K5" i="45"/>
  <c r="O5"/>
  <c r="R5"/>
  <c r="S5"/>
  <c r="V5"/>
  <c r="AB5"/>
  <c r="AE5"/>
  <c r="AQ10" i="49"/>
  <c r="AQ12"/>
  <c r="AV18" i="1"/>
  <c r="AQ16" i="49"/>
  <c r="AQ18"/>
  <c r="BE24" i="1"/>
  <c r="AQ8" i="49"/>
  <c r="H5" i="45"/>
  <c r="I5"/>
  <c r="N5"/>
  <c r="Q5"/>
  <c r="BE6" i="1"/>
  <c r="J5" i="45"/>
  <c r="BF6" i="1"/>
  <c r="BF7"/>
  <c r="AY8" i="44"/>
  <c r="G6" i="45"/>
  <c r="AQ5" i="49"/>
  <c r="F6" i="45"/>
  <c r="AY7" i="44"/>
  <c r="AQ4" i="49"/>
  <c r="AH5" i="45"/>
  <c r="AG5"/>
  <c r="AH25"/>
  <c r="BE32" i="49" s="1"/>
  <c r="AF5" i="45"/>
  <c r="AQ31" i="49"/>
  <c r="AQ29"/>
  <c r="BE31" i="1"/>
  <c r="BE30"/>
  <c r="BE29"/>
  <c r="BB30"/>
  <c r="AQ27" i="49"/>
  <c r="AY29" i="44"/>
  <c r="AQ26" i="49"/>
  <c r="Y5" i="45"/>
  <c r="Z5"/>
  <c r="AQ24" i="49"/>
  <c r="AQ23"/>
  <c r="AQ22"/>
  <c r="AQ21"/>
  <c r="AQ20"/>
  <c r="AQ2"/>
  <c r="D6" i="45"/>
  <c r="AQ3" i="49"/>
  <c r="E5" i="45"/>
  <c r="E6"/>
  <c r="E11" i="35"/>
  <c r="G11" s="1"/>
  <c r="E17"/>
  <c r="G17" s="1"/>
  <c r="E15"/>
  <c r="G15" s="1"/>
  <c r="E16"/>
  <c r="G16" s="1"/>
  <c r="E12"/>
  <c r="G12" s="1"/>
  <c r="E10"/>
  <c r="G10" s="1"/>
  <c r="E13"/>
  <c r="G13" s="1"/>
  <c r="BH31" i="49"/>
  <c r="AD9" i="1"/>
  <c r="I4" i="35"/>
  <c r="AS18" i="1"/>
  <c r="AP7"/>
  <c r="AR7"/>
  <c r="AP8"/>
  <c r="AW8"/>
  <c r="AS9"/>
  <c r="AX9"/>
  <c r="BH9"/>
  <c r="AR11"/>
  <c r="AY12"/>
  <c r="AT12"/>
  <c r="AX12"/>
  <c r="BH12"/>
  <c r="I12" i="35"/>
  <c r="AK10" i="49"/>
  <c r="AU17" i="1"/>
  <c r="AU18"/>
  <c r="AT20"/>
  <c r="AX20"/>
  <c r="BH20"/>
  <c r="AP22"/>
  <c r="AS22"/>
  <c r="AW22"/>
  <c r="AU23"/>
  <c r="AT25"/>
  <c r="AX25"/>
  <c r="BH25"/>
  <c r="AT26"/>
  <c r="AX26"/>
  <c r="BH26"/>
  <c r="AT30"/>
  <c r="AX30"/>
  <c r="BH30"/>
  <c r="AP31"/>
  <c r="AX32"/>
  <c r="AX16"/>
  <c r="AT16"/>
  <c r="AY16"/>
  <c r="AX19"/>
  <c r="AS19"/>
  <c r="BH19"/>
  <c r="AU24"/>
  <c r="AY24"/>
  <c r="AN8" i="44"/>
  <c r="BG5" i="49" s="1"/>
  <c r="I7" i="35"/>
  <c r="AK4" i="49"/>
  <c r="BD6" i="1"/>
  <c r="BH6"/>
  <c r="AX6"/>
  <c r="I10" i="35"/>
  <c r="AK8" i="49"/>
  <c r="BH10" i="1"/>
  <c r="AX10"/>
  <c r="AT10"/>
  <c r="BH13"/>
  <c r="AX14"/>
  <c r="AT14"/>
  <c r="AR15"/>
  <c r="AW13"/>
  <c r="AR5"/>
  <c r="AQ29"/>
  <c r="AU28"/>
  <c r="BI28" s="1"/>
  <c r="AQ28"/>
  <c r="AX7"/>
  <c r="BH7"/>
  <c r="AX8"/>
  <c r="AT8"/>
  <c r="AY8"/>
  <c r="AR9"/>
  <c r="AW9"/>
  <c r="AP12"/>
  <c r="AS12"/>
  <c r="AY17"/>
  <c r="AT17"/>
  <c r="AX17"/>
  <c r="AT18"/>
  <c r="AX18"/>
  <c r="I18" i="35"/>
  <c r="AK16" i="49"/>
  <c r="AP20" i="1"/>
  <c r="AW20"/>
  <c r="AY21"/>
  <c r="AU21"/>
  <c r="AR22"/>
  <c r="AY23"/>
  <c r="AT23"/>
  <c r="AX23"/>
  <c r="BH23"/>
  <c r="AP24"/>
  <c r="AP25"/>
  <c r="AS25"/>
  <c r="AW25"/>
  <c r="AP26"/>
  <c r="AW26"/>
  <c r="AS30"/>
  <c r="AZ30"/>
  <c r="AR31"/>
  <c r="AP32"/>
  <c r="AS32"/>
  <c r="AU16"/>
  <c r="AQ16"/>
  <c r="AU19"/>
  <c r="BI19" s="1"/>
  <c r="AY19"/>
  <c r="AQ24"/>
  <c r="AQ6"/>
  <c r="AU10"/>
  <c r="AQ10"/>
  <c r="AU14"/>
  <c r="AQ14"/>
  <c r="AW15"/>
  <c r="AS15"/>
  <c r="AX13"/>
  <c r="AT13"/>
  <c r="BH5"/>
  <c r="AR29"/>
  <c r="I5" i="35"/>
  <c r="AT7" i="1"/>
  <c r="AU8"/>
  <c r="BI8" s="1"/>
  <c r="AQ9"/>
  <c r="AY11"/>
  <c r="AT11"/>
  <c r="AX11"/>
  <c r="BH11"/>
  <c r="AP17"/>
  <c r="AS17"/>
  <c r="AW17"/>
  <c r="AR18"/>
  <c r="AW18"/>
  <c r="AX21"/>
  <c r="BH21"/>
  <c r="BD21"/>
  <c r="AU22"/>
  <c r="BH22"/>
  <c r="AS23"/>
  <c r="AW23"/>
  <c r="AR25"/>
  <c r="BH28"/>
  <c r="AR30"/>
  <c r="AU31"/>
  <c r="AR32"/>
  <c r="AQ19"/>
  <c r="AW24"/>
  <c r="AR24"/>
  <c r="AQ7"/>
  <c r="AR6"/>
  <c r="AN7" i="44"/>
  <c r="BG4" i="49" s="1"/>
  <c r="AR10" i="1"/>
  <c r="AR14"/>
  <c r="AX15"/>
  <c r="AT15"/>
  <c r="AY15"/>
  <c r="AU13"/>
  <c r="BI13" s="1"/>
  <c r="AQ13"/>
  <c r="AP5"/>
  <c r="AT5"/>
  <c r="AX5"/>
  <c r="AW29"/>
  <c r="AT19"/>
  <c r="AW28"/>
  <c r="AS28"/>
  <c r="BG32" i="49"/>
  <c r="AR8" i="1"/>
  <c r="BH8"/>
  <c r="AT9"/>
  <c r="AS11"/>
  <c r="AW11"/>
  <c r="I11" i="35"/>
  <c r="AK9" i="49"/>
  <c r="AP13" i="1"/>
  <c r="AP15"/>
  <c r="AR17"/>
  <c r="AQ20"/>
  <c r="AU20"/>
  <c r="AR21"/>
  <c r="AW21"/>
  <c r="AT22"/>
  <c r="AX22"/>
  <c r="AQ25"/>
  <c r="AU25"/>
  <c r="AQ26"/>
  <c r="AU26"/>
  <c r="BI26" s="1"/>
  <c r="AP29"/>
  <c r="AQ30"/>
  <c r="AY31"/>
  <c r="AT31"/>
  <c r="AX31"/>
  <c r="BH31"/>
  <c r="AQ32"/>
  <c r="AW16"/>
  <c r="AS16"/>
  <c r="AW19"/>
  <c r="AR19"/>
  <c r="AX24"/>
  <c r="BD24"/>
  <c r="BH24"/>
  <c r="AW7"/>
  <c r="AP6"/>
  <c r="AW10"/>
  <c r="AP10"/>
  <c r="AW14"/>
  <c r="AS14"/>
  <c r="BH14"/>
  <c r="AU15"/>
  <c r="AQ15"/>
  <c r="AX29"/>
  <c r="AT29"/>
  <c r="AY29"/>
  <c r="AX28"/>
  <c r="AT28"/>
  <c r="AW30"/>
  <c r="AW31"/>
  <c r="BH10" i="49"/>
  <c r="H18" i="35"/>
  <c r="AL17" i="49"/>
  <c r="M18"/>
  <c r="M19"/>
  <c r="AL19"/>
  <c r="AL23"/>
  <c r="AL24"/>
  <c r="M16" i="35"/>
  <c r="O16" s="1"/>
  <c r="M14" i="49"/>
  <c r="AL14"/>
  <c r="AL13"/>
  <c r="O15"/>
  <c r="AL30"/>
  <c r="O32"/>
  <c r="P32"/>
  <c r="BG20" i="1"/>
  <c r="BH18" i="49"/>
  <c r="AL21"/>
  <c r="BH22"/>
  <c r="BH26"/>
  <c r="AL27"/>
  <c r="BH28"/>
  <c r="AL9"/>
  <c r="M15" i="35"/>
  <c r="O15" s="1"/>
  <c r="M13" i="49"/>
  <c r="AL8"/>
  <c r="M10" i="35"/>
  <c r="O10" s="1"/>
  <c r="M8" i="49"/>
  <c r="P15"/>
  <c r="H11" i="35"/>
  <c r="BH14" i="49"/>
  <c r="BH17"/>
  <c r="BH19"/>
  <c r="AL20"/>
  <c r="BH20"/>
  <c r="BH23"/>
  <c r="BH24"/>
  <c r="AL26"/>
  <c r="BH30"/>
  <c r="AL7"/>
  <c r="M14" i="35"/>
  <c r="O14" s="1"/>
  <c r="M12" i="49"/>
  <c r="AL12"/>
  <c r="AL32"/>
  <c r="BH32"/>
  <c r="AN5" i="44"/>
  <c r="H12" i="35"/>
  <c r="BH12" i="49"/>
  <c r="AL18"/>
  <c r="BH21"/>
  <c r="BH27"/>
  <c r="AL28"/>
  <c r="BH9"/>
  <c r="O5"/>
  <c r="P5"/>
  <c r="AL6"/>
  <c r="M13" i="35"/>
  <c r="O13" s="1"/>
  <c r="M11" i="49"/>
  <c r="AL22"/>
  <c r="H7" i="35"/>
  <c r="H10"/>
  <c r="M15" i="49"/>
  <c r="BH15"/>
  <c r="BH16"/>
  <c r="AL16"/>
  <c r="AL15"/>
  <c r="Y15"/>
  <c r="W15"/>
  <c r="V15"/>
  <c r="U15"/>
  <c r="T15"/>
  <c r="S15"/>
  <c r="R15"/>
  <c r="Q15"/>
  <c r="M18" i="35"/>
  <c r="N16" i="49"/>
  <c r="M17" i="35"/>
  <c r="N15" i="49"/>
  <c r="L4" i="1"/>
  <c r="G2" i="47" s="1"/>
  <c r="H23" i="44"/>
  <c r="G20" i="49" s="1"/>
  <c r="G8" i="35"/>
  <c r="P36" i="1"/>
  <c r="U30"/>
  <c r="U21"/>
  <c r="U9"/>
  <c r="U8"/>
  <c r="AS4"/>
  <c r="BA36"/>
  <c r="BE36"/>
  <c r="U31"/>
  <c r="U28"/>
  <c r="U7"/>
  <c r="BB32"/>
  <c r="U6"/>
  <c r="AR23"/>
  <c r="E36"/>
  <c r="BC36"/>
  <c r="E18" i="35"/>
  <c r="G18" s="1"/>
  <c r="BB19" i="1"/>
  <c r="Z36"/>
  <c r="T36"/>
  <c r="AS27"/>
  <c r="BF17"/>
  <c r="AY26"/>
  <c r="BG30"/>
  <c r="AD13"/>
  <c r="BB27"/>
  <c r="U26"/>
  <c r="E9" i="35"/>
  <c r="G9" s="1"/>
  <c r="U25" i="1"/>
  <c r="U29"/>
  <c r="U18"/>
  <c r="U14"/>
  <c r="U32"/>
  <c r="BD36"/>
  <c r="D36"/>
  <c r="I36"/>
  <c r="AY28"/>
  <c r="BG29"/>
  <c r="AD16"/>
  <c r="BB15"/>
  <c r="U13"/>
  <c r="AN12"/>
  <c r="AU12"/>
  <c r="M11" i="35"/>
  <c r="O11" s="1"/>
  <c r="BB11" i="1"/>
  <c r="BF10"/>
  <c r="BA14"/>
  <c r="AY30"/>
  <c r="AQ5"/>
  <c r="AY13"/>
  <c r="L17" i="35"/>
  <c r="AP4" i="1"/>
  <c r="AD17"/>
  <c r="AY14"/>
  <c r="AR16"/>
  <c r="AD22"/>
  <c r="AQ18"/>
  <c r="AY20"/>
  <c r="BA13"/>
  <c r="AR13"/>
  <c r="AQ23"/>
  <c r="AR26"/>
  <c r="AP28"/>
  <c r="AU27"/>
  <c r="AQ31"/>
  <c r="AN27"/>
  <c r="BC4"/>
  <c r="U20"/>
  <c r="BA30"/>
  <c r="U12"/>
  <c r="AZ11"/>
  <c r="AW12"/>
  <c r="AP19"/>
  <c r="BH29"/>
  <c r="AD12"/>
  <c r="AS10"/>
  <c r="AU29"/>
  <c r="AU30"/>
  <c r="BF15"/>
  <c r="AP23"/>
  <c r="BE23"/>
  <c r="AS26"/>
  <c r="BC30"/>
  <c r="M12" i="35"/>
  <c r="O12" s="1"/>
  <c r="E5" i="47"/>
  <c r="AY10" i="1"/>
  <c r="AS29"/>
  <c r="AR4"/>
  <c r="BB18"/>
  <c r="AY22"/>
  <c r="U27"/>
  <c r="AD26"/>
  <c r="O8" i="35"/>
  <c r="U10" i="1"/>
  <c r="F36"/>
  <c r="U5"/>
  <c r="AD11"/>
  <c r="U24"/>
  <c r="U15"/>
  <c r="U22"/>
  <c r="AD19"/>
  <c r="M36"/>
  <c r="AC36"/>
  <c r="BA9"/>
  <c r="M9" i="35"/>
  <c r="O9" s="1"/>
  <c r="AP9" i="1"/>
  <c r="AD8"/>
  <c r="AS8"/>
  <c r="AR12"/>
  <c r="S36"/>
  <c r="U17"/>
  <c r="AP11"/>
  <c r="AQ17"/>
  <c r="E14" i="35"/>
  <c r="G14" s="1"/>
  <c r="BH15" i="1"/>
  <c r="AY25"/>
  <c r="BD28"/>
  <c r="BD27"/>
  <c r="Y27"/>
  <c r="BB29"/>
  <c r="AD30"/>
  <c r="BB14"/>
  <c r="AS24"/>
  <c r="AW27"/>
  <c r="AP18"/>
  <c r="L18" i="35"/>
  <c r="U19" i="1"/>
  <c r="AD27"/>
  <c r="AD28"/>
  <c r="AY9"/>
  <c r="BA15"/>
  <c r="K8" i="35"/>
  <c r="U16" i="1"/>
  <c r="H4" i="35"/>
  <c r="AQ11" i="1"/>
  <c r="AP21"/>
  <c r="BB21"/>
  <c r="AR28"/>
  <c r="AU11"/>
  <c r="BI11" s="1"/>
  <c r="AP14"/>
  <c r="AZ18"/>
  <c r="AV25"/>
  <c r="AQ8"/>
  <c r="BC12"/>
  <c r="AR20"/>
  <c r="AQ22"/>
  <c r="AS13"/>
  <c r="AD24"/>
  <c r="U23"/>
  <c r="AU9"/>
  <c r="BI9" s="1"/>
  <c r="AQ12"/>
  <c r="AP16"/>
  <c r="BH16"/>
  <c r="BH17"/>
  <c r="E12" i="47"/>
  <c r="E7" i="35"/>
  <c r="G7" s="1"/>
  <c r="M6"/>
  <c r="O6" s="1"/>
  <c r="BA7" i="1"/>
  <c r="AZ7"/>
  <c r="AU7"/>
  <c r="AS7"/>
  <c r="AY7"/>
  <c r="L7"/>
  <c r="G5" i="47" s="1"/>
  <c r="E6" i="35"/>
  <c r="G6" s="1"/>
  <c r="M7"/>
  <c r="O7" s="1"/>
  <c r="BB6" i="1"/>
  <c r="AZ6"/>
  <c r="AW6"/>
  <c r="AU6"/>
  <c r="AS6"/>
  <c r="AY6"/>
  <c r="L6"/>
  <c r="G4" i="47" s="1"/>
  <c r="E4"/>
  <c r="E5" i="35"/>
  <c r="G5" s="1"/>
  <c r="M5"/>
  <c r="O5" s="1"/>
  <c r="BB5" i="1"/>
  <c r="BA4"/>
  <c r="AW5"/>
  <c r="AU5"/>
  <c r="AS5"/>
  <c r="AY5"/>
  <c r="E3" i="47"/>
  <c r="AZ4" i="1"/>
  <c r="AT4"/>
  <c r="AQ4"/>
  <c r="E4" i="35"/>
  <c r="G4" s="1"/>
  <c r="M4"/>
  <c r="O4" s="1"/>
  <c r="BE4" i="1"/>
  <c r="BD4"/>
  <c r="BB4"/>
  <c r="AV4"/>
  <c r="AU4"/>
  <c r="E2" i="47"/>
  <c r="AD31" i="1"/>
  <c r="BE32"/>
  <c r="BD32"/>
  <c r="BC32"/>
  <c r="BB31"/>
  <c r="BH32"/>
  <c r="AZ32"/>
  <c r="AW32"/>
  <c r="AU32"/>
  <c r="AT32"/>
  <c r="AS31"/>
  <c r="AY32"/>
  <c r="X26" i="49" l="1"/>
  <c r="Y36" i="44"/>
  <c r="Y37"/>
  <c r="K26" i="49"/>
  <c r="L37" i="44"/>
  <c r="L36"/>
  <c r="J26" i="49"/>
  <c r="I26"/>
  <c r="H26"/>
  <c r="G26"/>
  <c r="H37" i="44"/>
  <c r="H36"/>
  <c r="F26" i="49"/>
  <c r="L26"/>
  <c r="M37" i="44"/>
  <c r="M36"/>
  <c r="J30" i="48"/>
  <c r="K7" i="49"/>
  <c r="J7"/>
  <c r="I7"/>
  <c r="H7"/>
  <c r="G7"/>
  <c r="F7"/>
  <c r="L7"/>
  <c r="BB33" i="44"/>
  <c r="BB32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/>
  <c r="E17"/>
  <c r="BB20" i="44"/>
  <c r="E16" i="49"/>
  <c r="BB19" i="44"/>
  <c r="E15" i="49"/>
  <c r="BB18" i="44"/>
  <c r="E14" i="49"/>
  <c r="BB17" i="44"/>
  <c r="BH13" i="49"/>
  <c r="E13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s="1"/>
  <c r="E4" i="49"/>
  <c r="BB6" i="44"/>
  <c r="BC6" s="1"/>
  <c r="AZ9"/>
  <c r="E3" i="49"/>
  <c r="AI3"/>
  <c r="AK3"/>
  <c r="AY6" i="44"/>
  <c r="AH3" i="49"/>
  <c r="J2"/>
  <c r="G3"/>
  <c r="J3"/>
  <c r="X3"/>
  <c r="AF3"/>
  <c r="H3"/>
  <c r="AJ3"/>
  <c r="AE3"/>
  <c r="I3"/>
  <c r="L3"/>
  <c r="K3"/>
  <c r="AL3"/>
  <c r="AG3"/>
  <c r="G2"/>
  <c r="BH8"/>
  <c r="BH7"/>
  <c r="AZ10" i="44"/>
  <c r="E2" i="49"/>
  <c r="F3"/>
  <c r="AZ36" i="1"/>
  <c r="AZ21"/>
  <c r="H33"/>
  <c r="J33" s="1"/>
  <c r="C34" i="44"/>
  <c r="BH6" i="49"/>
  <c r="BH3"/>
  <c r="AZ6" i="44"/>
  <c r="BH5" i="49"/>
  <c r="AZ8" i="44"/>
  <c r="BH4" i="49"/>
  <c r="AZ7" i="44"/>
  <c r="E14" i="47"/>
  <c r="AG27" i="45"/>
  <c r="BF31" i="49" s="1"/>
  <c r="AN33" i="1"/>
  <c r="Y33"/>
  <c r="AR31" i="49"/>
  <c r="BI33" i="1"/>
  <c r="AH31" i="45"/>
  <c r="AE33" i="1"/>
  <c r="AD33"/>
  <c r="AD34"/>
  <c r="Y34"/>
  <c r="AJ33"/>
  <c r="BI34"/>
  <c r="AE34"/>
  <c r="BO34"/>
  <c r="AN18"/>
  <c r="AN23"/>
  <c r="BO33"/>
  <c r="E24" i="45"/>
  <c r="BD3" i="49" s="1"/>
  <c r="F24" i="45"/>
  <c r="BD4" i="49" s="1"/>
  <c r="G24" i="45"/>
  <c r="BD5" i="49" s="1"/>
  <c r="S2"/>
  <c r="BJ2"/>
  <c r="T2"/>
  <c r="AE2"/>
  <c r="AF2"/>
  <c r="B9" i="44"/>
  <c r="K2" i="49"/>
  <c r="Y2"/>
  <c r="AJ2"/>
  <c r="H2"/>
  <c r="V2"/>
  <c r="U2"/>
  <c r="BL2"/>
  <c r="O2"/>
  <c r="P2"/>
  <c r="N2"/>
  <c r="AK2"/>
  <c r="AL2"/>
  <c r="X2"/>
  <c r="AG2"/>
  <c r="W2"/>
  <c r="Q2"/>
  <c r="I2"/>
  <c r="R2"/>
  <c r="BK2"/>
  <c r="M2"/>
  <c r="AQ17"/>
  <c r="AH2"/>
  <c r="AI2"/>
  <c r="F31"/>
  <c r="BG2"/>
  <c r="BI2"/>
  <c r="BH2"/>
  <c r="AD2"/>
  <c r="AK36" i="1"/>
  <c r="D24" i="45"/>
  <c r="BD2" i="49" s="1"/>
  <c r="BC2"/>
  <c r="BC17"/>
  <c r="D25" i="45"/>
  <c r="AR28" i="49"/>
  <c r="AN31" i="1"/>
  <c r="AR17" i="49"/>
  <c r="D27" i="45"/>
  <c r="AP3" i="49"/>
  <c r="AP18"/>
  <c r="BE9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N24" i="1"/>
  <c r="D29" i="45"/>
  <c r="AO2" i="49"/>
  <c r="AM13"/>
  <c r="AP17"/>
  <c r="N29" i="45"/>
  <c r="AO12" i="49"/>
  <c r="N27" i="45"/>
  <c r="BF12" i="49" s="1"/>
  <c r="AR12"/>
  <c r="M29" i="45"/>
  <c r="AO11" i="49"/>
  <c r="AN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N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AZ20" i="1"/>
  <c r="AN11"/>
  <c r="AD23"/>
  <c r="AN9"/>
  <c r="AN19"/>
  <c r="G39" i="44"/>
  <c r="AN22" i="1"/>
  <c r="AN16"/>
  <c r="H9" i="35"/>
  <c r="BI5" i="1"/>
  <c r="I9" i="35"/>
  <c r="AL36" i="1"/>
  <c r="J39" i="44"/>
  <c r="I39"/>
  <c r="I22"/>
  <c r="H19" i="49" s="1"/>
  <c r="G22" i="44"/>
  <c r="F19" i="49" s="1"/>
  <c r="AN30" i="1"/>
  <c r="H39" i="44"/>
  <c r="I21"/>
  <c r="H18" i="49" s="1"/>
  <c r="F39" i="44"/>
  <c r="K39"/>
  <c r="AN29" i="1"/>
  <c r="F22" i="44"/>
  <c r="F37" s="1"/>
  <c r="J23"/>
  <c r="I20" i="49" s="1"/>
  <c r="AN20" i="1"/>
  <c r="AN10"/>
  <c r="AN13"/>
  <c r="J7" i="44"/>
  <c r="I4" i="49" s="1"/>
  <c r="K21" i="44"/>
  <c r="J18" i="49" s="1"/>
  <c r="J21" i="44"/>
  <c r="I18" i="49" s="1"/>
  <c r="S11" i="1"/>
  <c r="U11" s="1"/>
  <c r="AJ21"/>
  <c r="T30" i="45"/>
  <c r="T31" s="1"/>
  <c r="BI14" i="1"/>
  <c r="E6" i="47"/>
  <c r="I6" i="35"/>
  <c r="H6"/>
  <c r="AN7" i="1"/>
  <c r="AG35"/>
  <c r="H5" i="35"/>
  <c r="K5" s="1"/>
  <c r="AJ23" i="1"/>
  <c r="H17" i="35"/>
  <c r="K17" s="1"/>
  <c r="L30" i="45"/>
  <c r="L31" s="1"/>
  <c r="BA35" i="1"/>
  <c r="F37"/>
  <c r="AN25"/>
  <c r="AN8"/>
  <c r="AU35"/>
  <c r="BE35"/>
  <c r="BD35"/>
  <c r="AT35"/>
  <c r="AR35"/>
  <c r="AC35"/>
  <c r="AN14"/>
  <c r="AW35"/>
  <c r="AV35"/>
  <c r="AB35"/>
  <c r="AH35"/>
  <c r="BC35"/>
  <c r="AP35"/>
  <c r="W35"/>
  <c r="V35"/>
  <c r="X35"/>
  <c r="BJ35"/>
  <c r="AO35"/>
  <c r="AX35"/>
  <c r="AY35"/>
  <c r="BH35"/>
  <c r="N4"/>
  <c r="U30" i="45"/>
  <c r="U31" s="1"/>
  <c r="N7" i="1"/>
  <c r="N6"/>
  <c r="N30" i="45"/>
  <c r="I25"/>
  <c r="BE7" i="49" s="1"/>
  <c r="AR36" i="1"/>
  <c r="BI16"/>
  <c r="H30" i="45"/>
  <c r="H31" s="1"/>
  <c r="I13" i="35"/>
  <c r="AN15" i="1"/>
  <c r="AD14"/>
  <c r="BI22"/>
  <c r="AV36"/>
  <c r="AI36"/>
  <c r="Q30" i="45"/>
  <c r="Q31" s="1"/>
  <c r="R30"/>
  <c r="R31" s="1"/>
  <c r="BB36" i="1"/>
  <c r="AK14" i="49"/>
  <c r="AK13"/>
  <c r="Y14" i="1"/>
  <c r="AN5"/>
  <c r="BK4"/>
  <c r="AD21"/>
  <c r="E25" i="45"/>
  <c r="BE3" i="49" s="1"/>
  <c r="E30" i="45"/>
  <c r="E31" s="1"/>
  <c r="W25"/>
  <c r="BE21" i="49" s="1"/>
  <c r="W30" i="45"/>
  <c r="W31" s="1"/>
  <c r="AD20" i="1"/>
  <c r="Z30" i="45"/>
  <c r="Z31" s="1"/>
  <c r="O30"/>
  <c r="P25"/>
  <c r="BE14" i="49" s="1"/>
  <c r="P30" i="45"/>
  <c r="P31" s="1"/>
  <c r="AD23" i="49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O4" i="1"/>
  <c r="BM4"/>
  <c r="D30" i="45"/>
  <c r="G30"/>
  <c r="G31" s="1"/>
  <c r="AE23" i="49"/>
  <c r="F30" i="45"/>
  <c r="F31" s="1"/>
  <c r="AG30"/>
  <c r="AE30"/>
  <c r="AE31" s="1"/>
  <c r="AF30"/>
  <c r="AD30"/>
  <c r="AD31" s="1"/>
  <c r="AC30"/>
  <c r="AC31" s="1"/>
  <c r="AB30"/>
  <c r="AB31" s="1"/>
  <c r="AN26" i="1"/>
  <c r="Y30" i="45"/>
  <c r="AD25" i="1"/>
  <c r="X30" i="45"/>
  <c r="X31" s="1"/>
  <c r="AK23" i="49"/>
  <c r="AJ23"/>
  <c r="AI23"/>
  <c r="AH23"/>
  <c r="AG23"/>
  <c r="AF23"/>
  <c r="BI24" i="1"/>
  <c r="AT5" i="44"/>
  <c r="Y21" i="1"/>
  <c r="X36"/>
  <c r="M25" i="45"/>
  <c r="BE11" i="49" s="1"/>
  <c r="I14" i="35"/>
  <c r="AK12" i="49"/>
  <c r="H13" i="35"/>
  <c r="AH36" i="1"/>
  <c r="AN4"/>
  <c r="Y7"/>
  <c r="BI29"/>
  <c r="AY32" i="44"/>
  <c r="U25" i="45"/>
  <c r="BE19" i="49" s="1"/>
  <c r="Y22" i="1"/>
  <c r="BI21"/>
  <c r="AY22" i="44"/>
  <c r="Y20" i="1"/>
  <c r="AJ17"/>
  <c r="Y18"/>
  <c r="AK15" i="49"/>
  <c r="O25" i="45"/>
  <c r="BE13" i="49" s="1"/>
  <c r="H16" i="35"/>
  <c r="K16" s="1"/>
  <c r="AD15" i="1"/>
  <c r="I15" i="35"/>
  <c r="H15"/>
  <c r="AI13" i="49"/>
  <c r="AY12" i="44"/>
  <c r="AJ8" i="1"/>
  <c r="AY26" i="44"/>
  <c r="AY21"/>
  <c r="R25" i="45"/>
  <c r="BE16" i="49" s="1"/>
  <c r="AG36" i="1"/>
  <c r="AJ26"/>
  <c r="AF25" i="45"/>
  <c r="BE30" i="49" s="1"/>
  <c r="AY33" i="44"/>
  <c r="L5" i="1"/>
  <c r="BI6"/>
  <c r="Y6"/>
  <c r="BI18"/>
  <c r="Y25" i="45"/>
  <c r="BE23" i="49" s="1"/>
  <c r="W36" i="1"/>
  <c r="AJ20"/>
  <c r="Q25" i="45"/>
  <c r="BE15" i="49" s="1"/>
  <c r="Y5" i="1"/>
  <c r="K11" i="35"/>
  <c r="AN6" i="44"/>
  <c r="AY5"/>
  <c r="AJ18" i="1"/>
  <c r="Y17"/>
  <c r="AY18" i="44"/>
  <c r="AY17"/>
  <c r="AJ11" i="1"/>
  <c r="AH12" i="49"/>
  <c r="AJ12"/>
  <c r="AI12"/>
  <c r="AG12"/>
  <c r="AF12"/>
  <c r="Z25" i="45"/>
  <c r="BE24" i="49" s="1"/>
  <c r="AJ15" i="1"/>
  <c r="AY16" i="44"/>
  <c r="N25" i="45"/>
  <c r="BE12" i="49" s="1"/>
  <c r="AJ14" i="1"/>
  <c r="AJ13"/>
  <c r="AJ12"/>
  <c r="Y12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/>
  <c r="AY9"/>
  <c r="E13" i="47"/>
  <c r="H14" i="35"/>
  <c r="Y29" i="1"/>
  <c r="AJ29"/>
  <c r="AG25" i="45"/>
  <c r="BE31" i="49" s="1"/>
  <c r="AY25" i="44"/>
  <c r="AY23"/>
  <c r="AY19"/>
  <c r="Y9" i="1"/>
  <c r="Y15"/>
  <c r="Y10"/>
  <c r="AE25" i="45"/>
  <c r="BE29" i="49" s="1"/>
  <c r="AY20" i="44"/>
  <c r="AJ16" i="1"/>
  <c r="AJ24"/>
  <c r="AJ25"/>
  <c r="AJ10"/>
  <c r="Y8"/>
  <c r="AY13" i="44"/>
  <c r="AY27"/>
  <c r="AY15"/>
  <c r="AY14"/>
  <c r="AJ7" i="1"/>
  <c r="F25" i="45"/>
  <c r="BE4" i="49" s="1"/>
  <c r="G25" i="45"/>
  <c r="BE5" i="49" s="1"/>
  <c r="S4" i="1"/>
  <c r="Y4"/>
  <c r="AY34" i="44"/>
  <c r="AJ31" i="1"/>
  <c r="Y31"/>
  <c r="BO31"/>
  <c r="BP31" s="1"/>
  <c r="BI31"/>
  <c r="BI41" s="1"/>
  <c r="AJ30"/>
  <c r="AY31" i="44"/>
  <c r="AC25" i="45"/>
  <c r="BE27" i="49" s="1"/>
  <c r="AY30" i="44"/>
  <c r="AB25" i="45"/>
  <c r="BE26" i="49" s="1"/>
  <c r="Y28" i="1"/>
  <c r="Y26"/>
  <c r="AE25"/>
  <c r="Y25"/>
  <c r="AE24"/>
  <c r="AF24" s="1"/>
  <c r="Y24"/>
  <c r="Y23"/>
  <c r="AE18"/>
  <c r="AE21"/>
  <c r="BF20"/>
  <c r="Y19"/>
  <c r="AJ5"/>
  <c r="BO24"/>
  <c r="BP24" s="1"/>
  <c r="AU36"/>
  <c r="AE28"/>
  <c r="AF28" s="1"/>
  <c r="BO28"/>
  <c r="BP28" s="1"/>
  <c r="AW36"/>
  <c r="K18" i="35"/>
  <c r="BO21" i="1"/>
  <c r="BO23"/>
  <c r="AJ6"/>
  <c r="AE19"/>
  <c r="AF19" s="1"/>
  <c r="AE15"/>
  <c r="Y30"/>
  <c r="AT36"/>
  <c r="K12" i="35"/>
  <c r="AS36" i="1"/>
  <c r="O17" i="35"/>
  <c r="BO13" i="1"/>
  <c r="BP13" s="1"/>
  <c r="BO14"/>
  <c r="AT7" i="44"/>
  <c r="K7" i="35"/>
  <c r="AE16" i="1"/>
  <c r="AF16" s="1"/>
  <c r="BI32"/>
  <c r="BO26"/>
  <c r="BP26" s="1"/>
  <c r="AE14"/>
  <c r="AE31"/>
  <c r="AF31" s="1"/>
  <c r="BO16"/>
  <c r="BP16" s="1"/>
  <c r="BO22"/>
  <c r="BP22" s="1"/>
  <c r="AE26"/>
  <c r="AF26" s="1"/>
  <c r="AE22"/>
  <c r="AF22" s="1"/>
  <c r="BM32" i="49"/>
  <c r="AE13" i="1"/>
  <c r="AF13" s="1"/>
  <c r="K10" i="35"/>
  <c r="BO10" i="1"/>
  <c r="AE8"/>
  <c r="AF8" s="1"/>
  <c r="BO8"/>
  <c r="BP8" s="1"/>
  <c r="K4" i="35"/>
  <c r="BO18" i="1"/>
  <c r="BO17"/>
  <c r="BP17" s="1"/>
  <c r="BO19"/>
  <c r="BP19" s="1"/>
  <c r="BI4"/>
  <c r="AE7"/>
  <c r="BI7"/>
  <c r="AQ21"/>
  <c r="AQ35" s="1"/>
  <c r="BI25"/>
  <c r="BI10"/>
  <c r="AE27"/>
  <c r="AF27" s="1"/>
  <c r="BI27"/>
  <c r="AE12"/>
  <c r="AF12" s="1"/>
  <c r="BI12"/>
  <c r="AS21"/>
  <c r="BI23"/>
  <c r="BI17"/>
  <c r="AS20"/>
  <c r="BI15"/>
  <c r="AE30"/>
  <c r="AF30" s="1"/>
  <c r="BI30"/>
  <c r="O4"/>
  <c r="I2" i="47" s="1"/>
  <c r="O18" i="35"/>
  <c r="BB22" i="1"/>
  <c r="BM14"/>
  <c r="BM6"/>
  <c r="BM5"/>
  <c r="BL5"/>
  <c r="BK5"/>
  <c r="BL4"/>
  <c r="BK14"/>
  <c r="BL14"/>
  <c r="BK7"/>
  <c r="BL7"/>
  <c r="BK6"/>
  <c r="BL6"/>
  <c r="BM7"/>
  <c r="Y13"/>
  <c r="BO7"/>
  <c r="O6"/>
  <c r="I4" i="47" s="1"/>
  <c r="AJ4" i="1"/>
  <c r="BO27"/>
  <c r="BP27" s="1"/>
  <c r="Y16"/>
  <c r="BO30"/>
  <c r="BP30" s="1"/>
  <c r="Y11"/>
  <c r="AB36"/>
  <c r="AQ36"/>
  <c r="BF36"/>
  <c r="AJ28"/>
  <c r="U36"/>
  <c r="AE17"/>
  <c r="AF17" s="1"/>
  <c r="BO15"/>
  <c r="BO12"/>
  <c r="BP12" s="1"/>
  <c r="AD10"/>
  <c r="AE10"/>
  <c r="V36"/>
  <c r="AE29"/>
  <c r="AF29" s="1"/>
  <c r="BO29"/>
  <c r="BP29" s="1"/>
  <c r="AE23"/>
  <c r="AJ27"/>
  <c r="K7"/>
  <c r="AP36"/>
  <c r="AE11"/>
  <c r="AF11" s="1"/>
  <c r="BO11"/>
  <c r="BP11" s="1"/>
  <c r="K14"/>
  <c r="K16"/>
  <c r="O7"/>
  <c r="I5" i="47" s="1"/>
  <c r="O5" i="1"/>
  <c r="I3" i="47" s="1"/>
  <c r="AD18" i="1"/>
  <c r="AD36" s="1"/>
  <c r="AE9"/>
  <c r="AF9" s="1"/>
  <c r="BO9"/>
  <c r="BP9" s="1"/>
  <c r="BO25"/>
  <c r="AD7"/>
  <c r="AD6"/>
  <c r="BO6"/>
  <c r="AE6"/>
  <c r="K6"/>
  <c r="AD5"/>
  <c r="AE5"/>
  <c r="BO5"/>
  <c r="K5"/>
  <c r="AD4"/>
  <c r="AE4"/>
  <c r="K4"/>
  <c r="AN32"/>
  <c r="AD32"/>
  <c r="Y32"/>
  <c r="AJ32"/>
  <c r="AE32"/>
  <c r="BO32"/>
  <c r="BM5" i="49" l="1"/>
  <c r="BA8" i="44"/>
  <c r="BA5"/>
  <c r="BM4" i="49"/>
  <c r="BA7" i="44"/>
  <c r="AY37"/>
  <c r="I36"/>
  <c r="J37"/>
  <c r="J36"/>
  <c r="F36"/>
  <c r="K37"/>
  <c r="K36"/>
  <c r="AY36"/>
  <c r="AZ36"/>
  <c r="AZ37"/>
  <c r="I37"/>
  <c r="BB34"/>
  <c r="J31" i="48"/>
  <c r="BB23" i="44"/>
  <c r="E19" i="49"/>
  <c r="BB22" i="44"/>
  <c r="BB21"/>
  <c r="BC9"/>
  <c r="BB7"/>
  <c r="BC7" s="1"/>
  <c r="AA35" i="1"/>
  <c r="BG3" i="49"/>
  <c r="H6" i="45"/>
  <c r="H24" s="1"/>
  <c r="BD6" i="49" s="1"/>
  <c r="AZ35" i="1"/>
  <c r="BP4"/>
  <c r="H34"/>
  <c r="C35" i="44"/>
  <c r="C36" s="1"/>
  <c r="G9" i="1"/>
  <c r="BM16"/>
  <c r="BL16"/>
  <c r="BK16"/>
  <c r="D9" i="44"/>
  <c r="AN9"/>
  <c r="L8" i="1"/>
  <c r="B10" i="44"/>
  <c r="BP33" i="1"/>
  <c r="AF33"/>
  <c r="Z35"/>
  <c r="AF34"/>
  <c r="BP34"/>
  <c r="O31" i="45"/>
  <c r="AN36" i="1"/>
  <c r="K8"/>
  <c r="Y31" i="45"/>
  <c r="BL8" i="1"/>
  <c r="BK8"/>
  <c r="N31" i="45"/>
  <c r="BM8" i="1"/>
  <c r="BP23"/>
  <c r="AG31" i="45"/>
  <c r="BM2" i="49"/>
  <c r="AF31" i="45"/>
  <c r="D31"/>
  <c r="BF17" i="49"/>
  <c r="BF2"/>
  <c r="BE17"/>
  <c r="BE2"/>
  <c r="M31" i="45"/>
  <c r="G3" i="47"/>
  <c r="K9" i="35"/>
  <c r="K13"/>
  <c r="AF23" i="1"/>
  <c r="AK35"/>
  <c r="AT6" i="44"/>
  <c r="BA6" s="1"/>
  <c r="AN21" i="1"/>
  <c r="AN35" s="1"/>
  <c r="AI35"/>
  <c r="K6" i="35"/>
  <c r="AJ19" i="1"/>
  <c r="AJ35" s="1"/>
  <c r="AF14"/>
  <c r="BP14"/>
  <c r="U4"/>
  <c r="U35" s="1"/>
  <c r="S35"/>
  <c r="AL35"/>
  <c r="BB35"/>
  <c r="BQ4"/>
  <c r="AD35"/>
  <c r="BF35"/>
  <c r="AS35"/>
  <c r="Y35"/>
  <c r="R7"/>
  <c r="M5" i="47"/>
  <c r="R6" i="1"/>
  <c r="M4" i="47"/>
  <c r="R5" i="1"/>
  <c r="R4"/>
  <c r="M2" i="47"/>
  <c r="N5" i="1"/>
  <c r="BK15"/>
  <c r="AF21"/>
  <c r="BP21"/>
  <c r="Y36"/>
  <c r="AJ36"/>
  <c r="K14" i="35"/>
  <c r="BP5" i="1"/>
  <c r="BP32"/>
  <c r="BP25"/>
  <c r="AF25"/>
  <c r="BP18"/>
  <c r="BP15"/>
  <c r="AF15"/>
  <c r="BP10"/>
  <c r="BP6"/>
  <c r="BP7"/>
  <c r="K15"/>
  <c r="K15" i="35"/>
  <c r="Q4" i="1"/>
  <c r="AE20"/>
  <c r="AF20" s="1"/>
  <c r="BL15"/>
  <c r="BM15"/>
  <c r="BO20"/>
  <c r="BP20" s="1"/>
  <c r="BI20"/>
  <c r="BI35" s="1"/>
  <c r="BO36"/>
  <c r="AF7"/>
  <c r="Q6"/>
  <c r="BN6" s="1"/>
  <c r="AE36"/>
  <c r="AF18"/>
  <c r="AF36" s="1"/>
  <c r="AF10"/>
  <c r="Q5"/>
  <c r="Q7"/>
  <c r="BN7" s="1"/>
  <c r="AF6"/>
  <c r="AF5"/>
  <c r="AF4"/>
  <c r="AF32"/>
  <c r="C37" i="44" l="1"/>
  <c r="BC10"/>
  <c r="BB35"/>
  <c r="J32" i="48"/>
  <c r="BM3" i="49"/>
  <c r="I6" i="45"/>
  <c r="I24" s="1"/>
  <c r="BD7" i="49" s="1"/>
  <c r="E10" i="44"/>
  <c r="J6" i="45"/>
  <c r="J24" s="1"/>
  <c r="BD8" i="49" s="1"/>
  <c r="E9" i="44"/>
  <c r="O8" i="1"/>
  <c r="I6" i="47" s="1"/>
  <c r="J34" i="1"/>
  <c r="K34"/>
  <c r="E32" i="47"/>
  <c r="BM34" i="1"/>
  <c r="BK34"/>
  <c r="BL34"/>
  <c r="G10"/>
  <c r="B11" i="44"/>
  <c r="BC11" s="1"/>
  <c r="K10" i="1"/>
  <c r="G6" i="47"/>
  <c r="N8" i="1"/>
  <c r="BG6" i="49"/>
  <c r="AT9" i="44"/>
  <c r="E7" i="47"/>
  <c r="K9" i="1"/>
  <c r="BM9"/>
  <c r="BL9"/>
  <c r="BK9"/>
  <c r="D11" i="44"/>
  <c r="AN11"/>
  <c r="L10" i="1"/>
  <c r="D10" i="44"/>
  <c r="AN10"/>
  <c r="L9" i="1"/>
  <c r="BN5"/>
  <c r="AF35"/>
  <c r="AE35"/>
  <c r="BN4"/>
  <c r="M3" i="47"/>
  <c r="BM6" i="49" l="1"/>
  <c r="BA9" i="44"/>
  <c r="O9" i="1"/>
  <c r="M6" i="47"/>
  <c r="Q8" i="1"/>
  <c r="BN8" s="1"/>
  <c r="R8"/>
  <c r="E11" i="44"/>
  <c r="O10" i="1"/>
  <c r="I8" i="47" s="1"/>
  <c r="B12" i="44"/>
  <c r="G11" i="1"/>
  <c r="K17"/>
  <c r="BK10"/>
  <c r="BM10"/>
  <c r="BL10"/>
  <c r="E8" i="47"/>
  <c r="BG7" i="49"/>
  <c r="AT10" i="44"/>
  <c r="BA10" s="1"/>
  <c r="BG8" i="49"/>
  <c r="AT11" i="44"/>
  <c r="G7" i="47"/>
  <c r="N9" i="1"/>
  <c r="G8" i="47"/>
  <c r="N10" i="1"/>
  <c r="E9" i="47"/>
  <c r="K11" i="1"/>
  <c r="BK11"/>
  <c r="BM11"/>
  <c r="BL11"/>
  <c r="G12"/>
  <c r="BM8" i="49" l="1"/>
  <c r="BA11" i="44"/>
  <c r="BC12"/>
  <c r="Q9" i="1"/>
  <c r="BN9" s="1"/>
  <c r="I7" i="47"/>
  <c r="M7" s="1"/>
  <c r="R9" i="1"/>
  <c r="G13"/>
  <c r="M8" i="47"/>
  <c r="R10" i="1"/>
  <c r="Q10"/>
  <c r="BN10" s="1"/>
  <c r="K6" i="45"/>
  <c r="K24" s="1"/>
  <c r="BD9" i="49" s="1"/>
  <c r="L6" i="45"/>
  <c r="L24" s="1"/>
  <c r="BD10" i="49" s="1"/>
  <c r="B15" i="44"/>
  <c r="BC15" s="1"/>
  <c r="G14" i="1"/>
  <c r="J36"/>
  <c r="BK17"/>
  <c r="BL17"/>
  <c r="BM17"/>
  <c r="E15" i="47"/>
  <c r="AN13" i="44"/>
  <c r="L11" i="1"/>
  <c r="N11" s="1"/>
  <c r="AN12" i="44"/>
  <c r="D12"/>
  <c r="BM7" i="49"/>
  <c r="B13" i="44"/>
  <c r="BC13" l="1"/>
  <c r="AT12"/>
  <c r="BA12" s="1"/>
  <c r="B14"/>
  <c r="BC14" s="1"/>
  <c r="E12"/>
  <c r="O11" i="1"/>
  <c r="I9" i="47" s="1"/>
  <c r="E13" i="44"/>
  <c r="O12" i="1"/>
  <c r="I10" i="47" s="1"/>
  <c r="L12" i="1"/>
  <c r="N12" s="1"/>
  <c r="D13" i="44"/>
  <c r="G9" i="47"/>
  <c r="BG9" i="49"/>
  <c r="BG10"/>
  <c r="AT13" i="44"/>
  <c r="E11" i="47"/>
  <c r="BL13" i="1"/>
  <c r="K13"/>
  <c r="BM13"/>
  <c r="BK13"/>
  <c r="E16" i="47"/>
  <c r="BL18" i="1"/>
  <c r="BL36" s="1"/>
  <c r="BM18"/>
  <c r="K18"/>
  <c r="K36" s="1"/>
  <c r="BK18"/>
  <c r="BK36" s="1"/>
  <c r="H36"/>
  <c r="E10" i="47"/>
  <c r="BK12" i="1"/>
  <c r="K12"/>
  <c r="BL12"/>
  <c r="BM12"/>
  <c r="E17" i="47"/>
  <c r="BL19" i="1"/>
  <c r="BK19"/>
  <c r="K19"/>
  <c r="BM19"/>
  <c r="BM10" i="49" l="1"/>
  <c r="BA13" i="44"/>
  <c r="BM9" i="49"/>
  <c r="O13" i="1"/>
  <c r="I11" i="47" s="1"/>
  <c r="M6" i="45"/>
  <c r="M24" s="1"/>
  <c r="BD11" i="49" s="1"/>
  <c r="G16" i="1"/>
  <c r="M9" i="47"/>
  <c r="R11" i="1"/>
  <c r="Q11"/>
  <c r="R12"/>
  <c r="Q12"/>
  <c r="BN12" s="1"/>
  <c r="G15"/>
  <c r="B16" i="44"/>
  <c r="BC16" s="1"/>
  <c r="G10" i="47"/>
  <c r="D14" i="44"/>
  <c r="AN14"/>
  <c r="L13" i="1"/>
  <c r="N13" s="1"/>
  <c r="D15" i="44"/>
  <c r="E18" i="47"/>
  <c r="K20" i="1"/>
  <c r="BM20"/>
  <c r="BL20"/>
  <c r="BK20"/>
  <c r="BG11" i="49" l="1"/>
  <c r="N6" i="45"/>
  <c r="N24" s="1"/>
  <c r="BD12" i="49" s="1"/>
  <c r="E14" i="44"/>
  <c r="E15"/>
  <c r="B17"/>
  <c r="BC17" s="1"/>
  <c r="M10" i="47"/>
  <c r="Q13" i="1"/>
  <c r="BN13" s="1"/>
  <c r="R13"/>
  <c r="BN11"/>
  <c r="D16" i="44"/>
  <c r="B18"/>
  <c r="BC18" s="1"/>
  <c r="G17" i="1"/>
  <c r="AT14" i="44"/>
  <c r="BA14" s="1"/>
  <c r="G11" i="47"/>
  <c r="AN15" i="44"/>
  <c r="AT15" s="1"/>
  <c r="L14" i="1"/>
  <c r="G12" i="47" s="1"/>
  <c r="E19"/>
  <c r="BM21" i="1"/>
  <c r="K21"/>
  <c r="BL21"/>
  <c r="BK21"/>
  <c r="BM12" i="49" l="1"/>
  <c r="BA15" i="44"/>
  <c r="BM11" i="49"/>
  <c r="O14" i="1"/>
  <c r="M11" i="47"/>
  <c r="O6" i="45"/>
  <c r="O24" s="1"/>
  <c r="BD13" i="49" s="1"/>
  <c r="O15" i="1"/>
  <c r="I13" i="47" s="1"/>
  <c r="P6" i="45"/>
  <c r="P24" s="1"/>
  <c r="BD14" i="49" s="1"/>
  <c r="L15" i="1"/>
  <c r="AN16" i="44"/>
  <c r="G18" i="1"/>
  <c r="B19" i="44"/>
  <c r="BC19" s="1"/>
  <c r="D17"/>
  <c r="L16" i="1"/>
  <c r="AN17" i="44"/>
  <c r="N14" i="1"/>
  <c r="BG12" i="49"/>
  <c r="E20" i="47"/>
  <c r="K22" i="1"/>
  <c r="BL22"/>
  <c r="BK22"/>
  <c r="BM22"/>
  <c r="I12" i="47" l="1"/>
  <c r="M12" s="1"/>
  <c r="Q14" i="1"/>
  <c r="BN14" s="1"/>
  <c r="R14"/>
  <c r="E16" i="44"/>
  <c r="O16" i="1"/>
  <c r="I14" i="47" s="1"/>
  <c r="Q6" i="45"/>
  <c r="Q24" s="1"/>
  <c r="BD15" i="49" s="1"/>
  <c r="Q15" i="1"/>
  <c r="R15"/>
  <c r="N15"/>
  <c r="G13" i="47"/>
  <c r="BG13" i="49"/>
  <c r="AT16" i="44"/>
  <c r="BA16" s="1"/>
  <c r="G19" i="1"/>
  <c r="B20" i="44"/>
  <c r="BC20" s="1"/>
  <c r="G14" i="47"/>
  <c r="N16" i="1"/>
  <c r="BG14" i="49"/>
  <c r="AT17" i="44"/>
  <c r="BA17" s="1"/>
  <c r="AN18"/>
  <c r="L17" i="1"/>
  <c r="D18" i="44"/>
  <c r="BM13" i="49" l="1"/>
  <c r="BN15" i="1"/>
  <c r="E17" i="44"/>
  <c r="O17" i="1"/>
  <c r="I15" i="47" s="1"/>
  <c r="M13"/>
  <c r="M14"/>
  <c r="Q16" i="1"/>
  <c r="BN16" s="1"/>
  <c r="R16"/>
  <c r="BM14" i="49"/>
  <c r="AT18" i="44"/>
  <c r="BA18" s="1"/>
  <c r="BG15" i="49"/>
  <c r="N17" i="1"/>
  <c r="G15" i="47"/>
  <c r="E22"/>
  <c r="E21"/>
  <c r="BL23" i="1"/>
  <c r="K23"/>
  <c r="BK23"/>
  <c r="BM23"/>
  <c r="E18" i="44" l="1"/>
  <c r="G20" i="1"/>
  <c r="B21" i="44"/>
  <c r="M15" i="47"/>
  <c r="Q17" i="1"/>
  <c r="BN17" s="1"/>
  <c r="R17"/>
  <c r="R6" i="45"/>
  <c r="R24" s="1"/>
  <c r="BD16" i="49" s="1"/>
  <c r="D19" i="44"/>
  <c r="AN19"/>
  <c r="AT19" s="1"/>
  <c r="BA19" s="1"/>
  <c r="G21" i="1"/>
  <c r="B22" i="44"/>
  <c r="BC22" s="1"/>
  <c r="L18" i="1"/>
  <c r="G16" i="47" s="1"/>
  <c r="BM15" i="49"/>
  <c r="AN20" i="44"/>
  <c r="L19" i="1"/>
  <c r="D20" i="44"/>
  <c r="K24" i="1"/>
  <c r="BM24"/>
  <c r="BK24"/>
  <c r="BL24"/>
  <c r="E23" i="47"/>
  <c r="BM25" i="1"/>
  <c r="BK25"/>
  <c r="BL25"/>
  <c r="K25"/>
  <c r="BC21" i="44" l="1"/>
  <c r="BG16" i="49"/>
  <c r="S6" i="45"/>
  <c r="S24" s="1"/>
  <c r="BD17" i="49" s="1"/>
  <c r="O18" i="1"/>
  <c r="I16" i="47" s="1"/>
  <c r="E19" i="44"/>
  <c r="G22" i="1"/>
  <c r="B23" i="44"/>
  <c r="BC23" s="1"/>
  <c r="N18" i="1"/>
  <c r="L36"/>
  <c r="AT20" i="44"/>
  <c r="BA20" s="1"/>
  <c r="BG17" i="49"/>
  <c r="N19" i="1"/>
  <c r="G17" i="47"/>
  <c r="BM16" i="49"/>
  <c r="E24" i="47"/>
  <c r="K26" i="1"/>
  <c r="BM26"/>
  <c r="BL26"/>
  <c r="BK26"/>
  <c r="O20" l="1"/>
  <c r="I18" i="47" s="1"/>
  <c r="T6" i="45"/>
  <c r="T24" s="1"/>
  <c r="BD18" i="49" s="1"/>
  <c r="U6" i="45"/>
  <c r="U24" s="1"/>
  <c r="BD19" i="49" s="1"/>
  <c r="M16" i="47"/>
  <c r="R18" i="1"/>
  <c r="R36" s="1"/>
  <c r="O36"/>
  <c r="Q18"/>
  <c r="Q36" s="1"/>
  <c r="E20" i="44"/>
  <c r="O19" i="1"/>
  <c r="I17" i="47" s="1"/>
  <c r="N36" i="1"/>
  <c r="G23"/>
  <c r="B24" i="44"/>
  <c r="BC24" s="1"/>
  <c r="BM17" i="49"/>
  <c r="D21" i="44"/>
  <c r="AN21"/>
  <c r="L20" i="1"/>
  <c r="E25" i="47"/>
  <c r="E21" i="44" l="1"/>
  <c r="O21" i="1"/>
  <c r="I19" i="47" s="1"/>
  <c r="M17"/>
  <c r="R19" i="1"/>
  <c r="Q19"/>
  <c r="BN19" s="1"/>
  <c r="R20"/>
  <c r="Q20"/>
  <c r="BN18"/>
  <c r="BN36" s="1"/>
  <c r="G24"/>
  <c r="B25" i="44"/>
  <c r="BC25" s="1"/>
  <c r="D22"/>
  <c r="L21" i="1"/>
  <c r="AN22" i="44"/>
  <c r="BG18" i="49"/>
  <c r="AT21" i="44"/>
  <c r="BA21" s="1"/>
  <c r="N20" i="1"/>
  <c r="G18" i="47"/>
  <c r="BK27" i="1"/>
  <c r="BM27"/>
  <c r="K27"/>
  <c r="BL27"/>
  <c r="E26" i="47"/>
  <c r="BM28" i="1"/>
  <c r="BK28"/>
  <c r="BL28"/>
  <c r="K28"/>
  <c r="E22" i="44" l="1"/>
  <c r="Q21" i="1"/>
  <c r="R21"/>
  <c r="V6" i="45"/>
  <c r="V24" s="1"/>
  <c r="BD20" i="49" s="1"/>
  <c r="BN20" i="1"/>
  <c r="M18" i="47"/>
  <c r="G25" i="1"/>
  <c r="B26" i="44"/>
  <c r="BC26" s="1"/>
  <c r="L22" i="1"/>
  <c r="AN23" i="44"/>
  <c r="D23"/>
  <c r="BM18" i="49"/>
  <c r="N21" i="1"/>
  <c r="G19" i="47"/>
  <c r="BG19" i="49"/>
  <c r="AT22" i="44"/>
  <c r="BA22" s="1"/>
  <c r="E27" i="47"/>
  <c r="BK29" i="1"/>
  <c r="BL29"/>
  <c r="BM29"/>
  <c r="K29"/>
  <c r="O23" l="1"/>
  <c r="I21" i="47" s="1"/>
  <c r="BN21" i="1"/>
  <c r="M19" i="47"/>
  <c r="W6" i="45"/>
  <c r="W24" s="1"/>
  <c r="BD21" i="49" s="1"/>
  <c r="E23" i="44"/>
  <c r="O22" i="1"/>
  <c r="I20" i="47" s="1"/>
  <c r="G26" i="1"/>
  <c r="B27" i="44"/>
  <c r="BC27" s="1"/>
  <c r="N22" i="1"/>
  <c r="G20" i="47"/>
  <c r="AN24" i="44"/>
  <c r="D24"/>
  <c r="L23" i="1"/>
  <c r="AT23" i="44"/>
  <c r="BA23" s="1"/>
  <c r="BG20" i="49"/>
  <c r="BM19"/>
  <c r="E28" i="47"/>
  <c r="BL30" i="1"/>
  <c r="K30"/>
  <c r="BM30"/>
  <c r="BK30"/>
  <c r="E24" i="44" l="1"/>
  <c r="X6" i="45"/>
  <c r="X24" s="1"/>
  <c r="BD22" i="49" s="1"/>
  <c r="O24" i="1"/>
  <c r="I22" i="47" s="1"/>
  <c r="Q23" i="1"/>
  <c r="R23"/>
  <c r="M20" i="47"/>
  <c r="Q22" i="1"/>
  <c r="BN22" s="1"/>
  <c r="R22"/>
  <c r="B28" i="44"/>
  <c r="BC28" s="1"/>
  <c r="G27" i="1"/>
  <c r="AT24" i="44"/>
  <c r="BA24" s="1"/>
  <c r="BG21" i="49"/>
  <c r="BM20"/>
  <c r="N23" i="1"/>
  <c r="G21" i="47"/>
  <c r="L24" i="1"/>
  <c r="D25" i="44"/>
  <c r="AN25"/>
  <c r="BK31" i="1"/>
  <c r="E29" i="47"/>
  <c r="Y6" i="45" l="1"/>
  <c r="Y24" s="1"/>
  <c r="BD23" i="49" s="1"/>
  <c r="E25" i="44"/>
  <c r="BN23" i="1"/>
  <c r="Z6" i="45"/>
  <c r="Z24" s="1"/>
  <c r="BD24" i="49" s="1"/>
  <c r="Q24" i="1"/>
  <c r="R24"/>
  <c r="M21" i="47"/>
  <c r="E26" i="44"/>
  <c r="O25" i="1"/>
  <c r="I23" i="47" s="1"/>
  <c r="G28" i="1"/>
  <c r="B29" i="44"/>
  <c r="BC29" s="1"/>
  <c r="N24" i="1"/>
  <c r="G22" i="47"/>
  <c r="BM21" i="49"/>
  <c r="BG22"/>
  <c r="AT25" i="44"/>
  <c r="BA25" s="1"/>
  <c r="L25" i="1"/>
  <c r="D26" i="44"/>
  <c r="AN26"/>
  <c r="K31" i="1"/>
  <c r="BM31"/>
  <c r="BL31"/>
  <c r="E30" i="47"/>
  <c r="BL32" i="1"/>
  <c r="BK32"/>
  <c r="BM32"/>
  <c r="K32"/>
  <c r="BN24" l="1"/>
  <c r="AA6" i="45"/>
  <c r="E27" i="44"/>
  <c r="O26" i="1"/>
  <c r="I24" i="47" s="1"/>
  <c r="R25" i="1"/>
  <c r="Q25"/>
  <c r="M22" i="47"/>
  <c r="B30" i="44"/>
  <c r="BC30" s="1"/>
  <c r="G29" i="1"/>
  <c r="AN27" i="44"/>
  <c r="D27"/>
  <c r="L26" i="1"/>
  <c r="N25"/>
  <c r="G23" i="47"/>
  <c r="AT26" i="44"/>
  <c r="BA26" s="1"/>
  <c r="BG23" i="49"/>
  <c r="BM22"/>
  <c r="AA24" i="45" l="1"/>
  <c r="BD25" i="49" s="1"/>
  <c r="BN25" i="1"/>
  <c r="M23" i="47"/>
  <c r="E28" i="44"/>
  <c r="O27" i="1"/>
  <c r="I25" i="47" s="1"/>
  <c r="R26" i="1"/>
  <c r="Q26"/>
  <c r="B31" i="44"/>
  <c r="BC31" s="1"/>
  <c r="G30" i="1"/>
  <c r="BM23" i="49"/>
  <c r="BG24"/>
  <c r="AT27" i="44"/>
  <c r="BA27" s="1"/>
  <c r="N26" i="1"/>
  <c r="G24" i="47"/>
  <c r="L27" i="1"/>
  <c r="AN28" i="44"/>
  <c r="D28"/>
  <c r="O28" i="1" l="1"/>
  <c r="I26" i="47" s="1"/>
  <c r="AB6" i="45"/>
  <c r="AB24" s="1"/>
  <c r="BD26" i="49" s="1"/>
  <c r="BN26" i="1"/>
  <c r="M24" i="47"/>
  <c r="R27" i="1"/>
  <c r="Q27"/>
  <c r="B32" i="44"/>
  <c r="BC32" s="1"/>
  <c r="G31" i="1"/>
  <c r="AN29" i="44"/>
  <c r="L28" i="1"/>
  <c r="D29" i="44"/>
  <c r="N27" i="1"/>
  <c r="G25" i="47"/>
  <c r="BM24" i="49"/>
  <c r="BG25"/>
  <c r="AT28" i="44"/>
  <c r="BA28" s="1"/>
  <c r="AC6" i="45" l="1"/>
  <c r="AC24" s="1"/>
  <c r="BD27" i="49" s="1"/>
  <c r="M25" i="47"/>
  <c r="E29" i="44"/>
  <c r="Q28" i="1"/>
  <c r="R28"/>
  <c r="E30" i="44"/>
  <c r="O29" i="1"/>
  <c r="I27" i="47" s="1"/>
  <c r="G32" i="1"/>
  <c r="B33" i="44"/>
  <c r="BC33" s="1"/>
  <c r="AT29"/>
  <c r="BA29" s="1"/>
  <c r="BG26" i="49"/>
  <c r="G26" i="47"/>
  <c r="N28" i="1"/>
  <c r="BM25" i="49"/>
  <c r="BN27" i="1"/>
  <c r="AN30" i="44"/>
  <c r="L29" i="1"/>
  <c r="D30" i="44"/>
  <c r="E31" l="1"/>
  <c r="AD6" i="45"/>
  <c r="AD24" s="1"/>
  <c r="BD28" i="49" s="1"/>
  <c r="BN28" i="1"/>
  <c r="M26" i="47"/>
  <c r="R29" i="1"/>
  <c r="Q29"/>
  <c r="AN31" i="44"/>
  <c r="L30" i="1"/>
  <c r="D31" i="44"/>
  <c r="BG27" i="49"/>
  <c r="AT30" i="44"/>
  <c r="BA30" s="1"/>
  <c r="N29" i="1"/>
  <c r="G27" i="47"/>
  <c r="BM26" i="49"/>
  <c r="O30" i="1" l="1"/>
  <c r="M27" i="47"/>
  <c r="E32" i="44"/>
  <c r="AE6" i="45"/>
  <c r="AE24" s="1"/>
  <c r="BD29" i="49" s="1"/>
  <c r="AF6" i="45"/>
  <c r="AF24" s="1"/>
  <c r="BD30" i="49" s="1"/>
  <c r="G34" i="1"/>
  <c r="B35" i="44"/>
  <c r="BM27" i="49"/>
  <c r="AT31" i="44"/>
  <c r="BA31" s="1"/>
  <c r="BG28" i="49"/>
  <c r="BN29" i="1"/>
  <c r="N30"/>
  <c r="G28" i="47"/>
  <c r="D32" i="44"/>
  <c r="L31" i="1"/>
  <c r="AN32" i="44"/>
  <c r="BC35" l="1"/>
  <c r="R30" i="1"/>
  <c r="I28" i="47"/>
  <c r="M28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s="1"/>
  <c r="Q30" i="1"/>
  <c r="BN30" s="1"/>
  <c r="O31"/>
  <c r="E33" i="44"/>
  <c r="O32" i="1"/>
  <c r="I30" i="47" s="1"/>
  <c r="AT32" i="44"/>
  <c r="BA32" s="1"/>
  <c r="BG29" i="49"/>
  <c r="L32" i="1"/>
  <c r="D33" i="44"/>
  <c r="AN33"/>
  <c r="BM28" i="49"/>
  <c r="N31" i="1"/>
  <c r="G29" i="47"/>
  <c r="R31" i="1" l="1"/>
  <c r="I29" i="47"/>
  <c r="M29" s="1"/>
  <c r="J85" i="22"/>
  <c r="J85" i="2"/>
  <c r="Q31" i="1"/>
  <c r="BN31" s="1"/>
  <c r="R32"/>
  <c r="Q32"/>
  <c r="AG6" i="45"/>
  <c r="AG24" s="1"/>
  <c r="BD31" i="49" s="1"/>
  <c r="BM29"/>
  <c r="D34" i="44"/>
  <c r="D36" s="1"/>
  <c r="L33" i="1"/>
  <c r="AN34" i="44"/>
  <c r="AN37" s="1"/>
  <c r="N32" i="1"/>
  <c r="G30" i="47"/>
  <c r="BG30" i="49"/>
  <c r="AT33" i="44"/>
  <c r="BA33" s="1"/>
  <c r="D37" l="1"/>
  <c r="AN36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s="1"/>
  <c r="J92" i="2"/>
  <c r="H84" i="50"/>
  <c r="J84" s="1"/>
  <c r="BN32" i="1"/>
  <c r="M30" i="47"/>
  <c r="O33" i="1"/>
  <c r="I31" i="47" s="1"/>
  <c r="E34" i="44"/>
  <c r="N33" i="1"/>
  <c r="N35" s="1"/>
  <c r="G31" i="47"/>
  <c r="L35" i="1"/>
  <c r="BM30" i="49"/>
  <c r="AT34" i="44"/>
  <c r="BG31" i="49"/>
  <c r="BG35" i="1"/>
  <c r="BO35" s="1"/>
  <c r="BP35" s="1"/>
  <c r="AT36" i="44" l="1"/>
  <c r="BA34"/>
  <c r="BA36" s="1"/>
  <c r="AT37"/>
  <c r="AC29" i="49"/>
  <c r="J96" i="29"/>
  <c r="J96" i="30"/>
  <c r="J88" i="29"/>
  <c r="J102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/>
  <c r="J96"/>
  <c r="J94"/>
  <c r="J88"/>
  <c r="J84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/>
  <c r="J84" i="19"/>
  <c r="J84" i="20"/>
  <c r="J102" i="19"/>
  <c r="J102" i="20"/>
  <c r="J82" i="19"/>
  <c r="J82" i="20"/>
  <c r="J74" i="18"/>
  <c r="J74" i="19"/>
  <c r="J76" i="18"/>
  <c r="J76" i="19"/>
  <c r="J88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/>
  <c r="J94" i="9"/>
  <c r="J94" i="10"/>
  <c r="J84" i="9"/>
  <c r="J84" i="10"/>
  <c r="J82" i="9"/>
  <c r="J82" i="10"/>
  <c r="J102" i="9"/>
  <c r="J102" i="10"/>
  <c r="J77" i="8"/>
  <c r="J77" i="9"/>
  <c r="J88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/>
  <c r="J76" i="2"/>
  <c r="J76" i="3"/>
  <c r="H103" i="50"/>
  <c r="J103" s="1"/>
  <c r="H95"/>
  <c r="J95" s="1"/>
  <c r="J74" i="2"/>
  <c r="H89" i="50"/>
  <c r="J89" s="1"/>
  <c r="H85"/>
  <c r="J85" s="1"/>
  <c r="J83" i="2"/>
  <c r="H97" i="50"/>
  <c r="J97" s="1"/>
  <c r="H83"/>
  <c r="J83" s="1"/>
  <c r="H78"/>
  <c r="J78" s="1"/>
  <c r="H79"/>
  <c r="J79" s="1"/>
  <c r="H75"/>
  <c r="J75" s="1"/>
  <c r="H77"/>
  <c r="J77" s="1"/>
  <c r="H63"/>
  <c r="J63" s="1"/>
  <c r="H76"/>
  <c r="J76" s="1"/>
  <c r="AH6" i="45"/>
  <c r="AH24" s="1"/>
  <c r="BD32" i="49" s="1"/>
  <c r="R33" i="1"/>
  <c r="Q33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/>
  <c r="J96"/>
  <c r="J102"/>
  <c r="J74"/>
  <c r="J76"/>
  <c r="J75"/>
  <c r="J84"/>
  <c r="J94"/>
  <c r="J82"/>
  <c r="J78"/>
  <c r="J77"/>
  <c r="J104"/>
  <c r="J91" i="21"/>
  <c r="J98"/>
  <c r="J100"/>
  <c r="J104" i="20"/>
  <c r="J104" i="21"/>
  <c r="J91" i="19"/>
  <c r="J98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/>
  <c r="J100" i="33"/>
  <c r="J62" i="5"/>
  <c r="J104" i="4"/>
  <c r="J104" i="5"/>
  <c r="J91" i="3"/>
  <c r="J100"/>
  <c r="J100" i="4"/>
  <c r="J98" i="3"/>
  <c r="J98" i="4"/>
  <c r="J104" i="2"/>
  <c r="J104" i="3"/>
  <c r="J82" i="2"/>
  <c r="J84"/>
  <c r="J88"/>
  <c r="J102"/>
  <c r="J96"/>
  <c r="H92" i="50"/>
  <c r="J92" s="1"/>
  <c r="H99"/>
  <c r="J99" s="1"/>
  <c r="H101"/>
  <c r="J101" s="1"/>
  <c r="J94" i="2"/>
  <c r="H105" i="50"/>
  <c r="J105" s="1"/>
  <c r="H87"/>
  <c r="J87" s="1"/>
  <c r="O34" i="1"/>
  <c r="I32" i="47" s="1"/>
  <c r="E35" i="44"/>
  <c r="E37" l="1"/>
  <c r="E36"/>
  <c r="J86" i="30"/>
  <c r="J91"/>
  <c r="J98" i="22"/>
  <c r="J100"/>
  <c r="J91"/>
  <c r="J91" i="20"/>
  <c r="J91" i="33"/>
  <c r="J91" i="4"/>
  <c r="J98" i="2"/>
  <c r="J91"/>
  <c r="J100"/>
  <c r="Q34" i="1"/>
  <c r="R34"/>
  <c r="R35" s="1"/>
  <c r="O35"/>
  <c r="Q35" l="1"/>
  <c r="BN34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s="1"/>
  <c r="J71" i="2"/>
  <c r="H72" i="50"/>
  <c r="J72" s="1"/>
  <c r="H66"/>
  <c r="J66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/>
  <c r="J67" i="21"/>
  <c r="J69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/>
  <c r="H68" i="50"/>
  <c r="J68" s="1"/>
  <c r="H70"/>
  <c r="J70" s="1"/>
  <c r="G33" i="1"/>
  <c r="J67" i="22" l="1"/>
  <c r="J69"/>
  <c r="J69" i="2"/>
  <c r="J67"/>
  <c r="G35" i="1"/>
  <c r="K33"/>
  <c r="BK33"/>
  <c r="BM33"/>
  <c r="BL33"/>
  <c r="B34" i="44"/>
  <c r="B37" s="1"/>
  <c r="E31" i="47"/>
  <c r="B36" i="44" l="1"/>
  <c r="BC34"/>
  <c r="J97" i="29"/>
  <c r="J97" i="30"/>
  <c r="J99" i="29"/>
  <c r="J99" i="30"/>
  <c r="J95" i="29"/>
  <c r="J95" i="30"/>
  <c r="J103" i="29"/>
  <c r="J103" i="30"/>
  <c r="J105" i="29"/>
  <c r="J101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s="1"/>
  <c r="H96"/>
  <c r="J96" s="1"/>
  <c r="H106"/>
  <c r="J106" s="1"/>
  <c r="H98"/>
  <c r="J98" s="1"/>
  <c r="H104"/>
  <c r="J104" s="1"/>
  <c r="H100"/>
  <c r="J100" s="1"/>
  <c r="J35" i="1"/>
  <c r="BN33"/>
  <c r="BN35" s="1"/>
  <c r="M31" i="47"/>
  <c r="H35" i="1"/>
  <c r="H37" s="1"/>
  <c r="K35"/>
  <c r="BM35"/>
  <c r="BL35"/>
  <c r="BK35"/>
  <c r="J105" i="30" l="1"/>
  <c r="J95" i="22"/>
  <c r="J101"/>
  <c r="J97"/>
  <c r="J99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/>
  <c r="J68"/>
  <c r="J66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s="1"/>
  <c r="J70" i="2"/>
  <c r="H71" i="50"/>
  <c r="J71" s="1"/>
  <c r="H69"/>
  <c r="J69" s="1"/>
  <c r="H67"/>
  <c r="J67" s="1"/>
  <c r="J68" i="22" l="1"/>
  <c r="J64"/>
  <c r="J66"/>
  <c r="J70"/>
  <c r="J66" i="2"/>
  <c r="J64"/>
  <c r="J68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/>
  <c r="I7" i="9"/>
  <c r="I7" i="20"/>
  <c r="I18" i="19"/>
  <c r="I18" i="16"/>
  <c r="I7" i="8"/>
  <c r="I18" i="7"/>
  <c r="I15" i="19"/>
  <c r="I18" i="12"/>
  <c r="I7" i="24"/>
  <c r="I18" i="14"/>
  <c r="I18" i="21"/>
  <c r="I15"/>
  <c r="I18" i="13"/>
  <c r="I7" i="14"/>
  <c r="I18" i="25"/>
  <c r="I7" i="18"/>
  <c r="I7" i="12"/>
  <c r="I15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/>
  <c r="I15" i="16"/>
  <c r="I7" i="5"/>
  <c r="I7" i="33"/>
  <c r="J27" i="2"/>
  <c r="J30"/>
  <c r="J31"/>
  <c r="J28"/>
  <c r="J29"/>
  <c r="J32"/>
  <c r="J38"/>
  <c r="J37"/>
  <c r="J42"/>
  <c r="J43"/>
  <c r="J45"/>
  <c r="J44"/>
  <c r="J39"/>
  <c r="J41"/>
  <c r="J40"/>
  <c r="J36"/>
  <c r="J47"/>
  <c r="J35"/>
  <c r="J46"/>
  <c r="J50"/>
  <c r="J58"/>
  <c r="J57"/>
  <c r="J56"/>
  <c r="J60"/>
  <c r="J59"/>
  <c r="J53"/>
  <c r="J51"/>
  <c r="J54"/>
  <c r="J52"/>
  <c r="G5" i="44"/>
  <c r="J55" i="2"/>
  <c r="J49"/>
  <c r="G36" i="44" l="1"/>
  <c r="G37"/>
  <c r="BB5"/>
  <c r="F2" i="49"/>
  <c r="J29" i="3"/>
  <c r="J27"/>
  <c r="J28"/>
  <c r="J30"/>
  <c r="J32"/>
  <c r="J31"/>
  <c r="J46"/>
  <c r="J37"/>
  <c r="J45"/>
  <c r="J41"/>
  <c r="J38"/>
  <c r="J47"/>
  <c r="J39"/>
  <c r="J40"/>
  <c r="J36"/>
  <c r="J42"/>
  <c r="J35"/>
  <c r="J44"/>
  <c r="J43"/>
  <c r="J56"/>
  <c r="J49"/>
  <c r="J58"/>
  <c r="J51"/>
  <c r="J52"/>
  <c r="J57"/>
  <c r="J60"/>
  <c r="J59"/>
  <c r="J50"/>
  <c r="J53"/>
  <c r="J55"/>
  <c r="J54"/>
  <c r="G12" i="4"/>
  <c r="H12" s="1"/>
  <c r="G11"/>
  <c r="H11" s="1"/>
  <c r="BB37" i="44" l="1"/>
  <c r="BB36"/>
  <c r="BC5"/>
  <c r="G13" i="4"/>
  <c r="H13" s="1"/>
  <c r="BC37" i="44" l="1"/>
  <c r="BC36"/>
  <c r="I60" i="4"/>
  <c r="I13"/>
  <c r="J7"/>
  <c r="I9" s="1"/>
  <c r="J12"/>
  <c r="J10"/>
  <c r="J8"/>
  <c r="J11"/>
  <c r="J9"/>
  <c r="J13"/>
  <c r="J15"/>
  <c r="I16" s="1"/>
  <c r="J19"/>
  <c r="J18"/>
  <c r="J20"/>
  <c r="I20" s="1"/>
  <c r="J22"/>
  <c r="J24"/>
  <c r="J23"/>
  <c r="J28"/>
  <c r="J27"/>
  <c r="J32"/>
  <c r="J29"/>
  <c r="J30"/>
  <c r="J31"/>
  <c r="J43"/>
  <c r="J45"/>
  <c r="J47"/>
  <c r="J41"/>
  <c r="J39"/>
  <c r="J37"/>
  <c r="J35"/>
  <c r="J42"/>
  <c r="J44"/>
  <c r="J38"/>
  <c r="J36"/>
  <c r="J46"/>
  <c r="J40"/>
  <c r="J58"/>
  <c r="J56"/>
  <c r="J52"/>
  <c r="J60"/>
  <c r="J57"/>
  <c r="J49"/>
  <c r="J55"/>
  <c r="J54"/>
  <c r="J51"/>
  <c r="J59"/>
  <c r="J53"/>
  <c r="J50"/>
  <c r="G12" i="5"/>
  <c r="H12" s="1"/>
  <c r="G11"/>
  <c r="G13" l="1"/>
  <c r="H13" s="1"/>
  <c r="H11"/>
  <c r="J7"/>
  <c r="I9" s="1"/>
  <c r="J8"/>
  <c r="J12"/>
  <c r="J9"/>
  <c r="J10"/>
  <c r="J15"/>
  <c r="I16" s="1"/>
  <c r="J19"/>
  <c r="J20"/>
  <c r="I20" s="1"/>
  <c r="J18"/>
  <c r="J24"/>
  <c r="J23"/>
  <c r="J22"/>
  <c r="J27"/>
  <c r="J31"/>
  <c r="J32"/>
  <c r="J30"/>
  <c r="J28"/>
  <c r="J29"/>
  <c r="J36"/>
  <c r="J46"/>
  <c r="J44"/>
  <c r="J37"/>
  <c r="J43"/>
  <c r="J41"/>
  <c r="J47"/>
  <c r="J42"/>
  <c r="J39"/>
  <c r="J38"/>
  <c r="J35"/>
  <c r="J40"/>
  <c r="J45"/>
  <c r="J59"/>
  <c r="J55"/>
  <c r="J56"/>
  <c r="J50"/>
  <c r="J49"/>
  <c r="J54"/>
  <c r="J57"/>
  <c r="J52"/>
  <c r="J53"/>
  <c r="J60"/>
  <c r="J58"/>
  <c r="J51"/>
  <c r="G11" i="9"/>
  <c r="G11" i="21"/>
  <c r="G11" i="33"/>
  <c r="G11" i="27"/>
  <c r="G12" i="10"/>
  <c r="G12" i="16"/>
  <c r="G11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s="1"/>
  <c r="G11" i="20"/>
  <c r="G12" i="15"/>
  <c r="G11" i="22"/>
  <c r="G12" i="40"/>
  <c r="G11" i="7"/>
  <c r="G12" i="9"/>
  <c r="G12" i="14"/>
  <c r="G12" i="7"/>
  <c r="G13" i="20" l="1"/>
  <c r="G13" i="22"/>
  <c r="I60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/>
  <c r="I13"/>
  <c r="I60"/>
  <c r="G13" i="31"/>
  <c r="G13" i="23"/>
  <c r="I60" s="1"/>
  <c r="G13" i="17"/>
  <c r="I60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16"/>
  <c r="G13" i="28"/>
  <c r="G13" i="9"/>
  <c r="G13" i="21"/>
  <c r="G13" i="27"/>
  <c r="G13" i="33"/>
  <c r="H13" s="1"/>
  <c r="H12" i="31" l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/>
  <c r="I13" i="17"/>
  <c r="I60" i="10"/>
  <c r="I13"/>
  <c r="I60" i="30"/>
  <c r="I13"/>
  <c r="I13" i="7"/>
  <c r="I60"/>
  <c r="I60" i="14"/>
  <c r="I13"/>
  <c r="I60" i="27"/>
  <c r="I13"/>
  <c r="I13" i="28"/>
  <c r="I60"/>
  <c r="I13" i="19"/>
  <c r="I60"/>
  <c r="I13" i="16"/>
  <c r="I60"/>
  <c r="I60" i="43"/>
  <c r="I13"/>
  <c r="I13" i="13"/>
  <c r="I60"/>
  <c r="I60" i="20"/>
  <c r="I13"/>
  <c r="I13" i="25"/>
  <c r="I60"/>
  <c r="I60" i="21"/>
  <c r="I13"/>
  <c r="I60" i="15"/>
  <c r="I13"/>
  <c r="I60" i="8"/>
  <c r="I13"/>
  <c r="I13" i="11"/>
  <c r="I60"/>
  <c r="I60" i="12"/>
  <c r="I13"/>
  <c r="I60" i="33"/>
  <c r="I13"/>
  <c r="I14" i="50"/>
  <c r="I61"/>
  <c r="I13" i="40"/>
  <c r="I60"/>
  <c r="I13" i="9"/>
  <c r="I60"/>
  <c r="I13" i="29"/>
  <c r="I60"/>
  <c r="I13" i="18"/>
  <c r="I60"/>
  <c r="I13" i="24"/>
  <c r="I60"/>
  <c r="J7" i="33"/>
  <c r="I9" s="1"/>
  <c r="J9"/>
  <c r="J8"/>
  <c r="J12"/>
  <c r="J13"/>
  <c r="J11"/>
  <c r="J10"/>
  <c r="J15"/>
  <c r="I16" s="1"/>
  <c r="J18"/>
  <c r="J19"/>
  <c r="J20"/>
  <c r="I20" s="1"/>
  <c r="J24"/>
  <c r="J22"/>
  <c r="J23"/>
  <c r="J29"/>
  <c r="J31"/>
  <c r="J30"/>
  <c r="J28"/>
  <c r="J27"/>
  <c r="J32"/>
  <c r="J43"/>
  <c r="J39"/>
  <c r="J42"/>
  <c r="J45"/>
  <c r="J46"/>
  <c r="J37"/>
  <c r="J36"/>
  <c r="J35"/>
  <c r="J40"/>
  <c r="J38"/>
  <c r="J47"/>
  <c r="J41"/>
  <c r="J44"/>
  <c r="J50"/>
  <c r="J57"/>
  <c r="J58"/>
  <c r="J54"/>
  <c r="J56"/>
  <c r="J55"/>
  <c r="J59"/>
  <c r="J53"/>
  <c r="J49"/>
  <c r="J51"/>
  <c r="J60"/>
  <c r="J52"/>
  <c r="J7" i="7"/>
  <c r="I9" s="1"/>
  <c r="J10"/>
  <c r="J9"/>
  <c r="J12"/>
  <c r="J8"/>
  <c r="J11"/>
  <c r="J15"/>
  <c r="I16" s="1"/>
  <c r="J18"/>
  <c r="J19"/>
  <c r="J20"/>
  <c r="I20" s="1"/>
  <c r="J24"/>
  <c r="J22"/>
  <c r="J23"/>
  <c r="J30"/>
  <c r="J32"/>
  <c r="J27"/>
  <c r="J28"/>
  <c r="J31"/>
  <c r="J29"/>
  <c r="J37"/>
  <c r="J46"/>
  <c r="J47"/>
  <c r="J38"/>
  <c r="J44"/>
  <c r="J42"/>
  <c r="J35"/>
  <c r="J45"/>
  <c r="J41"/>
  <c r="J40"/>
  <c r="J36"/>
  <c r="J39"/>
  <c r="J43"/>
  <c r="J52"/>
  <c r="J58"/>
  <c r="J60"/>
  <c r="J57"/>
  <c r="J53"/>
  <c r="J49"/>
  <c r="J55"/>
  <c r="J56"/>
  <c r="J59"/>
  <c r="J54"/>
  <c r="J50"/>
  <c r="J51"/>
  <c r="J7" i="8"/>
  <c r="I9" s="1"/>
  <c r="J12"/>
  <c r="J9"/>
  <c r="J11"/>
  <c r="J10"/>
  <c r="J8"/>
  <c r="J15"/>
  <c r="I16" s="1"/>
  <c r="J19"/>
  <c r="J18"/>
  <c r="J20"/>
  <c r="I20" s="1"/>
  <c r="J22"/>
  <c r="J24"/>
  <c r="J23"/>
  <c r="J27"/>
  <c r="J30"/>
  <c r="J32"/>
  <c r="J29"/>
  <c r="J28"/>
  <c r="J31"/>
  <c r="J38"/>
  <c r="J36"/>
  <c r="J41"/>
  <c r="J35"/>
  <c r="J42"/>
  <c r="J37"/>
  <c r="J44"/>
  <c r="J46"/>
  <c r="J39"/>
  <c r="J40"/>
  <c r="J47"/>
  <c r="J45"/>
  <c r="J43"/>
  <c r="J52"/>
  <c r="J57"/>
  <c r="J60"/>
  <c r="J50"/>
  <c r="J55"/>
  <c r="J58"/>
  <c r="J51"/>
  <c r="J59"/>
  <c r="J53"/>
  <c r="J49"/>
  <c r="J56"/>
  <c r="J54"/>
  <c r="J7" i="9"/>
  <c r="I9" s="1"/>
  <c r="J8"/>
  <c r="J10"/>
  <c r="J12"/>
  <c r="J9"/>
  <c r="J11"/>
  <c r="J15"/>
  <c r="I16" s="1"/>
  <c r="J18"/>
  <c r="J19"/>
  <c r="J20"/>
  <c r="I20" s="1"/>
  <c r="J22"/>
  <c r="J24"/>
  <c r="J23"/>
  <c r="J29"/>
  <c r="J31"/>
  <c r="J30"/>
  <c r="J28"/>
  <c r="J32"/>
  <c r="J27"/>
  <c r="J40"/>
  <c r="J39"/>
  <c r="J36"/>
  <c r="J37"/>
  <c r="J42"/>
  <c r="J44"/>
  <c r="J46"/>
  <c r="J41"/>
  <c r="J47"/>
  <c r="J43"/>
  <c r="J38"/>
  <c r="J35"/>
  <c r="J45"/>
  <c r="J54"/>
  <c r="J59"/>
  <c r="J49"/>
  <c r="J57"/>
  <c r="J50"/>
  <c r="J53"/>
  <c r="J51"/>
  <c r="J55"/>
  <c r="J58"/>
  <c r="J52"/>
  <c r="J60"/>
  <c r="J56"/>
  <c r="J7" i="10"/>
  <c r="I9" s="1"/>
  <c r="J12"/>
  <c r="J8"/>
  <c r="J9"/>
  <c r="J11"/>
  <c r="J10"/>
  <c r="J15"/>
  <c r="I16" s="1"/>
  <c r="J19"/>
  <c r="J18"/>
  <c r="J20"/>
  <c r="I20" s="1"/>
  <c r="J24"/>
  <c r="J22"/>
  <c r="J23"/>
  <c r="J27"/>
  <c r="J31"/>
  <c r="J29"/>
  <c r="J28"/>
  <c r="J30"/>
  <c r="J32"/>
  <c r="J45"/>
  <c r="J37"/>
  <c r="J42"/>
  <c r="J36"/>
  <c r="J43"/>
  <c r="J38"/>
  <c r="J40"/>
  <c r="J39"/>
  <c r="J35"/>
  <c r="J47"/>
  <c r="J41"/>
  <c r="J44"/>
  <c r="J46"/>
  <c r="J55"/>
  <c r="J60"/>
  <c r="J57"/>
  <c r="J56"/>
  <c r="J50"/>
  <c r="J52"/>
  <c r="J51"/>
  <c r="J53"/>
  <c r="J58"/>
  <c r="J59"/>
  <c r="J49"/>
  <c r="J54"/>
  <c r="J7" i="11"/>
  <c r="I9" s="1"/>
  <c r="J12"/>
  <c r="J9"/>
  <c r="J11"/>
  <c r="J10"/>
  <c r="J8"/>
  <c r="J15"/>
  <c r="I16" s="1"/>
  <c r="J19"/>
  <c r="J20"/>
  <c r="I20" s="1"/>
  <c r="J18"/>
  <c r="J23"/>
  <c r="J24"/>
  <c r="J22"/>
  <c r="J29"/>
  <c r="J27"/>
  <c r="J31"/>
  <c r="J32"/>
  <c r="J30"/>
  <c r="J28"/>
  <c r="J45"/>
  <c r="J38"/>
  <c r="J43"/>
  <c r="J37"/>
  <c r="J35"/>
  <c r="J39"/>
  <c r="J36"/>
  <c r="J40"/>
  <c r="J41"/>
  <c r="J46"/>
  <c r="J47"/>
  <c r="J44"/>
  <c r="J42"/>
  <c r="J60"/>
  <c r="J53"/>
  <c r="J56"/>
  <c r="J52"/>
  <c r="J59"/>
  <c r="J58"/>
  <c r="J50"/>
  <c r="J49"/>
  <c r="J55"/>
  <c r="J54"/>
  <c r="J57"/>
  <c r="J51"/>
  <c r="J7" i="12"/>
  <c r="I9" s="1"/>
  <c r="J10"/>
  <c r="J12"/>
  <c r="J11"/>
  <c r="J9"/>
  <c r="J15"/>
  <c r="I16" s="1"/>
  <c r="J19"/>
  <c r="J18"/>
  <c r="J20"/>
  <c r="I20" s="1"/>
  <c r="J22"/>
  <c r="J24"/>
  <c r="J23"/>
  <c r="J28"/>
  <c r="J30"/>
  <c r="J32"/>
  <c r="J29"/>
  <c r="J27"/>
  <c r="J31"/>
  <c r="J45"/>
  <c r="J38"/>
  <c r="J42"/>
  <c r="J44"/>
  <c r="J35"/>
  <c r="J43"/>
  <c r="J40"/>
  <c r="J41"/>
  <c r="J46"/>
  <c r="J36"/>
  <c r="J37"/>
  <c r="J47"/>
  <c r="J39"/>
  <c r="J56"/>
  <c r="J49"/>
  <c r="J59"/>
  <c r="J54"/>
  <c r="J50"/>
  <c r="J51"/>
  <c r="J55"/>
  <c r="J58"/>
  <c r="J53"/>
  <c r="J57"/>
  <c r="J60"/>
  <c r="J52"/>
  <c r="J7" i="13"/>
  <c r="I9" s="1"/>
  <c r="J12"/>
  <c r="J11"/>
  <c r="J9"/>
  <c r="J10"/>
  <c r="J15"/>
  <c r="I16" s="1"/>
  <c r="J20"/>
  <c r="I20" s="1"/>
  <c r="J19"/>
  <c r="J18"/>
  <c r="J23"/>
  <c r="J24"/>
  <c r="J22"/>
  <c r="J30"/>
  <c r="J29"/>
  <c r="J31"/>
  <c r="J32"/>
  <c r="J27"/>
  <c r="J28"/>
  <c r="J44"/>
  <c r="J38"/>
  <c r="J42"/>
  <c r="J37"/>
  <c r="J45"/>
  <c r="J46"/>
  <c r="J40"/>
  <c r="J43"/>
  <c r="J36"/>
  <c r="J41"/>
  <c r="J47"/>
  <c r="J39"/>
  <c r="J35"/>
  <c r="J60"/>
  <c r="J54"/>
  <c r="J53"/>
  <c r="J56"/>
  <c r="J50"/>
  <c r="J49"/>
  <c r="J55"/>
  <c r="J59"/>
  <c r="J52"/>
  <c r="J57"/>
  <c r="J51"/>
  <c r="J58"/>
  <c r="J7" i="14"/>
  <c r="I9" s="1"/>
  <c r="J10"/>
  <c r="J12"/>
  <c r="J11"/>
  <c r="J9"/>
  <c r="J15"/>
  <c r="I16" s="1"/>
  <c r="J19"/>
  <c r="J18"/>
  <c r="J20"/>
  <c r="I20" s="1"/>
  <c r="J24"/>
  <c r="J22"/>
  <c r="J23"/>
  <c r="J30"/>
  <c r="J27"/>
  <c r="J29"/>
  <c r="J32"/>
  <c r="J28"/>
  <c r="J31"/>
  <c r="J44"/>
  <c r="J36"/>
  <c r="J42"/>
  <c r="J39"/>
  <c r="J37"/>
  <c r="J43"/>
  <c r="J41"/>
  <c r="J35"/>
  <c r="J45"/>
  <c r="J40"/>
  <c r="J47"/>
  <c r="J38"/>
  <c r="J46"/>
  <c r="J54"/>
  <c r="J55"/>
  <c r="J60"/>
  <c r="J53"/>
  <c r="J51"/>
  <c r="J56"/>
  <c r="J57"/>
  <c r="J58"/>
  <c r="J49"/>
  <c r="J59"/>
  <c r="J52"/>
  <c r="J50"/>
  <c r="J7" i="15"/>
  <c r="I9" s="1"/>
  <c r="J12"/>
  <c r="J11"/>
  <c r="J9"/>
  <c r="J10"/>
  <c r="J15"/>
  <c r="I16" s="1"/>
  <c r="J19"/>
  <c r="J20"/>
  <c r="I20" s="1"/>
  <c r="J18"/>
  <c r="J22"/>
  <c r="J23"/>
  <c r="J24"/>
  <c r="J32"/>
  <c r="J29"/>
  <c r="J31"/>
  <c r="J27"/>
  <c r="J30"/>
  <c r="J28"/>
  <c r="J46"/>
  <c r="J47"/>
  <c r="J36"/>
  <c r="J35"/>
  <c r="J45"/>
  <c r="J41"/>
  <c r="J38"/>
  <c r="J44"/>
  <c r="J37"/>
  <c r="J39"/>
  <c r="J40"/>
  <c r="J43"/>
  <c r="J42"/>
  <c r="J55"/>
  <c r="J53"/>
  <c r="J58"/>
  <c r="J60"/>
  <c r="J59"/>
  <c r="J57"/>
  <c r="J54"/>
  <c r="J49"/>
  <c r="J50"/>
  <c r="J56"/>
  <c r="J51"/>
  <c r="J52"/>
  <c r="J7" i="16"/>
  <c r="I9" s="1"/>
  <c r="J12"/>
  <c r="J10"/>
  <c r="J9"/>
  <c r="J11"/>
  <c r="J15"/>
  <c r="I16" s="1"/>
  <c r="J18"/>
  <c r="J19"/>
  <c r="J20"/>
  <c r="I20" s="1"/>
  <c r="J23"/>
  <c r="J24"/>
  <c r="J22"/>
  <c r="J27"/>
  <c r="J31"/>
  <c r="J29"/>
  <c r="J30"/>
  <c r="J32"/>
  <c r="J28"/>
  <c r="J40"/>
  <c r="J46"/>
  <c r="J41"/>
  <c r="J44"/>
  <c r="J36"/>
  <c r="J42"/>
  <c r="J39"/>
  <c r="J35"/>
  <c r="J47"/>
  <c r="J45"/>
  <c r="J43"/>
  <c r="J37"/>
  <c r="J38"/>
  <c r="J58"/>
  <c r="J51"/>
  <c r="J59"/>
  <c r="J54"/>
  <c r="J57"/>
  <c r="J56"/>
  <c r="J50"/>
  <c r="J52"/>
  <c r="J49"/>
  <c r="J55"/>
  <c r="J60"/>
  <c r="J53"/>
  <c r="J7" i="17"/>
  <c r="I9" s="1"/>
  <c r="J10"/>
  <c r="J9"/>
  <c r="J11"/>
  <c r="J12"/>
  <c r="J15"/>
  <c r="I16" s="1"/>
  <c r="J18"/>
  <c r="J19"/>
  <c r="J20"/>
  <c r="I20" s="1"/>
  <c r="J24"/>
  <c r="J22"/>
  <c r="J23"/>
  <c r="J32"/>
  <c r="J30"/>
  <c r="J28"/>
  <c r="J27"/>
  <c r="J29"/>
  <c r="J31"/>
  <c r="J36"/>
  <c r="J43"/>
  <c r="J37"/>
  <c r="J41"/>
  <c r="J46"/>
  <c r="J38"/>
  <c r="J42"/>
  <c r="J40"/>
  <c r="J47"/>
  <c r="J45"/>
  <c r="J39"/>
  <c r="J35"/>
  <c r="J44"/>
  <c r="J52"/>
  <c r="J60"/>
  <c r="J56"/>
  <c r="J57"/>
  <c r="J55"/>
  <c r="J53"/>
  <c r="J54"/>
  <c r="J50"/>
  <c r="J58"/>
  <c r="J49"/>
  <c r="J59"/>
  <c r="J51"/>
  <c r="J7" i="18"/>
  <c r="I9" s="1"/>
  <c r="J9"/>
  <c r="J12"/>
  <c r="J11"/>
  <c r="J10"/>
  <c r="J15"/>
  <c r="I16" s="1"/>
  <c r="J20"/>
  <c r="I20" s="1"/>
  <c r="J19"/>
  <c r="J18"/>
  <c r="J24"/>
  <c r="J22"/>
  <c r="J23"/>
  <c r="J29"/>
  <c r="J27"/>
  <c r="J30"/>
  <c r="J32"/>
  <c r="J31"/>
  <c r="J28"/>
  <c r="J40"/>
  <c r="J38"/>
  <c r="J45"/>
  <c r="J47"/>
  <c r="J35"/>
  <c r="J46"/>
  <c r="J39"/>
  <c r="J44"/>
  <c r="J43"/>
  <c r="J36"/>
  <c r="J41"/>
  <c r="J37"/>
  <c r="J42"/>
  <c r="J57"/>
  <c r="J60"/>
  <c r="J54"/>
  <c r="J53"/>
  <c r="J55"/>
  <c r="J49"/>
  <c r="J58"/>
  <c r="J51"/>
  <c r="J52"/>
  <c r="J59"/>
  <c r="J50"/>
  <c r="J56"/>
  <c r="J7" i="19"/>
  <c r="I9" s="1"/>
  <c r="J10"/>
  <c r="J12"/>
  <c r="J9"/>
  <c r="J15"/>
  <c r="I16" s="1"/>
  <c r="J19"/>
  <c r="J18"/>
  <c r="J20"/>
  <c r="I20" s="1"/>
  <c r="J24"/>
  <c r="J23"/>
  <c r="J22"/>
  <c r="J30"/>
  <c r="J27"/>
  <c r="J31"/>
  <c r="J29"/>
  <c r="J28"/>
  <c r="J32"/>
  <c r="J35"/>
  <c r="J40"/>
  <c r="J46"/>
  <c r="J38"/>
  <c r="J45"/>
  <c r="J43"/>
  <c r="J37"/>
  <c r="J36"/>
  <c r="J41"/>
  <c r="J39"/>
  <c r="J42"/>
  <c r="J44"/>
  <c r="J47"/>
  <c r="J52"/>
  <c r="J59"/>
  <c r="J53"/>
  <c r="J51"/>
  <c r="J49"/>
  <c r="J57"/>
  <c r="J56"/>
  <c r="J50"/>
  <c r="J60"/>
  <c r="J58"/>
  <c r="J55"/>
  <c r="J54"/>
  <c r="J7" i="20"/>
  <c r="I9" s="1"/>
  <c r="J9"/>
  <c r="J10"/>
  <c r="J12"/>
  <c r="J15"/>
  <c r="I16" s="1"/>
  <c r="J18"/>
  <c r="J19"/>
  <c r="J20"/>
  <c r="I20" s="1"/>
  <c r="J22"/>
  <c r="J23"/>
  <c r="J24"/>
  <c r="J32"/>
  <c r="J27"/>
  <c r="J28"/>
  <c r="J29"/>
  <c r="J30"/>
  <c r="J31"/>
  <c r="J41"/>
  <c r="J39"/>
  <c r="J36"/>
  <c r="J42"/>
  <c r="J47"/>
  <c r="J43"/>
  <c r="J46"/>
  <c r="J35"/>
  <c r="J38"/>
  <c r="J37"/>
  <c r="J40"/>
  <c r="J44"/>
  <c r="J45"/>
  <c r="J57"/>
  <c r="J58"/>
  <c r="J54"/>
  <c r="J53"/>
  <c r="J49"/>
  <c r="J51"/>
  <c r="J60"/>
  <c r="J52"/>
  <c r="J55"/>
  <c r="J56"/>
  <c r="J59"/>
  <c r="J50"/>
  <c r="J7" i="21"/>
  <c r="I9" s="1"/>
  <c r="J12"/>
  <c r="J10"/>
  <c r="J9"/>
  <c r="J15"/>
  <c r="I16" s="1"/>
  <c r="J19"/>
  <c r="J18"/>
  <c r="J20"/>
  <c r="I20" s="1"/>
  <c r="J23"/>
  <c r="J22"/>
  <c r="J24"/>
  <c r="J31"/>
  <c r="J28"/>
  <c r="J29"/>
  <c r="J27"/>
  <c r="J32"/>
  <c r="J30"/>
  <c r="J44"/>
  <c r="J45"/>
  <c r="J35"/>
  <c r="J37"/>
  <c r="J41"/>
  <c r="J47"/>
  <c r="J46"/>
  <c r="J42"/>
  <c r="J39"/>
  <c r="J38"/>
  <c r="J40"/>
  <c r="J43"/>
  <c r="J36"/>
  <c r="J58"/>
  <c r="J56"/>
  <c r="J53"/>
  <c r="J52"/>
  <c r="J54"/>
  <c r="J59"/>
  <c r="J49"/>
  <c r="J50"/>
  <c r="J51"/>
  <c r="J60"/>
  <c r="J57"/>
  <c r="J55"/>
  <c r="J7" i="22"/>
  <c r="I9" s="1"/>
  <c r="J10"/>
  <c r="J12"/>
  <c r="J9"/>
  <c r="J15"/>
  <c r="I16" s="1"/>
  <c r="J18"/>
  <c r="J19"/>
  <c r="J20"/>
  <c r="I20" s="1"/>
  <c r="J24"/>
  <c r="J23"/>
  <c r="J22"/>
  <c r="J28"/>
  <c r="J30"/>
  <c r="J32"/>
  <c r="J29"/>
  <c r="J31"/>
  <c r="J27"/>
  <c r="J35"/>
  <c r="J36"/>
  <c r="J37"/>
  <c r="J47"/>
  <c r="J38"/>
  <c r="J45"/>
  <c r="J40"/>
  <c r="J39"/>
  <c r="J46"/>
  <c r="J41"/>
  <c r="J44"/>
  <c r="J42"/>
  <c r="J43"/>
  <c r="J50"/>
  <c r="J59"/>
  <c r="J49"/>
  <c r="J54"/>
  <c r="J52"/>
  <c r="J57"/>
  <c r="J55"/>
  <c r="J53"/>
  <c r="J58"/>
  <c r="J51"/>
  <c r="J56"/>
  <c r="J60"/>
  <c r="J7" i="23"/>
  <c r="I9" s="1"/>
  <c r="J9"/>
  <c r="J10"/>
  <c r="J12"/>
  <c r="J15"/>
  <c r="I16" s="1"/>
  <c r="J19"/>
  <c r="J18"/>
  <c r="J20"/>
  <c r="I20" s="1"/>
  <c r="J24"/>
  <c r="J22"/>
  <c r="J23"/>
  <c r="J29"/>
  <c r="J31"/>
  <c r="J30"/>
  <c r="J28"/>
  <c r="J27"/>
  <c r="J32"/>
  <c r="J38"/>
  <c r="J46"/>
  <c r="J47"/>
  <c r="J35"/>
  <c r="J41"/>
  <c r="J39"/>
  <c r="J36"/>
  <c r="J40"/>
  <c r="J43"/>
  <c r="J37"/>
  <c r="J45"/>
  <c r="J42"/>
  <c r="J44"/>
  <c r="J57"/>
  <c r="J60"/>
  <c r="J49"/>
  <c r="J50"/>
  <c r="J54"/>
  <c r="J55"/>
  <c r="J58"/>
  <c r="J51"/>
  <c r="J56"/>
  <c r="J53"/>
  <c r="J59"/>
  <c r="J52"/>
  <c r="J7" i="24"/>
  <c r="I9" s="1"/>
  <c r="J9"/>
  <c r="J12"/>
  <c r="J10"/>
  <c r="J15"/>
  <c r="I16" s="1"/>
  <c r="J19"/>
  <c r="J18"/>
  <c r="J20"/>
  <c r="I20" s="1"/>
  <c r="J23"/>
  <c r="J24"/>
  <c r="J22"/>
  <c r="J31"/>
  <c r="J30"/>
  <c r="J27"/>
  <c r="J28"/>
  <c r="J32"/>
  <c r="J29"/>
  <c r="J46"/>
  <c r="J43"/>
  <c r="J47"/>
  <c r="J44"/>
  <c r="J38"/>
  <c r="J40"/>
  <c r="J37"/>
  <c r="J42"/>
  <c r="J45"/>
  <c r="J36"/>
  <c r="J35"/>
  <c r="J39"/>
  <c r="J41"/>
  <c r="J52"/>
  <c r="J59"/>
  <c r="J50"/>
  <c r="J49"/>
  <c r="J55"/>
  <c r="J51"/>
  <c r="J54"/>
  <c r="J57"/>
  <c r="J56"/>
  <c r="J58"/>
  <c r="J53"/>
  <c r="J60"/>
  <c r="J7" i="25"/>
  <c r="I9" s="1"/>
  <c r="J9"/>
  <c r="J12"/>
  <c r="J10"/>
  <c r="J15"/>
  <c r="I16" s="1"/>
  <c r="J19"/>
  <c r="J20"/>
  <c r="I20" s="1"/>
  <c r="J18"/>
  <c r="J22"/>
  <c r="J24"/>
  <c r="J23"/>
  <c r="J27"/>
  <c r="J29"/>
  <c r="J32"/>
  <c r="J28"/>
  <c r="J31"/>
  <c r="J30"/>
  <c r="J35"/>
  <c r="J45"/>
  <c r="J39"/>
  <c r="J46"/>
  <c r="J36"/>
  <c r="J43"/>
  <c r="J47"/>
  <c r="J40"/>
  <c r="J38"/>
  <c r="J42"/>
  <c r="J44"/>
  <c r="J37"/>
  <c r="J41"/>
  <c r="J56"/>
  <c r="J54"/>
  <c r="J58"/>
  <c r="J53"/>
  <c r="J60"/>
  <c r="J59"/>
  <c r="J50"/>
  <c r="J51"/>
  <c r="J49"/>
  <c r="J55"/>
  <c r="J52"/>
  <c r="J57"/>
  <c r="J7" i="40"/>
  <c r="I9" s="1"/>
  <c r="J10"/>
  <c r="J9"/>
  <c r="J12"/>
  <c r="J15"/>
  <c r="I16" s="1"/>
  <c r="J19"/>
  <c r="J18"/>
  <c r="J20"/>
  <c r="I20" s="1"/>
  <c r="J24"/>
  <c r="J23"/>
  <c r="J22"/>
  <c r="J38"/>
  <c r="J47"/>
  <c r="J35"/>
  <c r="J37"/>
  <c r="J44"/>
  <c r="J41"/>
  <c r="J42"/>
  <c r="J46"/>
  <c r="J40"/>
  <c r="J43"/>
  <c r="J45"/>
  <c r="J36"/>
  <c r="J39"/>
  <c r="J32"/>
  <c r="J27"/>
  <c r="J29"/>
  <c r="J28"/>
  <c r="J31"/>
  <c r="J30"/>
  <c r="J49"/>
  <c r="J55"/>
  <c r="J54"/>
  <c r="J59"/>
  <c r="J57"/>
  <c r="J60"/>
  <c r="J53"/>
  <c r="J50"/>
  <c r="J51"/>
  <c r="J52"/>
  <c r="J56"/>
  <c r="J58"/>
  <c r="J7" i="27"/>
  <c r="I9" s="1"/>
  <c r="J9"/>
  <c r="J12"/>
  <c r="J10"/>
  <c r="J15"/>
  <c r="I16" s="1"/>
  <c r="J20"/>
  <c r="I20" s="1"/>
  <c r="J18"/>
  <c r="J19"/>
  <c r="J23"/>
  <c r="J22"/>
  <c r="J24"/>
  <c r="J30"/>
  <c r="J28"/>
  <c r="J31"/>
  <c r="J29"/>
  <c r="J27"/>
  <c r="J32"/>
  <c r="J37"/>
  <c r="J35"/>
  <c r="J41"/>
  <c r="J45"/>
  <c r="J47"/>
  <c r="J40"/>
  <c r="J36"/>
  <c r="J43"/>
  <c r="J46"/>
  <c r="J38"/>
  <c r="J42"/>
  <c r="J39"/>
  <c r="J44"/>
  <c r="J56"/>
  <c r="J57"/>
  <c r="J51"/>
  <c r="J49"/>
  <c r="J55"/>
  <c r="J59"/>
  <c r="J53"/>
  <c r="J52"/>
  <c r="J54"/>
  <c r="J50"/>
  <c r="J58"/>
  <c r="J60"/>
  <c r="J7" i="28"/>
  <c r="I9" s="1"/>
  <c r="J12"/>
  <c r="J9"/>
  <c r="J10"/>
  <c r="J15"/>
  <c r="I16" s="1"/>
  <c r="J18"/>
  <c r="J19"/>
  <c r="J20"/>
  <c r="I20" s="1"/>
  <c r="J22"/>
  <c r="J24"/>
  <c r="J23"/>
  <c r="J32"/>
  <c r="J30"/>
  <c r="J28"/>
  <c r="J29"/>
  <c r="J27"/>
  <c r="J31"/>
  <c r="J37"/>
  <c r="J40"/>
  <c r="J46"/>
  <c r="J47"/>
  <c r="J44"/>
  <c r="J36"/>
  <c r="J41"/>
  <c r="J39"/>
  <c r="J38"/>
  <c r="J42"/>
  <c r="J35"/>
  <c r="J43"/>
  <c r="J45"/>
  <c r="J59"/>
  <c r="J54"/>
  <c r="J57"/>
  <c r="J53"/>
  <c r="J60"/>
  <c r="J56"/>
  <c r="J52"/>
  <c r="J51"/>
  <c r="J55"/>
  <c r="J58"/>
  <c r="J50"/>
  <c r="J49"/>
  <c r="J7" i="29"/>
  <c r="I9" s="1"/>
  <c r="J12"/>
  <c r="J10"/>
  <c r="J9"/>
  <c r="J15"/>
  <c r="I16" s="1"/>
  <c r="J19"/>
  <c r="J20"/>
  <c r="I20" s="1"/>
  <c r="J18"/>
  <c r="J24"/>
  <c r="J22"/>
  <c r="J23"/>
  <c r="J31"/>
  <c r="J28"/>
  <c r="J30"/>
  <c r="J27"/>
  <c r="J29"/>
  <c r="J32"/>
  <c r="J44"/>
  <c r="J46"/>
  <c r="J36"/>
  <c r="J38"/>
  <c r="J47"/>
  <c r="J35"/>
  <c r="J39"/>
  <c r="J42"/>
  <c r="J41"/>
  <c r="J37"/>
  <c r="J43"/>
  <c r="J45"/>
  <c r="J40"/>
  <c r="J60"/>
  <c r="J49"/>
  <c r="J58"/>
  <c r="J50"/>
  <c r="J52"/>
  <c r="J53"/>
  <c r="J55"/>
  <c r="J59"/>
  <c r="J56"/>
  <c r="J54"/>
  <c r="J57"/>
  <c r="J51"/>
  <c r="J7" i="30"/>
  <c r="I9" s="1"/>
  <c r="J12"/>
  <c r="J10"/>
  <c r="J9"/>
  <c r="J15"/>
  <c r="I16" s="1"/>
  <c r="J20"/>
  <c r="I20" s="1"/>
  <c r="J19"/>
  <c r="J18"/>
  <c r="J24"/>
  <c r="J23"/>
  <c r="J22"/>
  <c r="J31"/>
  <c r="J29"/>
  <c r="J28"/>
  <c r="J27"/>
  <c r="J30"/>
  <c r="J32"/>
  <c r="J44"/>
  <c r="J39"/>
  <c r="J43"/>
  <c r="J36"/>
  <c r="J41"/>
  <c r="J47"/>
  <c r="J40"/>
  <c r="J38"/>
  <c r="J35"/>
  <c r="J42"/>
  <c r="J45"/>
  <c r="J37"/>
  <c r="J46"/>
  <c r="J49"/>
  <c r="J54"/>
  <c r="J56"/>
  <c r="J59"/>
  <c r="J50"/>
  <c r="J53"/>
  <c r="J60"/>
  <c r="J58"/>
  <c r="J57"/>
  <c r="J52"/>
  <c r="J55"/>
  <c r="J51"/>
  <c r="J7" i="43"/>
  <c r="I9" s="1"/>
  <c r="H7" i="31"/>
  <c r="J7" s="1"/>
  <c r="I9" s="1"/>
  <c r="H7" i="50"/>
  <c r="J7" s="1"/>
  <c r="J12" i="43"/>
  <c r="J9"/>
  <c r="J10"/>
  <c r="J9" i="31"/>
  <c r="J10"/>
  <c r="J12"/>
  <c r="J15" i="43"/>
  <c r="I16" s="1"/>
  <c r="J15" i="31"/>
  <c r="I16" s="1"/>
  <c r="H16" i="50"/>
  <c r="J16" s="1"/>
  <c r="I17" s="1"/>
  <c r="J18" i="31"/>
  <c r="J18" i="43"/>
  <c r="J20"/>
  <c r="I20" s="1"/>
  <c r="H19" i="50"/>
  <c r="J19" s="1"/>
  <c r="J19" i="43"/>
  <c r="H20" i="50"/>
  <c r="J20" s="1"/>
  <c r="J19" i="31"/>
  <c r="H21" i="50"/>
  <c r="J21" s="1"/>
  <c r="I21" s="1"/>
  <c r="J20" i="31"/>
  <c r="I20" s="1"/>
  <c r="J22" i="43"/>
  <c r="J24"/>
  <c r="H24" i="50"/>
  <c r="J24" s="1"/>
  <c r="J23" i="43"/>
  <c r="J24" i="31"/>
  <c r="H23" i="50"/>
  <c r="J23" s="1"/>
  <c r="J22" i="31"/>
  <c r="J23"/>
  <c r="H25" i="50"/>
  <c r="J25" s="1"/>
  <c r="J27" i="43"/>
  <c r="J28"/>
  <c r="H29" i="50"/>
  <c r="J29" s="1"/>
  <c r="J32" i="31"/>
  <c r="J32" i="43"/>
  <c r="J31"/>
  <c r="J30"/>
  <c r="J30" i="31"/>
  <c r="J31"/>
  <c r="H31" i="50"/>
  <c r="J31" s="1"/>
  <c r="J29" i="43"/>
  <c r="J29" i="31"/>
  <c r="H30" i="50"/>
  <c r="J30" s="1"/>
  <c r="H28"/>
  <c r="J28" s="1"/>
  <c r="J27" i="31"/>
  <c r="H33" i="50"/>
  <c r="J33" s="1"/>
  <c r="H32"/>
  <c r="J32" s="1"/>
  <c r="J28" i="31"/>
  <c r="J42" i="43"/>
  <c r="J41"/>
  <c r="J35"/>
  <c r="J40"/>
  <c r="J43"/>
  <c r="J41" i="31"/>
  <c r="J44" i="43"/>
  <c r="H41" i="50"/>
  <c r="J41" s="1"/>
  <c r="J45" i="43"/>
  <c r="J39"/>
  <c r="J36"/>
  <c r="J38"/>
  <c r="J47" i="31"/>
  <c r="J47" i="43"/>
  <c r="H37" i="50"/>
  <c r="J37" s="1"/>
  <c r="J42" i="31"/>
  <c r="J45"/>
  <c r="H36" i="50"/>
  <c r="J36" s="1"/>
  <c r="H46"/>
  <c r="J46" s="1"/>
  <c r="J46" i="31"/>
  <c r="J46" i="43"/>
  <c r="H39" i="50"/>
  <c r="J39" s="1"/>
  <c r="H38"/>
  <c r="J38" s="1"/>
  <c r="J37" i="43"/>
  <c r="J37" i="31"/>
  <c r="H47" i="50"/>
  <c r="J47" s="1"/>
  <c r="J40" i="31"/>
  <c r="J39"/>
  <c r="H48" i="50"/>
  <c r="J48" s="1"/>
  <c r="H44"/>
  <c r="J44" s="1"/>
  <c r="J35" i="31"/>
  <c r="J44"/>
  <c r="H42" i="50"/>
  <c r="J42" s="1"/>
  <c r="J43" i="31"/>
  <c r="H40" i="50"/>
  <c r="J40" s="1"/>
  <c r="J38" i="31"/>
  <c r="H43" i="50"/>
  <c r="J43" s="1"/>
  <c r="H45"/>
  <c r="J45" s="1"/>
  <c r="J36" i="31"/>
  <c r="J58" i="43"/>
  <c r="J59"/>
  <c r="H60" i="50"/>
  <c r="J60" s="1"/>
  <c r="J49" i="43"/>
  <c r="J54"/>
  <c r="H50" i="50"/>
  <c r="J50" s="1"/>
  <c r="H59"/>
  <c r="J59" s="1"/>
  <c r="J50" i="43"/>
  <c r="J49" i="31"/>
  <c r="H57" i="50"/>
  <c r="J57" s="1"/>
  <c r="J56" i="43"/>
  <c r="J60"/>
  <c r="H51" i="50"/>
  <c r="J51" s="1"/>
  <c r="J53" i="43"/>
  <c r="H54" i="50"/>
  <c r="J54" s="1"/>
  <c r="J55" i="43"/>
  <c r="J57"/>
  <c r="H55" i="50"/>
  <c r="J55" s="1"/>
  <c r="J56" i="31"/>
  <c r="J54"/>
  <c r="J52" i="43"/>
  <c r="J53" i="31"/>
  <c r="H56" i="50"/>
  <c r="J56" s="1"/>
  <c r="J51" i="31"/>
  <c r="J51" i="43"/>
  <c r="H53" i="50"/>
  <c r="J53" s="1"/>
  <c r="J50" i="31"/>
  <c r="J52"/>
  <c r="H61" i="50"/>
  <c r="J61" s="1"/>
  <c r="H58"/>
  <c r="J58" s="1"/>
  <c r="J57" i="31"/>
  <c r="H52" i="50"/>
  <c r="J52" s="1"/>
  <c r="J58" i="31"/>
  <c r="J55"/>
  <c r="J60"/>
  <c r="J59"/>
  <c r="J8" i="12"/>
  <c r="H8" i="13"/>
  <c r="H8" i="14" s="1"/>
  <c r="J11" i="19" l="1"/>
  <c r="H11" i="21"/>
  <c r="J11" i="20"/>
  <c r="H13" i="28"/>
  <c r="H13" i="29" s="1"/>
  <c r="H13" i="30" s="1"/>
  <c r="H13" i="43" s="1"/>
  <c r="J1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s="1"/>
  <c r="H14" i="50"/>
  <c r="J14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s="1"/>
  <c r="J11" i="43"/>
  <c r="J8" i="25"/>
  <c r="H8" i="40"/>
  <c r="H8" i="27" l="1"/>
  <c r="J8" i="40"/>
  <c r="H8" i="28" l="1"/>
  <c r="J8" i="27"/>
  <c r="J8" i="28" l="1"/>
  <c r="H8" i="29"/>
  <c r="J8" l="1"/>
  <c r="H8" i="30"/>
  <c r="J8" l="1"/>
  <c r="H8" i="43"/>
  <c r="J8" l="1"/>
  <c r="H8" i="50"/>
  <c r="J8" s="1"/>
  <c r="H8" i="31"/>
  <c r="J8" s="1"/>
</calcChain>
</file>

<file path=xl/sharedStrings.xml><?xml version="1.0" encoding="utf-8"?>
<sst xmlns="http://schemas.openxmlformats.org/spreadsheetml/2006/main" count="10761" uniqueCount="373">
  <si>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</si>
  <si>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</si>
  <si>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</si>
  <si>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</si>
  <si>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</si>
  <si>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</si>
  <si>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</si>
  <si>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</si>
  <si>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</si>
  <si>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</si>
  <si>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</si>
  <si>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</si>
  <si>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</si>
  <si>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</si>
  <si>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</si>
  <si>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</si>
  <si>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</si>
  <si>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</si>
  <si>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</si>
  <si>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</si>
  <si>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</si>
  <si>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</si>
  <si>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</si>
  <si>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</si>
  <si>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</si>
  <si>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</si>
  <si>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</si>
  <si>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</si>
  <si>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</si>
  <si>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</si>
  <si>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</si>
  <si>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</si>
  <si>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</si>
  <si>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</si>
  <si>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</si>
  <si>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</si>
  <si>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</si>
  <si>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</si>
  <si>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</si>
  <si>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</si>
  <si>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</si>
  <si>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</si>
  <si>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</si>
  <si>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</si>
  <si>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</si>
  <si>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</si>
  <si>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</si>
  <si>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</si>
  <si>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</si>
  <si>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</si>
  <si>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</si>
  <si>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</si>
  <si>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</si>
  <si>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</si>
  <si>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</si>
  <si>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</si>
  <si>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</si>
  <si>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</si>
  <si>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</si>
  <si>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</si>
  <si>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</si>
  <si>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</si>
  <si>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</si>
  <si>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</si>
  <si>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</si>
  <si>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</si>
  <si>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</si>
  <si>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</si>
  <si>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</si>
  <si>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</si>
  <si>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</si>
  <si>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</si>
  <si>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</si>
  <si>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</si>
  <si>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</si>
  <si>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</si>
  <si>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</si>
  <si>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</si>
  <si>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</si>
  <si>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</si>
  <si>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</si>
  <si>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</si>
  <si>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</si>
  <si>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</si>
  <si>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</si>
  <si>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</si>
  <si>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</si>
  <si>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</si>
  <si>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</si>
  <si>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</si>
  <si>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</si>
  <si>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</si>
  <si>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</si>
  <si>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</si>
  <si>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</si>
  <si>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</si>
  <si>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</si>
  <si>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</si>
  <si>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</si>
  <si>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</si>
  <si>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</si>
  <si>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</si>
  <si>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</si>
  <si>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</si>
  <si>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</si>
  <si>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</si>
  <si>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</si>
  <si>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</si>
  <si>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</si>
  <si>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</si>
  <si>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</si>
  <si>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</si>
  <si>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</si>
  <si>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</si>
  <si>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</si>
  <si>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</si>
  <si>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</si>
  <si>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</si>
  <si>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</si>
  <si>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</si>
  <si>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</si>
  <si>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</si>
  <si>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</si>
  <si>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</si>
  <si>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</si>
  <si>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</si>
  <si>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</si>
  <si>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</si>
  <si>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</si>
  <si>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</si>
  <si>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</si>
  <si>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</si>
  <si>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</si>
  <si>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</si>
  <si>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</si>
  <si>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</si>
  <si>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</si>
  <si>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</si>
  <si>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</si>
  <si>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</si>
  <si>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</si>
  <si>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</si>
  <si>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</si>
  <si>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</si>
  <si>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</si>
  <si>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</si>
  <si>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</si>
  <si>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</si>
  <si>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</si>
  <si>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</si>
  <si>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</si>
  <si>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</si>
  <si>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</si>
  <si>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</si>
  <si>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</si>
  <si>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</si>
  <si>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</si>
  <si>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</si>
  <si>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</si>
  <si>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</si>
  <si>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</si>
  <si>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</si>
  <si>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</si>
  <si>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</si>
  <si>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</si>
  <si>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</si>
  <si>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</si>
  <si>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</si>
  <si>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</si>
  <si>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</si>
  <si>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</si>
  <si>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</si>
  <si>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</si>
  <si>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</si>
  <si>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</si>
  <si>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</si>
  <si>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</si>
  <si>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</si>
  <si>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</si>
  <si>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</si>
  <si>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</si>
  <si>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</si>
  <si>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</si>
  <si>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</si>
  <si>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</si>
  <si>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</si>
  <si>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</si>
  <si>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</si>
  <si>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</si>
  <si>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</si>
  <si>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</si>
  <si>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</si>
  <si>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</si>
  <si>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</si>
  <si>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</si>
  <si>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</si>
  <si>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</si>
  <si>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</si>
  <si>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</si>
  <si>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</si>
  <si>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</si>
  <si>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</si>
  <si>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</si>
  <si>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</si>
  <si>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</si>
  <si>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</si>
  <si>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</si>
  <si>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</si>
  <si>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</si>
  <si>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</si>
  <si>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</si>
  <si>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</si>
  <si>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</si>
  <si>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</si>
  <si>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</si>
  <si>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</si>
  <si>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</si>
  <si>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</si>
  <si>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</si>
  <si>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</si>
  <si>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</si>
  <si>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</si>
  <si>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</si>
  <si>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</si>
  <si>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</si>
  <si>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</si>
  <si>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</si>
  <si>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</si>
  <si>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</si>
  <si>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</si>
  <si>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</si>
  <si>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</si>
  <si>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</si>
  <si>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</si>
  <si>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</si>
  <si>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</si>
  <si>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</si>
  <si>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</si>
  <si>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</si>
  <si>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</si>
  <si>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</si>
  <si>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</si>
  <si>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</si>
  <si>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</si>
  <si>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</si>
  <si>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</si>
  <si>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</si>
  <si>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</si>
  <si>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</si>
  <si>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</si>
  <si>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</si>
  <si>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</si>
  <si>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</si>
  <si>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</si>
  <si>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</si>
  <si>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</si>
  <si>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</si>
  <si>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</si>
  <si>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</si>
  <si>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</si>
  <si>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</si>
  <si>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</si>
  <si>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</si>
  <si>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</si>
  <si>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</si>
  <si>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</si>
  <si>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</si>
  <si>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</si>
  <si>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</si>
  <si>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</si>
  <si>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</si>
  <si>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</si>
  <si>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</si>
  <si>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</si>
  <si>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</si>
  <si>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</si>
  <si>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</si>
  <si>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</si>
  <si>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</si>
  <si>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</si>
  <si>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</si>
  <si>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</si>
  <si>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</si>
  <si>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</si>
  <si>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</si>
  <si>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</si>
  <si>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</si>
  <si>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</si>
  <si>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</si>
  <si>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</si>
  <si>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</si>
  <si>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</si>
  <si>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</si>
  <si>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</si>
  <si>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</si>
  <si>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</si>
  <si>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</si>
  <si>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</si>
  <si>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</si>
  <si>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</si>
  <si>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</si>
  <si>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</si>
  <si>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</si>
  <si>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</si>
  <si>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</si>
  <si>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</si>
  <si>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</si>
  <si>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</si>
  <si>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</si>
  <si>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</si>
  <si>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</si>
  <si>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</si>
  <si>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</si>
  <si>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</si>
  <si>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</si>
  <si>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</si>
  <si>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</si>
  <si>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</si>
  <si>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</si>
  <si>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</si>
  <si>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</si>
  <si>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</si>
  <si>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</si>
  <si>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</si>
  <si>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</si>
  <si>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</si>
  <si>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</si>
  <si>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</si>
  <si>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</si>
  <si>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</si>
  <si>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</si>
  <si>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</si>
  <si>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</si>
  <si>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</si>
  <si>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</si>
  <si>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</si>
  <si>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</si>
  <si>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</si>
  <si>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</si>
  <si>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</si>
  <si>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</si>
  <si>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</si>
  <si>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</si>
  <si>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</si>
  <si>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</si>
  <si>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</si>
  <si>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</si>
  <si>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</si>
  <si>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</si>
  <si>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</si>
  <si>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</si>
  <si>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</si>
  <si>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</si>
  <si>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</si>
  <si>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</si>
  <si>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</si>
  <si>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</si>
  <si>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</si>
  <si>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</si>
  <si>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</si>
  <si>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</si>
  <si>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</si>
  <si>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</si>
  <si>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 xml:space="preserve">Prepaired by--- Nilesh </t>
  </si>
  <si>
    <t>sump pump power panel (WTP)</t>
  </si>
  <si>
    <t>Fire pump power panel (WTP)</t>
  </si>
  <si>
    <t>+</t>
  </si>
  <si>
    <t>Need to check</t>
  </si>
  <si>
    <t>meter need to check</t>
  </si>
  <si>
    <t>Yesterday.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</si>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</sst>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86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i/>
      <sz val="16"/>
      <name val="Arial"/>
      <family val="2"/>
    </font>
    <font>
      <b/>
      <i/>
      <sz val="16"/>
      <name val="Arial Unicode MS"/>
      <family val="2"/>
    </font>
    <font>
      <sz val="18"/>
      <color indexed="8"/>
      <name val="Arial Unicode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82" fillId="0" borderId="0" applyFont="0" applyFill="0" applyBorder="0" applyAlignment="0" applyProtection="0"/>
  </cellStyleXfs>
  <cellXfs count="938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166" fontId="70" fillId="8" borderId="12" xfId="3" applyNumberFormat="1" applyFont="1" applyFill="1" applyBorder="1" applyAlignment="1">
      <alignment horizontal="center" wrapText="1" shrinkToFit="1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9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2" fontId="70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16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8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9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2" fontId="70" fillId="9" borderId="1" xfId="3" applyNumberFormat="1" applyFont="1" applyFill="1" applyBorder="1" applyAlignment="1">
      <alignment horizontal="center"/>
    </xf>
    <xf numFmtId="0" fontId="77" fillId="2" borderId="0" xfId="3" applyFont="1" applyFill="1" applyBorder="1" applyAlignment="1">
      <alignment horizontal="center" vertical="center"/>
    </xf>
    <xf numFmtId="166" fontId="77" fillId="2" borderId="0" xfId="3" applyNumberFormat="1" applyFont="1" applyFill="1" applyBorder="1" applyAlignment="1">
      <alignment horizontal="center"/>
    </xf>
    <xf numFmtId="166" fontId="78" fillId="2" borderId="0" xfId="3" applyNumberFormat="1" applyFont="1" applyFill="1" applyBorder="1" applyAlignment="1">
      <alignment horizontal="center" vertical="center" wrapText="1" shrinkToFit="1"/>
    </xf>
    <xf numFmtId="0" fontId="78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8" fillId="2" borderId="0" xfId="5" applyNumberFormat="1" applyFont="1" applyFill="1" applyBorder="1" applyAlignment="1" applyProtection="1">
      <alignment horizontal="center"/>
    </xf>
    <xf numFmtId="0" fontId="78" fillId="2" borderId="0" xfId="3" applyFont="1" applyFill="1" applyBorder="1" applyAlignment="1">
      <alignment horizontal="center"/>
    </xf>
    <xf numFmtId="0" fontId="78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6" fontId="78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6" fontId="78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0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38" fillId="10" borderId="1" xfId="5" applyNumberFormat="1" applyFont="1" applyFill="1" applyBorder="1" applyAlignment="1">
      <alignment horizontal="center" vertic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1" fillId="0" borderId="16" xfId="1" applyFont="1" applyFill="1" applyBorder="1" applyAlignment="1">
      <alignment vertical="top" wrapText="1"/>
    </xf>
    <xf numFmtId="0" fontId="81" fillId="0" borderId="1" xfId="1" applyFont="1" applyFill="1" applyBorder="1" applyAlignment="1">
      <alignment horizontal="center" vertical="top" wrapText="1"/>
    </xf>
    <xf numFmtId="0" fontId="8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0" fontId="48" fillId="2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38" fontId="43" fillId="12" borderId="1" xfId="0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165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7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83" fillId="17" borderId="3" xfId="3" applyNumberFormat="1" applyFont="1" applyFill="1" applyBorder="1" applyAlignment="1">
      <alignment horizontal="center"/>
    </xf>
    <xf numFmtId="1" fontId="78" fillId="17" borderId="3" xfId="3" applyNumberFormat="1" applyFont="1" applyFill="1" applyBorder="1" applyAlignment="1">
      <alignment horizontal="center"/>
    </xf>
    <xf numFmtId="1" fontId="78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38" fontId="38" fillId="9" borderId="1" xfId="3" applyNumberFormat="1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/>
    </xf>
    <xf numFmtId="1" fontId="46" fillId="2" borderId="1" xfId="5" applyNumberFormat="1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/>
    </xf>
    <xf numFmtId="1" fontId="43" fillId="8" borderId="1" xfId="3" applyNumberFormat="1" applyFont="1" applyFill="1" applyBorder="1" applyAlignment="1">
      <alignment horizontal="center"/>
    </xf>
    <xf numFmtId="1" fontId="43" fillId="8" borderId="1" xfId="5" applyNumberFormat="1" applyFont="1" applyFill="1" applyBorder="1" applyAlignment="1" applyProtection="1">
      <alignment horizontal="center"/>
    </xf>
    <xf numFmtId="1" fontId="84" fillId="17" borderId="3" xfId="3" applyNumberFormat="1" applyFont="1" applyFill="1" applyBorder="1" applyAlignment="1">
      <alignment horizontal="center"/>
    </xf>
    <xf numFmtId="38" fontId="38" fillId="2" borderId="1" xfId="5" applyNumberFormat="1" applyFont="1" applyFill="1" applyBorder="1" applyAlignment="1">
      <alignment horizontal="center"/>
    </xf>
    <xf numFmtId="38" fontId="43" fillId="0" borderId="0" xfId="0" applyNumberFormat="1" applyFont="1" applyBorder="1" applyAlignment="1">
      <alignment horizontal="center"/>
    </xf>
    <xf numFmtId="38" fontId="43" fillId="0" borderId="0" xfId="0" applyNumberFormat="1" applyFont="1" applyAlignment="1">
      <alignment horizontal="center"/>
    </xf>
    <xf numFmtId="38" fontId="38" fillId="0" borderId="1" xfId="5" applyNumberFormat="1" applyFont="1" applyFill="1" applyBorder="1" applyAlignment="1">
      <alignment horizontal="center"/>
    </xf>
    <xf numFmtId="38" fontId="38" fillId="0" borderId="0" xfId="5" applyNumberFormat="1" applyFont="1" applyFill="1" applyBorder="1" applyAlignment="1">
      <alignment horizontal="center"/>
    </xf>
    <xf numFmtId="43" fontId="45" fillId="8" borderId="1" xfId="19" applyFont="1" applyFill="1" applyBorder="1" applyAlignment="1" applyProtection="1">
      <alignment horizontal="center"/>
    </xf>
    <xf numFmtId="43" fontId="70" fillId="8" borderId="1" xfId="19" applyFont="1" applyFill="1" applyBorder="1" applyAlignment="1">
      <alignment horizontal="center"/>
    </xf>
    <xf numFmtId="43" fontId="74" fillId="2" borderId="1" xfId="19" applyFont="1" applyFill="1" applyBorder="1" applyAlignment="1">
      <alignment horizontal="center"/>
    </xf>
    <xf numFmtId="43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38" fontId="38" fillId="1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5" fillId="0" borderId="2" xfId="4" applyFont="1" applyBorder="1" applyAlignment="1">
      <alignment horizontal="left"/>
    </xf>
    <xf numFmtId="0" fontId="85" fillId="0" borderId="3" xfId="4" applyFont="1" applyBorder="1" applyAlignment="1">
      <alignment horizontal="left"/>
    </xf>
    <xf numFmtId="0" fontId="85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79" fillId="17" borderId="13" xfId="3" applyFont="1" applyFill="1" applyBorder="1" applyAlignment="1">
      <alignment horizontal="center" vertical="center"/>
    </xf>
    <xf numFmtId="0" fontId="79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6"/>
    <cellStyle name="Normal 4 2" xfId="18"/>
    <cellStyle name="Normal 5" xfId="17"/>
    <cellStyle name="Percent 2" xfId="6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</c:v>
                </c:pt>
                <c:pt idx="1">
                  <c:v>24.110000000000582</c:v>
                </c:pt>
                <c:pt idx="2">
                  <c:v>24.040000000000873</c:v>
                </c:pt>
                <c:pt idx="3">
                  <c:v>24.680000000000291</c:v>
                </c:pt>
                <c:pt idx="4">
                  <c:v>23.489999999997963</c:v>
                </c:pt>
                <c:pt idx="5">
                  <c:v>24.160000000003492</c:v>
                </c:pt>
                <c:pt idx="6">
                  <c:v>24.439999999995052</c:v>
                </c:pt>
                <c:pt idx="7">
                  <c:v>24.080000000001746</c:v>
                </c:pt>
                <c:pt idx="8">
                  <c:v>24</c:v>
                </c:pt>
                <c:pt idx="9">
                  <c:v>23.990000000000236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24.489999999997963</c:v>
                </c:pt>
                <c:pt idx="15">
                  <c:v>23.510000000002037</c:v>
                </c:pt>
                <c:pt idx="16">
                  <c:v>24.30000000000291</c:v>
                </c:pt>
                <c:pt idx="17">
                  <c:v>24.019999999996799</c:v>
                </c:pt>
                <c:pt idx="18">
                  <c:v>25.080000000001746</c:v>
                </c:pt>
                <c:pt idx="19">
                  <c:v>24.240000000002965</c:v>
                </c:pt>
                <c:pt idx="20">
                  <c:v>24.219999999993888</c:v>
                </c:pt>
                <c:pt idx="21">
                  <c:v>24.410000000003492</c:v>
                </c:pt>
                <c:pt idx="22">
                  <c:v>24.25</c:v>
                </c:pt>
                <c:pt idx="23">
                  <c:v>23.489999999997963</c:v>
                </c:pt>
                <c:pt idx="24">
                  <c:v>21.84000000000151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23.860000000000582</c:v>
                </c:pt>
                <c:pt idx="29">
                  <c:v>24</c:v>
                </c:pt>
                <c:pt idx="30">
                  <c:v>23.689999999995052</c:v>
                </c:pt>
                <c:pt idx="31">
                  <c:v>744.38999999999714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46342656"/>
        <c:axId val="146344192"/>
      </c:lineChart>
      <c:catAx>
        <c:axId val="1463426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44192"/>
        <c:crosses val="autoZero"/>
        <c:auto val="1"/>
        <c:lblAlgn val="ctr"/>
        <c:lblOffset val="100"/>
      </c:catAx>
      <c:valAx>
        <c:axId val="146344192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46342656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16.080000000001746</c:v>
                </c:pt>
                <c:pt idx="1">
                  <c:v>12.309999999994034</c:v>
                </c:pt>
                <c:pt idx="2">
                  <c:v>3.2400000000052387</c:v>
                </c:pt>
                <c:pt idx="3">
                  <c:v>14.849999999998545</c:v>
                </c:pt>
                <c:pt idx="4">
                  <c:v>13.659999999996217</c:v>
                </c:pt>
                <c:pt idx="5">
                  <c:v>11.86000000000422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13</c:v>
                </c:pt>
                <c:pt idx="10">
                  <c:v>12</c:v>
                </c:pt>
                <c:pt idx="11">
                  <c:v>9.1699999999946158</c:v>
                </c:pt>
                <c:pt idx="12">
                  <c:v>15.580000000009022</c:v>
                </c:pt>
                <c:pt idx="13">
                  <c:v>11.039999999997235</c:v>
                </c:pt>
                <c:pt idx="14">
                  <c:v>12.920000000001892</c:v>
                </c:pt>
                <c:pt idx="15">
                  <c:v>17.830000000001746</c:v>
                </c:pt>
                <c:pt idx="16">
                  <c:v>8.3799999999973807</c:v>
                </c:pt>
                <c:pt idx="17">
                  <c:v>10.000000000003638</c:v>
                </c:pt>
                <c:pt idx="18">
                  <c:v>9.0900000000001455</c:v>
                </c:pt>
                <c:pt idx="19">
                  <c:v>13.929999999989377</c:v>
                </c:pt>
                <c:pt idx="20">
                  <c:v>12.419999999998254</c:v>
                </c:pt>
                <c:pt idx="21">
                  <c:v>13.330000000009022</c:v>
                </c:pt>
                <c:pt idx="22">
                  <c:v>11.669999999994616</c:v>
                </c:pt>
                <c:pt idx="23">
                  <c:v>12.640000000003056</c:v>
                </c:pt>
                <c:pt idx="24">
                  <c:v>8.9799999999995634</c:v>
                </c:pt>
                <c:pt idx="25">
                  <c:v>12.020000000000437</c:v>
                </c:pt>
                <c:pt idx="26">
                  <c:v>12</c:v>
                </c:pt>
                <c:pt idx="27">
                  <c:v>13.259999999994761</c:v>
                </c:pt>
                <c:pt idx="28">
                  <c:v>10.860000000007858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373.87000000000626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46406016"/>
        <c:axId val="151298432"/>
      </c:lineChart>
      <c:catAx>
        <c:axId val="14640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98432"/>
        <c:crosses val="autoZero"/>
        <c:auto val="1"/>
        <c:lblAlgn val="ctr"/>
        <c:lblOffset val="100"/>
      </c:catAx>
      <c:valAx>
        <c:axId val="15129843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40601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473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54</c:v>
                </c:pt>
                <c:pt idx="1">
                  <c:v>56</c:v>
                </c:pt>
                <c:pt idx="2">
                  <c:v>356</c:v>
                </c:pt>
                <c:pt idx="3">
                  <c:v>219</c:v>
                </c:pt>
                <c:pt idx="4">
                  <c:v>171</c:v>
                </c:pt>
                <c:pt idx="5">
                  <c:v>164</c:v>
                </c:pt>
                <c:pt idx="6">
                  <c:v>214</c:v>
                </c:pt>
                <c:pt idx="7">
                  <c:v>211</c:v>
                </c:pt>
                <c:pt idx="8">
                  <c:v>205</c:v>
                </c:pt>
                <c:pt idx="9">
                  <c:v>124</c:v>
                </c:pt>
                <c:pt idx="10">
                  <c:v>130</c:v>
                </c:pt>
                <c:pt idx="11">
                  <c:v>136</c:v>
                </c:pt>
                <c:pt idx="12">
                  <c:v>103</c:v>
                </c:pt>
                <c:pt idx="13">
                  <c:v>114</c:v>
                </c:pt>
                <c:pt idx="14">
                  <c:v>155</c:v>
                </c:pt>
                <c:pt idx="15">
                  <c:v>135</c:v>
                </c:pt>
                <c:pt idx="16">
                  <c:v>133</c:v>
                </c:pt>
                <c:pt idx="17">
                  <c:v>154</c:v>
                </c:pt>
                <c:pt idx="18">
                  <c:v>157</c:v>
                </c:pt>
                <c:pt idx="19">
                  <c:v>216</c:v>
                </c:pt>
                <c:pt idx="20">
                  <c:v>167</c:v>
                </c:pt>
                <c:pt idx="21">
                  <c:v>176</c:v>
                </c:pt>
                <c:pt idx="22">
                  <c:v>216</c:v>
                </c:pt>
                <c:pt idx="23">
                  <c:v>212</c:v>
                </c:pt>
                <c:pt idx="24">
                  <c:v>190</c:v>
                </c:pt>
                <c:pt idx="25">
                  <c:v>175</c:v>
                </c:pt>
                <c:pt idx="26">
                  <c:v>177</c:v>
                </c:pt>
                <c:pt idx="27">
                  <c:v>92</c:v>
                </c:pt>
                <c:pt idx="28">
                  <c:v>312</c:v>
                </c:pt>
                <c:pt idx="29">
                  <c:v>226</c:v>
                </c:pt>
                <c:pt idx="30">
                  <c:v>146</c:v>
                </c:pt>
                <c:pt idx="31">
                  <c:v>5296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51676032"/>
        <c:axId val="151677568"/>
      </c:lineChart>
      <c:catAx>
        <c:axId val="15167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77568"/>
        <c:crosses val="autoZero"/>
        <c:auto val="1"/>
        <c:lblAlgn val="ctr"/>
        <c:lblOffset val="100"/>
      </c:catAx>
      <c:valAx>
        <c:axId val="151677568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76032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251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1070.0859999998938</c:v>
                </c:pt>
                <c:pt idx="1">
                  <c:v>808.52700000000186</c:v>
                </c:pt>
                <c:pt idx="2">
                  <c:v>524.78700000001118</c:v>
                </c:pt>
                <c:pt idx="3">
                  <c:v>1035.25</c:v>
                </c:pt>
                <c:pt idx="4">
                  <c:v>1002.0500000000466</c:v>
                </c:pt>
                <c:pt idx="5">
                  <c:v>933.30000000004657</c:v>
                </c:pt>
                <c:pt idx="6">
                  <c:v>963</c:v>
                </c:pt>
                <c:pt idx="7">
                  <c:v>925</c:v>
                </c:pt>
                <c:pt idx="8">
                  <c:v>907</c:v>
                </c:pt>
                <c:pt idx="9">
                  <c:v>759</c:v>
                </c:pt>
                <c:pt idx="10">
                  <c:v>931</c:v>
                </c:pt>
                <c:pt idx="11">
                  <c:v>644</c:v>
                </c:pt>
                <c:pt idx="12">
                  <c:v>957</c:v>
                </c:pt>
                <c:pt idx="13">
                  <c:v>745</c:v>
                </c:pt>
                <c:pt idx="14">
                  <c:v>965</c:v>
                </c:pt>
                <c:pt idx="15">
                  <c:v>1006</c:v>
                </c:pt>
                <c:pt idx="16">
                  <c:v>734.2730000000447</c:v>
                </c:pt>
                <c:pt idx="17">
                  <c:v>881.7269999999553</c:v>
                </c:pt>
                <c:pt idx="18">
                  <c:v>834.30000000004657</c:v>
                </c:pt>
                <c:pt idx="19">
                  <c:v>986.94999999995343</c:v>
                </c:pt>
                <c:pt idx="20">
                  <c:v>1017.3400000000838</c:v>
                </c:pt>
                <c:pt idx="21">
                  <c:v>1036.4099999999162</c:v>
                </c:pt>
                <c:pt idx="22">
                  <c:v>979.91999999992549</c:v>
                </c:pt>
                <c:pt idx="23">
                  <c:v>1037.0800000000745</c:v>
                </c:pt>
                <c:pt idx="24">
                  <c:v>815</c:v>
                </c:pt>
                <c:pt idx="25">
                  <c:v>936</c:v>
                </c:pt>
                <c:pt idx="26">
                  <c:v>954</c:v>
                </c:pt>
                <c:pt idx="27">
                  <c:v>971</c:v>
                </c:pt>
                <c:pt idx="28">
                  <c:v>1002</c:v>
                </c:pt>
                <c:pt idx="29">
                  <c:v>929</c:v>
                </c:pt>
                <c:pt idx="30">
                  <c:v>915.76699999999255</c:v>
                </c:pt>
                <c:pt idx="31">
                  <c:v>28206.766999999993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51698048"/>
        <c:axId val="156639616"/>
      </c:lineChart>
      <c:catAx>
        <c:axId val="15169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39616"/>
        <c:crosses val="autoZero"/>
        <c:auto val="1"/>
        <c:lblAlgn val="ctr"/>
        <c:lblOffset val="100"/>
      </c:catAx>
      <c:valAx>
        <c:axId val="15663961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9804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502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2724.390000000014</c:v>
                </c:pt>
                <c:pt idx="1">
                  <c:v>2721.7999999999884</c:v>
                </c:pt>
                <c:pt idx="2">
                  <c:v>2758.7999999999884</c:v>
                </c:pt>
                <c:pt idx="3">
                  <c:v>2740.5200000000186</c:v>
                </c:pt>
                <c:pt idx="4">
                  <c:v>2669.0800000000163</c:v>
                </c:pt>
                <c:pt idx="5">
                  <c:v>2707.4099999999744</c:v>
                </c:pt>
                <c:pt idx="6">
                  <c:v>2675</c:v>
                </c:pt>
                <c:pt idx="7">
                  <c:v>2685</c:v>
                </c:pt>
                <c:pt idx="8">
                  <c:v>2610</c:v>
                </c:pt>
                <c:pt idx="9">
                  <c:v>2574</c:v>
                </c:pt>
                <c:pt idx="10">
                  <c:v>2471</c:v>
                </c:pt>
                <c:pt idx="11">
                  <c:v>2461</c:v>
                </c:pt>
                <c:pt idx="12">
                  <c:v>2404</c:v>
                </c:pt>
                <c:pt idx="13">
                  <c:v>2495</c:v>
                </c:pt>
                <c:pt idx="14">
                  <c:v>2494.9000000000015</c:v>
                </c:pt>
                <c:pt idx="15">
                  <c:v>2600.0999999999985</c:v>
                </c:pt>
                <c:pt idx="16">
                  <c:v>2698</c:v>
                </c:pt>
                <c:pt idx="17">
                  <c:v>2546.4900000000016</c:v>
                </c:pt>
                <c:pt idx="18">
                  <c:v>2646.0699999999997</c:v>
                </c:pt>
                <c:pt idx="19">
                  <c:v>2507.0499999999993</c:v>
                </c:pt>
                <c:pt idx="20">
                  <c:v>2598.239999999998</c:v>
                </c:pt>
                <c:pt idx="21">
                  <c:v>2648.7000000000044</c:v>
                </c:pt>
                <c:pt idx="22">
                  <c:v>2576.25</c:v>
                </c:pt>
                <c:pt idx="23">
                  <c:v>2607.1999999999971</c:v>
                </c:pt>
                <c:pt idx="24">
                  <c:v>2591</c:v>
                </c:pt>
                <c:pt idx="25">
                  <c:v>2557</c:v>
                </c:pt>
                <c:pt idx="26">
                  <c:v>2612</c:v>
                </c:pt>
                <c:pt idx="27">
                  <c:v>2604</c:v>
                </c:pt>
                <c:pt idx="28">
                  <c:v>2606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80855.290000000008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56567040"/>
        <c:axId val="156568576"/>
      </c:lineChart>
      <c:catAx>
        <c:axId val="15656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8576"/>
        <c:crosses val="autoZero"/>
        <c:auto val="1"/>
        <c:lblAlgn val="ctr"/>
        <c:lblOffset val="100"/>
      </c:catAx>
      <c:valAx>
        <c:axId val="15656857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7040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2052.1199999999953</c:v>
                </c:pt>
                <c:pt idx="1">
                  <c:v>2014.5200000000186</c:v>
                </c:pt>
                <c:pt idx="2">
                  <c:v>1878.3099999999977</c:v>
                </c:pt>
                <c:pt idx="3">
                  <c:v>1887.8299999999872</c:v>
                </c:pt>
                <c:pt idx="4">
                  <c:v>1878.8500000000058</c:v>
                </c:pt>
                <c:pt idx="5">
                  <c:v>1804.3699999999953</c:v>
                </c:pt>
                <c:pt idx="6">
                  <c:v>1888</c:v>
                </c:pt>
                <c:pt idx="7">
                  <c:v>1796</c:v>
                </c:pt>
                <c:pt idx="8">
                  <c:v>1783</c:v>
                </c:pt>
                <c:pt idx="9">
                  <c:v>1614</c:v>
                </c:pt>
                <c:pt idx="10">
                  <c:v>1463</c:v>
                </c:pt>
                <c:pt idx="11">
                  <c:v>1522</c:v>
                </c:pt>
                <c:pt idx="12">
                  <c:v>1459</c:v>
                </c:pt>
                <c:pt idx="13">
                  <c:v>1363</c:v>
                </c:pt>
                <c:pt idx="14">
                  <c:v>1301.8400000000001</c:v>
                </c:pt>
                <c:pt idx="15">
                  <c:v>1269.1599999999999</c:v>
                </c:pt>
                <c:pt idx="16">
                  <c:v>1318.6000000000004</c:v>
                </c:pt>
                <c:pt idx="17">
                  <c:v>1391.7600000000002</c:v>
                </c:pt>
                <c:pt idx="18">
                  <c:v>1817.1599999999999</c:v>
                </c:pt>
                <c:pt idx="19">
                  <c:v>1491.2900000000009</c:v>
                </c:pt>
                <c:pt idx="20">
                  <c:v>1453.9699999999975</c:v>
                </c:pt>
                <c:pt idx="21">
                  <c:v>1422.8000000000029</c:v>
                </c:pt>
                <c:pt idx="22">
                  <c:v>1355.7099999999991</c:v>
                </c:pt>
                <c:pt idx="23">
                  <c:v>1181.7099999999991</c:v>
                </c:pt>
                <c:pt idx="24">
                  <c:v>1308</c:v>
                </c:pt>
                <c:pt idx="25">
                  <c:v>1248</c:v>
                </c:pt>
                <c:pt idx="26">
                  <c:v>1274</c:v>
                </c:pt>
                <c:pt idx="27">
                  <c:v>1316</c:v>
                </c:pt>
                <c:pt idx="28">
                  <c:v>1192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47204.979999999996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56589440"/>
        <c:axId val="156673152"/>
      </c:lineChart>
      <c:catAx>
        <c:axId val="15658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73152"/>
        <c:crosses val="autoZero"/>
        <c:auto val="1"/>
        <c:lblAlgn val="ctr"/>
        <c:lblOffset val="100"/>
      </c:catAx>
      <c:valAx>
        <c:axId val="156673152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8944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0.96</c:v>
                </c:pt>
                <c:pt idx="1">
                  <c:v>0.43559999999999999</c:v>
                </c:pt>
                <c:pt idx="2">
                  <c:v>0.51</c:v>
                </c:pt>
                <c:pt idx="3">
                  <c:v>0.89610000000000001</c:v>
                </c:pt>
                <c:pt idx="4">
                  <c:v>0.55940000000000001</c:v>
                </c:pt>
                <c:pt idx="5">
                  <c:v>0.78</c:v>
                </c:pt>
                <c:pt idx="6">
                  <c:v>0.71</c:v>
                </c:pt>
                <c:pt idx="7">
                  <c:v>0.71</c:v>
                </c:pt>
                <c:pt idx="8">
                  <c:v>0.7</c:v>
                </c:pt>
                <c:pt idx="9">
                  <c:v>0.91</c:v>
                </c:pt>
                <c:pt idx="10">
                  <c:v>0.63</c:v>
                </c:pt>
                <c:pt idx="11">
                  <c:v>0.3</c:v>
                </c:pt>
                <c:pt idx="12">
                  <c:v>0.25</c:v>
                </c:pt>
                <c:pt idx="13">
                  <c:v>0.25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0.71</c:v>
                </c:pt>
                <c:pt idx="21">
                  <c:v>0.97</c:v>
                </c:pt>
                <c:pt idx="22">
                  <c:v>0.61</c:v>
                </c:pt>
                <c:pt idx="23">
                  <c:v>0.75</c:v>
                </c:pt>
                <c:pt idx="24">
                  <c:v>0.92</c:v>
                </c:pt>
                <c:pt idx="25">
                  <c:v>0.87</c:v>
                </c:pt>
                <c:pt idx="26">
                  <c:v>0.74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1.3780935483870969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56714112"/>
        <c:axId val="156715648"/>
      </c:lineChart>
      <c:catAx>
        <c:axId val="15671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15648"/>
        <c:crosses val="autoZero"/>
        <c:auto val="1"/>
        <c:lblAlgn val="ctr"/>
        <c:lblOffset val="100"/>
      </c:catAx>
      <c:valAx>
        <c:axId val="1567156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567141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20449</c:v>
                </c:pt>
                <c:pt idx="1">
                  <c:v>19893</c:v>
                </c:pt>
                <c:pt idx="2">
                  <c:v>19529</c:v>
                </c:pt>
                <c:pt idx="3">
                  <c:v>20218.950000000012</c:v>
                </c:pt>
                <c:pt idx="4">
                  <c:v>20335.049999999988</c:v>
                </c:pt>
                <c:pt idx="5">
                  <c:v>20708</c:v>
                </c:pt>
                <c:pt idx="6">
                  <c:v>20261</c:v>
                </c:pt>
                <c:pt idx="7">
                  <c:v>19647</c:v>
                </c:pt>
                <c:pt idx="8">
                  <c:v>18011</c:v>
                </c:pt>
                <c:pt idx="9">
                  <c:v>17063</c:v>
                </c:pt>
                <c:pt idx="10">
                  <c:v>17262</c:v>
                </c:pt>
                <c:pt idx="11">
                  <c:v>16713</c:v>
                </c:pt>
                <c:pt idx="12">
                  <c:v>17050</c:v>
                </c:pt>
                <c:pt idx="13">
                  <c:v>17430</c:v>
                </c:pt>
                <c:pt idx="14">
                  <c:v>17328.710000000021</c:v>
                </c:pt>
                <c:pt idx="15">
                  <c:v>17406.289999999979</c:v>
                </c:pt>
                <c:pt idx="16">
                  <c:v>17543</c:v>
                </c:pt>
                <c:pt idx="17">
                  <c:v>18064.830000000016</c:v>
                </c:pt>
                <c:pt idx="18">
                  <c:v>18721.169999999984</c:v>
                </c:pt>
                <c:pt idx="19">
                  <c:v>17336.710000000021</c:v>
                </c:pt>
                <c:pt idx="20">
                  <c:v>18548.039999999979</c:v>
                </c:pt>
                <c:pt idx="21">
                  <c:v>19922.760000000009</c:v>
                </c:pt>
                <c:pt idx="22">
                  <c:v>19388.319999999949</c:v>
                </c:pt>
                <c:pt idx="23">
                  <c:v>16876.170000000042</c:v>
                </c:pt>
                <c:pt idx="24">
                  <c:v>16627</c:v>
                </c:pt>
                <c:pt idx="25">
                  <c:v>16892</c:v>
                </c:pt>
                <c:pt idx="26">
                  <c:v>17701</c:v>
                </c:pt>
                <c:pt idx="27">
                  <c:v>17886</c:v>
                </c:pt>
                <c:pt idx="28">
                  <c:v>17492</c:v>
                </c:pt>
                <c:pt idx="29">
                  <c:v>17529</c:v>
                </c:pt>
                <c:pt idx="30">
                  <c:v>17830.150000000023</c:v>
                </c:pt>
                <c:pt idx="31">
                  <c:v>567663.15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56765184"/>
        <c:axId val="156791552"/>
      </c:lineChart>
      <c:catAx>
        <c:axId val="15676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1552"/>
        <c:crosses val="autoZero"/>
        <c:auto val="1"/>
        <c:lblAlgn val="ctr"/>
        <c:lblOffset val="100"/>
      </c:catAx>
      <c:valAx>
        <c:axId val="156791552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6518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9.6599999999998545</c:v>
                </c:pt>
                <c:pt idx="1">
                  <c:v>9.0100000000002183</c:v>
                </c:pt>
                <c:pt idx="2">
                  <c:v>8.5399999999999636</c:v>
                </c:pt>
                <c:pt idx="3">
                  <c:v>11.090000000000146</c:v>
                </c:pt>
                <c:pt idx="4">
                  <c:v>9.8599999999996726</c:v>
                </c:pt>
                <c:pt idx="5">
                  <c:v>10.650000000000546</c:v>
                </c:pt>
                <c:pt idx="6">
                  <c:v>10.529999999999745</c:v>
                </c:pt>
                <c:pt idx="7">
                  <c:v>10.659999999999854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9.4200000000000728</c:v>
                </c:pt>
                <c:pt idx="12">
                  <c:v>10.899999999999636</c:v>
                </c:pt>
                <c:pt idx="13">
                  <c:v>11.450000000000728</c:v>
                </c:pt>
                <c:pt idx="14">
                  <c:v>11.019999999999527</c:v>
                </c:pt>
                <c:pt idx="15">
                  <c:v>10.619999999999891</c:v>
                </c:pt>
                <c:pt idx="16">
                  <c:v>10.850000000000364</c:v>
                </c:pt>
                <c:pt idx="17">
                  <c:v>10.069999999999709</c:v>
                </c:pt>
                <c:pt idx="18">
                  <c:v>10.730000000000473</c:v>
                </c:pt>
                <c:pt idx="19">
                  <c:v>10.329999999999927</c:v>
                </c:pt>
                <c:pt idx="20">
                  <c:v>10.309999999999491</c:v>
                </c:pt>
                <c:pt idx="21">
                  <c:v>10.75</c:v>
                </c:pt>
                <c:pt idx="22">
                  <c:v>10.220000000000255</c:v>
                </c:pt>
                <c:pt idx="23">
                  <c:v>11.329999999999927</c:v>
                </c:pt>
                <c:pt idx="24">
                  <c:v>9.6799999999998363</c:v>
                </c:pt>
                <c:pt idx="25">
                  <c:v>11</c:v>
                </c:pt>
                <c:pt idx="26">
                  <c:v>11</c:v>
                </c:pt>
                <c:pt idx="27">
                  <c:v>11.079999999999927</c:v>
                </c:pt>
                <c:pt idx="28">
                  <c:v>11</c:v>
                </c:pt>
                <c:pt idx="29">
                  <c:v>11.609999999999673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56823936"/>
        <c:axId val="156825472"/>
      </c:lineChart>
      <c:catAx>
        <c:axId val="15682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5472"/>
        <c:crosses val="autoZero"/>
        <c:auto val="1"/>
        <c:lblAlgn val="ctr"/>
        <c:lblOffset val="100"/>
      </c:catAx>
      <c:valAx>
        <c:axId val="15682547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39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4.1828817210434806E-2"/>
          <c:y val="7.4487823818549875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317.86999999999534</c:v>
                </c:pt>
                <c:pt idx="1">
                  <c:v>282.26000000000931</c:v>
                </c:pt>
                <c:pt idx="2">
                  <c:v>304.51000000000931</c:v>
                </c:pt>
                <c:pt idx="3">
                  <c:v>301</c:v>
                </c:pt>
                <c:pt idx="4">
                  <c:v>306</c:v>
                </c:pt>
                <c:pt idx="5">
                  <c:v>305</c:v>
                </c:pt>
                <c:pt idx="6">
                  <c:v>313</c:v>
                </c:pt>
                <c:pt idx="7">
                  <c:v>314</c:v>
                </c:pt>
                <c:pt idx="8">
                  <c:v>379</c:v>
                </c:pt>
                <c:pt idx="9">
                  <c:v>209</c:v>
                </c:pt>
                <c:pt idx="10">
                  <c:v>326</c:v>
                </c:pt>
                <c:pt idx="11">
                  <c:v>313</c:v>
                </c:pt>
                <c:pt idx="12">
                  <c:v>304</c:v>
                </c:pt>
                <c:pt idx="13">
                  <c:v>307.90000000002328</c:v>
                </c:pt>
                <c:pt idx="14">
                  <c:v>285.25</c:v>
                </c:pt>
                <c:pt idx="15">
                  <c:v>306.34999999997672</c:v>
                </c:pt>
                <c:pt idx="16">
                  <c:v>295.15000000002328</c:v>
                </c:pt>
                <c:pt idx="17">
                  <c:v>294.76000000000931</c:v>
                </c:pt>
                <c:pt idx="18">
                  <c:v>307.70999999996275</c:v>
                </c:pt>
                <c:pt idx="19">
                  <c:v>292.69000000006054</c:v>
                </c:pt>
                <c:pt idx="20">
                  <c:v>311.18999999994412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599.45999999999549</c:v>
                </c:pt>
                <c:pt idx="1">
                  <c:v>570.81000000004133</c:v>
                </c:pt>
                <c:pt idx="2">
                  <c:v>510.09000000004016</c:v>
                </c:pt>
                <c:pt idx="3">
                  <c:v>550</c:v>
                </c:pt>
                <c:pt idx="4">
                  <c:v>508</c:v>
                </c:pt>
                <c:pt idx="5">
                  <c:v>501.80000000000291</c:v>
                </c:pt>
                <c:pt idx="6">
                  <c:v>319.70000000000073</c:v>
                </c:pt>
                <c:pt idx="7">
                  <c:v>533.29999999999927</c:v>
                </c:pt>
                <c:pt idx="8">
                  <c:v>164</c:v>
                </c:pt>
                <c:pt idx="9">
                  <c:v>643</c:v>
                </c:pt>
                <c:pt idx="10">
                  <c:v>316</c:v>
                </c:pt>
                <c:pt idx="11">
                  <c:v>549.59999999999854</c:v>
                </c:pt>
                <c:pt idx="12">
                  <c:v>584.40000000000146</c:v>
                </c:pt>
                <c:pt idx="13">
                  <c:v>329.7730000000156</c:v>
                </c:pt>
                <c:pt idx="14">
                  <c:v>492.27699999995821</c:v>
                </c:pt>
                <c:pt idx="15">
                  <c:v>415.65000000007785</c:v>
                </c:pt>
                <c:pt idx="16">
                  <c:v>581.95999999991727</c:v>
                </c:pt>
                <c:pt idx="17">
                  <c:v>566.4000000000724</c:v>
                </c:pt>
                <c:pt idx="18">
                  <c:v>566.34999999994761</c:v>
                </c:pt>
                <c:pt idx="19">
                  <c:v>548.89999999987776</c:v>
                </c:pt>
                <c:pt idx="20">
                  <c:v>576.89000000013039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94.320000000006985</c:v>
                </c:pt>
                <c:pt idx="1">
                  <c:v>95.679999999993015</c:v>
                </c:pt>
                <c:pt idx="2">
                  <c:v>80</c:v>
                </c:pt>
                <c:pt idx="3">
                  <c:v>72</c:v>
                </c:pt>
                <c:pt idx="4">
                  <c:v>87</c:v>
                </c:pt>
                <c:pt idx="5">
                  <c:v>76</c:v>
                </c:pt>
                <c:pt idx="6">
                  <c:v>91</c:v>
                </c:pt>
                <c:pt idx="7">
                  <c:v>63</c:v>
                </c:pt>
                <c:pt idx="8">
                  <c:v>78</c:v>
                </c:pt>
                <c:pt idx="9">
                  <c:v>81</c:v>
                </c:pt>
                <c:pt idx="10">
                  <c:v>75</c:v>
                </c:pt>
                <c:pt idx="11">
                  <c:v>75</c:v>
                </c:pt>
                <c:pt idx="12">
                  <c:v>90</c:v>
                </c:pt>
                <c:pt idx="13">
                  <c:v>73.5</c:v>
                </c:pt>
                <c:pt idx="14">
                  <c:v>80.5</c:v>
                </c:pt>
                <c:pt idx="15">
                  <c:v>83.899999999994179</c:v>
                </c:pt>
                <c:pt idx="16">
                  <c:v>83.64000000001397</c:v>
                </c:pt>
                <c:pt idx="17">
                  <c:v>104.77999999999884</c:v>
                </c:pt>
                <c:pt idx="18">
                  <c:v>119.35000000000582</c:v>
                </c:pt>
                <c:pt idx="19">
                  <c:v>101.32999999998719</c:v>
                </c:pt>
                <c:pt idx="20">
                  <c:v>114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85863552"/>
        <c:axId val="185873536"/>
      </c:lineChart>
      <c:catAx>
        <c:axId val="18586355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85873536"/>
        <c:crosses val="autoZero"/>
        <c:auto val="1"/>
        <c:lblAlgn val="ctr"/>
        <c:lblOffset val="100"/>
      </c:catAx>
      <c:valAx>
        <c:axId val="185873536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858635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926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0.12153132002401244</c:v>
                </c:pt>
                <c:pt idx="1">
                  <c:v>3100</c:v>
                </c:pt>
                <c:pt idx="2">
                  <c:v>3094.6399999999994</c:v>
                </c:pt>
                <c:pt idx="3">
                  <c:v>3146.7900000000009</c:v>
                </c:pt>
                <c:pt idx="4">
                  <c:v>0</c:v>
                </c:pt>
                <c:pt idx="5">
                  <c:v>3311.0800000000017</c:v>
                </c:pt>
                <c:pt idx="6">
                  <c:v>3369</c:v>
                </c:pt>
                <c:pt idx="7">
                  <c:v>3190</c:v>
                </c:pt>
                <c:pt idx="8">
                  <c:v>2762.4599999999991</c:v>
                </c:pt>
                <c:pt idx="9">
                  <c:v>2760</c:v>
                </c:pt>
                <c:pt idx="10">
                  <c:v>2906.3999999999942</c:v>
                </c:pt>
                <c:pt idx="11">
                  <c:v>2812</c:v>
                </c:pt>
                <c:pt idx="12">
                  <c:v>2861</c:v>
                </c:pt>
                <c:pt idx="13">
                  <c:v>3132</c:v>
                </c:pt>
                <c:pt idx="14">
                  <c:v>3008.3700000000099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87878400"/>
        <c:axId val="187880192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87881728"/>
        <c:axId val="187883520"/>
      </c:lineChart>
      <c:catAx>
        <c:axId val="18787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80192"/>
        <c:crosses val="autoZero"/>
        <c:auto val="1"/>
        <c:lblAlgn val="ctr"/>
        <c:lblOffset val="100"/>
      </c:catAx>
      <c:valAx>
        <c:axId val="18788019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78400"/>
        <c:crosses val="autoZero"/>
        <c:crossBetween val="between"/>
        <c:minorUnit val="50"/>
      </c:valAx>
      <c:catAx>
        <c:axId val="187881728"/>
        <c:scaling>
          <c:orientation val="minMax"/>
        </c:scaling>
        <c:delete val="1"/>
        <c:axPos val="b"/>
        <c:tickLblPos val="none"/>
        <c:crossAx val="187883520"/>
        <c:crosses val="autoZero"/>
        <c:auto val="1"/>
        <c:lblAlgn val="ctr"/>
        <c:lblOffset val="100"/>
      </c:catAx>
      <c:valAx>
        <c:axId val="18788352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81728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87199488"/>
        <c:axId val="187201024"/>
      </c:lineChart>
      <c:catAx>
        <c:axId val="18719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201024"/>
        <c:crosses val="autoZero"/>
        <c:auto val="1"/>
        <c:lblAlgn val="ctr"/>
        <c:lblOffset val="100"/>
      </c:catAx>
      <c:valAx>
        <c:axId val="18720102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19948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87234176"/>
        <c:axId val="187235712"/>
      </c:lineChart>
      <c:catAx>
        <c:axId val="18723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235712"/>
        <c:crosses val="autoZero"/>
        <c:auto val="1"/>
        <c:lblAlgn val="ctr"/>
        <c:lblOffset val="100"/>
      </c:catAx>
      <c:valAx>
        <c:axId val="18723571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23417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19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218</c:v>
                </c:pt>
                <c:pt idx="1">
                  <c:v>159</c:v>
                </c:pt>
                <c:pt idx="2">
                  <c:v>169</c:v>
                </c:pt>
                <c:pt idx="3">
                  <c:v>116</c:v>
                </c:pt>
                <c:pt idx="4">
                  <c:v>0</c:v>
                </c:pt>
                <c:pt idx="5">
                  <c:v>166</c:v>
                </c:pt>
                <c:pt idx="6">
                  <c:v>177</c:v>
                </c:pt>
                <c:pt idx="7">
                  <c:v>177</c:v>
                </c:pt>
                <c:pt idx="8">
                  <c:v>167</c:v>
                </c:pt>
                <c:pt idx="9">
                  <c:v>132</c:v>
                </c:pt>
                <c:pt idx="10">
                  <c:v>150</c:v>
                </c:pt>
                <c:pt idx="11">
                  <c:v>102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88523648"/>
        <c:axId val="18852518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88535168"/>
        <c:axId val="188536704"/>
      </c:lineChart>
      <c:catAx>
        <c:axId val="18852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525184"/>
        <c:crosses val="autoZero"/>
        <c:auto val="1"/>
        <c:lblAlgn val="ctr"/>
        <c:lblOffset val="100"/>
      </c:catAx>
      <c:valAx>
        <c:axId val="18852518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523648"/>
        <c:crosses val="autoZero"/>
        <c:crossBetween val="between"/>
      </c:valAx>
      <c:catAx>
        <c:axId val="188535168"/>
        <c:scaling>
          <c:orientation val="minMax"/>
        </c:scaling>
        <c:delete val="1"/>
        <c:axPos val="b"/>
        <c:tickLblPos val="none"/>
        <c:crossAx val="188536704"/>
        <c:crosses val="autoZero"/>
        <c:auto val="1"/>
        <c:lblAlgn val="ctr"/>
        <c:lblOffset val="100"/>
      </c:catAx>
      <c:valAx>
        <c:axId val="18853670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5351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39</c:v>
                </c:pt>
                <c:pt idx="1">
                  <c:v>21</c:v>
                </c:pt>
                <c:pt idx="2">
                  <c:v>34</c:v>
                </c:pt>
                <c:pt idx="3">
                  <c:v>31</c:v>
                </c:pt>
                <c:pt idx="4">
                  <c:v>0</c:v>
                </c:pt>
                <c:pt idx="5">
                  <c:v>55</c:v>
                </c:pt>
                <c:pt idx="6">
                  <c:v>49</c:v>
                </c:pt>
                <c:pt idx="7">
                  <c:v>36</c:v>
                </c:pt>
                <c:pt idx="8">
                  <c:v>34</c:v>
                </c:pt>
                <c:pt idx="9">
                  <c:v>35</c:v>
                </c:pt>
                <c:pt idx="10">
                  <c:v>34</c:v>
                </c:pt>
                <c:pt idx="11">
                  <c:v>29</c:v>
                </c:pt>
                <c:pt idx="12">
                  <c:v>25</c:v>
                </c:pt>
                <c:pt idx="13">
                  <c:v>41</c:v>
                </c:pt>
                <c:pt idx="14">
                  <c:v>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13</c:v>
                </c:pt>
                <c:pt idx="1">
                  <c:v>12</c:v>
                </c:pt>
                <c:pt idx="2">
                  <c:v>6</c:v>
                </c:pt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14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134</c:v>
                </c:pt>
                <c:pt idx="14">
                  <c:v>151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88588416"/>
        <c:axId val="188589952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88591488"/>
        <c:axId val="188593280"/>
      </c:lineChart>
      <c:catAx>
        <c:axId val="18858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589952"/>
        <c:crosses val="autoZero"/>
        <c:auto val="1"/>
        <c:lblAlgn val="ctr"/>
        <c:lblOffset val="100"/>
      </c:catAx>
      <c:valAx>
        <c:axId val="188589952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588416"/>
        <c:crosses val="autoZero"/>
        <c:crossBetween val="between"/>
        <c:majorUnit val="2"/>
      </c:valAx>
      <c:catAx>
        <c:axId val="188591488"/>
        <c:scaling>
          <c:orientation val="minMax"/>
        </c:scaling>
        <c:delete val="1"/>
        <c:axPos val="b"/>
        <c:tickLblPos val="none"/>
        <c:crossAx val="188593280"/>
        <c:crosses val="autoZero"/>
        <c:auto val="1"/>
        <c:lblAlgn val="ctr"/>
        <c:lblOffset val="100"/>
      </c:catAx>
      <c:valAx>
        <c:axId val="18859328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59148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D22" sqref="D2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1</v>
      </c>
      <c r="D2" s="274">
        <v>2022</v>
      </c>
      <c r="E2" s="275">
        <f>(IF('Daily HLP'!H4&gt;0,'Daily HLP'!H4,0))</f>
        <v>20449</v>
      </c>
      <c r="F2" s="276">
        <v>9</v>
      </c>
      <c r="G2" s="276">
        <f>(IF('Daily HLP'!L4&gt;0,'Daily HLP'!L4,0))</f>
        <v>1070.0859999998938</v>
      </c>
      <c r="H2" s="276">
        <v>75</v>
      </c>
      <c r="I2" s="276">
        <f>(IF('Daily HLP'!O4&gt;0,'Daily HLP'!O4,0))</f>
        <v>54</v>
      </c>
      <c r="J2" s="276">
        <v>99</v>
      </c>
      <c r="K2" s="281">
        <f>Occupancy!G2</f>
        <v>161</v>
      </c>
      <c r="L2" s="275">
        <f>Occupancy!F2</f>
        <v>614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1</v>
      </c>
      <c r="D3" s="274">
        <v>2022</v>
      </c>
      <c r="E3" s="275">
        <f>(IF('Daily HLP'!H5&gt;0,'Daily HLP'!H5,0))</f>
        <v>19893</v>
      </c>
      <c r="F3" s="276">
        <v>9</v>
      </c>
      <c r="G3" s="276">
        <f>(IF('Daily HLP'!L5&gt;0,'Daily HLP'!L5,0))</f>
        <v>808.52700000000186</v>
      </c>
      <c r="H3" s="276">
        <v>75</v>
      </c>
      <c r="I3" s="276">
        <f>(IF('Daily HLP'!O5&gt;0,'Daily HLP'!O5,0))</f>
        <v>56</v>
      </c>
      <c r="J3" s="276">
        <v>99</v>
      </c>
      <c r="K3" s="281">
        <f>Occupancy!G3</f>
        <v>113</v>
      </c>
      <c r="L3" s="275">
        <f>Occupancy!F3</f>
        <v>516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1</v>
      </c>
      <c r="D4" s="274">
        <v>2022</v>
      </c>
      <c r="E4" s="275">
        <f>(IF('Daily HLP'!H6&gt;0,'Daily HLP'!H6,0))</f>
        <v>19529</v>
      </c>
      <c r="F4" s="276">
        <v>9</v>
      </c>
      <c r="G4" s="276">
        <f>(IF('Daily HLP'!L6&gt;0,'Daily HLP'!L6,0))</f>
        <v>524.78700000001118</v>
      </c>
      <c r="H4" s="276">
        <v>75</v>
      </c>
      <c r="I4" s="276">
        <f>(IF('Daily HLP'!O6&gt;0,'Daily HLP'!O6,0))</f>
        <v>356</v>
      </c>
      <c r="J4" s="276">
        <v>99</v>
      </c>
      <c r="K4" s="281">
        <f>Occupancy!G4</f>
        <v>115</v>
      </c>
      <c r="L4" s="275">
        <f>Occupancy!F4</f>
        <v>306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1</v>
      </c>
      <c r="D5" s="274">
        <v>2022</v>
      </c>
      <c r="E5" s="275">
        <f>(IF('Daily HLP'!H7&gt;0,'Daily HLP'!H7,0))</f>
        <v>20218.950000000012</v>
      </c>
      <c r="F5" s="276">
        <v>9</v>
      </c>
      <c r="G5" s="276">
        <f>(IF('Daily HLP'!L7&gt;0,'Daily HLP'!L7,0))</f>
        <v>1035.25</v>
      </c>
      <c r="H5" s="276">
        <v>75</v>
      </c>
      <c r="I5" s="276">
        <f>(IF('Daily HLP'!O7&gt;0,'Daily HLP'!O7,0))</f>
        <v>219</v>
      </c>
      <c r="J5" s="276">
        <v>99</v>
      </c>
      <c r="K5" s="281">
        <f>Occupancy!G5</f>
        <v>132</v>
      </c>
      <c r="L5" s="275">
        <f>Occupancy!F5</f>
        <v>385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1</v>
      </c>
      <c r="D6" s="274">
        <v>2022</v>
      </c>
      <c r="E6" s="275">
        <f>(IF('Daily HLP'!H8&gt;0,'Daily HLP'!H8,0))</f>
        <v>20335.049999999988</v>
      </c>
      <c r="F6" s="276">
        <v>9</v>
      </c>
      <c r="G6" s="276">
        <f>(IF('Daily HLP'!L8&gt;0,'Daily HLP'!L8,0))</f>
        <v>1002.0500000000466</v>
      </c>
      <c r="H6" s="276">
        <v>75</v>
      </c>
      <c r="I6" s="276">
        <f>(IF('Daily HLP'!O8&gt;0,'Daily HLP'!O8,0))</f>
        <v>171</v>
      </c>
      <c r="J6" s="276">
        <v>99</v>
      </c>
      <c r="K6" s="281">
        <f>Occupancy!G6</f>
        <v>127</v>
      </c>
      <c r="L6" s="275">
        <f>Occupancy!F6</f>
        <v>417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1</v>
      </c>
      <c r="D7" s="274">
        <v>2022</v>
      </c>
      <c r="E7" s="275">
        <f>(IF('Daily HLP'!H9&gt;0,'Daily HLP'!H9,0))</f>
        <v>20708</v>
      </c>
      <c r="F7" s="276">
        <v>9</v>
      </c>
      <c r="G7" s="276">
        <f>(IF('Daily HLP'!L9&gt;0,'Daily HLP'!L9,0))</f>
        <v>933.30000000004657</v>
      </c>
      <c r="H7" s="276">
        <v>75</v>
      </c>
      <c r="I7" s="276">
        <f>(IF('Daily HLP'!O9&gt;0,'Daily HLP'!O9,0))</f>
        <v>164</v>
      </c>
      <c r="J7" s="276">
        <v>99</v>
      </c>
      <c r="K7" s="281">
        <f>Occupancy!G7</f>
        <v>128</v>
      </c>
      <c r="L7" s="275">
        <f>Occupancy!F7</f>
        <v>477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1</v>
      </c>
      <c r="D8" s="274">
        <v>2022</v>
      </c>
      <c r="E8" s="275">
        <f>(IF('Daily HLP'!H10&gt;0,'Daily HLP'!H10,0))</f>
        <v>20261</v>
      </c>
      <c r="F8" s="276">
        <v>9</v>
      </c>
      <c r="G8" s="276">
        <f>(IF('Daily HLP'!L10&gt;0,'Daily HLP'!L10,0))</f>
        <v>963</v>
      </c>
      <c r="H8" s="276">
        <v>75</v>
      </c>
      <c r="I8" s="276">
        <f>(IF('Daily HLP'!O10&gt;0,'Daily HLP'!O10,0))</f>
        <v>214</v>
      </c>
      <c r="J8" s="276">
        <v>99</v>
      </c>
      <c r="K8" s="281">
        <f>Occupancy!G8</f>
        <v>115</v>
      </c>
      <c r="L8" s="275">
        <f>Occupancy!F8</f>
        <v>355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1</v>
      </c>
      <c r="D9" s="274">
        <v>2022</v>
      </c>
      <c r="E9" s="275">
        <f>(IF('Daily HLP'!H11&gt;0,'Daily HLP'!H11,0))</f>
        <v>19647</v>
      </c>
      <c r="F9" s="276">
        <v>9</v>
      </c>
      <c r="G9" s="276">
        <f>(IF('Daily HLP'!L11&gt;0,'Daily HLP'!L11,0))</f>
        <v>925</v>
      </c>
      <c r="H9" s="276">
        <v>75</v>
      </c>
      <c r="I9" s="276">
        <f>(IF('Daily HLP'!O11&gt;0,'Daily HLP'!O11,0))</f>
        <v>211</v>
      </c>
      <c r="J9" s="276">
        <v>99</v>
      </c>
      <c r="K9" s="281">
        <f>Occupancy!G9</f>
        <v>112</v>
      </c>
      <c r="L9" s="275">
        <f>Occupancy!F9</f>
        <v>301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1</v>
      </c>
      <c r="D10" s="274">
        <v>2022</v>
      </c>
      <c r="E10" s="275">
        <f>(IF('Daily HLP'!H12&gt;0,'Daily HLP'!H12,0))</f>
        <v>18011</v>
      </c>
      <c r="F10" s="276">
        <v>9</v>
      </c>
      <c r="G10" s="276">
        <f>(IF('Daily HLP'!L12&gt;0,'Daily HLP'!L12,0))</f>
        <v>907</v>
      </c>
      <c r="H10" s="276">
        <v>75</v>
      </c>
      <c r="I10" s="276">
        <f>(IF('Daily HLP'!O12&gt;0,'Daily HLP'!O12,0))</f>
        <v>205</v>
      </c>
      <c r="J10" s="276">
        <v>99</v>
      </c>
      <c r="K10" s="281">
        <f>Occupancy!G10</f>
        <v>110</v>
      </c>
      <c r="L10" s="275">
        <f>Occupancy!F10</f>
        <v>349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1</v>
      </c>
      <c r="D11" s="274">
        <v>2022</v>
      </c>
      <c r="E11" s="275">
        <f>(IF('Daily HLP'!H13&gt;0,'Daily HLP'!H13,0))</f>
        <v>17063</v>
      </c>
      <c r="F11" s="276">
        <v>9</v>
      </c>
      <c r="G11" s="276">
        <f>(IF('Daily HLP'!L13&gt;0,'Daily HLP'!L13,0))</f>
        <v>759</v>
      </c>
      <c r="H11" s="276">
        <v>75</v>
      </c>
      <c r="I11" s="276">
        <f>(IF('Daily HLP'!O13&gt;0,'Daily HLP'!O13,0))</f>
        <v>124</v>
      </c>
      <c r="J11" s="276">
        <v>99</v>
      </c>
      <c r="K11" s="281">
        <f>Occupancy!G11</f>
        <v>103</v>
      </c>
      <c r="L11" s="275">
        <f>Occupancy!F11</f>
        <v>280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1</v>
      </c>
      <c r="D12" s="274">
        <v>2022</v>
      </c>
      <c r="E12" s="275">
        <f>(IF('Daily HLP'!H14&gt;0,'Daily HLP'!H14,0))</f>
        <v>17262</v>
      </c>
      <c r="F12" s="276">
        <v>9</v>
      </c>
      <c r="G12" s="276">
        <f>(IF('Daily HLP'!L14&gt;0,'Daily HLP'!L14,0))</f>
        <v>931</v>
      </c>
      <c r="H12" s="276">
        <v>75</v>
      </c>
      <c r="I12" s="276">
        <f>(IF('Daily HLP'!O14&gt;0,'Daily HLP'!O14,0))</f>
        <v>130</v>
      </c>
      <c r="J12" s="276">
        <v>99</v>
      </c>
      <c r="K12" s="281">
        <f>Occupancy!G12</f>
        <v>82</v>
      </c>
      <c r="L12" s="275">
        <f>Occupancy!F12</f>
        <v>290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1</v>
      </c>
      <c r="D13" s="274">
        <v>2022</v>
      </c>
      <c r="E13" s="275">
        <f>(IF('Daily HLP'!H15&gt;0,'Daily HLP'!H15,0))</f>
        <v>16713</v>
      </c>
      <c r="F13" s="276">
        <v>9</v>
      </c>
      <c r="G13" s="276">
        <f>(IF('Daily HLP'!L15&gt;0,'Daily HLP'!L15,0))</f>
        <v>644</v>
      </c>
      <c r="H13" s="276">
        <v>75</v>
      </c>
      <c r="I13" s="276">
        <f>(IF('Daily HLP'!O15&gt;0,'Daily HLP'!O15,0))</f>
        <v>136</v>
      </c>
      <c r="J13" s="276">
        <v>99</v>
      </c>
      <c r="K13" s="281">
        <f>Occupancy!G13</f>
        <v>83</v>
      </c>
      <c r="L13" s="275">
        <f>Occupancy!F13</f>
        <v>302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1</v>
      </c>
      <c r="D14" s="274">
        <v>2022</v>
      </c>
      <c r="E14" s="275">
        <f>(IF('Daily HLP'!H16&gt;0,'Daily HLP'!H16,0))</f>
        <v>17050</v>
      </c>
      <c r="F14" s="276">
        <v>9</v>
      </c>
      <c r="G14" s="276">
        <f>(IF('Daily HLP'!L16&gt;0,'Daily HLP'!L16,0))</f>
        <v>957</v>
      </c>
      <c r="H14" s="276">
        <v>75</v>
      </c>
      <c r="I14" s="276">
        <f>(IF('Daily HLP'!O16&gt;0,'Daily HLP'!O16,0))</f>
        <v>103</v>
      </c>
      <c r="J14" s="276">
        <v>99</v>
      </c>
      <c r="K14" s="281">
        <f>Occupancy!G14</f>
        <v>88</v>
      </c>
      <c r="L14" s="275">
        <f>Occupancy!F14</f>
        <v>249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1</v>
      </c>
      <c r="D15" s="274">
        <v>2022</v>
      </c>
      <c r="E15" s="275">
        <f>(IF('Daily HLP'!H17&gt;0,'Daily HLP'!H17,0))</f>
        <v>17430</v>
      </c>
      <c r="F15" s="276">
        <v>9</v>
      </c>
      <c r="G15" s="276">
        <f>(IF('Daily HLP'!L17&gt;0,'Daily HLP'!L17,0))</f>
        <v>745</v>
      </c>
      <c r="H15" s="276">
        <v>75</v>
      </c>
      <c r="I15" s="276">
        <f>(IF('Daily HLP'!O17&gt;0,'Daily HLP'!O17,0))</f>
        <v>114</v>
      </c>
      <c r="J15" s="276">
        <v>99</v>
      </c>
      <c r="K15" s="281">
        <f>Occupancy!G15</f>
        <v>95</v>
      </c>
      <c r="L15" s="275">
        <f>Occupancy!F15</f>
        <v>224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1</v>
      </c>
      <c r="D16" s="274">
        <v>2022</v>
      </c>
      <c r="E16" s="275">
        <f>(IF('Daily HLP'!H18&gt;0,'Daily HLP'!H18,0))</f>
        <v>17328.710000000021</v>
      </c>
      <c r="F16" s="276">
        <v>9</v>
      </c>
      <c r="G16" s="276">
        <f>(IF('Daily HLP'!L18&gt;0,'Daily HLP'!L18,0))</f>
        <v>965</v>
      </c>
      <c r="H16" s="276">
        <v>75</v>
      </c>
      <c r="I16" s="276">
        <f>(IF('Daily HLP'!O18&gt;0,'Daily HLP'!O18,0))</f>
        <v>155</v>
      </c>
      <c r="J16" s="276">
        <v>99</v>
      </c>
      <c r="K16" s="281">
        <f>Occupancy!G16</f>
        <v>121</v>
      </c>
      <c r="L16" s="275">
        <f>Occupancy!F16</f>
        <v>338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1</v>
      </c>
      <c r="D17" s="274">
        <v>2022</v>
      </c>
      <c r="E17" s="275">
        <f>(IF('Daily HLP'!H19&gt;0,'Daily HLP'!H19,0))</f>
        <v>17406.289999999979</v>
      </c>
      <c r="F17" s="276">
        <v>9</v>
      </c>
      <c r="G17" s="276">
        <f>(IF('Daily HLP'!L19&gt;0,'Daily HLP'!L19,0))</f>
        <v>1006</v>
      </c>
      <c r="H17" s="276">
        <v>75</v>
      </c>
      <c r="I17" s="276">
        <f>(IF('Daily HLP'!O19&gt;0,'Daily HLP'!O19,0))</f>
        <v>135</v>
      </c>
      <c r="J17" s="276">
        <v>99</v>
      </c>
      <c r="K17" s="281">
        <f>Occupancy!G17</f>
        <v>89</v>
      </c>
      <c r="L17" s="275">
        <f>Occupancy!F17</f>
        <v>309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1</v>
      </c>
      <c r="D18" s="274">
        <v>2022</v>
      </c>
      <c r="E18" s="275">
        <f>(IF('Daily HLP'!H20&gt;0,'Daily HLP'!H20,0))</f>
        <v>17543</v>
      </c>
      <c r="F18" s="276">
        <v>9</v>
      </c>
      <c r="G18" s="276">
        <f>(IF('Daily HLP'!L20&gt;0,'Daily HLP'!L20,0))</f>
        <v>734.2730000000447</v>
      </c>
      <c r="H18" s="276">
        <v>75</v>
      </c>
      <c r="I18" s="276">
        <f>(IF('Daily HLP'!O20&gt;0,'Daily HLP'!O20,0))</f>
        <v>133</v>
      </c>
      <c r="J18" s="276">
        <v>99</v>
      </c>
      <c r="K18" s="281">
        <f>Occupancy!G18</f>
        <v>94</v>
      </c>
      <c r="L18" s="275">
        <f>Occupancy!F18</f>
        <v>204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1</v>
      </c>
      <c r="D19" s="274">
        <v>2022</v>
      </c>
      <c r="E19" s="275">
        <f>(IF('Daily HLP'!H21&gt;0,'Daily HLP'!H21,0))</f>
        <v>18064.830000000016</v>
      </c>
      <c r="F19" s="276">
        <v>9</v>
      </c>
      <c r="G19" s="276">
        <f>(IF('Daily HLP'!L21&gt;0,'Daily HLP'!L21,0))</f>
        <v>881.7269999999553</v>
      </c>
      <c r="H19" s="276">
        <v>75</v>
      </c>
      <c r="I19" s="276">
        <f>(IF('Daily HLP'!O21&gt;0,'Daily HLP'!O21,0))</f>
        <v>154</v>
      </c>
      <c r="J19" s="276">
        <v>99</v>
      </c>
      <c r="K19" s="281">
        <f>Occupancy!G19</f>
        <v>105</v>
      </c>
      <c r="L19" s="275">
        <f>Occupancy!F19</f>
        <v>325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1</v>
      </c>
      <c r="D20" s="274">
        <v>2022</v>
      </c>
      <c r="E20" s="275">
        <f>(IF('Daily HLP'!H22&gt;0,'Daily HLP'!H22,0))</f>
        <v>18721.169999999984</v>
      </c>
      <c r="F20" s="276">
        <v>9</v>
      </c>
      <c r="G20" s="276">
        <f>(IF('Daily HLP'!L22&gt;0,'Daily HLP'!L22,0))</f>
        <v>834.30000000004657</v>
      </c>
      <c r="H20" s="276">
        <v>75</v>
      </c>
      <c r="I20" s="276">
        <f>(IF('Daily HLP'!O22&gt;0,'Daily HLP'!O22,0))</f>
        <v>157</v>
      </c>
      <c r="J20" s="276">
        <v>99</v>
      </c>
      <c r="K20" s="281">
        <f>Occupancy!G20</f>
        <v>98</v>
      </c>
      <c r="L20" s="275">
        <f>Occupancy!F20</f>
        <v>304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1</v>
      </c>
      <c r="D21" s="274">
        <v>2022</v>
      </c>
      <c r="E21" s="275">
        <f>(IF('Daily HLP'!H23&gt;0,'Daily HLP'!H23,0))</f>
        <v>17336.710000000021</v>
      </c>
      <c r="F21" s="276">
        <v>9</v>
      </c>
      <c r="G21" s="276">
        <f>(IF('Daily HLP'!L23&gt;0,'Daily HLP'!L23,0))</f>
        <v>986.94999999995343</v>
      </c>
      <c r="H21" s="276">
        <v>75</v>
      </c>
      <c r="I21" s="276">
        <f>(IF('Daily HLP'!O23&gt;0,'Daily HLP'!O23,0))</f>
        <v>216</v>
      </c>
      <c r="J21" s="276">
        <v>99</v>
      </c>
      <c r="K21" s="281">
        <f>Occupancy!G21</f>
        <v>89</v>
      </c>
      <c r="L21" s="275">
        <f>Occupancy!F21</f>
        <v>304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1</v>
      </c>
      <c r="D22" s="274">
        <v>2022</v>
      </c>
      <c r="E22" s="275">
        <f>(IF('Daily HLP'!H24&gt;0,'Daily HLP'!H24,0))</f>
        <v>18548.039999999979</v>
      </c>
      <c r="F22" s="276">
        <v>9</v>
      </c>
      <c r="G22" s="276">
        <f>(IF('Daily HLP'!L24&gt;0,'Daily HLP'!L24,0))</f>
        <v>1017.3400000000838</v>
      </c>
      <c r="H22" s="276">
        <v>75</v>
      </c>
      <c r="I22" s="276">
        <f>(IF('Daily HLP'!O24&gt;0,'Daily HLP'!O24,0))</f>
        <v>167</v>
      </c>
      <c r="J22" s="276">
        <v>99</v>
      </c>
      <c r="K22" s="281">
        <f>Occupancy!G22</f>
        <v>109</v>
      </c>
      <c r="L22" s="275">
        <f>Occupancy!F22</f>
        <v>338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1</v>
      </c>
      <c r="D23" s="274">
        <v>2022</v>
      </c>
      <c r="E23" s="275">
        <f>(IF('Daily HLP'!H25&gt;0,'Daily HLP'!H25,0))</f>
        <v>19922.760000000009</v>
      </c>
      <c r="F23" s="276">
        <v>9</v>
      </c>
      <c r="G23" s="276">
        <f>(IF('Daily HLP'!L25&gt;0,'Daily HLP'!L25,0))</f>
        <v>1036.4099999999162</v>
      </c>
      <c r="H23" s="276">
        <v>75</v>
      </c>
      <c r="I23" s="276">
        <f>(IF('Daily HLP'!O25&gt;0,'Daily HLP'!O25,0))</f>
        <v>176</v>
      </c>
      <c r="J23" s="276">
        <v>99</v>
      </c>
      <c r="K23" s="281">
        <f>Occupancy!G23</f>
        <v>144</v>
      </c>
      <c r="L23" s="275">
        <f>Occupancy!F23</f>
        <v>462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1</v>
      </c>
      <c r="D24" s="274">
        <v>2022</v>
      </c>
      <c r="E24" s="275">
        <f>(IF('Daily HLP'!H26&gt;0,'Daily HLP'!H26,0))</f>
        <v>19388.319999999949</v>
      </c>
      <c r="F24" s="276">
        <v>9</v>
      </c>
      <c r="G24" s="276">
        <f>(IF('Daily HLP'!L26&gt;0,'Daily HLP'!L26,0))</f>
        <v>979.91999999992549</v>
      </c>
      <c r="H24" s="276">
        <v>75</v>
      </c>
      <c r="I24" s="276">
        <f>(IF('Daily HLP'!O26&gt;0,'Daily HLP'!O26,0))</f>
        <v>216</v>
      </c>
      <c r="J24" s="276">
        <v>99</v>
      </c>
      <c r="K24" s="281">
        <f>Occupancy!G24</f>
        <v>124</v>
      </c>
      <c r="L24" s="275">
        <f>Occupancy!F24</f>
        <v>825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1</v>
      </c>
      <c r="D25" s="274">
        <v>2022</v>
      </c>
      <c r="E25" s="275">
        <f>(IF('Daily HLP'!H27&gt;0,'Daily HLP'!H27,0))</f>
        <v>16876.170000000042</v>
      </c>
      <c r="F25" s="276">
        <v>9</v>
      </c>
      <c r="G25" s="276">
        <f>(IF('Daily HLP'!L27&gt;0,'Daily HLP'!L27,0))</f>
        <v>1037.0800000000745</v>
      </c>
      <c r="H25" s="276">
        <v>75</v>
      </c>
      <c r="I25" s="276">
        <f>(IF('Daily HLP'!O27&gt;0,'Daily HLP'!O27,0))</f>
        <v>212</v>
      </c>
      <c r="J25" s="276">
        <v>99</v>
      </c>
      <c r="K25" s="281">
        <f>Occupancy!G25</f>
        <v>108</v>
      </c>
      <c r="L25" s="275">
        <f>Occupancy!F25</f>
        <v>358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1</v>
      </c>
      <c r="D26" s="274">
        <v>2022</v>
      </c>
      <c r="E26" s="275">
        <f>(IF('Daily HLP'!H28&gt;0,'Daily HLP'!H28,0))</f>
        <v>16627</v>
      </c>
      <c r="F26" s="276">
        <v>9</v>
      </c>
      <c r="G26" s="276">
        <f>(IF('Daily HLP'!L28&gt;0,'Daily HLP'!L28,0))</f>
        <v>815</v>
      </c>
      <c r="H26" s="276">
        <v>75</v>
      </c>
      <c r="I26" s="276">
        <f>(IF('Daily HLP'!O28&gt;0,'Daily HLP'!O28,0))</f>
        <v>190</v>
      </c>
      <c r="J26" s="276">
        <v>99</v>
      </c>
      <c r="K26" s="281">
        <f>Occupancy!G26</f>
        <v>133</v>
      </c>
      <c r="L26" s="275">
        <f>Occupancy!F26</f>
        <v>384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1</v>
      </c>
      <c r="D27" s="274">
        <v>2022</v>
      </c>
      <c r="E27" s="275">
        <f>(IF('Daily HLP'!H29&gt;0,'Daily HLP'!H29,0))</f>
        <v>16892</v>
      </c>
      <c r="F27" s="276">
        <v>9</v>
      </c>
      <c r="G27" s="276">
        <f>(IF('Daily HLP'!L29&gt;0,'Daily HLP'!L29,0))</f>
        <v>936</v>
      </c>
      <c r="H27" s="276">
        <v>75</v>
      </c>
      <c r="I27" s="276">
        <f>(IF('Daily HLP'!O29&gt;0,'Daily HLP'!O29,0))</f>
        <v>175</v>
      </c>
      <c r="J27" s="276">
        <v>99</v>
      </c>
      <c r="K27" s="281">
        <f>Occupancy!G27</f>
        <v>132</v>
      </c>
      <c r="L27" s="275">
        <f>Occupancy!F27</f>
        <v>323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1</v>
      </c>
      <c r="D28" s="274">
        <v>2022</v>
      </c>
      <c r="E28" s="275">
        <f>(IF('Daily HLP'!H30&gt;0,'Daily HLP'!H30,0))</f>
        <v>17701</v>
      </c>
      <c r="F28" s="276">
        <v>9</v>
      </c>
      <c r="G28" s="276">
        <f>(IF('Daily HLP'!L30&gt;0,'Daily HLP'!L30,0))</f>
        <v>954</v>
      </c>
      <c r="H28" s="276">
        <v>75</v>
      </c>
      <c r="I28" s="276">
        <f>(IF('Daily HLP'!O30&gt;0,'Daily HLP'!O30,0))</f>
        <v>177</v>
      </c>
      <c r="J28" s="276">
        <v>99</v>
      </c>
      <c r="K28" s="281">
        <f>Occupancy!G28</f>
        <v>117</v>
      </c>
      <c r="L28" s="275">
        <f>Occupancy!F28</f>
        <v>327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1</v>
      </c>
      <c r="D29" s="274">
        <v>2022</v>
      </c>
      <c r="E29" s="275">
        <f>(IF('Daily HLP'!H31&gt;0,'Daily HLP'!H31,0))</f>
        <v>17886</v>
      </c>
      <c r="F29" s="276">
        <v>9</v>
      </c>
      <c r="G29" s="276">
        <f>(IF('Daily HLP'!L31&gt;0,'Daily HLP'!L31,0))</f>
        <v>971</v>
      </c>
      <c r="H29" s="276">
        <v>75</v>
      </c>
      <c r="I29" s="276">
        <f>(IF('Daily HLP'!O31&gt;0,'Daily HLP'!O31,0))</f>
        <v>92</v>
      </c>
      <c r="J29" s="276">
        <v>99</v>
      </c>
      <c r="K29" s="281">
        <f>Occupancy!G29</f>
        <v>135</v>
      </c>
      <c r="L29" s="275">
        <f>Occupancy!F29</f>
        <v>389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1</v>
      </c>
      <c r="D30" s="274">
        <v>2022</v>
      </c>
      <c r="E30" s="275">
        <f>(IF('Daily HLP'!H32&gt;0,'Daily HLP'!H32,0))</f>
        <v>17492</v>
      </c>
      <c r="F30" s="276">
        <v>9</v>
      </c>
      <c r="G30" s="276">
        <f>(IF('Daily HLP'!L32&gt;0,'Daily HLP'!L32,0))</f>
        <v>1002</v>
      </c>
      <c r="H30" s="276">
        <v>75</v>
      </c>
      <c r="I30" s="276">
        <f>(IF('Daily HLP'!O32&gt;0,'Daily HLP'!O32,0))</f>
        <v>312</v>
      </c>
      <c r="J30" s="276">
        <v>99</v>
      </c>
      <c r="K30" s="281">
        <f>Occupancy!G30</f>
        <v>160</v>
      </c>
      <c r="L30" s="275">
        <f>Occupancy!F30</f>
        <v>445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1</v>
      </c>
      <c r="D31" s="274">
        <v>2022</v>
      </c>
      <c r="E31" s="275">
        <f>(IF('Daily HLP'!H33&gt;0,'Daily HLP'!H33,0))</f>
        <v>17529</v>
      </c>
      <c r="F31" s="276">
        <v>9</v>
      </c>
      <c r="G31" s="276">
        <f>(IF('Daily HLP'!L33&gt;0,'Daily HLP'!L33,0))</f>
        <v>929</v>
      </c>
      <c r="H31" s="276">
        <v>75</v>
      </c>
      <c r="I31" s="276">
        <f>(IF('Daily HLP'!O33&gt;0,'Daily HLP'!O33,0))</f>
        <v>226</v>
      </c>
      <c r="J31" s="276">
        <v>99</v>
      </c>
      <c r="K31" s="281">
        <f>Occupancy!G31</f>
        <v>124</v>
      </c>
      <c r="L31" s="275">
        <f>Occupancy!F31</f>
        <v>450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1</v>
      </c>
      <c r="D32" s="274">
        <v>2022</v>
      </c>
      <c r="E32" s="275">
        <f>(IF('Daily HLP'!H34&gt;0,'Daily HLP'!H34,0))</f>
        <v>17830.150000000023</v>
      </c>
      <c r="F32" s="276">
        <v>9</v>
      </c>
      <c r="G32" s="276">
        <f>(IF('Daily HLP'!L34&gt;0,'Daily HLP'!L34,0))</f>
        <v>915.76699999999255</v>
      </c>
      <c r="H32" s="276">
        <v>75</v>
      </c>
      <c r="I32" s="276">
        <f>(IF('Daily HLP'!O34&gt;0,'Daily HLP'!O34,0))</f>
        <v>146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D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1</v>
      </c>
      <c r="D2" s="288">
        <v>2022</v>
      </c>
      <c r="E2" s="294">
        <f>(IF('Section Load'!F5&gt;0,'Section Load'!F5,0))</f>
        <v>3670.9500000000116</v>
      </c>
      <c r="F2" s="294">
        <f>(IF('Section Load'!G5&gt;0,'Section Load'!G5,0))</f>
        <v>1573.5100000000093</v>
      </c>
      <c r="G2" s="294">
        <f>(IF('Section Load'!H5&gt;0,'Section Load'!H5,0))</f>
        <v>1665.429999999993</v>
      </c>
      <c r="H2" s="294">
        <f>(IF('Section Load'!I5&gt;0,'Section Load'!I5,0))</f>
        <v>2724.390000000014</v>
      </c>
      <c r="I2" s="294">
        <f>(IF('Section Load'!J5&gt;0,'Section Load'!J5,0))</f>
        <v>2431.4200000000055</v>
      </c>
      <c r="J2" s="294">
        <f>(IF('Section Load'!K5&gt;0,'Section Load'!K5,0))</f>
        <v>2561.2300000000032</v>
      </c>
      <c r="K2" s="294">
        <f>(IF('Section Load'!L5&gt;0,'Section Load'!L5,0))</f>
        <v>1236.0200000000004</v>
      </c>
      <c r="L2" s="294">
        <f>(IF('Section Load'!M5&gt;0,'Section Load'!M5,0))</f>
        <v>885.33000000000175</v>
      </c>
      <c r="M2" s="294">
        <f>(IF('Section Load'!N5&gt;0,'Section Load'!N5,0))</f>
        <v>49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193.59999999999854</v>
      </c>
      <c r="Q2" s="294">
        <f>(IF('Section Load'!R5&gt;0,'Section Load'!R5,0))</f>
        <v>73</v>
      </c>
      <c r="R2" s="294">
        <f>(IF('Section Load'!S5&gt;0,'Section Load'!S5,0))</f>
        <v>15.25</v>
      </c>
      <c r="S2" s="294">
        <f>(IF('Section Load'!T5&gt;0,'Section Load'!T5,0))</f>
        <v>474</v>
      </c>
      <c r="T2" s="294">
        <f>(IF('Section Load'!U5&gt;0,'Section Load'!U5,0))</f>
        <v>229</v>
      </c>
      <c r="U2" s="294">
        <f>(IF('Section Load'!V5&gt;0,'Section Load'!V5,0))</f>
        <v>437.31999999994878</v>
      </c>
      <c r="V2" s="294">
        <f>(IF('Section Load'!W5&gt;0,'Section Load'!W5,0))</f>
        <v>375.11999999999534</v>
      </c>
      <c r="W2" s="294">
        <f>(IF('Section Load'!X5&gt;0,'Section Load'!X5,0))</f>
        <v>27.239999999999782</v>
      </c>
      <c r="X2" s="294">
        <f>(IF('Section Load'!Y5&gt;0,'Section Load'!Y5,0))</f>
        <v>225.94000000000233</v>
      </c>
      <c r="Y2" s="294">
        <f>(IF('Section Load'!Z5&gt;0,'Section Load'!Z5,0))</f>
        <v>293</v>
      </c>
      <c r="Z2" s="294">
        <f>(IF('Section Load'!AA5&gt;0,'Section Load'!AA5,0))</f>
        <v>0</v>
      </c>
      <c r="AA2" s="294">
        <f>(IF('Section Load'!AB5&gt;0,'Section Load'!AB5,0))</f>
        <v>22</v>
      </c>
      <c r="AB2" s="294">
        <f>(IF('Section Load'!AC5&gt;0,'Section Load'!AC5,0))</f>
        <v>0</v>
      </c>
      <c r="AC2" s="294">
        <f>(IF('Section Load'!AD5&gt;0,'Section Load'!AD5,0))</f>
        <v>34</v>
      </c>
      <c r="AD2" s="294">
        <f>(IF('Section Load'!AE5&gt;0,'Section Load'!AE5,0))</f>
        <v>0</v>
      </c>
      <c r="AE2" s="294">
        <f>(IF('Section Load'!AF5&gt;0,'Section Load'!AF5,0))</f>
        <v>21.400000000000091</v>
      </c>
      <c r="AF2" s="294">
        <f>(IF('Section Load'!AG5&gt;0,'Section Load'!AG5,0))</f>
        <v>362.5</v>
      </c>
      <c r="AG2" s="294">
        <f>(IF('Section Load'!AH5&gt;0,'Section Load'!AH5,0))</f>
        <v>431.91000000000349</v>
      </c>
      <c r="AH2" s="294">
        <f>(IF('Section Load'!AI5&gt;0,'Section Load'!AI5,0))</f>
        <v>433.7400000000016</v>
      </c>
      <c r="AI2" s="294">
        <f>(IF('Section Load'!AJ5&gt;0,'Section Load'!AJ5,0))</f>
        <v>784.71000000002095</v>
      </c>
      <c r="AJ2" s="294">
        <f>(IF('Section Load'!AK5&gt;0,'Section Load'!AK5,0))</f>
        <v>213.74000000000524</v>
      </c>
      <c r="AK2" s="294">
        <f>(IF('Section Load'!AL5&gt;0,'Section Load'!AL5,0))</f>
        <v>346.69000000000233</v>
      </c>
      <c r="AL2" s="294">
        <f>(IF('Section Load'!AM5&gt;0,'Section Load'!AM5,0))</f>
        <v>833.86000000000058</v>
      </c>
      <c r="AM2" s="295">
        <f>(IF('Water Report'!$D$7&gt;0,'Water Report'!$D$7,0))</f>
        <v>0</v>
      </c>
      <c r="AN2" s="295">
        <f>(IF('Water Report'!$D$8&gt;0,'Water Report'!$D$8,0))</f>
        <v>133</v>
      </c>
      <c r="AO2" s="295">
        <f>(IF('Water Report'!$D$9&gt;0,'Water Report'!$D$9,0))</f>
        <v>98</v>
      </c>
      <c r="AP2" s="295">
        <f>(IF('Water Report'!$D$10&gt;0,'Water Report'!$D$10,0))</f>
        <v>28</v>
      </c>
      <c r="AQ2" s="295">
        <f>(IF('Water Report'!$D$11&gt;0,'Water Report'!$D$11,0))</f>
        <v>40</v>
      </c>
      <c r="AR2" s="295">
        <f>(IF('Water Report'!$D$13&gt;0,'Water Report'!$D$13,0))</f>
        <v>14</v>
      </c>
      <c r="AS2" s="295">
        <f>(IF('Water Report'!$D$14&gt;0,'Water Report'!$D$14,0))</f>
        <v>25</v>
      </c>
      <c r="AT2" s="295">
        <f>(IF('Water Report'!$D$15&gt;0,'Water Report'!$D$15,0))</f>
        <v>13</v>
      </c>
      <c r="AU2" s="295">
        <f>(IF('Water Report'!$D$17&gt;0,'Water Report'!$D$17,0))</f>
        <v>0</v>
      </c>
      <c r="AV2" s="295">
        <f>(IF('Water Report'!$D$18&gt;0,'Water Report'!$D$18,0))</f>
        <v>15</v>
      </c>
      <c r="AW2" s="295">
        <f>(IF('Water Report'!$D$19&gt;0,'Water Report'!$D$19,0))</f>
        <v>12</v>
      </c>
      <c r="AX2" s="301">
        <f>(IF('Water Report'!$D$21&gt;0,'Water Report'!$D$21,0))</f>
        <v>62</v>
      </c>
      <c r="AY2" s="301">
        <f>(IF('Water Report'!$D$22&gt;0,'Water Report'!$D$22,0))</f>
        <v>42</v>
      </c>
      <c r="AZ2" s="301">
        <f>(IF('Water Report'!$D$23&gt;0,'Water Report'!$D$23,0))</f>
        <v>4</v>
      </c>
      <c r="BA2" s="301">
        <f>(IF('Water Report'!$D$14&gt;0,'Water Report'!$D$14,0))</f>
        <v>25</v>
      </c>
      <c r="BB2" s="301">
        <f>(IF('Water Report'!$D$15&gt;0,'Water Report'!$D$15,0))</f>
        <v>13</v>
      </c>
      <c r="BC2" s="301">
        <f>(IF('Water Report'!$D$13&gt;0,'Water Report'!$D$13,0))</f>
        <v>14</v>
      </c>
      <c r="BD2" s="301">
        <f>(IF('Water Report'!$D$24&gt;0,'Water Report'!$D$24,0))</f>
        <v>54</v>
      </c>
      <c r="BE2" s="301">
        <f>(IF('Water Report'!$D$25&gt;0,'Water Report'!$D$25,0))</f>
        <v>204</v>
      </c>
      <c r="BF2" s="301">
        <f>(IF('Water Report'!$D$27&gt;0,'Water Report'!$D$27,0))</f>
        <v>80</v>
      </c>
      <c r="BG2" s="296">
        <f>(IF('Section Load'!AN5&gt;0,'Section Load'!AN5,0))</f>
        <v>1070.0859999998938</v>
      </c>
      <c r="BH2" s="296">
        <f>(IF('Section Load'!AO5&gt;0,'Section Load'!AO5,0))</f>
        <v>267.77000000001863</v>
      </c>
      <c r="BI2" s="296">
        <f>(IF('Section Load'!AP5&gt;0,'Section Load'!AP5,0))</f>
        <v>0</v>
      </c>
      <c r="BJ2" s="296">
        <f>(IF('Section Load'!AQ5&gt;0,'Section Load'!AQ5,0))</f>
        <v>102.91000000000349</v>
      </c>
      <c r="BK2" s="296">
        <f>(IF('Section Load'!AR5&gt;0,'Section Load'!AR5,0))</f>
        <v>27.400000000001455</v>
      </c>
      <c r="BL2" s="296">
        <f>(IF('Section Load'!AS5&gt;0,'Section Load'!AS5,0))</f>
        <v>1.8999999999996362</v>
      </c>
      <c r="BM2" s="296">
        <f>(IF('Section Load'!AT5&gt;0,'Section Load'!AT5,0))</f>
        <v>670.10599999987062</v>
      </c>
    </row>
    <row r="3" spans="1:65">
      <c r="A3" s="287" t="s">
        <v>268</v>
      </c>
      <c r="B3" s="288">
        <f>B2+1</f>
        <v>2</v>
      </c>
      <c r="C3" s="288">
        <v>1</v>
      </c>
      <c r="D3" s="288">
        <v>2022</v>
      </c>
      <c r="E3" s="294">
        <f>(IF('Section Load'!F6&gt;0,'Section Load'!F6,0))</f>
        <v>3641.6900000000023</v>
      </c>
      <c r="F3" s="294">
        <f>(IF('Section Load'!G6&gt;0,'Section Load'!G6,0))</f>
        <v>1509.2399999999907</v>
      </c>
      <c r="G3" s="294">
        <f>(IF('Section Load'!H6&gt;0,'Section Load'!H6,0))</f>
        <v>1563.0599999999977</v>
      </c>
      <c r="H3" s="294">
        <f>(IF('Section Load'!I6&gt;0,'Section Load'!I6,0))</f>
        <v>2721.7999999999884</v>
      </c>
      <c r="I3" s="294">
        <f>(IF('Section Load'!J6&gt;0,'Section Load'!J6,0))</f>
        <v>3100</v>
      </c>
      <c r="J3" s="294">
        <f>(IF('Section Load'!K6&gt;0,'Section Load'!K6,0))</f>
        <v>2437.1699999999983</v>
      </c>
      <c r="K3" s="294">
        <f>(IF('Section Load'!L6&gt;0,'Section Load'!L6,0))</f>
        <v>1150.7200000000012</v>
      </c>
      <c r="L3" s="294">
        <f>(IF('Section Load'!M6&gt;0,'Section Load'!M6,0))</f>
        <v>756.53999999999724</v>
      </c>
      <c r="M3" s="294">
        <f>(IF('Section Load'!N6&gt;0,'Section Load'!N6,0))</f>
        <v>103</v>
      </c>
      <c r="N3" s="294">
        <f>(IF('Section Load'!O6&gt;0,'Section Load'!O6,0))</f>
        <v>0</v>
      </c>
      <c r="O3" s="294">
        <f>(IF('Section Load'!P6&gt;0,'Section Load'!P6,0))</f>
        <v>13.899999999994179</v>
      </c>
      <c r="P3" s="294">
        <f>(IF('Section Load'!Q6&gt;0,'Section Load'!Q6,0))</f>
        <v>171.09999999999854</v>
      </c>
      <c r="Q3" s="294">
        <f>(IF('Section Load'!R6&gt;0,'Section Load'!R6,0))</f>
        <v>72.119999999998981</v>
      </c>
      <c r="R3" s="294">
        <f>(IF('Section Load'!S6&gt;0,'Section Load'!S6,0))</f>
        <v>16.75</v>
      </c>
      <c r="S3" s="294">
        <f>(IF('Section Load'!T6&gt;0,'Section Load'!T6,0))</f>
        <v>508</v>
      </c>
      <c r="T3" s="294">
        <f>(IF('Section Load'!U6&gt;0,'Section Load'!U6,0))</f>
        <v>224</v>
      </c>
      <c r="U3" s="294">
        <f>(IF('Section Load'!V6&gt;0,'Section Load'!V6,0))</f>
        <v>448.68000000005122</v>
      </c>
      <c r="V3" s="294">
        <f>(IF('Section Load'!W6&gt;0,'Section Load'!W6,0))</f>
        <v>258.23999999999069</v>
      </c>
      <c r="W3" s="294">
        <f>(IF('Section Load'!X6&gt;0,'Section Load'!X6,0))</f>
        <v>25.0600000000004</v>
      </c>
      <c r="X3" s="294">
        <f>(IF('Section Load'!Y6&gt;0,'Section Load'!Y6,0))</f>
        <v>92.020000000004075</v>
      </c>
      <c r="Y3" s="294">
        <f>(IF('Section Load'!Z6&gt;0,'Section Load'!Z6,0))</f>
        <v>264</v>
      </c>
      <c r="Z3" s="294">
        <f>(IF('Section Load'!AA6&gt;0,'Section Load'!AA6,0))</f>
        <v>0</v>
      </c>
      <c r="AA3" s="294">
        <f>(IF('Section Load'!AB6&gt;0,'Section Load'!AB6,0))</f>
        <v>14</v>
      </c>
      <c r="AB3" s="294">
        <f>(IF('Section Load'!AC6&gt;0,'Section Load'!AC6,0))</f>
        <v>0</v>
      </c>
      <c r="AC3" s="294">
        <f>(IF('Section Load'!AD6&gt;0,'Section Load'!AD6,0))</f>
        <v>36.399999999999636</v>
      </c>
      <c r="AD3" s="294">
        <f>(IF('Section Load'!AE6&gt;0,'Section Load'!AE6,0))</f>
        <v>0</v>
      </c>
      <c r="AE3" s="294">
        <f>(IF('Section Load'!AF6&gt;0,'Section Load'!AF6,0))</f>
        <v>20.809999999999945</v>
      </c>
      <c r="AF3" s="294">
        <f>(IF('Section Load'!AG6&gt;0,'Section Load'!AG6,0))</f>
        <v>364.48999999999069</v>
      </c>
      <c r="AG3" s="294">
        <f>(IF('Section Load'!AH6&gt;0,'Section Load'!AH6,0))</f>
        <v>423.11999999999534</v>
      </c>
      <c r="AH3" s="294">
        <f>(IF('Section Load'!AI6&gt;0,'Section Load'!AI6,0))</f>
        <v>421.32999999999811</v>
      </c>
      <c r="AI3" s="294">
        <f>(IF('Section Load'!AJ6&gt;0,'Section Load'!AJ6,0))</f>
        <v>753.75999999995111</v>
      </c>
      <c r="AJ3" s="294">
        <f>(IF('Section Load'!AK6&gt;0,'Section Load'!AK6,0))</f>
        <v>213.86000000000058</v>
      </c>
      <c r="AK3" s="294">
        <f>(IF('Section Load'!AL6&gt;0,'Section Load'!AL6,0))</f>
        <v>347.07999999998719</v>
      </c>
      <c r="AL3" s="294">
        <f>(IF('Section Load'!AM6&gt;0,'Section Load'!AM6,0))</f>
        <v>832.02000000000407</v>
      </c>
      <c r="AM3" s="295">
        <f>(IF('Water Report'!$E$7&gt;0,'Water Report'!$E$7,0))</f>
        <v>0</v>
      </c>
      <c r="AN3" s="295">
        <f>(IF('Water Report'!$E$8&gt;0,'Water Report'!$E$8,0))</f>
        <v>114</v>
      </c>
      <c r="AO3" s="295">
        <f>(IF('Water Report'!$E$9&gt;0,'Water Report'!$E$9,0))</f>
        <v>60</v>
      </c>
      <c r="AP3" s="295">
        <f>(IF('Water Report'!$E$10&gt;0,'Water Report'!$E$10,0))</f>
        <v>27</v>
      </c>
      <c r="AQ3" s="295">
        <f>(IF('Water Report'!$E$11&gt;0,'Water Report'!$E$11,0))</f>
        <v>39</v>
      </c>
      <c r="AR3" s="295">
        <f>(IF('Water Report'!$E$13&gt;0,'Water Report'!$E$13,0))</f>
        <v>10</v>
      </c>
      <c r="AS3" s="295">
        <f>(IF('Water Report'!$E$14&gt;0,'Water Report'!$E$14,0))</f>
        <v>11</v>
      </c>
      <c r="AT3" s="295">
        <f>(IF('Water Report'!$E$15&gt;0,'Water Report'!$E$15,0))</f>
        <v>12</v>
      </c>
      <c r="AU3" s="295">
        <f>(IF('Water Report'!$E$17&gt;0,'Water Report'!$E$17,0))</f>
        <v>0</v>
      </c>
      <c r="AV3" s="295">
        <f>(IF('Water Report'!$E$18&gt;0,'Water Report'!$E$18,0))</f>
        <v>0</v>
      </c>
      <c r="AW3" s="295">
        <f>(IF('Water Report'!$E$19&gt;0,'Water Report'!$E$19,0))</f>
        <v>7</v>
      </c>
      <c r="AX3" s="301">
        <f>(IF('Water Report'!$E$21&gt;0,'Water Report'!$E$21,0))</f>
        <v>64</v>
      </c>
      <c r="AY3" s="301">
        <f>(IF('Water Report'!$E$22&gt;0,'Water Report'!$E$22,0))</f>
        <v>1</v>
      </c>
      <c r="AZ3" s="301">
        <f>(IF('Water Report'!$E$23&gt;0,'Water Report'!$E$23,0))</f>
        <v>3</v>
      </c>
      <c r="BA3" s="301">
        <f>(IF('Water Report'!$E$14&gt;0,'Water Report'!$E$14,0))</f>
        <v>11</v>
      </c>
      <c r="BB3" s="301">
        <f>(IF('Water Report'!$E$15&gt;0,'Water Report'!$E$15,0))</f>
        <v>12</v>
      </c>
      <c r="BC3" s="301">
        <f>(IF('Water Report'!$E$13&gt;0,'Water Report'!$E$13,0))</f>
        <v>10</v>
      </c>
      <c r="BD3" s="301">
        <f>(IF('Water Report'!$E$24&gt;0,'Water Report'!$E$24,0))</f>
        <v>56</v>
      </c>
      <c r="BE3" s="301">
        <f>(IF('Water Report'!$E$25&gt;0,'Water Report'!$E$25,0))</f>
        <v>149</v>
      </c>
      <c r="BF3" s="301">
        <f>(IF('Water Report'!$E$27&gt;0,'Water Report'!$E$27,0))</f>
        <v>77</v>
      </c>
      <c r="BG3" s="296">
        <f>(IF('Section Load'!AN6&gt;0,'Section Load'!AN6,0))</f>
        <v>808.52700000000186</v>
      </c>
      <c r="BH3" s="296">
        <f>(IF('Section Load'!AO6&gt;0,'Section Load'!AO6,0))</f>
        <v>258.03000000002794</v>
      </c>
      <c r="BI3" s="296">
        <f>(IF('Section Load'!AP6&gt;0,'Section Load'!AP6,0))</f>
        <v>0</v>
      </c>
      <c r="BJ3" s="296">
        <f>(IF('Section Load'!AQ6&gt;0,'Section Load'!AQ6,0))</f>
        <v>98.589999999996508</v>
      </c>
      <c r="BK3" s="296">
        <f>(IF('Section Load'!AR6&gt;0,'Section Load'!AR6,0))</f>
        <v>40</v>
      </c>
      <c r="BL3" s="296">
        <f>(IF('Section Load'!AS6&gt;0,'Section Load'!AS6,0))</f>
        <v>0.6000000000003638</v>
      </c>
      <c r="BM3" s="296">
        <f>(IF('Section Load'!AT6&gt;0,'Section Load'!AT6,0))</f>
        <v>411.30699999997705</v>
      </c>
    </row>
    <row r="4" spans="1:65">
      <c r="A4" s="287" t="s">
        <v>268</v>
      </c>
      <c r="B4" s="288">
        <f t="shared" ref="B4:B32" si="0">B3+1</f>
        <v>3</v>
      </c>
      <c r="C4" s="288">
        <v>1</v>
      </c>
      <c r="D4" s="288">
        <v>2022</v>
      </c>
      <c r="E4" s="294">
        <f>(IF('Section Load'!F7&gt;0,'Section Load'!F7,0))</f>
        <v>3773.3099999999977</v>
      </c>
      <c r="F4" s="294">
        <f>(IF('Section Load'!G7&gt;0,'Section Load'!G7,0))</f>
        <v>1514.2000000000116</v>
      </c>
      <c r="G4" s="294">
        <f>(IF('Section Load'!H7&gt;0,'Section Load'!H7,0))</f>
        <v>1476.640000000014</v>
      </c>
      <c r="H4" s="294">
        <f>(IF('Section Load'!I7&gt;0,'Section Load'!I7,0))</f>
        <v>2758.7999999999884</v>
      </c>
      <c r="I4" s="294">
        <f>(IF('Section Load'!J7&gt;0,'Section Load'!J7,0))</f>
        <v>3094.6399999999994</v>
      </c>
      <c r="J4" s="294">
        <f>(IF('Section Load'!K7&gt;0,'Section Load'!K7,0))</f>
        <v>2419.6699999999983</v>
      </c>
      <c r="K4" s="294">
        <f>(IF('Section Load'!L7&gt;0,'Section Load'!L7,0))</f>
        <v>965.46999999999753</v>
      </c>
      <c r="L4" s="294">
        <f>(IF('Section Load'!M7&gt;0,'Section Load'!M7,0))</f>
        <v>783.35000000000218</v>
      </c>
      <c r="M4" s="294">
        <f>(IF('Section Load'!N7&gt;0,'Section Load'!N7,0))</f>
        <v>84</v>
      </c>
      <c r="N4" s="294">
        <f>(IF('Section Load'!O7&gt;0,'Section Load'!O7,0))</f>
        <v>0</v>
      </c>
      <c r="O4" s="294">
        <f>(IF('Section Load'!P7&gt;0,'Section Load'!P7,0))</f>
        <v>0</v>
      </c>
      <c r="P4" s="294">
        <f>(IF('Section Load'!Q7&gt;0,'Section Load'!Q7,0))</f>
        <v>184.10000000000582</v>
      </c>
      <c r="Q4" s="294">
        <f>(IF('Section Load'!R7&gt;0,'Section Load'!R7,0))</f>
        <v>69.680000000000291</v>
      </c>
      <c r="R4" s="294">
        <f>(IF('Section Load'!S7&gt;0,'Section Load'!S7,0))</f>
        <v>16.960000000000036</v>
      </c>
      <c r="S4" s="294">
        <f>(IF('Section Load'!T7&gt;0,'Section Load'!T7,0))</f>
        <v>426</v>
      </c>
      <c r="T4" s="294">
        <f>(IF('Section Load'!U7&gt;0,'Section Load'!U7,0))</f>
        <v>221</v>
      </c>
      <c r="U4" s="294">
        <f>(IF('Section Load'!V7&gt;0,'Section Load'!V7,0))</f>
        <v>395.80000000004657</v>
      </c>
      <c r="V4" s="294">
        <f>(IF('Section Load'!W7&gt;0,'Section Load'!W7,0))</f>
        <v>249.04000000003725</v>
      </c>
      <c r="W4" s="294">
        <f>(IF('Section Load'!X7&gt;0,'Section Load'!X7,0))</f>
        <v>8.3899999999998727</v>
      </c>
      <c r="X4" s="294">
        <f>(IF('Section Load'!Y7&gt;0,'Section Load'!Y7,0))</f>
        <v>22.669999999998254</v>
      </c>
      <c r="Y4" s="294">
        <f>(IF('Section Load'!Z7&gt;0,'Section Load'!Z7,0))</f>
        <v>215</v>
      </c>
      <c r="Z4" s="294">
        <f>(IF('Section Load'!AA7&gt;0,'Section Load'!AA7,0))</f>
        <v>0.55999999999767169</v>
      </c>
      <c r="AA4" s="294">
        <f>(IF('Section Load'!AB7&gt;0,'Section Load'!AB7,0))</f>
        <v>29.600000000005821</v>
      </c>
      <c r="AB4" s="294">
        <f>(IF('Section Load'!AC7&gt;0,'Section Load'!AC7,0))</f>
        <v>0</v>
      </c>
      <c r="AC4" s="294">
        <f>(IF('Section Load'!AD7&gt;0,'Section Load'!AD7,0))</f>
        <v>55</v>
      </c>
      <c r="AD4" s="294">
        <f>(IF('Section Load'!AE7&gt;0,'Section Load'!AE7,0))</f>
        <v>0</v>
      </c>
      <c r="AE4" s="294">
        <f>(IF('Section Load'!AF7&gt;0,'Section Load'!AF7,0))</f>
        <v>20.75</v>
      </c>
      <c r="AF4" s="294">
        <f>(IF('Section Load'!AG7&gt;0,'Section Load'!AG7,0))</f>
        <v>392.5</v>
      </c>
      <c r="AG4" s="294">
        <f>(IF('Section Load'!AH7&gt;0,'Section Load'!AH7,0))</f>
        <v>449.51999999998952</v>
      </c>
      <c r="AH4" s="294">
        <f>(IF('Section Load'!AI7&gt;0,'Section Load'!AI7,0))</f>
        <v>429.38000000000102</v>
      </c>
      <c r="AI4" s="294">
        <f>(IF('Section Load'!AJ7&gt;0,'Section Load'!AJ7,0))</f>
        <v>774.68000000005122</v>
      </c>
      <c r="AJ4" s="294">
        <f>(IF('Section Load'!AK7&gt;0,'Section Load'!AK7,0))</f>
        <v>238.93999999998778</v>
      </c>
      <c r="AK4" s="294">
        <f>(IF('Section Load'!AL7&gt;0,'Section Load'!AL7,0))</f>
        <v>338.12000000002445</v>
      </c>
      <c r="AL4" s="294">
        <f>(IF('Section Load'!AM7&gt;0,'Section Load'!AM7,0))</f>
        <v>837.55999999999767</v>
      </c>
      <c r="AM4" s="295">
        <f>(IF('Water Report'!$F$7&gt;0,'Water Report'!$F$7,0))</f>
        <v>30</v>
      </c>
      <c r="AN4" s="295">
        <f>(IF('Water Report'!$F$8&gt;0,'Water Report'!$F$8,0))</f>
        <v>61</v>
      </c>
      <c r="AO4" s="295">
        <f>(IF('Water Report'!$F$9&gt;0,'Water Report'!$G$9,0))</f>
        <v>81</v>
      </c>
      <c r="AP4" s="295">
        <f>(IF('Water Report'!$F$10&gt;0,'Water Report'!$F$10,0))</f>
        <v>18</v>
      </c>
      <c r="AQ4" s="295">
        <f>(IF('Water Report'!$F$11&gt;0,'Water Report'!$F$11,0))</f>
        <v>20</v>
      </c>
      <c r="AR4" s="295">
        <f>(IF('Water Report'!$F$13&gt;0,'Water Report'!$F$13,0))</f>
        <v>9</v>
      </c>
      <c r="AS4" s="295">
        <f>(IF('Water Report'!$F$14&gt;0,'Water Report'!$F$14,0))</f>
        <v>22</v>
      </c>
      <c r="AT4" s="295">
        <f>(IF('Water Report'!$F$15&gt;0,'Water Report'!$F$15,0))</f>
        <v>7</v>
      </c>
      <c r="AU4" s="295">
        <f>(IF('Water Report'!$F$17&gt;0,'Water Report'!$F$17,0))</f>
        <v>0</v>
      </c>
      <c r="AV4" s="295">
        <f>(IF('Water Report'!$F$18&gt;0,'Water Report'!$F$18,0))</f>
        <v>0</v>
      </c>
      <c r="AW4" s="295">
        <f>(IF('Water Report'!$F$19&gt;0,'Water Report'!$F$19,0))</f>
        <v>2</v>
      </c>
      <c r="AX4" s="301">
        <f>(IF('Water Report'!$F$21&gt;0,'Water Report'!$F$21,0))</f>
        <v>58</v>
      </c>
      <c r="AY4" s="301">
        <f>(IF('Water Report'!$F$22&gt;0,'Water Report'!$F$22,0))</f>
        <v>15</v>
      </c>
      <c r="AZ4" s="301">
        <f>(IF('Water Report'!$F$23&gt;0,'Water Report'!$F$23,0))</f>
        <v>4</v>
      </c>
      <c r="BA4" s="301">
        <f>(IF('Water Report'!$F$14&gt;0,'Water Report'!$F$14,0))</f>
        <v>22</v>
      </c>
      <c r="BB4" s="301">
        <f>(IF('Water Report'!$F$15&gt;0,'Water Report'!$F$15,0))</f>
        <v>7</v>
      </c>
      <c r="BC4" s="301">
        <f>(IF('Water Report'!$F$13&gt;0,'Water Report'!$F$13,0))</f>
        <v>9</v>
      </c>
      <c r="BD4" s="301">
        <f>(IF('Water Report'!$F$24&gt;0,'Water Report'!$F$24,0))</f>
        <v>356</v>
      </c>
      <c r="BE4" s="301">
        <f>(IF('Water Report'!$F$25&gt;0,'Water Report'!$F$25,0))</f>
        <v>107</v>
      </c>
      <c r="BF4" s="301">
        <f>(IF('Water Report'!$F$27&gt;0,'Water Report'!$F$27,0))</f>
        <v>71</v>
      </c>
      <c r="BG4" s="296">
        <f>(IF('Section Load'!AN7&gt;0,'Section Load'!AN7,0))</f>
        <v>524.78700000001118</v>
      </c>
      <c r="BH4" s="296">
        <f>(IF('Section Load'!AO7&gt;0,'Section Load'!AO7,0))</f>
        <v>240.55999999993946</v>
      </c>
      <c r="BI4" s="296">
        <f>(IF('Section Load'!AP7&gt;0,'Section Load'!AP7,0))</f>
        <v>0</v>
      </c>
      <c r="BJ4" s="296">
        <f>(IF('Section Load'!AQ7&gt;0,'Section Load'!AQ7,0))</f>
        <v>90.5</v>
      </c>
      <c r="BK4" s="296">
        <f>(IF('Section Load'!AR7&gt;0,'Section Load'!AR7,0))</f>
        <v>34.69999999999709</v>
      </c>
      <c r="BL4" s="296">
        <f>(IF('Section Load'!AS7&gt;0,'Section Load'!AS7,0))</f>
        <v>0.7999999999992724</v>
      </c>
      <c r="BM4" s="296">
        <f>(IF('Section Load'!AT7&gt;0,'Section Load'!AT7,0))</f>
        <v>158.22700000007535</v>
      </c>
    </row>
    <row r="5" spans="1:65">
      <c r="A5" s="287" t="s">
        <v>268</v>
      </c>
      <c r="B5" s="288">
        <f t="shared" si="0"/>
        <v>4</v>
      </c>
      <c r="C5" s="288">
        <v>1</v>
      </c>
      <c r="D5" s="288">
        <v>2022</v>
      </c>
      <c r="E5" s="294">
        <f>(IF('Section Load'!F8&gt;0,'Section Load'!F8,0))</f>
        <v>3322.8600000000151</v>
      </c>
      <c r="F5" s="294">
        <f>(IF('Section Load'!G8&gt;0,'Section Load'!G8,0))</f>
        <v>1526.8799999999756</v>
      </c>
      <c r="G5" s="294">
        <f>(IF('Section Load'!H8&gt;0,'Section Load'!H8,0))</f>
        <v>1752.359999999986</v>
      </c>
      <c r="H5" s="294">
        <f>(IF('Section Load'!I8&gt;0,'Section Load'!I8,0))</f>
        <v>2740.5200000000186</v>
      </c>
      <c r="I5" s="294">
        <f>(IF('Section Load'!J8&gt;0,'Section Load'!J8,0))</f>
        <v>3146.7900000000009</v>
      </c>
      <c r="J5" s="294">
        <f>(IF('Section Load'!K8&gt;0,'Section Load'!K8,0))</f>
        <v>2444.6500000000015</v>
      </c>
      <c r="K5" s="294">
        <f>(IF('Section Load'!L8&gt;0,'Section Load'!L8,0))</f>
        <v>1036.4099999999999</v>
      </c>
      <c r="L5" s="294">
        <f>(IF('Section Load'!M8&gt;0,'Section Load'!M8,0))</f>
        <v>727.02999999999884</v>
      </c>
      <c r="M5" s="294">
        <f>(IF('Section Load'!N8&gt;0,'Section Load'!N8,0))</f>
        <v>70</v>
      </c>
      <c r="N5" s="294">
        <f>(IF('Section Load'!O8&gt;0,'Section Load'!O8,0))</f>
        <v>0</v>
      </c>
      <c r="O5" s="294">
        <f>(IF('Section Load'!P8&gt;0,'Section Load'!P8,0))</f>
        <v>2.4000000000087311</v>
      </c>
      <c r="P5" s="294">
        <f>(IF('Section Load'!Q8&gt;0,'Section Load'!Q8,0))</f>
        <v>180.23999999999796</v>
      </c>
      <c r="Q5" s="294">
        <f>(IF('Section Load'!R8&gt;0,'Section Load'!R8,0))</f>
        <v>67.950000000000728</v>
      </c>
      <c r="R5" s="294">
        <f>(IF('Section Load'!S8&gt;0,'Section Load'!S8,0))</f>
        <v>17.269999999999527</v>
      </c>
      <c r="S5" s="294">
        <f>(IF('Section Load'!T8&gt;0,'Section Load'!T8,0))</f>
        <v>462</v>
      </c>
      <c r="T5" s="294">
        <f>(IF('Section Load'!U8&gt;0,'Section Load'!U8,0))</f>
        <v>225</v>
      </c>
      <c r="U5" s="294">
        <f>(IF('Section Load'!V8&gt;0,'Section Load'!V8,0))</f>
        <v>396.03999999992084</v>
      </c>
      <c r="V5" s="294">
        <f>(IF('Section Load'!W8&gt;0,'Section Load'!W8,0))</f>
        <v>255.28000000002794</v>
      </c>
      <c r="W5" s="294">
        <f>(IF('Section Load'!X8&gt;0,'Section Load'!X8,0))</f>
        <v>30.670000000000073</v>
      </c>
      <c r="X5" s="294">
        <f>(IF('Section Load'!Y8&gt;0,'Section Load'!Y8,0))</f>
        <v>173.66</v>
      </c>
      <c r="Y5" s="294">
        <f>(IF('Section Load'!Z8&gt;0,'Section Load'!Z8,0))</f>
        <v>268</v>
      </c>
      <c r="Z5" s="294">
        <f>(IF('Section Load'!AA8&gt;0,'Section Load'!AA8,0))</f>
        <v>0</v>
      </c>
      <c r="AA5" s="294">
        <f>(IF('Section Load'!AB8&gt;0,'Section Load'!AB8,0))</f>
        <v>25.599999999991269</v>
      </c>
      <c r="AB5" s="294">
        <f>(IF('Section Load'!AC8&gt;0,'Section Load'!AC8,0))</f>
        <v>0</v>
      </c>
      <c r="AC5" s="294">
        <f>(IF('Section Load'!AD8&gt;0,'Section Load'!AD8,0))</f>
        <v>50.000000000006366</v>
      </c>
      <c r="AD5" s="294">
        <f>(IF('Section Load'!AE8&gt;0,'Section Load'!AE8,0))</f>
        <v>0</v>
      </c>
      <c r="AE5" s="294">
        <f>(IF('Section Load'!AF8&gt;0,'Section Load'!AF8,0))</f>
        <v>31.4699999999998</v>
      </c>
      <c r="AF5" s="294">
        <f>(IF('Section Load'!AG8&gt;0,'Section Load'!AG8,0))</f>
        <v>384.05999999999767</v>
      </c>
      <c r="AG5" s="294">
        <f>(IF('Section Load'!AH8&gt;0,'Section Load'!AH8,0))</f>
        <v>438.76000000000931</v>
      </c>
      <c r="AH5" s="294">
        <f>(IF('Section Load'!AI8&gt;0,'Section Load'!AI8,0))</f>
        <v>413</v>
      </c>
      <c r="AI5" s="294">
        <f>(IF('Section Load'!AJ8&gt;0,'Section Load'!AJ8,0))</f>
        <v>784.44000000000233</v>
      </c>
      <c r="AJ5" s="294">
        <f>(IF('Section Load'!AK8&gt;0,'Section Load'!AK8,0))</f>
        <v>245.56000000001222</v>
      </c>
      <c r="AK5" s="294">
        <f>(IF('Section Load'!AL8&gt;0,'Section Load'!AL8,0))</f>
        <v>321.77999999999884</v>
      </c>
      <c r="AL5" s="294">
        <f>(IF('Section Load'!AM8&gt;0,'Section Load'!AM8,0))</f>
        <v>840.17999999999302</v>
      </c>
      <c r="AM5" s="295">
        <f>(IF('Water Report'!$G$7&gt;0,'Water Report'!$F$7,0))</f>
        <v>30</v>
      </c>
      <c r="AN5" s="295">
        <f>(IF('Water Report'!$G$8&gt;0,'Water Report'!$F$8,0))</f>
        <v>61</v>
      </c>
      <c r="AO5" s="295">
        <f>(IF('Water Report'!$G$9&gt;0,'Water Report'!$H$9,0))</f>
        <v>74</v>
      </c>
      <c r="AP5" s="295">
        <f>(IF('Water Report'!$G$10&gt;0,'Water Report'!$G$10,0))</f>
        <v>21</v>
      </c>
      <c r="AQ5" s="295">
        <f>(IF('Water Report'!$G$11&gt;0,'Water Report'!$G$11,0))</f>
        <v>27</v>
      </c>
      <c r="AR5" s="295">
        <f>(IF('Water Report'!$G$13&gt;0,'Water Report'!$G$13,0))</f>
        <v>27</v>
      </c>
      <c r="AS5" s="295">
        <f>(IF('Water Report'!$G$14&gt;0,'Water Report'!$G$14,0))</f>
        <v>7</v>
      </c>
      <c r="AT5" s="295">
        <f>(IF('Water Report'!$G$15&gt;0,'Water Report'!$G$15,0))</f>
        <v>6</v>
      </c>
      <c r="AU5" s="295">
        <f>(IF('Water Report'!$G$17&gt;0,'Water Report'!$G$17,0))</f>
        <v>0</v>
      </c>
      <c r="AV5" s="295">
        <f>(IF('Water Report'!$G$18&gt;0,'Water Report'!$G$18,0))</f>
        <v>14</v>
      </c>
      <c r="AW5" s="295">
        <f>(IF('Water Report'!$G$19&gt;0,'Water Report'!$G$19,0))</f>
        <v>17</v>
      </c>
      <c r="AX5" s="301">
        <f>(IF('Water Report'!$G$21&gt;0,'Water Report'!$G$21,0))</f>
        <v>79</v>
      </c>
      <c r="AY5" s="301">
        <f>(IF('Water Report'!$G$22&gt;0,'Water Report'!$G$22,0))</f>
        <v>35</v>
      </c>
      <c r="AZ5" s="301">
        <f>(IF('Water Report'!$G$23&gt;0,'Water Report'!$G$23,0))</f>
        <v>16</v>
      </c>
      <c r="BA5" s="301">
        <f>(IF('Water Report'!$G$14&gt;0,'Water Report'!$G$14,0))</f>
        <v>7</v>
      </c>
      <c r="BB5" s="301">
        <f>(IF('Water Report'!$G$15&gt;0,'Water Report'!$G$15,0))</f>
        <v>6</v>
      </c>
      <c r="BC5" s="301">
        <f>(IF('Water Report'!$G$13&gt;0,'Water Report'!$G$13,0))</f>
        <v>27</v>
      </c>
      <c r="BD5" s="301">
        <f>(IF('Water Report'!$G$24&gt;0,'Water Report'!$G$24,0))</f>
        <v>219</v>
      </c>
      <c r="BE5" s="301">
        <f>(IF('Water Report'!$G$25&gt;0,'Water Report'!$G$25,0))</f>
        <v>142</v>
      </c>
      <c r="BF5" s="301">
        <f>(IF('Water Report'!$G$27&gt;0,'Water Report'!$G$27,0))</f>
        <v>122</v>
      </c>
      <c r="BG5" s="296">
        <f>(IF('Section Load'!AN8&gt;0,'Section Load'!AN8,0))</f>
        <v>1035.25</v>
      </c>
      <c r="BH5" s="296">
        <f>(IF('Section Load'!AO8&gt;0,'Section Load'!AO8,0))</f>
        <v>317.86999999999534</v>
      </c>
      <c r="BI5" s="296">
        <f>(IF('Section Load'!AP8&gt;0,'Section Load'!AP8,0))</f>
        <v>0</v>
      </c>
      <c r="BJ5" s="296">
        <f>(IF('Section Load'!AQ8&gt;0,'Section Load'!AQ8,0))</f>
        <v>94.320000000006985</v>
      </c>
      <c r="BK5" s="296">
        <f>(IF('Section Load'!AR8&gt;0,'Section Load'!AR8,0))</f>
        <v>22.900000000001455</v>
      </c>
      <c r="BL5" s="296">
        <f>(IF('Section Load'!AS8&gt;0,'Section Load'!AS8,0))</f>
        <v>0.7000000000007276</v>
      </c>
      <c r="BM5" s="296">
        <f>(IF('Section Load'!AT8&gt;0,'Section Load'!AT8,0))</f>
        <v>599.45999999999549</v>
      </c>
    </row>
    <row r="6" spans="1:65">
      <c r="A6" s="287" t="s">
        <v>268</v>
      </c>
      <c r="B6" s="288">
        <f t="shared" si="0"/>
        <v>5</v>
      </c>
      <c r="C6" s="288">
        <v>1</v>
      </c>
      <c r="D6" s="288">
        <v>2022</v>
      </c>
      <c r="E6" s="294">
        <f>(IF('Section Load'!F9&gt;0,'Section Load'!F9,0))</f>
        <v>3487.7099999999919</v>
      </c>
      <c r="F6" s="294">
        <f>(IF('Section Load'!G9&gt;0,'Section Load'!G9,0))</f>
        <v>1513.0600000000268</v>
      </c>
      <c r="G6" s="294">
        <f>(IF('Section Load'!H9&gt;0,'Section Load'!H9,0))</f>
        <v>1672.4000000000233</v>
      </c>
      <c r="H6" s="294">
        <f>(IF('Section Load'!I9&gt;0,'Section Load'!I9,0))</f>
        <v>2669.0800000000163</v>
      </c>
      <c r="I6" s="294">
        <f>(IF('Section Load'!J9&gt;0,'Section Load'!J9,0))</f>
        <v>3314.6699999999983</v>
      </c>
      <c r="J6" s="294">
        <f>(IF('Section Load'!K9&gt;0,'Section Load'!K9,0))</f>
        <v>2407.4700000000012</v>
      </c>
      <c r="K6" s="294">
        <f>(IF('Section Load'!L9&gt;0,'Section Load'!L9,0))</f>
        <v>989.63999999999942</v>
      </c>
      <c r="L6" s="294">
        <f>(IF('Section Load'!M9&gt;0,'Section Load'!M9,0))</f>
        <v>802.54000000000087</v>
      </c>
      <c r="M6" s="294">
        <f>(IF('Section Load'!N9&gt;0,'Section Load'!N9,0))</f>
        <v>59</v>
      </c>
      <c r="N6" s="294">
        <f>(IF('Section Load'!O9&gt;0,'Section Load'!O9,0))</f>
        <v>0</v>
      </c>
      <c r="O6" s="294">
        <f>(IF('Section Load'!P9&gt;0,'Section Load'!P9,0))</f>
        <v>0</v>
      </c>
      <c r="P6" s="294">
        <f>(IF('Section Load'!Q9&gt;0,'Section Load'!Q9,0))</f>
        <v>171.05999999999767</v>
      </c>
      <c r="Q6" s="294">
        <f>(IF('Section Load'!R9&gt;0,'Section Load'!R9,0))</f>
        <v>77</v>
      </c>
      <c r="R6" s="294">
        <f>(IF('Section Load'!S9&gt;0,'Section Load'!S9,0))</f>
        <v>16.770000000000437</v>
      </c>
      <c r="S6" s="294">
        <f>(IF('Section Load'!T9&gt;0,'Section Load'!T9,0))</f>
        <v>450</v>
      </c>
      <c r="T6" s="294">
        <f>(IF('Section Load'!U9&gt;0,'Section Load'!U9,0))</f>
        <v>225</v>
      </c>
      <c r="U6" s="294">
        <f>(IF('Section Load'!V9&gt;0,'Section Load'!V9,0))</f>
        <v>381.1600000000326</v>
      </c>
      <c r="V6" s="294">
        <f>(IF('Section Load'!W9&gt;0,'Section Load'!W9,0))</f>
        <v>231.19999999995343</v>
      </c>
      <c r="W6" s="294">
        <f>(IF('Section Load'!X9&gt;0,'Section Load'!X9,0))</f>
        <v>20.339999999999691</v>
      </c>
      <c r="X6" s="294">
        <f>(IF('Section Load'!Y9&gt;0,'Section Load'!Y9,0))</f>
        <v>76.81</v>
      </c>
      <c r="Y6" s="294">
        <f>(IF('Section Load'!Z9&gt;0,'Section Load'!Z9,0))</f>
        <v>246</v>
      </c>
      <c r="Z6" s="294">
        <f>(IF('Section Load'!AA9&gt;0,'Section Load'!AA9,0))</f>
        <v>0</v>
      </c>
      <c r="AA6" s="294">
        <f>(IF('Section Load'!AB9&gt;0,'Section Load'!AB9,0))</f>
        <v>25.80000000000291</v>
      </c>
      <c r="AB6" s="294">
        <f>(IF('Section Load'!AC9&gt;0,'Section Load'!AC9,0))</f>
        <v>0</v>
      </c>
      <c r="AC6" s="294">
        <f>(IF('Section Load'!AD9&gt;0,'Section Load'!AD9,0))</f>
        <v>54.399999999991451</v>
      </c>
      <c r="AD6" s="294">
        <f>(IF('Section Load'!AE9&gt;0,'Section Load'!AE9,0))</f>
        <v>0</v>
      </c>
      <c r="AE6" s="294">
        <f>(IF('Section Load'!AF9&gt;0,'Section Load'!AF9,0))</f>
        <v>34.360000000000127</v>
      </c>
      <c r="AF6" s="294">
        <f>(IF('Section Load'!AG9&gt;0,'Section Load'!AG9,0))</f>
        <v>378.98000000001048</v>
      </c>
      <c r="AG6" s="294">
        <f>(IF('Section Load'!AH9&gt;0,'Section Load'!AH9,0))</f>
        <v>421.61999999999534</v>
      </c>
      <c r="AH6" s="294">
        <f>(IF('Section Load'!AI9&gt;0,'Section Load'!AI9,0))</f>
        <v>411.54999999999927</v>
      </c>
      <c r="AI6" s="294">
        <f>(IF('Section Load'!AJ9&gt;0,'Section Load'!AJ9,0))</f>
        <v>726.40999999997439</v>
      </c>
      <c r="AJ6" s="294">
        <f>(IF('Section Load'!AK9&gt;0,'Section Load'!AK9,0))</f>
        <v>241.27999999999884</v>
      </c>
      <c r="AK6" s="294">
        <f>(IF('Section Load'!AL9&gt;0,'Section Load'!AL9,0))</f>
        <v>314.07999999998719</v>
      </c>
      <c r="AL6" s="294">
        <f>(IF('Section Load'!AM9&gt;0,'Section Load'!AM9,0))</f>
        <v>846.25</v>
      </c>
      <c r="AM6" s="295">
        <f>(IF('Water Report'!$H$7&gt;0,'Water Report'!$H$7,0))</f>
        <v>86</v>
      </c>
      <c r="AN6" s="295">
        <f>(IF('Water Report'!$H$8&gt;0,'Water Report'!$H$8,0))</f>
        <v>119</v>
      </c>
      <c r="AO6" s="295">
        <f>(IF('Water Report'!$H$9&gt;0,'Water Report'!$H$9,0))</f>
        <v>74</v>
      </c>
      <c r="AP6" s="295">
        <f>(IF('Water Report'!$H$10&gt;0,'Water Report'!$H$10,0))</f>
        <v>19</v>
      </c>
      <c r="AQ6" s="295">
        <f>(IF('Water Report'!$H$11&gt;0,'Water Report'!$H$11,0))</f>
        <v>22</v>
      </c>
      <c r="AR6" s="295">
        <f>(IF('Water Report'!$H$13&gt;0,'Water Report'!$H$13,0))</f>
        <v>27</v>
      </c>
      <c r="AS6" s="295">
        <f>(IF('Water Report'!$H$14&gt;0,'Water Report'!$H$14,0))</f>
        <v>11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14</v>
      </c>
      <c r="AW6" s="295">
        <f>(IF('Water Report'!$H$19&gt;0,'Water Report'!$H$19,0))</f>
        <v>11</v>
      </c>
      <c r="AX6" s="301">
        <f>(IF('Water Report'!$H$21&gt;0,'Water Report'!$H$21,0))</f>
        <v>97</v>
      </c>
      <c r="AY6" s="301">
        <f>(IF('Water Report'!$H$22&gt;0,'Water Report'!$H$22,0))</f>
        <v>16</v>
      </c>
      <c r="AZ6" s="301">
        <f>(IF('Water Report'!$H$23&gt;0,'Water Report'!$H$23,0))</f>
        <v>1</v>
      </c>
      <c r="BA6" s="301">
        <f>(IF('Water Report'!$H$14&gt;0,'Water Report'!$H$14,0))</f>
        <v>11</v>
      </c>
      <c r="BB6" s="301">
        <f>(IF('Water Report'!$H$15&gt;0,'Water Report'!$H$15,0))</f>
        <v>6</v>
      </c>
      <c r="BC6" s="301">
        <f>(IF('Water Report'!$H$13&gt;0,'Water Report'!$H$13,0))</f>
        <v>27</v>
      </c>
      <c r="BD6" s="301">
        <f>(IF('Water Report'!$H$24&gt;0,'Water Report'!$H$24,0))</f>
        <v>171</v>
      </c>
      <c r="BE6" s="301">
        <f>(IF('Water Report'!$H$25&gt;0,'Water Report'!$H$25,0))</f>
        <v>132</v>
      </c>
      <c r="BF6" s="301">
        <f>(IF('Water Report'!$H$27&gt;0,'Water Report'!$H$27,0))</f>
        <v>125</v>
      </c>
      <c r="BG6" s="296">
        <f>(IF('Section Load'!AN9&gt;0,'Section Load'!AN9,0))</f>
        <v>1002.0500000000466</v>
      </c>
      <c r="BH6" s="296">
        <f>(IF('Section Load'!AO9&gt;0,'Section Load'!AO9,0))</f>
        <v>282.26000000000931</v>
      </c>
      <c r="BI6" s="296">
        <f>(IF('Section Load'!AP9&gt;0,'Section Load'!AP9,0))</f>
        <v>0</v>
      </c>
      <c r="BJ6" s="296">
        <f>(IF('Section Load'!AQ9&gt;0,'Section Load'!AQ9,0))</f>
        <v>95.679999999993015</v>
      </c>
      <c r="BK6" s="296">
        <f>(IF('Section Load'!AR9&gt;0,'Section Load'!AR9,0))</f>
        <v>52.30000000000291</v>
      </c>
      <c r="BL6" s="296">
        <f>(IF('Section Load'!AS9&gt;0,'Section Load'!AS9,0))</f>
        <v>1</v>
      </c>
      <c r="BM6" s="296">
        <f>(IF('Section Load'!AT9&gt;0,'Section Load'!AT9,0))</f>
        <v>570.81000000004133</v>
      </c>
    </row>
    <row r="7" spans="1:65">
      <c r="A7" s="287" t="s">
        <v>268</v>
      </c>
      <c r="B7" s="288">
        <f t="shared" si="0"/>
        <v>6</v>
      </c>
      <c r="C7" s="288">
        <v>1</v>
      </c>
      <c r="D7" s="288">
        <v>2022</v>
      </c>
      <c r="E7" s="294">
        <f>(IF('Section Load'!F10&gt;0,'Section Load'!F10,0))</f>
        <v>3481.4799999999814</v>
      </c>
      <c r="F7" s="294">
        <f>(IF('Section Load'!G10&gt;0,'Section Load'!G10,0))</f>
        <v>1517.109999999986</v>
      </c>
      <c r="G7" s="294">
        <f>(IF('Section Load'!H10&gt;0,'Section Load'!H10,0))</f>
        <v>1687.109999999986</v>
      </c>
      <c r="H7" s="294">
        <f>(IF('Section Load'!I10&gt;0,'Section Load'!I10,0))</f>
        <v>2707.4099999999744</v>
      </c>
      <c r="I7" s="294">
        <f>(IF('Section Load'!J10&gt;0,'Section Load'!J10,0))</f>
        <v>3311.0800000000017</v>
      </c>
      <c r="J7" s="294">
        <f>(IF('Section Load'!K10&gt;0,'Section Load'!K10,0))</f>
        <v>2434.8099999999977</v>
      </c>
      <c r="K7" s="294">
        <f>(IF('Section Load'!L10&gt;0,'Section Load'!L10,0))</f>
        <v>1030.7400000000016</v>
      </c>
      <c r="L7" s="294">
        <f>(IF('Section Load'!M10&gt;0,'Section Load'!M10,0))</f>
        <v>1049.2099999999991</v>
      </c>
      <c r="M7" s="294">
        <f>(IF('Section Load'!N10&gt;0,'Section Load'!N10,0))</f>
        <v>63</v>
      </c>
      <c r="N7" s="294">
        <f>(IF('Section Load'!O10&gt;0,'Section Load'!O10,0))</f>
        <v>2</v>
      </c>
      <c r="O7" s="294">
        <f>(IF('Section Load'!P10&gt;0,'Section Load'!P10,0))</f>
        <v>0</v>
      </c>
      <c r="P7" s="294">
        <f>(IF('Section Load'!Q10&gt;0,'Section Load'!Q10,0))</f>
        <v>163.90000000000146</v>
      </c>
      <c r="Q7" s="294">
        <f>(IF('Section Load'!R10&gt;0,'Section Load'!R10,0))</f>
        <v>68.25</v>
      </c>
      <c r="R7" s="294">
        <f>(IF('Section Load'!S10&gt;0,'Section Load'!S10,0))</f>
        <v>18</v>
      </c>
      <c r="S7" s="294">
        <f>(IF('Section Load'!T10&gt;0,'Section Load'!T10,0))</f>
        <v>438</v>
      </c>
      <c r="T7" s="294">
        <f>(IF('Section Load'!U10&gt;0,'Section Load'!U10,0))</f>
        <v>220</v>
      </c>
      <c r="U7" s="294">
        <f>(IF('Section Load'!V10&gt;0,'Section Load'!V10,0))</f>
        <v>377</v>
      </c>
      <c r="V7" s="294">
        <f>(IF('Section Load'!W10&gt;0,'Section Load'!W10,0))</f>
        <v>288</v>
      </c>
      <c r="W7" s="294">
        <f>(IF('Section Load'!X10&gt;0,'Section Load'!X10,0))</f>
        <v>22.300000000000182</v>
      </c>
      <c r="X7" s="294">
        <f>(IF('Section Load'!Y10&gt;0,'Section Load'!Y10,0))</f>
        <v>203.53</v>
      </c>
      <c r="Y7" s="294">
        <f>(IF('Section Load'!Z10&gt;0,'Section Load'!Z10,0))</f>
        <v>243</v>
      </c>
      <c r="Z7" s="294">
        <f>(IF('Section Load'!AA10&gt;0,'Section Load'!AA10,0))</f>
        <v>0</v>
      </c>
      <c r="AA7" s="294">
        <f>(IF('Section Load'!AB10&gt;0,'Section Load'!AB10,0))</f>
        <v>31</v>
      </c>
      <c r="AB7" s="294">
        <f>(IF('Section Load'!AC10&gt;0,'Section Load'!AC10,0))</f>
        <v>0</v>
      </c>
      <c r="AC7" s="294">
        <f>(IF('Section Load'!AD10&gt;0,'Section Load'!AD10,0))</f>
        <v>37.200000000002547</v>
      </c>
      <c r="AD7" s="294">
        <f>(IF('Section Load'!AE10&gt;0,'Section Load'!AE10,0))</f>
        <v>0</v>
      </c>
      <c r="AE7" s="294">
        <f>(IF('Section Load'!AF10&gt;0,'Section Load'!AF10,0))</f>
        <v>30.210000000000036</v>
      </c>
      <c r="AF7" s="294">
        <f>(IF('Section Load'!AG10&gt;0,'Section Load'!AG10,0))</f>
        <v>356.47000000000116</v>
      </c>
      <c r="AG7" s="294">
        <f>(IF('Section Load'!AH10&gt;0,'Section Load'!AH10,0))</f>
        <v>425.07000000000698</v>
      </c>
      <c r="AH7" s="294">
        <f>(IF('Section Load'!AI10&gt;0,'Section Load'!AI10,0))</f>
        <v>416</v>
      </c>
      <c r="AI7" s="294">
        <f>(IF('Section Load'!AJ10&gt;0,'Section Load'!AJ10,0))</f>
        <v>745</v>
      </c>
      <c r="AJ7" s="294">
        <f>(IF('Section Load'!AK10&gt;0,'Section Load'!AK10,0))</f>
        <v>238.61999999999534</v>
      </c>
      <c r="AK7" s="294">
        <f>(IF('Section Load'!AL10&gt;0,'Section Load'!AL10,0))</f>
        <v>307.25</v>
      </c>
      <c r="AL7" s="294">
        <f>(IF('Section Load'!AM10&gt;0,'Section Load'!AM10,0))</f>
        <v>813.13000000000466</v>
      </c>
      <c r="AM7" s="295">
        <f>(IF('Water Report'!$I$7&gt;0,'Water Report'!$I$7,0))</f>
        <v>81</v>
      </c>
      <c r="AN7" s="295">
        <f>(IF('Water Report'!$I$8&gt;0,'Water Report'!$I$8,0))</f>
        <v>119</v>
      </c>
      <c r="AO7" s="295">
        <f>(IF('Water Report'!$I$9&gt;0,'Water Report'!$I$9,0))</f>
        <v>69</v>
      </c>
      <c r="AP7" s="295">
        <f>(IF('Water Report'!$I$10&gt;0,'Water Report'!$I$10,0))</f>
        <v>15</v>
      </c>
      <c r="AQ7" s="295">
        <f>(IF('Water Report'!$I$11&gt;0,'Water Report'!$I$11,0))</f>
        <v>21</v>
      </c>
      <c r="AR7" s="295">
        <f>(IF('Water Report'!$I$13&gt;0,'Water Report'!$I$13,0))</f>
        <v>47</v>
      </c>
      <c r="AS7" s="295">
        <f>(IF('Water Report'!$I$14&gt;0,'Water Report'!$I$14,0))</f>
        <v>8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11</v>
      </c>
      <c r="AW7" s="295">
        <f>(IF('Water Report'!$I$19&gt;0,'Water Report'!$I$19,0))</f>
        <v>9</v>
      </c>
      <c r="AX7" s="301">
        <f>(IF('Water Report'!$I$21&gt;0,'Water Report'!$I$21,0))</f>
        <v>72</v>
      </c>
      <c r="AY7" s="301">
        <f>(IF('Water Report'!$I$22&gt;0,'Water Report'!$I$22,0))</f>
        <v>5</v>
      </c>
      <c r="AZ7" s="301">
        <f>(IF('Water Report'!$I$23&gt;0,'Water Report'!$I$23,0))</f>
        <v>20</v>
      </c>
      <c r="BA7" s="301">
        <f>(IF('Water Report'!$I$14&gt;0,'Water Report'!$I$14,0))</f>
        <v>8</v>
      </c>
      <c r="BB7" s="301">
        <f>(IF('Water Report'!$I$15&gt;0,'Water Report'!$I$15,0))</f>
        <v>6</v>
      </c>
      <c r="BC7" s="301">
        <f>(IF('Water Report'!$I$13&gt;0,'Water Report'!$I$13,0))</f>
        <v>47</v>
      </c>
      <c r="BD7" s="301">
        <f>(IF('Water Report'!$I$24&gt;0,'Water Report'!$I$24,0))</f>
        <v>164</v>
      </c>
      <c r="BE7" s="301">
        <f>(IF('Water Report'!$I$25&gt;0,'Water Report'!$I$25,0))</f>
        <v>119</v>
      </c>
      <c r="BF7" s="301">
        <f>(IF('Water Report'!$I$27&gt;0,'Water Report'!$I$27,0))</f>
        <v>139</v>
      </c>
      <c r="BG7" s="296">
        <f>(IF('Section Load'!AN10&gt;0,'Section Load'!AN10,0))</f>
        <v>933.30000000004657</v>
      </c>
      <c r="BH7" s="296">
        <f>(IF('Section Load'!AO10&gt;0,'Section Load'!AO10,0))</f>
        <v>304.51000000000931</v>
      </c>
      <c r="BI7" s="296">
        <f>(IF('Section Load'!AP10&gt;0,'Section Load'!AP10,0))</f>
        <v>0</v>
      </c>
      <c r="BJ7" s="296">
        <f>(IF('Section Load'!AQ10&gt;0,'Section Load'!AQ10,0))</f>
        <v>80</v>
      </c>
      <c r="BK7" s="296">
        <f>(IF('Section Load'!AR10&gt;0,'Section Load'!AR10,0))</f>
        <v>37.69999999999709</v>
      </c>
      <c r="BL7" s="296">
        <f>(IF('Section Load'!AS10&gt;0,'Section Load'!AS10,0))</f>
        <v>1</v>
      </c>
      <c r="BM7" s="296">
        <f>(IF('Section Load'!AT10&gt;0,'Section Load'!AT10,0))</f>
        <v>510.09000000004016</v>
      </c>
    </row>
    <row r="8" spans="1:65">
      <c r="A8" s="287" t="s">
        <v>268</v>
      </c>
      <c r="B8" s="288">
        <f t="shared" si="0"/>
        <v>7</v>
      </c>
      <c r="C8" s="288">
        <v>1</v>
      </c>
      <c r="D8" s="288">
        <v>2022</v>
      </c>
      <c r="E8" s="294">
        <f>(IF('Section Load'!F11&gt;0,'Section Load'!F11,0))</f>
        <v>3527</v>
      </c>
      <c r="F8" s="294">
        <f>(IF('Section Load'!G11&gt;0,'Section Load'!G11,0))</f>
        <v>1524</v>
      </c>
      <c r="G8" s="294">
        <f>(IF('Section Load'!H11&gt;0,'Section Load'!H11,0))</f>
        <v>1668</v>
      </c>
      <c r="H8" s="294">
        <f>(IF('Section Load'!I11&gt;0,'Section Load'!I11,0))</f>
        <v>2675</v>
      </c>
      <c r="I8" s="294">
        <f>(IF('Section Load'!J11&gt;0,'Section Load'!J11,0))</f>
        <v>3369</v>
      </c>
      <c r="J8" s="294">
        <f>(IF('Section Load'!K11&gt;0,'Section Load'!K11,0))</f>
        <v>2246</v>
      </c>
      <c r="K8" s="294">
        <f>(IF('Section Load'!L11&gt;0,'Section Load'!L11,0))</f>
        <v>1043</v>
      </c>
      <c r="L8" s="294">
        <f>(IF('Section Load'!M11&gt;0,'Section Load'!M11,0))</f>
        <v>698</v>
      </c>
      <c r="M8" s="294">
        <f>(IF('Section Load'!N11&gt;0,'Section Load'!N11,0))</f>
        <v>74</v>
      </c>
      <c r="N8" s="294">
        <f>(IF('Section Load'!O11&gt;0,'Section Load'!O11,0))</f>
        <v>0</v>
      </c>
      <c r="O8" s="294">
        <f>(IF('Section Load'!P11&gt;0,'Section Load'!P11,0))</f>
        <v>0</v>
      </c>
      <c r="P8" s="294">
        <f>(IF('Section Load'!Q11&gt;0,'Section Load'!Q11,0))</f>
        <v>172</v>
      </c>
      <c r="Q8" s="294">
        <f>(IF('Section Load'!R11&gt;0,'Section Load'!R11,0))</f>
        <v>66</v>
      </c>
      <c r="R8" s="294">
        <f>(IF('Section Load'!S11&gt;0,'Section Load'!S11,0))</f>
        <v>17</v>
      </c>
      <c r="S8" s="294">
        <f>(IF('Section Load'!T11&gt;0,'Section Load'!T11,0))</f>
        <v>410</v>
      </c>
      <c r="T8" s="294">
        <f>(IF('Section Load'!U11&gt;0,'Section Load'!U11,0))</f>
        <v>230</v>
      </c>
      <c r="U8" s="294">
        <f>(IF('Section Load'!V11&gt;0,'Section Load'!V11,0))</f>
        <v>368</v>
      </c>
      <c r="V8" s="294">
        <f>(IF('Section Load'!W11&gt;0,'Section Load'!W11,0))</f>
        <v>247</v>
      </c>
      <c r="W8" s="294">
        <f>(IF('Section Load'!X11&gt;0,'Section Load'!X11,0))</f>
        <v>25</v>
      </c>
      <c r="X8" s="294">
        <f>(IF('Section Load'!Y11&gt;0,'Section Load'!Y11,0))</f>
        <v>199</v>
      </c>
      <c r="Y8" s="294">
        <f>(IF('Section Load'!Z11&gt;0,'Section Load'!Z11,0))</f>
        <v>215</v>
      </c>
      <c r="Z8" s="294">
        <f>(IF('Section Load'!AA11&gt;0,'Section Load'!AA11,0))</f>
        <v>65.440000000002328</v>
      </c>
      <c r="AA8" s="294">
        <f>(IF('Section Load'!AB11&gt;0,'Section Load'!AB11,0))</f>
        <v>34</v>
      </c>
      <c r="AB8" s="294">
        <f>(IF('Section Load'!AC11&gt;0,'Section Load'!AC11,0))</f>
        <v>0</v>
      </c>
      <c r="AC8" s="294">
        <f>(IF('Section Load'!AD11&gt;0,'Section Load'!AD11,0))</f>
        <v>48</v>
      </c>
      <c r="AD8" s="294">
        <f>(IF('Section Load'!AE11&gt;0,'Section Load'!AE11,0))</f>
        <v>0</v>
      </c>
      <c r="AE8" s="294">
        <f>(IF('Section Load'!AF11&gt;0,'Section Load'!AF11,0))</f>
        <v>29</v>
      </c>
      <c r="AF8" s="294">
        <f>(IF('Section Load'!AG11&gt;0,'Section Load'!AG11,0))</f>
        <v>639</v>
      </c>
      <c r="AG8" s="294">
        <f>(IF('Section Load'!AH11&gt;0,'Section Load'!AH11,0))</f>
        <v>437</v>
      </c>
      <c r="AH8" s="294">
        <f>(IF('Section Load'!AI11&gt;0,'Section Load'!AI11,0))</f>
        <v>428</v>
      </c>
      <c r="AI8" s="294">
        <f>(IF('Section Load'!AJ11&gt;0,'Section Load'!AJ11,0))</f>
        <v>720</v>
      </c>
      <c r="AJ8" s="294">
        <f>(IF('Section Load'!AK11&gt;0,'Section Load'!AK11,0))</f>
        <v>240</v>
      </c>
      <c r="AK8" s="294">
        <f>(IF('Section Load'!AL11&gt;0,'Section Load'!AL11,0))</f>
        <v>318</v>
      </c>
      <c r="AL8" s="294">
        <f>(IF('Section Load'!AM11&gt;0,'Section Load'!AM11,0))</f>
        <v>756</v>
      </c>
      <c r="AM8" s="295">
        <f>(IF('Water Report'!$J$7&gt;0,'Water Report'!$J$7,0))</f>
        <v>57</v>
      </c>
      <c r="AN8" s="295">
        <f>(IF('Water Report'!$J$8&gt;0,'Water Report'!$J$8,0))</f>
        <v>95</v>
      </c>
      <c r="AO8" s="295">
        <f>(IF('Water Report'!$J$9&gt;0,'Water Report'!$J$9,0))</f>
        <v>79</v>
      </c>
      <c r="AP8" s="295">
        <f>(IF('Water Report'!$J$10&gt;0,'Water Report'!$J$10,0))</f>
        <v>17</v>
      </c>
      <c r="AQ8" s="295">
        <f>(IF('Water Report'!$J$11&gt;0,'Water Report'!$J$11,0))</f>
        <v>23</v>
      </c>
      <c r="AR8" s="295">
        <f>(IF('Water Report'!$J$13&gt;0,'Water Report'!$J$13,0))</f>
        <v>42</v>
      </c>
      <c r="AS8" s="295">
        <f>(IF('Water Report'!$J$14&gt;0,'Water Report'!$J$14,0))</f>
        <v>7</v>
      </c>
      <c r="AT8" s="295">
        <f>(IF('Water Report'!$J$15&gt;0,'Water Report'!$J$15,0))</f>
        <v>9</v>
      </c>
      <c r="AU8" s="295">
        <f>(IF('Water Report'!$J$17&gt;0,'Water Report'!$J$17,0))</f>
        <v>0</v>
      </c>
      <c r="AV8" s="295">
        <f>(IF('Water Report'!$J$18&gt;0,'Water Report'!$J$18,0))</f>
        <v>11</v>
      </c>
      <c r="AW8" s="295">
        <f>(IF('Water Report'!$J$19&gt;0,'Water Report'!$J$19,0))</f>
        <v>11</v>
      </c>
      <c r="AX8" s="301">
        <f>(IF('Water Report'!$J$21&gt;0,'Water Report'!$J$21,0))</f>
        <v>62</v>
      </c>
      <c r="AY8" s="301">
        <f>(IF('Water Report'!$J$22&gt;0,'Water Report'!$J$22,0))</f>
        <v>9</v>
      </c>
      <c r="AZ8" s="301">
        <f>(IF('Water Report'!$J$23&gt;0,'Water Report'!$J$23,0))</f>
        <v>3</v>
      </c>
      <c r="BA8" s="301">
        <f>(IF('Water Report'!$J$14&gt;0,'Water Report'!$J$14,0))</f>
        <v>7</v>
      </c>
      <c r="BB8" s="301">
        <f>(IF('Water Report'!$J$15&gt;0,'Water Report'!$J$15,0))</f>
        <v>9</v>
      </c>
      <c r="BC8" s="301">
        <f>(IF('Water Report'!$J$13&gt;0,'Water Report'!$J$13,0))</f>
        <v>42</v>
      </c>
      <c r="BD8" s="301">
        <f>(IF('Water Report'!$J$24&gt;0,'Water Report'!$J$24,0))</f>
        <v>214</v>
      </c>
      <c r="BE8" s="301">
        <f>(IF('Water Report'!$J$25&gt;0,'Water Report'!$J$25,0))</f>
        <v>135</v>
      </c>
      <c r="BF8" s="301">
        <f>(IF('Water Report'!$J$27&gt;0,'Water Report'!$J$27,0))</f>
        <v>107</v>
      </c>
      <c r="BG8" s="296">
        <f>(IF('Section Load'!AN11&gt;0,'Section Load'!AN11,0))</f>
        <v>963</v>
      </c>
      <c r="BH8" s="296">
        <f>(IF('Section Load'!AO11&gt;0,'Section Load'!AO11,0))</f>
        <v>301</v>
      </c>
      <c r="BI8" s="296">
        <f>(IF('Section Load'!AP11&gt;0,'Section Load'!AP11,0))</f>
        <v>0</v>
      </c>
      <c r="BJ8" s="296">
        <f>(IF('Section Load'!AQ11&gt;0,'Section Load'!AQ11,0))</f>
        <v>72</v>
      </c>
      <c r="BK8" s="296">
        <f>(IF('Section Load'!AR11&gt;0,'Section Load'!AR11,0))</f>
        <v>39</v>
      </c>
      <c r="BL8" s="296">
        <f>(IF('Section Load'!AS11&gt;0,'Section Load'!AS11,0))</f>
        <v>1</v>
      </c>
      <c r="BM8" s="296">
        <f>(IF('Section Load'!AT11&gt;0,'Section Load'!AT11,0))</f>
        <v>550</v>
      </c>
    </row>
    <row r="9" spans="1:65">
      <c r="A9" s="287" t="s">
        <v>268</v>
      </c>
      <c r="B9" s="288">
        <f t="shared" si="0"/>
        <v>8</v>
      </c>
      <c r="C9" s="288">
        <v>1</v>
      </c>
      <c r="D9" s="288">
        <v>2022</v>
      </c>
      <c r="E9" s="294">
        <f>(IF('Section Load'!F12&gt;0,'Section Load'!F12,0))</f>
        <v>3416</v>
      </c>
      <c r="F9" s="294">
        <f>(IF('Section Load'!G12&gt;0,'Section Load'!G12,0))</f>
        <v>1534</v>
      </c>
      <c r="G9" s="294">
        <f>(IF('Section Load'!H12&gt;0,'Section Load'!H12,0))</f>
        <v>1715</v>
      </c>
      <c r="H9" s="294">
        <f>(IF('Section Load'!I12&gt;0,'Section Load'!I12,0))</f>
        <v>2685</v>
      </c>
      <c r="I9" s="294">
        <f>(IF('Section Load'!J12&gt;0,'Section Load'!J12,0))</f>
        <v>3190</v>
      </c>
      <c r="J9" s="294">
        <f>(IF('Section Load'!K12&gt;0,'Section Load'!K12,0))</f>
        <v>2170</v>
      </c>
      <c r="K9" s="294">
        <f>(IF('Section Load'!L12&gt;0,'Section Load'!L12,0))</f>
        <v>974</v>
      </c>
      <c r="L9" s="294">
        <f>(IF('Section Load'!M12&gt;0,'Section Load'!M12,0))</f>
        <v>742</v>
      </c>
      <c r="M9" s="294">
        <f>(IF('Section Load'!N12&gt;0,'Section Load'!N12,0))</f>
        <v>64</v>
      </c>
      <c r="N9" s="294">
        <f>(IF('Section Load'!O12&gt;0,'Section Load'!O12,0))</f>
        <v>0</v>
      </c>
      <c r="O9" s="294">
        <f>(IF('Section Load'!P12&gt;0,'Section Load'!P12,0))</f>
        <v>0</v>
      </c>
      <c r="P9" s="294">
        <f>(IF('Section Load'!Q12&gt;0,'Section Load'!Q12,0))</f>
        <v>172</v>
      </c>
      <c r="Q9" s="294">
        <f>(IF('Section Load'!R12&gt;0,'Section Load'!R12,0))</f>
        <v>64</v>
      </c>
      <c r="R9" s="294">
        <f>(IF('Section Load'!S12&gt;0,'Section Load'!S12,0))</f>
        <v>18</v>
      </c>
      <c r="S9" s="294">
        <f>(IF('Section Load'!T12&gt;0,'Section Load'!T12,0))</f>
        <v>408</v>
      </c>
      <c r="T9" s="294">
        <f>(IF('Section Load'!U12&gt;0,'Section Load'!U12,0))</f>
        <v>240</v>
      </c>
      <c r="U9" s="294">
        <f>(IF('Section Load'!V12&gt;0,'Section Load'!V12,0))</f>
        <v>358</v>
      </c>
      <c r="V9" s="294">
        <f>(IF('Section Load'!W12&gt;0,'Section Load'!W12,0))</f>
        <v>265</v>
      </c>
      <c r="W9" s="294">
        <f>(IF('Section Load'!X12&gt;0,'Section Load'!X12,0))</f>
        <v>28</v>
      </c>
      <c r="X9" s="294">
        <f>(IF('Section Load'!Y12&gt;0,'Section Load'!Y12,0))</f>
        <v>181</v>
      </c>
      <c r="Y9" s="294">
        <f>(IF('Section Load'!Z12&gt;0,'Section Load'!Z12,0))</f>
        <v>231</v>
      </c>
      <c r="Z9" s="294">
        <f>(IF('Section Load'!AA12&gt;0,'Section Load'!AA12,0))</f>
        <v>6</v>
      </c>
      <c r="AA9" s="294">
        <f>(IF('Section Load'!AB12&gt;0,'Section Load'!AB12,0))</f>
        <v>21</v>
      </c>
      <c r="AB9" s="294">
        <f>(IF('Section Load'!AC12&gt;0,'Section Load'!AC12,0))</f>
        <v>0</v>
      </c>
      <c r="AC9" s="294">
        <f>(IF('Section Load'!AD12&gt;0,'Section Load'!AD12,0))</f>
        <v>28</v>
      </c>
      <c r="AD9" s="294">
        <f>(IF('Section Load'!AE12&gt;0,'Section Load'!AE12,0))</f>
        <v>0</v>
      </c>
      <c r="AE9" s="294">
        <f>(IF('Section Load'!AF12&gt;0,'Section Load'!AF12,0))</f>
        <v>22</v>
      </c>
      <c r="AF9" s="294">
        <f>(IF('Section Load'!AG12&gt;0,'Section Load'!AG12,0))</f>
        <v>85</v>
      </c>
      <c r="AG9" s="294">
        <f>(IF('Section Load'!AH12&gt;0,'Section Load'!AH12,0))</f>
        <v>453</v>
      </c>
      <c r="AH9" s="294">
        <f>(IF('Section Load'!AI12&gt;0,'Section Load'!AI12,0))</f>
        <v>414</v>
      </c>
      <c r="AI9" s="294">
        <f>(IF('Section Load'!AJ12&gt;0,'Section Load'!AJ12,0))</f>
        <v>709</v>
      </c>
      <c r="AJ9" s="294">
        <f>(IF('Section Load'!AK12&gt;0,'Section Load'!AK12,0))</f>
        <v>216</v>
      </c>
      <c r="AK9" s="294">
        <f>(IF('Section Load'!AL12&gt;0,'Section Load'!AL12,0))</f>
        <v>319</v>
      </c>
      <c r="AL9" s="294">
        <f>(IF('Section Load'!AM12&gt;0,'Section Load'!AM12,0))</f>
        <v>767</v>
      </c>
      <c r="AM9" s="295">
        <f>(IF('Water Report'!$K$7&gt;0,'Water Report'!$K$7,0))</f>
        <v>103</v>
      </c>
      <c r="AN9" s="295">
        <f>(IF('Water Report'!$K$8&gt;0,'Water Report'!$K$8,0))</f>
        <v>112</v>
      </c>
      <c r="AO9" s="295">
        <f>(IF('Water Report'!$K$9&gt;0,'Water Report'!$K$9,0))</f>
        <v>92</v>
      </c>
      <c r="AP9" s="295">
        <f>(IF('Water Report'!$K$10&gt;0,'Water Report'!$K$10,0))</f>
        <v>20</v>
      </c>
      <c r="AQ9" s="295">
        <f>(IF('Water Report'!$K$11&gt;0,'Water Report'!$K$11,0))</f>
        <v>21</v>
      </c>
      <c r="AR9" s="295">
        <f>(IF('Water Report'!$K$13&gt;0,'Water Report'!$K$13,0))</f>
        <v>30</v>
      </c>
      <c r="AS9" s="295">
        <f>(IF('Water Report'!$K$14&gt;0,'Water Report'!$K$14,0))</f>
        <v>6</v>
      </c>
      <c r="AT9" s="295">
        <f>(IF('Water Report'!$K$15&gt;0,'Water Report'!$K$15,0))</f>
        <v>8</v>
      </c>
      <c r="AU9" s="295">
        <f>(IF('Water Report'!$K$17&gt;0,'Water Report'!$K$17,0))</f>
        <v>0</v>
      </c>
      <c r="AV9" s="295">
        <f>(IF('Water Report'!$K$18&gt;0,'Water Report'!$K$18,0))</f>
        <v>12</v>
      </c>
      <c r="AW9" s="295">
        <f>(IF('Water Report'!$K$19&gt;0,'Water Report'!$K$19,0))</f>
        <v>9</v>
      </c>
      <c r="AX9" s="301">
        <f>(IF('Water Report'!$K$21&gt;0,'Water Report'!$K$21,0))</f>
        <v>60</v>
      </c>
      <c r="AY9" s="301">
        <f>(IF('Water Report'!$K$22&gt;0,'Water Report'!$K$22,0))</f>
        <v>14</v>
      </c>
      <c r="AZ9" s="301">
        <f>(IF('Water Report'!$K$23&gt;0,'Water Report'!$K$23,0))</f>
        <v>15</v>
      </c>
      <c r="BA9" s="301">
        <f>(IF('Water Report'!$K$14&gt;0,'Water Report'!$K$14,0))</f>
        <v>6</v>
      </c>
      <c r="BB9" s="301">
        <f>(IF('Water Report'!$K$15&gt;0,'Water Report'!$K$15,0))</f>
        <v>8</v>
      </c>
      <c r="BC9" s="301">
        <f>(IF('Water Report'!$K$13&gt;0,'Water Report'!$K$13,0))</f>
        <v>30</v>
      </c>
      <c r="BD9" s="301">
        <f>(IF('Water Report'!$K$24&gt;0,'Water Report'!$K$24,0))</f>
        <v>211</v>
      </c>
      <c r="BE9" s="301">
        <f>(IF('Water Report'!$K$25&gt;0,'Water Report'!$K$25,0))</f>
        <v>147</v>
      </c>
      <c r="BF9" s="301">
        <f>(IF('Water Report'!$K$27&gt;0,'Water Report'!$K$27,0))</f>
        <v>105</v>
      </c>
      <c r="BG9" s="296">
        <f>(IF('Section Load'!AN12&gt;0,'Section Load'!AN12,0))</f>
        <v>925</v>
      </c>
      <c r="BH9" s="296">
        <f>(IF('Section Load'!AO12&gt;0,'Section Load'!AO12,0))</f>
        <v>306</v>
      </c>
      <c r="BI9" s="296">
        <f>(IF('Section Load'!AP12&gt;0,'Section Load'!AP12,0))</f>
        <v>0</v>
      </c>
      <c r="BJ9" s="296">
        <f>(IF('Section Load'!AQ12&gt;0,'Section Load'!AQ12,0))</f>
        <v>87</v>
      </c>
      <c r="BK9" s="296">
        <f>(IF('Section Load'!AR12&gt;0,'Section Load'!AR12,0))</f>
        <v>24</v>
      </c>
      <c r="BL9" s="296">
        <f>(IF('Section Load'!AS12&gt;0,'Section Load'!AS12,0))</f>
        <v>0</v>
      </c>
      <c r="BM9" s="296">
        <f>(IF('Section Load'!AT12&gt;0,'Section Load'!AT12,0))</f>
        <v>508</v>
      </c>
    </row>
    <row r="10" spans="1:65">
      <c r="A10" s="287" t="s">
        <v>268</v>
      </c>
      <c r="B10" s="288">
        <f t="shared" si="0"/>
        <v>9</v>
      </c>
      <c r="C10" s="288">
        <v>1</v>
      </c>
      <c r="D10" s="288">
        <v>2022</v>
      </c>
      <c r="E10" s="294">
        <f>(IF('Section Load'!F13&gt;0,'Section Load'!F13,0))</f>
        <v>3089</v>
      </c>
      <c r="F10" s="294">
        <f>(IF('Section Load'!G13&gt;0,'Section Load'!G13,0))</f>
        <v>1472</v>
      </c>
      <c r="G10" s="294">
        <f>(IF('Section Load'!H13&gt;0,'Section Load'!H13,0))</f>
        <v>1658</v>
      </c>
      <c r="H10" s="294">
        <f>(IF('Section Load'!I13&gt;0,'Section Load'!I13,0))</f>
        <v>2610</v>
      </c>
      <c r="I10" s="294">
        <f>(IF('Section Load'!J13&gt;0,'Section Load'!J13,0))</f>
        <v>2762.4599999999991</v>
      </c>
      <c r="J10" s="294">
        <f>(IF('Section Load'!K13&gt;0,'Section Load'!K13,0))</f>
        <v>2151</v>
      </c>
      <c r="K10" s="294">
        <f>(IF('Section Load'!L13&gt;0,'Section Load'!L13,0))</f>
        <v>969</v>
      </c>
      <c r="L10" s="294">
        <f>(IF('Section Load'!M13&gt;0,'Section Load'!M13,0))</f>
        <v>704</v>
      </c>
      <c r="M10" s="294">
        <f>(IF('Section Load'!N13&gt;0,'Section Load'!N13,0))</f>
        <v>54</v>
      </c>
      <c r="N10" s="294">
        <f>(IF('Section Load'!O13&gt;0,'Section Load'!O13,0))</f>
        <v>0</v>
      </c>
      <c r="O10" s="294">
        <f>(IF('Section Load'!P13&gt;0,'Section Load'!P13,0))</f>
        <v>0</v>
      </c>
      <c r="P10" s="294">
        <f>(IF('Section Load'!Q13&gt;0,'Section Load'!Q13,0))</f>
        <v>176</v>
      </c>
      <c r="Q10" s="294">
        <f>(IF('Section Load'!R13&gt;0,'Section Load'!R13,0))</f>
        <v>72</v>
      </c>
      <c r="R10" s="294">
        <f>(IF('Section Load'!S13&gt;0,'Section Load'!S13,0))</f>
        <v>18</v>
      </c>
      <c r="S10" s="294">
        <f>(IF('Section Load'!T13&gt;0,'Section Load'!T13,0))</f>
        <v>382</v>
      </c>
      <c r="T10" s="294">
        <f>(IF('Section Load'!U13&gt;0,'Section Load'!U13,0))</f>
        <v>220</v>
      </c>
      <c r="U10" s="294">
        <f>(IF('Section Load'!V13&gt;0,'Section Load'!V13,0))</f>
        <v>358</v>
      </c>
      <c r="V10" s="294">
        <f>(IF('Section Load'!W13&gt;0,'Section Load'!W13,0))</f>
        <v>228</v>
      </c>
      <c r="W10" s="294">
        <f>(IF('Section Load'!X13&gt;0,'Section Load'!X13,0))</f>
        <v>25</v>
      </c>
      <c r="X10" s="294">
        <f>(IF('Section Load'!Y13&gt;0,'Section Load'!Y13,0))</f>
        <v>184</v>
      </c>
      <c r="Y10" s="294">
        <f>(IF('Section Load'!Z13&gt;0,'Section Load'!Z13,0))</f>
        <v>216</v>
      </c>
      <c r="Z10" s="294">
        <f>(IF('Section Load'!AA13&gt;0,'Section Load'!AA13,0))</f>
        <v>6</v>
      </c>
      <c r="AA10" s="294">
        <f>(IF('Section Load'!AB13&gt;0,'Section Load'!AB13,0))</f>
        <v>23</v>
      </c>
      <c r="AB10" s="294">
        <f>(IF('Section Load'!AC13&gt;0,'Section Load'!AC13,0))</f>
        <v>0</v>
      </c>
      <c r="AC10" s="294">
        <f>(IF('Section Load'!AD13&gt;0,'Section Load'!AD13,0))</f>
        <v>33</v>
      </c>
      <c r="AD10" s="294">
        <f>(IF('Section Load'!AE13&gt;0,'Section Load'!AE13,0))</f>
        <v>0</v>
      </c>
      <c r="AE10" s="294">
        <f>(IF('Section Load'!AF13&gt;0,'Section Load'!AF13,0))</f>
        <v>23</v>
      </c>
      <c r="AF10" s="294">
        <f>(IF('Section Load'!AG13&gt;0,'Section Load'!AG13,0))</f>
        <v>346</v>
      </c>
      <c r="AG10" s="294">
        <f>(IF('Section Load'!AH13&gt;0,'Section Load'!AH13,0))</f>
        <v>442</v>
      </c>
      <c r="AH10" s="294">
        <f>(IF('Section Load'!AI13&gt;0,'Section Load'!AI13,0))</f>
        <v>422</v>
      </c>
      <c r="AI10" s="294">
        <f>(IF('Section Load'!AJ13&gt;0,'Section Load'!AJ13,0))</f>
        <v>702</v>
      </c>
      <c r="AJ10" s="294">
        <f>(IF('Section Load'!AK13&gt;0,'Section Load'!AK13,0))</f>
        <v>185</v>
      </c>
      <c r="AK10" s="294">
        <f>(IF('Section Load'!AL13&gt;0,'Section Load'!AL13,0))</f>
        <v>306</v>
      </c>
      <c r="AL10" s="294">
        <f>(IF('Section Load'!AM13&gt;0,'Section Load'!AM13,0))</f>
        <v>524</v>
      </c>
      <c r="AM10" s="295">
        <f>(IF('Water Report'!$L$7&gt;0,'Water Report'!$L$7,0))</f>
        <v>80</v>
      </c>
      <c r="AN10" s="295">
        <f>(IF('Water Report'!$L$8&gt;0,'Water Report'!$L$8,0))</f>
        <v>67</v>
      </c>
      <c r="AO10" s="295">
        <f>(IF('Water Report'!$L$9&gt;0,'Water Report'!$L$9,0))</f>
        <v>78</v>
      </c>
      <c r="AP10" s="295">
        <f>(IF('Water Report'!$L$10&gt;0,'Water Report'!$L$10,0))</f>
        <v>17</v>
      </c>
      <c r="AQ10" s="295">
        <f>(IF('Water Report'!$L$11&gt;0,'Water Report'!$L$11,0))</f>
        <v>24</v>
      </c>
      <c r="AR10" s="295">
        <f>(IF('Water Report'!$L$13&gt;0,'Water Report'!$L$13,0))</f>
        <v>27</v>
      </c>
      <c r="AS10" s="295">
        <f>(IF('Water Report'!$L$14&gt;0,'Water Report'!$L$14,0))</f>
        <v>7</v>
      </c>
      <c r="AT10" s="295">
        <f>(IF('Water Report'!$L$15&gt;0,'Water Report'!$L$15,0))</f>
        <v>14</v>
      </c>
      <c r="AU10" s="295">
        <f>(IF('Water Report'!$L$17&gt;0,'Water Report'!$L$17,0))</f>
        <v>0</v>
      </c>
      <c r="AV10" s="295">
        <f>(IF('Water Report'!$L$18&gt;0,'Water Report'!$L$18,0))</f>
        <v>18</v>
      </c>
      <c r="AW10" s="295">
        <f>(IF('Water Report'!$L$19&gt;0,'Water Report'!$L$19,0))</f>
        <v>10</v>
      </c>
      <c r="AX10" s="301">
        <f>(IF('Water Report'!$L$21&gt;0,'Water Report'!$L$21,0))</f>
        <v>61</v>
      </c>
      <c r="AY10" s="301">
        <f>(IF('Water Report'!$L$22&gt;0,'Water Report'!$L$22,0))</f>
        <v>18</v>
      </c>
      <c r="AZ10" s="301">
        <f>(IF('Water Report'!$L$23&gt;0,'Water Report'!$L$23,0))</f>
        <v>1</v>
      </c>
      <c r="BA10" s="301">
        <f>(IF('Water Report'!$L$14&gt;0,'Water Report'!$L$14,0))</f>
        <v>7</v>
      </c>
      <c r="BB10" s="301">
        <f>(IF('Water Report'!$L$15&gt;0,'Water Report'!$L$15,0))</f>
        <v>14</v>
      </c>
      <c r="BC10" s="301">
        <f>(IF('Water Report'!$L$13&gt;0,'Water Report'!$L$13,0))</f>
        <v>27</v>
      </c>
      <c r="BD10" s="301">
        <f>(IF('Water Report'!$L$24&gt;0,'Water Report'!$L$24,0))</f>
        <v>205</v>
      </c>
      <c r="BE10" s="301">
        <f>(IF('Water Report'!$L$25&gt;0,'Water Report'!$L$25,0))</f>
        <v>140</v>
      </c>
      <c r="BF10" s="301">
        <f>(IF('Water Report'!$L$27&gt;0,'Water Report'!$L$27,0))</f>
        <v>89</v>
      </c>
      <c r="BG10" s="296">
        <f>(IF('Section Load'!AN13&gt;0,'Section Load'!AN13,0))</f>
        <v>907</v>
      </c>
      <c r="BH10" s="296">
        <f>(IF('Section Load'!AO13&gt;0,'Section Load'!AO13,0))</f>
        <v>305</v>
      </c>
      <c r="BI10" s="296">
        <f>(IF('Section Load'!AP13&gt;0,'Section Load'!AP13,0))</f>
        <v>0.19999999999708962</v>
      </c>
      <c r="BJ10" s="296">
        <f>(IF('Section Load'!AQ13&gt;0,'Section Load'!AQ13,0))</f>
        <v>76</v>
      </c>
      <c r="BK10" s="296">
        <f>(IF('Section Load'!AR13&gt;0,'Section Load'!AR13,0))</f>
        <v>24</v>
      </c>
      <c r="BL10" s="296">
        <f>(IF('Section Load'!AS13&gt;0,'Section Load'!AS13,0))</f>
        <v>0</v>
      </c>
      <c r="BM10" s="296">
        <f>(IF('Section Load'!AT13&gt;0,'Section Load'!AT13,0))</f>
        <v>501.80000000000291</v>
      </c>
    </row>
    <row r="11" spans="1:65">
      <c r="A11" s="287" t="s">
        <v>268</v>
      </c>
      <c r="B11" s="288">
        <f t="shared" si="0"/>
        <v>10</v>
      </c>
      <c r="C11" s="288">
        <v>1</v>
      </c>
      <c r="D11" s="288">
        <v>2022</v>
      </c>
      <c r="E11" s="294">
        <f>(IF('Section Load'!F14&gt;0,'Section Load'!F14,0))</f>
        <v>2752</v>
      </c>
      <c r="F11" s="294">
        <f>(IF('Section Load'!G14&gt;0,'Section Load'!G14,0))</f>
        <v>1452</v>
      </c>
      <c r="G11" s="294">
        <f>(IF('Section Load'!H14&gt;0,'Section Load'!H14,0))</f>
        <v>1541</v>
      </c>
      <c r="H11" s="294">
        <f>(IF('Section Load'!I14&gt;0,'Section Load'!I14,0))</f>
        <v>2574</v>
      </c>
      <c r="I11" s="294">
        <f>(IF('Section Load'!J14&gt;0,'Section Load'!J14,0))</f>
        <v>2760</v>
      </c>
      <c r="J11" s="294">
        <f>(IF('Section Load'!K14&gt;0,'Section Load'!K14,0))</f>
        <v>2123</v>
      </c>
      <c r="K11" s="294">
        <f>(IF('Section Load'!L14&gt;0,'Section Load'!L14,0))</f>
        <v>940</v>
      </c>
      <c r="L11" s="294">
        <f>(IF('Section Load'!M14&gt;0,'Section Load'!M14,0))</f>
        <v>634</v>
      </c>
      <c r="M11" s="294">
        <f>(IF('Section Load'!N14&gt;0,'Section Load'!N14,0))</f>
        <v>42</v>
      </c>
      <c r="N11" s="294">
        <f>(IF('Section Load'!O14&gt;0,'Section Load'!O14,0))</f>
        <v>0</v>
      </c>
      <c r="O11" s="294">
        <f>(IF('Section Load'!P14&gt;0,'Section Load'!P14,0))</f>
        <v>0</v>
      </c>
      <c r="P11" s="294">
        <f>(IF('Section Load'!Q14&gt;0,'Section Load'!Q14,0))</f>
        <v>175</v>
      </c>
      <c r="Q11" s="294">
        <f>(IF('Section Load'!R14&gt;0,'Section Load'!R14,0))</f>
        <v>66</v>
      </c>
      <c r="R11" s="294">
        <f>(IF('Section Load'!S14&gt;0,'Section Load'!S14,0))</f>
        <v>11</v>
      </c>
      <c r="S11" s="294">
        <f>(IF('Section Load'!T14&gt;0,'Section Load'!T14,0))</f>
        <v>362</v>
      </c>
      <c r="T11" s="294">
        <f>(IF('Section Load'!U14&gt;0,'Section Load'!U14,0))</f>
        <v>228</v>
      </c>
      <c r="U11" s="294">
        <f>(IF('Section Load'!V14&gt;0,'Section Load'!V14,0))</f>
        <v>374</v>
      </c>
      <c r="V11" s="294">
        <f>(IF('Section Load'!W14&gt;0,'Section Load'!W14,0))</f>
        <v>221</v>
      </c>
      <c r="W11" s="294">
        <f>(IF('Section Load'!X14&gt;0,'Section Load'!X14,0))</f>
        <v>22</v>
      </c>
      <c r="X11" s="294">
        <f>(IF('Section Load'!Y14&gt;0,'Section Load'!Y14,0))</f>
        <v>80</v>
      </c>
      <c r="Y11" s="294">
        <f>(IF('Section Load'!Z14&gt;0,'Section Load'!Z14,0))</f>
        <v>218</v>
      </c>
      <c r="Z11" s="294">
        <f>(IF('Section Load'!AA14&gt;0,'Section Load'!AA14,0))</f>
        <v>65</v>
      </c>
      <c r="AA11" s="294">
        <f>(IF('Section Load'!AB14&gt;0,'Section Load'!AB14,0))</f>
        <v>28</v>
      </c>
      <c r="AB11" s="294">
        <f>(IF('Section Load'!AC14&gt;0,'Section Load'!AC14,0))</f>
        <v>0</v>
      </c>
      <c r="AC11" s="294">
        <f>(IF('Section Load'!AD14&gt;0,'Section Load'!AD14,0))</f>
        <v>63</v>
      </c>
      <c r="AD11" s="294">
        <f>(IF('Section Load'!AE14&gt;0,'Section Load'!AE14,0))</f>
        <v>0</v>
      </c>
      <c r="AE11" s="294">
        <f>(IF('Section Load'!AF14&gt;0,'Section Load'!AF14,0))</f>
        <v>23</v>
      </c>
      <c r="AF11" s="294">
        <f>(IF('Section Load'!AG14&gt;0,'Section Load'!AG14,0))</f>
        <v>362</v>
      </c>
      <c r="AG11" s="294">
        <f>(IF('Section Load'!AH14&gt;0,'Section Load'!AH14,0))</f>
        <v>411</v>
      </c>
      <c r="AH11" s="294">
        <f>(IF('Section Load'!AI14&gt;0,'Section Load'!AI14,0))</f>
        <v>410</v>
      </c>
      <c r="AI11" s="294">
        <f>(IF('Section Load'!AJ14&gt;0,'Section Load'!AJ14,0))</f>
        <v>662</v>
      </c>
      <c r="AJ11" s="294">
        <f>(IF('Section Load'!AK14&gt;0,'Section Load'!AK14,0))</f>
        <v>175</v>
      </c>
      <c r="AK11" s="294">
        <f>(IF('Section Load'!AL14&gt;0,'Section Load'!AL14,0))</f>
        <v>302</v>
      </c>
      <c r="AL11" s="294">
        <f>(IF('Section Load'!AM14&gt;0,'Section Load'!AM14,0))</f>
        <v>366</v>
      </c>
      <c r="AM11" s="295">
        <f>(IF('Water Report'!$M$7&gt;0,'Water Report'!$M$7,0))</f>
        <v>61</v>
      </c>
      <c r="AN11" s="295">
        <f>(IF('Water Report'!$M$8&gt;0,'Water Report'!$M$8,0))</f>
        <v>104</v>
      </c>
      <c r="AO11" s="295">
        <f>(IF('Water Report'!$M$9&gt;0,'Water Report'!$M$9,0))</f>
        <v>58</v>
      </c>
      <c r="AP11" s="295">
        <f>(IF('Water Report'!$M$10&gt;0,'Water Report'!$M$10,0))</f>
        <v>14</v>
      </c>
      <c r="AQ11" s="295">
        <f>(IF('Water Report'!$M$11&gt;0,'Water Report'!$M$11,0))</f>
        <v>21</v>
      </c>
      <c r="AR11" s="295">
        <f>(IF('Water Report'!$M$13&gt;0,'Water Report'!$M$13,0))</f>
        <v>26</v>
      </c>
      <c r="AS11" s="295">
        <f>(IF('Water Report'!$M$14&gt;0,'Water Report'!$M$14,0))</f>
        <v>9</v>
      </c>
      <c r="AT11" s="295">
        <f>(IF('Water Report'!$M$15&gt;0,'Water Report'!$M$15,0))</f>
        <v>4</v>
      </c>
      <c r="AU11" s="295">
        <f>(IF('Water Report'!$M$17&gt;0,'Water Report'!$M$17,0))</f>
        <v>0</v>
      </c>
      <c r="AV11" s="295">
        <f>(IF('Water Report'!$M$18&gt;0,'Water Report'!$M$18,0))</f>
        <v>1</v>
      </c>
      <c r="AW11" s="295">
        <f>(IF('Water Report'!$M$19&gt;0,'Water Report'!$M$19,0))</f>
        <v>4</v>
      </c>
      <c r="AX11" s="301">
        <f>(IF('Water Report'!$M$21&gt;0,'Water Report'!$M$21,0))</f>
        <v>41</v>
      </c>
      <c r="AY11" s="301">
        <f>(IF('Water Report'!$M$22&gt;0,'Water Report'!$M$22,0))</f>
        <v>23</v>
      </c>
      <c r="AZ11" s="301">
        <f>(IF('Water Report'!$M$23&gt;0,'Water Report'!$M$23,0))</f>
        <v>0</v>
      </c>
      <c r="BA11" s="301">
        <f>(IF('Water Report'!$M$14&gt;0,'Water Report'!$M$14,0))</f>
        <v>9</v>
      </c>
      <c r="BB11" s="301">
        <f>(IF('Water Report'!$M$15&gt;0,'Water Report'!$M$15,0))</f>
        <v>4</v>
      </c>
      <c r="BC11" s="301">
        <f>(IF('Water Report'!$M$13&gt;0,'Water Report'!$M$13,0))</f>
        <v>26</v>
      </c>
      <c r="BD11" s="301">
        <f>(IF('Water Report'!$M$24&gt;0,'Water Report'!$M$24,0))</f>
        <v>124</v>
      </c>
      <c r="BE11" s="301">
        <f>(IF('Water Report'!$M$25&gt;0,'Water Report'!$M$25,0))</f>
        <v>106</v>
      </c>
      <c r="BF11" s="301">
        <f>(IF('Water Report'!$M$27&gt;0,'Water Report'!$M$27,0))</f>
        <v>67</v>
      </c>
      <c r="BG11" s="296">
        <f>(IF('Section Load'!AN14&gt;0,'Section Load'!AN14,0))</f>
        <v>759</v>
      </c>
      <c r="BH11" s="296">
        <f>(IF('Section Load'!AO14&gt;0,'Section Load'!AO14,0))</f>
        <v>313</v>
      </c>
      <c r="BI11" s="296">
        <f>(IF('Section Load'!AP14&gt;0,'Section Load'!AP14,0))</f>
        <v>0</v>
      </c>
      <c r="BJ11" s="296">
        <f>(IF('Section Load'!AQ14&gt;0,'Section Load'!AQ14,0))</f>
        <v>91</v>
      </c>
      <c r="BK11" s="296">
        <f>(IF('Section Load'!AR14&gt;0,'Section Load'!AR14,0))</f>
        <v>34</v>
      </c>
      <c r="BL11" s="296">
        <f>(IF('Section Load'!AS14&gt;0,'Section Load'!AS14,0))</f>
        <v>1.2999999999992724</v>
      </c>
      <c r="BM11" s="296">
        <f>(IF('Section Load'!AT14&gt;0,'Section Load'!AT14,0))</f>
        <v>319.70000000000073</v>
      </c>
    </row>
    <row r="12" spans="1:65">
      <c r="A12" s="287" t="s">
        <v>268</v>
      </c>
      <c r="B12" s="288">
        <f t="shared" si="0"/>
        <v>11</v>
      </c>
      <c r="C12" s="288">
        <v>1</v>
      </c>
      <c r="D12" s="288">
        <v>2022</v>
      </c>
      <c r="E12" s="294">
        <f>(IF('Section Load'!F15&gt;0,'Section Load'!F15,0))</f>
        <v>2699</v>
      </c>
      <c r="F12" s="294">
        <f>(IF('Section Load'!G15&gt;0,'Section Load'!G15,0))</f>
        <v>1445</v>
      </c>
      <c r="G12" s="294">
        <f>(IF('Section Load'!H15&gt;0,'Section Load'!H15,0))</f>
        <v>1494</v>
      </c>
      <c r="H12" s="294">
        <f>(IF('Section Load'!I15&gt;0,'Section Load'!I15,0))</f>
        <v>2471</v>
      </c>
      <c r="I12" s="294">
        <f>(IF('Section Load'!J15&gt;0,'Section Load'!J15,0))</f>
        <v>2906.3999999999942</v>
      </c>
      <c r="J12" s="294">
        <f>(IF('Section Load'!K15&gt;0,'Section Load'!K15,0))</f>
        <v>2040</v>
      </c>
      <c r="K12" s="294">
        <f>(IF('Section Load'!L15&gt;0,'Section Load'!L15,0))</f>
        <v>979</v>
      </c>
      <c r="L12" s="294">
        <f>(IF('Section Load'!M15&gt;0,'Section Load'!M15,0))</f>
        <v>590</v>
      </c>
      <c r="M12" s="294">
        <f>(IF('Section Load'!N15&gt;0,'Section Load'!N15,0))</f>
        <v>48</v>
      </c>
      <c r="N12" s="294">
        <f>(IF('Section Load'!O15&gt;0,'Section Load'!O15,0))</f>
        <v>0</v>
      </c>
      <c r="O12" s="294">
        <f>(IF('Section Load'!P15&gt;0,'Section Load'!P15,0))</f>
        <v>0</v>
      </c>
      <c r="P12" s="294">
        <f>(IF('Section Load'!Q15&gt;0,'Section Load'!Q15,0))</f>
        <v>167</v>
      </c>
      <c r="Q12" s="294">
        <f>(IF('Section Load'!R15&gt;0,'Section Load'!R15,0))</f>
        <v>65</v>
      </c>
      <c r="R12" s="294">
        <f>(IF('Section Load'!S15&gt;0,'Section Load'!S15,0))</f>
        <v>10</v>
      </c>
      <c r="S12" s="294">
        <f>(IF('Section Load'!T15&gt;0,'Section Load'!T15,0))</f>
        <v>287</v>
      </c>
      <c r="T12" s="294">
        <f>(IF('Section Load'!U15&gt;0,'Section Load'!U15,0))</f>
        <v>214</v>
      </c>
      <c r="U12" s="294">
        <f>(IF('Section Load'!V15&gt;0,'Section Load'!V15,0))</f>
        <v>353</v>
      </c>
      <c r="V12" s="294">
        <f>(IF('Section Load'!W15&gt;0,'Section Load'!W15,0))</f>
        <v>188</v>
      </c>
      <c r="W12" s="294">
        <f>(IF('Section Load'!X15&gt;0,'Section Load'!X15,0))</f>
        <v>24</v>
      </c>
      <c r="X12" s="294">
        <f>(IF('Section Load'!Y15&gt;0,'Section Load'!Y15,0))</f>
        <v>231</v>
      </c>
      <c r="Y12" s="294">
        <f>(IF('Section Load'!Z15&gt;0,'Section Load'!Z15,0))</f>
        <v>213</v>
      </c>
      <c r="Z12" s="294">
        <f>(IF('Section Load'!AA15&gt;0,'Section Load'!AA15,0))</f>
        <v>107</v>
      </c>
      <c r="AA12" s="294">
        <f>(IF('Section Load'!AB15&gt;0,'Section Load'!AB15,0))</f>
        <v>36</v>
      </c>
      <c r="AB12" s="294">
        <f>(IF('Section Load'!AC15&gt;0,'Section Load'!AC15,0))</f>
        <v>0</v>
      </c>
      <c r="AC12" s="294">
        <f>(IF('Section Load'!AD15&gt;0,'Section Load'!AD15,0))</f>
        <v>35</v>
      </c>
      <c r="AD12" s="294">
        <f>(IF('Section Load'!AE15&gt;0,'Section Load'!AE15,0))</f>
        <v>0</v>
      </c>
      <c r="AE12" s="294">
        <f>(IF('Section Load'!AF15&gt;0,'Section Load'!AF15,0))</f>
        <v>25</v>
      </c>
      <c r="AF12" s="294">
        <f>(IF('Section Load'!AG15&gt;0,'Section Load'!AG15,0))</f>
        <v>338</v>
      </c>
      <c r="AG12" s="294">
        <f>(IF('Section Load'!AH15&gt;0,'Section Load'!AH15,0))</f>
        <v>400</v>
      </c>
      <c r="AH12" s="294">
        <f>(IF('Section Load'!AI15&gt;0,'Section Load'!AI15,0))</f>
        <v>379</v>
      </c>
      <c r="AI12" s="294">
        <f>(IF('Section Load'!AJ15&gt;0,'Section Load'!AJ15,0))</f>
        <v>619</v>
      </c>
      <c r="AJ12" s="294">
        <f>(IF('Section Load'!AK15&gt;0,'Section Load'!AK15,0))</f>
        <v>173</v>
      </c>
      <c r="AK12" s="294">
        <f>(IF('Section Load'!AL15&gt;0,'Section Load'!AL15,0))</f>
        <v>283</v>
      </c>
      <c r="AL12" s="294">
        <f>(IF('Section Load'!AM15&gt;0,'Section Load'!AM15,0))</f>
        <v>386</v>
      </c>
      <c r="AM12" s="295">
        <f>(IF('Water Report'!$N$7&gt;0,'Water Report'!$N$7,0))</f>
        <v>73</v>
      </c>
      <c r="AN12" s="295">
        <f>(IF('Water Report'!$N$8&gt;0,'Water Report'!$N$8,0))</f>
        <v>108</v>
      </c>
      <c r="AO12" s="295">
        <f>(IF('Water Report'!$N$9&gt;0,'Water Report'!$N$9,0))</f>
        <v>79</v>
      </c>
      <c r="AP12" s="295">
        <f>(IF('Water Report'!$N$10&gt;0,'Water Report'!$N$10,0))</f>
        <v>14</v>
      </c>
      <c r="AQ12" s="295">
        <f>(IF('Water Report'!$N$11&gt;0,'Water Report'!$N$11,0))</f>
        <v>17</v>
      </c>
      <c r="AR12" s="295">
        <f>(IF('Water Report'!$N$13&gt;0,'Water Report'!$N$13,0))</f>
        <v>26</v>
      </c>
      <c r="AS12" s="295">
        <f>(IF('Water Report'!$N$14&gt;0,'Water Report'!$N$14,0))</f>
        <v>8</v>
      </c>
      <c r="AT12" s="295">
        <f>(IF('Water Report'!$N$15&gt;0,'Water Report'!$N$15,0))</f>
        <v>6</v>
      </c>
      <c r="AU12" s="295">
        <f>(IF('Water Report'!$N$17&gt;0,'Water Report'!$N$17,0))</f>
        <v>0</v>
      </c>
      <c r="AV12" s="295">
        <f>(IF('Water Report'!$N$18&gt;0,'Water Report'!$N$18,0))</f>
        <v>14</v>
      </c>
      <c r="AW12" s="295">
        <f>(IF('Water Report'!$N$19&gt;0,'Water Report'!$N$19,0))</f>
        <v>11</v>
      </c>
      <c r="AX12" s="301">
        <f>(IF('Water Report'!$N$21&gt;0,'Water Report'!$N$21,0))</f>
        <v>42</v>
      </c>
      <c r="AY12" s="301">
        <f>(IF('Water Report'!$N$22&gt;0,'Water Report'!$N$22,0))</f>
        <v>34</v>
      </c>
      <c r="AZ12" s="301">
        <f>(IF('Water Report'!$N$23&gt;0,'Water Report'!$N$23,0))</f>
        <v>2</v>
      </c>
      <c r="BA12" s="301">
        <f>(IF('Water Report'!$N$14&gt;0,'Water Report'!$N$14,0))</f>
        <v>8</v>
      </c>
      <c r="BB12" s="301">
        <f>(IF('Water Report'!$N$15&gt;0,'Water Report'!$N$15,0))</f>
        <v>6</v>
      </c>
      <c r="BC12" s="301">
        <f>(IF('Water Report'!$N$13&gt;0,'Water Report'!$N$13,0))</f>
        <v>26</v>
      </c>
      <c r="BD12" s="301">
        <f>(IF('Water Report'!$N$24&gt;0,'Water Report'!$N$24,0))</f>
        <v>130</v>
      </c>
      <c r="BE12" s="301">
        <f>(IF('Water Report'!$N$25&gt;0,'Water Report'!$N$25,0))</f>
        <v>124</v>
      </c>
      <c r="BF12" s="301">
        <f>(IF('Water Report'!$N$27&gt;0,'Water Report'!$N$27,0))</f>
        <v>70</v>
      </c>
      <c r="BG12" s="296">
        <f>(IF('Section Load'!AN15&gt;0,'Section Load'!AN15,0))</f>
        <v>931</v>
      </c>
      <c r="BH12" s="296">
        <f>(IF('Section Load'!AO15&gt;0,'Section Load'!AO15,0))</f>
        <v>314</v>
      </c>
      <c r="BI12" s="296">
        <f>(IF('Section Load'!AP15&gt;0,'Section Load'!AP15,0))</f>
        <v>0</v>
      </c>
      <c r="BJ12" s="296">
        <f>(IF('Section Load'!AQ15&gt;0,'Section Load'!AQ15,0))</f>
        <v>63</v>
      </c>
      <c r="BK12" s="296">
        <f>(IF('Section Load'!AR15&gt;0,'Section Load'!AR15,0))</f>
        <v>19</v>
      </c>
      <c r="BL12" s="296">
        <f>(IF('Section Load'!AS15&gt;0,'Section Load'!AS15,0))</f>
        <v>1.7000000000007276</v>
      </c>
      <c r="BM12" s="296">
        <f>(IF('Section Load'!AT15&gt;0,'Section Load'!AT15,0))</f>
        <v>533.29999999999927</v>
      </c>
    </row>
    <row r="13" spans="1:65">
      <c r="A13" s="287" t="s">
        <v>268</v>
      </c>
      <c r="B13" s="288">
        <f t="shared" si="0"/>
        <v>12</v>
      </c>
      <c r="C13" s="288">
        <v>1</v>
      </c>
      <c r="D13" s="288">
        <v>2022</v>
      </c>
      <c r="E13" s="294">
        <f>(IF('Section Load'!F16&gt;0,'Section Load'!F16,0))</f>
        <v>2756</v>
      </c>
      <c r="F13" s="294">
        <f>(IF('Section Load'!G16&gt;0,'Section Load'!G16,0))</f>
        <v>1481</v>
      </c>
      <c r="G13" s="294">
        <f>(IF('Section Load'!H16&gt;0,'Section Load'!H16,0))</f>
        <v>1484</v>
      </c>
      <c r="H13" s="294">
        <f>(IF('Section Load'!I16&gt;0,'Section Load'!I16,0))</f>
        <v>2461</v>
      </c>
      <c r="I13" s="294">
        <f>(IF('Section Load'!J16&gt;0,'Section Load'!J16,0))</f>
        <v>2812</v>
      </c>
      <c r="J13" s="294">
        <f>(IF('Section Load'!K16&gt;0,'Section Load'!K16,0))</f>
        <v>2022</v>
      </c>
      <c r="K13" s="294">
        <f>(IF('Section Load'!L16&gt;0,'Section Load'!L16,0))</f>
        <v>848</v>
      </c>
      <c r="L13" s="294">
        <f>(IF('Section Load'!M16&gt;0,'Section Load'!M16,0))</f>
        <v>613</v>
      </c>
      <c r="M13" s="294">
        <f>(IF('Section Load'!N16&gt;0,'Section Load'!N16,0))</f>
        <v>55</v>
      </c>
      <c r="N13" s="294">
        <f>(IF('Section Load'!O16&gt;0,'Section Load'!O16,0))</f>
        <v>0</v>
      </c>
      <c r="O13" s="294">
        <f>(IF('Section Load'!P16&gt;0,'Section Load'!P16,0))</f>
        <v>0</v>
      </c>
      <c r="P13" s="294">
        <f>(IF('Section Load'!Q16&gt;0,'Section Load'!Q16,0))</f>
        <v>174</v>
      </c>
      <c r="Q13" s="294">
        <f>(IF('Section Load'!R16&gt;0,'Section Load'!R16,0))</f>
        <v>69</v>
      </c>
      <c r="R13" s="294">
        <f>(IF('Section Load'!S16&gt;0,'Section Load'!S16,0))</f>
        <v>10</v>
      </c>
      <c r="S13" s="294">
        <f>(IF('Section Load'!T16&gt;0,'Section Load'!T16,0))</f>
        <v>321</v>
      </c>
      <c r="T13" s="294">
        <f>(IF('Section Load'!U16&gt;0,'Section Load'!U16,0))</f>
        <v>231</v>
      </c>
      <c r="U13" s="294">
        <f>(IF('Section Load'!V16&gt;0,'Section Load'!V16,0))</f>
        <v>306</v>
      </c>
      <c r="V13" s="294">
        <f>(IF('Section Load'!W16&gt;0,'Section Load'!W16,0))</f>
        <v>196</v>
      </c>
      <c r="W13" s="294">
        <f>(IF('Section Load'!X16&gt;0,'Section Load'!X16,0))</f>
        <v>25</v>
      </c>
      <c r="X13" s="294">
        <f>(IF('Section Load'!Y16&gt;0,'Section Load'!Y16,0))</f>
        <v>13</v>
      </c>
      <c r="Y13" s="294">
        <f>(IF('Section Load'!Z16&gt;0,'Section Load'!Z16,0))</f>
        <v>232</v>
      </c>
      <c r="Z13" s="294">
        <f>(IF('Section Load'!AA16&gt;0,'Section Load'!AA16,0))</f>
        <v>8</v>
      </c>
      <c r="AA13" s="294">
        <f>(IF('Section Load'!AB16&gt;0,'Section Load'!AB16,0))</f>
        <v>30</v>
      </c>
      <c r="AB13" s="294">
        <f>(IF('Section Load'!AC16&gt;0,'Section Load'!AC16,0))</f>
        <v>0</v>
      </c>
      <c r="AC13" s="294">
        <f>(IF('Section Load'!AD16&gt;0,'Section Load'!AD16,0))</f>
        <v>35</v>
      </c>
      <c r="AD13" s="294">
        <f>(IF('Section Load'!AE16&gt;0,'Section Load'!AE16,0))</f>
        <v>0</v>
      </c>
      <c r="AE13" s="294">
        <f>(IF('Section Load'!AF16&gt;0,'Section Load'!AF16,0))</f>
        <v>17</v>
      </c>
      <c r="AF13" s="294">
        <f>(IF('Section Load'!AG16&gt;0,'Section Load'!AG16,0))</f>
        <v>339</v>
      </c>
      <c r="AG13" s="294">
        <f>(IF('Section Load'!AH16&gt;0,'Section Load'!AH16,0))</f>
        <v>401</v>
      </c>
      <c r="AH13" s="294">
        <f>(IF('Section Load'!AI16&gt;0,'Section Load'!AI16,0))</f>
        <v>397</v>
      </c>
      <c r="AI13" s="294">
        <f>(IF('Section Load'!AJ16&gt;0,'Section Load'!AJ16,0))</f>
        <v>641</v>
      </c>
      <c r="AJ13" s="294">
        <f>(IF('Section Load'!AK16&gt;0,'Section Load'!AK16,0))</f>
        <v>189</v>
      </c>
      <c r="AK13" s="294">
        <f>(IF('Section Load'!AL16&gt;0,'Section Load'!AL16,0))</f>
        <v>281</v>
      </c>
      <c r="AL13" s="294">
        <f>(IF('Section Load'!AM16&gt;0,'Section Load'!AM16,0))</f>
        <v>413</v>
      </c>
      <c r="AM13" s="295">
        <f>(IF('Water Report'!$O$7&gt;0,'Water Report'!$O$7,0))</f>
        <v>44</v>
      </c>
      <c r="AN13" s="295">
        <f>(IF('Water Report'!$O$8&gt;0,'Water Report'!$O$8,0))</f>
        <v>97</v>
      </c>
      <c r="AO13" s="295">
        <f>(IF('Water Report'!$O$9&gt;0,'Water Report'!$O$9,0))</f>
        <v>48</v>
      </c>
      <c r="AP13" s="295">
        <f>(IF('Water Report'!$O$10&gt;0,'Water Report'!$O$10,0))</f>
        <v>6</v>
      </c>
      <c r="AQ13" s="295">
        <f>(IF('Water Report'!$O$11&gt;0,'Water Report'!$O$11,0))</f>
        <v>15</v>
      </c>
      <c r="AR13" s="295">
        <f>(IF('Water Report'!$O$13&gt;0,'Water Report'!$O$13,0))</f>
        <v>23</v>
      </c>
      <c r="AS13" s="295">
        <f>(IF('Water Report'!$O$14&gt;0,'Water Report'!$O$14,0))</f>
        <v>6</v>
      </c>
      <c r="AT13" s="295">
        <f>(IF('Water Report'!$O$15&gt;0,'Water Report'!$O$15,0))</f>
        <v>4</v>
      </c>
      <c r="AU13" s="295">
        <f>(IF('Water Report'!$O$17&gt;0,'Water Report'!$O$17,0))</f>
        <v>0</v>
      </c>
      <c r="AV13" s="295">
        <f>(IF('Water Report'!$O$18&gt;0,'Water Report'!$O$18,0))</f>
        <v>0</v>
      </c>
      <c r="AW13" s="295">
        <f>(IF('Water Report'!$O$19&gt;0,'Water Report'!$O$19,0))</f>
        <v>5</v>
      </c>
      <c r="AX13" s="301">
        <f>(IF('Water Report'!$O$21&gt;0,'Water Report'!$O$21,0))</f>
        <v>43</v>
      </c>
      <c r="AY13" s="301">
        <f>(IF('Water Report'!$O$22&gt;0,'Water Report'!$O$22,0))</f>
        <v>19</v>
      </c>
      <c r="AZ13" s="301">
        <f>(IF('Water Report'!$O$23&gt;0,'Water Report'!$O$23,0))</f>
        <v>17</v>
      </c>
      <c r="BA13" s="301">
        <f>(IF('Water Report'!$O$14&gt;0,'Water Report'!$O$14,0))</f>
        <v>6</v>
      </c>
      <c r="BB13" s="301">
        <f>(IF('Water Report'!$O$15&gt;0,'Water Report'!$O$15,0))</f>
        <v>4</v>
      </c>
      <c r="BC13" s="301">
        <f>(IF('Water Report'!$O$13&gt;0,'Water Report'!$O$13,0))</f>
        <v>23</v>
      </c>
      <c r="BD13" s="301">
        <f>(IF('Water Report'!$O$24&gt;0,'Water Report'!$O$24,0))</f>
        <v>136</v>
      </c>
      <c r="BE13" s="301">
        <f>(IF('Water Report'!$O$25&gt;0,'Water Report'!$O$25,0))</f>
        <v>79</v>
      </c>
      <c r="BF13" s="301">
        <f>(IF('Water Report'!$O$27&gt;0,'Water Report'!$O$27,0))</f>
        <v>83</v>
      </c>
      <c r="BG13" s="296">
        <f>(IF('Section Load'!AN16&gt;0,'Section Load'!AN16,0))</f>
        <v>644</v>
      </c>
      <c r="BH13" s="296">
        <f>(IF('Section Load'!AO16&gt;0,'Section Load'!AO16,0))</f>
        <v>379</v>
      </c>
      <c r="BI13" s="296">
        <f>(IF('Section Load'!AP16&gt;0,'Section Load'!AP16,0))</f>
        <v>0</v>
      </c>
      <c r="BJ13" s="296">
        <f>(IF('Section Load'!AQ16&gt;0,'Section Load'!AQ16,0))</f>
        <v>78</v>
      </c>
      <c r="BK13" s="296">
        <f>(IF('Section Load'!AR16&gt;0,'Section Load'!AR16,0))</f>
        <v>23</v>
      </c>
      <c r="BL13" s="296">
        <f>(IF('Section Load'!AS16&gt;0,'Section Load'!AS16,0))</f>
        <v>0</v>
      </c>
      <c r="BM13" s="296">
        <f>(IF('Section Load'!AT16&gt;0,'Section Load'!AT16,0))</f>
        <v>164</v>
      </c>
    </row>
    <row r="14" spans="1:65">
      <c r="A14" s="287" t="s">
        <v>268</v>
      </c>
      <c r="B14" s="288">
        <f t="shared" si="0"/>
        <v>13</v>
      </c>
      <c r="C14" s="288">
        <v>1</v>
      </c>
      <c r="D14" s="288">
        <v>2022</v>
      </c>
      <c r="E14" s="294">
        <f>(IF('Section Load'!F17&gt;0,'Section Load'!F17,0))</f>
        <v>2750</v>
      </c>
      <c r="F14" s="294">
        <f>(IF('Section Load'!G17&gt;0,'Section Load'!G17,0))</f>
        <v>1471</v>
      </c>
      <c r="G14" s="294">
        <f>(IF('Section Load'!H17&gt;0,'Section Load'!H17,0))</f>
        <v>1543</v>
      </c>
      <c r="H14" s="294">
        <f>(IF('Section Load'!I17&gt;0,'Section Load'!I17,0))</f>
        <v>2404</v>
      </c>
      <c r="I14" s="294">
        <f>(IF('Section Load'!J17&gt;0,'Section Load'!J17,0))</f>
        <v>2861</v>
      </c>
      <c r="J14" s="294">
        <f>(IF('Section Load'!K17&gt;0,'Section Load'!K17,0))</f>
        <v>2011</v>
      </c>
      <c r="K14" s="294">
        <f>(IF('Section Load'!L17&gt;0,'Section Load'!L17,0))</f>
        <v>842</v>
      </c>
      <c r="L14" s="294">
        <f>(IF('Section Load'!M17&gt;0,'Section Load'!M17,0))</f>
        <v>582</v>
      </c>
      <c r="M14" s="294">
        <f>(IF('Section Load'!N17&gt;0,'Section Load'!N17,0))</f>
        <v>53</v>
      </c>
      <c r="N14" s="294">
        <f>(IF('Section Load'!O17&gt;0,'Section Load'!O17,0))</f>
        <v>0</v>
      </c>
      <c r="O14" s="294">
        <f>(IF('Section Load'!P17&gt;0,'Section Load'!P17,0))</f>
        <v>0</v>
      </c>
      <c r="P14" s="294">
        <f>(IF('Section Load'!Q17&gt;0,'Section Load'!Q17,0))</f>
        <v>165</v>
      </c>
      <c r="Q14" s="294">
        <f>(IF('Section Load'!R17&gt;0,'Section Load'!R17,0))</f>
        <v>69</v>
      </c>
      <c r="R14" s="294">
        <f>(IF('Section Load'!S17&gt;0,'Section Load'!S17,0))</f>
        <v>12</v>
      </c>
      <c r="S14" s="294">
        <f>(IF('Section Load'!T17&gt;0,'Section Load'!T17,0))</f>
        <v>352</v>
      </c>
      <c r="T14" s="294">
        <f>(IF('Section Load'!U17&gt;0,'Section Load'!U17,0))</f>
        <v>220</v>
      </c>
      <c r="U14" s="294">
        <f>(IF('Section Load'!V17&gt;0,'Section Load'!V17,0))</f>
        <v>292</v>
      </c>
      <c r="V14" s="294">
        <f>(IF('Section Load'!W17&gt;0,'Section Load'!W17,0))</f>
        <v>135</v>
      </c>
      <c r="W14" s="294">
        <f>(IF('Section Load'!X17&gt;0,'Section Load'!X17,0))</f>
        <v>26</v>
      </c>
      <c r="X14" s="294">
        <f>(IF('Section Load'!Y17&gt;0,'Section Load'!Y17,0))</f>
        <v>214</v>
      </c>
      <c r="Y14" s="294">
        <f>(IF('Section Load'!Z17&gt;0,'Section Load'!Z17,0))</f>
        <v>214</v>
      </c>
      <c r="Z14" s="294">
        <f>(IF('Section Load'!AA17&gt;0,'Section Load'!AA17,0))</f>
        <v>7</v>
      </c>
      <c r="AA14" s="294">
        <f>(IF('Section Load'!AB17&gt;0,'Section Load'!AB17,0))</f>
        <v>34</v>
      </c>
      <c r="AB14" s="294">
        <f>(IF('Section Load'!AC17&gt;0,'Section Load'!AC17,0))</f>
        <v>1.2700000000004366</v>
      </c>
      <c r="AC14" s="294">
        <f>(IF('Section Load'!AD17&gt;0,'Section Load'!AD17,0))</f>
        <v>36</v>
      </c>
      <c r="AD14" s="294">
        <f>(IF('Section Load'!AE17&gt;0,'Section Load'!AE17,0))</f>
        <v>0</v>
      </c>
      <c r="AE14" s="294">
        <f>(IF('Section Load'!AF17&gt;0,'Section Load'!AF17,0))</f>
        <v>21</v>
      </c>
      <c r="AF14" s="294">
        <f>(IF('Section Load'!AG17&gt;0,'Section Load'!AG17,0))</f>
        <v>344</v>
      </c>
      <c r="AG14" s="294">
        <f>(IF('Section Load'!AH17&gt;0,'Section Load'!AH17,0))</f>
        <v>344</v>
      </c>
      <c r="AH14" s="294">
        <f>(IF('Section Load'!AI17&gt;0,'Section Load'!AI17,0))</f>
        <v>394</v>
      </c>
      <c r="AI14" s="294">
        <f>(IF('Section Load'!AJ17&gt;0,'Section Load'!AJ17,0))</f>
        <v>616</v>
      </c>
      <c r="AJ14" s="294">
        <f>(IF('Section Load'!AK17&gt;0,'Section Load'!AK17,0))</f>
        <v>188</v>
      </c>
      <c r="AK14" s="294">
        <f>(IF('Section Load'!AL17&gt;0,'Section Load'!AL17,0))</f>
        <v>274</v>
      </c>
      <c r="AL14" s="294">
        <f>(IF('Section Load'!AM17&gt;0,'Section Load'!AM17,0))</f>
        <v>406</v>
      </c>
      <c r="AM14" s="295">
        <f>(IF('Water Report'!$P$7&gt;0,'Water Report'!$P$7,0))</f>
        <v>54</v>
      </c>
      <c r="AN14" s="295">
        <f>(IF('Water Report'!$P$8&gt;0,'Water Report'!$P$8,0))</f>
        <v>93</v>
      </c>
      <c r="AO14" s="295">
        <f>(IF('Water Report'!$P$9&gt;0,'Water Report'!$P$9,0))</f>
        <v>69</v>
      </c>
      <c r="AP14" s="295">
        <f>(IF('Water Report'!$P$10&gt;0,'Water Report'!$P$10,0))</f>
        <v>12</v>
      </c>
      <c r="AQ14" s="295">
        <f>(IF('Water Report'!$P$11&gt;0,'Water Report'!$P$11,0))</f>
        <v>18</v>
      </c>
      <c r="AR14" s="295">
        <f>(IF('Water Report'!$P$13&gt;0,'Water Report'!$P$13,0))</f>
        <v>20</v>
      </c>
      <c r="AS14" s="295">
        <f>(IF('Water Report'!$P$14&gt;0,'Water Report'!$P$14,0))</f>
        <v>5</v>
      </c>
      <c r="AT14" s="295">
        <f>(IF('Water Report'!$P$15&gt;0,'Water Report'!$P$15,0))</f>
        <v>7</v>
      </c>
      <c r="AU14" s="295">
        <f>(IF('Water Report'!$P$17&gt;0,'Water Report'!$P$17,0))</f>
        <v>0</v>
      </c>
      <c r="AV14" s="295">
        <f>(IF('Water Report'!$P$18&gt;0,'Water Report'!$P$18,0))</f>
        <v>13</v>
      </c>
      <c r="AW14" s="295">
        <f>(IF('Water Report'!$P$19&gt;0,'Water Report'!$P$19,0))</f>
        <v>11</v>
      </c>
      <c r="AX14" s="301">
        <f>(IF('Water Report'!$P$21&gt;0,'Water Report'!$P$21,0))</f>
        <v>21</v>
      </c>
      <c r="AY14" s="301">
        <f>(IF('Water Report'!$P$22&gt;0,'Water Report'!$P$22,0))</f>
        <v>54</v>
      </c>
      <c r="AZ14" s="301">
        <f>(IF('Water Report'!$P$23&gt;0,'Water Report'!$P$23,0))</f>
        <v>3</v>
      </c>
      <c r="BA14" s="301">
        <f>(IF('Water Report'!$P$14&gt;0,'Water Report'!$P$14,0))</f>
        <v>5</v>
      </c>
      <c r="BB14" s="301">
        <f>(IF('Water Report'!$P$15&gt;0,'Water Report'!$P$15,0))</f>
        <v>7</v>
      </c>
      <c r="BC14" s="301">
        <f>(IF('Water Report'!$P$13&gt;0,'Water Report'!$P$13,0))</f>
        <v>20</v>
      </c>
      <c r="BD14" s="301">
        <f>(IF('Water Report'!$P$24&gt;0,'Water Report'!$P$24,0))</f>
        <v>103</v>
      </c>
      <c r="BE14" s="301">
        <f>(IF('Water Report'!$P$25&gt;0,'Water Report'!$P$25,0))</f>
        <v>111</v>
      </c>
      <c r="BF14" s="301">
        <f>(IF('Water Report'!$P$27&gt;0,'Water Report'!$P$27,0))</f>
        <v>44</v>
      </c>
      <c r="BG14" s="296">
        <f>(IF('Section Load'!AN17&gt;0,'Section Load'!AN17,0))</f>
        <v>957</v>
      </c>
      <c r="BH14" s="296">
        <f>(IF('Section Load'!AO17&gt;0,'Section Load'!AO17,0))</f>
        <v>209</v>
      </c>
      <c r="BI14" s="296">
        <f>(IF('Section Load'!AP17&gt;0,'Section Load'!AP17,0))</f>
        <v>0</v>
      </c>
      <c r="BJ14" s="296">
        <f>(IF('Section Load'!AQ17&gt;0,'Section Load'!AQ17,0))</f>
        <v>81</v>
      </c>
      <c r="BK14" s="296">
        <f>(IF('Section Load'!AR17&gt;0,'Section Load'!AR17,0))</f>
        <v>24</v>
      </c>
      <c r="BL14" s="296">
        <f>(IF('Section Load'!AS17&gt;0,'Section Load'!AS17,0))</f>
        <v>0</v>
      </c>
      <c r="BM14" s="296">
        <f>(IF('Section Load'!AT17&gt;0,'Section Load'!AT17,0))</f>
        <v>643</v>
      </c>
    </row>
    <row r="15" spans="1:65">
      <c r="A15" s="287" t="s">
        <v>268</v>
      </c>
      <c r="B15" s="288">
        <f t="shared" si="0"/>
        <v>14</v>
      </c>
      <c r="C15" s="288">
        <v>1</v>
      </c>
      <c r="D15" s="288">
        <v>2022</v>
      </c>
      <c r="E15" s="294">
        <f>(IF('Section Load'!F18&gt;0,'Section Load'!F18,0))</f>
        <v>2564</v>
      </c>
      <c r="F15" s="294">
        <f>(IF('Section Load'!G18&gt;0,'Section Load'!G18,0))</f>
        <v>1509</v>
      </c>
      <c r="G15" s="294">
        <f>(IF('Section Load'!H18&gt;0,'Section Load'!H18,0))</f>
        <v>1832</v>
      </c>
      <c r="H15" s="294">
        <f>(IF('Section Load'!I18&gt;0,'Section Load'!I18,0))</f>
        <v>2495</v>
      </c>
      <c r="I15" s="294">
        <f>(IF('Section Load'!J18&gt;0,'Section Load'!J18,0))</f>
        <v>3132</v>
      </c>
      <c r="J15" s="294">
        <f>(IF('Section Load'!K18&gt;0,'Section Load'!K18,0))</f>
        <v>2011</v>
      </c>
      <c r="K15" s="294">
        <f>(IF('Section Load'!L18&gt;0,'Section Load'!L18,0))</f>
        <v>861</v>
      </c>
      <c r="L15" s="294">
        <f>(IF('Section Load'!M18&gt;0,'Section Load'!M18,0))</f>
        <v>627</v>
      </c>
      <c r="M15" s="294">
        <f>(IF('Section Load'!N18&gt;0,'Section Load'!N18,0))</f>
        <v>65</v>
      </c>
      <c r="N15" s="294">
        <f>(IF('Section Load'!O18&gt;0,'Section Load'!O18,0))</f>
        <v>0</v>
      </c>
      <c r="O15" s="294">
        <f>(IF('Section Load'!P18&gt;0,'Section Load'!P18,0))</f>
        <v>0</v>
      </c>
      <c r="P15" s="294">
        <f>(IF('Section Load'!Q18&gt;0,'Section Load'!Q18,0))</f>
        <v>164</v>
      </c>
      <c r="Q15" s="294">
        <f>(IF('Section Load'!R18&gt;0,'Section Load'!R18,0))</f>
        <v>63</v>
      </c>
      <c r="R15" s="294">
        <f>(IF('Section Load'!S18&gt;0,'Section Load'!S18,0))</f>
        <v>13</v>
      </c>
      <c r="S15" s="294">
        <f>(IF('Section Load'!T18&gt;0,'Section Load'!T18,0))</f>
        <v>368</v>
      </c>
      <c r="T15" s="294">
        <f>(IF('Section Load'!U18&gt;0,'Section Load'!U18,0))</f>
        <v>236</v>
      </c>
      <c r="U15" s="294">
        <f>(IF('Section Load'!V18&gt;0,'Section Load'!V18,0))</f>
        <v>325</v>
      </c>
      <c r="V15" s="294">
        <f>(IF('Section Load'!W18&gt;0,'Section Load'!W18,0))</f>
        <v>181</v>
      </c>
      <c r="W15" s="294">
        <f>(IF('Section Load'!X18&gt;0,'Section Load'!X18,0))</f>
        <v>20</v>
      </c>
      <c r="X15" s="294">
        <f>(IF('Section Load'!Y18&gt;0,'Section Load'!Y18,0))</f>
        <v>76</v>
      </c>
      <c r="Y15" s="294">
        <f>(IF('Section Load'!Z18&gt;0,'Section Load'!Z18,0))</f>
        <v>196</v>
      </c>
      <c r="Z15" s="294">
        <f>(IF('Section Load'!AA18&gt;0,'Section Load'!AA18,0))</f>
        <v>6</v>
      </c>
      <c r="AA15" s="294">
        <f>(IF('Section Load'!AB18&gt;0,'Section Load'!AB18,0))</f>
        <v>40</v>
      </c>
      <c r="AB15" s="294">
        <f>(IF('Section Load'!AC18&gt;0,'Section Load'!AC18,0))</f>
        <v>0</v>
      </c>
      <c r="AC15" s="294">
        <f>(IF('Section Load'!AD18&gt;0,'Section Load'!AD18,0))</f>
        <v>73</v>
      </c>
      <c r="AD15" s="294">
        <f>(IF('Section Load'!AE18&gt;0,'Section Load'!AE18,0))</f>
        <v>0</v>
      </c>
      <c r="AE15" s="294">
        <f>(IF('Section Load'!AF18&gt;0,'Section Load'!AF18,0))</f>
        <v>21</v>
      </c>
      <c r="AF15" s="294">
        <f>(IF('Section Load'!AG18&gt;0,'Section Load'!AG18,0))</f>
        <v>377</v>
      </c>
      <c r="AG15" s="294">
        <f>(IF('Section Load'!AH18&gt;0,'Section Load'!AH18,0))</f>
        <v>377</v>
      </c>
      <c r="AH15" s="294">
        <f>(IF('Section Load'!AI18&gt;0,'Section Load'!AI18,0))</f>
        <v>411</v>
      </c>
      <c r="AI15" s="294">
        <f>(IF('Section Load'!AJ18&gt;0,'Section Load'!AJ18,0))</f>
        <v>655</v>
      </c>
      <c r="AJ15" s="294">
        <f>(IF('Section Load'!AK18&gt;0,'Section Load'!AK18,0))</f>
        <v>188</v>
      </c>
      <c r="AK15" s="294">
        <f>(IF('Section Load'!AL18&gt;0,'Section Load'!AL18,0))</f>
        <v>297</v>
      </c>
      <c r="AL15" s="294">
        <f>(IF('Section Load'!AM18&gt;0,'Section Load'!AM18,0))</f>
        <v>403</v>
      </c>
      <c r="AM15" s="295">
        <f>(IF('Water Report'!$Q$7&gt;0,'Water Report'!$Q$7,0))</f>
        <v>46</v>
      </c>
      <c r="AN15" s="295">
        <f>(IF('Water Report'!$Q$8&gt;0,'Water Report'!$Q$8,0))</f>
        <v>49</v>
      </c>
      <c r="AO15" s="295">
        <f>(IF('Water Report'!$Q$9&gt;0,'Water Report'!$Q$9,0))</f>
        <v>56</v>
      </c>
      <c r="AP15" s="295">
        <f>(IF('Water Report'!$Q$10&gt;0,'Water Report'!$Q$10,0))</f>
        <v>13</v>
      </c>
      <c r="AQ15" s="295">
        <f>(IF('Water Report'!$Q$11&gt;0,'Water Report'!$Q$11,0))</f>
        <v>18</v>
      </c>
      <c r="AR15" s="295">
        <f>(IF('Water Report'!$Q$13&gt;0,'Water Report'!$Q$13,0))</f>
        <v>35</v>
      </c>
      <c r="AS15" s="295">
        <f>(IF('Water Report'!$Q$14&gt;0,'Water Report'!$Q$14,0))</f>
        <v>6</v>
      </c>
      <c r="AT15" s="295">
        <f>(IF('Water Report'!$Q$15&gt;0,'Water Report'!$Q$15,0))</f>
        <v>6</v>
      </c>
      <c r="AU15" s="295">
        <f>(IF('Water Report'!$Q$17&gt;0,'Water Report'!$Q$17,0))</f>
        <v>0</v>
      </c>
      <c r="AV15" s="295">
        <f>(IF('Water Report'!$Q$18&gt;0,'Water Report'!$Q$18,0))</f>
        <v>5</v>
      </c>
      <c r="AW15" s="295">
        <f>(IF('Water Report'!$Q$19&gt;0,'Water Report'!$Q$19,0))</f>
        <v>6</v>
      </c>
      <c r="AX15" s="301">
        <f>(IF('Water Report'!$Q$21&gt;0,'Water Report'!$Q$21,0))</f>
        <v>21</v>
      </c>
      <c r="AY15" s="301">
        <f>(IF('Water Report'!$Q$22&gt;0,'Water Report'!$Q$22,0))</f>
        <v>3</v>
      </c>
      <c r="AZ15" s="301">
        <f>(IF('Water Report'!$Q$23&gt;0,'Water Report'!$Q$23,0))</f>
        <v>15</v>
      </c>
      <c r="BA15" s="301">
        <f>(IF('Water Report'!$Q$14&gt;0,'Water Report'!$Q$14,0))</f>
        <v>6</v>
      </c>
      <c r="BB15" s="301">
        <f>(IF('Water Report'!$Q$15&gt;0,'Water Report'!$Q$15,0))</f>
        <v>6</v>
      </c>
      <c r="BC15" s="301">
        <f>(IF('Water Report'!$Q$13&gt;0,'Water Report'!$Q$13,0))</f>
        <v>35</v>
      </c>
      <c r="BD15" s="301">
        <f>(IF('Water Report'!$Q$24&gt;0,'Water Report'!$Q$24,0))</f>
        <v>114</v>
      </c>
      <c r="BE15" s="301">
        <f>(IF('Water Report'!$Q$25&gt;0,'Water Report'!$Q$25,0))</f>
        <v>99</v>
      </c>
      <c r="BF15" s="301">
        <f>(IF('Water Report'!$Q$27&gt;0,'Water Report'!$Q$27,0))</f>
        <v>71</v>
      </c>
      <c r="BG15" s="296">
        <f>(IF('Section Load'!AN18&gt;0,'Section Load'!AN18,0))</f>
        <v>745</v>
      </c>
      <c r="BH15" s="296">
        <f>(IF('Section Load'!AO18&gt;0,'Section Load'!AO18,0))</f>
        <v>326</v>
      </c>
      <c r="BI15" s="296">
        <f>(IF('Section Load'!AP18&gt;0,'Section Load'!AP18,0))</f>
        <v>0</v>
      </c>
      <c r="BJ15" s="296">
        <f>(IF('Section Load'!AQ18&gt;0,'Section Load'!AQ18,0))</f>
        <v>75</v>
      </c>
      <c r="BK15" s="296">
        <f>(IF('Section Load'!AR18&gt;0,'Section Load'!AR18,0))</f>
        <v>27</v>
      </c>
      <c r="BL15" s="296">
        <f>(IF('Section Load'!AS18&gt;0,'Section Load'!AS18,0))</f>
        <v>1</v>
      </c>
      <c r="BM15" s="296">
        <f>(IF('Section Load'!AT18&gt;0,'Section Load'!AT18,0))</f>
        <v>316</v>
      </c>
    </row>
    <row r="16" spans="1:65">
      <c r="A16" s="287" t="s">
        <v>268</v>
      </c>
      <c r="B16" s="288">
        <f t="shared" si="0"/>
        <v>15</v>
      </c>
      <c r="C16" s="288">
        <v>1</v>
      </c>
      <c r="D16" s="288">
        <v>2022</v>
      </c>
      <c r="E16" s="294">
        <f>(IF('Section Load'!F19&gt;0,'Section Load'!F19,0))</f>
        <v>2552.4300000000003</v>
      </c>
      <c r="F16" s="294">
        <f>(IF('Section Load'!G19&gt;0,'Section Load'!G19,0))</f>
        <v>1497.7399999999998</v>
      </c>
      <c r="G16" s="294">
        <f>(IF('Section Load'!H19&gt;0,'Section Load'!H19,0))</f>
        <v>1386.9500000000007</v>
      </c>
      <c r="H16" s="294">
        <f>(IF('Section Load'!I19&gt;0,'Section Load'!I19,0))</f>
        <v>2494.9000000000015</v>
      </c>
      <c r="I16" s="294">
        <f>(IF('Section Load'!J19&gt;0,'Section Load'!J19,0))</f>
        <v>3008.3700000000099</v>
      </c>
      <c r="J16" s="294">
        <f>(IF('Section Load'!K19&gt;0,'Section Load'!K19,0))</f>
        <v>2012.7100000000064</v>
      </c>
      <c r="K16" s="294">
        <f>(IF('Section Load'!L19&gt;0,'Section Load'!L19,0))</f>
        <v>902.7300000000032</v>
      </c>
      <c r="L16" s="294">
        <f>(IF('Section Load'!M19&gt;0,'Section Load'!M19,0))</f>
        <v>573.68999999999869</v>
      </c>
      <c r="M16" s="294">
        <f>(IF('Section Load'!N19&gt;0,'Section Load'!N19,0))</f>
        <v>56</v>
      </c>
      <c r="N16" s="294">
        <f>(IF('Section Load'!O19&gt;0,'Section Load'!O19,0))</f>
        <v>1</v>
      </c>
      <c r="O16" s="294">
        <f>(IF('Section Load'!P19&gt;0,'Section Load'!P19,0))</f>
        <v>0</v>
      </c>
      <c r="P16" s="294">
        <f>(IF('Section Load'!Q19&gt;0,'Section Load'!Q19,0))</f>
        <v>175.9800000000032</v>
      </c>
      <c r="Q16" s="294">
        <f>(IF('Section Load'!R19&gt;0,'Section Load'!R19,0))</f>
        <v>71.919999999998254</v>
      </c>
      <c r="R16" s="294">
        <f>(IF('Section Load'!S19&gt;0,'Section Load'!S19,0))</f>
        <v>14.420000000000073</v>
      </c>
      <c r="S16" s="294">
        <f>(IF('Section Load'!T19&gt;0,'Section Load'!T19,0))</f>
        <v>381</v>
      </c>
      <c r="T16" s="294">
        <f>(IF('Section Load'!U19&gt;0,'Section Load'!U19,0))</f>
        <v>231</v>
      </c>
      <c r="U16" s="294">
        <f>(IF('Section Load'!V19&gt;0,'Section Load'!V19,0))</f>
        <v>390.8399999999674</v>
      </c>
      <c r="V16" s="294">
        <f>(IF('Section Load'!W19&gt;0,'Section Load'!W19,0))</f>
        <v>181.56000000005588</v>
      </c>
      <c r="W16" s="294">
        <f>(IF('Section Load'!X19&gt;0,'Section Load'!X19,0))</f>
        <v>26.070000000000164</v>
      </c>
      <c r="X16" s="294">
        <f>(IF('Section Load'!Y19&gt;0,'Section Load'!Y19,0))</f>
        <v>179.03999999999996</v>
      </c>
      <c r="Y16" s="294">
        <f>(IF('Section Load'!Z19&gt;0,'Section Load'!Z19,0))</f>
        <v>238</v>
      </c>
      <c r="Z16" s="294">
        <f>(IF('Section Load'!AA19&gt;0,'Section Load'!AA19,0))</f>
        <v>8.0399999999790452</v>
      </c>
      <c r="AA16" s="294">
        <f>(IF('Section Load'!AB19&gt;0,'Section Load'!AB19,0))</f>
        <v>38.30000000000291</v>
      </c>
      <c r="AB16" s="294">
        <f>(IF('Section Load'!AC19&gt;0,'Section Load'!AC19,0))</f>
        <v>2.0000000000436557E-2</v>
      </c>
      <c r="AC16" s="294">
        <f>(IF('Section Load'!AD19&gt;0,'Section Load'!AD19,0))</f>
        <v>59.600000000005821</v>
      </c>
      <c r="AD16" s="294">
        <f>(IF('Section Load'!AE19&gt;0,'Section Load'!AE19,0))</f>
        <v>0</v>
      </c>
      <c r="AE16" s="294">
        <f>(IF('Section Load'!AF19&gt;0,'Section Load'!AF19,0))</f>
        <v>23.873999999999796</v>
      </c>
      <c r="AF16" s="294">
        <f>(IF('Section Load'!AG19&gt;0,'Section Load'!AG19,0))</f>
        <v>324.19000000000233</v>
      </c>
      <c r="AG16" s="294">
        <f>(IF('Section Load'!AH19&gt;0,'Section Load'!AH19,0))</f>
        <v>345.26999999998952</v>
      </c>
      <c r="AH16" s="294">
        <f>(IF('Section Load'!AI19&gt;0,'Section Load'!AI19,0))</f>
        <v>418</v>
      </c>
      <c r="AI16" s="294">
        <f>(IF('Section Load'!AJ19&gt;0,'Section Load'!AJ19,0))</f>
        <v>645.19000000000233</v>
      </c>
      <c r="AJ16" s="294">
        <f>(IF('Section Load'!AK19&gt;0,'Section Load'!AK19,0))</f>
        <v>183.83999999999651</v>
      </c>
      <c r="AK16" s="294">
        <f>(IF('Section Load'!AL19&gt;0,'Section Load'!AL19,0))</f>
        <v>230.64000000001397</v>
      </c>
      <c r="AL16" s="294">
        <f>(IF('Section Load'!AM19&gt;0,'Section Load'!AM19,0))</f>
        <v>398.27000000000407</v>
      </c>
      <c r="AM16" s="295">
        <f>(IF('Water Report'!$R$7&gt;0,'Water Report'!$R$7,0))</f>
        <v>79</v>
      </c>
      <c r="AN16" s="295">
        <f>(IF('Water Report'!$R$8&gt;0,'Water Report'!$R$8,0))</f>
        <v>95</v>
      </c>
      <c r="AO16" s="295">
        <f>(IF('Water Report'!$R$9&gt;0,'Water Report'!$R$9,0))</f>
        <v>70</v>
      </c>
      <c r="AP16" s="295">
        <f>(IF('Water Report'!$R$10&gt;0,'Water Report'!$R$10,0))</f>
        <v>17</v>
      </c>
      <c r="AQ16" s="295">
        <f>(IF('Water Report'!$R$11&gt;0,'Water Report'!$R$11,0))</f>
        <v>23</v>
      </c>
      <c r="AR16" s="295">
        <f>(IF('Water Report'!$R$13&gt;0,'Water Report'!$R$13,0))</f>
        <v>23</v>
      </c>
      <c r="AS16" s="295">
        <f>(IF('Water Report'!$R$14&gt;0,'Water Report'!$R$14,0))</f>
        <v>11</v>
      </c>
      <c r="AT16" s="295">
        <f>(IF('Water Report'!$R$15&gt;0,'Water Report'!$R$15,0))</f>
        <v>7</v>
      </c>
      <c r="AU16" s="295">
        <f>(IF('Water Report'!$R$17&gt;0,'Water Report'!$R$17,0))</f>
        <v>0</v>
      </c>
      <c r="AV16" s="295">
        <f>(IF('Water Report'!$R$18&gt;0,'Water Report'!$R$18,0))</f>
        <v>10</v>
      </c>
      <c r="AW16" s="295">
        <f>(IF('Water Report'!$R$19&gt;0,'Water Report'!$R$19,0))</f>
        <v>13</v>
      </c>
      <c r="AX16" s="301">
        <f>(IF('Water Report'!$R$21&gt;0,'Water Report'!$R$21,0))</f>
        <v>72</v>
      </c>
      <c r="AY16" s="301">
        <f>(IF('Water Report'!$R$22&gt;0,'Water Report'!$R$22,0))</f>
        <v>20</v>
      </c>
      <c r="AZ16" s="301">
        <f>(IF('Water Report'!$R$23&gt;0,'Water Report'!$R$23,0))</f>
        <v>11</v>
      </c>
      <c r="BA16" s="301">
        <f>(IF('Water Report'!$R$14&gt;0,'Water Report'!$R$14,0))</f>
        <v>11</v>
      </c>
      <c r="BB16" s="301">
        <f>(IF('Water Report'!$R$15&gt;0,'Water Report'!$R$15,0))</f>
        <v>7</v>
      </c>
      <c r="BC16" s="301">
        <f>(IF('Water Report'!$R$13&gt;0,'Water Report'!$R$13,0))</f>
        <v>23</v>
      </c>
      <c r="BD16" s="301">
        <f>(IF('Water Report'!$R$24&gt;0,'Water Report'!$R$24,0))</f>
        <v>155</v>
      </c>
      <c r="BE16" s="301">
        <f>(IF('Water Report'!$R$25&gt;0,'Water Report'!$R$25,0))</f>
        <v>128</v>
      </c>
      <c r="BF16" s="301">
        <f>(IF('Water Report'!$R$27&gt;0,'Water Report'!$R$27,0))</f>
        <v>106</v>
      </c>
      <c r="BG16" s="296">
        <f>(IF('Section Load'!AN19&gt;0,'Section Load'!AN19,0))</f>
        <v>965</v>
      </c>
      <c r="BH16" s="296">
        <f>(IF('Section Load'!AO19&gt;0,'Section Load'!AO19,0))</f>
        <v>313</v>
      </c>
      <c r="BI16" s="296">
        <f>(IF('Section Load'!AP19&gt;0,'Section Load'!AP19,0))</f>
        <v>0</v>
      </c>
      <c r="BJ16" s="296">
        <f>(IF('Section Load'!AQ19&gt;0,'Section Load'!AQ19,0))</f>
        <v>75</v>
      </c>
      <c r="BK16" s="296">
        <f>(IF('Section Load'!AR19&gt;0,'Section Load'!AR19,0))</f>
        <v>26.400000000001455</v>
      </c>
      <c r="BL16" s="296">
        <f>(IF('Section Load'!AS19&gt;0,'Section Load'!AS19,0))</f>
        <v>1</v>
      </c>
      <c r="BM16" s="296">
        <f>(IF('Section Load'!AT19&gt;0,'Section Load'!AT19,0))</f>
        <v>549.59999999999854</v>
      </c>
    </row>
    <row r="17" spans="1:65">
      <c r="A17" s="287" t="s">
        <v>268</v>
      </c>
      <c r="B17" s="288">
        <f t="shared" si="0"/>
        <v>16</v>
      </c>
      <c r="C17" s="288">
        <v>1</v>
      </c>
      <c r="D17" s="288">
        <v>2022</v>
      </c>
      <c r="E17" s="294">
        <f>(IF('Section Load'!F20&gt;0,'Section Load'!F20,0))</f>
        <v>2589.5699999999997</v>
      </c>
      <c r="F17" s="294">
        <f>(IF('Section Load'!G20&gt;0,'Section Load'!G20,0))</f>
        <v>1483.2600000000002</v>
      </c>
      <c r="G17" s="294">
        <f>(IF('Section Load'!H20&gt;0,'Section Load'!H20,0))</f>
        <v>1625.0499999999993</v>
      </c>
      <c r="H17" s="294">
        <f>(IF('Section Load'!I20&gt;0,'Section Load'!I20,0))</f>
        <v>2600.0999999999985</v>
      </c>
      <c r="I17" s="294">
        <f>(IF('Section Load'!J20&gt;0,'Section Load'!J20,0))</f>
        <v>3032.7699999999968</v>
      </c>
      <c r="J17" s="294">
        <f>(IF('Section Load'!K20&gt;0,'Section Load'!K20,0))</f>
        <v>2071.2899999999936</v>
      </c>
      <c r="K17" s="294">
        <f>(IF('Section Load'!L20&gt;0,'Section Load'!L20,0))</f>
        <v>868.2699999999968</v>
      </c>
      <c r="L17" s="294">
        <f>(IF('Section Load'!M20&gt;0,'Section Load'!M20,0))</f>
        <v>587.31000000000131</v>
      </c>
      <c r="M17" s="294">
        <f>(IF('Section Load'!N20&gt;0,'Section Load'!N20,0))</f>
        <v>59</v>
      </c>
      <c r="N17" s="294">
        <f>(IF('Section Load'!O20&gt;0,'Section Load'!O20,0))</f>
        <v>0</v>
      </c>
      <c r="O17" s="294">
        <f>(IF('Section Load'!P20&gt;0,'Section Load'!P20,0))</f>
        <v>0</v>
      </c>
      <c r="P17" s="294">
        <f>(IF('Section Load'!Q20&gt;0,'Section Load'!Q20,0))</f>
        <v>165.0199999999968</v>
      </c>
      <c r="Q17" s="294">
        <f>(IF('Section Load'!R20&gt;0,'Section Load'!R20,0))</f>
        <v>76.080000000001746</v>
      </c>
      <c r="R17" s="294">
        <f>(IF('Section Load'!S20&gt;0,'Section Load'!S20,0))</f>
        <v>15.579999999999927</v>
      </c>
      <c r="S17" s="294">
        <f>(IF('Section Load'!T20&gt;0,'Section Load'!T20,0))</f>
        <v>441</v>
      </c>
      <c r="T17" s="294">
        <f>(IF('Section Load'!U20&gt;0,'Section Load'!U20,0))</f>
        <v>226</v>
      </c>
      <c r="U17" s="294">
        <f>(IF('Section Load'!V20&gt;0,'Section Load'!V20,0))</f>
        <v>336.1600000000326</v>
      </c>
      <c r="V17" s="294">
        <f>(IF('Section Load'!W20&gt;0,'Section Load'!W20,0))</f>
        <v>163.43999999994412</v>
      </c>
      <c r="W17" s="294">
        <f>(IF('Section Load'!X20&gt;0,'Section Load'!X20,0))</f>
        <v>22.929999999999836</v>
      </c>
      <c r="X17" s="294">
        <f>(IF('Section Load'!Y20&gt;0,'Section Load'!Y20,0))</f>
        <v>187.96000000000004</v>
      </c>
      <c r="Y17" s="294">
        <f>(IF('Section Load'!Z20&gt;0,'Section Load'!Z20,0))</f>
        <v>224</v>
      </c>
      <c r="Z17" s="294">
        <f>(IF('Section Load'!AA20&gt;0,'Section Load'!AA20,0))</f>
        <v>6.9600000000209548</v>
      </c>
      <c r="AA17" s="294">
        <f>(IF('Section Load'!AB20&gt;0,'Section Load'!AB20,0))</f>
        <v>13.69999999999709</v>
      </c>
      <c r="AB17" s="294">
        <f>(IF('Section Load'!AC20&gt;0,'Section Load'!AC20,0))</f>
        <v>0</v>
      </c>
      <c r="AC17" s="294">
        <f>(IF('Section Load'!AD20&gt;0,'Section Load'!AD20,0))</f>
        <v>36.399999999994179</v>
      </c>
      <c r="AD17" s="294">
        <f>(IF('Section Load'!AE20&gt;0,'Section Load'!AE20,0))</f>
        <v>0</v>
      </c>
      <c r="AE17" s="294">
        <f>(IF('Section Load'!AF20&gt;0,'Section Load'!AF20,0))</f>
        <v>23.126000000000204</v>
      </c>
      <c r="AF17" s="294">
        <f>(IF('Section Load'!AG20&gt;0,'Section Load'!AG20,0))</f>
        <v>306.80999999999767</v>
      </c>
      <c r="AG17" s="294">
        <f>(IF('Section Load'!AH20&gt;0,'Section Load'!AH20,0))</f>
        <v>457.73000000001048</v>
      </c>
      <c r="AH17" s="294">
        <f>(IF('Section Load'!AI20&gt;0,'Section Load'!AI20,0))</f>
        <v>435</v>
      </c>
      <c r="AI17" s="294">
        <f>(IF('Section Load'!AJ20&gt;0,'Section Load'!AJ20,0))</f>
        <v>669.80999999999767</v>
      </c>
      <c r="AJ17" s="294">
        <f>(IF('Section Load'!AK20&gt;0,'Section Load'!AK20,0))</f>
        <v>168.16000000000349</v>
      </c>
      <c r="AK17" s="294">
        <f>(IF('Section Load'!AL20&gt;0,'Section Load'!AL20,0))</f>
        <v>270.35999999998603</v>
      </c>
      <c r="AL17" s="294">
        <f>(IF('Section Load'!AM20&gt;0,'Section Load'!AM20,0))</f>
        <v>468.72999999999593</v>
      </c>
      <c r="AM17" s="295">
        <f>(IF('Water Report'!$S$7&gt;0,'Water Report'!$S$7,0))</f>
        <v>66</v>
      </c>
      <c r="AN17" s="295">
        <f>(IF('Water Report'!$S$8&gt;0,'Water Report'!$S$8,0))</f>
        <v>91</v>
      </c>
      <c r="AO17" s="295">
        <f>(IF('Water Report'!$S$9&gt;0,'Water Report'!$S$9,0))</f>
        <v>62</v>
      </c>
      <c r="AP17" s="295">
        <f>(IF('Water Report'!$S$10&gt;0,'Water Report'!$D$10,0))</f>
        <v>28</v>
      </c>
      <c r="AQ17" s="295">
        <f>(IF('Water Report'!$S$11&gt;0,'Water Report'!$D$11,0))</f>
        <v>40</v>
      </c>
      <c r="AR17" s="295">
        <f>(IF('Water Report'!$S$13&gt;0,'Water Report'!$D$13,0))</f>
        <v>14</v>
      </c>
      <c r="AS17" s="295">
        <f>(IF('Water Report'!$S$14&gt;0,'Water Report'!$D$14,0))</f>
        <v>25</v>
      </c>
      <c r="AT17" s="295">
        <f>(IF('Water Report'!$S$15&gt;0,'Water Report'!$D$15,0))</f>
        <v>13</v>
      </c>
      <c r="AU17" s="295">
        <f>(IF('Water Report'!$S$17&gt;0,'Water Report'!$D$17,0))</f>
        <v>0</v>
      </c>
      <c r="AV17" s="295">
        <f>(IF('Water Report'!$S$18&gt;0,'Water Report'!$D$18,0))</f>
        <v>15</v>
      </c>
      <c r="AW17" s="295">
        <f>(IF('Water Report'!$S$19&gt;0,'Water Report'!$D$19,0))</f>
        <v>12</v>
      </c>
      <c r="AX17" s="301">
        <f>(IF('Water Report'!$S$21&gt;0,'Water Report'!$D$21,0))</f>
        <v>62</v>
      </c>
      <c r="AY17" s="301">
        <f>(IF('Water Report'!$S$22&gt;0,'Water Report'!$D$22,0))</f>
        <v>42</v>
      </c>
      <c r="AZ17" s="301">
        <f>(IF('Water Report'!$S$23&gt;0,'Water Report'!$D$23,0))</f>
        <v>4</v>
      </c>
      <c r="BA17" s="301">
        <f>(IF('Water Report'!$S$14&gt;0,'Water Report'!$D$14,0))</f>
        <v>25</v>
      </c>
      <c r="BB17" s="301">
        <f>(IF('Water Report'!$S$15&gt;0,'Water Report'!$D$15,0))</f>
        <v>13</v>
      </c>
      <c r="BC17" s="301">
        <f>(IF('Water Report'!$S$13&gt;0,'Water Report'!$D$13,0))</f>
        <v>14</v>
      </c>
      <c r="BD17" s="301">
        <f>(IF('Water Report'!$S$24&gt;0,'Water Report'!$D$24,0))</f>
        <v>54</v>
      </c>
      <c r="BE17" s="301">
        <f>(IF('Water Report'!$S$25&gt;0,'Water Report'!$D$25,0))</f>
        <v>204</v>
      </c>
      <c r="BF17" s="301">
        <f>(IF('Water Report'!$S$27&gt;0,'Water Report'!$D$27,0))</f>
        <v>80</v>
      </c>
      <c r="BG17" s="296">
        <f>(IF('Section Load'!AN20&gt;0,'Section Load'!AN20,0))</f>
        <v>1006</v>
      </c>
      <c r="BH17" s="296">
        <f>(IF('Section Load'!AO20&gt;0,'Section Load'!AO20,0))</f>
        <v>304</v>
      </c>
      <c r="BI17" s="296">
        <f>(IF('Section Load'!AP20&gt;0,'Section Load'!AP20,0))</f>
        <v>0</v>
      </c>
      <c r="BJ17" s="296">
        <f>(IF('Section Load'!AQ20&gt;0,'Section Load'!AQ20,0))</f>
        <v>90</v>
      </c>
      <c r="BK17" s="296">
        <f>(IF('Section Load'!AR20&gt;0,'Section Load'!AR20,0))</f>
        <v>26.599999999998545</v>
      </c>
      <c r="BL17" s="296">
        <f>(IF('Section Load'!AS20&gt;0,'Section Load'!AS20,0))</f>
        <v>1</v>
      </c>
      <c r="BM17" s="296">
        <f>(IF('Section Load'!AT20&gt;0,'Section Load'!AT20,0))</f>
        <v>584.40000000000146</v>
      </c>
    </row>
    <row r="18" spans="1:65">
      <c r="A18" s="287" t="s">
        <v>268</v>
      </c>
      <c r="B18" s="288">
        <f t="shared" si="0"/>
        <v>17</v>
      </c>
      <c r="C18" s="288">
        <v>1</v>
      </c>
      <c r="D18" s="288">
        <v>2022</v>
      </c>
      <c r="E18" s="294">
        <f>(IF('Section Load'!F21&gt;0,'Section Load'!F21,0))</f>
        <v>2686.2100000000009</v>
      </c>
      <c r="F18" s="294">
        <f>(IF('Section Load'!G21&gt;0,'Section Load'!G21,0))</f>
        <v>1510.42</v>
      </c>
      <c r="G18" s="294">
        <f>(IF('Section Load'!H21&gt;0,'Section Load'!H21,0))</f>
        <v>1604.1599999999999</v>
      </c>
      <c r="H18" s="294">
        <f>(IF('Section Load'!I21&gt;0,'Section Load'!I21,0))</f>
        <v>2698</v>
      </c>
      <c r="I18" s="294">
        <f>(IF('Section Load'!J21&gt;0,'Section Load'!J21,0))</f>
        <v>3005.1699999999983</v>
      </c>
      <c r="J18" s="294">
        <f>(IF('Section Load'!K21&gt;0,'Section Load'!K21,0))</f>
        <v>2219.1499999999942</v>
      </c>
      <c r="K18" s="294">
        <f>(IF('Section Load'!L21&gt;0,'Section Load'!L21,0))</f>
        <v>838.52999999999884</v>
      </c>
      <c r="L18" s="294">
        <f>(IF('Section Load'!M21&gt;0,'Section Load'!M21,0))</f>
        <v>592.45999999999913</v>
      </c>
      <c r="M18" s="294">
        <f>(IF('Section Load'!N21&gt;0,'Section Load'!N21,0))</f>
        <v>60</v>
      </c>
      <c r="N18" s="294">
        <f>(IF('Section Load'!O21&gt;0,'Section Load'!O21,0))</f>
        <v>0</v>
      </c>
      <c r="O18" s="294">
        <f>(IF('Section Load'!P21&gt;0,'Section Load'!P21,0))</f>
        <v>0</v>
      </c>
      <c r="P18" s="294">
        <f>(IF('Section Load'!Q21&gt;0,'Section Load'!Q21,0))</f>
        <v>158.80000000000291</v>
      </c>
      <c r="Q18" s="294">
        <f>(IF('Section Load'!R21&gt;0,'Section Load'!R21,0))</f>
        <v>78.090000000000146</v>
      </c>
      <c r="R18" s="294">
        <f>(IF('Section Load'!S21&gt;0,'Section Load'!S21,0))</f>
        <v>14.340000000000146</v>
      </c>
      <c r="S18" s="294">
        <f>(IF('Section Load'!T21&gt;0,'Section Load'!T21,0))</f>
        <v>428</v>
      </c>
      <c r="T18" s="294">
        <f>(IF('Section Load'!U21&gt;0,'Section Load'!U21,0))</f>
        <v>233</v>
      </c>
      <c r="U18" s="294">
        <f>(IF('Section Load'!V21&gt;0,'Section Load'!V21,0))</f>
        <v>330</v>
      </c>
      <c r="V18" s="294">
        <f>(IF('Section Load'!W21&gt;0,'Section Load'!W21,0))</f>
        <v>164</v>
      </c>
      <c r="W18" s="294">
        <f>(IF('Section Load'!X21&gt;0,'Section Load'!X21,0))</f>
        <v>27.510000000000218</v>
      </c>
      <c r="X18" s="294">
        <f>(IF('Section Load'!Y21&gt;0,'Section Load'!Y21,0))</f>
        <v>17.599999999999909</v>
      </c>
      <c r="Y18" s="294">
        <f>(IF('Section Load'!Z21&gt;0,'Section Load'!Z21,0))</f>
        <v>213</v>
      </c>
      <c r="Z18" s="294">
        <f>(IF('Section Load'!AA21&gt;0,'Section Load'!AA21,0))</f>
        <v>7</v>
      </c>
      <c r="AA18" s="294">
        <f>(IF('Section Load'!AB21&gt;0,'Section Load'!AB21,0))</f>
        <v>37</v>
      </c>
      <c r="AB18" s="294">
        <f>(IF('Section Load'!AC21&gt;0,'Section Load'!AC21,0))</f>
        <v>0</v>
      </c>
      <c r="AC18" s="294">
        <f>(IF('Section Load'!AD21&gt;0,'Section Load'!AD21,0))</f>
        <v>62.599999999996726</v>
      </c>
      <c r="AD18" s="294">
        <f>(IF('Section Load'!AE21&gt;0,'Section Load'!AE21,0))</f>
        <v>0</v>
      </c>
      <c r="AE18" s="294">
        <f>(IF('Section Load'!AF21&gt;0,'Section Load'!AF21,0))</f>
        <v>22.9699999999998</v>
      </c>
      <c r="AF18" s="294">
        <f>(IF('Section Load'!AG21&gt;0,'Section Load'!AG21,0))</f>
        <v>337</v>
      </c>
      <c r="AG18" s="294">
        <f>(IF('Section Load'!AH21&gt;0,'Section Load'!AH21,0))</f>
        <v>457</v>
      </c>
      <c r="AH18" s="294">
        <f>(IF('Section Load'!AI21&gt;0,'Section Load'!AI21,0))</f>
        <v>434.40000000000146</v>
      </c>
      <c r="AI18" s="294">
        <f>(IF('Section Load'!AJ21&gt;0,'Section Load'!AJ21,0))</f>
        <v>691</v>
      </c>
      <c r="AJ18" s="294">
        <f>(IF('Section Load'!AK21&gt;0,'Section Load'!AK21,0))</f>
        <v>185.44000000000233</v>
      </c>
      <c r="AK18" s="294">
        <f>(IF('Section Load'!AL21&gt;0,'Section Load'!AL21,0))</f>
        <v>256.63000000000466</v>
      </c>
      <c r="AL18" s="294">
        <f>(IF('Section Load'!AM21&gt;0,'Section Load'!AM21,0))</f>
        <v>488.60000000000582</v>
      </c>
      <c r="AM18" s="295">
        <f>(IF('Water Report'!$T$7&gt;0,'Water Report'!$T$7,0))</f>
        <v>66</v>
      </c>
      <c r="AN18" s="295">
        <f>(IF('Water Report'!$T$8&gt;0,'Water Report'!$T$8,0))</f>
        <v>84</v>
      </c>
      <c r="AO18" s="295">
        <f>(IF('Water Report'!$T$9&gt;0,'Water Report'!$T$9,0))</f>
        <v>65</v>
      </c>
      <c r="AP18" s="295">
        <f>(IF('Water Report'!$T$10&gt;0,'Water Report'!$T$10,0))</f>
        <v>15</v>
      </c>
      <c r="AQ18" s="295">
        <f>(IF('Water Report'!$T$11&gt;0,'Water Report'!$T$11,0))</f>
        <v>19</v>
      </c>
      <c r="AR18" s="295">
        <f>(IF('Water Report'!$T$13&gt;0,'Water Report'!$T$13,0))</f>
        <v>21</v>
      </c>
      <c r="AS18" s="295">
        <f>(IF('Water Report'!$T$14&gt;0,'Water Report'!$T$14,0))</f>
        <v>8</v>
      </c>
      <c r="AT18" s="295">
        <f>(IF('Water Report'!$T$15&gt;0,'Water Report'!$T$15,0))</f>
        <v>7</v>
      </c>
      <c r="AU18" s="295">
        <f>(IF('Water Report'!$T$17&gt;0,'Water Report'!$T$17,0))</f>
        <v>0</v>
      </c>
      <c r="AV18" s="295">
        <f>(IF('Water Report'!$T$18&gt;0,'Water Report'!$T$18,0))</f>
        <v>0</v>
      </c>
      <c r="AW18" s="295">
        <f>(IF('Water Report'!$T$19&gt;0,'Water Report'!$T$19,0))</f>
        <v>7</v>
      </c>
      <c r="AX18" s="301">
        <f>(IF('Water Report'!$T$21&gt;0,'Water Report'!$T$21,0))</f>
        <v>60</v>
      </c>
      <c r="AY18" s="301">
        <f>(IF('Water Report'!$T$22&gt;0,'Water Report'!$T$22,0))</f>
        <v>27</v>
      </c>
      <c r="AZ18" s="301">
        <f>(IF('Water Report'!$T$23&gt;0,'Water Report'!$T$23,0))</f>
        <v>1</v>
      </c>
      <c r="BA18" s="301">
        <f>(IF('Water Report'!$T$14&gt;0,'Water Report'!$T$14,0))</f>
        <v>8</v>
      </c>
      <c r="BB18" s="301">
        <f>(IF('Water Report'!$T$15&gt;0,'Water Report'!$T$15,0))</f>
        <v>7</v>
      </c>
      <c r="BC18" s="301">
        <f>(IF('Water Report'!$T$13&gt;0,'Water Report'!$T$13,0))</f>
        <v>21</v>
      </c>
      <c r="BD18" s="301">
        <f>(IF('Water Report'!$T$24&gt;0,'Water Report'!$T$24,0))</f>
        <v>133</v>
      </c>
      <c r="BE18" s="301">
        <f>(IF('Water Report'!$T$25&gt;0,'Water Report'!$T$25,0))</f>
        <v>114</v>
      </c>
      <c r="BF18" s="301">
        <f>(IF('Water Report'!$T$27&gt;0,'Water Report'!$T$27,0))</f>
        <v>82</v>
      </c>
      <c r="BG18" s="296">
        <f>(IF('Section Load'!AN21&gt;0,'Section Load'!AN21,0))</f>
        <v>734.2730000000447</v>
      </c>
      <c r="BH18" s="296">
        <f>(IF('Section Load'!AO21&gt;0,'Section Load'!AO21,0))</f>
        <v>307.90000000002328</v>
      </c>
      <c r="BI18" s="296">
        <f>(IF('Section Load'!AP21&gt;0,'Section Load'!AP21,0))</f>
        <v>0</v>
      </c>
      <c r="BJ18" s="296">
        <f>(IF('Section Load'!AQ21&gt;0,'Section Load'!AQ21,0))</f>
        <v>73.5</v>
      </c>
      <c r="BK18" s="296">
        <f>(IF('Section Load'!AR21&gt;0,'Section Load'!AR21,0))</f>
        <v>23.30000000000291</v>
      </c>
      <c r="BL18" s="296">
        <f>(IF('Section Load'!AS21&gt;0,'Section Load'!AS21,0))</f>
        <v>0</v>
      </c>
      <c r="BM18" s="296">
        <f>(IF('Section Load'!AT21&gt;0,'Section Load'!AT21,0))</f>
        <v>329.7730000000156</v>
      </c>
    </row>
    <row r="19" spans="1:65">
      <c r="A19" s="287" t="s">
        <v>268</v>
      </c>
      <c r="B19" s="288">
        <f t="shared" si="0"/>
        <v>18</v>
      </c>
      <c r="C19" s="288">
        <v>1</v>
      </c>
      <c r="D19" s="288">
        <v>2022</v>
      </c>
      <c r="E19" s="294">
        <f>(IF('Section Load'!F22&gt;0,'Section Load'!F22,0))</f>
        <v>2634.4799999999996</v>
      </c>
      <c r="F19" s="294">
        <f>(IF('Section Load'!G22&gt;0,'Section Load'!G22,0))</f>
        <v>1562.5499999999993</v>
      </c>
      <c r="G19" s="294">
        <f>(IF('Section Load'!H22&gt;0,'Section Load'!H22,0))</f>
        <v>1696.2999999999993</v>
      </c>
      <c r="H19" s="294">
        <f>(IF('Section Load'!I22&gt;0,'Section Load'!I22,0))</f>
        <v>2546.4900000000016</v>
      </c>
      <c r="I19" s="294">
        <f>(IF('Section Load'!J22&gt;0,'Section Load'!J22,0))</f>
        <v>3090.5200000000041</v>
      </c>
      <c r="J19" s="294">
        <f>(IF('Section Load'!K22&gt;0,'Section Load'!K22,0))</f>
        <v>2338</v>
      </c>
      <c r="K19" s="294">
        <f>(IF('Section Load'!L22&gt;0,'Section Load'!L22,0))</f>
        <v>921.40000000000146</v>
      </c>
      <c r="L19" s="294">
        <f>(IF('Section Load'!M22&gt;0,'Section Load'!M22,0))</f>
        <v>600.90000000000146</v>
      </c>
      <c r="M19" s="294">
        <f>(IF('Section Load'!N22&gt;0,'Section Load'!N22,0))</f>
        <v>60</v>
      </c>
      <c r="N19" s="294">
        <f>(IF('Section Load'!O22&gt;0,'Section Load'!O22,0))</f>
        <v>1</v>
      </c>
      <c r="O19" s="294">
        <f>(IF('Section Load'!P22&gt;0,'Section Load'!P22,0))</f>
        <v>0</v>
      </c>
      <c r="P19" s="294">
        <f>(IF('Section Load'!Q22&gt;0,'Section Load'!Q22,0))</f>
        <v>171.84999999999854</v>
      </c>
      <c r="Q19" s="294">
        <f>(IF('Section Load'!R22&gt;0,'Section Load'!R22,0))</f>
        <v>80.540000000000873</v>
      </c>
      <c r="R19" s="294">
        <f>(IF('Section Load'!S22&gt;0,'Section Load'!S22,0))</f>
        <v>14.849999999999454</v>
      </c>
      <c r="S19" s="294">
        <f>(IF('Section Load'!T22&gt;0,'Section Load'!T22,0))</f>
        <v>366</v>
      </c>
      <c r="T19" s="294">
        <f>(IF('Section Load'!U22&gt;0,'Section Load'!U22,0))</f>
        <v>220</v>
      </c>
      <c r="U19" s="294">
        <f>(IF('Section Load'!V22&gt;0,'Section Load'!V22,0))</f>
        <v>304.56000000005588</v>
      </c>
      <c r="V19" s="294">
        <f>(IF('Section Load'!W22&gt;0,'Section Load'!W22,0))</f>
        <v>155.43999999994412</v>
      </c>
      <c r="W19" s="294">
        <f>(IF('Section Load'!X22&gt;0,'Section Load'!X22,0))</f>
        <v>24.949999999999818</v>
      </c>
      <c r="X19" s="294">
        <f>(IF('Section Load'!Y22&gt;0,'Section Load'!Y22,0))</f>
        <v>131.88000000000011</v>
      </c>
      <c r="Y19" s="294">
        <f>(IF('Section Load'!Z22&gt;0,'Section Load'!Z22,0))</f>
        <v>254</v>
      </c>
      <c r="Z19" s="294">
        <f>(IF('Section Load'!AA22&gt;0,'Section Load'!AA22,0))</f>
        <v>7.5599999999976717</v>
      </c>
      <c r="AA19" s="294">
        <f>(IF('Section Load'!AB22&gt;0,'Section Load'!AB22,0))</f>
        <v>40.30000000000291</v>
      </c>
      <c r="AB19" s="294">
        <f>(IF('Section Load'!AC22&gt;0,'Section Load'!AC22,0))</f>
        <v>1.8699999999989814</v>
      </c>
      <c r="AC19" s="294">
        <f>(IF('Section Load'!AD22&gt;0,'Section Load'!AD22,0))</f>
        <v>71.900000000003274</v>
      </c>
      <c r="AD19" s="294">
        <f>(IF('Section Load'!AE22&gt;0,'Section Load'!AE22,0))</f>
        <v>0</v>
      </c>
      <c r="AE19" s="294">
        <f>(IF('Section Load'!AF22&gt;0,'Section Load'!AF22,0))</f>
        <v>23.140000000000327</v>
      </c>
      <c r="AF19" s="294">
        <f>(IF('Section Load'!AG22&gt;0,'Section Load'!AG22,0))</f>
        <v>351.48999999999069</v>
      </c>
      <c r="AG19" s="294">
        <f>(IF('Section Load'!AH22&gt;0,'Section Load'!AH22,0))</f>
        <v>441.04999999998836</v>
      </c>
      <c r="AH19" s="294">
        <f>(IF('Section Load'!AI22&gt;0,'Section Load'!AI22,0))</f>
        <v>434.66999999999825</v>
      </c>
      <c r="AI19" s="294">
        <f>(IF('Section Load'!AJ22&gt;0,'Section Load'!AJ22,0))</f>
        <v>651</v>
      </c>
      <c r="AJ19" s="294">
        <f>(IF('Section Load'!AK22&gt;0,'Section Load'!AK22,0))</f>
        <v>168.55999999999767</v>
      </c>
      <c r="AK19" s="294">
        <f>(IF('Section Load'!AL22&gt;0,'Section Load'!AL22,0))</f>
        <v>264.95999999999185</v>
      </c>
      <c r="AL19" s="294">
        <f>(IF('Section Load'!AM22&gt;0,'Section Load'!AM22,0))</f>
        <v>500.79999999998836</v>
      </c>
      <c r="AM19" s="295">
        <f>(IF('Water Report'!$U$7&gt;0,'Water Report'!$U$7,0))</f>
        <v>69</v>
      </c>
      <c r="AN19" s="295">
        <f>(IF('Water Report'!$U$8&gt;0,'Water Report'!$U$8,0))</f>
        <v>124</v>
      </c>
      <c r="AO19" s="295">
        <f>(IF('Water Report'!$U$9&gt;0,'Water Report'!$U$9,0))</f>
        <v>64</v>
      </c>
      <c r="AP19" s="295">
        <f>(IF('Water Report'!$U$10&gt;0,'Water Report'!$U$10,0))</f>
        <v>11</v>
      </c>
      <c r="AQ19" s="295">
        <f>(IF('Water Report'!$U$11&gt;0,'Water Report'!$U$11,0))</f>
        <v>22</v>
      </c>
      <c r="AR19" s="295">
        <f>(IF('Water Report'!$U$13&gt;0,'Water Report'!$U$13,0))</f>
        <v>55</v>
      </c>
      <c r="AS19" s="295">
        <f>(IF('Water Report'!$U$14&gt;0,'Water Report'!$U$14,0))</f>
        <v>12</v>
      </c>
      <c r="AT19" s="295">
        <f>(IF('Water Report'!$U$15&gt;0,'Water Report'!$U$15,0))</f>
        <v>4</v>
      </c>
      <c r="AU19" s="295">
        <f>(IF('Water Report'!$U$17&gt;0,'Water Report'!$U$17,0))</f>
        <v>0</v>
      </c>
      <c r="AV19" s="295">
        <f>(IF('Water Report'!$U$18&gt;0,'Water Report'!$U$18,0))</f>
        <v>13</v>
      </c>
      <c r="AW19" s="295">
        <f>(IF('Water Report'!$U$19&gt;0,'Water Report'!$U$19,0))</f>
        <v>10</v>
      </c>
      <c r="AX19" s="301">
        <f>(IF('Water Report'!$U$21&gt;0,'Water Report'!$U$21,0))</f>
        <v>64</v>
      </c>
      <c r="AY19" s="301">
        <f>(IF('Water Report'!$U$22&gt;0,'Water Report'!$U$22,0))</f>
        <v>54</v>
      </c>
      <c r="AZ19" s="301">
        <f>(IF('Water Report'!$U$23&gt;0,'Water Report'!$U$23,0))</f>
        <v>15</v>
      </c>
      <c r="BA19" s="301">
        <f>(IF('Water Report'!$U$14&gt;0,'Water Report'!$U$14,0))</f>
        <v>12</v>
      </c>
      <c r="BB19" s="301">
        <f>(IF('Water Report'!$U$15&gt;0,'Water Report'!$U$15,0))</f>
        <v>4</v>
      </c>
      <c r="BC19" s="301">
        <f>(IF('Water Report'!$U$13&gt;0,'Water Report'!$U$13,0))</f>
        <v>55</v>
      </c>
      <c r="BD19" s="301">
        <f>(IF('Water Report'!$U$24&gt;0,'Water Report'!$U$24,0))</f>
        <v>154</v>
      </c>
      <c r="BE19" s="301">
        <f>(IF('Water Report'!$U$25&gt;0,'Water Report'!$U$25,0))</f>
        <v>113</v>
      </c>
      <c r="BF19" s="301">
        <f>(IF('Water Report'!$U$27&gt;0,'Water Report'!$U$27,0))</f>
        <v>134</v>
      </c>
      <c r="BG19" s="296">
        <f>(IF('Section Load'!AN22&gt;0,'Section Load'!AN22,0))</f>
        <v>881.7269999999553</v>
      </c>
      <c r="BH19" s="296">
        <f>(IF('Section Load'!AO22&gt;0,'Section Load'!AO22,0))</f>
        <v>285.25</v>
      </c>
      <c r="BI19" s="296">
        <f>(IF('Section Load'!AP22&gt;0,'Section Load'!AP22,0))</f>
        <v>0</v>
      </c>
      <c r="BJ19" s="296">
        <f>(IF('Section Load'!AQ22&gt;0,'Section Load'!AQ22,0))</f>
        <v>80.5</v>
      </c>
      <c r="BK19" s="296">
        <f>(IF('Section Load'!AR22&gt;0,'Section Load'!AR22,0))</f>
        <v>22.69999999999709</v>
      </c>
      <c r="BL19" s="296">
        <f>(IF('Section Load'!AS22&gt;0,'Section Load'!AS22,0))</f>
        <v>1</v>
      </c>
      <c r="BM19" s="296">
        <f>(IF('Section Load'!AT22&gt;0,'Section Load'!AT22,0))</f>
        <v>492.27699999995821</v>
      </c>
    </row>
    <row r="20" spans="1:65">
      <c r="A20" s="287" t="s">
        <v>268</v>
      </c>
      <c r="B20" s="288">
        <f t="shared" si="0"/>
        <v>19</v>
      </c>
      <c r="C20" s="288">
        <v>1</v>
      </c>
      <c r="D20" s="288">
        <v>2022</v>
      </c>
      <c r="E20" s="294">
        <f>(IF('Section Load'!F23&gt;0,'Section Load'!F23,0))</f>
        <v>2941.6499999999996</v>
      </c>
      <c r="F20" s="294">
        <f>(IF('Section Load'!G23&gt;0,'Section Load'!G23,0))</f>
        <v>1596.17</v>
      </c>
      <c r="G20" s="294">
        <f>(IF('Section Load'!H23&gt;0,'Section Load'!H23,0))</f>
        <v>1623.5400000000009</v>
      </c>
      <c r="H20" s="294">
        <f>(IF('Section Load'!I23&gt;0,'Section Load'!I23,0))</f>
        <v>2646.0699999999997</v>
      </c>
      <c r="I20" s="294">
        <f>(IF('Section Load'!J23&gt;0,'Section Load'!J23,0))</f>
        <v>2846.1399999999994</v>
      </c>
      <c r="J20" s="294">
        <f>(IF('Section Load'!K23&gt;0,'Section Load'!K23,0))</f>
        <v>2372.3700000000099</v>
      </c>
      <c r="K20" s="294">
        <f>(IF('Section Load'!L23&gt;0,'Section Load'!L23,0))</f>
        <v>975.76000000000204</v>
      </c>
      <c r="L20" s="294">
        <f>(IF('Section Load'!M23&gt;0,'Section Load'!M23,0))</f>
        <v>661.59999999999854</v>
      </c>
      <c r="M20" s="294">
        <f>(IF('Section Load'!N23&gt;0,'Section Load'!N23,0))</f>
        <v>59</v>
      </c>
      <c r="N20" s="294">
        <f>(IF('Section Load'!O23&gt;0,'Section Load'!O23,0))</f>
        <v>0</v>
      </c>
      <c r="O20" s="294">
        <f>(IF('Section Load'!P23&gt;0,'Section Load'!P23,0))</f>
        <v>0</v>
      </c>
      <c r="P20" s="294">
        <f>(IF('Section Load'!Q23&gt;0,'Section Load'!Q23,0))</f>
        <v>171.04999999999563</v>
      </c>
      <c r="Q20" s="294">
        <f>(IF('Section Load'!R23&gt;0,'Section Load'!R23,0))</f>
        <v>66.610000000000582</v>
      </c>
      <c r="R20" s="294">
        <f>(IF('Section Load'!S23&gt;0,'Section Load'!S23,0))</f>
        <v>16.210000000000036</v>
      </c>
      <c r="S20" s="294">
        <f>(IF('Section Load'!T23&gt;0,'Section Load'!T23,0))</f>
        <v>407</v>
      </c>
      <c r="T20" s="294">
        <f>(IF('Section Load'!U23&gt;0,'Section Load'!U23,0))</f>
        <v>220</v>
      </c>
      <c r="U20" s="294">
        <f>(IF('Section Load'!V23&gt;0,'Section Load'!V23,0))</f>
        <v>351.07999999995809</v>
      </c>
      <c r="V20" s="294">
        <f>(IF('Section Load'!W23&gt;0,'Section Load'!W23,0))</f>
        <v>166.08000000007451</v>
      </c>
      <c r="W20" s="294">
        <f>(IF('Section Load'!X23&gt;0,'Section Load'!X23,0))</f>
        <v>24.059999999999945</v>
      </c>
      <c r="X20" s="294">
        <f>(IF('Section Load'!Y23&gt;0,'Section Load'!Y23,0))</f>
        <v>161.78999999999996</v>
      </c>
      <c r="Y20" s="294">
        <f>(IF('Section Load'!Z23&gt;0,'Section Load'!Z23,0))</f>
        <v>190</v>
      </c>
      <c r="Z20" s="294">
        <f>(IF('Section Load'!AA23&gt;0,'Section Load'!AA23,0))</f>
        <v>7.2000000000116415</v>
      </c>
      <c r="AA20" s="294">
        <f>(IF('Section Load'!AB23&gt;0,'Section Load'!AB23,0))</f>
        <v>42.099999999991269</v>
      </c>
      <c r="AB20" s="294">
        <f>(IF('Section Load'!AC23&gt;0,'Section Load'!AC23,0))</f>
        <v>0.20999999999912689</v>
      </c>
      <c r="AC20" s="294">
        <f>(IF('Section Load'!AD23&gt;0,'Section Load'!AD23,0))</f>
        <v>68.80000000000291</v>
      </c>
      <c r="AD20" s="294">
        <f>(IF('Section Load'!AE23&gt;0,'Section Load'!AE23,0))</f>
        <v>0</v>
      </c>
      <c r="AE20" s="294">
        <f>(IF('Section Load'!AF23&gt;0,'Section Load'!AF23,0))</f>
        <v>23.339999999999691</v>
      </c>
      <c r="AF20" s="294">
        <f>(IF('Section Load'!AG23&gt;0,'Section Load'!AG23,0))</f>
        <v>365.60000000000582</v>
      </c>
      <c r="AG20" s="294">
        <f>(IF('Section Load'!AH23&gt;0,'Section Load'!AH23,0))</f>
        <v>443.40000000002328</v>
      </c>
      <c r="AH20" s="294">
        <f>(IF('Section Load'!AI23&gt;0,'Section Load'!AI23,0))</f>
        <v>407.05999999999767</v>
      </c>
      <c r="AI20" s="294">
        <f>(IF('Section Load'!AJ23&gt;0,'Section Load'!AJ23,0))</f>
        <v>665.42999999999302</v>
      </c>
      <c r="AJ20" s="294">
        <f>(IF('Section Load'!AK23&gt;0,'Section Load'!AK23,0))</f>
        <v>173.49000000000524</v>
      </c>
      <c r="AK20" s="294">
        <f>(IF('Section Load'!AL23&gt;0,'Section Load'!AL23,0))</f>
        <v>278.76000000000931</v>
      </c>
      <c r="AL20" s="294">
        <f>(IF('Section Load'!AM23&gt;0,'Section Load'!AM23,0))</f>
        <v>668.02999999999884</v>
      </c>
      <c r="AM20" s="295">
        <f>(IF('Water Report'!$V$7&gt;0,'Water Report'!$V$7,0))</f>
        <v>60</v>
      </c>
      <c r="AN20" s="295">
        <f>(IF('Water Report'!$V$8&gt;0,'Water Report'!$V$8,0))</f>
        <v>93</v>
      </c>
      <c r="AO20" s="295">
        <f>(IF('Water Report'!$V$9&gt;0,'Water Report'!$V$9,0))</f>
        <v>63</v>
      </c>
      <c r="AP20" s="295">
        <f>(IF('Water Report'!$V$10&gt;0,'Water Report'!$V$10,0))</f>
        <v>15</v>
      </c>
      <c r="AQ20" s="295">
        <f>(IF('Water Report'!$V$11&gt;0,'Water Report'!$V$11,0))</f>
        <v>23</v>
      </c>
      <c r="AR20" s="295">
        <f>(IF('Water Report'!$V$13&gt;0,'Water Report'!$V$13,0))</f>
        <v>30</v>
      </c>
      <c r="AS20" s="295">
        <f>(IF('Water Report'!$V$14&gt;0,'Water Report'!$V$14,0))</f>
        <v>8</v>
      </c>
      <c r="AT20" s="295">
        <f>(IF('Water Report'!$V$15&gt;0,'Water Report'!$V$15,0))</f>
        <v>6.1000000000003638</v>
      </c>
      <c r="AU20" s="295">
        <f>(IF('Water Report'!$V$17&gt;0,'Water Report'!$V$17,0))</f>
        <v>0</v>
      </c>
      <c r="AV20" s="295">
        <f>(IF('Water Report'!$V$18&gt;0,'Water Report'!$V$18,0))</f>
        <v>9</v>
      </c>
      <c r="AW20" s="295">
        <f>(IF('Water Report'!$V$19&gt;0,'Water Report'!$V$19,0))</f>
        <v>9</v>
      </c>
      <c r="AX20" s="301">
        <f>(IF('Water Report'!$V$21&gt;0,'Water Report'!$V$21,0))</f>
        <v>35</v>
      </c>
      <c r="AY20" s="301">
        <f>(IF('Water Report'!$V$22&gt;0,'Water Report'!$V$22,0))</f>
        <v>4</v>
      </c>
      <c r="AZ20" s="301">
        <f>(IF('Water Report'!$V$23&gt;0,'Water Report'!$V$23,0))</f>
        <v>0</v>
      </c>
      <c r="BA20" s="301">
        <f>(IF('Water Report'!$V$14&gt;0,'Water Report'!$V$14,0))</f>
        <v>8</v>
      </c>
      <c r="BB20" s="301">
        <f>(IF('Water Report'!$V$15&gt;0,'Water Report'!$V$15,0))</f>
        <v>6.1000000000003638</v>
      </c>
      <c r="BC20" s="301">
        <f>(IF('Water Report'!$V$13&gt;0,'Water Report'!$V$13,0))</f>
        <v>30</v>
      </c>
      <c r="BD20" s="301">
        <f>(IF('Water Report'!$V$24&gt;0,'Water Report'!$V$24,0))</f>
        <v>157</v>
      </c>
      <c r="BE20" s="301">
        <f>(IF('Water Report'!$V$25&gt;0,'Water Report'!$V$25,0))</f>
        <v>115.10000000000036</v>
      </c>
      <c r="BF20" s="301">
        <f>(IF('Water Report'!$V$27&gt;0,'Water Report'!$V$27,0))</f>
        <v>65</v>
      </c>
      <c r="BG20" s="296">
        <f>(IF('Section Load'!AN23&gt;0,'Section Load'!AN23,0))</f>
        <v>834.30000000004657</v>
      </c>
      <c r="BH20" s="296">
        <f>(IF('Section Load'!AO23&gt;0,'Section Load'!AO23,0))</f>
        <v>306.34999999997672</v>
      </c>
      <c r="BI20" s="296">
        <f>(IF('Section Load'!AP23&gt;0,'Section Load'!AP23,0))</f>
        <v>0</v>
      </c>
      <c r="BJ20" s="296">
        <f>(IF('Section Load'!AQ23&gt;0,'Section Load'!AQ23,0))</f>
        <v>83.899999999994179</v>
      </c>
      <c r="BK20" s="296">
        <f>(IF('Section Load'!AR23&gt;0,'Section Load'!AR23,0))</f>
        <v>27.099999999998545</v>
      </c>
      <c r="BL20" s="296">
        <f>(IF('Section Load'!AS23&gt;0,'Section Load'!AS23,0))</f>
        <v>1.2999999999992724</v>
      </c>
      <c r="BM20" s="296">
        <f>(IF('Section Load'!AT23&gt;0,'Section Load'!AT23,0))</f>
        <v>415.65000000007785</v>
      </c>
    </row>
    <row r="21" spans="1:65">
      <c r="A21" s="287" t="s">
        <v>268</v>
      </c>
      <c r="B21" s="288">
        <f t="shared" si="0"/>
        <v>20</v>
      </c>
      <c r="C21" s="288">
        <v>1</v>
      </c>
      <c r="D21" s="288">
        <v>2022</v>
      </c>
      <c r="E21" s="294">
        <f>(IF('Section Load'!F24&gt;0,'Section Load'!F24,0))</f>
        <v>2570.5700000000015</v>
      </c>
      <c r="F21" s="294">
        <f>(IF('Section Load'!G24&gt;0,'Section Load'!G24,0))</f>
        <v>1537.7799999999988</v>
      </c>
      <c r="G21" s="294">
        <f>(IF('Section Load'!H24&gt;0,'Section Load'!H24,0))</f>
        <v>1612.8499999999985</v>
      </c>
      <c r="H21" s="294">
        <f>(IF('Section Load'!I24&gt;0,'Section Load'!I24,0))</f>
        <v>2507.0499999999993</v>
      </c>
      <c r="I21" s="294">
        <f>(IF('Section Load'!J24&gt;0,'Section Load'!J24,0))</f>
        <v>2588.6399999999994</v>
      </c>
      <c r="J21" s="294">
        <f>(IF('Section Load'!K24&gt;0,'Section Load'!K24,0))</f>
        <v>2313.4700000000012</v>
      </c>
      <c r="K21" s="294">
        <f>(IF('Section Load'!L24&gt;0,'Section Load'!L24,0))</f>
        <v>914.65999999999622</v>
      </c>
      <c r="L21" s="294">
        <f>(IF('Section Load'!M24&gt;0,'Section Load'!M24,0))</f>
        <v>594.86000000000058</v>
      </c>
      <c r="M21" s="294">
        <f>(IF('Section Load'!N24&gt;0,'Section Load'!N24,0))</f>
        <v>57</v>
      </c>
      <c r="N21" s="294">
        <f>(IF('Section Load'!O24&gt;0,'Section Load'!O24,0))</f>
        <v>1</v>
      </c>
      <c r="O21" s="294">
        <f>(IF('Section Load'!P24&gt;0,'Section Load'!P24,0))</f>
        <v>19</v>
      </c>
      <c r="P21" s="294">
        <f>(IF('Section Load'!Q24&gt;0,'Section Load'!Q24,0))</f>
        <v>163.31999999999971</v>
      </c>
      <c r="Q21" s="294">
        <f>(IF('Section Load'!R24&gt;0,'Section Load'!R24,0))</f>
        <v>74.889999999999418</v>
      </c>
      <c r="R21" s="294">
        <f>(IF('Section Load'!S24&gt;0,'Section Load'!S24,0))</f>
        <v>14.880000000000109</v>
      </c>
      <c r="S21" s="294">
        <f>(IF('Section Load'!T24&gt;0,'Section Load'!T24,0))</f>
        <v>346</v>
      </c>
      <c r="T21" s="294">
        <f>(IF('Section Load'!U24&gt;0,'Section Load'!U24,0))</f>
        <v>226</v>
      </c>
      <c r="U21" s="294">
        <f>(IF('Section Load'!V24&gt;0,'Section Load'!V24,0))</f>
        <v>347.35999999998603</v>
      </c>
      <c r="V21" s="294">
        <f>(IF('Section Load'!W24&gt;0,'Section Load'!W24,0))</f>
        <v>160.47999999998137</v>
      </c>
      <c r="W21" s="294">
        <f>(IF('Section Load'!X24&gt;0,'Section Load'!X24,0))</f>
        <v>26.25</v>
      </c>
      <c r="X21" s="294">
        <f>(IF('Section Load'!Y24&gt;0,'Section Load'!Y24,0))</f>
        <v>256.7199999999998</v>
      </c>
      <c r="Y21" s="294">
        <f>(IF('Section Load'!Z24&gt;0,'Section Load'!Z24,0))</f>
        <v>212</v>
      </c>
      <c r="Z21" s="294">
        <f>(IF('Section Load'!AA24&gt;0,'Section Load'!AA24,0))</f>
        <v>6.4799999999813735</v>
      </c>
      <c r="AA21" s="294">
        <f>(IF('Section Load'!AB24&gt;0,'Section Load'!AB24,0))</f>
        <v>36.100000000005821</v>
      </c>
      <c r="AB21" s="294">
        <f>(IF('Section Load'!AC24&gt;0,'Section Load'!AC24,0))</f>
        <v>0</v>
      </c>
      <c r="AC21" s="294">
        <f>(IF('Section Load'!AD24&gt;0,'Section Load'!AD24,0))</f>
        <v>53.30000000000291</v>
      </c>
      <c r="AD21" s="294">
        <f>(IF('Section Load'!AE24&gt;0,'Section Load'!AE24,0))</f>
        <v>0</v>
      </c>
      <c r="AE21" s="294">
        <f>(IF('Section Load'!AF24&gt;0,'Section Load'!AF24,0))</f>
        <v>22.680000000000291</v>
      </c>
      <c r="AF21" s="294">
        <f>(IF('Section Load'!AG24&gt;0,'Section Load'!AG24,0))</f>
        <v>343.23999999999069</v>
      </c>
      <c r="AG21" s="294">
        <f>(IF('Section Load'!AH24&gt;0,'Section Load'!AH24,0))</f>
        <v>432.47999999998137</v>
      </c>
      <c r="AH21" s="294">
        <f>(IF('Section Load'!AI24&gt;0,'Section Load'!AI24,0))</f>
        <v>402.74000000000524</v>
      </c>
      <c r="AI21" s="294">
        <f>(IF('Section Load'!AJ24&gt;0,'Section Load'!AJ24,0))</f>
        <v>607.0800000000163</v>
      </c>
      <c r="AJ21" s="294">
        <f>(IF('Section Load'!AK24&gt;0,'Section Load'!AK24,0))</f>
        <v>154.1299999999901</v>
      </c>
      <c r="AK21" s="294">
        <f>(IF('Section Load'!AL24&gt;0,'Section Load'!AL24,0))</f>
        <v>273.07000000000698</v>
      </c>
      <c r="AL21" s="294">
        <f>(IF('Section Load'!AM24&gt;0,'Section Load'!AM24,0))</f>
        <v>655.39000000001397</v>
      </c>
      <c r="AM21" s="295">
        <f>(IF('Water Report'!$W$7&gt;0,'Water Report'!$W$7,0))</f>
        <v>69</v>
      </c>
      <c r="AN21" s="295">
        <f>(IF('Water Report'!$W$8&gt;0,'Water Report'!$W$8,0))</f>
        <v>105</v>
      </c>
      <c r="AO21" s="295">
        <f>(IF('Water Report'!$W$9&gt;0,'Water Report'!$W$9,0))</f>
        <v>72</v>
      </c>
      <c r="AP21" s="295">
        <f>(IF('Water Report'!$W$10&gt;0,'Water Report'!$W$10,0))</f>
        <v>10</v>
      </c>
      <c r="AQ21" s="295">
        <f>(IF('Water Report'!$W$11&gt;0,'Water Report'!$W$11,0))</f>
        <v>23</v>
      </c>
      <c r="AR21" s="295">
        <f>(IF('Water Report'!$W$13&gt;0,'Water Report'!$W$13,0))</f>
        <v>50</v>
      </c>
      <c r="AS21" s="295">
        <f>(IF('Water Report'!$W$14&gt;0,'Water Report'!$W$14,0))</f>
        <v>14</v>
      </c>
      <c r="AT21" s="295">
        <f>(IF('Water Report'!$W$15&gt;0,'Water Report'!$W$15,0))</f>
        <v>4.8999999999996362</v>
      </c>
      <c r="AU21" s="295">
        <f>(IF('Water Report'!$W$17&gt;0,'Water Report'!$W$17,0))</f>
        <v>0</v>
      </c>
      <c r="AV21" s="295">
        <f>(IF('Water Report'!$W$18&gt;0,'Water Report'!$W$18,0))</f>
        <v>12</v>
      </c>
      <c r="AW21" s="295">
        <f>(IF('Water Report'!$W$19&gt;0,'Water Report'!$W$19,0))</f>
        <v>12</v>
      </c>
      <c r="AX21" s="301">
        <f>(IF('Water Report'!$W$21&gt;0,'Water Report'!$W$21,0))</f>
        <v>41</v>
      </c>
      <c r="AY21" s="301">
        <f>(IF('Water Report'!$W$22&gt;0,'Water Report'!$W$22,0))</f>
        <v>0</v>
      </c>
      <c r="AZ21" s="301">
        <f>(IF('Water Report'!$W$23&gt;0,'Water Report'!$W$23,0))</f>
        <v>12</v>
      </c>
      <c r="BA21" s="301">
        <f>(IF('Water Report'!$W$14&gt;0,'Water Report'!$W$14,0))</f>
        <v>14</v>
      </c>
      <c r="BB21" s="301">
        <f>(IF('Water Report'!$W$15&gt;0,'Water Report'!$W$15,0))</f>
        <v>4.8999999999996362</v>
      </c>
      <c r="BC21" s="301">
        <f>(IF('Water Report'!$W$13&gt;0,'Water Report'!$W$13,0))</f>
        <v>50</v>
      </c>
      <c r="BD21" s="301">
        <f>(IF('Water Report'!$W$24&gt;0,'Water Report'!$W$24,0))</f>
        <v>216</v>
      </c>
      <c r="BE21" s="301">
        <f>(IF('Water Report'!$W$25&gt;0,'Water Report'!$W$25,0))</f>
        <v>123.89999999999964</v>
      </c>
      <c r="BF21" s="301">
        <f>(IF('Water Report'!$W$27&gt;0,'Water Report'!$W$27,0))</f>
        <v>103</v>
      </c>
      <c r="BG21" s="296">
        <f>(IF('Section Load'!AN24&gt;0,'Section Load'!AN24,0))</f>
        <v>986.94999999995343</v>
      </c>
      <c r="BH21" s="296">
        <f>(IF('Section Load'!AO24&gt;0,'Section Load'!AO24,0))</f>
        <v>295.15000000002328</v>
      </c>
      <c r="BI21" s="296">
        <f>(IF('Section Load'!AP24&gt;0,'Section Load'!AP24,0))</f>
        <v>0</v>
      </c>
      <c r="BJ21" s="296">
        <f>(IF('Section Load'!AQ24&gt;0,'Section Load'!AQ24,0))</f>
        <v>83.64000000001397</v>
      </c>
      <c r="BK21" s="296">
        <f>(IF('Section Load'!AR24&gt;0,'Section Load'!AR24,0))</f>
        <v>25.599999999998545</v>
      </c>
      <c r="BL21" s="296">
        <f>(IF('Section Load'!AS24&gt;0,'Section Load'!AS24,0))</f>
        <v>0.6000000000003638</v>
      </c>
      <c r="BM21" s="296">
        <f>(IF('Section Load'!AT24&gt;0,'Section Load'!AT24,0))</f>
        <v>581.95999999991727</v>
      </c>
    </row>
    <row r="22" spans="1:65">
      <c r="A22" s="287" t="s">
        <v>268</v>
      </c>
      <c r="B22" s="288">
        <f t="shared" si="0"/>
        <v>21</v>
      </c>
      <c r="C22" s="288">
        <v>1</v>
      </c>
      <c r="D22" s="288">
        <v>2022</v>
      </c>
      <c r="E22" s="294">
        <f>(IF('Section Load'!F25&gt;0,'Section Load'!F25,0))</f>
        <v>2555.7699999999968</v>
      </c>
      <c r="F22" s="294">
        <f>(IF('Section Load'!G25&gt;0,'Section Load'!G25,0))</f>
        <v>1565.5</v>
      </c>
      <c r="G22" s="294">
        <f>(IF('Section Load'!H25&gt;0,'Section Load'!H25,0))</f>
        <v>1671.4500000000007</v>
      </c>
      <c r="H22" s="294">
        <f>(IF('Section Load'!I25&gt;0,'Section Load'!I25,0))</f>
        <v>2598.239999999998</v>
      </c>
      <c r="I22" s="294">
        <f>(IF('Section Load'!J25&gt;0,'Section Load'!J25,0))</f>
        <v>2838.3999999999942</v>
      </c>
      <c r="J22" s="294">
        <f>(IF('Section Load'!K25&gt;0,'Section Load'!K25,0))</f>
        <v>2339.9399999999878</v>
      </c>
      <c r="K22" s="294">
        <f>(IF('Section Load'!L25&gt;0,'Section Load'!L25,0))</f>
        <v>1160.0500000000029</v>
      </c>
      <c r="L22" s="294">
        <f>(IF('Section Load'!M25&gt;0,'Section Load'!M25,0))</f>
        <v>661.91000000000349</v>
      </c>
      <c r="M22" s="294">
        <f>(IF('Section Load'!N25&gt;0,'Section Load'!N25,0))</f>
        <v>68</v>
      </c>
      <c r="N22" s="294">
        <f>(IF('Section Load'!O25&gt;0,'Section Load'!O25,0))</f>
        <v>2</v>
      </c>
      <c r="O22" s="294">
        <f>(IF('Section Load'!P25&gt;0,'Section Load'!P25,0))</f>
        <v>1.5</v>
      </c>
      <c r="P22" s="294">
        <f>(IF('Section Load'!Q25&gt;0,'Section Load'!Q25,0))</f>
        <v>183.9600000000064</v>
      </c>
      <c r="Q22" s="294">
        <f>(IF('Section Load'!R25&gt;0,'Section Load'!R25,0))</f>
        <v>82.779999999998836</v>
      </c>
      <c r="R22" s="294">
        <f>(IF('Section Load'!S25&gt;0,'Section Load'!S25,0))</f>
        <v>15.119999999999891</v>
      </c>
      <c r="S22" s="294">
        <f>(IF('Section Load'!T25&gt;0,'Section Load'!T25,0))</f>
        <v>369</v>
      </c>
      <c r="T22" s="294">
        <f>(IF('Section Load'!U25&gt;0,'Section Load'!U25,0))</f>
        <v>227</v>
      </c>
      <c r="U22" s="294">
        <f>(IF('Section Load'!V25&gt;0,'Section Load'!V25,0))</f>
        <v>376.11999999999534</v>
      </c>
      <c r="V22" s="294">
        <f>(IF('Section Load'!W25&gt;0,'Section Load'!W25,0))</f>
        <v>154.88000000000466</v>
      </c>
      <c r="W22" s="294">
        <f>(IF('Section Load'!X25&gt;0,'Section Load'!X25,0))</f>
        <v>23.769999999999982</v>
      </c>
      <c r="X22" s="294">
        <f>(IF('Section Load'!Y25&gt;0,'Section Load'!Y25,0))</f>
        <v>234.19000000000005</v>
      </c>
      <c r="Y22" s="294">
        <f>(IF('Section Load'!Z25&gt;0,'Section Load'!Z25,0))</f>
        <v>226</v>
      </c>
      <c r="Z22" s="294">
        <f>(IF('Section Load'!AA25&gt;0,'Section Load'!AA25,0))</f>
        <v>101.76000000000931</v>
      </c>
      <c r="AA22" s="294">
        <f>(IF('Section Load'!AB25&gt;0,'Section Load'!AB25,0))</f>
        <v>41.80000000000291</v>
      </c>
      <c r="AB22" s="294">
        <f>(IF('Section Load'!AC25&gt;0,'Section Load'!AC25,0))</f>
        <v>0</v>
      </c>
      <c r="AC22" s="294">
        <f>(IF('Section Load'!AD25&gt;0,'Section Load'!AD25,0))</f>
        <v>54.100000000000364</v>
      </c>
      <c r="AD22" s="294">
        <f>(IF('Section Load'!AE25&gt;0,'Section Load'!AE25,0))</f>
        <v>0</v>
      </c>
      <c r="AE22" s="294">
        <f>(IF('Section Load'!AF25&gt;0,'Section Load'!AF25,0))</f>
        <v>23.139999999999873</v>
      </c>
      <c r="AF22" s="294">
        <f>(IF('Section Load'!AG25&gt;0,'Section Load'!AG25,0))</f>
        <v>333.44000000000233</v>
      </c>
      <c r="AG22" s="294">
        <f>(IF('Section Load'!AH25&gt;0,'Section Load'!AH25,0))</f>
        <v>440.86000000001513</v>
      </c>
      <c r="AH22" s="294">
        <f>(IF('Section Load'!AI25&gt;0,'Section Load'!AI25,0))</f>
        <v>411.36000000000058</v>
      </c>
      <c r="AI22" s="294">
        <f>(IF('Section Load'!AJ25&gt;0,'Section Load'!AJ25,0))</f>
        <v>673.20000000001164</v>
      </c>
      <c r="AJ22" s="294">
        <f>(IF('Section Load'!AK25&gt;0,'Section Load'!AK25,0))</f>
        <v>203.35000000000582</v>
      </c>
      <c r="AK22" s="294">
        <f>(IF('Section Load'!AL25&gt;0,'Section Load'!AL25,0))</f>
        <v>265.57999999998719</v>
      </c>
      <c r="AL22" s="294">
        <f>(IF('Section Load'!AM25&gt;0,'Section Load'!AM25,0))</f>
        <v>655.83999999999651</v>
      </c>
      <c r="AM22" s="295">
        <f>(IF('Water Report'!$X$7&gt;0,'Water Report'!$X$7,0))</f>
        <v>60</v>
      </c>
      <c r="AN22" s="295">
        <f>(IF('Water Report'!$X$8&gt;0,'Water Report'!$X$8,0))</f>
        <v>96</v>
      </c>
      <c r="AO22" s="295">
        <f>(IF('Water Report'!$X$9&gt;0,'Water Report'!$X$9,0))</f>
        <v>72</v>
      </c>
      <c r="AP22" s="295">
        <f>(IF('Water Report'!$X$10&gt;0,'Water Report'!$X$10,0))</f>
        <v>12</v>
      </c>
      <c r="AQ22" s="295">
        <f>(IF('Water Report'!$X$11&gt;0,'Water Report'!$X$11,0))</f>
        <v>20</v>
      </c>
      <c r="AR22" s="295">
        <f>(IF('Water Report'!$X$13&gt;0,'Water Report'!$X$13,0))</f>
        <v>34</v>
      </c>
      <c r="AS22" s="295">
        <f>(IF('Water Report'!$X$14&gt;0,'Water Report'!$X$14,0))</f>
        <v>8</v>
      </c>
      <c r="AT22" s="295">
        <f>(IF('Water Report'!$X$15&gt;0,'Water Report'!$X$15,0))</f>
        <v>4</v>
      </c>
      <c r="AU22" s="295">
        <f>(IF('Water Report'!$X$17&gt;0,'Water Report'!$X$17,0))</f>
        <v>0</v>
      </c>
      <c r="AV22" s="295">
        <f>(IF('Water Report'!$X$18&gt;0,'Water Report'!$X$18,0))</f>
        <v>11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20</v>
      </c>
      <c r="AZ22" s="301">
        <f>(IF('Water Report'!$X$23&gt;0,'Water Report'!$X$23,0))</f>
        <v>14</v>
      </c>
      <c r="BA22" s="301">
        <f>(IF('Water Report'!$X$14&gt;0,'Water Report'!$X$14,0))</f>
        <v>8</v>
      </c>
      <c r="BB22" s="301">
        <f>(IF('Water Report'!$X$15&gt;0,'Water Report'!$X$15,0))</f>
        <v>4</v>
      </c>
      <c r="BC22" s="301">
        <f>(IF('Water Report'!$X$13&gt;0,'Water Report'!$X$13,0))</f>
        <v>34</v>
      </c>
      <c r="BD22" s="301">
        <f>(IF('Water Report'!$X$24&gt;0,'Water Report'!$X$24,0))</f>
        <v>167</v>
      </c>
      <c r="BE22" s="301">
        <f>(IF('Water Report'!$X$25&gt;0,'Water Report'!$X$25,0))</f>
        <v>116</v>
      </c>
      <c r="BF22" s="301">
        <f>(IF('Water Report'!$X$27&gt;0,'Water Report'!$X$27,0))</f>
        <v>109</v>
      </c>
      <c r="BG22" s="296">
        <f>(IF('Section Load'!AN25&gt;0,'Section Load'!AN25,0))</f>
        <v>1017.3400000000838</v>
      </c>
      <c r="BH22" s="296">
        <f>(IF('Section Load'!AO25&gt;0,'Section Load'!AO25,0))</f>
        <v>294.76000000000931</v>
      </c>
      <c r="BI22" s="296">
        <f>(IF('Section Load'!AP25&gt;0,'Section Load'!AP25,0))</f>
        <v>0</v>
      </c>
      <c r="BJ22" s="296">
        <f>(IF('Section Load'!AQ25&gt;0,'Section Load'!AQ25,0))</f>
        <v>104.77999999999884</v>
      </c>
      <c r="BK22" s="296">
        <f>(IF('Section Load'!AR25&gt;0,'Section Load'!AR25,0))</f>
        <v>50.30000000000291</v>
      </c>
      <c r="BL22" s="296">
        <f>(IF('Section Load'!AS25&gt;0,'Section Load'!AS25,0))</f>
        <v>1.1000000000003638</v>
      </c>
      <c r="BM22" s="296">
        <f>(IF('Section Load'!AT25&gt;0,'Section Load'!AT25,0))</f>
        <v>566.4000000000724</v>
      </c>
    </row>
    <row r="23" spans="1:65">
      <c r="A23" s="287" t="s">
        <v>268</v>
      </c>
      <c r="B23" s="288">
        <f t="shared" si="0"/>
        <v>22</v>
      </c>
      <c r="C23" s="288">
        <v>1</v>
      </c>
      <c r="D23" s="288">
        <v>2022</v>
      </c>
      <c r="E23" s="294">
        <f>(IF('Section Load'!F26&gt;0,'Section Load'!F26,0))</f>
        <v>2596.6300000000028</v>
      </c>
      <c r="F23" s="294">
        <f>(IF('Section Load'!G26&gt;0,'Section Load'!G26,0))</f>
        <v>1587.0900000000001</v>
      </c>
      <c r="G23" s="294">
        <f>(IF('Section Load'!H26&gt;0,'Section Load'!H26,0))</f>
        <v>1787.2400000000016</v>
      </c>
      <c r="H23" s="294">
        <f>(IF('Section Load'!I26&gt;0,'Section Load'!I26,0))</f>
        <v>2648.7000000000044</v>
      </c>
      <c r="I23" s="294">
        <f>(IF('Section Load'!J26&gt;0,'Section Load'!J26,0))</f>
        <v>3073.5800000000017</v>
      </c>
      <c r="J23" s="294">
        <f>(IF('Section Load'!K26&gt;0,'Section Load'!K26,0))</f>
        <v>2333.4200000000128</v>
      </c>
      <c r="K23" s="294">
        <f>(IF('Section Load'!L26&gt;0,'Section Load'!L26,0))</f>
        <v>1510.6999999999971</v>
      </c>
      <c r="L23" s="294">
        <f>(IF('Section Load'!M26&gt;0,'Section Load'!M26,0))</f>
        <v>834.2899999999936</v>
      </c>
      <c r="M23" s="294">
        <f>(IF('Section Load'!N26&gt;0,'Section Load'!N26,0))</f>
        <v>107</v>
      </c>
      <c r="N23" s="294">
        <f>(IF('Section Load'!O26&gt;0,'Section Load'!O26,0))</f>
        <v>9</v>
      </c>
      <c r="O23" s="294">
        <f>(IF('Section Load'!P26&gt;0,'Section Load'!P26,0))</f>
        <v>1.5299999999988358</v>
      </c>
      <c r="P23" s="294">
        <f>(IF('Section Load'!Q26&gt;0,'Section Load'!Q26,0))</f>
        <v>192.63999999999942</v>
      </c>
      <c r="Q23" s="294">
        <f>(IF('Section Load'!R26&gt;0,'Section Load'!R26,0))</f>
        <v>79.819999999999709</v>
      </c>
      <c r="R23" s="294">
        <f>(IF('Section Load'!S26&gt;0,'Section Load'!S26,0))</f>
        <v>14.800000000000182</v>
      </c>
      <c r="S23" s="294">
        <f>(IF('Section Load'!T26&gt;0,'Section Load'!T26,0))</f>
        <v>446</v>
      </c>
      <c r="T23" s="294">
        <f>(IF('Section Load'!U26&gt;0,'Section Load'!U26,0))</f>
        <v>229</v>
      </c>
      <c r="U23" s="294">
        <f>(IF('Section Load'!V26&gt;0,'Section Load'!V26,0))</f>
        <v>492</v>
      </c>
      <c r="V23" s="294">
        <f>(IF('Section Load'!W26&gt;0,'Section Load'!W26,0))</f>
        <v>202.55999999993946</v>
      </c>
      <c r="W23" s="294">
        <f>(IF('Section Load'!X26&gt;0,'Section Load'!X26,0))</f>
        <v>27.960000000000036</v>
      </c>
      <c r="X23" s="294">
        <f>(IF('Section Load'!Y26&gt;0,'Section Load'!Y26,0))</f>
        <v>243.45000000000027</v>
      </c>
      <c r="Y23" s="294">
        <f>(IF('Section Load'!Z26&gt;0,'Section Load'!Z26,0))</f>
        <v>219</v>
      </c>
      <c r="Z23" s="294">
        <f>(IF('Section Load'!AA26&gt;0,'Section Load'!AA26,0))</f>
        <v>218</v>
      </c>
      <c r="AA23" s="294">
        <f>(IF('Section Load'!AB26&gt;0,'Section Load'!AB26,0))</f>
        <v>29.30000000000291</v>
      </c>
      <c r="AB23" s="294">
        <f>(IF('Section Load'!AC26&gt;0,'Section Load'!AC26,0))</f>
        <v>0</v>
      </c>
      <c r="AC23" s="294">
        <f>(IF('Section Load'!AD26&gt;0,'Section Load'!AD26,0))</f>
        <v>37.599999999996726</v>
      </c>
      <c r="AD23" s="294">
        <f>(IF('Section Load'!AE26&gt;0,'Section Load'!AE26,0))</f>
        <v>0</v>
      </c>
      <c r="AE23" s="294">
        <f>(IF('Section Load'!AF26&gt;0,'Section Load'!AF26,0))</f>
        <v>23.110000000000127</v>
      </c>
      <c r="AF23" s="294">
        <f>(IF('Section Load'!AG26&gt;0,'Section Load'!AG26,0))</f>
        <v>312.96000000002095</v>
      </c>
      <c r="AG23" s="294">
        <f>(IF('Section Load'!AH26&gt;0,'Section Load'!AH26,0))</f>
        <v>408.85999999998603</v>
      </c>
      <c r="AH23" s="294">
        <f>(IF('Section Load'!AI26&gt;0,'Section Load'!AI26,0))</f>
        <v>424.18000000000029</v>
      </c>
      <c r="AI23" s="294">
        <f>(IF('Section Load'!AJ26&gt;0,'Section Load'!AJ26,0))</f>
        <v>705.19999999995343</v>
      </c>
      <c r="AJ23" s="294">
        <f>(IF('Section Load'!AK26&gt;0,'Section Load'!AK26,0))</f>
        <v>222.64999999999418</v>
      </c>
      <c r="AK23" s="294">
        <f>(IF('Section Load'!AL26&gt;0,'Section Load'!AL26,0))</f>
        <v>271.79999999998836</v>
      </c>
      <c r="AL23" s="294">
        <f>(IF('Section Load'!AM26&gt;0,'Section Load'!AM26,0))</f>
        <v>653.44000000000233</v>
      </c>
      <c r="AM23" s="295">
        <f>(IF('Water Report'!$Y$7&gt;0,'Water Report'!$Y$7,0))</f>
        <v>72</v>
      </c>
      <c r="AN23" s="295">
        <f>(IF('Water Report'!$Y$8&gt;0,'Water Report'!$Y$8,0))</f>
        <v>108</v>
      </c>
      <c r="AO23" s="295">
        <f>(IF('Water Report'!$Y$9&gt;0,'Water Report'!$Y$9,0))</f>
        <v>75</v>
      </c>
      <c r="AP23" s="295">
        <f>(IF('Water Report'!$Y$10&gt;0,'Water Report'!$Y$10,0))</f>
        <v>14</v>
      </c>
      <c r="AQ23" s="295">
        <f>(IF('Water Report'!$Y$11&gt;0,'Water Report'!$Y$11,0))</f>
        <v>20</v>
      </c>
      <c r="AR23" s="295">
        <f>(IF('Water Report'!$Y$13&gt;0,'Water Report'!$Y$13,0))</f>
        <v>45</v>
      </c>
      <c r="AS23" s="295">
        <f>(IF('Water Report'!$Y$14&gt;0,'Water Report'!$Y$14,0))</f>
        <v>8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12</v>
      </c>
      <c r="AW23" s="295">
        <f>(IF('Water Report'!$Y$19&gt;0,'Water Report'!$Y$19,0))</f>
        <v>10</v>
      </c>
      <c r="AX23" s="301">
        <f>(IF('Water Report'!$Y$21&gt;0,'Water Report'!$Y$21,0))</f>
        <v>0</v>
      </c>
      <c r="AY23" s="301">
        <f>(IF('Water Report'!$Y$22&gt;0,'Water Report'!$Y$22,0))</f>
        <v>14</v>
      </c>
      <c r="AZ23" s="301">
        <f>(IF('Water Report'!$Y$23&gt;0,'Water Report'!$Y$23,0))</f>
        <v>5</v>
      </c>
      <c r="BA23" s="301">
        <f>(IF('Water Report'!$Y$14&gt;0,'Water Report'!$Y$14,0))</f>
        <v>8</v>
      </c>
      <c r="BB23" s="301">
        <f>(IF('Water Report'!$Y$15&gt;0,'Water Report'!$Y$15,0))</f>
        <v>6</v>
      </c>
      <c r="BC23" s="301">
        <f>(IF('Water Report'!$Y$13&gt;0,'Water Report'!$Y$13,0))</f>
        <v>45</v>
      </c>
      <c r="BD23" s="301">
        <f>(IF('Water Report'!$Y$24&gt;0,'Water Report'!$Y$24,0))</f>
        <v>176</v>
      </c>
      <c r="BE23" s="301">
        <f>(IF('Water Report'!$Y$25&gt;0,'Water Report'!$Y$25,0))</f>
        <v>123</v>
      </c>
      <c r="BF23" s="301">
        <f>(IF('Water Report'!$Y$27&gt;0,'Water Report'!$Y$27,0))</f>
        <v>50</v>
      </c>
      <c r="BG23" s="296">
        <f>(IF('Section Load'!AN26&gt;0,'Section Load'!AN26,0))</f>
        <v>1036.4099999999162</v>
      </c>
      <c r="BH23" s="296">
        <f>(IF('Section Load'!AO26&gt;0,'Section Load'!AO26,0))</f>
        <v>307.70999999996275</v>
      </c>
      <c r="BI23" s="296">
        <f>(IF('Section Load'!AP26&gt;0,'Section Load'!AP26,0))</f>
        <v>0</v>
      </c>
      <c r="BJ23" s="296">
        <f>(IF('Section Load'!AQ26&gt;0,'Section Load'!AQ26,0))</f>
        <v>119.35000000000582</v>
      </c>
      <c r="BK23" s="296">
        <f>(IF('Section Load'!AR26&gt;0,'Section Load'!AR26,0))</f>
        <v>40</v>
      </c>
      <c r="BL23" s="296">
        <f>(IF('Section Load'!AS26&gt;0,'Section Load'!AS26,0))</f>
        <v>3</v>
      </c>
      <c r="BM23" s="296">
        <f>(IF('Section Load'!AT26&gt;0,'Section Load'!AT26,0))</f>
        <v>566.34999999994761</v>
      </c>
    </row>
    <row r="24" spans="1:65">
      <c r="A24" s="287" t="s">
        <v>268</v>
      </c>
      <c r="B24" s="288">
        <f t="shared" si="0"/>
        <v>23</v>
      </c>
      <c r="C24" s="288">
        <v>1</v>
      </c>
      <c r="D24" s="288">
        <v>2022</v>
      </c>
      <c r="E24" s="294">
        <f>(IF('Section Load'!F27&gt;0,'Section Load'!F27,0))</f>
        <v>2448.6800000000003</v>
      </c>
      <c r="F24" s="294">
        <f>(IF('Section Load'!G27&gt;0,'Section Load'!G27,0))</f>
        <v>1571.9800000000032</v>
      </c>
      <c r="G24" s="294">
        <f>(IF('Section Load'!H27&gt;0,'Section Load'!H27,0))</f>
        <v>1932.0699999999997</v>
      </c>
      <c r="H24" s="294">
        <f>(IF('Section Load'!I27&gt;0,'Section Load'!I27,0))</f>
        <v>2576.25</v>
      </c>
      <c r="I24" s="294">
        <f>(IF('Section Load'!J27&gt;0,'Section Load'!J27,0))</f>
        <v>2695.2200000000012</v>
      </c>
      <c r="J24" s="294">
        <f>(IF('Section Load'!K27&gt;0,'Section Load'!K27,0))</f>
        <v>2339.2399999999907</v>
      </c>
      <c r="K24" s="294">
        <f>(IF('Section Load'!L27&gt;0,'Section Load'!L27,0))</f>
        <v>1627.260000000002</v>
      </c>
      <c r="L24" s="294">
        <f>(IF('Section Load'!M27&gt;0,'Section Load'!M27,0))</f>
        <v>1155.2800000000061</v>
      </c>
      <c r="M24" s="294">
        <f>(IF('Section Load'!N27&gt;0,'Section Load'!N27,0))</f>
        <v>109</v>
      </c>
      <c r="N24" s="294">
        <f>(IF('Section Load'!O27&gt;0,'Section Load'!O27,0))</f>
        <v>5</v>
      </c>
      <c r="O24" s="294">
        <f>(IF('Section Load'!P27&gt;0,'Section Load'!P27,0))</f>
        <v>2</v>
      </c>
      <c r="P24" s="294">
        <f>(IF('Section Load'!Q27&gt;0,'Section Load'!Q27,0))</f>
        <v>183.70999999999913</v>
      </c>
      <c r="Q24" s="294">
        <f>(IF('Section Load'!R27&gt;0,'Section Load'!R27,0))</f>
        <v>78.540000000000873</v>
      </c>
      <c r="R24" s="294">
        <f>(IF('Section Load'!S27&gt;0,'Section Load'!S27,0))</f>
        <v>14.0600000000004</v>
      </c>
      <c r="S24" s="294">
        <f>(IF('Section Load'!T27&gt;0,'Section Load'!T27,0))</f>
        <v>417</v>
      </c>
      <c r="T24" s="294">
        <f>(IF('Section Load'!U27&gt;0,'Section Load'!U27,0))</f>
        <v>221</v>
      </c>
      <c r="U24" s="294">
        <f>(IF('Section Load'!V27&gt;0,'Section Load'!V27,0))</f>
        <v>421.8399999999674</v>
      </c>
      <c r="V24" s="294">
        <f>(IF('Section Load'!W27&gt;0,'Section Load'!W27,0))</f>
        <v>267.52000000001863</v>
      </c>
      <c r="W24" s="294">
        <f>(IF('Section Load'!X27&gt;0,'Section Load'!X27,0))</f>
        <v>27.119999999999891</v>
      </c>
      <c r="X24" s="294">
        <f>(IF('Section Load'!Y27&gt;0,'Section Load'!Y27,0))</f>
        <v>225.96000000000004</v>
      </c>
      <c r="Y24" s="294">
        <f>(IF('Section Load'!Z27&gt;0,'Section Load'!Z27,0))</f>
        <v>238</v>
      </c>
      <c r="Z24" s="294">
        <f>(IF('Section Load'!AA27&gt;0,'Section Load'!AA27,0))</f>
        <v>16</v>
      </c>
      <c r="AA24" s="294">
        <f>(IF('Section Load'!AB27&gt;0,'Section Load'!AB27,0))</f>
        <v>14.299999999988358</v>
      </c>
      <c r="AB24" s="294">
        <f>(IF('Section Load'!AC27&gt;0,'Section Load'!AC27,0))</f>
        <v>2.0100000000020373</v>
      </c>
      <c r="AC24" s="294">
        <f>(IF('Section Load'!AD27&gt;0,'Section Load'!AD27,0))</f>
        <v>35.099999999996726</v>
      </c>
      <c r="AD24" s="294">
        <f>(IF('Section Load'!AE27&gt;0,'Section Load'!AE27,0))</f>
        <v>0</v>
      </c>
      <c r="AE24" s="294">
        <f>(IF('Section Load'!AF27&gt;0,'Section Load'!AF27,0))</f>
        <v>23.099999999999909</v>
      </c>
      <c r="AF24" s="294">
        <f>(IF('Section Load'!AG27&gt;0,'Section Load'!AG27,0))</f>
        <v>340.17999999999302</v>
      </c>
      <c r="AG24" s="294">
        <f>(IF('Section Load'!AH27&gt;0,'Section Load'!AH27,0))</f>
        <v>417.17999999999302</v>
      </c>
      <c r="AH24" s="294">
        <f>(IF('Section Load'!AI27&gt;0,'Section Load'!AI27,0))</f>
        <v>406.45999999999913</v>
      </c>
      <c r="AI24" s="294">
        <f>(IF('Section Load'!AJ27&gt;0,'Section Load'!AJ27,0))</f>
        <v>664.1600000000326</v>
      </c>
      <c r="AJ24" s="294">
        <f>(IF('Section Load'!AK27&gt;0,'Section Load'!AK27,0))</f>
        <v>209.97000000000116</v>
      </c>
      <c r="AK24" s="294">
        <f>(IF('Section Load'!AL27&gt;0,'Section Load'!AL27,0))</f>
        <v>273.30999999999767</v>
      </c>
      <c r="AL24" s="294">
        <f>(IF('Section Load'!AM27&gt;0,'Section Load'!AM27,0))</f>
        <v>661.32999999998719</v>
      </c>
      <c r="AM24" s="295">
        <f>(IF('Water Report'!$Z$7&gt;0,'Water Report'!$Z$7,0))</f>
        <v>119</v>
      </c>
      <c r="AN24" s="295">
        <f>(IF('Water Report'!$Z$8&gt;0,'Water Report'!$Z$8,0))</f>
        <v>126</v>
      </c>
      <c r="AO24" s="295">
        <f>(IF('Water Report'!$Z$9&gt;0,'Water Report'!$Z$9,0))</f>
        <v>88</v>
      </c>
      <c r="AP24" s="295">
        <f>(IF('Water Report'!$Z$10&gt;0,'Water Report'!$Z$10,0))</f>
        <v>23</v>
      </c>
      <c r="AQ24" s="295">
        <f>(IF('Water Report'!$Z$11&gt;0,'Water Report'!$Z$11,0))</f>
        <v>25</v>
      </c>
      <c r="AR24" s="295">
        <f>(IF('Water Report'!$Z$13&gt;0,'Water Report'!$Z$13,0))</f>
        <v>42</v>
      </c>
      <c r="AS24" s="295">
        <f>(IF('Water Report'!$Z$14&gt;0,'Water Report'!$Z$14,0))</f>
        <v>31</v>
      </c>
      <c r="AT24" s="295">
        <f>(IF('Water Report'!$Z$15&gt;0,'Water Report'!$Z$15,0))</f>
        <v>6</v>
      </c>
      <c r="AU24" s="295">
        <f>(IF('Water Report'!$Z$17&gt;0,'Water Report'!$Z$17,0))</f>
        <v>0</v>
      </c>
      <c r="AV24" s="295">
        <f>(IF('Water Report'!$Z$18&gt;0,'Water Report'!$Z$18,0))</f>
        <v>13</v>
      </c>
      <c r="AW24" s="295">
        <f>(IF('Water Report'!$Z$19&gt;0,'Water Report'!$Z$19,0))</f>
        <v>11</v>
      </c>
      <c r="AX24" s="301">
        <f>(IF('Water Report'!$Z$21&gt;0,'Water Report'!$Z$21,0))</f>
        <v>104</v>
      </c>
      <c r="AY24" s="301">
        <f>(IF('Water Report'!$Z$22&gt;0,'Water Report'!$Z$22,0))</f>
        <v>52</v>
      </c>
      <c r="AZ24" s="301">
        <f>(IF('Water Report'!$Z$23&gt;0,'Water Report'!$Z$23,0))</f>
        <v>2</v>
      </c>
      <c r="BA24" s="301">
        <f>(IF('Water Report'!$Z$14&gt;0,'Water Report'!$Z$14,0))</f>
        <v>31</v>
      </c>
      <c r="BB24" s="301">
        <f>(IF('Water Report'!$Z$15&gt;0,'Water Report'!$Z$15,0))</f>
        <v>6</v>
      </c>
      <c r="BC24" s="301">
        <f>(IF('Water Report'!$Z$13&gt;0,'Water Report'!$Z$13,0))</f>
        <v>42</v>
      </c>
      <c r="BD24" s="301">
        <f>(IF('Water Report'!$Z$24&gt;0,'Water Report'!$Z$24,0))</f>
        <v>216</v>
      </c>
      <c r="BE24" s="301">
        <f>(IF('Water Report'!$Z$25&gt;0,'Water Report'!$Z$25,0))</f>
        <v>173</v>
      </c>
      <c r="BF24" s="301">
        <f>(IF('Water Report'!$Z$27&gt;0,'Water Report'!$Z$27,0))</f>
        <v>148</v>
      </c>
      <c r="BG24" s="296">
        <f>(IF('Section Load'!AN27&gt;0,'Section Load'!AN27,0))</f>
        <v>979.91999999992549</v>
      </c>
      <c r="BH24" s="296">
        <f>(IF('Section Load'!AO27&gt;0,'Section Load'!AO27,0))</f>
        <v>292.69000000006054</v>
      </c>
      <c r="BI24" s="296">
        <f>(IF('Section Load'!AP27&gt;0,'Section Load'!AP27,0))</f>
        <v>0</v>
      </c>
      <c r="BJ24" s="296">
        <f>(IF('Section Load'!AQ27&gt;0,'Section Load'!AQ27,0))</f>
        <v>101.32999999998719</v>
      </c>
      <c r="BK24" s="296">
        <f>(IF('Section Load'!AR27&gt;0,'Section Load'!AR27,0))</f>
        <v>36</v>
      </c>
      <c r="BL24" s="296">
        <f>(IF('Section Load'!AS27&gt;0,'Section Load'!AS27,0))</f>
        <v>1</v>
      </c>
      <c r="BM24" s="296">
        <f>(IF('Section Load'!AT27&gt;0,'Section Load'!AT27,0))</f>
        <v>548.89999999987776</v>
      </c>
    </row>
    <row r="25" spans="1:65">
      <c r="A25" s="287" t="s">
        <v>268</v>
      </c>
      <c r="B25" s="288">
        <f t="shared" si="0"/>
        <v>24</v>
      </c>
      <c r="C25" s="288">
        <v>1</v>
      </c>
      <c r="D25" s="288">
        <v>2022</v>
      </c>
      <c r="E25" s="294">
        <f>(IF('Section Load'!F28&gt;0,'Section Load'!F28,0))</f>
        <v>2037.0099999999984</v>
      </c>
      <c r="F25" s="294">
        <f>(IF('Section Load'!G28&gt;0,'Section Load'!G28,0))</f>
        <v>1645.5099999999984</v>
      </c>
      <c r="G25" s="294">
        <f>(IF('Section Load'!H28&gt;0,'Section Load'!H28,0))</f>
        <v>1826.3899999999994</v>
      </c>
      <c r="H25" s="294">
        <f>(IF('Section Load'!I28&gt;0,'Section Load'!I28,0))</f>
        <v>2607.1999999999971</v>
      </c>
      <c r="I25" s="294">
        <f>(IF('Section Load'!J28&gt;0,'Section Load'!J28,0))</f>
        <v>2484.3300000000017</v>
      </c>
      <c r="J25" s="294">
        <f>(IF('Section Load'!K28&gt;0,'Section Load'!K28,0))</f>
        <v>2087.4100000000035</v>
      </c>
      <c r="K25" s="294">
        <f>(IF('Section Load'!L28&gt;0,'Section Load'!L28,0))</f>
        <v>1014.6399999999994</v>
      </c>
      <c r="L25" s="294">
        <f>(IF('Section Load'!M28&gt;0,'Section Load'!M28,0))</f>
        <v>656.69999999999709</v>
      </c>
      <c r="M25" s="294">
        <f>(IF('Section Load'!N28&gt;0,'Section Load'!N28,0))</f>
        <v>64</v>
      </c>
      <c r="N25" s="294">
        <f>(IF('Section Load'!O28&gt;0,'Section Load'!O28,0))</f>
        <v>0</v>
      </c>
      <c r="O25" s="294">
        <f>(IF('Section Load'!P28&gt;0,'Section Load'!P28,0))</f>
        <v>0</v>
      </c>
      <c r="P25" s="294">
        <f>(IF('Section Load'!Q28&gt;0,'Section Load'!Q28,0))</f>
        <v>173.66999999999825</v>
      </c>
      <c r="Q25" s="294">
        <f>(IF('Section Load'!R28&gt;0,'Section Load'!R28,0))</f>
        <v>81.729999999999563</v>
      </c>
      <c r="R25" s="294">
        <f>(IF('Section Load'!S28&gt;0,'Section Load'!S28,0))</f>
        <v>6.7399999999997817</v>
      </c>
      <c r="S25" s="294">
        <f>(IF('Section Load'!T28&gt;0,'Section Load'!T28,0))</f>
        <v>398</v>
      </c>
      <c r="T25" s="294">
        <f>(IF('Section Load'!U28&gt;0,'Section Load'!U28,0))</f>
        <v>213</v>
      </c>
      <c r="U25" s="294">
        <f>(IF('Section Load'!V28&gt;0,'Section Load'!V28,0))</f>
        <v>318.04000000003725</v>
      </c>
      <c r="V25" s="294">
        <f>(IF('Section Load'!W28&gt;0,'Section Load'!W28,0))</f>
        <v>154.04000000003725</v>
      </c>
      <c r="W25" s="294">
        <f>(IF('Section Load'!X28&gt;0,'Section Load'!X28,0))</f>
        <v>34.380000000000109</v>
      </c>
      <c r="X25" s="294">
        <f>(IF('Section Load'!Y28&gt;0,'Section Load'!Y28,0))</f>
        <v>214.40999999999985</v>
      </c>
      <c r="Y25" s="294">
        <f>(IF('Section Load'!Z28&gt;0,'Section Load'!Z28,0))</f>
        <v>207</v>
      </c>
      <c r="Z25" s="294">
        <f>(IF('Section Load'!AA28&gt;0,'Section Load'!AA28,0))</f>
        <v>69.520000000018626</v>
      </c>
      <c r="AA25" s="294">
        <f>(IF('Section Load'!AB28&gt;0,'Section Load'!AB28,0))</f>
        <v>34.100000000005821</v>
      </c>
      <c r="AB25" s="294">
        <f>(IF('Section Load'!AC28&gt;0,'Section Load'!AC28,0))</f>
        <v>0</v>
      </c>
      <c r="AC25" s="294">
        <f>(IF('Section Load'!AD28&gt;0,'Section Load'!AD28,0))</f>
        <v>71.600000000000364</v>
      </c>
      <c r="AD25" s="294">
        <f>(IF('Section Load'!AE28&gt;0,'Section Load'!AE28,0))</f>
        <v>0</v>
      </c>
      <c r="AE25" s="294">
        <f>(IF('Section Load'!AF28&gt;0,'Section Load'!AF28,0))</f>
        <v>22.519999999999982</v>
      </c>
      <c r="AF25" s="294">
        <f>(IF('Section Load'!AG28&gt;0,'Section Load'!AG28,0))</f>
        <v>376.08999999999651</v>
      </c>
      <c r="AG25" s="294">
        <f>(IF('Section Load'!AH28&gt;0,'Section Load'!AH28,0))</f>
        <v>407.17000000001281</v>
      </c>
      <c r="AH25" s="294">
        <f>(IF('Section Load'!AI28&gt;0,'Section Load'!AI28,0))</f>
        <v>413.89999999999418</v>
      </c>
      <c r="AI25" s="294">
        <f>(IF('Section Load'!AJ28&gt;0,'Section Load'!AJ28,0))</f>
        <v>659.92999999999302</v>
      </c>
      <c r="AJ25" s="294">
        <f>(IF('Section Load'!AK28&gt;0,'Section Load'!AK28,0))</f>
        <v>187.41000000000349</v>
      </c>
      <c r="AK25" s="294">
        <f>(IF('Section Load'!AL28&gt;0,'Section Load'!AL28,0))</f>
        <v>265.89000000001397</v>
      </c>
      <c r="AL25" s="294">
        <f>(IF('Section Load'!AM28&gt;0,'Section Load'!AM28,0))</f>
        <v>437.57000000000698</v>
      </c>
      <c r="AM25" s="295">
        <f>(IF('Water Report'!$AA$7&gt;0,'Water Report'!$AA$7,0))</f>
        <v>124</v>
      </c>
      <c r="AN25" s="295">
        <f>(IF('Water Report'!$AA$8&gt;0,'Water Report'!$AA$8,0))</f>
        <v>68</v>
      </c>
      <c r="AO25" s="295">
        <f>(IF('Water Report'!$AA$9&gt;0,'Water Report'!$AA$9,0))</f>
        <v>103</v>
      </c>
      <c r="AP25" s="295">
        <f>(IF('Water Report'!$AA$10&gt;0,'Water Report'!$AA$10,0))</f>
        <v>14</v>
      </c>
      <c r="AQ25" s="295">
        <f>(IF('Water Report'!$AA$11&gt;0,'Water Report'!$AA$11,0))</f>
        <v>25</v>
      </c>
      <c r="AR25" s="295">
        <f>(IF('Water Report'!$AA$13&gt;0,'Water Report'!$AA$13,0))</f>
        <v>33</v>
      </c>
      <c r="AS25" s="295">
        <f>(IF('Water Report'!$AA$14&gt;0,'Water Report'!$AA$14,0))</f>
        <v>31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10</v>
      </c>
      <c r="AX25" s="301">
        <f>(IF('Water Report'!$AA$21&gt;0,'Water Report'!$AA$21,0))</f>
        <v>42</v>
      </c>
      <c r="AY25" s="301">
        <f>(IF('Water Report'!$AA$22&gt;0,'Water Report'!$AA$22,0))</f>
        <v>30</v>
      </c>
      <c r="AZ25" s="301">
        <f>(IF('Water Report'!$AA$23&gt;0,'Water Report'!$AA$23,0))</f>
        <v>7</v>
      </c>
      <c r="BA25" s="301">
        <f>(IF('Water Report'!$AA$14&gt;0,'Water Report'!$AA$14,0))</f>
        <v>31</v>
      </c>
      <c r="BB25" s="301">
        <f>(IF('Water Report'!$AA$15&gt;0,'Water Report'!$AA$15,0))</f>
        <v>8</v>
      </c>
      <c r="BC25" s="301">
        <f>(IF('Water Report'!$AA$13&gt;0,'Water Report'!$AA$13,0))</f>
        <v>33</v>
      </c>
      <c r="BD25" s="301">
        <f>(IF('Water Report'!$AA$24&gt;0,'Water Report'!$AA$24,0))</f>
        <v>212</v>
      </c>
      <c r="BE25" s="301">
        <f>(IF('Water Report'!$AA$25&gt;0,'Water Report'!$AA$25,0))</f>
        <v>181</v>
      </c>
      <c r="BF25" s="301">
        <f>(IF('Water Report'!$AA$27&gt;0,'Water Report'!$AA$27,0))</f>
        <v>82</v>
      </c>
      <c r="BG25" s="296">
        <f>(IF('Section Load'!AN28&gt;0,'Section Load'!AN28,0))</f>
        <v>1037.0800000000745</v>
      </c>
      <c r="BH25" s="296">
        <f>(IF('Section Load'!AO28&gt;0,'Section Load'!AO28,0))</f>
        <v>311.18999999994412</v>
      </c>
      <c r="BI25" s="296">
        <f>(IF('Section Load'!AP28&gt;0,'Section Load'!AP28,0))</f>
        <v>0</v>
      </c>
      <c r="BJ25" s="296">
        <f>(IF('Section Load'!AQ28&gt;0,'Section Load'!AQ28,0))</f>
        <v>114</v>
      </c>
      <c r="BK25" s="296">
        <f>(IF('Section Load'!AR28&gt;0,'Section Load'!AR28,0))</f>
        <v>34</v>
      </c>
      <c r="BL25" s="296">
        <f>(IF('Section Load'!AS28&gt;0,'Section Load'!AS28,0))</f>
        <v>1</v>
      </c>
      <c r="BM25" s="296">
        <f>(IF('Section Load'!AT28&gt;0,'Section Load'!AT28,0))</f>
        <v>576.89000000013039</v>
      </c>
    </row>
    <row r="26" spans="1:65">
      <c r="A26" s="287" t="s">
        <v>268</v>
      </c>
      <c r="B26" s="288">
        <f>B25+1</f>
        <v>25</v>
      </c>
      <c r="C26" s="288">
        <v>1</v>
      </c>
      <c r="D26" s="288">
        <v>2022</v>
      </c>
      <c r="E26" s="294">
        <f>(IF('Section Load'!F29&gt;0,'Section Load'!F29,0))</f>
        <v>2140</v>
      </c>
      <c r="F26" s="294">
        <f>(IF('Section Load'!G29&gt;0,'Section Load'!G29,0))</f>
        <v>1608</v>
      </c>
      <c r="G26" s="294">
        <f>(IF('Section Load'!H29&gt;0,'Section Load'!H29,0))</f>
        <v>1761</v>
      </c>
      <c r="H26" s="294">
        <f>(IF('Section Load'!I29&gt;0,'Section Load'!I29,0))</f>
        <v>2591</v>
      </c>
      <c r="I26" s="294">
        <f>(IF('Section Load'!J29&gt;0,'Section Load'!J29,0))</f>
        <v>3028.3999999999942</v>
      </c>
      <c r="J26" s="294">
        <f>(IF('Section Load'!K29&gt;0,'Section Load'!K29,0))</f>
        <v>1958</v>
      </c>
      <c r="K26" s="294">
        <f>(IF('Section Load'!L29&gt;0,'Section Load'!L29,0))</f>
        <v>1011</v>
      </c>
      <c r="L26" s="294">
        <f>(IF('Section Load'!M29&gt;0,'Section Load'!M29,0))</f>
        <v>600</v>
      </c>
      <c r="M26" s="294">
        <f>(IF('Section Load'!N29&gt;0,'Section Load'!N29,0))</f>
        <v>76</v>
      </c>
      <c r="N26" s="294">
        <f>(IF('Section Load'!O29&gt;0,'Section Load'!O29,0))</f>
        <v>1</v>
      </c>
      <c r="O26" s="294">
        <f>(IF('Section Load'!P29&gt;0,'Section Load'!P29,0))</f>
        <v>0</v>
      </c>
      <c r="P26" s="294">
        <f>(IF('Section Load'!Q29&gt;0,'Section Load'!Q29,0))</f>
        <v>173</v>
      </c>
      <c r="Q26" s="294">
        <f>(IF('Section Load'!R29&gt;0,'Section Load'!R29,0))</f>
        <v>65</v>
      </c>
      <c r="R26" s="294">
        <f>(IF('Section Load'!S29&gt;0,'Section Load'!S29,0))</f>
        <v>6</v>
      </c>
      <c r="S26" s="294">
        <f>(IF('Section Load'!T29&gt;0,'Section Load'!T29,0))</f>
        <v>402</v>
      </c>
      <c r="T26" s="294">
        <f>(IF('Section Load'!U29&gt;0,'Section Load'!U29,0))</f>
        <v>204</v>
      </c>
      <c r="U26" s="294">
        <f>(IF('Section Load'!V29&gt;0,'Section Load'!V29,0))</f>
        <v>365</v>
      </c>
      <c r="V26" s="294">
        <f>(IF('Section Load'!W29&gt;0,'Section Load'!W29,0))</f>
        <v>158</v>
      </c>
      <c r="W26" s="294">
        <f>(IF('Section Load'!X29&gt;0,'Section Load'!X29,0))</f>
        <v>26</v>
      </c>
      <c r="X26" s="294">
        <f>(IF('Section Load'!Y29&gt;0,'Section Load'!Y29,0))</f>
        <v>110</v>
      </c>
      <c r="Y26" s="294">
        <f>(IF('Section Load'!Z29&gt;0,'Section Load'!Z29,0))</f>
        <v>250</v>
      </c>
      <c r="Z26" s="294">
        <f>(IF('Section Load'!AA29&gt;0,'Section Load'!AA29,0))</f>
        <v>20.479999999981374</v>
      </c>
      <c r="AA26" s="294">
        <f>(IF('Section Load'!AB29&gt;0,'Section Load'!AB29,0))</f>
        <v>38</v>
      </c>
      <c r="AB26" s="294">
        <f>(IF('Section Load'!AC29&gt;0,'Section Load'!AC29,0))</f>
        <v>0</v>
      </c>
      <c r="AC26" s="294">
        <f>(IF('Section Load'!AD29&gt;0,'Section Load'!AD29,0))</f>
        <v>36</v>
      </c>
      <c r="AD26" s="294">
        <f>(IF('Section Load'!AE29&gt;0,'Section Load'!AE29,0))</f>
        <v>0</v>
      </c>
      <c r="AE26" s="294">
        <f>(IF('Section Load'!AF29&gt;0,'Section Load'!AF29,0))</f>
        <v>23</v>
      </c>
      <c r="AF26" s="294">
        <f>(IF('Section Load'!AG29&gt;0,'Section Load'!AG29,0))</f>
        <v>338</v>
      </c>
      <c r="AG26" s="294">
        <f>(IF('Section Load'!AH29&gt;0,'Section Load'!AH29,0))</f>
        <v>419</v>
      </c>
      <c r="AH26" s="294">
        <f>(IF('Section Load'!AI29&gt;0,'Section Load'!AI29,0))</f>
        <v>406.2300000000032</v>
      </c>
      <c r="AI26" s="294">
        <f>(IF('Section Load'!AJ29&gt;0,'Section Load'!AJ29,0))</f>
        <v>710</v>
      </c>
      <c r="AJ26" s="294">
        <f>(IF('Section Load'!AK29&gt;0,'Section Load'!AK29,0))</f>
        <v>179</v>
      </c>
      <c r="AK26" s="294">
        <f>(IF('Section Load'!AL29&gt;0,'Section Load'!AL29,0))</f>
        <v>263</v>
      </c>
      <c r="AL26" s="294">
        <f>(IF('Section Load'!AM29&gt;0,'Section Load'!AM29,0))</f>
        <v>397</v>
      </c>
      <c r="AM26" s="295">
        <f>(IF('Water Report'!$AB$7&gt;0,'Water Report'!$AB$7,0))</f>
        <v>102</v>
      </c>
      <c r="AN26" s="295">
        <f>(IF('Water Report'!$AB$8&gt;0,'Water Report'!$AB$8,0))</f>
        <v>164</v>
      </c>
      <c r="AO26" s="295">
        <f>(IF('Water Report'!$AB$9&gt;0,'Water Report'!$AB$9,0))</f>
        <v>86</v>
      </c>
      <c r="AP26" s="295">
        <f>(IF('Water Report'!$AB$10&gt;0,'Water Report'!$AB$10,0))</f>
        <v>11</v>
      </c>
      <c r="AQ26" s="295">
        <f>(IF('Water Report'!$AB$11&gt;0,'Water Report'!$AB$11,0))</f>
        <v>20</v>
      </c>
      <c r="AR26" s="295">
        <f>(IF('Water Report'!$AB$13&gt;0,'Water Report'!$AB$13,0))</f>
        <v>73</v>
      </c>
      <c r="AS26" s="295">
        <f>(IF('Water Report'!$AB$14&gt;0,'Water Report'!$AB$14,0))</f>
        <v>5</v>
      </c>
      <c r="AT26" s="295">
        <f>(IF('Water Report'!$AB$15&gt;0,'Water Report'!$AB$15,0))</f>
        <v>12</v>
      </c>
      <c r="AU26" s="295">
        <f>(IF('Water Report'!$AB$17&gt;0,'Water Report'!$AB$17,0))</f>
        <v>0</v>
      </c>
      <c r="AV26" s="295">
        <f>(IF('Water Report'!$AB$18&gt;0,'Water Report'!$AB$18,0))</f>
        <v>8</v>
      </c>
      <c r="AW26" s="295">
        <f>(IF('Water Report'!$AB$19&gt;0,'Water Report'!$AB$19,0))</f>
        <v>8</v>
      </c>
      <c r="AX26" s="301">
        <f>(IF('Water Report'!$AB$21&gt;0,'Water Report'!$AB$21,0))</f>
        <v>21</v>
      </c>
      <c r="AY26" s="301">
        <f>(IF('Water Report'!$AB$22&gt;0,'Water Report'!$AB$22,0))</f>
        <v>80</v>
      </c>
      <c r="AZ26" s="301">
        <f>(IF('Water Report'!$AB$23&gt;0,'Water Report'!$AB$23,0))</f>
        <v>7</v>
      </c>
      <c r="BA26" s="301">
        <f>(IF('Water Report'!$AB$14&gt;0,'Water Report'!$AB$14,0))</f>
        <v>5</v>
      </c>
      <c r="BB26" s="301">
        <f>(IF('Water Report'!$AB$15&gt;0,'Water Report'!$AB$15,0))</f>
        <v>12</v>
      </c>
      <c r="BC26" s="301">
        <f>(IF('Water Report'!$AB$13&gt;0,'Water Report'!$AB$13,0))</f>
        <v>73</v>
      </c>
      <c r="BD26" s="301">
        <f>(IF('Water Report'!$AB$24&gt;0,'Water Report'!$AB$24,0))</f>
        <v>190</v>
      </c>
      <c r="BE26" s="301">
        <f>(IF('Water Report'!$AB$25&gt;0,'Water Report'!$AB$25,0))</f>
        <v>134</v>
      </c>
      <c r="BF26" s="301">
        <f>(IF('Water Report'!$AB$27&gt;0,'Water Report'!$AB$27,0))</f>
        <v>101</v>
      </c>
      <c r="BG26" s="296">
        <f>(IF('Section Load'!AN29&gt;0,'Section Load'!AN29,0))</f>
        <v>815</v>
      </c>
      <c r="BH26" s="296">
        <f>(IF('Section Load'!AO29&gt;0,'Section Load'!AO29,0))</f>
        <v>296</v>
      </c>
      <c r="BI26" s="296">
        <f>(IF('Section Load'!AP29&gt;0,'Section Load'!AP29,0))</f>
        <v>0</v>
      </c>
      <c r="BJ26" s="296">
        <f>(IF('Section Load'!AQ29&gt;0,'Section Load'!AQ29,0))</f>
        <v>102</v>
      </c>
      <c r="BK26" s="296">
        <f>(IF('Section Load'!AR29&gt;0,'Section Load'!AR29,0))</f>
        <v>28</v>
      </c>
      <c r="BL26" s="296">
        <f>(IF('Section Load'!AS29&gt;0,'Section Load'!AS29,0))</f>
        <v>0</v>
      </c>
      <c r="BM26" s="296">
        <f>(IF('Section Load'!AT29&gt;0,'Section Load'!AT29,0))</f>
        <v>389</v>
      </c>
    </row>
    <row r="27" spans="1:65">
      <c r="A27" s="287" t="s">
        <v>268</v>
      </c>
      <c r="B27" s="288">
        <f t="shared" si="0"/>
        <v>26</v>
      </c>
      <c r="C27" s="288">
        <v>1</v>
      </c>
      <c r="D27" s="288">
        <v>2022</v>
      </c>
      <c r="E27" s="294">
        <f>(IF('Section Load'!F30&gt;0,'Section Load'!F30,0))</f>
        <v>2079</v>
      </c>
      <c r="F27" s="294">
        <f>(IF('Section Load'!G30&gt;0,'Section Load'!G30,0))</f>
        <v>1519</v>
      </c>
      <c r="G27" s="294">
        <f>(IF('Section Load'!H30&gt;0,'Section Load'!H30,0))</f>
        <v>1746</v>
      </c>
      <c r="H27" s="294">
        <f>(IF('Section Load'!I30&gt;0,'Section Load'!I30,0))</f>
        <v>2557</v>
      </c>
      <c r="I27" s="294">
        <f>(IF('Section Load'!J30&gt;0,'Section Load'!J30,0))</f>
        <v>3448</v>
      </c>
      <c r="J27" s="294">
        <f>(IF('Section Load'!K30&gt;0,'Section Load'!K30,0))</f>
        <v>1948</v>
      </c>
      <c r="K27" s="294">
        <f>(IF('Section Load'!L30&gt;0,'Section Load'!L30,0))</f>
        <v>1009</v>
      </c>
      <c r="L27" s="294">
        <f>(IF('Section Load'!M30&gt;0,'Section Load'!M30,0))</f>
        <v>643</v>
      </c>
      <c r="M27" s="294">
        <f>(IF('Section Load'!N30&gt;0,'Section Load'!N30,0))</f>
        <v>62</v>
      </c>
      <c r="N27" s="294">
        <f>(IF('Section Load'!O30&gt;0,'Section Load'!O30,0))</f>
        <v>0</v>
      </c>
      <c r="O27" s="294">
        <f>(IF('Section Load'!P30&gt;0,'Section Load'!P30,0))</f>
        <v>0</v>
      </c>
      <c r="P27" s="294">
        <f>(IF('Section Load'!Q30&gt;0,'Section Load'!Q30,0))</f>
        <v>189</v>
      </c>
      <c r="Q27" s="294">
        <f>(IF('Section Load'!R30&gt;0,'Section Load'!R30,0))</f>
        <v>95</v>
      </c>
      <c r="R27" s="294">
        <f>(IF('Section Load'!S30&gt;0,'Section Load'!S30,0))</f>
        <v>6</v>
      </c>
      <c r="S27" s="294">
        <f>(IF('Section Load'!T30&gt;0,'Section Load'!T30,0))</f>
        <v>380</v>
      </c>
      <c r="T27" s="294">
        <f>(IF('Section Load'!U30&gt;0,'Section Load'!U30,0))</f>
        <v>194</v>
      </c>
      <c r="U27" s="294">
        <f>(IF('Section Load'!V30&gt;0,'Section Load'!V30,0))</f>
        <v>348</v>
      </c>
      <c r="V27" s="294">
        <f>(IF('Section Load'!W30&gt;0,'Section Load'!W30,0))</f>
        <v>191</v>
      </c>
      <c r="W27" s="294">
        <f>(IF('Section Load'!X30&gt;0,'Section Load'!X30,0))</f>
        <v>30</v>
      </c>
      <c r="X27" s="294">
        <f>(IF('Section Load'!Y30&gt;0,'Section Load'!Y30,0))</f>
        <v>202</v>
      </c>
      <c r="Y27" s="294">
        <f>(IF('Section Load'!Z30&gt;0,'Section Load'!Z30,0))</f>
        <v>232</v>
      </c>
      <c r="Z27" s="294">
        <f>(IF('Section Load'!AA30&gt;0,'Section Load'!AA30,0))</f>
        <v>16</v>
      </c>
      <c r="AA27" s="294">
        <f>(IF('Section Load'!AB30&gt;0,'Section Load'!AB30,0))</f>
        <v>30</v>
      </c>
      <c r="AB27" s="294">
        <f>(IF('Section Load'!AC30&gt;0,'Section Load'!AC30,0))</f>
        <v>0</v>
      </c>
      <c r="AC27" s="294">
        <f>(IF('Section Load'!AD30&gt;0,'Section Load'!AD30,0))</f>
        <v>34</v>
      </c>
      <c r="AD27" s="294">
        <f>(IF('Section Load'!AE30&gt;0,'Section Load'!AE30,0))</f>
        <v>0</v>
      </c>
      <c r="AE27" s="294">
        <f>(IF('Section Load'!AF30&gt;0,'Section Load'!AF30,0))</f>
        <v>27</v>
      </c>
      <c r="AF27" s="294">
        <f>(IF('Section Load'!AG30&gt;0,'Section Load'!AG30,0))</f>
        <v>337</v>
      </c>
      <c r="AG27" s="294">
        <f>(IF('Section Load'!AH30&gt;0,'Section Load'!AH30,0))</f>
        <v>427</v>
      </c>
      <c r="AH27" s="294">
        <f>(IF('Section Load'!AI30&gt;0,'Section Load'!AI30,0))</f>
        <v>423</v>
      </c>
      <c r="AI27" s="294">
        <f>(IF('Section Load'!AJ30&gt;0,'Section Load'!AJ30,0))</f>
        <v>837</v>
      </c>
      <c r="AJ27" s="294">
        <f>(IF('Section Load'!AK30&gt;0,'Section Load'!AK30,0))</f>
        <v>157</v>
      </c>
      <c r="AK27" s="294">
        <f>(IF('Section Load'!AL30&gt;0,'Section Load'!AL30,0))</f>
        <v>266</v>
      </c>
      <c r="AL27" s="294">
        <f>(IF('Section Load'!AM30&gt;0,'Section Load'!AM30,0))</f>
        <v>428</v>
      </c>
      <c r="AM27" s="295">
        <f>(IF('Water Report'!$AC$7&gt;0,'Water Report'!$AC$7,0))</f>
        <v>93</v>
      </c>
      <c r="AN27" s="295">
        <f>(IF('Water Report'!$AC$8&gt;0,'Water Report'!$AC$8,0))</f>
        <v>127</v>
      </c>
      <c r="AO27" s="295">
        <f>(IF('Water Report'!$AC$9&gt;0,'Water Report'!$AC$9,0))</f>
        <v>84</v>
      </c>
      <c r="AP27" s="295">
        <f>(IF('Water Report'!$AC$10&gt;0,'Water Report'!$AC$10,0))</f>
        <v>19</v>
      </c>
      <c r="AQ27" s="295">
        <f>(IF('Water Report'!$AC$11&gt;0,'Water Report'!$AC$11,0))</f>
        <v>26</v>
      </c>
      <c r="AR27" s="295">
        <f>(IF('Water Report'!$AC$13&gt;0,'Water Report'!$AC$13,0))</f>
        <v>50</v>
      </c>
      <c r="AS27" s="295">
        <f>(IF('Water Report'!$AC$14&gt;0,'Water Report'!$AC$14,0))</f>
        <v>8</v>
      </c>
      <c r="AT27" s="295">
        <f>(IF('Water Report'!$AC$15&gt;0,'Water Report'!$AC$15,0))</f>
        <v>13</v>
      </c>
      <c r="AU27" s="295">
        <f>(IF('Water Report'!$AC$17&gt;0,'Water Report'!$AC$17,0))</f>
        <v>0</v>
      </c>
      <c r="AV27" s="295">
        <f>(IF('Water Report'!$AC$18&gt;0,'Water Report'!$AC$18,0))</f>
        <v>12</v>
      </c>
      <c r="AW27" s="295">
        <f>(IF('Water Report'!$AC$19&gt;0,'Water Report'!$AC$19,0))</f>
        <v>10</v>
      </c>
      <c r="AX27" s="301">
        <f>(IF('Water Report'!$AC$21&gt;0,'Water Report'!$AC$21,0))</f>
        <v>55</v>
      </c>
      <c r="AY27" s="301">
        <f>(IF('Water Report'!$AC$22&gt;0,'Water Report'!$AC$22,0))</f>
        <v>48</v>
      </c>
      <c r="AZ27" s="301">
        <f>(IF('Water Report'!$AC$23&gt;0,'Water Report'!$AC$23,0))</f>
        <v>0</v>
      </c>
      <c r="BA27" s="301">
        <f>(IF('Water Report'!$AC$14&gt;0,'Water Report'!$AC$14,0))</f>
        <v>8</v>
      </c>
      <c r="BB27" s="301">
        <f>(IF('Water Report'!$AC$15&gt;0,'Water Report'!$AC$15,0))</f>
        <v>13</v>
      </c>
      <c r="BC27" s="301">
        <f>(IF('Water Report'!$AC$13&gt;0,'Water Report'!$AC$13,0))</f>
        <v>50</v>
      </c>
      <c r="BD27" s="301">
        <f>(IF('Water Report'!$AC$24&gt;0,'Water Report'!$AC$24,0))</f>
        <v>175</v>
      </c>
      <c r="BE27" s="301">
        <f>(IF('Water Report'!$AC$25&gt;0,'Water Report'!$AC$25,0))</f>
        <v>150</v>
      </c>
      <c r="BF27" s="301">
        <f>(IF('Water Report'!$AC$27&gt;0,'Water Report'!$AC$27,0))</f>
        <v>105</v>
      </c>
      <c r="BG27" s="296">
        <f>(IF('Section Load'!AN30&gt;0,'Section Load'!AN30,0))</f>
        <v>936</v>
      </c>
      <c r="BH27" s="296">
        <f>(IF('Section Load'!AO30&gt;0,'Section Load'!AO30,0))</f>
        <v>286</v>
      </c>
      <c r="BI27" s="296">
        <f>(IF('Section Load'!AP30&gt;0,'Section Load'!AP30,0))</f>
        <v>0</v>
      </c>
      <c r="BJ27" s="296">
        <f>(IF('Section Load'!AQ30&gt;0,'Section Load'!AQ30,0))</f>
        <v>105</v>
      </c>
      <c r="BK27" s="296">
        <f>(IF('Section Load'!AR30&gt;0,'Section Load'!AR30,0))</f>
        <v>31</v>
      </c>
      <c r="BL27" s="296">
        <f>(IF('Section Load'!AS30&gt;0,'Section Load'!AS30,0))</f>
        <v>1</v>
      </c>
      <c r="BM27" s="296">
        <f>(IF('Section Load'!AT30&gt;0,'Section Load'!AT30,0))</f>
        <v>513</v>
      </c>
    </row>
    <row r="28" spans="1:65">
      <c r="A28" s="287" t="s">
        <v>268</v>
      </c>
      <c r="B28" s="288">
        <f t="shared" si="0"/>
        <v>27</v>
      </c>
      <c r="C28" s="288">
        <v>1</v>
      </c>
      <c r="D28" s="288">
        <v>2022</v>
      </c>
      <c r="E28" s="294">
        <f>(IF('Section Load'!F31&gt;0,'Section Load'!F31,0))</f>
        <v>2111</v>
      </c>
      <c r="F28" s="294">
        <f>(IF('Section Load'!G31&gt;0,'Section Load'!G31,0))</f>
        <v>1582</v>
      </c>
      <c r="G28" s="294">
        <f>(IF('Section Load'!H31&gt;0,'Section Load'!H31,0))</f>
        <v>1792</v>
      </c>
      <c r="H28" s="294">
        <f>(IF('Section Load'!I31&gt;0,'Section Load'!I31,0))</f>
        <v>2612</v>
      </c>
      <c r="I28" s="294">
        <f>(IF('Section Load'!J31&gt;0,'Section Load'!J31,0))</f>
        <v>3934</v>
      </c>
      <c r="J28" s="294">
        <f>(IF('Section Load'!K31&gt;0,'Section Load'!K31,0))</f>
        <v>1969</v>
      </c>
      <c r="K28" s="294">
        <f>(IF('Section Load'!L31&gt;0,'Section Load'!L31,0))</f>
        <v>977</v>
      </c>
      <c r="L28" s="294">
        <f>(IF('Section Load'!M31&gt;0,'Section Load'!M31,0))</f>
        <v>707</v>
      </c>
      <c r="M28" s="294">
        <f>(IF('Section Load'!N31&gt;0,'Section Load'!N31,0))</f>
        <v>58</v>
      </c>
      <c r="N28" s="294">
        <f>(IF('Section Load'!O31&gt;0,'Section Load'!O31,0))</f>
        <v>1</v>
      </c>
      <c r="O28" s="294">
        <f>(IF('Section Load'!P31&gt;0,'Section Load'!P31,0))</f>
        <v>0</v>
      </c>
      <c r="P28" s="294">
        <f>(IF('Section Load'!Q31&gt;0,'Section Load'!Q31,0))</f>
        <v>145</v>
      </c>
      <c r="Q28" s="294">
        <f>(IF('Section Load'!R31&gt;0,'Section Load'!R31,0))</f>
        <v>70</v>
      </c>
      <c r="R28" s="294">
        <f>(IF('Section Load'!S31&gt;0,'Section Load'!S31,0))</f>
        <v>5</v>
      </c>
      <c r="S28" s="294">
        <f>(IF('Section Load'!T31&gt;0,'Section Load'!T31,0))</f>
        <v>390</v>
      </c>
      <c r="T28" s="294">
        <f>(IF('Section Load'!U31&gt;0,'Section Load'!U31,0))</f>
        <v>198</v>
      </c>
      <c r="U28" s="294">
        <f>(IF('Section Load'!V31&gt;0,'Section Load'!V31,0))</f>
        <v>339</v>
      </c>
      <c r="V28" s="294">
        <f>(IF('Section Load'!W31&gt;0,'Section Load'!W31,0))</f>
        <v>225</v>
      </c>
      <c r="W28" s="294">
        <f>(IF('Section Load'!X31&gt;0,'Section Load'!X31,0))</f>
        <v>23</v>
      </c>
      <c r="X28" s="294">
        <f>(IF('Section Load'!Y31&gt;0,'Section Load'!Y31,0))</f>
        <v>198</v>
      </c>
      <c r="Y28" s="294">
        <f>(IF('Section Load'!Z31&gt;0,'Section Load'!Z31,0))</f>
        <v>265</v>
      </c>
      <c r="Z28" s="294">
        <f>(IF('Section Load'!AA31&gt;0,'Section Load'!AA31,0))</f>
        <v>22</v>
      </c>
      <c r="AA28" s="294">
        <f>(IF('Section Load'!AB31&gt;0,'Section Load'!AB31,0))</f>
        <v>41</v>
      </c>
      <c r="AB28" s="294">
        <f>(IF('Section Load'!AC31&gt;0,'Section Load'!AC31,0))</f>
        <v>0</v>
      </c>
      <c r="AC28" s="294">
        <f>(IF('Section Load'!AD31&gt;0,'Section Load'!AD31,0))</f>
        <v>68</v>
      </c>
      <c r="AD28" s="294">
        <f>(IF('Section Load'!AE31&gt;0,'Section Load'!AE31,0))</f>
        <v>0</v>
      </c>
      <c r="AE28" s="294">
        <f>(IF('Section Load'!AF31&gt;0,'Section Load'!AF31,0))</f>
        <v>19</v>
      </c>
      <c r="AF28" s="294">
        <f>(IF('Section Load'!AG31&gt;0,'Section Load'!AG31,0))</f>
        <v>355</v>
      </c>
      <c r="AG28" s="294">
        <f>(IF('Section Load'!AH31&gt;0,'Section Load'!AH31,0))</f>
        <v>386</v>
      </c>
      <c r="AH28" s="294">
        <f>(IF('Section Load'!AI31&gt;0,'Section Load'!AI31,0))</f>
        <v>400</v>
      </c>
      <c r="AI28" s="294">
        <f>(IF('Section Load'!AJ31&gt;0,'Section Load'!AJ31,0))</f>
        <v>552</v>
      </c>
      <c r="AJ28" s="294">
        <f>(IF('Section Load'!AK31&gt;0,'Section Load'!AK31,0))</f>
        <v>195</v>
      </c>
      <c r="AK28" s="294">
        <f>(IF('Section Load'!AL31&gt;0,'Section Load'!AL31,0))</f>
        <v>283</v>
      </c>
      <c r="AL28" s="294">
        <f>(IF('Section Load'!AM31&gt;0,'Section Load'!AM31,0))</f>
        <v>369</v>
      </c>
      <c r="AM28" s="295">
        <f>(IF('Water Report'!$AD$7&gt;0,'Water Report'!$AD$7,0))</f>
        <v>120</v>
      </c>
      <c r="AN28" s="295">
        <f>(IF('Water Report'!$AD$8&gt;0,'Water Report'!$AD$8,0))</f>
        <v>150</v>
      </c>
      <c r="AO28" s="295">
        <f>(IF('Water Report'!$AD$9&gt;0,'Water Report'!$AD$9,0))</f>
        <v>97</v>
      </c>
      <c r="AP28" s="295">
        <f>(IF('Water Report'!$AD$10&gt;0,'Water Report'!AD$10,0))</f>
        <v>25</v>
      </c>
      <c r="AQ28" s="295">
        <f>(IF('Water Report'!$AD$11&gt;0,'Water Report'!AE$11,0))</f>
        <v>23</v>
      </c>
      <c r="AR28" s="295">
        <f>(IF('Water Report'!$AD$13&gt;0,'Water Report'!AF$13,0))</f>
        <v>48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954</v>
      </c>
      <c r="BH28" s="296">
        <f>(IF('Section Load'!AO31&gt;0,'Section Load'!AO31,0))</f>
        <v>293</v>
      </c>
      <c r="BI28" s="296">
        <f>(IF('Section Load'!AP31&gt;0,'Section Load'!AP31,0))</f>
        <v>0</v>
      </c>
      <c r="BJ28" s="296">
        <f>(IF('Section Load'!AQ31&gt;0,'Section Load'!AQ31,0))</f>
        <v>99</v>
      </c>
      <c r="BK28" s="296">
        <f>(IF('Section Load'!AR31&gt;0,'Section Load'!AR31,0))</f>
        <v>27</v>
      </c>
      <c r="BL28" s="296">
        <f>(IF('Section Load'!AS31&gt;0,'Section Load'!AS31,0))</f>
        <v>1</v>
      </c>
      <c r="BM28" s="296">
        <f>(IF('Section Load'!AT31&gt;0,'Section Load'!AT31,0))</f>
        <v>534</v>
      </c>
    </row>
    <row r="29" spans="1:65">
      <c r="A29" s="287" t="s">
        <v>268</v>
      </c>
      <c r="B29" s="288">
        <f t="shared" si="0"/>
        <v>28</v>
      </c>
      <c r="C29" s="288">
        <v>1</v>
      </c>
      <c r="D29" s="288">
        <v>2022</v>
      </c>
      <c r="E29" s="294">
        <f>(IF('Section Load'!F32&gt;0,'Section Load'!F32,0))</f>
        <v>2153</v>
      </c>
      <c r="F29" s="294">
        <f>(IF('Section Load'!G32&gt;0,'Section Load'!G32,0))</f>
        <v>1576</v>
      </c>
      <c r="G29" s="294">
        <f>(IF('Section Load'!H32&gt;0,'Section Load'!H32,0))</f>
        <v>1753</v>
      </c>
      <c r="H29" s="294">
        <f>(IF('Section Load'!I32&gt;0,'Section Load'!I32,0))</f>
        <v>2604</v>
      </c>
      <c r="I29" s="294">
        <f>(IF('Section Load'!J32&gt;0,'Section Load'!J32,0))</f>
        <v>4136</v>
      </c>
      <c r="J29" s="294">
        <f>(IF('Section Load'!K32&gt;0,'Section Load'!K32,0))</f>
        <v>1961</v>
      </c>
      <c r="K29" s="294">
        <f>(IF('Section Load'!L32&gt;0,'Section Load'!L32,0))</f>
        <v>1036</v>
      </c>
      <c r="L29" s="294">
        <f>(IF('Section Load'!M32&gt;0,'Section Load'!M32,0))</f>
        <v>689</v>
      </c>
      <c r="M29" s="294">
        <f>(IF('Section Load'!N32&gt;0,'Section Load'!N32,0))</f>
        <v>48</v>
      </c>
      <c r="N29" s="294">
        <f>(IF('Section Load'!O32&gt;0,'Section Load'!O32,0))</f>
        <v>0</v>
      </c>
      <c r="O29" s="294">
        <f>(IF('Section Load'!P32&gt;0,'Section Load'!P32,0))</f>
        <v>0</v>
      </c>
      <c r="P29" s="294">
        <f>(IF('Section Load'!Q32&gt;0,'Section Load'!Q32,0))</f>
        <v>172</v>
      </c>
      <c r="Q29" s="294">
        <f>(IF('Section Load'!R32&gt;0,'Section Load'!R32,0))</f>
        <v>77</v>
      </c>
      <c r="R29" s="294">
        <f>(IF('Section Load'!S32&gt;0,'Section Load'!S32,0))</f>
        <v>9</v>
      </c>
      <c r="S29" s="294">
        <f>(IF('Section Load'!T32&gt;0,'Section Load'!T32,0))</f>
        <v>401</v>
      </c>
      <c r="T29" s="294">
        <f>(IF('Section Load'!U32&gt;0,'Section Load'!U32,0))</f>
        <v>195</v>
      </c>
      <c r="U29" s="294">
        <f>(IF('Section Load'!V32&gt;0,'Section Load'!V32,0))</f>
        <v>379</v>
      </c>
      <c r="V29" s="294">
        <f>(IF('Section Load'!W32&gt;0,'Section Load'!W32,0))</f>
        <v>185</v>
      </c>
      <c r="W29" s="294">
        <f>(IF('Section Load'!X32&gt;0,'Section Load'!X32,0))</f>
        <v>28</v>
      </c>
      <c r="X29" s="294">
        <f>(IF('Section Load'!Y32&gt;0,'Section Load'!Y32,0))</f>
        <v>203</v>
      </c>
      <c r="Y29" s="294">
        <f>(IF('Section Load'!Z32&gt;0,'Section Load'!Z32,0))</f>
        <v>254</v>
      </c>
      <c r="Z29" s="294">
        <f>(IF('Section Load'!AA32&gt;0,'Section Load'!AA32,0))</f>
        <v>29</v>
      </c>
      <c r="AA29" s="294">
        <f>(IF('Section Load'!AB32&gt;0,'Section Load'!AB32,0))</f>
        <v>39</v>
      </c>
      <c r="AB29" s="294">
        <f>(IF('Section Load'!AC32&gt;0,'Section Load'!AC32,0))</f>
        <v>0.43000000000029104</v>
      </c>
      <c r="AC29" s="294">
        <f>(IF('Section Load'!AD32&gt;0,'Section Load'!AD32,0))</f>
        <v>45.899999999999636</v>
      </c>
      <c r="AD29" s="294">
        <f>(IF('Section Load'!AE32&gt;0,'Section Load'!AE32,0))</f>
        <v>0</v>
      </c>
      <c r="AE29" s="294">
        <f>(IF('Section Load'!AF32&gt;0,'Section Load'!AF32,0))</f>
        <v>23</v>
      </c>
      <c r="AF29" s="294">
        <f>(IF('Section Load'!AG32&gt;0,'Section Load'!AG32,0))</f>
        <v>349</v>
      </c>
      <c r="AG29" s="294">
        <f>(IF('Section Load'!AH32&gt;0,'Section Load'!AH32,0))</f>
        <v>422</v>
      </c>
      <c r="AH29" s="294">
        <f>(IF('Section Load'!AI32&gt;0,'Section Load'!AI32,0))</f>
        <v>415</v>
      </c>
      <c r="AI29" s="294">
        <f>(IF('Section Load'!AJ32&gt;0,'Section Load'!AJ32,0))</f>
        <v>708</v>
      </c>
      <c r="AJ29" s="294">
        <f>(IF('Section Load'!AK32&gt;0,'Section Load'!AK32,0))</f>
        <v>190</v>
      </c>
      <c r="AK29" s="294">
        <f>(IF('Section Load'!AL32&gt;0,'Section Load'!AL32,0))</f>
        <v>277</v>
      </c>
      <c r="AL29" s="294">
        <f>(IF('Section Load'!AM32&gt;0,'Section Load'!AM32,0))</f>
        <v>407</v>
      </c>
      <c r="AM29" s="295">
        <f>(IF('Water Report'!$AE$7&gt;0,'Water Report'!$AE$7,0))</f>
        <v>90</v>
      </c>
      <c r="AN29" s="295">
        <f>(IF('Water Report'!$AE$8&gt;0,'Water Report'!$AE$8,0))</f>
        <v>139</v>
      </c>
      <c r="AO29" s="295">
        <f>(IF('Water Report'!$AE$9&gt;0,'Water Report'!$AE$9,0))</f>
        <v>89</v>
      </c>
      <c r="AP29" s="295">
        <f>(IF('Water Report'!$AE$10&gt;0,'Water Report'!$AE$10,0))</f>
        <v>17</v>
      </c>
      <c r="AQ29" s="295">
        <f>(IF('Water Report'!$AE$11&gt;0,'Water Report'!$AE$11,0))</f>
        <v>23</v>
      </c>
      <c r="AR29" s="295">
        <f>(IF('Water Report'!$AE$13&gt;0,'Water Report'!$AE$13,0))</f>
        <v>68</v>
      </c>
      <c r="AS29" s="295">
        <f>(IF('Water Report'!$AE$14&gt;0,'Water Report'!$AE$14,0))</f>
        <v>6</v>
      </c>
      <c r="AT29" s="295">
        <f>(IF('Water Report'!$AE$15&gt;0,'Water Report'!$AE$15,0))</f>
        <v>9</v>
      </c>
      <c r="AU29" s="295">
        <f>(IF('Water Report'!$AE$17&gt;0,'Water Report'!$AE$17,0))</f>
        <v>0</v>
      </c>
      <c r="AV29" s="295">
        <f>(IF('Water Report'!$AE$18&gt;0,'Water Report'!$AE$18,0))</f>
        <v>15</v>
      </c>
      <c r="AW29" s="295">
        <f>(IF('Water Report'!$AE$19&gt;0,'Water Report'!$AE$19,0))</f>
        <v>9</v>
      </c>
      <c r="AX29" s="301">
        <f>(IF('Water Report'!$AE$21&gt;0,'Water Report'!$AE$21,0))</f>
        <v>50</v>
      </c>
      <c r="AY29" s="301">
        <f>(IF('Water Report'!$AE$22&gt;0,'Water Report'!$AE$22,0))</f>
        <v>69</v>
      </c>
      <c r="AZ29" s="301">
        <f>(IF('Water Report'!$AE$23&gt;0,'Water Report'!$AE$23,0))</f>
        <v>3</v>
      </c>
      <c r="BA29" s="301">
        <f>(IF('Water Report'!$AE$14&gt;0,'Water Report'!$AE$14,0))</f>
        <v>6</v>
      </c>
      <c r="BB29" s="301">
        <f>(IF('Water Report'!$AE$15&gt;0,'Water Report'!$AE$15,0))</f>
        <v>9</v>
      </c>
      <c r="BC29" s="301">
        <f>(IF('Water Report'!$AE$13&gt;0,'Water Report'!$AE$13,0))</f>
        <v>68</v>
      </c>
      <c r="BD29" s="301">
        <f>(IF('Water Report'!$AE$24&gt;0,'Water Report'!$AE$24,0))</f>
        <v>92</v>
      </c>
      <c r="BE29" s="301">
        <f>(IF('Water Report'!$AE$25&gt;0,'Water Report'!$AE$25,0))</f>
        <v>144</v>
      </c>
      <c r="BF29" s="301">
        <f>(IF('Water Report'!$AE$27&gt;0,'Water Report'!$AE$27,0))</f>
        <v>121</v>
      </c>
      <c r="BG29" s="296">
        <f>(IF('Section Load'!AN32&gt;0,'Section Load'!AN32,0))</f>
        <v>971</v>
      </c>
      <c r="BH29" s="296">
        <f>(IF('Section Load'!AO32&gt;0,'Section Load'!AO32,0))</f>
        <v>352</v>
      </c>
      <c r="BI29" s="296">
        <f>(IF('Section Load'!AP32&gt;0,'Section Load'!AP32,0))</f>
        <v>0</v>
      </c>
      <c r="BJ29" s="296">
        <f>(IF('Section Load'!AQ32&gt;0,'Section Load'!AQ32,0))</f>
        <v>83</v>
      </c>
      <c r="BK29" s="296">
        <f>(IF('Section Load'!AR32&gt;0,'Section Load'!AR32,0))</f>
        <v>50</v>
      </c>
      <c r="BL29" s="296">
        <f>(IF('Section Load'!AS32&gt;0,'Section Load'!AS32,0))</f>
        <v>1</v>
      </c>
      <c r="BM29" s="296">
        <f>(IF('Section Load'!AT32&gt;0,'Section Load'!AT32,0))</f>
        <v>485</v>
      </c>
    </row>
    <row r="30" spans="1:65">
      <c r="A30" s="287" t="s">
        <v>268</v>
      </c>
      <c r="B30" s="288">
        <f t="shared" si="0"/>
        <v>29</v>
      </c>
      <c r="C30" s="288">
        <v>1</v>
      </c>
      <c r="D30" s="288">
        <v>2022</v>
      </c>
      <c r="E30" s="294">
        <f>(IF('Section Load'!F33&gt;0,'Section Load'!F33,0))</f>
        <v>2108</v>
      </c>
      <c r="F30" s="294">
        <f>(IF('Section Load'!G33&gt;0,'Section Load'!G33,0))</f>
        <v>1611</v>
      </c>
      <c r="G30" s="294">
        <f>(IF('Section Load'!H33&gt;0,'Section Load'!H33,0))</f>
        <v>1750</v>
      </c>
      <c r="H30" s="294">
        <f>(IF('Section Load'!I33&gt;0,'Section Load'!I33,0))</f>
        <v>2606</v>
      </c>
      <c r="I30" s="294">
        <f>(IF('Section Load'!J33&gt;0,'Section Load'!J33,0))</f>
        <v>3572</v>
      </c>
      <c r="J30" s="294">
        <f>(IF('Section Load'!K33&gt;0,'Section Load'!K33,0))</f>
        <v>2065</v>
      </c>
      <c r="K30" s="294">
        <f>(IF('Section Load'!L33&gt;0,'Section Load'!L33,0))</f>
        <v>983</v>
      </c>
      <c r="L30" s="294">
        <f>(IF('Section Load'!M33&gt;0,'Section Load'!M33,0))</f>
        <v>695</v>
      </c>
      <c r="M30" s="294">
        <f>(IF('Section Load'!N33&gt;0,'Section Load'!N33,0))</f>
        <v>48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185</v>
      </c>
      <c r="Q30" s="294">
        <f>(IF('Section Load'!R33&gt;0,'Section Load'!R33,0))</f>
        <v>78</v>
      </c>
      <c r="R30" s="294">
        <f>(IF('Section Load'!S33&gt;0,'Section Load'!S33,0))</f>
        <v>8</v>
      </c>
      <c r="S30" s="294">
        <f>(IF('Section Load'!T33&gt;0,'Section Load'!T33,0))</f>
        <v>383</v>
      </c>
      <c r="T30" s="294">
        <f>(IF('Section Load'!U33&gt;0,'Section Load'!U33,0))</f>
        <v>200</v>
      </c>
      <c r="U30" s="294">
        <f>(IF('Section Load'!V33&gt;0,'Section Load'!V33,0))</f>
        <v>374</v>
      </c>
      <c r="V30" s="294">
        <f>(IF('Section Load'!W33&gt;0,'Section Load'!W33,0))</f>
        <v>185</v>
      </c>
      <c r="W30" s="294">
        <f>(IF('Section Load'!X33&gt;0,'Section Load'!X33,0))</f>
        <v>25</v>
      </c>
      <c r="X30" s="294">
        <f>(IF('Section Load'!Y33&gt;0,'Section Load'!Y33,0))</f>
        <v>211</v>
      </c>
      <c r="Y30" s="294">
        <f>(IF('Section Load'!Z33&gt;0,'Section Load'!Z33,0))</f>
        <v>250</v>
      </c>
      <c r="Z30" s="294">
        <f>(IF('Section Load'!AA33&gt;0,'Section Load'!AA33,0))</f>
        <v>25</v>
      </c>
      <c r="AA30" s="294">
        <f>(IF('Section Load'!AB33&gt;0,'Section Load'!AB33,0))</f>
        <v>29</v>
      </c>
      <c r="AB30" s="294">
        <f>(IF('Section Load'!AC33&gt;0,'Section Load'!AC33,0))</f>
        <v>0</v>
      </c>
      <c r="AC30" s="294">
        <f>(IF('Section Load'!AD33&gt;0,'Section Load'!AD33,0))</f>
        <v>50.100000000000364</v>
      </c>
      <c r="AD30" s="294">
        <f>(IF('Section Load'!AE33&gt;0,'Section Load'!AE33,0))</f>
        <v>0</v>
      </c>
      <c r="AE30" s="294">
        <f>(IF('Section Load'!AF33&gt;0,'Section Load'!AF33,0))</f>
        <v>24</v>
      </c>
      <c r="AF30" s="294">
        <f>(IF('Section Load'!AG33&gt;0,'Section Load'!AG33,0))</f>
        <v>336</v>
      </c>
      <c r="AG30" s="294">
        <f>(IF('Section Load'!AH33&gt;0,'Section Load'!AH33,0))</f>
        <v>417</v>
      </c>
      <c r="AH30" s="294">
        <f>(IF('Section Load'!AI33&gt;0,'Section Load'!AI33,0))</f>
        <v>424</v>
      </c>
      <c r="AI30" s="294">
        <f>(IF('Section Load'!AJ33&gt;0,'Section Load'!AJ33,0))</f>
        <v>710</v>
      </c>
      <c r="AJ30" s="294">
        <f>(IF('Section Load'!AK33&gt;0,'Section Load'!AK33,0))</f>
        <v>200</v>
      </c>
      <c r="AK30" s="294">
        <f>(IF('Section Load'!AL33&gt;0,'Section Load'!AL33,0))</f>
        <v>275</v>
      </c>
      <c r="AL30" s="294">
        <f>(IF('Section Load'!AM33&gt;0,'Section Load'!AM33,0))</f>
        <v>494</v>
      </c>
      <c r="AM30" s="295">
        <f>(IF('Water Report'!$AF$7&gt;0,'Water Report'!$AF$7,0))</f>
        <v>102</v>
      </c>
      <c r="AN30" s="295">
        <f>(IF('Water Report'!$AF$8&gt;0,'Water Report'!$AF$8,0))</f>
        <v>139</v>
      </c>
      <c r="AO30" s="295">
        <f>(IF('Water Report'!$AF$9&gt;0,'Water Report'!$AF$9,0))</f>
        <v>84</v>
      </c>
      <c r="AP30" s="295">
        <f>(IF('Water Report'!$AF$10&gt;0,'Water Report'!$AF$10,0))</f>
        <v>22</v>
      </c>
      <c r="AQ30" s="295">
        <f>(IF('Water Report'!$AF$11&gt;0,'Water Report'!$AF$11,0))</f>
        <v>25</v>
      </c>
      <c r="AR30" s="295">
        <f>(IF('Water Report'!$AF$13&gt;0,'Water Report'!$AF$13,0))</f>
        <v>48</v>
      </c>
      <c r="AS30" s="295">
        <f>(IF('Water Report'!$AF$14&gt;0,'Water Report'!$AF$14,0))</f>
        <v>7</v>
      </c>
      <c r="AT30" s="295">
        <f>(IF('Water Report'!$AF$15&gt;0,'Water Report'!$AF$15,0))</f>
        <v>15</v>
      </c>
      <c r="AU30" s="295">
        <f>(IF('Water Report'!$AF$17&gt;0,'Water Report'!$AF$17,0))</f>
        <v>0</v>
      </c>
      <c r="AV30" s="295">
        <f>(IF('Water Report'!$AF$18&gt;0,'Water Report'!$AF$18,0))</f>
        <v>13</v>
      </c>
      <c r="AW30" s="295">
        <f>(IF('Water Report'!$AF$19&gt;0,'Water Report'!$AF$19,0))</f>
        <v>12</v>
      </c>
      <c r="AX30" s="301">
        <f>(IF('Water Report'!$AF$21&gt;0,'Water Report'!$AF$21,0))</f>
        <v>42</v>
      </c>
      <c r="AY30" s="301">
        <f>(IF('Water Report'!$AF$22&gt;0,'Water Report'!$AF$22,0))</f>
        <v>18</v>
      </c>
      <c r="AZ30" s="301">
        <f>(IF('Water Report'!$AF$23&gt;0,'Water Report'!$AF$23,0))</f>
        <v>15</v>
      </c>
      <c r="BA30" s="301">
        <f>(IF('Water Report'!$AF$14&gt;0,'Water Report'!$AF$14,0))</f>
        <v>7</v>
      </c>
      <c r="BB30" s="301">
        <f>(IF('Water Report'!$AF$15&gt;0,'Water Report'!$AF$15,0))</f>
        <v>15</v>
      </c>
      <c r="BC30" s="301">
        <f>(IF('Water Report'!$AF$13&gt;0,'Water Report'!$AF$13,0))</f>
        <v>48</v>
      </c>
      <c r="BD30" s="301">
        <f>(IF('Water Report'!$AF$24&gt;0,'Water Report'!$AF$24,0))</f>
        <v>312</v>
      </c>
      <c r="BE30" s="301">
        <f>(IF('Water Report'!$AF$25&gt;0,'Water Report'!$AF$25,0))</f>
        <v>153</v>
      </c>
      <c r="BF30" s="301">
        <f>(IF('Water Report'!$AF$27&gt;0,'Water Report'!$AF$27,0))</f>
        <v>105</v>
      </c>
      <c r="BG30" s="296">
        <f>(IF('Section Load'!AN33&gt;0,'Section Load'!AN33,0))</f>
        <v>1002</v>
      </c>
      <c r="BH30" s="296">
        <f>(IF('Section Load'!AO33&gt;0,'Section Load'!AO33,0))</f>
        <v>303</v>
      </c>
      <c r="BI30" s="296">
        <f>(IF('Section Load'!AP33&gt;0,'Section Load'!AP33,0))</f>
        <v>0</v>
      </c>
      <c r="BJ30" s="296">
        <f>(IF('Section Load'!AQ33&gt;0,'Section Load'!AQ33,0))</f>
        <v>98</v>
      </c>
      <c r="BK30" s="296">
        <f>(IF('Section Load'!AR33&gt;0,'Section Load'!AR33,0))</f>
        <v>46</v>
      </c>
      <c r="BL30" s="296">
        <f>(IF('Section Load'!AS33&gt;0,'Section Load'!AS33,0))</f>
        <v>2</v>
      </c>
      <c r="BM30" s="296">
        <f>(IF('Section Load'!AT33&gt;0,'Section Load'!AT33,0))</f>
        <v>553</v>
      </c>
    </row>
    <row r="31" spans="1:65">
      <c r="A31" s="287" t="s">
        <v>268</v>
      </c>
      <c r="B31" s="288">
        <f t="shared" si="0"/>
        <v>30</v>
      </c>
      <c r="C31" s="288">
        <v>1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929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490</v>
      </c>
    </row>
    <row r="32" spans="1:65">
      <c r="A32" s="287" t="s">
        <v>268</v>
      </c>
      <c r="B32" s="288">
        <f t="shared" si="0"/>
        <v>31</v>
      </c>
      <c r="C32" s="288">
        <v>1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915.76699999999255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516.41800000001967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19"/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  <c r="Y1" s="719"/>
      <c r="Z1" s="719"/>
      <c r="AA1" s="719"/>
      <c r="AB1" s="719"/>
      <c r="AC1" s="719"/>
      <c r="AD1" s="719"/>
      <c r="AE1" s="719"/>
      <c r="AF1" s="719"/>
      <c r="AG1" s="719"/>
      <c r="AH1" s="719"/>
      <c r="AI1" s="719"/>
      <c r="AJ1" s="719"/>
      <c r="AK1" s="719"/>
      <c r="AL1" s="719"/>
      <c r="AM1" s="719"/>
      <c r="AN1" s="719"/>
      <c r="AO1" s="719"/>
      <c r="AP1" s="719"/>
      <c r="AQ1" s="719"/>
      <c r="AR1" s="719"/>
      <c r="AS1" s="719"/>
      <c r="AT1" s="719"/>
      <c r="AU1" s="719"/>
      <c r="AV1" s="719"/>
      <c r="AW1" s="719"/>
      <c r="AX1" s="719"/>
      <c r="AY1" s="719"/>
      <c r="AZ1" s="719"/>
      <c r="BA1" s="719"/>
      <c r="BB1" s="719"/>
      <c r="BC1" s="719"/>
      <c r="BD1" s="719"/>
      <c r="BE1" s="719"/>
      <c r="BF1" s="719"/>
      <c r="BG1" s="719"/>
      <c r="BH1" s="719"/>
      <c r="BI1" s="719"/>
      <c r="BJ1" s="719"/>
      <c r="BK1" s="719"/>
      <c r="BL1" s="719"/>
      <c r="BM1" s="719"/>
      <c r="BN1" s="719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20" t="s">
        <v>5</v>
      </c>
      <c r="I2" s="720"/>
      <c r="J2" s="720"/>
      <c r="K2" s="44"/>
      <c r="L2" s="721" t="s">
        <v>6</v>
      </c>
      <c r="M2" s="721"/>
      <c r="N2" s="721"/>
      <c r="O2" s="722" t="s">
        <v>7</v>
      </c>
      <c r="P2" s="722"/>
      <c r="Q2" s="722"/>
      <c r="R2" s="44" t="s">
        <v>8</v>
      </c>
      <c r="S2" s="723" t="s">
        <v>9</v>
      </c>
      <c r="T2" s="723"/>
      <c r="U2" s="723"/>
      <c r="V2" s="724" t="s">
        <v>10</v>
      </c>
      <c r="W2" s="725"/>
      <c r="X2" s="726"/>
      <c r="Y2" s="263"/>
      <c r="Z2" s="727" t="s">
        <v>11</v>
      </c>
      <c r="AA2" s="727"/>
      <c r="AB2" s="727"/>
      <c r="AC2" s="727"/>
      <c r="AD2" s="264"/>
      <c r="AE2" s="264" t="s">
        <v>12</v>
      </c>
      <c r="AF2" s="264" t="s">
        <v>13</v>
      </c>
      <c r="AG2" s="727" t="s">
        <v>14</v>
      </c>
      <c r="AH2" s="727"/>
      <c r="AI2" s="727"/>
      <c r="AJ2" s="264" t="s">
        <v>15</v>
      </c>
      <c r="AK2" s="727" t="s">
        <v>16</v>
      </c>
      <c r="AL2" s="727"/>
      <c r="AM2" s="727"/>
      <c r="AN2" s="264" t="s">
        <v>17</v>
      </c>
      <c r="AO2" s="5" t="s">
        <v>18</v>
      </c>
      <c r="AP2" s="728" t="s">
        <v>19</v>
      </c>
      <c r="AQ2" s="729"/>
      <c r="AR2" s="729"/>
      <c r="AS2" s="729"/>
      <c r="AT2" s="729"/>
      <c r="AU2" s="729"/>
      <c r="AV2" s="729"/>
      <c r="AW2" s="729"/>
      <c r="AX2" s="729"/>
      <c r="AY2" s="730"/>
      <c r="AZ2" s="728" t="s">
        <v>20</v>
      </c>
      <c r="BA2" s="729"/>
      <c r="BB2" s="729"/>
      <c r="BC2" s="729"/>
      <c r="BD2" s="729"/>
      <c r="BE2" s="729"/>
      <c r="BF2" s="729"/>
      <c r="BG2" s="729"/>
      <c r="BH2" s="729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22</v>
      </c>
      <c r="E4" s="50">
        <f>'1'!D4</f>
        <v>0.76</v>
      </c>
      <c r="F4" s="50">
        <f>'1'!D2</f>
        <v>0.96</v>
      </c>
      <c r="G4" s="19">
        <f>'1'!G7</f>
        <v>20006.53</v>
      </c>
      <c r="H4" s="19">
        <f>'1'!G8</f>
        <v>20449</v>
      </c>
      <c r="I4" s="19">
        <v>9</v>
      </c>
      <c r="J4" s="49">
        <f>H4*I4</f>
        <v>184041</v>
      </c>
      <c r="K4" s="45">
        <f>H4/202</f>
        <v>101.23267326732673</v>
      </c>
      <c r="L4" s="19">
        <f>'1'!G15</f>
        <v>1070.0859999998938</v>
      </c>
      <c r="M4" s="19">
        <v>56.2</v>
      </c>
      <c r="N4" s="45">
        <f>L4*M4</f>
        <v>60138.833199994035</v>
      </c>
      <c r="O4" s="19">
        <f>'1'!G20</f>
        <v>54</v>
      </c>
      <c r="P4" s="19">
        <v>108</v>
      </c>
      <c r="Q4" s="46">
        <f t="shared" ref="Q4:Q33" si="0">O4*P4</f>
        <v>5832</v>
      </c>
      <c r="R4" s="47">
        <f t="shared" ref="R4:R34" si="1">O4/(F4*202/100)</f>
        <v>27.846534653465348</v>
      </c>
      <c r="S4" s="19">
        <f>'1'!G24</f>
        <v>0</v>
      </c>
      <c r="T4" s="19">
        <v>69</v>
      </c>
      <c r="U4" s="48">
        <f>S4*T4</f>
        <v>0</v>
      </c>
      <c r="V4" s="22">
        <f>'1'!G65</f>
        <v>98</v>
      </c>
      <c r="W4" s="22">
        <f>'1'!G66</f>
        <v>28</v>
      </c>
      <c r="X4" s="22">
        <f>'1'!G67</f>
        <v>40</v>
      </c>
      <c r="Y4" s="22">
        <f>V4+W4+X4</f>
        <v>166</v>
      </c>
      <c r="Z4" s="19">
        <f>'1'!G84</f>
        <v>0</v>
      </c>
      <c r="AA4" s="19">
        <f>'1'!G85</f>
        <v>0</v>
      </c>
      <c r="AB4" s="19">
        <f>'1'!G86</f>
        <v>24</v>
      </c>
      <c r="AC4" s="19">
        <f>'1'!G87</f>
        <v>0</v>
      </c>
      <c r="AD4" s="19">
        <f>Z4+AA4+AB4+AC4</f>
        <v>24</v>
      </c>
      <c r="AE4" s="23">
        <f t="shared" ref="AE4:AE33" si="2">AU4+AV4+BE4+BF4</f>
        <v>2431.4200000000055</v>
      </c>
      <c r="AF4" s="23">
        <f>AE4/AD4</f>
        <v>101.3091666666669</v>
      </c>
      <c r="AG4" s="19">
        <f>'1'!G88</f>
        <v>6.3800000000010186</v>
      </c>
      <c r="AH4" s="19">
        <f>'1'!G89</f>
        <v>4.0900000000001455</v>
      </c>
      <c r="AI4" s="19">
        <f>'1'!G90</f>
        <v>5.6100000000005821</v>
      </c>
      <c r="AJ4" s="19">
        <f>AG4+AH4+AI4</f>
        <v>16.080000000001746</v>
      </c>
      <c r="AK4" s="19">
        <f>'1'!G91</f>
        <v>0</v>
      </c>
      <c r="AL4" s="19">
        <f>'1'!G92</f>
        <v>9.6599999999998545</v>
      </c>
      <c r="AM4" s="19"/>
      <c r="AN4" s="19">
        <f>AK4+AL4</f>
        <v>9.6599999999998545</v>
      </c>
      <c r="AO4" s="52">
        <f>'1'!G74</f>
        <v>267.77000000001863</v>
      </c>
      <c r="AP4" s="55">
        <f>'1'!G35</f>
        <v>2052.1199999999953</v>
      </c>
      <c r="AQ4" s="19">
        <f>'1'!G37</f>
        <v>1573.5100000000093</v>
      </c>
      <c r="AR4" s="19">
        <f>'1'!G38</f>
        <v>1665.429999999993</v>
      </c>
      <c r="AS4" s="19">
        <f>'1'!G39</f>
        <v>2724.390000000014</v>
      </c>
      <c r="AT4" s="19">
        <f>'1'!G40</f>
        <v>-2.9999999999745341E-2</v>
      </c>
      <c r="AU4" s="19">
        <f>'1'!G41</f>
        <v>0</v>
      </c>
      <c r="AV4" s="19">
        <f>'1'!G42</f>
        <v>-0.39999999999417923</v>
      </c>
      <c r="AW4" s="19">
        <f>'1'!G43</f>
        <v>2561.2300000000032</v>
      </c>
      <c r="AX4" s="19">
        <f>'1'!G44</f>
        <v>0</v>
      </c>
      <c r="AY4" s="56">
        <f>'1'!G36</f>
        <v>885.33000000000175</v>
      </c>
      <c r="AZ4" s="55">
        <f>'1'!G49</f>
        <v>1618.8300000000163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5.1300000000001091</v>
      </c>
      <c r="BE4" s="19">
        <f>'1'!G55</f>
        <v>2431.8199999999997</v>
      </c>
      <c r="BF4" s="19">
        <f>'1'!G56</f>
        <v>0</v>
      </c>
      <c r="BG4" s="19">
        <f>'1'!G57</f>
        <v>0</v>
      </c>
      <c r="BH4" s="56">
        <f>'1'!G50</f>
        <v>1236.0200000000004</v>
      </c>
      <c r="BI4" s="60">
        <f>SUM(AU4,AV4,BE4,BF4)</f>
        <v>2431.4200000000055</v>
      </c>
      <c r="BJ4" s="60">
        <f>'1'!G133</f>
        <v>833.86000000000058</v>
      </c>
      <c r="BK4" s="23">
        <f>SUM(AP4,AU4,AV4,AW4,AZ4,BE4,BF4,BG4)/H4%</f>
        <v>42.366863905325545</v>
      </c>
      <c r="BL4" s="23">
        <f>SUM(AS4,BC4)/H4%</f>
        <v>13.322851973201692</v>
      </c>
      <c r="BM4" s="24">
        <f>(AR4+BB4)/H4</f>
        <v>8.1443102352192917E-2</v>
      </c>
      <c r="BN4" s="25">
        <f>J4+N4+Q4+U4</f>
        <v>250011.83319999403</v>
      </c>
      <c r="BO4" s="38">
        <f>SUM(AU4,AV4,AW4,BE4,BF4,BG4,BJ4)</f>
        <v>5826.5100000000093</v>
      </c>
      <c r="BP4">
        <f>BO4/(AD4*280)</f>
        <v>0.86704017857143001</v>
      </c>
      <c r="BQ4" s="38">
        <f>SUM(AU4,AV4,BE4,BF4)/(AD4*400)</f>
        <v>0.25327291666666724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0.43559999999999999</v>
      </c>
      <c r="G5" s="19">
        <f>'2'!G7</f>
        <v>19489.369999999995</v>
      </c>
      <c r="H5" s="19">
        <f>'2'!G8</f>
        <v>19893</v>
      </c>
      <c r="I5" s="19">
        <v>9</v>
      </c>
      <c r="J5" s="49">
        <f t="shared" ref="J5:J34" si="3">H5*I5</f>
        <v>179037</v>
      </c>
      <c r="K5" s="45">
        <f t="shared" ref="K5:K33" si="4">H5/202</f>
        <v>98.480198019801975</v>
      </c>
      <c r="L5" s="19">
        <f>'2'!G15</f>
        <v>808.52700000000186</v>
      </c>
      <c r="M5" s="19">
        <v>56.2</v>
      </c>
      <c r="N5" s="45">
        <f t="shared" ref="N5:N33" si="5">L5*M5</f>
        <v>45439.217400000111</v>
      </c>
      <c r="O5" s="19">
        <f>'2'!G20</f>
        <v>56</v>
      </c>
      <c r="P5" s="19">
        <v>108</v>
      </c>
      <c r="Q5" s="46">
        <f t="shared" si="0"/>
        <v>6048</v>
      </c>
      <c r="R5" s="47">
        <f t="shared" si="1"/>
        <v>63.642727909154559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432772</v>
      </c>
      <c r="W5" s="22">
        <f>'2'!G66</f>
        <v>27</v>
      </c>
      <c r="X5" s="22">
        <f>'2'!G67</f>
        <v>39</v>
      </c>
      <c r="Y5" s="22">
        <f t="shared" ref="Y5:Y33" si="7">V5+W5+X5</f>
        <v>432838</v>
      </c>
      <c r="Z5" s="19">
        <f>'2'!G84</f>
        <v>0</v>
      </c>
      <c r="AA5" s="19">
        <f>'2'!G85</f>
        <v>0</v>
      </c>
      <c r="AB5" s="19">
        <f>'2'!G86</f>
        <v>24.110000000000582</v>
      </c>
      <c r="AC5" s="19">
        <f>'2'!G87</f>
        <v>0</v>
      </c>
      <c r="AD5" s="19">
        <f t="shared" ref="AD5:AD33" si="8">Z5+AA5+AB5+AC5</f>
        <v>24.110000000000582</v>
      </c>
      <c r="AE5" s="23">
        <f t="shared" si="2"/>
        <v>3100</v>
      </c>
      <c r="AF5" s="23">
        <f t="shared" ref="AF5:AF33" si="9">AE5/AD5</f>
        <v>128.57735379510265</v>
      </c>
      <c r="AG5" s="19">
        <f>'2'!G88</f>
        <v>2.6899999999986903</v>
      </c>
      <c r="AH5" s="19">
        <f>'2'!G89</f>
        <v>0.47000000000116415</v>
      </c>
      <c r="AI5" s="19">
        <f>'2'!G90</f>
        <v>9.1499999999941792</v>
      </c>
      <c r="AJ5" s="19">
        <f t="shared" ref="AJ5:AJ33" si="10">AG5+AH5+AI5</f>
        <v>12.309999999994034</v>
      </c>
      <c r="AK5" s="19">
        <f>'2'!G91</f>
        <v>0</v>
      </c>
      <c r="AL5" s="19">
        <f>'2'!G92</f>
        <v>9.0100000000002183</v>
      </c>
      <c r="AM5" s="19"/>
      <c r="AN5" s="19">
        <f t="shared" ref="AN5:AN33" si="11">AK5+AL5</f>
        <v>9.0100000000002183</v>
      </c>
      <c r="AO5" s="52">
        <f>'2'!G74</f>
        <v>258.03000000002794</v>
      </c>
      <c r="AP5" s="55">
        <f>'2'!G35</f>
        <v>2014.5200000000186</v>
      </c>
      <c r="AQ5" s="19">
        <f>'2'!G37</f>
        <v>1509.2399999999907</v>
      </c>
      <c r="AR5" s="19">
        <f>'2'!G38</f>
        <v>1563.0599999999977</v>
      </c>
      <c r="AS5" s="19">
        <f>'2'!G39</f>
        <v>2721.7999999999884</v>
      </c>
      <c r="AT5" s="19">
        <f>'2'!G40</f>
        <v>9.999999999308784E-3</v>
      </c>
      <c r="AU5" s="19">
        <f>'2'!G41</f>
        <v>0</v>
      </c>
      <c r="AV5" s="19">
        <f>'2'!G42</f>
        <v>0</v>
      </c>
      <c r="AW5" s="19">
        <f>'2'!G43</f>
        <v>2437.1699999999983</v>
      </c>
      <c r="AX5" s="19">
        <f>'2'!G44</f>
        <v>0</v>
      </c>
      <c r="AY5" s="56">
        <f>'2'!G36</f>
        <v>756.53999999999724</v>
      </c>
      <c r="AZ5" s="55">
        <f>'2'!G49</f>
        <v>1627.1699999999837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4.4600000000000364</v>
      </c>
      <c r="BE5" s="19">
        <f>'2'!G55</f>
        <v>3100</v>
      </c>
      <c r="BF5" s="19">
        <f>'2'!G56</f>
        <v>0</v>
      </c>
      <c r="BG5" s="19">
        <f>'2'!G57</f>
        <v>0</v>
      </c>
      <c r="BH5" s="56">
        <f>'2'!G50</f>
        <v>1150.7200000000012</v>
      </c>
      <c r="BI5" s="60">
        <f t="shared" ref="BI5:BI32" si="12">SUM(AU5,AV5,BE5,BF5)</f>
        <v>3100</v>
      </c>
      <c r="BJ5" s="60">
        <f>'2'!G133</f>
        <v>832.02000000000407</v>
      </c>
      <c r="BK5" s="23">
        <f t="shared" ref="BK5:BK33" si="13">SUM(AP5,AU5,AV5,AW5,AZ5,BE5,BF5,BG5)/H5%</f>
        <v>46.141155180214149</v>
      </c>
      <c r="BL5" s="23">
        <f t="shared" ref="BL5:BL33" si="14">SUM(AS5,BC5)/H5%</f>
        <v>13.682199768762823</v>
      </c>
      <c r="BM5" s="24">
        <f t="shared" ref="BM5:BM33" si="15">(AR5+BB5)/H5</f>
        <v>7.857336751621162E-2</v>
      </c>
      <c r="BN5" s="25">
        <f t="shared" ref="BN5:BN33" si="16">J5+N5+Q5+U5</f>
        <v>230524.21740000011</v>
      </c>
      <c r="BO5" s="38">
        <f t="shared" ref="BO5:BO35" si="17">SUM(AU5,AV5,AW5,BE5,BF5,BG5,BJ5)</f>
        <v>6369.1900000000023</v>
      </c>
      <c r="BP5">
        <f t="shared" ref="BP5:BP35" si="18">BO5/(AD5*280)</f>
        <v>0.94347188481362931</v>
      </c>
    </row>
    <row r="6" spans="1:69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19192.100000000006</v>
      </c>
      <c r="H6" s="19">
        <f>'3'!G8</f>
        <v>19529</v>
      </c>
      <c r="I6" s="19">
        <v>9</v>
      </c>
      <c r="J6" s="49">
        <f t="shared" si="3"/>
        <v>175761</v>
      </c>
      <c r="K6" s="45">
        <f t="shared" si="4"/>
        <v>96.678217821782184</v>
      </c>
      <c r="L6" s="19">
        <f>'3'!G15</f>
        <v>524.78700000001118</v>
      </c>
      <c r="M6" s="19">
        <v>56.2</v>
      </c>
      <c r="N6" s="45">
        <f t="shared" si="5"/>
        <v>29493.029400000629</v>
      </c>
      <c r="O6" s="19">
        <f>'3'!G20</f>
        <v>356</v>
      </c>
      <c r="P6" s="19">
        <v>108</v>
      </c>
      <c r="Q6" s="46">
        <f t="shared" si="0"/>
        <v>38448</v>
      </c>
      <c r="R6" s="47">
        <f t="shared" si="1"/>
        <v>345.56396816152204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40</v>
      </c>
      <c r="W6" s="22">
        <f>'3'!G66</f>
        <v>18</v>
      </c>
      <c r="X6" s="22">
        <f>'3'!G67</f>
        <v>20</v>
      </c>
      <c r="Y6" s="22">
        <f>V6+W6+X6</f>
        <v>78</v>
      </c>
      <c r="Z6" s="19">
        <f>'3'!G84</f>
        <v>0</v>
      </c>
      <c r="AA6" s="19">
        <f>'3'!G85</f>
        <v>0</v>
      </c>
      <c r="AB6" s="19">
        <f>'3'!G86</f>
        <v>24.040000000000873</v>
      </c>
      <c r="AC6" s="19">
        <f>'3'!G87</f>
        <v>0</v>
      </c>
      <c r="AD6" s="19">
        <f t="shared" si="8"/>
        <v>24.040000000000873</v>
      </c>
      <c r="AE6" s="23">
        <f t="shared" si="2"/>
        <v>3094.6399999999994</v>
      </c>
      <c r="AF6" s="23">
        <f t="shared" si="9"/>
        <v>128.72878535773239</v>
      </c>
      <c r="AG6" s="19">
        <f>'3'!G88</f>
        <v>0</v>
      </c>
      <c r="AH6" s="19">
        <f>'3'!G89</f>
        <v>0</v>
      </c>
      <c r="AI6" s="19">
        <f>'3'!G90</f>
        <v>3.2400000000052387</v>
      </c>
      <c r="AJ6" s="19">
        <f t="shared" si="10"/>
        <v>3.2400000000052387</v>
      </c>
      <c r="AK6" s="19">
        <f>'3'!G91</f>
        <v>0</v>
      </c>
      <c r="AL6" s="19">
        <f>'3'!G92</f>
        <v>8.5399999999999636</v>
      </c>
      <c r="AM6" s="19"/>
      <c r="AN6" s="19">
        <f t="shared" si="11"/>
        <v>8.5399999999999636</v>
      </c>
      <c r="AO6" s="52">
        <f>'3'!G74</f>
        <v>240.55999999993946</v>
      </c>
      <c r="AP6" s="55">
        <f>'3'!G35</f>
        <v>1878.3099999999977</v>
      </c>
      <c r="AQ6" s="19">
        <f>'3'!G37</f>
        <v>1514.2000000000116</v>
      </c>
      <c r="AR6" s="19">
        <f>'3'!G38</f>
        <v>1476.640000000014</v>
      </c>
      <c r="AS6" s="19">
        <f>'3'!G39</f>
        <v>2758.7999999999884</v>
      </c>
      <c r="AT6" s="19">
        <f>'3'!G40</f>
        <v>0</v>
      </c>
      <c r="AU6" s="19">
        <f>'3'!G41</f>
        <v>0</v>
      </c>
      <c r="AV6" s="19">
        <f>'3'!G42</f>
        <v>0</v>
      </c>
      <c r="AW6" s="19">
        <f>'3'!G43</f>
        <v>2419.6699999999983</v>
      </c>
      <c r="AX6" s="19">
        <f>'3'!G44</f>
        <v>0</v>
      </c>
      <c r="AY6" s="56">
        <f>'3'!G36</f>
        <v>783.35000000000218</v>
      </c>
      <c r="AZ6" s="55">
        <f>'3'!G49</f>
        <v>1895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4.4899999999997817</v>
      </c>
      <c r="BE6" s="19">
        <f>'3'!G55</f>
        <v>3094.6399999999994</v>
      </c>
      <c r="BF6" s="19">
        <f>'3'!G56</f>
        <v>0</v>
      </c>
      <c r="BG6" s="19">
        <f>'3'!G57</f>
        <v>0</v>
      </c>
      <c r="BH6" s="56">
        <f>'3'!G50</f>
        <v>965.46999999999753</v>
      </c>
      <c r="BI6" s="60">
        <f t="shared" si="12"/>
        <v>3094.6399999999994</v>
      </c>
      <c r="BJ6" s="60">
        <f>'3'!G133</f>
        <v>837.55999999999767</v>
      </c>
      <c r="BK6" s="23">
        <f t="shared" si="13"/>
        <v>47.558093092324214</v>
      </c>
      <c r="BL6" s="23">
        <f t="shared" si="14"/>
        <v>14.126683393926921</v>
      </c>
      <c r="BM6" s="24">
        <f t="shared" si="15"/>
        <v>7.5612678580573203E-2</v>
      </c>
      <c r="BN6" s="25">
        <f t="shared" si="16"/>
        <v>243702.02940000064</v>
      </c>
      <c r="BO6" s="38">
        <f t="shared" si="17"/>
        <v>6351.8699999999953</v>
      </c>
      <c r="BP6">
        <f t="shared" si="18"/>
        <v>0.9436460066555391</v>
      </c>
    </row>
    <row r="7" spans="1:69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19783.089999999997</v>
      </c>
      <c r="H7" s="19">
        <f>'4'!G8</f>
        <v>20218.950000000012</v>
      </c>
      <c r="I7" s="19">
        <v>9</v>
      </c>
      <c r="J7" s="49">
        <f t="shared" si="3"/>
        <v>181970.5500000001</v>
      </c>
      <c r="K7" s="45">
        <f t="shared" si="4"/>
        <v>100.09381188118817</v>
      </c>
      <c r="L7" s="19">
        <f>'4'!G15</f>
        <v>1035.25</v>
      </c>
      <c r="M7" s="19">
        <v>56.2</v>
      </c>
      <c r="N7" s="45">
        <f t="shared" si="5"/>
        <v>58181.05</v>
      </c>
      <c r="O7" s="19">
        <f>'4'!G20</f>
        <v>219</v>
      </c>
      <c r="P7" s="19">
        <v>108</v>
      </c>
      <c r="Q7" s="46">
        <f t="shared" si="0"/>
        <v>23652</v>
      </c>
      <c r="R7" s="47">
        <f t="shared" si="1"/>
        <v>120.98632025907646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81</v>
      </c>
      <c r="W7" s="22">
        <f>'4'!G66</f>
        <v>21</v>
      </c>
      <c r="X7" s="22">
        <f>'4'!G67</f>
        <v>27</v>
      </c>
      <c r="Y7" s="22">
        <f t="shared" si="7"/>
        <v>129</v>
      </c>
      <c r="Z7" s="19">
        <f>'4'!G84</f>
        <v>0.26000000000203727</v>
      </c>
      <c r="AA7" s="19">
        <f>'4'!G85</f>
        <v>0</v>
      </c>
      <c r="AB7" s="19">
        <f>'4'!G86</f>
        <v>24.419999999998254</v>
      </c>
      <c r="AC7" s="19">
        <f>'4'!G87</f>
        <v>0</v>
      </c>
      <c r="AD7" s="19">
        <f t="shared" si="8"/>
        <v>24.680000000000291</v>
      </c>
      <c r="AE7" s="23">
        <f t="shared" si="2"/>
        <v>3146.7900000000009</v>
      </c>
      <c r="AF7" s="23">
        <f t="shared" si="9"/>
        <v>127.50364667747017</v>
      </c>
      <c r="AG7" s="19">
        <f>'4'!G88</f>
        <v>1.9900000000016007</v>
      </c>
      <c r="AH7" s="19">
        <f>'4'!G89</f>
        <v>8.7199999999975262</v>
      </c>
      <c r="AI7" s="19">
        <f>'4'!G90</f>
        <v>4.1399999999994179</v>
      </c>
      <c r="AJ7" s="19">
        <f t="shared" si="10"/>
        <v>14.849999999998545</v>
      </c>
      <c r="AK7" s="19">
        <f>'4'!G91</f>
        <v>0</v>
      </c>
      <c r="AL7" s="19">
        <f>'4'!G92</f>
        <v>11.090000000000146</v>
      </c>
      <c r="AM7" s="19"/>
      <c r="AN7" s="19">
        <f t="shared" si="11"/>
        <v>11.090000000000146</v>
      </c>
      <c r="AO7" s="52">
        <f>'4'!G74</f>
        <v>317.86999999999534</v>
      </c>
      <c r="AP7" s="55">
        <f>'4'!G35</f>
        <v>1887.8299999999872</v>
      </c>
      <c r="AQ7" s="19">
        <f>'4'!G37</f>
        <v>1526.8799999999756</v>
      </c>
      <c r="AR7" s="19">
        <f>'4'!G38</f>
        <v>1752.359999999986</v>
      </c>
      <c r="AS7" s="19">
        <f>'4'!G39</f>
        <v>2740.5200000000186</v>
      </c>
      <c r="AT7" s="19">
        <f>'4'!G40</f>
        <v>0</v>
      </c>
      <c r="AU7" s="19">
        <f>'4'!G41</f>
        <v>0</v>
      </c>
      <c r="AV7" s="19">
        <f>'4'!G42</f>
        <v>0</v>
      </c>
      <c r="AW7" s="19">
        <f>'4'!G43</f>
        <v>2444.6500000000015</v>
      </c>
      <c r="AX7" s="19">
        <f>'4'!G44</f>
        <v>0</v>
      </c>
      <c r="AY7" s="56">
        <f>'4'!G36</f>
        <v>727.02999999999884</v>
      </c>
      <c r="AZ7" s="55">
        <f>'4'!G49</f>
        <v>1435.0300000000279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198.08</v>
      </c>
      <c r="BE7" s="19">
        <f>'4'!G55</f>
        <v>3146.7900000000009</v>
      </c>
      <c r="BF7" s="19">
        <f>'4'!G56</f>
        <v>0</v>
      </c>
      <c r="BG7" s="19">
        <f>'4'!G57</f>
        <v>0</v>
      </c>
      <c r="BH7" s="56">
        <f>'4'!G50</f>
        <v>1036.4099999999999</v>
      </c>
      <c r="BI7" s="60">
        <f t="shared" si="12"/>
        <v>3146.7900000000009</v>
      </c>
      <c r="BJ7" s="60">
        <f>'3'!G133</f>
        <v>837.55999999999767</v>
      </c>
      <c r="BK7" s="23">
        <f t="shared" si="13"/>
        <v>44.088837451994351</v>
      </c>
      <c r="BL7" s="23">
        <f t="shared" si="14"/>
        <v>13.554215228782983</v>
      </c>
      <c r="BM7" s="24">
        <f t="shared" si="15"/>
        <v>8.6669189052843251E-2</v>
      </c>
      <c r="BN7" s="25">
        <f t="shared" si="16"/>
        <v>263803.60000000009</v>
      </c>
      <c r="BO7" s="38">
        <f t="shared" si="17"/>
        <v>6429</v>
      </c>
      <c r="BP7">
        <f t="shared" si="18"/>
        <v>0.93033688353784505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0.55940000000000001</v>
      </c>
      <c r="G8" s="19">
        <f>'5'!G7</f>
        <v>19899.910000000003</v>
      </c>
      <c r="H8" s="19">
        <f>'5'!G8</f>
        <v>20335.049999999988</v>
      </c>
      <c r="I8" s="19">
        <v>9</v>
      </c>
      <c r="J8" s="49">
        <f t="shared" si="3"/>
        <v>183015.4499999999</v>
      </c>
      <c r="K8" s="45">
        <f t="shared" si="4"/>
        <v>100.66856435643558</v>
      </c>
      <c r="L8" s="19">
        <f>'5'!G15</f>
        <v>1002.0500000000466</v>
      </c>
      <c r="M8" s="19">
        <v>56.2</v>
      </c>
      <c r="N8" s="45">
        <f t="shared" si="5"/>
        <v>56315.210000002618</v>
      </c>
      <c r="O8" s="19">
        <f>'5'!G20</f>
        <v>171</v>
      </c>
      <c r="P8" s="19">
        <v>108</v>
      </c>
      <c r="Q8" s="46">
        <f t="shared" si="0"/>
        <v>18468</v>
      </c>
      <c r="R8" s="47">
        <f t="shared" si="1"/>
        <v>151.32904066237873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74</v>
      </c>
      <c r="W8" s="22">
        <f>'5'!G66</f>
        <v>19</v>
      </c>
      <c r="X8" s="22">
        <f>'5'!G67</f>
        <v>22</v>
      </c>
      <c r="Y8" s="22">
        <f t="shared" si="7"/>
        <v>115</v>
      </c>
      <c r="Z8" s="19">
        <f>'5'!G84</f>
        <v>-0.26000000000203727</v>
      </c>
      <c r="AA8" s="19">
        <f>'5'!G85</f>
        <v>0</v>
      </c>
      <c r="AB8" s="19">
        <f>'5'!G86</f>
        <v>23.75</v>
      </c>
      <c r="AC8" s="19">
        <f>'5'!G87</f>
        <v>0</v>
      </c>
      <c r="AD8" s="19">
        <f t="shared" si="8"/>
        <v>23.489999999997963</v>
      </c>
      <c r="AE8" s="23">
        <f t="shared" si="2"/>
        <v>3314.6699999999983</v>
      </c>
      <c r="AF8" s="23">
        <f t="shared" si="9"/>
        <v>141.10983397191509</v>
      </c>
      <c r="AG8" s="19">
        <f>'5'!G88</f>
        <v>0</v>
      </c>
      <c r="AH8" s="19">
        <f>'5'!G89</f>
        <v>9.6200000000026193</v>
      </c>
      <c r="AI8" s="19">
        <f>'5'!G90</f>
        <v>4.0399999999935972</v>
      </c>
      <c r="AJ8" s="19">
        <f t="shared" si="10"/>
        <v>13.659999999996217</v>
      </c>
      <c r="AK8" s="19">
        <f>'5'!G91</f>
        <v>0</v>
      </c>
      <c r="AL8" s="19">
        <f>'5'!G92</f>
        <v>9.8599999999996726</v>
      </c>
      <c r="AM8" s="19"/>
      <c r="AN8" s="19">
        <f t="shared" si="11"/>
        <v>9.8599999999996726</v>
      </c>
      <c r="AO8" s="52">
        <f>'5'!G74</f>
        <v>282.26000000000931</v>
      </c>
      <c r="AP8" s="55">
        <f>'5'!G35</f>
        <v>1878.8500000000058</v>
      </c>
      <c r="AQ8" s="19">
        <f>'5'!G37</f>
        <v>1513.0600000000268</v>
      </c>
      <c r="AR8" s="19">
        <f>'5'!G38</f>
        <v>1672.4000000000233</v>
      </c>
      <c r="AS8" s="19">
        <f>'5'!G39</f>
        <v>2669.0800000000163</v>
      </c>
      <c r="AT8" s="19">
        <f>'5'!G40</f>
        <v>417.76000000000022</v>
      </c>
      <c r="AU8" s="19">
        <f>'5'!G41</f>
        <v>0</v>
      </c>
      <c r="AV8" s="19">
        <f>'5'!G42</f>
        <v>0</v>
      </c>
      <c r="AW8" s="19">
        <f>'5'!G43</f>
        <v>2407.4700000000012</v>
      </c>
      <c r="AX8" s="19">
        <f>'5'!G44</f>
        <v>0</v>
      </c>
      <c r="AY8" s="56">
        <f>'5'!G36</f>
        <v>802.54000000000087</v>
      </c>
      <c r="AZ8" s="55">
        <f>'5'!G49</f>
        <v>1608.859999999986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461.61</v>
      </c>
      <c r="BE8" s="19">
        <f>'5'!G55</f>
        <v>3314.6699999999983</v>
      </c>
      <c r="BF8" s="19">
        <f>'5'!G56</f>
        <v>0</v>
      </c>
      <c r="BG8" s="19">
        <f>'5'!G57</f>
        <v>0</v>
      </c>
      <c r="BH8" s="56">
        <f>'5'!G50</f>
        <v>989.63999999999942</v>
      </c>
      <c r="BI8" s="60">
        <f t="shared" si="12"/>
        <v>3314.6699999999983</v>
      </c>
      <c r="BJ8" s="60">
        <f>'5'!G133</f>
        <v>846.25</v>
      </c>
      <c r="BK8" s="23">
        <f t="shared" si="13"/>
        <v>45.29052055441219</v>
      </c>
      <c r="BL8" s="23">
        <f t="shared" si="14"/>
        <v>13.125514813093735</v>
      </c>
      <c r="BM8" s="24">
        <f t="shared" si="15"/>
        <v>8.2242236925900075E-2</v>
      </c>
      <c r="BN8" s="25">
        <f t="shared" si="16"/>
        <v>257798.66000000251</v>
      </c>
      <c r="BO8" s="38">
        <f t="shared" si="17"/>
        <v>6568.3899999999994</v>
      </c>
      <c r="BP8">
        <f t="shared" si="18"/>
        <v>0.99866052423532337</v>
      </c>
    </row>
    <row r="9" spans="1:69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0.78</v>
      </c>
      <c r="G9" s="19">
        <f>'6'!G7</f>
        <v>20272</v>
      </c>
      <c r="H9" s="19">
        <f>'6'!G8</f>
        <v>20708</v>
      </c>
      <c r="I9" s="19">
        <v>9</v>
      </c>
      <c r="J9" s="49">
        <f t="shared" si="3"/>
        <v>186372</v>
      </c>
      <c r="K9" s="45">
        <f t="shared" si="4"/>
        <v>102.51485148514851</v>
      </c>
      <c r="L9" s="19">
        <f>'6'!G15</f>
        <v>933.30000000004657</v>
      </c>
      <c r="M9" s="19">
        <v>56.2</v>
      </c>
      <c r="N9" s="45">
        <f t="shared" si="5"/>
        <v>52451.460000002618</v>
      </c>
      <c r="O9" s="19">
        <f>'6'!G20</f>
        <v>164</v>
      </c>
      <c r="P9" s="19">
        <v>108</v>
      </c>
      <c r="Q9" s="46">
        <f t="shared" si="0"/>
        <v>17712</v>
      </c>
      <c r="R9" s="47">
        <f t="shared" si="1"/>
        <v>104.08733181010408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69</v>
      </c>
      <c r="W9" s="22">
        <f>'6'!G66</f>
        <v>15</v>
      </c>
      <c r="X9" s="22">
        <f>'6'!G67</f>
        <v>21</v>
      </c>
      <c r="Y9" s="22">
        <f t="shared" si="7"/>
        <v>105</v>
      </c>
      <c r="Z9" s="19">
        <f>'6'!G84</f>
        <v>0</v>
      </c>
      <c r="AA9" s="19">
        <f>'6'!G85</f>
        <v>0</v>
      </c>
      <c r="AB9" s="19">
        <f>'6'!G86</f>
        <v>24.160000000003492</v>
      </c>
      <c r="AC9" s="19">
        <f>'6'!G87</f>
        <v>0</v>
      </c>
      <c r="AD9" s="19">
        <f t="shared" si="8"/>
        <v>24.160000000003492</v>
      </c>
      <c r="AE9" s="23">
        <f t="shared" si="2"/>
        <v>3311.0800000000017</v>
      </c>
      <c r="AF9" s="23">
        <f t="shared" si="9"/>
        <v>137.04801324501338</v>
      </c>
      <c r="AG9" s="19">
        <f>'6'!G88</f>
        <v>-6.0000000001309672E-2</v>
      </c>
      <c r="AH9" s="19">
        <f>'6'!G89</f>
        <v>9.0999999999985448</v>
      </c>
      <c r="AI9" s="19">
        <f>'6'!G90</f>
        <v>2.8200000000069849</v>
      </c>
      <c r="AJ9" s="19">
        <f t="shared" si="10"/>
        <v>11.86000000000422</v>
      </c>
      <c r="AK9" s="19">
        <f>'6'!G91</f>
        <v>0</v>
      </c>
      <c r="AL9" s="19">
        <f>'6'!G92</f>
        <v>10.650000000000546</v>
      </c>
      <c r="AM9" s="19"/>
      <c r="AN9" s="19">
        <f t="shared" si="11"/>
        <v>10.650000000000546</v>
      </c>
      <c r="AO9" s="52">
        <f>'6'!G74</f>
        <v>304.51000000000931</v>
      </c>
      <c r="AP9" s="55">
        <f>'6'!G35</f>
        <v>1804.3699999999953</v>
      </c>
      <c r="AQ9" s="19">
        <f>'6'!G37</f>
        <v>1517.109999999986</v>
      </c>
      <c r="AR9" s="19">
        <f>'6'!G38</f>
        <v>1687.109999999986</v>
      </c>
      <c r="AS9" s="19">
        <f>'6'!G39</f>
        <v>2707.4099999999744</v>
      </c>
      <c r="AT9" s="19">
        <f>'6'!G40</f>
        <v>665.26000000000022</v>
      </c>
      <c r="AU9" s="19">
        <f>'6'!G41</f>
        <v>0</v>
      </c>
      <c r="AV9" s="19">
        <f>'6'!G42</f>
        <v>0</v>
      </c>
      <c r="AW9" s="19">
        <f>'6'!G43</f>
        <v>2434.8099999999977</v>
      </c>
      <c r="AX9" s="19">
        <f>'6'!G44</f>
        <v>0</v>
      </c>
      <c r="AY9" s="56">
        <f>'6'!G36</f>
        <v>1049.2099999999991</v>
      </c>
      <c r="AZ9" s="55">
        <f>'6'!G49</f>
        <v>1677.109999999986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471.30999999999995</v>
      </c>
      <c r="BE9" s="19">
        <f>'6'!G55</f>
        <v>3311.0800000000017</v>
      </c>
      <c r="BF9" s="19">
        <f>'6'!G56</f>
        <v>0</v>
      </c>
      <c r="BG9" s="19">
        <f>'6'!G57</f>
        <v>0</v>
      </c>
      <c r="BH9" s="56">
        <f>'6'!G50</f>
        <v>1030.7400000000016</v>
      </c>
      <c r="BI9" s="60">
        <f t="shared" si="12"/>
        <v>3311.0800000000017</v>
      </c>
      <c r="BJ9" s="60">
        <f>'6'!G133</f>
        <v>813.13000000000466</v>
      </c>
      <c r="BK9" s="23">
        <f t="shared" si="13"/>
        <v>44.559445624879181</v>
      </c>
      <c r="BL9" s="23">
        <f t="shared" si="14"/>
        <v>13.074222522696418</v>
      </c>
      <c r="BM9" s="24">
        <f t="shared" si="15"/>
        <v>8.1471412014679639E-2</v>
      </c>
      <c r="BN9" s="25">
        <f t="shared" si="16"/>
        <v>256535.46000000261</v>
      </c>
      <c r="BO9" s="38">
        <f t="shared" si="17"/>
        <v>6559.0200000000041</v>
      </c>
      <c r="BP9">
        <f t="shared" si="18"/>
        <v>0.9695807710500024</v>
      </c>
    </row>
    <row r="10" spans="1:69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0.71</v>
      </c>
      <c r="G10" s="19">
        <f>'7'!G7</f>
        <v>19831</v>
      </c>
      <c r="H10" s="19">
        <f>'7'!G8</f>
        <v>20261</v>
      </c>
      <c r="I10" s="19">
        <v>9</v>
      </c>
      <c r="J10" s="49">
        <f t="shared" si="3"/>
        <v>182349</v>
      </c>
      <c r="K10" s="45">
        <f t="shared" si="4"/>
        <v>100.30198019801981</v>
      </c>
      <c r="L10" s="19">
        <f>'7'!G15</f>
        <v>963</v>
      </c>
      <c r="M10" s="19">
        <v>56.2</v>
      </c>
      <c r="N10" s="45">
        <f t="shared" si="5"/>
        <v>54120.600000000006</v>
      </c>
      <c r="O10" s="19">
        <f>'7'!G20</f>
        <v>214</v>
      </c>
      <c r="P10" s="19">
        <v>108</v>
      </c>
      <c r="Q10" s="46">
        <f t="shared" si="0"/>
        <v>23112</v>
      </c>
      <c r="R10" s="47">
        <f t="shared" si="1"/>
        <v>149.21210430902246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79</v>
      </c>
      <c r="W10" s="22">
        <f>'7'!G66</f>
        <v>17</v>
      </c>
      <c r="X10" s="22">
        <f>'7'!G67</f>
        <v>23</v>
      </c>
      <c r="Y10" s="22">
        <f t="shared" si="7"/>
        <v>119</v>
      </c>
      <c r="Z10" s="19">
        <f>'7'!G84</f>
        <v>0</v>
      </c>
      <c r="AA10" s="19">
        <f>'7'!G85</f>
        <v>0</v>
      </c>
      <c r="AB10" s="19">
        <f>'7'!G86</f>
        <v>24.439999999995052</v>
      </c>
      <c r="AC10" s="19">
        <f>'7'!G87</f>
        <v>0</v>
      </c>
      <c r="AD10" s="19">
        <f t="shared" si="8"/>
        <v>24.439999999995052</v>
      </c>
      <c r="AE10" s="23">
        <f t="shared" si="2"/>
        <v>3369</v>
      </c>
      <c r="AF10" s="23">
        <f t="shared" si="9"/>
        <v>137.84779050739289</v>
      </c>
      <c r="AG10" s="19">
        <f>'7'!G88</f>
        <v>0</v>
      </c>
      <c r="AH10" s="19">
        <f>'7'!G89</f>
        <v>10</v>
      </c>
      <c r="AI10" s="19">
        <f>'7'!G90</f>
        <v>5</v>
      </c>
      <c r="AJ10" s="19">
        <f t="shared" si="10"/>
        <v>15</v>
      </c>
      <c r="AK10" s="19">
        <f>'7'!G91</f>
        <v>0</v>
      </c>
      <c r="AL10" s="19">
        <f>'7'!G92</f>
        <v>10.529999999999745</v>
      </c>
      <c r="AM10" s="19"/>
      <c r="AN10" s="19">
        <f t="shared" si="11"/>
        <v>10.529999999999745</v>
      </c>
      <c r="AO10" s="52">
        <f>'7'!G74</f>
        <v>301</v>
      </c>
      <c r="AP10" s="55">
        <f>'7'!G35</f>
        <v>1888</v>
      </c>
      <c r="AQ10" s="19">
        <f>'7'!G37</f>
        <v>1524</v>
      </c>
      <c r="AR10" s="19">
        <f>'7'!G38</f>
        <v>1668</v>
      </c>
      <c r="AS10" s="19">
        <f>'7'!G39</f>
        <v>2675</v>
      </c>
      <c r="AT10" s="19">
        <f>'7'!G40</f>
        <v>608</v>
      </c>
      <c r="AU10" s="19">
        <f>'7'!G41</f>
        <v>0</v>
      </c>
      <c r="AV10" s="19">
        <f>'7'!G42</f>
        <v>0</v>
      </c>
      <c r="AW10" s="19">
        <f>'7'!G43</f>
        <v>2246</v>
      </c>
      <c r="AX10" s="19">
        <f>'7'!G44</f>
        <v>0</v>
      </c>
      <c r="AY10" s="56">
        <f>'7'!G36</f>
        <v>698</v>
      </c>
      <c r="AZ10" s="55">
        <f>'7'!G49</f>
        <v>1639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468</v>
      </c>
      <c r="BE10" s="19">
        <f>'7'!G55</f>
        <v>3369</v>
      </c>
      <c r="BF10" s="19">
        <f>'7'!G56</f>
        <v>0</v>
      </c>
      <c r="BG10" s="19">
        <f>'7'!G57</f>
        <v>0</v>
      </c>
      <c r="BH10" s="56">
        <f>'7'!G50</f>
        <v>1043</v>
      </c>
      <c r="BI10" s="60">
        <f t="shared" si="12"/>
        <v>3369</v>
      </c>
      <c r="BJ10" s="60">
        <f>'7'!G133</f>
        <v>756</v>
      </c>
      <c r="BK10" s="23">
        <f t="shared" si="13"/>
        <v>45.121168747840677</v>
      </c>
      <c r="BL10" s="23">
        <f t="shared" si="14"/>
        <v>13.202704703617787</v>
      </c>
      <c r="BM10" s="24">
        <f t="shared" si="15"/>
        <v>8.2325650264054098E-2</v>
      </c>
      <c r="BN10" s="25">
        <f t="shared" si="16"/>
        <v>259581.6</v>
      </c>
      <c r="BO10" s="38">
        <f t="shared" si="17"/>
        <v>6371</v>
      </c>
      <c r="BP10">
        <f t="shared" si="18"/>
        <v>0.93099719429525507</v>
      </c>
    </row>
    <row r="11" spans="1:69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0.71</v>
      </c>
      <c r="G11" s="19">
        <f>'8'!G7</f>
        <v>19232</v>
      </c>
      <c r="H11" s="19">
        <f>'8'!G8</f>
        <v>19647</v>
      </c>
      <c r="I11" s="19">
        <v>9</v>
      </c>
      <c r="J11" s="49">
        <f t="shared" si="3"/>
        <v>176823</v>
      </c>
      <c r="K11" s="45">
        <f t="shared" si="4"/>
        <v>97.262376237623769</v>
      </c>
      <c r="L11" s="19">
        <f>'8'!G15</f>
        <v>925</v>
      </c>
      <c r="M11" s="19">
        <v>56.2</v>
      </c>
      <c r="N11" s="45">
        <f t="shared" si="5"/>
        <v>51985</v>
      </c>
      <c r="O11" s="19">
        <f>'8'!G20</f>
        <v>211</v>
      </c>
      <c r="P11" s="19">
        <v>108</v>
      </c>
      <c r="Q11" s="46">
        <f t="shared" si="0"/>
        <v>22788</v>
      </c>
      <c r="R11" s="47">
        <f t="shared" si="1"/>
        <v>147.12034583740066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92</v>
      </c>
      <c r="W11" s="22">
        <f>'8'!G66</f>
        <v>20</v>
      </c>
      <c r="X11" s="22">
        <f>'8'!G67</f>
        <v>21</v>
      </c>
      <c r="Y11" s="22">
        <f t="shared" si="7"/>
        <v>133</v>
      </c>
      <c r="Z11" s="19">
        <f>'8'!G84</f>
        <v>0</v>
      </c>
      <c r="AA11" s="19">
        <f>'8'!G85</f>
        <v>0</v>
      </c>
      <c r="AB11" s="19">
        <f>'8'!G86</f>
        <v>24.080000000001746</v>
      </c>
      <c r="AC11" s="19">
        <f>'8'!G87</f>
        <v>0</v>
      </c>
      <c r="AD11" s="19">
        <f t="shared" si="8"/>
        <v>24.080000000001746</v>
      </c>
      <c r="AE11" s="23">
        <f t="shared" si="2"/>
        <v>3190</v>
      </c>
      <c r="AF11" s="23">
        <f t="shared" si="9"/>
        <v>132.4750830564688</v>
      </c>
      <c r="AG11" s="19">
        <f>'8'!G88</f>
        <v>0</v>
      </c>
      <c r="AH11" s="19">
        <f>'8'!G89</f>
        <v>9</v>
      </c>
      <c r="AI11" s="19">
        <f>'8'!G90</f>
        <v>4</v>
      </c>
      <c r="AJ11" s="19">
        <f t="shared" si="10"/>
        <v>13</v>
      </c>
      <c r="AK11" s="19">
        <f>'8'!G91</f>
        <v>0</v>
      </c>
      <c r="AL11" s="19">
        <f>'8'!G92</f>
        <v>10.659999999999854</v>
      </c>
      <c r="AM11" s="19"/>
      <c r="AN11" s="19">
        <f t="shared" si="11"/>
        <v>10.659999999999854</v>
      </c>
      <c r="AO11" s="52">
        <f>'8'!G74</f>
        <v>306</v>
      </c>
      <c r="AP11" s="55">
        <f>'8'!G35</f>
        <v>1796</v>
      </c>
      <c r="AQ11" s="19">
        <f>'8'!G37</f>
        <v>1534</v>
      </c>
      <c r="AR11" s="19">
        <f>'8'!G38</f>
        <v>1715</v>
      </c>
      <c r="AS11" s="19">
        <f>'8'!G39</f>
        <v>2685</v>
      </c>
      <c r="AT11" s="19">
        <f>'8'!G40</f>
        <v>562</v>
      </c>
      <c r="AU11" s="19">
        <f>'8'!G41</f>
        <v>0</v>
      </c>
      <c r="AV11" s="19">
        <f>'8'!G42</f>
        <v>0</v>
      </c>
      <c r="AW11" s="19">
        <f>'8'!G43</f>
        <v>2170</v>
      </c>
      <c r="AX11" s="23">
        <f>'8'!G44</f>
        <v>0</v>
      </c>
      <c r="AY11" s="56">
        <f>'8'!G36</f>
        <v>742</v>
      </c>
      <c r="AZ11" s="55">
        <f>'8'!G49</f>
        <v>1620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466</v>
      </c>
      <c r="BE11" s="19">
        <f>'8'!G55</f>
        <v>3190</v>
      </c>
      <c r="BF11" s="19">
        <f>'8'!G56</f>
        <v>0</v>
      </c>
      <c r="BG11" s="19">
        <f>'8'!G57</f>
        <v>0</v>
      </c>
      <c r="BH11" s="56">
        <f>'8'!G50</f>
        <v>974</v>
      </c>
      <c r="BI11" s="60">
        <f t="shared" si="12"/>
        <v>3190</v>
      </c>
      <c r="BJ11" s="60">
        <f>'8'!G133</f>
        <v>767</v>
      </c>
      <c r="BK11" s="23">
        <f t="shared" si="13"/>
        <v>44.668397210770095</v>
      </c>
      <c r="BL11" s="23">
        <f t="shared" si="14"/>
        <v>13.666208581462818</v>
      </c>
      <c r="BM11" s="24">
        <f t="shared" si="15"/>
        <v>8.72906805110195E-2</v>
      </c>
      <c r="BN11" s="25">
        <f t="shared" si="16"/>
        <v>251596</v>
      </c>
      <c r="BO11" s="38">
        <f t="shared" si="17"/>
        <v>6127</v>
      </c>
      <c r="BP11">
        <f t="shared" si="18"/>
        <v>0.90872686283809267</v>
      </c>
    </row>
    <row r="12" spans="1:69">
      <c r="A12" s="16">
        <v>9</v>
      </c>
      <c r="B12" s="27">
        <v>9</v>
      </c>
      <c r="C12" s="26"/>
      <c r="D12" s="19">
        <f>'9'!D3</f>
        <v>23</v>
      </c>
      <c r="E12" s="50">
        <f>'9'!D4</f>
        <v>0.77</v>
      </c>
      <c r="F12" s="50">
        <f>'9'!D2</f>
        <v>0.7</v>
      </c>
      <c r="G12" s="19">
        <f>'9'!G7</f>
        <v>17711</v>
      </c>
      <c r="H12" s="19">
        <f>'9'!G8</f>
        <v>18011</v>
      </c>
      <c r="I12" s="19">
        <v>9</v>
      </c>
      <c r="J12" s="49">
        <f t="shared" si="3"/>
        <v>162099</v>
      </c>
      <c r="K12" s="45">
        <f t="shared" si="4"/>
        <v>89.163366336633658</v>
      </c>
      <c r="L12" s="19">
        <f>'9'!G15</f>
        <v>907</v>
      </c>
      <c r="M12" s="19">
        <v>56.2</v>
      </c>
      <c r="N12" s="45">
        <f t="shared" si="5"/>
        <v>50973.4</v>
      </c>
      <c r="O12" s="19">
        <f>'9'!G20</f>
        <v>205</v>
      </c>
      <c r="P12" s="19">
        <v>108</v>
      </c>
      <c r="Q12" s="46">
        <f t="shared" si="0"/>
        <v>22140</v>
      </c>
      <c r="R12" s="47">
        <f t="shared" si="1"/>
        <v>144.97878359264502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78</v>
      </c>
      <c r="W12" s="22">
        <f>'9'!G66</f>
        <v>17</v>
      </c>
      <c r="X12" s="22">
        <f>'9'!G67</f>
        <v>24</v>
      </c>
      <c r="Y12" s="22">
        <f t="shared" si="7"/>
        <v>119</v>
      </c>
      <c r="Z12" s="19">
        <f>'9'!G84</f>
        <v>0</v>
      </c>
      <c r="AA12" s="19">
        <f>'9'!G85</f>
        <v>0</v>
      </c>
      <c r="AB12" s="19">
        <f>'9'!G86</f>
        <v>24</v>
      </c>
      <c r="AC12" s="19">
        <f>'9'!G87</f>
        <v>0</v>
      </c>
      <c r="AD12" s="19">
        <f t="shared" si="8"/>
        <v>24</v>
      </c>
      <c r="AE12" s="23">
        <f t="shared" si="2"/>
        <v>2762.4599999999991</v>
      </c>
      <c r="AF12" s="23">
        <f t="shared" si="9"/>
        <v>115.10249999999996</v>
      </c>
      <c r="AG12" s="19">
        <f>'9'!G88</f>
        <v>0</v>
      </c>
      <c r="AH12" s="19">
        <f>'9'!G89</f>
        <v>9</v>
      </c>
      <c r="AI12" s="19">
        <f>'9'!G90</f>
        <v>2</v>
      </c>
      <c r="AJ12" s="19">
        <f t="shared" si="10"/>
        <v>11</v>
      </c>
      <c r="AK12" s="19">
        <f>'9'!G91</f>
        <v>0</v>
      </c>
      <c r="AL12" s="19">
        <f>'9'!G92</f>
        <v>11</v>
      </c>
      <c r="AM12" s="19"/>
      <c r="AN12" s="19">
        <f t="shared" si="11"/>
        <v>11</v>
      </c>
      <c r="AO12" s="52">
        <f>'9'!G74</f>
        <v>305</v>
      </c>
      <c r="AP12" s="55">
        <f>'9'!G35</f>
        <v>1783</v>
      </c>
      <c r="AQ12" s="19">
        <f>'9'!G37</f>
        <v>1472</v>
      </c>
      <c r="AR12" s="19">
        <f>'9'!G38</f>
        <v>1658</v>
      </c>
      <c r="AS12" s="19">
        <f>'9'!G39</f>
        <v>2610</v>
      </c>
      <c r="AT12" s="19">
        <f>'9'!G40</f>
        <v>620</v>
      </c>
      <c r="AU12" s="19">
        <f>'9'!G41</f>
        <v>0</v>
      </c>
      <c r="AV12" s="19">
        <f>'9'!G42</f>
        <v>0</v>
      </c>
      <c r="AW12" s="19">
        <f>'9'!G43</f>
        <v>2151</v>
      </c>
      <c r="AX12" s="23">
        <f>'9'!G44</f>
        <v>0</v>
      </c>
      <c r="AY12" s="56">
        <f>'9'!G36</f>
        <v>704</v>
      </c>
      <c r="AZ12" s="55">
        <f>'9'!G49</f>
        <v>1306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471</v>
      </c>
      <c r="BE12" s="19">
        <f>'9'!G55</f>
        <v>2762</v>
      </c>
      <c r="BF12" s="19">
        <f>'9'!G56</f>
        <v>0.45999999999912689</v>
      </c>
      <c r="BG12" s="19">
        <f>'9'!G57</f>
        <v>0</v>
      </c>
      <c r="BH12" s="56">
        <f>'9'!G50</f>
        <v>969</v>
      </c>
      <c r="BI12" s="60">
        <f t="shared" si="12"/>
        <v>2762.4599999999991</v>
      </c>
      <c r="BJ12" s="60">
        <f>'8'!G133</f>
        <v>767</v>
      </c>
      <c r="BK12" s="23">
        <f t="shared" si="13"/>
        <v>44.430958858475371</v>
      </c>
      <c r="BL12" s="23">
        <f t="shared" si="14"/>
        <v>14.491144300705123</v>
      </c>
      <c r="BM12" s="24">
        <f t="shared" si="15"/>
        <v>9.2054855366165117E-2</v>
      </c>
      <c r="BN12" s="25">
        <f t="shared" si="16"/>
        <v>235212.4</v>
      </c>
      <c r="BO12" s="38">
        <f t="shared" si="17"/>
        <v>5680.4599999999991</v>
      </c>
      <c r="BP12">
        <f t="shared" si="18"/>
        <v>0.84530654761904744</v>
      </c>
    </row>
    <row r="13" spans="1:69">
      <c r="A13" s="16">
        <v>10</v>
      </c>
      <c r="B13" s="27">
        <v>10</v>
      </c>
      <c r="C13" s="26"/>
      <c r="D13" s="19">
        <f>'10'!D3</f>
        <v>22</v>
      </c>
      <c r="E13" s="50">
        <f>'10'!D4</f>
        <v>0.76</v>
      </c>
      <c r="F13" s="50">
        <f>'10'!D2</f>
        <v>0.91</v>
      </c>
      <c r="G13" s="19">
        <f>'10'!G7</f>
        <v>16861</v>
      </c>
      <c r="H13" s="19">
        <f>'10'!G8</f>
        <v>17063</v>
      </c>
      <c r="I13" s="19">
        <v>9</v>
      </c>
      <c r="J13" s="49">
        <f t="shared" si="3"/>
        <v>153567</v>
      </c>
      <c r="K13" s="45">
        <f t="shared" si="4"/>
        <v>84.470297029702976</v>
      </c>
      <c r="L13" s="19">
        <f>'10'!G15</f>
        <v>759</v>
      </c>
      <c r="M13" s="19">
        <v>56.2</v>
      </c>
      <c r="N13" s="45">
        <f t="shared" si="5"/>
        <v>42655.8</v>
      </c>
      <c r="O13" s="19">
        <f>'10'!G20</f>
        <v>124</v>
      </c>
      <c r="P13" s="19">
        <v>108</v>
      </c>
      <c r="Q13" s="46">
        <f t="shared" si="0"/>
        <v>13392</v>
      </c>
      <c r="R13" s="47">
        <f t="shared" si="1"/>
        <v>67.457295180067462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58</v>
      </c>
      <c r="W13" s="22">
        <f>'10'!G66</f>
        <v>14</v>
      </c>
      <c r="X13" s="22">
        <f>'10'!G67</f>
        <v>21</v>
      </c>
      <c r="Y13" s="22">
        <f t="shared" si="7"/>
        <v>93</v>
      </c>
      <c r="Z13" s="19">
        <f>'10'!G84</f>
        <v>0</v>
      </c>
      <c r="AA13" s="19">
        <f>'10'!G85</f>
        <v>-9.9999999997635314E-3</v>
      </c>
      <c r="AB13" s="19">
        <f>'10'!G86</f>
        <v>24</v>
      </c>
      <c r="AC13" s="19">
        <f>'10'!G87</f>
        <v>0</v>
      </c>
      <c r="AD13" s="19">
        <f t="shared" si="8"/>
        <v>23.990000000000236</v>
      </c>
      <c r="AE13" s="23">
        <f t="shared" si="2"/>
        <v>2760</v>
      </c>
      <c r="AF13" s="23">
        <f t="shared" si="9"/>
        <v>115.04793664026565</v>
      </c>
      <c r="AG13" s="19">
        <f>'10'!G88</f>
        <v>0</v>
      </c>
      <c r="AH13" s="19">
        <f>'10'!G89</f>
        <v>0</v>
      </c>
      <c r="AI13" s="19">
        <f>'10'!G90</f>
        <v>13</v>
      </c>
      <c r="AJ13" s="19">
        <f t="shared" si="10"/>
        <v>13</v>
      </c>
      <c r="AK13" s="19">
        <f>'10'!G91</f>
        <v>0</v>
      </c>
      <c r="AL13" s="19">
        <f>'10'!G92</f>
        <v>11</v>
      </c>
      <c r="AM13" s="19"/>
      <c r="AN13" s="19">
        <f t="shared" si="11"/>
        <v>11</v>
      </c>
      <c r="AO13" s="52">
        <f>'10'!G74</f>
        <v>313</v>
      </c>
      <c r="AP13" s="55">
        <f>'10'!G35</f>
        <v>1614</v>
      </c>
      <c r="AQ13" s="19">
        <f>'10'!G37</f>
        <v>1452</v>
      </c>
      <c r="AR13" s="19">
        <f>'10'!G38</f>
        <v>1541</v>
      </c>
      <c r="AS13" s="19">
        <f>'10'!G39</f>
        <v>2574</v>
      </c>
      <c r="AT13" s="19">
        <f>'10'!G40</f>
        <v>759</v>
      </c>
      <c r="AU13" s="19">
        <f>'10'!G41</f>
        <v>0</v>
      </c>
      <c r="AV13" s="19">
        <f>'10'!G42</f>
        <v>0</v>
      </c>
      <c r="AW13" s="19">
        <f>'10'!G43</f>
        <v>2123</v>
      </c>
      <c r="AX13" s="23">
        <f>'10'!G44</f>
        <v>0</v>
      </c>
      <c r="AY13" s="56">
        <f>'10'!G36</f>
        <v>634</v>
      </c>
      <c r="AZ13" s="55">
        <f>'10'!G49</f>
        <v>1138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472</v>
      </c>
      <c r="BE13" s="19">
        <f>'10'!G55</f>
        <v>2760</v>
      </c>
      <c r="BF13" s="19">
        <f>'10'!G56</f>
        <v>0</v>
      </c>
      <c r="BG13" s="19">
        <f>'10'!G57</f>
        <v>0</v>
      </c>
      <c r="BH13" s="56">
        <f>'10'!G50</f>
        <v>940</v>
      </c>
      <c r="BI13" s="60">
        <f t="shared" si="12"/>
        <v>2760</v>
      </c>
      <c r="BJ13" s="60">
        <f>'8'!G133</f>
        <v>767</v>
      </c>
      <c r="BK13" s="23">
        <f t="shared" si="13"/>
        <v>44.745941510871475</v>
      </c>
      <c r="BL13" s="23">
        <f t="shared" si="14"/>
        <v>15.085272226454903</v>
      </c>
      <c r="BM13" s="24">
        <f t="shared" si="15"/>
        <v>9.031237179862861E-2</v>
      </c>
      <c r="BN13" s="25">
        <f t="shared" si="16"/>
        <v>209614.8</v>
      </c>
      <c r="BO13" s="38">
        <f t="shared" si="17"/>
        <v>5650</v>
      </c>
      <c r="BP13">
        <f t="shared" si="18"/>
        <v>0.84112427797295664</v>
      </c>
    </row>
    <row r="14" spans="1:69">
      <c r="A14" s="16">
        <v>11</v>
      </c>
      <c r="B14" s="17">
        <v>11</v>
      </c>
      <c r="C14" s="27"/>
      <c r="D14" s="19">
        <f>'11'!D3</f>
        <v>23</v>
      </c>
      <c r="E14" s="50">
        <f>'11'!D4</f>
        <v>0.77</v>
      </c>
      <c r="F14" s="50">
        <f>'11'!D2</f>
        <v>0.63</v>
      </c>
      <c r="G14" s="19">
        <f>'11'!G7</f>
        <v>17025</v>
      </c>
      <c r="H14" s="19">
        <f>'11'!G8</f>
        <v>17262</v>
      </c>
      <c r="I14" s="19">
        <v>9</v>
      </c>
      <c r="J14" s="49">
        <f t="shared" si="3"/>
        <v>155358</v>
      </c>
      <c r="K14" s="45">
        <f t="shared" si="4"/>
        <v>85.455445544554451</v>
      </c>
      <c r="L14" s="19">
        <f>'11'!G15</f>
        <v>931</v>
      </c>
      <c r="M14" s="19">
        <v>56.2</v>
      </c>
      <c r="N14" s="45">
        <f t="shared" si="5"/>
        <v>52322.200000000004</v>
      </c>
      <c r="O14" s="19">
        <f>'11'!G20</f>
        <v>130</v>
      </c>
      <c r="P14" s="19">
        <v>108</v>
      </c>
      <c r="Q14" s="46">
        <f t="shared" si="0"/>
        <v>14040</v>
      </c>
      <c r="R14" s="47">
        <f t="shared" si="1"/>
        <v>102.15307245010216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79</v>
      </c>
      <c r="W14" s="22">
        <f>'11'!G66</f>
        <v>14</v>
      </c>
      <c r="X14" s="22">
        <f>'11'!G67</f>
        <v>17</v>
      </c>
      <c r="Y14" s="22">
        <f t="shared" si="7"/>
        <v>110</v>
      </c>
      <c r="Z14" s="19">
        <f>'11'!G84</f>
        <v>0</v>
      </c>
      <c r="AA14" s="19">
        <f>'11'!G85</f>
        <v>0</v>
      </c>
      <c r="AB14" s="19">
        <f>'11'!G86</f>
        <v>24</v>
      </c>
      <c r="AC14" s="19">
        <f>'11'!G87</f>
        <v>0</v>
      </c>
      <c r="AD14" s="19">
        <f t="shared" si="8"/>
        <v>24</v>
      </c>
      <c r="AE14" s="23">
        <f t="shared" si="2"/>
        <v>2906.3999999999942</v>
      </c>
      <c r="AF14" s="23">
        <f t="shared" si="9"/>
        <v>121.09999999999975</v>
      </c>
      <c r="AG14" s="19">
        <f>'11'!G88</f>
        <v>0</v>
      </c>
      <c r="AH14" s="19">
        <f>'11'!G89</f>
        <v>11</v>
      </c>
      <c r="AI14" s="19">
        <f>'11'!G90</f>
        <v>1</v>
      </c>
      <c r="AJ14" s="19">
        <f t="shared" si="10"/>
        <v>12</v>
      </c>
      <c r="AK14" s="19">
        <f>'11'!G91</f>
        <v>0</v>
      </c>
      <c r="AL14" s="19">
        <f>'11'!G92</f>
        <v>11</v>
      </c>
      <c r="AM14" s="19"/>
      <c r="AN14" s="19">
        <f t="shared" si="11"/>
        <v>11</v>
      </c>
      <c r="AO14" s="52">
        <f>'11'!G74</f>
        <v>314</v>
      </c>
      <c r="AP14" s="55">
        <f>'11'!G35</f>
        <v>1463</v>
      </c>
      <c r="AQ14" s="19">
        <f>'11'!G37</f>
        <v>1445</v>
      </c>
      <c r="AR14" s="19">
        <f>'11'!G38</f>
        <v>1494</v>
      </c>
      <c r="AS14" s="19">
        <f>'11'!G39</f>
        <v>2471</v>
      </c>
      <c r="AT14" s="19">
        <f>'11'!G40</f>
        <v>752</v>
      </c>
      <c r="AU14" s="19">
        <f>'11'!G41</f>
        <v>0</v>
      </c>
      <c r="AV14" s="19">
        <f>'11'!G42</f>
        <v>0.39999999999417923</v>
      </c>
      <c r="AW14" s="19">
        <f>'11'!G43</f>
        <v>2040</v>
      </c>
      <c r="AX14" s="23">
        <f>'11'!G44</f>
        <v>0</v>
      </c>
      <c r="AY14" s="56">
        <f>'11'!G36</f>
        <v>590</v>
      </c>
      <c r="AZ14" s="55">
        <f>'11'!G49</f>
        <v>1236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469</v>
      </c>
      <c r="BE14" s="19">
        <f>'11'!G55</f>
        <v>2906</v>
      </c>
      <c r="BF14" s="19">
        <f>'11'!G56</f>
        <v>0</v>
      </c>
      <c r="BG14" s="19">
        <f>'11'!G57</f>
        <v>0</v>
      </c>
      <c r="BH14" s="56">
        <f>'11'!G50</f>
        <v>979</v>
      </c>
      <c r="BI14" s="60">
        <f t="shared" si="12"/>
        <v>2906.3999999999942</v>
      </c>
      <c r="BJ14" s="60">
        <f>'11'!G133</f>
        <v>386</v>
      </c>
      <c r="BK14" s="23">
        <f t="shared" si="13"/>
        <v>44.290348742903454</v>
      </c>
      <c r="BL14" s="23">
        <f t="shared" si="14"/>
        <v>14.314679643146796</v>
      </c>
      <c r="BM14" s="24">
        <f t="shared" si="15"/>
        <v>8.6548488008342028E-2</v>
      </c>
      <c r="BN14" s="25">
        <f t="shared" si="16"/>
        <v>221720.2</v>
      </c>
      <c r="BO14" s="38">
        <f t="shared" si="17"/>
        <v>5332.3999999999942</v>
      </c>
      <c r="BP14">
        <f t="shared" si="18"/>
        <v>0.79351190476190392</v>
      </c>
    </row>
    <row r="15" spans="1:69">
      <c r="A15" s="16">
        <v>12</v>
      </c>
      <c r="B15" s="26">
        <v>12</v>
      </c>
      <c r="C15" s="27"/>
      <c r="D15" s="19">
        <f>'12'!D3</f>
        <v>22</v>
      </c>
      <c r="E15" s="50">
        <f>'12'!D4</f>
        <v>0.59</v>
      </c>
      <c r="F15" s="50">
        <f>'12'!D2</f>
        <v>0.3</v>
      </c>
      <c r="G15" s="19">
        <f>'12'!G7</f>
        <v>16531</v>
      </c>
      <c r="H15" s="19">
        <f>'12'!G8</f>
        <v>16713</v>
      </c>
      <c r="I15" s="19">
        <v>9</v>
      </c>
      <c r="J15" s="49">
        <f t="shared" si="3"/>
        <v>150417</v>
      </c>
      <c r="K15" s="45">
        <f t="shared" si="4"/>
        <v>82.737623762376231</v>
      </c>
      <c r="L15" s="19">
        <f>'12'!G15</f>
        <v>644</v>
      </c>
      <c r="M15" s="19">
        <v>56.2</v>
      </c>
      <c r="N15" s="41">
        <f t="shared" si="5"/>
        <v>36192.800000000003</v>
      </c>
      <c r="O15" s="19">
        <f>'12'!G20</f>
        <v>136</v>
      </c>
      <c r="P15" s="19">
        <v>108</v>
      </c>
      <c r="Q15" s="46">
        <f t="shared" si="0"/>
        <v>14688</v>
      </c>
      <c r="R15" s="47">
        <f t="shared" si="1"/>
        <v>224.42244224422444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48</v>
      </c>
      <c r="W15" s="22">
        <f>'12'!G66</f>
        <v>6</v>
      </c>
      <c r="X15" s="22">
        <f>'12'!G67</f>
        <v>15</v>
      </c>
      <c r="Y15" s="22">
        <f t="shared" si="7"/>
        <v>69</v>
      </c>
      <c r="Z15" s="19">
        <f>'12'!G84</f>
        <v>0</v>
      </c>
      <c r="AA15" s="19">
        <f>'12'!G85</f>
        <v>0</v>
      </c>
      <c r="AB15" s="19">
        <f>'12'!G86</f>
        <v>24</v>
      </c>
      <c r="AC15" s="19">
        <f>'12'!G87</f>
        <v>0</v>
      </c>
      <c r="AD15" s="19">
        <f t="shared" si="8"/>
        <v>24</v>
      </c>
      <c r="AE15" s="23">
        <f t="shared" si="2"/>
        <v>2812</v>
      </c>
      <c r="AF15" s="23">
        <f t="shared" si="9"/>
        <v>117.16666666666667</v>
      </c>
      <c r="AG15" s="19">
        <f>'12'!G88</f>
        <v>0</v>
      </c>
      <c r="AH15" s="19">
        <f>'12'!G89</f>
        <v>-0.2000000000007276</v>
      </c>
      <c r="AI15" s="19">
        <f>'12'!G90</f>
        <v>9.3699999999953434</v>
      </c>
      <c r="AJ15" s="19">
        <f t="shared" si="10"/>
        <v>9.1699999999946158</v>
      </c>
      <c r="AK15" s="19">
        <f>'12'!G91</f>
        <v>0</v>
      </c>
      <c r="AL15" s="19">
        <f>'12'!G92</f>
        <v>9.4200000000000728</v>
      </c>
      <c r="AM15" s="19"/>
      <c r="AN15" s="19">
        <f t="shared" si="11"/>
        <v>9.4200000000000728</v>
      </c>
      <c r="AO15" s="52">
        <f>'12'!G74</f>
        <v>379</v>
      </c>
      <c r="AP15" s="55">
        <f>'12'!G35</f>
        <v>1522</v>
      </c>
      <c r="AQ15" s="19">
        <f>'12'!G37</f>
        <v>1481</v>
      </c>
      <c r="AR15" s="19">
        <f>'12'!G38</f>
        <v>1484</v>
      </c>
      <c r="AS15" s="19">
        <f>'12'!G39</f>
        <v>2461</v>
      </c>
      <c r="AT15" s="19">
        <f>'12'!G40</f>
        <v>738</v>
      </c>
      <c r="AU15" s="19">
        <f>'12'!G41</f>
        <v>0</v>
      </c>
      <c r="AV15" s="19">
        <f>'12'!G42</f>
        <v>0</v>
      </c>
      <c r="AW15" s="19">
        <f>'12'!G43</f>
        <v>2022</v>
      </c>
      <c r="AX15" s="23">
        <f>'12'!G44</f>
        <v>0</v>
      </c>
      <c r="AY15" s="56">
        <f>'12'!G36</f>
        <v>613</v>
      </c>
      <c r="AZ15" s="55">
        <f>'12'!G49</f>
        <v>1234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474</v>
      </c>
      <c r="BE15" s="19">
        <f>'12'!G55</f>
        <v>2812</v>
      </c>
      <c r="BF15" s="19">
        <f>'12'!G56</f>
        <v>0</v>
      </c>
      <c r="BG15" s="19">
        <f>'12'!G57</f>
        <v>0</v>
      </c>
      <c r="BH15" s="56">
        <f>'12'!G50</f>
        <v>848</v>
      </c>
      <c r="BI15" s="60">
        <f t="shared" si="12"/>
        <v>2812</v>
      </c>
      <c r="BJ15" s="60">
        <f>'12'!G133</f>
        <v>413</v>
      </c>
      <c r="BK15" s="23">
        <f t="shared" si="13"/>
        <v>45.413749775623771</v>
      </c>
      <c r="BL15" s="23">
        <f t="shared" si="14"/>
        <v>14.7250643211871</v>
      </c>
      <c r="BM15" s="24">
        <f t="shared" si="15"/>
        <v>8.8793155029019327E-2</v>
      </c>
      <c r="BN15" s="25">
        <f t="shared" si="16"/>
        <v>201297.8</v>
      </c>
      <c r="BO15" s="38">
        <f t="shared" si="17"/>
        <v>5247</v>
      </c>
      <c r="BP15">
        <f t="shared" si="18"/>
        <v>0.78080357142857137</v>
      </c>
    </row>
    <row r="16" spans="1:69">
      <c r="A16" s="16">
        <v>13</v>
      </c>
      <c r="B16" s="26">
        <v>13</v>
      </c>
      <c r="C16" s="26"/>
      <c r="D16" s="19">
        <f>'13'!D3</f>
        <v>21</v>
      </c>
      <c r="E16" s="50">
        <f>'13'!D4</f>
        <v>0.68</v>
      </c>
      <c r="F16" s="50">
        <f>'13'!D2</f>
        <v>0.25</v>
      </c>
      <c r="G16" s="19">
        <f>'13'!G7</f>
        <v>16800</v>
      </c>
      <c r="H16" s="19">
        <f>'13'!G8</f>
        <v>17050</v>
      </c>
      <c r="I16" s="19">
        <v>9</v>
      </c>
      <c r="J16" s="49">
        <f t="shared" si="3"/>
        <v>153450</v>
      </c>
      <c r="K16" s="45">
        <f t="shared" si="4"/>
        <v>84.405940594059402</v>
      </c>
      <c r="L16" s="19">
        <f>'13'!G15</f>
        <v>957</v>
      </c>
      <c r="M16" s="19">
        <v>56.2</v>
      </c>
      <c r="N16" s="41">
        <f t="shared" si="5"/>
        <v>53783.4</v>
      </c>
      <c r="O16" s="19">
        <f>'13'!G20</f>
        <v>103</v>
      </c>
      <c r="P16" s="19">
        <v>108</v>
      </c>
      <c r="Q16" s="46">
        <f t="shared" si="0"/>
        <v>11124</v>
      </c>
      <c r="R16" s="47">
        <f t="shared" si="1"/>
        <v>203.96039603960395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69</v>
      </c>
      <c r="W16" s="22">
        <f>'13'!G66</f>
        <v>12</v>
      </c>
      <c r="X16" s="22">
        <f>'13'!G67</f>
        <v>18</v>
      </c>
      <c r="Y16" s="22">
        <f t="shared" si="7"/>
        <v>99</v>
      </c>
      <c r="Z16" s="19">
        <f>'13'!G84</f>
        <v>0</v>
      </c>
      <c r="AA16" s="19">
        <f>'13'!G85</f>
        <v>0</v>
      </c>
      <c r="AB16" s="19">
        <f>'13'!G86</f>
        <v>24</v>
      </c>
      <c r="AC16" s="19">
        <f>'13'!G87</f>
        <v>0</v>
      </c>
      <c r="AD16" s="19">
        <f t="shared" si="8"/>
        <v>24</v>
      </c>
      <c r="AE16" s="23">
        <f t="shared" si="2"/>
        <v>2861</v>
      </c>
      <c r="AF16" s="23">
        <f t="shared" si="9"/>
        <v>119.20833333333333</v>
      </c>
      <c r="AG16" s="19">
        <f>'13'!G88</f>
        <v>1.2700000000004366</v>
      </c>
      <c r="AH16" s="19">
        <f>'13'!G89</f>
        <v>7.3800000000010186</v>
      </c>
      <c r="AI16" s="19">
        <f>'13'!G90</f>
        <v>6.930000000007567</v>
      </c>
      <c r="AJ16" s="19">
        <f t="shared" si="10"/>
        <v>15.580000000009022</v>
      </c>
      <c r="AK16" s="19">
        <f>'13'!G91</f>
        <v>0</v>
      </c>
      <c r="AL16" s="19">
        <f>'13'!G92</f>
        <v>10.899999999999636</v>
      </c>
      <c r="AM16" s="19"/>
      <c r="AN16" s="19">
        <f t="shared" si="11"/>
        <v>10.899999999999636</v>
      </c>
      <c r="AO16" s="52">
        <f>'13'!G74</f>
        <v>209</v>
      </c>
      <c r="AP16" s="55">
        <f>'13'!G35</f>
        <v>1459</v>
      </c>
      <c r="AQ16" s="19">
        <f>'13'!G37</f>
        <v>1471</v>
      </c>
      <c r="AR16" s="19">
        <f>'13'!G38</f>
        <v>1543</v>
      </c>
      <c r="AS16" s="19">
        <f>'13'!G39</f>
        <v>2404</v>
      </c>
      <c r="AT16" s="19">
        <f>'13'!G40</f>
        <v>673</v>
      </c>
      <c r="AU16" s="19">
        <f>'13'!G41</f>
        <v>0</v>
      </c>
      <c r="AV16" s="19">
        <f>'13'!G42</f>
        <v>0</v>
      </c>
      <c r="AW16" s="19">
        <f>'13'!G43</f>
        <v>2011</v>
      </c>
      <c r="AX16" s="23">
        <f>'13'!G44</f>
        <v>0</v>
      </c>
      <c r="AY16" s="56">
        <f>'13'!G36</f>
        <v>582</v>
      </c>
      <c r="AZ16" s="55">
        <f>'13'!G49</f>
        <v>1291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470</v>
      </c>
      <c r="BE16" s="19">
        <f>'13'!G55</f>
        <v>2861</v>
      </c>
      <c r="BF16" s="19">
        <f>'13'!G56</f>
        <v>0</v>
      </c>
      <c r="BG16" s="19">
        <f>'13'!G57</f>
        <v>0</v>
      </c>
      <c r="BH16" s="56">
        <f>'13'!G50</f>
        <v>842</v>
      </c>
      <c r="BI16" s="60">
        <f t="shared" si="12"/>
        <v>2861</v>
      </c>
      <c r="BJ16" s="60">
        <f>'13'!G133</f>
        <v>406</v>
      </c>
      <c r="BK16" s="23">
        <f t="shared" si="13"/>
        <v>44.703812316715542</v>
      </c>
      <c r="BL16" s="23">
        <f t="shared" si="14"/>
        <v>14.099706744868035</v>
      </c>
      <c r="BM16" s="24">
        <f t="shared" si="15"/>
        <v>9.0498533724340177E-2</v>
      </c>
      <c r="BN16" s="25">
        <f t="shared" si="16"/>
        <v>218357.4</v>
      </c>
      <c r="BO16" s="38">
        <f t="shared" si="17"/>
        <v>5278</v>
      </c>
      <c r="BP16">
        <f t="shared" si="18"/>
        <v>0.78541666666666665</v>
      </c>
    </row>
    <row r="17" spans="1:68">
      <c r="A17" s="16">
        <v>14</v>
      </c>
      <c r="B17" s="17">
        <v>14</v>
      </c>
      <c r="C17" s="27"/>
      <c r="D17" s="19">
        <f>'14'!D3</f>
        <v>21</v>
      </c>
      <c r="E17" s="50">
        <f>'14'!D4</f>
        <v>0.68</v>
      </c>
      <c r="F17" s="50">
        <f>'14'!D2</f>
        <v>0.25</v>
      </c>
      <c r="G17" s="19">
        <f>'14'!G7</f>
        <v>17228</v>
      </c>
      <c r="H17" s="19">
        <f>'14'!G8</f>
        <v>17430</v>
      </c>
      <c r="I17" s="19">
        <v>9</v>
      </c>
      <c r="J17" s="49">
        <f t="shared" si="3"/>
        <v>156870</v>
      </c>
      <c r="K17" s="45">
        <f t="shared" si="4"/>
        <v>86.287128712871294</v>
      </c>
      <c r="L17" s="19">
        <f>'14'!G15</f>
        <v>745</v>
      </c>
      <c r="M17" s="19">
        <v>56.2</v>
      </c>
      <c r="N17" s="41">
        <f t="shared" si="5"/>
        <v>41869</v>
      </c>
      <c r="O17" s="19">
        <f>'14'!G20</f>
        <v>114</v>
      </c>
      <c r="P17" s="19">
        <v>108</v>
      </c>
      <c r="Q17" s="46">
        <f t="shared" si="0"/>
        <v>12312</v>
      </c>
      <c r="R17" s="47">
        <f t="shared" si="1"/>
        <v>225.74257425742573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56</v>
      </c>
      <c r="W17" s="22">
        <f>'14'!G66</f>
        <v>13</v>
      </c>
      <c r="X17" s="22">
        <f>'14'!G67</f>
        <v>18</v>
      </c>
      <c r="Y17" s="22">
        <f>V17+W17+X17</f>
        <v>87</v>
      </c>
      <c r="Z17" s="19">
        <f>'14'!G84</f>
        <v>0</v>
      </c>
      <c r="AA17" s="19">
        <f>'14'!G85</f>
        <v>0</v>
      </c>
      <c r="AB17" s="19">
        <f>'14'!G86</f>
        <v>24</v>
      </c>
      <c r="AC17" s="19">
        <f>'14'!G87</f>
        <v>0</v>
      </c>
      <c r="AD17" s="19">
        <f t="shared" si="8"/>
        <v>24</v>
      </c>
      <c r="AE17" s="23">
        <f t="shared" si="2"/>
        <v>3132</v>
      </c>
      <c r="AF17" s="23">
        <f t="shared" si="9"/>
        <v>130.5</v>
      </c>
      <c r="AG17" s="19">
        <f>'14'!G88</f>
        <v>0</v>
      </c>
      <c r="AH17" s="19">
        <f>'14'!G89</f>
        <v>1.8100000000013097</v>
      </c>
      <c r="AI17" s="19">
        <f>'14'!G90</f>
        <v>9.2299999999959255</v>
      </c>
      <c r="AJ17" s="19">
        <f t="shared" si="10"/>
        <v>11.039999999997235</v>
      </c>
      <c r="AK17" s="19">
        <f>'14'!G91</f>
        <v>0</v>
      </c>
      <c r="AL17" s="19">
        <f>'14'!G92</f>
        <v>11.450000000000728</v>
      </c>
      <c r="AM17" s="19"/>
      <c r="AN17" s="19">
        <f t="shared" si="11"/>
        <v>11.450000000000728</v>
      </c>
      <c r="AO17" s="52">
        <f>'14'!G44</f>
        <v>0</v>
      </c>
      <c r="AP17" s="55">
        <f>'14'!G35</f>
        <v>1363</v>
      </c>
      <c r="AQ17" s="19">
        <f>'14'!G37</f>
        <v>1509</v>
      </c>
      <c r="AR17" s="19">
        <f>'14'!G38</f>
        <v>1832</v>
      </c>
      <c r="AS17" s="19">
        <f>'14'!G39</f>
        <v>2495</v>
      </c>
      <c r="AT17" s="19">
        <f>'14'!G40</f>
        <v>606</v>
      </c>
      <c r="AU17" s="19">
        <f>'14'!G41</f>
        <v>0</v>
      </c>
      <c r="AV17" s="19">
        <f>'14'!G42</f>
        <v>0</v>
      </c>
      <c r="AW17" s="19">
        <f>'14'!G43</f>
        <v>2011</v>
      </c>
      <c r="AX17" s="23">
        <f>'14'!G44</f>
        <v>0</v>
      </c>
      <c r="AY17" s="56">
        <f>'14'!G36</f>
        <v>627</v>
      </c>
      <c r="AZ17" s="55">
        <f>'14'!G49</f>
        <v>1201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473</v>
      </c>
      <c r="BE17" s="19">
        <f>'14'!G55</f>
        <v>3132</v>
      </c>
      <c r="BF17" s="19">
        <f>'14'!G56</f>
        <v>0</v>
      </c>
      <c r="BG17" s="19">
        <f>'14'!G57</f>
        <v>0</v>
      </c>
      <c r="BH17" s="56">
        <f>'14'!G50</f>
        <v>861</v>
      </c>
      <c r="BI17" s="60">
        <f t="shared" si="12"/>
        <v>3132</v>
      </c>
      <c r="BJ17" s="60">
        <f>'14'!G133</f>
        <v>403</v>
      </c>
      <c r="BK17" s="23">
        <f t="shared" si="13"/>
        <v>44.216867469879517</v>
      </c>
      <c r="BL17" s="23">
        <f t="shared" si="14"/>
        <v>14.314400458978771</v>
      </c>
      <c r="BM17" s="24">
        <f t="shared" si="15"/>
        <v>0.1051061388410786</v>
      </c>
      <c r="BN17" s="25">
        <f t="shared" si="16"/>
        <v>211051</v>
      </c>
      <c r="BO17" s="38">
        <f t="shared" si="17"/>
        <v>5546</v>
      </c>
      <c r="BP17">
        <f t="shared" si="18"/>
        <v>0.825297619047619</v>
      </c>
    </row>
    <row r="18" spans="1:68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17216.75</v>
      </c>
      <c r="H18" s="19">
        <f>'15'!G8</f>
        <v>17328.710000000021</v>
      </c>
      <c r="I18" s="19">
        <v>9</v>
      </c>
      <c r="J18" s="49">
        <f t="shared" si="3"/>
        <v>155958.39000000019</v>
      </c>
      <c r="K18" s="45">
        <f t="shared" si="4"/>
        <v>85.78569306930703</v>
      </c>
      <c r="L18" s="19">
        <f>'15'!G15</f>
        <v>965</v>
      </c>
      <c r="M18" s="19">
        <v>56.2</v>
      </c>
      <c r="N18" s="41">
        <f t="shared" si="5"/>
        <v>54233</v>
      </c>
      <c r="O18" s="19">
        <f>'15'!G20</f>
        <v>155</v>
      </c>
      <c r="P18" s="19">
        <v>108</v>
      </c>
      <c r="Q18" s="46">
        <f t="shared" si="0"/>
        <v>16740</v>
      </c>
      <c r="R18" s="47">
        <f t="shared" si="1"/>
        <v>153.46534653465346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70</v>
      </c>
      <c r="W18" s="22">
        <f>'15'!G66</f>
        <v>17</v>
      </c>
      <c r="X18" s="22">
        <f>'15'!G67</f>
        <v>23</v>
      </c>
      <c r="Y18" s="22">
        <f t="shared" si="7"/>
        <v>110</v>
      </c>
      <c r="Z18" s="19">
        <f>'15'!G84</f>
        <v>0</v>
      </c>
      <c r="AA18" s="19">
        <f>'15'!G85</f>
        <v>0</v>
      </c>
      <c r="AB18" s="19">
        <f>'15'!G86</f>
        <v>24.489999999997963</v>
      </c>
      <c r="AC18" s="19">
        <f>'15'!G87</f>
        <v>0</v>
      </c>
      <c r="AD18" s="19">
        <f t="shared" si="8"/>
        <v>24.489999999997963</v>
      </c>
      <c r="AE18" s="23">
        <f t="shared" si="2"/>
        <v>3008.3700000000099</v>
      </c>
      <c r="AF18" s="23">
        <f t="shared" si="9"/>
        <v>122.8407513270829</v>
      </c>
      <c r="AG18" s="19">
        <f>'15'!G88</f>
        <v>2.0000000000436557E-2</v>
      </c>
      <c r="AH18" s="19">
        <f>'15'!G89</f>
        <v>9.9599999999991269</v>
      </c>
      <c r="AI18" s="19">
        <f>'15'!G90</f>
        <v>2.9400000000023283</v>
      </c>
      <c r="AJ18" s="19">
        <f t="shared" si="10"/>
        <v>12.920000000001892</v>
      </c>
      <c r="AK18" s="19">
        <f>'15'!G91</f>
        <v>0</v>
      </c>
      <c r="AL18" s="19">
        <f>'15'!G92</f>
        <v>11.019999999999527</v>
      </c>
      <c r="AM18" s="19"/>
      <c r="AN18" s="19">
        <f t="shared" si="11"/>
        <v>11.019999999999527</v>
      </c>
      <c r="AO18" s="52">
        <f>'15'!G74</f>
        <v>313</v>
      </c>
      <c r="AP18" s="55">
        <f>'15'!G35</f>
        <v>1301.8400000000001</v>
      </c>
      <c r="AQ18" s="19">
        <f>'15'!G37</f>
        <v>1497.7399999999998</v>
      </c>
      <c r="AR18" s="19">
        <f>'15'!G38</f>
        <v>1386.9500000000007</v>
      </c>
      <c r="AS18" s="19">
        <f>'15'!G39</f>
        <v>2494.9000000000015</v>
      </c>
      <c r="AT18" s="19">
        <f>'15'!G40</f>
        <v>493</v>
      </c>
      <c r="AU18" s="19">
        <f>'15'!G41</f>
        <v>0</v>
      </c>
      <c r="AV18" s="19">
        <f>'15'!G42</f>
        <v>-0.39999999999417923</v>
      </c>
      <c r="AW18" s="19">
        <f>'15'!G43</f>
        <v>2012.7100000000064</v>
      </c>
      <c r="AX18" s="23">
        <f>'15'!G44</f>
        <v>0</v>
      </c>
      <c r="AY18" s="56">
        <f>'15'!G36</f>
        <v>573.68999999999869</v>
      </c>
      <c r="AZ18" s="55">
        <f>'15'!G49</f>
        <v>1250.5900000000001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520.51000000000022</v>
      </c>
      <c r="BE18" s="19">
        <f>'15'!G55</f>
        <v>3009.2300000000032</v>
      </c>
      <c r="BF18" s="19">
        <f>'15'!G56</f>
        <v>-0.45999999999912689</v>
      </c>
      <c r="BG18" s="19">
        <f>'15'!G57</f>
        <v>0</v>
      </c>
      <c r="BH18" s="56">
        <f>'15'!G50</f>
        <v>902.7300000000032</v>
      </c>
      <c r="BI18" s="60">
        <f t="shared" si="12"/>
        <v>3008.3700000000099</v>
      </c>
      <c r="BJ18" s="60">
        <f>'15'!G133</f>
        <v>398.27000000000407</v>
      </c>
      <c r="BK18" s="23">
        <f t="shared" si="13"/>
        <v>43.704984387181781</v>
      </c>
      <c r="BL18" s="23">
        <f t="shared" si="14"/>
        <v>14.397494100830347</v>
      </c>
      <c r="BM18" s="24">
        <f t="shared" si="15"/>
        <v>8.0037694669712806E-2</v>
      </c>
      <c r="BN18" s="25">
        <f t="shared" si="16"/>
        <v>226931.39000000019</v>
      </c>
      <c r="BO18" s="38">
        <f t="shared" si="17"/>
        <v>5419.3500000000204</v>
      </c>
      <c r="BP18">
        <f t="shared" si="18"/>
        <v>0.79031528903932668</v>
      </c>
    </row>
    <row r="19" spans="1:68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17314.25</v>
      </c>
      <c r="H19" s="19">
        <f>'16'!G8</f>
        <v>17406.289999999979</v>
      </c>
      <c r="I19" s="19">
        <v>9</v>
      </c>
      <c r="J19" s="49">
        <f t="shared" si="3"/>
        <v>156656.60999999981</v>
      </c>
      <c r="K19" s="45">
        <f t="shared" si="4"/>
        <v>86.169752475247421</v>
      </c>
      <c r="L19" s="19">
        <f>'16'!G15</f>
        <v>1006</v>
      </c>
      <c r="M19" s="19">
        <v>56.2</v>
      </c>
      <c r="N19" s="41">
        <f t="shared" si="5"/>
        <v>56537.200000000004</v>
      </c>
      <c r="O19" s="19">
        <f>'16'!G20</f>
        <v>135</v>
      </c>
      <c r="P19" s="19">
        <v>108</v>
      </c>
      <c r="Q19" s="46">
        <f t="shared" si="0"/>
        <v>14580</v>
      </c>
      <c r="R19" s="47">
        <f t="shared" si="1"/>
        <v>267.32673267326732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62</v>
      </c>
      <c r="W19" s="22">
        <f>'16'!G66</f>
        <v>21</v>
      </c>
      <c r="X19" s="22">
        <f>'16'!G67</f>
        <v>26</v>
      </c>
      <c r="Y19" s="22">
        <f t="shared" si="7"/>
        <v>109</v>
      </c>
      <c r="Z19" s="19">
        <f>'16'!G84</f>
        <v>0</v>
      </c>
      <c r="AA19" s="19">
        <f>'16'!G85</f>
        <v>0</v>
      </c>
      <c r="AB19" s="19">
        <f>'16'!G86</f>
        <v>23.510000000002037</v>
      </c>
      <c r="AC19" s="19">
        <f>'16'!G87</f>
        <v>0</v>
      </c>
      <c r="AD19" s="19">
        <f t="shared" si="8"/>
        <v>23.510000000002037</v>
      </c>
      <c r="AE19" s="23">
        <f t="shared" si="2"/>
        <v>3032.7699999999968</v>
      </c>
      <c r="AF19" s="23">
        <f t="shared" si="9"/>
        <v>128.99914929815967</v>
      </c>
      <c r="AG19" s="19">
        <f>'16'!G88</f>
        <v>0</v>
      </c>
      <c r="AH19" s="19">
        <f>'16'!G89</f>
        <v>8.1399999999994179</v>
      </c>
      <c r="AI19" s="19">
        <f>'16'!G90</f>
        <v>9.6900000000023283</v>
      </c>
      <c r="AJ19" s="19">
        <f t="shared" si="10"/>
        <v>17.830000000001746</v>
      </c>
      <c r="AK19" s="19">
        <f>'16'!G91</f>
        <v>0</v>
      </c>
      <c r="AL19" s="19">
        <f>'16'!G92</f>
        <v>10.619999999999891</v>
      </c>
      <c r="AM19" s="19"/>
      <c r="AN19" s="19">
        <f t="shared" si="11"/>
        <v>10.619999999999891</v>
      </c>
      <c r="AO19" s="52">
        <f>'16'!G74</f>
        <v>304</v>
      </c>
      <c r="AP19" s="55">
        <f>'16'!G35</f>
        <v>1269.1599999999999</v>
      </c>
      <c r="AQ19" s="19">
        <f>'16'!G37</f>
        <v>1483.2600000000002</v>
      </c>
      <c r="AR19" s="19">
        <f>'16'!G38</f>
        <v>1625.0499999999993</v>
      </c>
      <c r="AS19" s="19">
        <f>'16'!G39</f>
        <v>2600.0999999999985</v>
      </c>
      <c r="AT19" s="19">
        <f>'16'!G40</f>
        <v>407</v>
      </c>
      <c r="AU19" s="19">
        <f>'16'!G41</f>
        <v>0</v>
      </c>
      <c r="AV19" s="19">
        <f>'16'!G42</f>
        <v>0</v>
      </c>
      <c r="AW19" s="19">
        <f>'16'!G43</f>
        <v>2071.2899999999936</v>
      </c>
      <c r="AX19" s="23">
        <f>'16'!G44</f>
        <v>0</v>
      </c>
      <c r="AY19" s="56">
        <f>'16'!G36</f>
        <v>587.31000000000131</v>
      </c>
      <c r="AZ19" s="55">
        <f>'16'!G49</f>
        <v>1320.4099999999999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565.48999999999978</v>
      </c>
      <c r="BE19" s="19">
        <f>'16'!G55</f>
        <v>3032.7699999999968</v>
      </c>
      <c r="BF19" s="19">
        <f>'16'!G56</f>
        <v>0</v>
      </c>
      <c r="BG19" s="19">
        <f>'16'!G57</f>
        <v>0</v>
      </c>
      <c r="BH19" s="56">
        <f>'16'!G50</f>
        <v>868.2699999999968</v>
      </c>
      <c r="BI19" s="60">
        <f t="shared" si="12"/>
        <v>3032.7699999999968</v>
      </c>
      <c r="BJ19" s="60">
        <f>'16'!G133</f>
        <v>468.72999999999593</v>
      </c>
      <c r="BK19" s="23">
        <f t="shared" si="13"/>
        <v>44.200286218372781</v>
      </c>
      <c r="BL19" s="23">
        <f t="shared" si="14"/>
        <v>14.937703554289868</v>
      </c>
      <c r="BM19" s="24">
        <f t="shared" si="15"/>
        <v>9.335992908310739E-2</v>
      </c>
      <c r="BN19" s="25">
        <f t="shared" si="16"/>
        <v>227773.80999999982</v>
      </c>
      <c r="BO19" s="38">
        <f t="shared" si="17"/>
        <v>5572.7899999999863</v>
      </c>
      <c r="BP19">
        <f t="shared" si="18"/>
        <v>0.84656832958611894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17454</v>
      </c>
      <c r="H20" s="19">
        <f>'17'!G8</f>
        <v>17543</v>
      </c>
      <c r="I20" s="19">
        <v>9</v>
      </c>
      <c r="J20" s="49">
        <f t="shared" si="3"/>
        <v>157887</v>
      </c>
      <c r="K20" s="45">
        <f t="shared" si="4"/>
        <v>86.846534653465341</v>
      </c>
      <c r="L20" s="19">
        <f>'17'!G15</f>
        <v>734.2730000000447</v>
      </c>
      <c r="M20" s="19">
        <v>56.2</v>
      </c>
      <c r="N20" s="41">
        <f t="shared" si="5"/>
        <v>41266.142600002517</v>
      </c>
      <c r="O20" s="19">
        <f>'17'!G20</f>
        <v>133</v>
      </c>
      <c r="P20" s="19">
        <v>108</v>
      </c>
      <c r="Q20" s="46">
        <f t="shared" si="0"/>
        <v>14364</v>
      </c>
      <c r="R20" s="47">
        <f t="shared" si="1"/>
        <v>129.10114540865851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65</v>
      </c>
      <c r="W20" s="22">
        <f>'17'!G66</f>
        <v>15</v>
      </c>
      <c r="X20" s="22">
        <f>'17'!G67</f>
        <v>19</v>
      </c>
      <c r="Y20" s="22">
        <f t="shared" si="7"/>
        <v>99</v>
      </c>
      <c r="Z20" s="19">
        <f>'17'!G84</f>
        <v>0.26000000000203727</v>
      </c>
      <c r="AA20" s="19">
        <f>'17'!G85</f>
        <v>0</v>
      </c>
      <c r="AB20" s="19">
        <f>'17'!G86</f>
        <v>24.040000000000873</v>
      </c>
      <c r="AC20" s="19">
        <f>'17'!G87</f>
        <v>0</v>
      </c>
      <c r="AD20" s="19">
        <f t="shared" si="8"/>
        <v>24.30000000000291</v>
      </c>
      <c r="AE20" s="23">
        <f t="shared" si="2"/>
        <v>3005.1699999999983</v>
      </c>
      <c r="AF20" s="23">
        <f t="shared" si="9"/>
        <v>123.66954732508799</v>
      </c>
      <c r="AG20" s="19">
        <f>'17'!G88</f>
        <v>0</v>
      </c>
      <c r="AH20" s="19">
        <f>'17'!G89</f>
        <v>3.5400000000008731</v>
      </c>
      <c r="AI20" s="19">
        <f>'17'!G90</f>
        <v>4.8399999999965075</v>
      </c>
      <c r="AJ20" s="19">
        <f t="shared" si="10"/>
        <v>8.3799999999973807</v>
      </c>
      <c r="AK20" s="19">
        <f>'17'!G91</f>
        <v>0</v>
      </c>
      <c r="AL20" s="19">
        <f>'17'!G92</f>
        <v>10.850000000000364</v>
      </c>
      <c r="AM20" s="19"/>
      <c r="AN20" s="19">
        <f t="shared" si="11"/>
        <v>10.850000000000364</v>
      </c>
      <c r="AO20" s="52">
        <f>'17'!G74</f>
        <v>307.90000000002328</v>
      </c>
      <c r="AP20" s="55">
        <f>'17'!G35</f>
        <v>1318.6000000000004</v>
      </c>
      <c r="AQ20" s="19">
        <f>'17'!G37</f>
        <v>1510.42</v>
      </c>
      <c r="AR20" s="19">
        <f>'17'!G38</f>
        <v>1604.1599999999999</v>
      </c>
      <c r="AS20" s="19">
        <f>'17'!G39</f>
        <v>2698</v>
      </c>
      <c r="AT20" s="19">
        <f>'17'!G40</f>
        <v>450</v>
      </c>
      <c r="AU20" s="19">
        <f>'17'!G41</f>
        <v>0</v>
      </c>
      <c r="AV20" s="19">
        <f>'17'!G42</f>
        <v>0</v>
      </c>
      <c r="AW20" s="19">
        <f>'17'!G43</f>
        <v>2219.1499999999942</v>
      </c>
      <c r="AX20" s="23">
        <f>'17'!G44</f>
        <v>0</v>
      </c>
      <c r="AY20" s="56">
        <f>'17'!G36</f>
        <v>592.45999999999913</v>
      </c>
      <c r="AZ20" s="55">
        <f>'17'!G49</f>
        <v>1367.6100000000006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562.69999999999982</v>
      </c>
      <c r="BE20" s="19">
        <f>'17'!G55</f>
        <v>3005.1699999999983</v>
      </c>
      <c r="BF20" s="19">
        <f>'17'!G56</f>
        <v>0</v>
      </c>
      <c r="BG20" s="19">
        <f>'17'!G57</f>
        <v>0</v>
      </c>
      <c r="BH20" s="56">
        <f>'17'!G50</f>
        <v>838.52999999999884</v>
      </c>
      <c r="BI20" s="60">
        <f t="shared" si="12"/>
        <v>3005.1699999999983</v>
      </c>
      <c r="BJ20" s="60">
        <f>'17'!G133</f>
        <v>488.60000000000582</v>
      </c>
      <c r="BK20" s="23">
        <f t="shared" si="13"/>
        <v>45.092230519295406</v>
      </c>
      <c r="BL20" s="23">
        <f t="shared" si="14"/>
        <v>15.379353588325827</v>
      </c>
      <c r="BM20" s="24">
        <f t="shared" si="15"/>
        <v>9.1441600638431278E-2</v>
      </c>
      <c r="BN20" s="25">
        <f t="shared" si="16"/>
        <v>213517.14260000252</v>
      </c>
      <c r="BO20" s="38">
        <f t="shared" si="17"/>
        <v>5712.9199999999983</v>
      </c>
      <c r="BP20">
        <f t="shared" si="18"/>
        <v>0.83964138741906436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17765</v>
      </c>
      <c r="H21" s="19">
        <f>'18 '!G8</f>
        <v>18064.830000000016</v>
      </c>
      <c r="I21" s="19">
        <v>9</v>
      </c>
      <c r="J21" s="49">
        <f t="shared" si="3"/>
        <v>162583.47000000015</v>
      </c>
      <c r="K21" s="45">
        <f t="shared" si="4"/>
        <v>89.429851485148589</v>
      </c>
      <c r="L21" s="19">
        <f>'18 '!G15</f>
        <v>881.7269999999553</v>
      </c>
      <c r="M21" s="19">
        <v>56.2</v>
      </c>
      <c r="N21" s="41">
        <f t="shared" si="5"/>
        <v>49553.057399997488</v>
      </c>
      <c r="O21" s="19">
        <f>'18 '!G20</f>
        <v>154</v>
      </c>
      <c r="P21" s="19">
        <v>108</v>
      </c>
      <c r="Q21" s="46">
        <f t="shared" si="0"/>
        <v>16632</v>
      </c>
      <c r="R21" s="47">
        <f t="shared" si="1"/>
        <v>149.48553678897301</v>
      </c>
      <c r="S21" s="19">
        <f>'18 '!G24</f>
        <v>110</v>
      </c>
      <c r="T21" s="19">
        <v>69</v>
      </c>
      <c r="U21" s="48">
        <f t="shared" si="6"/>
        <v>7590</v>
      </c>
      <c r="V21" s="22">
        <f>'18 '!G65</f>
        <v>64</v>
      </c>
      <c r="W21" s="22">
        <f>'18 '!G66</f>
        <v>11</v>
      </c>
      <c r="X21" s="22">
        <f>'18 '!G67</f>
        <v>22</v>
      </c>
      <c r="Y21" s="22">
        <f t="shared" si="7"/>
        <v>97</v>
      </c>
      <c r="Z21" s="19">
        <f>'18 '!G84</f>
        <v>0</v>
      </c>
      <c r="AA21" s="19">
        <f>'18 '!G85</f>
        <v>0</v>
      </c>
      <c r="AB21" s="19">
        <f>'18 '!G86</f>
        <v>24.019999999996799</v>
      </c>
      <c r="AC21" s="19">
        <f>'18 '!G87</f>
        <v>0</v>
      </c>
      <c r="AD21" s="19">
        <f t="shared" si="8"/>
        <v>24.019999999996799</v>
      </c>
      <c r="AE21" s="23">
        <f t="shared" si="2"/>
        <v>3090.5200000000041</v>
      </c>
      <c r="AF21" s="23">
        <f t="shared" si="9"/>
        <v>128.66444629477169</v>
      </c>
      <c r="AG21" s="19">
        <f>'18 '!G88</f>
        <v>1.8699999999989814</v>
      </c>
      <c r="AH21" s="19">
        <f>'18 '!G89</f>
        <v>7.4199999999982538</v>
      </c>
      <c r="AI21" s="19">
        <f>'18 '!G90</f>
        <v>0.71000000000640284</v>
      </c>
      <c r="AJ21" s="19">
        <f t="shared" si="10"/>
        <v>10.000000000003638</v>
      </c>
      <c r="AK21" s="19">
        <f>'18 '!G91</f>
        <v>0</v>
      </c>
      <c r="AL21" s="19">
        <f>'18 '!G92</f>
        <v>10.069999999999709</v>
      </c>
      <c r="AM21" s="19"/>
      <c r="AN21" s="19">
        <f t="shared" si="11"/>
        <v>10.069999999999709</v>
      </c>
      <c r="AO21" s="52">
        <f>'18 '!G74</f>
        <v>285.25</v>
      </c>
      <c r="AP21" s="55">
        <f>'18 '!G35</f>
        <v>1391.7600000000002</v>
      </c>
      <c r="AQ21" s="19">
        <f>'18 '!G37</f>
        <v>1562.5499999999993</v>
      </c>
      <c r="AR21" s="19">
        <f>'18 '!G38</f>
        <v>1696.2999999999993</v>
      </c>
      <c r="AS21" s="19">
        <f>'18 '!G39</f>
        <v>2546.4900000000016</v>
      </c>
      <c r="AT21" s="19">
        <f>'18 '!G40</f>
        <v>282.13999999999942</v>
      </c>
      <c r="AU21" s="19">
        <f>'18 '!G41</f>
        <v>0</v>
      </c>
      <c r="AV21" s="19">
        <f>'18 '!G42</f>
        <v>0</v>
      </c>
      <c r="AW21" s="19">
        <f>'18 '!G43</f>
        <v>2338</v>
      </c>
      <c r="AX21" s="23">
        <f>'18 '!G44</f>
        <v>0</v>
      </c>
      <c r="AY21" s="56">
        <f>'18 '!G36</f>
        <v>600.90000000000146</v>
      </c>
      <c r="AZ21" s="55">
        <f>'18 '!G49</f>
        <v>1242.7199999999993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357.72000000000025</v>
      </c>
      <c r="BE21" s="19">
        <f>'18 '!G55</f>
        <v>3090.5200000000041</v>
      </c>
      <c r="BF21" s="19">
        <f>'18 '!G56</f>
        <v>0</v>
      </c>
      <c r="BG21" s="19">
        <f>'18 '!G57</f>
        <v>0</v>
      </c>
      <c r="BH21" s="56">
        <f>'18 '!G50</f>
        <v>921.40000000000146</v>
      </c>
      <c r="BI21" s="60">
        <f t="shared" si="12"/>
        <v>3090.5200000000041</v>
      </c>
      <c r="BJ21" s="60">
        <f>'18 '!G133</f>
        <v>500.79999999998836</v>
      </c>
      <c r="BK21" s="23">
        <f t="shared" si="13"/>
        <v>44.633688775371787</v>
      </c>
      <c r="BL21" s="23">
        <f t="shared" si="14"/>
        <v>14.096396146545521</v>
      </c>
      <c r="BM21" s="24">
        <f t="shared" si="15"/>
        <v>9.390068990408422E-2</v>
      </c>
      <c r="BN21" s="25">
        <f t="shared" si="16"/>
        <v>236358.52739999763</v>
      </c>
      <c r="BO21" s="38">
        <f t="shared" si="17"/>
        <v>5929.3199999999924</v>
      </c>
      <c r="BP21">
        <f t="shared" si="18"/>
        <v>0.88160461520173405</v>
      </c>
    </row>
    <row r="22" spans="1:68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18033</v>
      </c>
      <c r="H22" s="19">
        <f>'19'!G8</f>
        <v>18721.169999999984</v>
      </c>
      <c r="I22" s="19">
        <v>9</v>
      </c>
      <c r="J22" s="49">
        <f t="shared" si="3"/>
        <v>168490.52999999985</v>
      </c>
      <c r="K22" s="45">
        <f t="shared" si="4"/>
        <v>92.679059405940507</v>
      </c>
      <c r="L22" s="19">
        <f>'19'!G15</f>
        <v>834.30000000004657</v>
      </c>
      <c r="M22" s="19">
        <v>56.2</v>
      </c>
      <c r="N22" s="41">
        <f t="shared" si="5"/>
        <v>46887.660000002623</v>
      </c>
      <c r="O22" s="19">
        <f>'19'!G20</f>
        <v>157</v>
      </c>
      <c r="P22" s="19">
        <v>108</v>
      </c>
      <c r="Q22" s="46">
        <f t="shared" si="0"/>
        <v>16956</v>
      </c>
      <c r="R22" s="47">
        <f t="shared" si="1"/>
        <v>83.590849943243427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63</v>
      </c>
      <c r="W22" s="22">
        <f>'19'!G66</f>
        <v>15</v>
      </c>
      <c r="X22" s="22">
        <f>'19'!G67</f>
        <v>23</v>
      </c>
      <c r="Y22" s="22">
        <f t="shared" si="7"/>
        <v>101</v>
      </c>
      <c r="Z22" s="19">
        <f>'19'!G84</f>
        <v>0.13999999999941792</v>
      </c>
      <c r="AA22" s="19">
        <f>'19'!G85</f>
        <v>0</v>
      </c>
      <c r="AB22" s="19">
        <f>'19'!G86</f>
        <v>24.940000000002328</v>
      </c>
      <c r="AC22" s="19">
        <f>'19'!G87</f>
        <v>0</v>
      </c>
      <c r="AD22" s="19">
        <f t="shared" si="8"/>
        <v>25.080000000001746</v>
      </c>
      <c r="AE22" s="23">
        <f t="shared" si="2"/>
        <v>2846.1399999999994</v>
      </c>
      <c r="AF22" s="23">
        <f t="shared" si="9"/>
        <v>113.48245614034295</v>
      </c>
      <c r="AG22" s="19">
        <f>'19'!G88</f>
        <v>0.20999999999912689</v>
      </c>
      <c r="AH22" s="19">
        <f>'19'!G89</f>
        <v>7.0200000000004366</v>
      </c>
      <c r="AI22" s="19">
        <f>'19'!G90</f>
        <v>1.8600000000005821</v>
      </c>
      <c r="AJ22" s="19">
        <f t="shared" si="10"/>
        <v>9.0900000000001455</v>
      </c>
      <c r="AK22" s="19">
        <f>'19'!G91</f>
        <v>0</v>
      </c>
      <c r="AL22" s="19">
        <f>'19'!G92</f>
        <v>10.730000000000473</v>
      </c>
      <c r="AM22" s="19"/>
      <c r="AN22" s="19">
        <f t="shared" si="11"/>
        <v>10.730000000000473</v>
      </c>
      <c r="AO22" s="52">
        <f>'19'!G74</f>
        <v>306.34999999997672</v>
      </c>
      <c r="AP22" s="55">
        <f>'19'!G35</f>
        <v>1817.1599999999999</v>
      </c>
      <c r="AQ22" s="19">
        <f>'19'!G37</f>
        <v>1596.17</v>
      </c>
      <c r="AR22" s="19">
        <f>'19'!G38</f>
        <v>1623.5400000000009</v>
      </c>
      <c r="AS22" s="19">
        <f>'19'!G39</f>
        <v>2646.0699999999997</v>
      </c>
      <c r="AT22" s="19">
        <f>'19'!G40</f>
        <v>415.23000000000138</v>
      </c>
      <c r="AU22" s="19">
        <f>'19'!G41</f>
        <v>0</v>
      </c>
      <c r="AV22" s="19">
        <f>'19'!G42</f>
        <v>0</v>
      </c>
      <c r="AW22" s="19">
        <f>'19'!G43</f>
        <v>2372.3700000000099</v>
      </c>
      <c r="AX22" s="23">
        <f>'19'!G44</f>
        <v>0</v>
      </c>
      <c r="AY22" s="56">
        <f>'19'!G36</f>
        <v>661.59999999999854</v>
      </c>
      <c r="AZ22" s="55">
        <f>'19'!G49</f>
        <v>1124.4899999999998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0</v>
      </c>
      <c r="BE22" s="19">
        <f>'19'!G55</f>
        <v>2846.1399999999994</v>
      </c>
      <c r="BF22" s="19">
        <f>'19'!G56</f>
        <v>0</v>
      </c>
      <c r="BG22" s="19">
        <f>'19'!G57</f>
        <v>0</v>
      </c>
      <c r="BH22" s="56">
        <f>'19'!G50</f>
        <v>975.76000000000204</v>
      </c>
      <c r="BI22" s="60">
        <f t="shared" si="12"/>
        <v>2846.1399999999994</v>
      </c>
      <c r="BJ22" s="60">
        <f>'19'!G133</f>
        <v>668.02999999999884</v>
      </c>
      <c r="BK22" s="23">
        <f t="shared" si="13"/>
        <v>43.587874048470347</v>
      </c>
      <c r="BL22" s="23">
        <f t="shared" si="14"/>
        <v>14.134105934618413</v>
      </c>
      <c r="BM22" s="24">
        <f t="shared" si="15"/>
        <v>8.6722143968566187E-2</v>
      </c>
      <c r="BN22" s="25">
        <f t="shared" si="16"/>
        <v>232334.19000000248</v>
      </c>
      <c r="BO22" s="38">
        <f t="shared" si="17"/>
        <v>5886.5400000000081</v>
      </c>
      <c r="BP22">
        <f t="shared" si="18"/>
        <v>0.8382518796991909</v>
      </c>
    </row>
    <row r="23" spans="1:68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16723.150000000023</v>
      </c>
      <c r="H23" s="19">
        <f>'20'!G8</f>
        <v>17336.710000000021</v>
      </c>
      <c r="I23" s="19">
        <v>9</v>
      </c>
      <c r="J23" s="49">
        <f t="shared" si="3"/>
        <v>156030.39000000019</v>
      </c>
      <c r="K23" s="45">
        <f t="shared" si="4"/>
        <v>85.82529702970308</v>
      </c>
      <c r="L23" s="19">
        <f>'20'!G15</f>
        <v>986.94999999995343</v>
      </c>
      <c r="M23" s="19">
        <v>56.2</v>
      </c>
      <c r="N23" s="41">
        <f t="shared" si="5"/>
        <v>55466.589999997384</v>
      </c>
      <c r="O23" s="19">
        <f>'20'!G20</f>
        <v>216</v>
      </c>
      <c r="P23" s="19">
        <v>108</v>
      </c>
      <c r="Q23" s="46">
        <f t="shared" si="0"/>
        <v>23328</v>
      </c>
      <c r="R23" s="47">
        <f t="shared" si="1"/>
        <v>106.93069306930693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72</v>
      </c>
      <c r="W23" s="22">
        <f>'20'!G66</f>
        <v>10</v>
      </c>
      <c r="X23" s="22">
        <f>'20'!G67</f>
        <v>23</v>
      </c>
      <c r="Y23" s="22">
        <f t="shared" si="7"/>
        <v>105</v>
      </c>
      <c r="Z23" s="19">
        <f>'20'!G84</f>
        <v>-0.13999999999941792</v>
      </c>
      <c r="AA23" s="19">
        <f>'20'!G85</f>
        <v>9.9999999997635314E-3</v>
      </c>
      <c r="AB23" s="19">
        <f>'20'!G86</f>
        <v>24.370000000002619</v>
      </c>
      <c r="AC23" s="19">
        <f>'20'!G87</f>
        <v>0</v>
      </c>
      <c r="AD23" s="19">
        <f t="shared" si="8"/>
        <v>24.240000000002965</v>
      </c>
      <c r="AE23" s="23">
        <f t="shared" si="2"/>
        <v>2588.6399999999994</v>
      </c>
      <c r="AF23" s="23">
        <f t="shared" si="9"/>
        <v>106.7920792079077</v>
      </c>
      <c r="AG23" s="19">
        <f>'20'!G88</f>
        <v>0</v>
      </c>
      <c r="AH23" s="19">
        <f>'20'!G89</f>
        <v>11.18999999999869</v>
      </c>
      <c r="AI23" s="19">
        <f>'20'!G90</f>
        <v>2.7399999999906868</v>
      </c>
      <c r="AJ23" s="19">
        <f t="shared" si="10"/>
        <v>13.929999999989377</v>
      </c>
      <c r="AK23" s="19">
        <f>'20'!G91</f>
        <v>0</v>
      </c>
      <c r="AL23" s="19">
        <f>'20'!G92</f>
        <v>10.329999999999927</v>
      </c>
      <c r="AM23" s="19"/>
      <c r="AN23" s="19">
        <f t="shared" si="11"/>
        <v>10.329999999999927</v>
      </c>
      <c r="AO23" s="52">
        <f>'20'!G74</f>
        <v>295.15000000002328</v>
      </c>
      <c r="AP23" s="55">
        <f>'20'!G35</f>
        <v>1491.2900000000009</v>
      </c>
      <c r="AQ23" s="19">
        <f>'20'!G37</f>
        <v>1537.7799999999988</v>
      </c>
      <c r="AR23" s="19">
        <f>'20'!G38</f>
        <v>1612.8499999999985</v>
      </c>
      <c r="AS23" s="19">
        <f>'20'!G39</f>
        <v>2507.0499999999993</v>
      </c>
      <c r="AT23" s="19">
        <f>'20'!G40</f>
        <v>442.67999999999847</v>
      </c>
      <c r="AU23" s="19">
        <f>'20'!G41</f>
        <v>0</v>
      </c>
      <c r="AV23" s="19">
        <f>'20'!G42</f>
        <v>0</v>
      </c>
      <c r="AW23" s="19">
        <f>'20'!G43</f>
        <v>2313.4700000000012</v>
      </c>
      <c r="AX23" s="23">
        <f>'20'!G44</f>
        <v>0</v>
      </c>
      <c r="AY23" s="56">
        <f>'20'!G36</f>
        <v>594.86000000000058</v>
      </c>
      <c r="AZ23" s="55">
        <f>'20'!G49</f>
        <v>1079.2800000000007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0</v>
      </c>
      <c r="BE23" s="19">
        <f>'20'!G55</f>
        <v>2588.6399999999994</v>
      </c>
      <c r="BF23" s="19">
        <f>'20'!G56</f>
        <v>0</v>
      </c>
      <c r="BG23" s="19">
        <f>'20'!G57</f>
        <v>0</v>
      </c>
      <c r="BH23" s="56">
        <f>'20'!G50</f>
        <v>914.65999999999622</v>
      </c>
      <c r="BI23" s="60">
        <f t="shared" si="12"/>
        <v>2588.6399999999994</v>
      </c>
      <c r="BJ23" s="60">
        <f>'20'!G133</f>
        <v>655.39000000001397</v>
      </c>
      <c r="BK23" s="23">
        <f t="shared" si="13"/>
        <v>43.103218546079347</v>
      </c>
      <c r="BL23" s="23">
        <f t="shared" si="14"/>
        <v>14.460932899033301</v>
      </c>
      <c r="BM23" s="24">
        <f t="shared" si="15"/>
        <v>9.3030915323610797E-2</v>
      </c>
      <c r="BN23" s="25">
        <f t="shared" si="16"/>
        <v>234824.97999999757</v>
      </c>
      <c r="BO23" s="38">
        <f t="shared" si="17"/>
        <v>5557.5000000000146</v>
      </c>
      <c r="BP23">
        <f t="shared" si="18"/>
        <v>0.81882072135775208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17868.559999999998</v>
      </c>
      <c r="H24" s="19">
        <f>'21'!G8</f>
        <v>18548.039999999979</v>
      </c>
      <c r="I24" s="19">
        <v>9</v>
      </c>
      <c r="J24" s="49">
        <f t="shared" si="3"/>
        <v>166932.35999999981</v>
      </c>
      <c r="K24" s="45">
        <f t="shared" si="4"/>
        <v>91.821980198019702</v>
      </c>
      <c r="L24" s="19">
        <f>'21'!G15</f>
        <v>1017.3400000000838</v>
      </c>
      <c r="M24" s="19">
        <v>56.2</v>
      </c>
      <c r="N24" s="41">
        <f t="shared" si="5"/>
        <v>57174.508000004716</v>
      </c>
      <c r="O24" s="19">
        <f>'21'!G20</f>
        <v>167</v>
      </c>
      <c r="P24" s="19">
        <v>108</v>
      </c>
      <c r="Q24" s="46">
        <f t="shared" si="0"/>
        <v>18036</v>
      </c>
      <c r="R24" s="47">
        <f t="shared" si="1"/>
        <v>116.44122158694744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72</v>
      </c>
      <c r="W24" s="22">
        <f>'21'!G66</f>
        <v>12</v>
      </c>
      <c r="X24" s="22">
        <f>'21'!G67</f>
        <v>20</v>
      </c>
      <c r="Y24" s="22">
        <f t="shared" si="7"/>
        <v>104</v>
      </c>
      <c r="Z24" s="19">
        <f>'21'!G84</f>
        <v>0.13999999999941792</v>
      </c>
      <c r="AA24" s="19">
        <f>'21'!G85</f>
        <v>0</v>
      </c>
      <c r="AB24" s="19">
        <f>'21'!G86</f>
        <v>24.07999999999447</v>
      </c>
      <c r="AC24" s="19">
        <f>'21'!G87</f>
        <v>0</v>
      </c>
      <c r="AD24" s="19">
        <f t="shared" si="8"/>
        <v>24.219999999993888</v>
      </c>
      <c r="AE24" s="23">
        <f t="shared" si="2"/>
        <v>2838.3999999999942</v>
      </c>
      <c r="AF24" s="23">
        <f t="shared" si="9"/>
        <v>117.19240297277912</v>
      </c>
      <c r="AG24" s="19">
        <f>'21'!G88</f>
        <v>0</v>
      </c>
      <c r="AH24" s="19">
        <f>'21'!G89</f>
        <v>10.30000000000291</v>
      </c>
      <c r="AI24" s="19">
        <f>'21'!G90</f>
        <v>2.1199999999953434</v>
      </c>
      <c r="AJ24" s="19">
        <f t="shared" si="10"/>
        <v>12.419999999998254</v>
      </c>
      <c r="AK24" s="19">
        <f>'21'!G91</f>
        <v>0</v>
      </c>
      <c r="AL24" s="19">
        <f>'21'!G92</f>
        <v>10.309999999999491</v>
      </c>
      <c r="AM24" s="19"/>
      <c r="AN24" s="19">
        <f t="shared" si="11"/>
        <v>10.309999999999491</v>
      </c>
      <c r="AO24" s="52">
        <f>'21'!G74</f>
        <v>294.76000000000931</v>
      </c>
      <c r="AP24" s="55">
        <f>'21'!G35</f>
        <v>1453.9699999999975</v>
      </c>
      <c r="AQ24" s="19">
        <f>'21'!G37</f>
        <v>1565.5</v>
      </c>
      <c r="AR24" s="19">
        <f>'21'!G38</f>
        <v>1671.4500000000007</v>
      </c>
      <c r="AS24" s="19">
        <f>'21'!G39</f>
        <v>2598.239999999998</v>
      </c>
      <c r="AT24" s="19">
        <f>'21'!G40</f>
        <v>355.32999999999993</v>
      </c>
      <c r="AU24" s="19">
        <f>'21'!G41</f>
        <v>0</v>
      </c>
      <c r="AV24" s="19">
        <f>'21'!G42</f>
        <v>0</v>
      </c>
      <c r="AW24" s="19">
        <f>'21'!G43</f>
        <v>2339.9399999999878</v>
      </c>
      <c r="AX24" s="23">
        <f>'21'!G44</f>
        <v>0</v>
      </c>
      <c r="AY24" s="56">
        <f>'21'!G36</f>
        <v>661.91000000000349</v>
      </c>
      <c r="AZ24" s="55">
        <f>'21'!G49</f>
        <v>1101.7999999999993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0</v>
      </c>
      <c r="BE24" s="19">
        <f>'21'!G55</f>
        <v>2838.3999999999942</v>
      </c>
      <c r="BF24" s="19">
        <f>'21'!G56</f>
        <v>0</v>
      </c>
      <c r="BG24" s="19">
        <f>'21'!G57</f>
        <v>0</v>
      </c>
      <c r="BH24" s="56">
        <f>'21'!G50</f>
        <v>1160.0500000000029</v>
      </c>
      <c r="BI24" s="60">
        <f t="shared" si="12"/>
        <v>2838.3999999999942</v>
      </c>
      <c r="BJ24" s="60">
        <f>'21'!G133</f>
        <v>655.83999999999651</v>
      </c>
      <c r="BK24" s="23">
        <f t="shared" si="13"/>
        <v>41.69772116083417</v>
      </c>
      <c r="BL24" s="23">
        <f t="shared" si="14"/>
        <v>14.008164744091562</v>
      </c>
      <c r="BM24" s="24">
        <f t="shared" si="15"/>
        <v>9.0114642840968789E-2</v>
      </c>
      <c r="BN24" s="25">
        <f t="shared" si="16"/>
        <v>242142.86800000453</v>
      </c>
      <c r="BO24" s="38">
        <f t="shared" si="17"/>
        <v>5834.1799999999785</v>
      </c>
      <c r="BP24">
        <f t="shared" si="18"/>
        <v>0.86029550548564504</v>
      </c>
    </row>
    <row r="25" spans="1:68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19215.959999999963</v>
      </c>
      <c r="H25" s="19">
        <f>'22'!G8</f>
        <v>19922.760000000009</v>
      </c>
      <c r="I25" s="19">
        <v>9</v>
      </c>
      <c r="J25" s="49">
        <f t="shared" si="3"/>
        <v>179304.84000000008</v>
      </c>
      <c r="K25" s="45">
        <f t="shared" si="4"/>
        <v>98.627524752475296</v>
      </c>
      <c r="L25" s="19">
        <f>'22'!G15</f>
        <v>1036.4099999999162</v>
      </c>
      <c r="M25" s="19">
        <v>56.2</v>
      </c>
      <c r="N25" s="41">
        <f t="shared" si="5"/>
        <v>58246.241999995291</v>
      </c>
      <c r="O25" s="19">
        <f>'22'!G20</f>
        <v>176</v>
      </c>
      <c r="P25" s="19">
        <v>108</v>
      </c>
      <c r="Q25" s="46">
        <f t="shared" si="0"/>
        <v>19008</v>
      </c>
      <c r="R25" s="47">
        <f t="shared" si="1"/>
        <v>89.823415331223842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75</v>
      </c>
      <c r="W25" s="22">
        <f>'22'!G66</f>
        <v>14</v>
      </c>
      <c r="X25" s="22">
        <f>'22'!G67</f>
        <v>20</v>
      </c>
      <c r="Y25" s="22">
        <f t="shared" si="7"/>
        <v>109</v>
      </c>
      <c r="Z25" s="19">
        <f>'22'!G84</f>
        <v>0</v>
      </c>
      <c r="AA25" s="19">
        <f>'22'!G85</f>
        <v>0</v>
      </c>
      <c r="AB25" s="19">
        <f>'22'!G86</f>
        <v>24.410000000003492</v>
      </c>
      <c r="AC25" s="19">
        <f>'22'!G87</f>
        <v>0</v>
      </c>
      <c r="AD25" s="19">
        <f t="shared" si="8"/>
        <v>24.410000000003492</v>
      </c>
      <c r="AE25" s="23">
        <f t="shared" si="2"/>
        <v>3073.5800000000017</v>
      </c>
      <c r="AF25" s="23">
        <f t="shared" si="9"/>
        <v>125.91478902087513</v>
      </c>
      <c r="AG25" s="19">
        <f>'22'!G88</f>
        <v>0</v>
      </c>
      <c r="AH25" s="19">
        <f>'22'!G89</f>
        <v>9.8799999999973807</v>
      </c>
      <c r="AI25" s="19">
        <f>'22'!G90</f>
        <v>3.4500000000116415</v>
      </c>
      <c r="AJ25" s="19">
        <f t="shared" si="10"/>
        <v>13.330000000009022</v>
      </c>
      <c r="AK25" s="19">
        <f>'22'!G91</f>
        <v>0</v>
      </c>
      <c r="AL25" s="19">
        <f>'22'!G92</f>
        <v>10.75</v>
      </c>
      <c r="AM25" s="19"/>
      <c r="AN25" s="19">
        <f t="shared" si="11"/>
        <v>10.75</v>
      </c>
      <c r="AO25" s="52">
        <f>'22'!G74</f>
        <v>307.70999999996275</v>
      </c>
      <c r="AP25" s="55">
        <f>'22'!G35</f>
        <v>1422.8000000000029</v>
      </c>
      <c r="AQ25" s="19">
        <f>'22'!G37</f>
        <v>1587.0900000000001</v>
      </c>
      <c r="AR25" s="19">
        <f>'22'!G38</f>
        <v>1787.2400000000016</v>
      </c>
      <c r="AS25" s="19">
        <f>'22'!G39</f>
        <v>2648.7000000000044</v>
      </c>
      <c r="AT25" s="19">
        <f>'22'!G40</f>
        <v>293.48000000000138</v>
      </c>
      <c r="AU25" s="19">
        <f>'22'!G41</f>
        <v>0</v>
      </c>
      <c r="AV25" s="19">
        <f>'22'!G42</f>
        <v>0</v>
      </c>
      <c r="AW25" s="19">
        <f>'22'!G43</f>
        <v>2333.4200000000128</v>
      </c>
      <c r="AX25" s="23">
        <f>'22'!G44</f>
        <v>0</v>
      </c>
      <c r="AY25" s="56">
        <f>'22'!G36</f>
        <v>834.2899999999936</v>
      </c>
      <c r="AZ25" s="55">
        <f>'22'!G49</f>
        <v>1173.83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0</v>
      </c>
      <c r="BE25" s="19">
        <f>'22'!G55</f>
        <v>3073.5800000000017</v>
      </c>
      <c r="BF25" s="19">
        <f>'22'!G56</f>
        <v>0</v>
      </c>
      <c r="BG25" s="19">
        <f>'22'!G57</f>
        <v>0</v>
      </c>
      <c r="BH25" s="56">
        <f>'22'!G50</f>
        <v>1510.6999999999971</v>
      </c>
      <c r="BI25" s="60">
        <f t="shared" si="12"/>
        <v>3073.5800000000017</v>
      </c>
      <c r="BJ25" s="60">
        <f>'22'!G133</f>
        <v>653.44000000000233</v>
      </c>
      <c r="BK25" s="23">
        <f t="shared" si="13"/>
        <v>40.173299281826488</v>
      </c>
      <c r="BL25" s="23">
        <f t="shared" si="14"/>
        <v>13.294844690193544</v>
      </c>
      <c r="BM25" s="24">
        <f t="shared" si="15"/>
        <v>8.9708454049539366E-2</v>
      </c>
      <c r="BN25" s="25">
        <f t="shared" si="16"/>
        <v>256559.08199999537</v>
      </c>
      <c r="BO25" s="38">
        <f t="shared" si="17"/>
        <v>6060.4400000000169</v>
      </c>
      <c r="BP25">
        <f t="shared" si="18"/>
        <v>0.88670334172165244</v>
      </c>
    </row>
    <row r="26" spans="1:68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0.61</v>
      </c>
      <c r="G26" s="19">
        <f>'23'!G7</f>
        <v>18703.160000000033</v>
      </c>
      <c r="H26" s="19">
        <f>'23'!G8</f>
        <v>19388.319999999949</v>
      </c>
      <c r="I26" s="19">
        <v>9</v>
      </c>
      <c r="J26" s="49">
        <f t="shared" si="3"/>
        <v>174494.87999999954</v>
      </c>
      <c r="K26" s="45">
        <f t="shared" si="4"/>
        <v>95.981782178217571</v>
      </c>
      <c r="L26" s="19">
        <f>'23'!G15</f>
        <v>979.91999999992549</v>
      </c>
      <c r="M26" s="19">
        <v>56.2</v>
      </c>
      <c r="N26" s="41">
        <f t="shared" si="5"/>
        <v>55071.503999995817</v>
      </c>
      <c r="O26" s="19">
        <f>'23'!G20</f>
        <v>216</v>
      </c>
      <c r="P26" s="19">
        <v>108</v>
      </c>
      <c r="Q26" s="46">
        <f t="shared" si="0"/>
        <v>23328</v>
      </c>
      <c r="R26" s="47">
        <f t="shared" si="1"/>
        <v>175.29621814640481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88</v>
      </c>
      <c r="W26" s="22">
        <f>'23'!G66</f>
        <v>23</v>
      </c>
      <c r="X26" s="22">
        <f>'23'!G67</f>
        <v>25</v>
      </c>
      <c r="Y26" s="22">
        <f t="shared" si="7"/>
        <v>136</v>
      </c>
      <c r="Z26" s="19">
        <f>'23'!G84</f>
        <v>0</v>
      </c>
      <c r="AA26" s="19">
        <f>'23'!G85</f>
        <v>0</v>
      </c>
      <c r="AB26" s="19">
        <f>'23'!G86</f>
        <v>24.25</v>
      </c>
      <c r="AC26" s="19">
        <f>'23'!G87</f>
        <v>0</v>
      </c>
      <c r="AD26" s="19">
        <f t="shared" si="8"/>
        <v>24.25</v>
      </c>
      <c r="AE26" s="23">
        <f t="shared" si="2"/>
        <v>2695.2200000000012</v>
      </c>
      <c r="AF26" s="23">
        <f t="shared" si="9"/>
        <v>111.1430927835052</v>
      </c>
      <c r="AG26" s="19">
        <f>'23'!G88</f>
        <v>2.0100000000020373</v>
      </c>
      <c r="AH26" s="19">
        <f>'23'!G89</f>
        <v>8.1700000000018917</v>
      </c>
      <c r="AI26" s="19">
        <f>'23'!G90</f>
        <v>1.4899999999906868</v>
      </c>
      <c r="AJ26" s="19">
        <f t="shared" si="10"/>
        <v>11.669999999994616</v>
      </c>
      <c r="AK26" s="19">
        <f>'23'!G91</f>
        <v>0</v>
      </c>
      <c r="AL26" s="19">
        <f>'23'!G92</f>
        <v>10.220000000000255</v>
      </c>
      <c r="AM26" s="19"/>
      <c r="AN26" s="19">
        <f t="shared" si="11"/>
        <v>10.220000000000255</v>
      </c>
      <c r="AO26" s="52">
        <f>'23'!G74</f>
        <v>292.69000000006054</v>
      </c>
      <c r="AP26" s="55">
        <f>'23'!G35</f>
        <v>1355.7099999999991</v>
      </c>
      <c r="AQ26" s="19">
        <f>'23'!G37</f>
        <v>1571.9800000000032</v>
      </c>
      <c r="AR26" s="19">
        <f>'23'!G38</f>
        <v>1932.0699999999997</v>
      </c>
      <c r="AS26" s="19">
        <f>'23'!G39</f>
        <v>2576.25</v>
      </c>
      <c r="AT26" s="19">
        <f>'23'!G40</f>
        <v>383.89999999999964</v>
      </c>
      <c r="AU26" s="19">
        <f>'23'!G41</f>
        <v>0</v>
      </c>
      <c r="AV26" s="19">
        <f>'23'!G42</f>
        <v>0</v>
      </c>
      <c r="AW26" s="19">
        <f>'23'!G43</f>
        <v>2339.2399999999907</v>
      </c>
      <c r="AX26" s="23">
        <f>'23'!G44</f>
        <v>0</v>
      </c>
      <c r="AY26" s="56">
        <f>'23'!G36</f>
        <v>1155.2800000000061</v>
      </c>
      <c r="AZ26" s="55">
        <f>'23'!G49</f>
        <v>1092.9700000000012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0</v>
      </c>
      <c r="BE26" s="19">
        <f>'23'!G55</f>
        <v>2695.2200000000012</v>
      </c>
      <c r="BF26" s="19">
        <f>'23'!G56</f>
        <v>0</v>
      </c>
      <c r="BG26" s="19">
        <f>'23'!G57</f>
        <v>0</v>
      </c>
      <c r="BH26" s="56">
        <f>'23'!G50</f>
        <v>1627.260000000002</v>
      </c>
      <c r="BI26" s="60">
        <f t="shared" si="12"/>
        <v>2695.2200000000012</v>
      </c>
      <c r="BJ26" s="60">
        <f>'23'!G133</f>
        <v>661.32999999998719</v>
      </c>
      <c r="BK26" s="23">
        <f t="shared" si="13"/>
        <v>38.596123851886148</v>
      </c>
      <c r="BL26" s="23">
        <f t="shared" si="14"/>
        <v>13.28763915594547</v>
      </c>
      <c r="BM26" s="24">
        <f t="shared" si="15"/>
        <v>9.9651233319854676E-2</v>
      </c>
      <c r="BN26" s="25">
        <f t="shared" si="16"/>
        <v>252894.38399999536</v>
      </c>
      <c r="BO26" s="38">
        <f t="shared" si="17"/>
        <v>5695.789999999979</v>
      </c>
      <c r="BP26">
        <f t="shared" si="18"/>
        <v>0.8388497790868894</v>
      </c>
    </row>
    <row r="27" spans="1:68">
      <c r="A27" s="16">
        <v>24</v>
      </c>
      <c r="B27" s="17">
        <v>24</v>
      </c>
      <c r="C27" s="28"/>
      <c r="D27" s="19">
        <f>'24'!D3</f>
        <v>21</v>
      </c>
      <c r="E27" s="50">
        <f>'24'!D4</f>
        <v>0.75</v>
      </c>
      <c r="F27" s="50">
        <f>'24'!D2</f>
        <v>0.75</v>
      </c>
      <c r="G27" s="19">
        <f>'24'!G7</f>
        <v>16363.169999999984</v>
      </c>
      <c r="H27" s="19">
        <f>'24'!G8</f>
        <v>16876.170000000042</v>
      </c>
      <c r="I27" s="19">
        <v>9</v>
      </c>
      <c r="J27" s="49">
        <f t="shared" si="3"/>
        <v>151885.53000000038</v>
      </c>
      <c r="K27" s="45">
        <f t="shared" si="4"/>
        <v>83.545396039604171</v>
      </c>
      <c r="L27" s="19">
        <f>'24'!G15</f>
        <v>1037.0800000000745</v>
      </c>
      <c r="M27" s="19">
        <v>56.2</v>
      </c>
      <c r="N27" s="41">
        <f t="shared" si="5"/>
        <v>58283.896000004192</v>
      </c>
      <c r="O27" s="19">
        <f>'24'!G20</f>
        <v>212</v>
      </c>
      <c r="P27" s="19">
        <v>108</v>
      </c>
      <c r="Q27" s="46">
        <f t="shared" si="0"/>
        <v>22896</v>
      </c>
      <c r="R27" s="47">
        <f t="shared" si="1"/>
        <v>139.93399339933995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103</v>
      </c>
      <c r="W27" s="22">
        <f>'24'!G66</f>
        <v>14</v>
      </c>
      <c r="X27" s="22">
        <f>'24'!G67</f>
        <v>25</v>
      </c>
      <c r="Y27" s="22">
        <f t="shared" si="7"/>
        <v>142</v>
      </c>
      <c r="Z27" s="19">
        <f>'24'!G84</f>
        <v>-0.40000000000145519</v>
      </c>
      <c r="AA27" s="19">
        <f>'24'!G85</f>
        <v>0</v>
      </c>
      <c r="AB27" s="19">
        <f>'24'!G86</f>
        <v>23.889999999999418</v>
      </c>
      <c r="AC27" s="19">
        <f>'24'!G87</f>
        <v>0</v>
      </c>
      <c r="AD27" s="19">
        <f t="shared" si="8"/>
        <v>23.489999999997963</v>
      </c>
      <c r="AE27" s="23">
        <f t="shared" si="2"/>
        <v>2484.3300000000017</v>
      </c>
      <c r="AF27" s="23">
        <f t="shared" si="9"/>
        <v>105.76117496808077</v>
      </c>
      <c r="AG27" s="19">
        <f>'24'!G88</f>
        <v>-0.38000000000101863</v>
      </c>
      <c r="AH27" s="19">
        <f>'24'!G89</f>
        <v>10.389999999999418</v>
      </c>
      <c r="AI27" s="19">
        <f>'24'!G90</f>
        <v>2.6300000000046566</v>
      </c>
      <c r="AJ27" s="19">
        <f t="shared" si="10"/>
        <v>12.640000000003056</v>
      </c>
      <c r="AK27" s="19">
        <f>'24'!G91</f>
        <v>0</v>
      </c>
      <c r="AL27" s="19">
        <f>'24'!G92</f>
        <v>11.329999999999927</v>
      </c>
      <c r="AM27" s="19"/>
      <c r="AN27" s="19">
        <f t="shared" si="11"/>
        <v>11.329999999999927</v>
      </c>
      <c r="AO27" s="52">
        <f>'24'!G74</f>
        <v>311.18999999994412</v>
      </c>
      <c r="AP27" s="55">
        <f>'24'!G35</f>
        <v>1181.7099999999991</v>
      </c>
      <c r="AQ27" s="19">
        <f>'24'!G37</f>
        <v>1645.5099999999984</v>
      </c>
      <c r="AR27" s="19">
        <f>'24'!G38</f>
        <v>1826.3899999999994</v>
      </c>
      <c r="AS27" s="19">
        <f>'24'!G39</f>
        <v>2607.1999999999971</v>
      </c>
      <c r="AT27" s="19">
        <f>'24'!G40</f>
        <v>650.23999999999978</v>
      </c>
      <c r="AU27" s="19">
        <f>'24'!G41</f>
        <v>0</v>
      </c>
      <c r="AV27" s="19">
        <f>'24'!G42</f>
        <v>0</v>
      </c>
      <c r="AW27" s="19">
        <f>'24'!G43</f>
        <v>2087.4100000000035</v>
      </c>
      <c r="AX27" s="23">
        <f>'24'!G44</f>
        <v>0</v>
      </c>
      <c r="AY27" s="56">
        <f>'24'!G36</f>
        <v>656.69999999999709</v>
      </c>
      <c r="AZ27" s="55">
        <f>'24'!G49</f>
        <v>855.29999999999927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-0.42000000000007276</v>
      </c>
      <c r="BE27" s="19">
        <f>'24'!G55</f>
        <v>2484.3300000000017</v>
      </c>
      <c r="BF27" s="19">
        <f>'24'!G56</f>
        <v>0</v>
      </c>
      <c r="BG27" s="19">
        <f>'24'!G57</f>
        <v>0</v>
      </c>
      <c r="BH27" s="56">
        <f>'24'!G50</f>
        <v>1014.6399999999994</v>
      </c>
      <c r="BI27" s="60">
        <f t="shared" si="12"/>
        <v>2484.3300000000017</v>
      </c>
      <c r="BJ27" s="60">
        <f>'24'!G133</f>
        <v>437.57000000000698</v>
      </c>
      <c r="BK27" s="23">
        <f t="shared" si="13"/>
        <v>39.160247852445117</v>
      </c>
      <c r="BL27" s="23">
        <f t="shared" si="14"/>
        <v>15.44900294320329</v>
      </c>
      <c r="BM27" s="24">
        <f t="shared" si="15"/>
        <v>0.10822301505614099</v>
      </c>
      <c r="BN27" s="25">
        <f t="shared" si="16"/>
        <v>233065.42600000458</v>
      </c>
      <c r="BO27" s="38">
        <f t="shared" si="17"/>
        <v>5009.3100000000122</v>
      </c>
      <c r="BP27">
        <f t="shared" si="18"/>
        <v>0.76161740558299074</v>
      </c>
    </row>
    <row r="28" spans="1:68">
      <c r="A28" s="16">
        <v>25</v>
      </c>
      <c r="B28" s="26">
        <v>25</v>
      </c>
      <c r="C28" s="28"/>
      <c r="D28" s="19">
        <f>'25'!D3</f>
        <v>22</v>
      </c>
      <c r="E28" s="50">
        <f>'25'!D4</f>
        <v>0.78</v>
      </c>
      <c r="F28" s="50">
        <f>'25'!D2</f>
        <v>0.92</v>
      </c>
      <c r="G28" s="19">
        <f>'25'!G7</f>
        <v>16329</v>
      </c>
      <c r="H28" s="19">
        <f>'25'!G8</f>
        <v>16627</v>
      </c>
      <c r="I28" s="19">
        <v>9</v>
      </c>
      <c r="J28" s="49">
        <f t="shared" si="3"/>
        <v>149643</v>
      </c>
      <c r="K28" s="45">
        <f t="shared" si="4"/>
        <v>82.311881188118818</v>
      </c>
      <c r="L28" s="19">
        <f>'25'!G15</f>
        <v>815</v>
      </c>
      <c r="M28" s="19">
        <v>56.2</v>
      </c>
      <c r="N28" s="41">
        <f t="shared" si="5"/>
        <v>45803</v>
      </c>
      <c r="O28" s="19">
        <f>'25'!G20</f>
        <v>190</v>
      </c>
      <c r="P28" s="19">
        <v>108</v>
      </c>
      <c r="Q28" s="46">
        <f t="shared" si="0"/>
        <v>20520</v>
      </c>
      <c r="R28" s="47">
        <f t="shared" si="1"/>
        <v>102.23848471803701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86</v>
      </c>
      <c r="W28" s="22">
        <f>'25'!G66</f>
        <v>11</v>
      </c>
      <c r="X28" s="22">
        <f>'25'!G67</f>
        <v>20</v>
      </c>
      <c r="Y28" s="22">
        <f t="shared" si="7"/>
        <v>117</v>
      </c>
      <c r="Z28" s="19">
        <f>'25'!G84</f>
        <v>0.40000000000145519</v>
      </c>
      <c r="AA28" s="19">
        <f>'25'!G85</f>
        <v>21.440000000000055</v>
      </c>
      <c r="AB28" s="19">
        <f>'25'!G86</f>
        <v>0</v>
      </c>
      <c r="AC28" s="19">
        <f>'25'!G87</f>
        <v>0</v>
      </c>
      <c r="AD28" s="19">
        <f t="shared" si="8"/>
        <v>21.84000000000151</v>
      </c>
      <c r="AE28" s="23">
        <f t="shared" si="2"/>
        <v>0</v>
      </c>
      <c r="AF28" s="23">
        <f t="shared" si="9"/>
        <v>0</v>
      </c>
      <c r="AG28" s="19">
        <f>'25'!G88</f>
        <v>0</v>
      </c>
      <c r="AH28" s="19">
        <f>'25'!G89</f>
        <v>4.9799999999995634</v>
      </c>
      <c r="AI28" s="19">
        <f>'25'!G90</f>
        <v>4</v>
      </c>
      <c r="AJ28" s="19">
        <f t="shared" si="10"/>
        <v>8.9799999999995634</v>
      </c>
      <c r="AK28" s="19">
        <f>'25'!G91</f>
        <v>-0.32000000000016371</v>
      </c>
      <c r="AL28" s="19">
        <f>'25'!G92</f>
        <v>10</v>
      </c>
      <c r="AM28" s="19"/>
      <c r="AN28" s="19">
        <f t="shared" si="11"/>
        <v>9.6799999999998363</v>
      </c>
      <c r="AO28" s="52">
        <f>'25'!G74</f>
        <v>296</v>
      </c>
      <c r="AP28" s="55">
        <f>'25'!G35</f>
        <v>1308</v>
      </c>
      <c r="AQ28" s="19">
        <f>'25'!G37</f>
        <v>1608</v>
      </c>
      <c r="AR28" s="19">
        <f>'25'!G38</f>
        <v>1761</v>
      </c>
      <c r="AS28" s="19">
        <f>'25'!G39</f>
        <v>2591</v>
      </c>
      <c r="AT28" s="19">
        <f>'25'!G40</f>
        <v>593</v>
      </c>
      <c r="AU28" s="19">
        <f>'25'!G41</f>
        <v>0</v>
      </c>
      <c r="AV28" s="19"/>
      <c r="AW28" s="19">
        <f>'25'!G43</f>
        <v>1958</v>
      </c>
      <c r="AX28" s="23">
        <f>'25'!G44</f>
        <v>0</v>
      </c>
      <c r="AY28" s="56">
        <f>'25'!G36</f>
        <v>600</v>
      </c>
      <c r="AZ28" s="55">
        <f>'25'!G49</f>
        <v>832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-0.42000000000007276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1011</v>
      </c>
      <c r="BI28" s="60">
        <f t="shared" si="12"/>
        <v>0</v>
      </c>
      <c r="BJ28" s="60">
        <f>'25'!G133</f>
        <v>397</v>
      </c>
      <c r="BK28" s="23">
        <f t="shared" si="13"/>
        <v>24.646659048535511</v>
      </c>
      <c r="BL28" s="23">
        <f t="shared" si="14"/>
        <v>15.583087748842244</v>
      </c>
      <c r="BM28" s="24">
        <f t="shared" si="15"/>
        <v>0.10591207072833343</v>
      </c>
      <c r="BN28" s="25">
        <f t="shared" si="16"/>
        <v>215966</v>
      </c>
      <c r="BO28" s="38">
        <f t="shared" si="17"/>
        <v>2355</v>
      </c>
      <c r="BP28">
        <f t="shared" si="18"/>
        <v>0.38510596546308168</v>
      </c>
    </row>
    <row r="29" spans="1:68">
      <c r="A29" s="16">
        <v>26</v>
      </c>
      <c r="B29" s="26">
        <v>26</v>
      </c>
      <c r="C29" s="29"/>
      <c r="D29" s="19">
        <f>'26'!D3</f>
        <v>22</v>
      </c>
      <c r="E29" s="50">
        <f>'26'!D4</f>
        <v>0.78</v>
      </c>
      <c r="F29" s="50">
        <f>'26'!D2</f>
        <v>0.87</v>
      </c>
      <c r="G29" s="19">
        <f>'26'!G7</f>
        <v>16454</v>
      </c>
      <c r="H29" s="19">
        <f>'26'!G8</f>
        <v>16892</v>
      </c>
      <c r="I29" s="19">
        <v>9</v>
      </c>
      <c r="J29" s="49">
        <f t="shared" si="3"/>
        <v>152028</v>
      </c>
      <c r="K29" s="45">
        <f t="shared" si="4"/>
        <v>83.623762376237622</v>
      </c>
      <c r="L29" s="19">
        <f>'26'!G15</f>
        <v>936</v>
      </c>
      <c r="M29" s="19">
        <v>56.2</v>
      </c>
      <c r="N29" s="41">
        <f t="shared" si="5"/>
        <v>52603.200000000004</v>
      </c>
      <c r="O29" s="19">
        <f>'26'!G20</f>
        <v>175</v>
      </c>
      <c r="P29" s="19">
        <v>108</v>
      </c>
      <c r="Q29" s="46">
        <f t="shared" si="0"/>
        <v>18900</v>
      </c>
      <c r="R29" s="47">
        <f t="shared" si="1"/>
        <v>99.57892340958233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84</v>
      </c>
      <c r="W29" s="22">
        <f>'26'!G66</f>
        <v>19</v>
      </c>
      <c r="X29" s="22">
        <f>'26'!G67</f>
        <v>26</v>
      </c>
      <c r="Y29" s="22">
        <f t="shared" si="7"/>
        <v>129</v>
      </c>
      <c r="Z29" s="19">
        <f>'26'!G84</f>
        <v>0</v>
      </c>
      <c r="AA29" s="19">
        <f>'26'!G85</f>
        <v>24</v>
      </c>
      <c r="AB29" s="19">
        <f>'26'!G86</f>
        <v>0</v>
      </c>
      <c r="AC29" s="19">
        <f>'26'!G87</f>
        <v>0</v>
      </c>
      <c r="AD29" s="19">
        <f t="shared" si="8"/>
        <v>24</v>
      </c>
      <c r="AE29" s="23">
        <f t="shared" si="2"/>
        <v>3448</v>
      </c>
      <c r="AF29" s="23">
        <f t="shared" si="9"/>
        <v>143.66666666666666</v>
      </c>
      <c r="AG29" s="19">
        <f>'26'!G88</f>
        <v>0</v>
      </c>
      <c r="AH29" s="19">
        <f>'26'!G89</f>
        <v>9.0200000000004366</v>
      </c>
      <c r="AI29" s="19">
        <f>'26'!G90</f>
        <v>3</v>
      </c>
      <c r="AJ29" s="19">
        <f t="shared" si="10"/>
        <v>12.020000000000437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286</v>
      </c>
      <c r="AP29" s="55">
        <f>'26'!G35</f>
        <v>1248</v>
      </c>
      <c r="AQ29" s="19">
        <f>'26'!G37</f>
        <v>1519</v>
      </c>
      <c r="AR29" s="19">
        <f>'26'!G38</f>
        <v>1746</v>
      </c>
      <c r="AS29" s="19">
        <f>'26'!G39</f>
        <v>2557</v>
      </c>
      <c r="AT29" s="19">
        <f>'26'!G40</f>
        <v>692</v>
      </c>
      <c r="AU29" s="19">
        <f>'26'!G41</f>
        <v>0</v>
      </c>
      <c r="AV29" s="19">
        <f>'26'!G42</f>
        <v>3448</v>
      </c>
      <c r="AW29" s="19">
        <f>'26'!G43</f>
        <v>1948</v>
      </c>
      <c r="AX29" s="23">
        <f>'26'!G44</f>
        <v>0</v>
      </c>
      <c r="AY29" s="56">
        <f>'26'!G36</f>
        <v>643</v>
      </c>
      <c r="AZ29" s="55">
        <f>'26'!G49</f>
        <v>831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0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1009</v>
      </c>
      <c r="BI29" s="60">
        <f t="shared" si="12"/>
        <v>3448</v>
      </c>
      <c r="BJ29" s="60">
        <f>'26'!G133</f>
        <v>428</v>
      </c>
      <c r="BK29" s="23">
        <f t="shared" si="13"/>
        <v>44.251716789012555</v>
      </c>
      <c r="BL29" s="23">
        <f t="shared" si="14"/>
        <v>15.137343121004026</v>
      </c>
      <c r="BM29" s="24">
        <f t="shared" si="15"/>
        <v>0.10336253847975373</v>
      </c>
      <c r="BN29" s="25">
        <f t="shared" si="16"/>
        <v>223531.2</v>
      </c>
      <c r="BO29" s="38">
        <f t="shared" si="17"/>
        <v>5824</v>
      </c>
      <c r="BP29">
        <f t="shared" si="18"/>
        <v>0.8666666666666667</v>
      </c>
    </row>
    <row r="30" spans="1:68">
      <c r="A30" s="16">
        <v>27</v>
      </c>
      <c r="B30" s="17">
        <v>27</v>
      </c>
      <c r="C30" s="28"/>
      <c r="D30" s="19">
        <f>'27'!D3</f>
        <v>22</v>
      </c>
      <c r="E30" s="50">
        <f>'27'!D4</f>
        <v>0.78</v>
      </c>
      <c r="F30" s="50">
        <f>'27'!D2</f>
        <v>0.74</v>
      </c>
      <c r="G30" s="19">
        <f>'27'!G7</f>
        <v>17608</v>
      </c>
      <c r="H30" s="19">
        <f>'27'!G8</f>
        <v>17701</v>
      </c>
      <c r="I30" s="19">
        <v>9</v>
      </c>
      <c r="J30" s="49">
        <f t="shared" si="3"/>
        <v>159309</v>
      </c>
      <c r="K30" s="45">
        <f t="shared" si="4"/>
        <v>87.628712871287135</v>
      </c>
      <c r="L30" s="19">
        <f>'27'!G15</f>
        <v>954</v>
      </c>
      <c r="M30" s="19">
        <v>56.2</v>
      </c>
      <c r="N30" s="41">
        <f t="shared" si="5"/>
        <v>53614.8</v>
      </c>
      <c r="O30" s="19">
        <f>'27'!G20</f>
        <v>177</v>
      </c>
      <c r="P30" s="19">
        <v>108</v>
      </c>
      <c r="Q30" s="46">
        <f t="shared" si="0"/>
        <v>19116</v>
      </c>
      <c r="R30" s="47">
        <f t="shared" si="1"/>
        <v>118.41048969761842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97</v>
      </c>
      <c r="W30" s="22">
        <f>'27'!G66</f>
        <v>25</v>
      </c>
      <c r="X30" s="22">
        <f>'27'!G67</f>
        <v>22</v>
      </c>
      <c r="Y30" s="22">
        <f t="shared" si="7"/>
        <v>144</v>
      </c>
      <c r="Z30" s="19">
        <f>'27'!G84</f>
        <v>0</v>
      </c>
      <c r="AA30" s="19">
        <f>'27'!G85</f>
        <v>24</v>
      </c>
      <c r="AB30" s="19">
        <f>'27'!G86</f>
        <v>0</v>
      </c>
      <c r="AC30" s="19">
        <f>'27'!G87</f>
        <v>0</v>
      </c>
      <c r="AD30" s="19">
        <f t="shared" si="8"/>
        <v>24</v>
      </c>
      <c r="AE30" s="23">
        <f t="shared" si="2"/>
        <v>3934</v>
      </c>
      <c r="AF30" s="23">
        <f t="shared" si="9"/>
        <v>163.91666666666666</v>
      </c>
      <c r="AG30" s="19">
        <f>'27'!G88</f>
        <v>0</v>
      </c>
      <c r="AH30" s="19">
        <f>'27'!G89</f>
        <v>10</v>
      </c>
      <c r="AI30" s="19">
        <f>'27'!G90</f>
        <v>2</v>
      </c>
      <c r="AJ30" s="19">
        <f t="shared" si="10"/>
        <v>12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293</v>
      </c>
      <c r="AP30" s="55">
        <f>'27'!G35</f>
        <v>1274</v>
      </c>
      <c r="AQ30" s="19">
        <f>'27'!G37</f>
        <v>1582</v>
      </c>
      <c r="AR30" s="19">
        <f>'27'!G38</f>
        <v>1792</v>
      </c>
      <c r="AS30" s="19">
        <f>'27'!G39</f>
        <v>2612</v>
      </c>
      <c r="AT30" s="19">
        <f>'27'!G40</f>
        <v>814</v>
      </c>
      <c r="AU30" s="19">
        <f>'27'!G41</f>
        <v>0</v>
      </c>
      <c r="AV30" s="19">
        <f>'27'!G42</f>
        <v>3934</v>
      </c>
      <c r="AW30" s="19">
        <f>'27'!G43</f>
        <v>1969</v>
      </c>
      <c r="AX30" s="23">
        <f>'27'!G44</f>
        <v>0</v>
      </c>
      <c r="AY30" s="56">
        <f>'27'!G36</f>
        <v>707</v>
      </c>
      <c r="AZ30" s="55">
        <f>'27'!G49</f>
        <v>837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0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977</v>
      </c>
      <c r="BI30" s="60">
        <f t="shared" si="12"/>
        <v>3934</v>
      </c>
      <c r="BJ30" s="60">
        <f>'27'!G133</f>
        <v>369</v>
      </c>
      <c r="BK30" s="23">
        <f t="shared" si="13"/>
        <v>45.274278289362186</v>
      </c>
      <c r="BL30" s="23">
        <f t="shared" si="14"/>
        <v>14.756228461668833</v>
      </c>
      <c r="BM30" s="24">
        <f t="shared" si="15"/>
        <v>0.10123721823625784</v>
      </c>
      <c r="BN30" s="25">
        <f t="shared" si="16"/>
        <v>232039.8</v>
      </c>
      <c r="BO30" s="38">
        <f t="shared" si="17"/>
        <v>6272</v>
      </c>
      <c r="BP30">
        <f t="shared" si="18"/>
        <v>0.93333333333333335</v>
      </c>
    </row>
    <row r="31" spans="1:68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17654</v>
      </c>
      <c r="H31" s="19">
        <f>'28'!G8</f>
        <v>17886</v>
      </c>
      <c r="I31" s="19">
        <v>9</v>
      </c>
      <c r="J31" s="49">
        <f t="shared" si="3"/>
        <v>160974</v>
      </c>
      <c r="K31" s="45">
        <f t="shared" si="4"/>
        <v>88.544554455445549</v>
      </c>
      <c r="L31" s="19">
        <f>'28'!G15</f>
        <v>971</v>
      </c>
      <c r="M31" s="19">
        <v>56.2</v>
      </c>
      <c r="N31" s="41">
        <f t="shared" si="5"/>
        <v>54570.200000000004</v>
      </c>
      <c r="O31" s="19">
        <f>'28'!G20</f>
        <v>92</v>
      </c>
      <c r="P31" s="19">
        <v>108</v>
      </c>
      <c r="Q31" s="46">
        <f t="shared" si="0"/>
        <v>9936</v>
      </c>
      <c r="R31" s="47">
        <f t="shared" si="1"/>
        <v>72.29294358007229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89</v>
      </c>
      <c r="W31" s="22">
        <f>'28'!G66</f>
        <v>17</v>
      </c>
      <c r="X31" s="22">
        <f>'28'!G67</f>
        <v>23</v>
      </c>
      <c r="Y31" s="22">
        <f t="shared" si="7"/>
        <v>129</v>
      </c>
      <c r="Z31" s="19">
        <f>'28'!G84</f>
        <v>0</v>
      </c>
      <c r="AA31" s="19">
        <f>'28'!G85</f>
        <v>24</v>
      </c>
      <c r="AB31" s="19">
        <f>'28'!G86</f>
        <v>0</v>
      </c>
      <c r="AC31" s="19">
        <f>'28'!G87</f>
        <v>0</v>
      </c>
      <c r="AD31" s="19">
        <f t="shared" si="8"/>
        <v>24</v>
      </c>
      <c r="AE31" s="23">
        <f t="shared" si="2"/>
        <v>4136</v>
      </c>
      <c r="AF31" s="23">
        <f t="shared" si="9"/>
        <v>172.33333333333334</v>
      </c>
      <c r="AG31" s="19">
        <f>'28'!G88</f>
        <v>0.43000000000029104</v>
      </c>
      <c r="AH31" s="19">
        <f>'28'!G89</f>
        <v>9.680000000000291</v>
      </c>
      <c r="AI31" s="19">
        <f>'28'!G90</f>
        <v>3.1499999999941792</v>
      </c>
      <c r="AJ31" s="19">
        <f t="shared" si="10"/>
        <v>13.259999999994761</v>
      </c>
      <c r="AK31" s="19">
        <f>'28'!G91</f>
        <v>0</v>
      </c>
      <c r="AL31" s="19">
        <f>'28'!G92</f>
        <v>11.079999999999927</v>
      </c>
      <c r="AM31" s="19"/>
      <c r="AN31" s="19">
        <f t="shared" si="11"/>
        <v>11.079999999999927</v>
      </c>
      <c r="AO31" s="52">
        <f>'28'!G74</f>
        <v>352</v>
      </c>
      <c r="AP31" s="55">
        <f>'28'!G35</f>
        <v>1316</v>
      </c>
      <c r="AQ31" s="19">
        <f>'28'!G37</f>
        <v>1576</v>
      </c>
      <c r="AR31" s="19">
        <f>'28'!G38</f>
        <v>1753</v>
      </c>
      <c r="AS31" s="19">
        <f>'28'!G39</f>
        <v>2604</v>
      </c>
      <c r="AT31" s="19">
        <f>'28'!G40</f>
        <v>644</v>
      </c>
      <c r="AU31" s="19">
        <f>'28'!G41</f>
        <v>0</v>
      </c>
      <c r="AV31" s="19">
        <f>'28'!G42</f>
        <v>4136</v>
      </c>
      <c r="AW31" s="86">
        <f>'28'!G43</f>
        <v>1961</v>
      </c>
      <c r="AX31" s="23">
        <f>'28'!G44</f>
        <v>0</v>
      </c>
      <c r="AY31" s="56">
        <f>'28'!G36</f>
        <v>689</v>
      </c>
      <c r="AZ31" s="55">
        <f>'28'!G49</f>
        <v>837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0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1036</v>
      </c>
      <c r="BI31" s="60">
        <f t="shared" si="12"/>
        <v>4136</v>
      </c>
      <c r="BJ31" s="60">
        <f>'28'!G133</f>
        <v>407</v>
      </c>
      <c r="BK31" s="23">
        <f>SUM(AP31,AU31,AV31,AW31,AZ31,BE31,BF31,BG31)/H31%</f>
        <v>46.125461254612546</v>
      </c>
      <c r="BL31" s="23">
        <f t="shared" si="14"/>
        <v>14.558872861455885</v>
      </c>
      <c r="BM31" s="24">
        <f t="shared" si="15"/>
        <v>9.8009616459800955E-2</v>
      </c>
      <c r="BN31" s="25">
        <f t="shared" si="16"/>
        <v>225480.2</v>
      </c>
      <c r="BO31" s="38">
        <f t="shared" si="17"/>
        <v>6504</v>
      </c>
      <c r="BP31">
        <f t="shared" si="18"/>
        <v>0.96785714285714286</v>
      </c>
    </row>
    <row r="32" spans="1:68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17167</v>
      </c>
      <c r="H32" s="19">
        <f>'29'!G8</f>
        <v>17492</v>
      </c>
      <c r="I32" s="19">
        <v>9</v>
      </c>
      <c r="J32" s="49">
        <f t="shared" si="3"/>
        <v>157428</v>
      </c>
      <c r="K32" s="45">
        <f t="shared" si="4"/>
        <v>86.594059405940598</v>
      </c>
      <c r="L32" s="19">
        <f>'29'!G15</f>
        <v>1002</v>
      </c>
      <c r="M32" s="19">
        <v>56.2</v>
      </c>
      <c r="N32" s="41">
        <f t="shared" si="5"/>
        <v>56312.4</v>
      </c>
      <c r="O32" s="19">
        <f>'29'!G20</f>
        <v>312</v>
      </c>
      <c r="P32" s="19">
        <v>108</v>
      </c>
      <c r="Q32" s="46">
        <f t="shared" si="0"/>
        <v>33696</v>
      </c>
      <c r="R32" s="47">
        <f t="shared" si="1"/>
        <v>203.23084940072954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84</v>
      </c>
      <c r="W32" s="22">
        <f>'29'!G66</f>
        <v>22</v>
      </c>
      <c r="X32" s="22">
        <f>'29'!G67</f>
        <v>25</v>
      </c>
      <c r="Y32" s="22">
        <f t="shared" si="7"/>
        <v>131</v>
      </c>
      <c r="Z32" s="19">
        <f>'29'!G84</f>
        <v>-0.13999999999941792</v>
      </c>
      <c r="AA32" s="19">
        <f>'29'!G85</f>
        <v>24</v>
      </c>
      <c r="AB32" s="19">
        <f>'29'!G86</f>
        <v>0</v>
      </c>
      <c r="AC32" s="19">
        <f>'29'!G87</f>
        <v>0</v>
      </c>
      <c r="AD32" s="19">
        <f t="shared" si="8"/>
        <v>23.860000000000582</v>
      </c>
      <c r="AE32" s="23">
        <f t="shared" si="2"/>
        <v>3572</v>
      </c>
      <c r="AF32" s="23">
        <f t="shared" si="9"/>
        <v>149.70662196143809</v>
      </c>
      <c r="AG32" s="19">
        <f>'29'!G88</f>
        <v>0</v>
      </c>
      <c r="AH32" s="19">
        <f>'29'!G89</f>
        <v>9.930000000000291</v>
      </c>
      <c r="AI32" s="19">
        <f>'29'!G90</f>
        <v>0.930000000007567</v>
      </c>
      <c r="AJ32" s="19">
        <f t="shared" si="10"/>
        <v>10.860000000007858</v>
      </c>
      <c r="AK32" s="19">
        <f>'29'!G91</f>
        <v>2.0100000000002183</v>
      </c>
      <c r="AL32" s="19">
        <f>'29'!G92</f>
        <v>8.9899999999997817</v>
      </c>
      <c r="AM32" s="19"/>
      <c r="AN32" s="19">
        <f t="shared" si="11"/>
        <v>11</v>
      </c>
      <c r="AO32" s="52">
        <f>'29'!G74</f>
        <v>303</v>
      </c>
      <c r="AP32" s="55">
        <f>'29'!G35</f>
        <v>1192</v>
      </c>
      <c r="AQ32" s="19">
        <f>'29'!G37</f>
        <v>1611</v>
      </c>
      <c r="AR32" s="19">
        <f>'29'!G38</f>
        <v>1750</v>
      </c>
      <c r="AS32" s="19">
        <f>'29'!G39</f>
        <v>2606</v>
      </c>
      <c r="AT32" s="19">
        <f>'29'!G40</f>
        <v>553</v>
      </c>
      <c r="AU32" s="19">
        <f>'29'!G41</f>
        <v>0</v>
      </c>
      <c r="AV32" s="19">
        <f>'29'!G42</f>
        <v>3572</v>
      </c>
      <c r="AW32" s="19">
        <f>'29'!G43</f>
        <v>2065</v>
      </c>
      <c r="AX32" s="23">
        <f>'29'!G44</f>
        <v>0</v>
      </c>
      <c r="AY32" s="56">
        <f>'29'!G36</f>
        <v>695</v>
      </c>
      <c r="AZ32" s="55">
        <f>'29'!G49</f>
        <v>916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0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983</v>
      </c>
      <c r="BI32" s="60">
        <f t="shared" si="12"/>
        <v>3572</v>
      </c>
      <c r="BJ32" s="60">
        <f>'29'!G133</f>
        <v>494</v>
      </c>
      <c r="BK32" s="23">
        <f t="shared" si="13"/>
        <v>44.277383946947182</v>
      </c>
      <c r="BL32" s="23">
        <f t="shared" si="14"/>
        <v>14.898239195060601</v>
      </c>
      <c r="BM32" s="24">
        <f t="shared" si="15"/>
        <v>0.10004573519323119</v>
      </c>
      <c r="BN32" s="25">
        <f t="shared" si="16"/>
        <v>247436.4</v>
      </c>
      <c r="BO32" s="38">
        <f t="shared" si="17"/>
        <v>6131</v>
      </c>
      <c r="BP32">
        <f t="shared" si="18"/>
        <v>0.91770446653093196</v>
      </c>
    </row>
    <row r="33" spans="1:68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17289</v>
      </c>
      <c r="H33" s="19">
        <f>'30'!G8</f>
        <v>17529</v>
      </c>
      <c r="I33" s="19">
        <v>9</v>
      </c>
      <c r="J33" s="49">
        <f t="shared" si="3"/>
        <v>157761</v>
      </c>
      <c r="K33" s="45">
        <f t="shared" si="4"/>
        <v>86.777227722772281</v>
      </c>
      <c r="L33" s="19">
        <f>'30'!G15</f>
        <v>929</v>
      </c>
      <c r="M33" s="19">
        <v>56.2</v>
      </c>
      <c r="N33" s="41">
        <f t="shared" si="5"/>
        <v>52209.8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44.834274630612128</v>
      </c>
      <c r="BL33" s="23">
        <f t="shared" si="14"/>
        <v>14.923840492897485</v>
      </c>
      <c r="BM33" s="24">
        <f t="shared" si="15"/>
        <v>9.2931713161047411E-2</v>
      </c>
      <c r="BN33" s="25">
        <f t="shared" si="16"/>
        <v>234378.8</v>
      </c>
      <c r="BO33" s="38">
        <f t="shared" si="17"/>
        <v>6278</v>
      </c>
      <c r="BP33">
        <f t="shared" si="18"/>
        <v>0.93422619047619049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17614.229999999981</v>
      </c>
      <c r="H34" s="19">
        <f>'31'!G8</f>
        <v>17830.150000000023</v>
      </c>
      <c r="I34" s="19">
        <v>9</v>
      </c>
      <c r="J34" s="49">
        <f t="shared" si="3"/>
        <v>160471.35000000021</v>
      </c>
      <c r="K34" s="45">
        <f t="shared" ref="K34" si="20">H34/202</f>
        <v>88.268069306930812</v>
      </c>
      <c r="L34" s="19">
        <f>'31'!G15</f>
        <v>915.76699999999255</v>
      </c>
      <c r="M34" s="19">
        <v>56.2</v>
      </c>
      <c r="N34" s="41">
        <f t="shared" ref="N34" si="21">L34*M34</f>
        <v>51466.105399999586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46.63236147760955</v>
      </c>
      <c r="BL34" s="23">
        <f t="shared" ref="BL34" si="32">SUM(AS34,BC34)/H34%</f>
        <v>14.85848408454218</v>
      </c>
      <c r="BM34" s="24">
        <f t="shared" ref="BM34" si="33">(AR34+BB34)/H34</f>
        <v>9.1274049853758837E-2</v>
      </c>
      <c r="BN34" s="25">
        <f t="shared" ref="BN34" si="34">J34+N34+Q34+U34</f>
        <v>227705.4553999998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>
      <c r="A35" s="16" t="s">
        <v>196</v>
      </c>
      <c r="B35" s="30"/>
      <c r="C35" s="31"/>
      <c r="D35" s="32">
        <f>AVERAGE(D4:D34)</f>
        <v>24.516129032258064</v>
      </c>
      <c r="E35" s="33"/>
      <c r="F35" s="73">
        <f>AVERAGE(F4:F34)</f>
        <v>1.3780935483870969</v>
      </c>
      <c r="G35" s="34">
        <f>SUM(G4:G34)</f>
        <v>556634.23</v>
      </c>
      <c r="H35" s="34">
        <f t="shared" ref="H35:BN35" si="37">SUM(H4:H34)</f>
        <v>567663.15</v>
      </c>
      <c r="I35" s="19">
        <v>9</v>
      </c>
      <c r="J35" s="34">
        <f t="shared" si="37"/>
        <v>5108968.3500000006</v>
      </c>
      <c r="K35" s="34">
        <f t="shared" si="37"/>
        <v>2810.213613861386</v>
      </c>
      <c r="L35" s="34">
        <f t="shared" si="37"/>
        <v>28206.766999999993</v>
      </c>
      <c r="M35" s="34">
        <f t="shared" si="37"/>
        <v>1742.200000000001</v>
      </c>
      <c r="N35" s="34">
        <f t="shared" si="37"/>
        <v>1585220.3053999993</v>
      </c>
      <c r="O35" s="34">
        <f t="shared" si="37"/>
        <v>5296</v>
      </c>
      <c r="P35" s="34">
        <f t="shared" si="37"/>
        <v>3348</v>
      </c>
      <c r="Q35" s="34">
        <f t="shared" si="37"/>
        <v>571968</v>
      </c>
      <c r="R35" s="34">
        <f t="shared" si="37"/>
        <v>4332.0122433874412</v>
      </c>
      <c r="S35" s="34">
        <f t="shared" si="37"/>
        <v>110</v>
      </c>
      <c r="T35" s="34">
        <f t="shared" si="37"/>
        <v>2140</v>
      </c>
      <c r="U35" s="34">
        <f t="shared" si="37"/>
        <v>7590</v>
      </c>
      <c r="V35" s="34">
        <f t="shared" si="37"/>
        <v>435021</v>
      </c>
      <c r="W35" s="34">
        <f t="shared" si="37"/>
        <v>529</v>
      </c>
      <c r="X35" s="34">
        <f t="shared" si="37"/>
        <v>720</v>
      </c>
      <c r="Y35" s="34">
        <f t="shared" si="37"/>
        <v>436270</v>
      </c>
      <c r="Z35" s="34">
        <f t="shared" si="37"/>
        <v>0</v>
      </c>
      <c r="AA35" s="34">
        <f t="shared" si="37"/>
        <v>165.44000000000005</v>
      </c>
      <c r="AB35" s="34">
        <f t="shared" si="37"/>
        <v>579</v>
      </c>
      <c r="AC35" s="34">
        <f t="shared" si="37"/>
        <v>-5.0000000002910383E-2</v>
      </c>
      <c r="AD35" s="34">
        <f t="shared" si="37"/>
        <v>744.38999999999714</v>
      </c>
      <c r="AE35" s="34">
        <f t="shared" si="37"/>
        <v>94147.450000000012</v>
      </c>
      <c r="AF35" s="34">
        <f t="shared" si="37"/>
        <v>3910.9485017584093</v>
      </c>
      <c r="AG35" s="34">
        <f t="shared" si="37"/>
        <v>16.430000000000291</v>
      </c>
      <c r="AH35" s="34">
        <f t="shared" si="37"/>
        <v>228.11999999999898</v>
      </c>
      <c r="AI35" s="34">
        <f t="shared" si="37"/>
        <v>129.32000000000698</v>
      </c>
      <c r="AJ35" s="34">
        <f t="shared" si="37"/>
        <v>373.87000000000626</v>
      </c>
      <c r="AK35" s="34">
        <f t="shared" si="37"/>
        <v>24.769999999999982</v>
      </c>
      <c r="AL35" s="34">
        <f t="shared" si="37"/>
        <v>303.06999999999971</v>
      </c>
      <c r="AM35" s="34">
        <f t="shared" si="37"/>
        <v>0</v>
      </c>
      <c r="AN35" s="34">
        <f t="shared" si="37"/>
        <v>327.83999999999969</v>
      </c>
      <c r="AO35" s="34">
        <f t="shared" si="37"/>
        <v>8948.1489999999758</v>
      </c>
      <c r="AP35" s="34">
        <f t="shared" si="37"/>
        <v>47204.979999999996</v>
      </c>
      <c r="AQ35" s="34">
        <f t="shared" si="37"/>
        <v>47637.09</v>
      </c>
      <c r="AR35" s="34">
        <f t="shared" si="37"/>
        <v>51576.430000000008</v>
      </c>
      <c r="AS35" s="34">
        <f t="shared" si="37"/>
        <v>80855.290000000008</v>
      </c>
      <c r="AT35" s="34">
        <f t="shared" si="37"/>
        <v>15639.86</v>
      </c>
      <c r="AU35" s="34">
        <f t="shared" si="37"/>
        <v>0</v>
      </c>
      <c r="AV35" s="34">
        <f t="shared" si="37"/>
        <v>23292.340000000011</v>
      </c>
      <c r="AW35" s="34">
        <f t="shared" si="37"/>
        <v>67590.600000000006</v>
      </c>
      <c r="AX35" s="34">
        <f t="shared" si="37"/>
        <v>0</v>
      </c>
      <c r="AY35" s="34">
        <f t="shared" si="37"/>
        <v>21931.739999999998</v>
      </c>
      <c r="AZ35" s="34">
        <f t="shared" si="37"/>
        <v>38117.19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6914.08</v>
      </c>
      <c r="BE35" s="34">
        <f t="shared" si="37"/>
        <v>70855.11</v>
      </c>
      <c r="BF35" s="34">
        <f t="shared" si="37"/>
        <v>0</v>
      </c>
      <c r="BG35" s="34">
        <f t="shared" si="37"/>
        <v>0</v>
      </c>
      <c r="BH35" s="34">
        <f t="shared" si="37"/>
        <v>31736.629999999997</v>
      </c>
      <c r="BI35" s="34">
        <f t="shared" si="37"/>
        <v>94147.450000000012</v>
      </c>
      <c r="BJ35" s="34">
        <f t="shared" si="37"/>
        <v>18282.080000000002</v>
      </c>
      <c r="BK35" s="34">
        <f t="shared" si="37"/>
        <v>1347.5879705206842</v>
      </c>
      <c r="BL35" s="34">
        <f t="shared" si="37"/>
        <v>442.94660240343433</v>
      </c>
      <c r="BM35" s="34">
        <f t="shared" si="37"/>
        <v>2.8279051209512476</v>
      </c>
      <c r="BN35" s="34">
        <f t="shared" si="37"/>
        <v>7273746.6553999986</v>
      </c>
      <c r="BO35" s="38">
        <f t="shared" si="17"/>
        <v>180020.13</v>
      </c>
      <c r="BP35">
        <f t="shared" si="18"/>
        <v>0.86369918418340952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5</v>
      </c>
      <c r="E36" s="35">
        <f t="shared" si="38"/>
        <v>-8.0000000000000071E-2</v>
      </c>
      <c r="F36" s="35">
        <f t="shared" si="38"/>
        <v>0.25</v>
      </c>
      <c r="G36" s="35"/>
      <c r="H36" s="35">
        <f t="shared" ref="H36:AN36" si="39">H18-H17</f>
        <v>-101.28999999997905</v>
      </c>
      <c r="I36" s="35">
        <f t="shared" si="39"/>
        <v>0</v>
      </c>
      <c r="J36" s="42">
        <f t="shared" si="39"/>
        <v>-911.60999999981141</v>
      </c>
      <c r="K36" s="42">
        <f t="shared" si="39"/>
        <v>-0.50143564356426396</v>
      </c>
      <c r="L36" s="35">
        <f t="shared" si="39"/>
        <v>220</v>
      </c>
      <c r="M36" s="35">
        <f t="shared" si="39"/>
        <v>0</v>
      </c>
      <c r="N36" s="42">
        <f t="shared" si="39"/>
        <v>12364</v>
      </c>
      <c r="O36" s="35">
        <f t="shared" si="39"/>
        <v>41</v>
      </c>
      <c r="P36" s="35">
        <f t="shared" si="39"/>
        <v>0</v>
      </c>
      <c r="Q36" s="42">
        <f t="shared" si="39"/>
        <v>4428</v>
      </c>
      <c r="R36" s="42">
        <f t="shared" si="39"/>
        <v>-72.277227722772267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14</v>
      </c>
      <c r="W36" s="35">
        <f t="shared" si="39"/>
        <v>4</v>
      </c>
      <c r="X36" s="35">
        <f t="shared" si="39"/>
        <v>5</v>
      </c>
      <c r="Y36" s="35">
        <f t="shared" si="39"/>
        <v>23</v>
      </c>
      <c r="Z36" s="35">
        <f t="shared" si="39"/>
        <v>0</v>
      </c>
      <c r="AA36" s="35">
        <f t="shared" si="39"/>
        <v>0</v>
      </c>
      <c r="AB36" s="35">
        <f t="shared" si="39"/>
        <v>0.48999999999796273</v>
      </c>
      <c r="AC36" s="35">
        <f t="shared" si="39"/>
        <v>0</v>
      </c>
      <c r="AD36" s="35">
        <f t="shared" si="39"/>
        <v>0.48999999999796273</v>
      </c>
      <c r="AE36" s="35">
        <f t="shared" si="39"/>
        <v>-123.6299999999901</v>
      </c>
      <c r="AF36" s="35">
        <f t="shared" si="39"/>
        <v>-7.6592486729171014</v>
      </c>
      <c r="AG36" s="35">
        <f t="shared" si="39"/>
        <v>2.0000000000436557E-2</v>
      </c>
      <c r="AH36" s="35">
        <f t="shared" si="39"/>
        <v>8.1499999999978172</v>
      </c>
      <c r="AI36" s="35">
        <f t="shared" si="39"/>
        <v>-6.2899999999935972</v>
      </c>
      <c r="AJ36" s="35">
        <f t="shared" si="39"/>
        <v>1.8800000000046566</v>
      </c>
      <c r="AK36" s="35">
        <f t="shared" si="39"/>
        <v>0</v>
      </c>
      <c r="AL36" s="35">
        <f t="shared" si="39"/>
        <v>-0.43000000000120053</v>
      </c>
      <c r="AM36" s="35">
        <f t="shared" si="39"/>
        <v>0</v>
      </c>
      <c r="AN36" s="35">
        <f t="shared" si="39"/>
        <v>-0.43000000000120053</v>
      </c>
      <c r="AO36" s="35"/>
      <c r="AP36" s="35">
        <f t="shared" ref="AP36:AW36" si="40">AP18-AP17</f>
        <v>-61.159999999999854</v>
      </c>
      <c r="AQ36" s="35">
        <f t="shared" si="40"/>
        <v>-11.260000000000218</v>
      </c>
      <c r="AR36" s="35">
        <f t="shared" si="40"/>
        <v>-445.04999999999927</v>
      </c>
      <c r="AS36" s="35">
        <f t="shared" si="40"/>
        <v>-9.9999999998544808E-2</v>
      </c>
      <c r="AT36" s="35">
        <f t="shared" si="40"/>
        <v>-113</v>
      </c>
      <c r="AU36" s="35">
        <f t="shared" si="40"/>
        <v>0</v>
      </c>
      <c r="AV36" s="35">
        <f t="shared" si="40"/>
        <v>-0.39999999999417923</v>
      </c>
      <c r="AW36" s="35">
        <f t="shared" si="40"/>
        <v>1.7100000000064028</v>
      </c>
      <c r="AX36" s="35"/>
      <c r="AY36" s="35"/>
      <c r="AZ36" s="35">
        <f t="shared" ref="AZ36:BG36" si="41">AZ18-AZ17</f>
        <v>49.590000000000146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47.510000000000218</v>
      </c>
      <c r="BE36" s="35">
        <f t="shared" si="41"/>
        <v>-122.7699999999968</v>
      </c>
      <c r="BF36" s="35">
        <f t="shared" si="41"/>
        <v>-0.45999999999912689</v>
      </c>
      <c r="BG36" s="35">
        <f t="shared" si="41"/>
        <v>0</v>
      </c>
      <c r="BH36" s="35"/>
      <c r="BI36" s="35"/>
      <c r="BJ36" s="35"/>
      <c r="BK36" s="35">
        <f>BK18-BK17</f>
        <v>-0.51188308269773586</v>
      </c>
      <c r="BL36" s="35">
        <f>BL18-BL17</f>
        <v>8.3093641851576194E-2</v>
      </c>
      <c r="BM36" s="35"/>
      <c r="BN36" s="35">
        <f>BN18-BN17</f>
        <v>15880.390000000189</v>
      </c>
      <c r="BO36" s="35">
        <f>BO18-BO17</f>
        <v>-126.64999999997963</v>
      </c>
    </row>
    <row r="37" spans="1:68">
      <c r="F37" s="38">
        <f>AVERAGE(F4:F35)</f>
        <v>1.3780935483870969</v>
      </c>
      <c r="G37" s="38"/>
      <c r="H37" s="38">
        <f>AVERAGE(H4:H35)</f>
        <v>35478.946875000001</v>
      </c>
    </row>
    <row r="38" spans="1:68">
      <c r="B38" s="36" t="s">
        <v>66</v>
      </c>
      <c r="F38" s="72">
        <f>AVERAGE(F4:F35)</f>
        <v>1.3780935483870969</v>
      </c>
      <c r="G38" s="72"/>
    </row>
    <row r="41" spans="1:68">
      <c r="BI41">
        <f>(BI31+BJ31)/400</f>
        <v>11.3575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3"/>
  <sheetViews>
    <sheetView topLeftCell="A20" workbookViewId="0">
      <selection activeCell="F35" sqref="F35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4" t="s">
        <v>355</v>
      </c>
    </row>
    <row r="2" spans="1:17">
      <c r="A2" s="248">
        <v>1</v>
      </c>
      <c r="B2" s="465">
        <f>C2/202%</f>
        <v>77.227722772277232</v>
      </c>
      <c r="C2" s="465">
        <v>156</v>
      </c>
      <c r="D2" s="465">
        <v>5</v>
      </c>
      <c r="E2" s="465">
        <v>80</v>
      </c>
      <c r="F2" s="466">
        <v>614</v>
      </c>
      <c r="G2" s="466">
        <f>C2+D2</f>
        <v>161</v>
      </c>
      <c r="H2" s="467">
        <f>C2/202%</f>
        <v>77.227722772277232</v>
      </c>
      <c r="I2" s="468"/>
      <c r="J2" s="467">
        <f>'Section Load'!C5/G2</f>
        <v>127.01242236024845</v>
      </c>
      <c r="K2">
        <f>10/202</f>
        <v>4.9504950495049507E-2</v>
      </c>
    </row>
    <row r="3" spans="1:17">
      <c r="A3" s="248">
        <v>2</v>
      </c>
      <c r="B3" s="465">
        <f t="shared" ref="B3:B32" si="0">C3/202%</f>
        <v>53.465346534653463</v>
      </c>
      <c r="C3" s="465">
        <v>108</v>
      </c>
      <c r="D3" s="465">
        <v>5</v>
      </c>
      <c r="E3" s="465">
        <v>56</v>
      </c>
      <c r="F3" s="466">
        <v>516</v>
      </c>
      <c r="G3" s="466">
        <f t="shared" ref="G3:G31" si="1">C3+D3</f>
        <v>113</v>
      </c>
      <c r="H3" s="467">
        <f t="shared" ref="H3:H32" si="2">C3/202%</f>
        <v>53.465346534653463</v>
      </c>
      <c r="I3" s="468"/>
      <c r="J3" s="467">
        <f>'Section Load'!C6/G3</f>
        <v>176.04424778761063</v>
      </c>
    </row>
    <row r="4" spans="1:17">
      <c r="A4" s="248">
        <v>3</v>
      </c>
      <c r="B4" s="465">
        <f t="shared" si="0"/>
        <v>54.455445544554458</v>
      </c>
      <c r="C4" s="465">
        <v>110</v>
      </c>
      <c r="D4" s="465">
        <v>5</v>
      </c>
      <c r="E4" s="465">
        <v>57</v>
      </c>
      <c r="F4" s="466">
        <v>306</v>
      </c>
      <c r="G4" s="466">
        <f t="shared" si="1"/>
        <v>115</v>
      </c>
      <c r="H4" s="467">
        <f t="shared" si="2"/>
        <v>54.455445544554458</v>
      </c>
      <c r="I4" s="468"/>
      <c r="J4" s="467">
        <f>'Section Load'!C7/G4</f>
        <v>169.81739130434784</v>
      </c>
      <c r="Q4" s="487">
        <f>C2/202</f>
        <v>0.7722772277227723</v>
      </c>
    </row>
    <row r="5" spans="1:17">
      <c r="A5" s="248">
        <v>4</v>
      </c>
      <c r="B5" s="465">
        <f t="shared" si="0"/>
        <v>62.376237623762378</v>
      </c>
      <c r="C5" s="465">
        <v>126</v>
      </c>
      <c r="D5" s="465">
        <v>6</v>
      </c>
      <c r="E5" s="465">
        <v>65</v>
      </c>
      <c r="F5" s="466">
        <v>385</v>
      </c>
      <c r="G5" s="466">
        <f t="shared" si="1"/>
        <v>132</v>
      </c>
      <c r="H5" s="467">
        <f t="shared" si="2"/>
        <v>62.376237623762378</v>
      </c>
      <c r="I5" s="468"/>
      <c r="J5" s="467">
        <f>'Section Load'!C8/G5</f>
        <v>153.17386363636373</v>
      </c>
    </row>
    <row r="6" spans="1:17">
      <c r="A6" s="248">
        <v>5</v>
      </c>
      <c r="B6" s="465">
        <f t="shared" si="0"/>
        <v>59.900990099009903</v>
      </c>
      <c r="C6" s="465">
        <v>121</v>
      </c>
      <c r="D6" s="465">
        <v>6</v>
      </c>
      <c r="E6" s="465">
        <v>63</v>
      </c>
      <c r="F6" s="466">
        <v>417</v>
      </c>
      <c r="G6" s="466">
        <f t="shared" si="1"/>
        <v>127</v>
      </c>
      <c r="H6" s="467">
        <f t="shared" si="2"/>
        <v>59.900990099009903</v>
      </c>
      <c r="I6" s="468"/>
      <c r="J6" s="467">
        <f>'Section Load'!C9/G6</f>
        <v>160.11850393700777</v>
      </c>
    </row>
    <row r="7" spans="1:17">
      <c r="A7" s="248">
        <v>6</v>
      </c>
      <c r="B7" s="465">
        <f t="shared" si="0"/>
        <v>58.415841584158414</v>
      </c>
      <c r="C7" s="465">
        <v>118</v>
      </c>
      <c r="D7" s="465">
        <v>10</v>
      </c>
      <c r="E7" s="465">
        <v>63</v>
      </c>
      <c r="F7" s="466">
        <v>477</v>
      </c>
      <c r="G7" s="466">
        <f t="shared" si="1"/>
        <v>128</v>
      </c>
      <c r="H7" s="467">
        <f t="shared" si="2"/>
        <v>58.415841584158414</v>
      </c>
      <c r="I7" s="468"/>
      <c r="J7" s="467">
        <f>'Section Load'!C10/G7</f>
        <v>161.78125</v>
      </c>
    </row>
    <row r="8" spans="1:17">
      <c r="A8" s="248">
        <v>7</v>
      </c>
      <c r="B8" s="465">
        <f t="shared" si="0"/>
        <v>50.990099009900987</v>
      </c>
      <c r="C8" s="465">
        <v>103</v>
      </c>
      <c r="D8" s="465">
        <v>12</v>
      </c>
      <c r="E8" s="465">
        <v>57</v>
      </c>
      <c r="F8" s="466">
        <v>355</v>
      </c>
      <c r="G8" s="466">
        <f t="shared" si="1"/>
        <v>115</v>
      </c>
      <c r="H8" s="467">
        <f t="shared" si="2"/>
        <v>50.990099009900987</v>
      </c>
      <c r="I8" s="468"/>
      <c r="J8" s="467">
        <f>'Section Load'!C11/G8</f>
        <v>176.18260869565216</v>
      </c>
      <c r="K8">
        <f>30*202</f>
        <v>6060</v>
      </c>
      <c r="L8">
        <f>1638*(69/202%)</f>
        <v>55951.485148514854</v>
      </c>
    </row>
    <row r="9" spans="1:17">
      <c r="A9" s="248">
        <v>8</v>
      </c>
      <c r="B9" s="465">
        <f t="shared" si="0"/>
        <v>50.495049504950494</v>
      </c>
      <c r="C9" s="465">
        <v>102</v>
      </c>
      <c r="D9" s="465">
        <v>10</v>
      </c>
      <c r="E9" s="465">
        <v>55</v>
      </c>
      <c r="F9" s="466">
        <v>301</v>
      </c>
      <c r="G9" s="466">
        <f t="shared" si="1"/>
        <v>112</v>
      </c>
      <c r="H9" s="467">
        <f t="shared" si="2"/>
        <v>50.495049504950494</v>
      </c>
      <c r="I9" s="468"/>
      <c r="J9" s="467">
        <f>'Section Load'!C12/G9</f>
        <v>175.41964285714286</v>
      </c>
    </row>
    <row r="10" spans="1:17">
      <c r="A10" s="248">
        <v>9</v>
      </c>
      <c r="B10" s="465">
        <f t="shared" si="0"/>
        <v>49.009900990099013</v>
      </c>
      <c r="C10" s="465">
        <v>99</v>
      </c>
      <c r="D10" s="465">
        <v>11</v>
      </c>
      <c r="E10" s="465">
        <v>54</v>
      </c>
      <c r="F10" s="466">
        <v>349</v>
      </c>
      <c r="G10" s="466">
        <f t="shared" si="1"/>
        <v>110</v>
      </c>
      <c r="H10" s="467">
        <f t="shared" si="2"/>
        <v>49.009900990099013</v>
      </c>
      <c r="I10" s="468"/>
      <c r="J10" s="467">
        <f>'Section Load'!C13/G10</f>
        <v>163.73636363636365</v>
      </c>
    </row>
    <row r="11" spans="1:17">
      <c r="A11" s="248">
        <v>10</v>
      </c>
      <c r="B11" s="465">
        <f t="shared" si="0"/>
        <v>45.544554455445542</v>
      </c>
      <c r="C11" s="465">
        <v>92</v>
      </c>
      <c r="D11" s="465">
        <v>11</v>
      </c>
      <c r="E11" s="465">
        <v>51</v>
      </c>
      <c r="F11" s="466">
        <v>280</v>
      </c>
      <c r="G11" s="466">
        <f t="shared" si="1"/>
        <v>103</v>
      </c>
      <c r="H11" s="467">
        <f t="shared" si="2"/>
        <v>45.544554455445542</v>
      </c>
      <c r="I11" s="468"/>
      <c r="J11" s="467">
        <f>'Section Load'!C14/G11</f>
        <v>165.66019417475729</v>
      </c>
    </row>
    <row r="12" spans="1:17">
      <c r="A12" s="248">
        <v>11</v>
      </c>
      <c r="B12" s="465">
        <f t="shared" si="0"/>
        <v>35.148514851485146</v>
      </c>
      <c r="C12" s="465">
        <v>71</v>
      </c>
      <c r="D12" s="465">
        <v>11</v>
      </c>
      <c r="E12" s="465">
        <v>41</v>
      </c>
      <c r="F12" s="466">
        <v>290</v>
      </c>
      <c r="G12" s="466">
        <f t="shared" si="1"/>
        <v>82</v>
      </c>
      <c r="H12" s="467">
        <f t="shared" si="2"/>
        <v>35.148514851485146</v>
      </c>
      <c r="I12" s="468"/>
      <c r="J12" s="467">
        <f>'Section Load'!C15/G12</f>
        <v>210.51219512195121</v>
      </c>
    </row>
    <row r="13" spans="1:17">
      <c r="A13" s="248">
        <v>12</v>
      </c>
      <c r="B13" s="465">
        <f t="shared" si="0"/>
        <v>35.643564356435647</v>
      </c>
      <c r="C13" s="465">
        <v>72</v>
      </c>
      <c r="D13" s="465">
        <v>11</v>
      </c>
      <c r="E13" s="465">
        <v>41</v>
      </c>
      <c r="F13" s="465">
        <v>302</v>
      </c>
      <c r="G13" s="466">
        <f t="shared" si="1"/>
        <v>83</v>
      </c>
      <c r="H13" s="467">
        <f t="shared" si="2"/>
        <v>35.643564356435647</v>
      </c>
      <c r="I13" s="468"/>
      <c r="J13" s="467">
        <f>'Section Load'!C16/G13</f>
        <v>201.36144578313252</v>
      </c>
    </row>
    <row r="14" spans="1:17">
      <c r="A14" s="248">
        <v>13</v>
      </c>
      <c r="B14" s="465">
        <f t="shared" si="0"/>
        <v>38.118811881188115</v>
      </c>
      <c r="C14" s="465">
        <v>77</v>
      </c>
      <c r="D14" s="465">
        <v>11</v>
      </c>
      <c r="E14" s="465">
        <f t="shared" ref="E14:E31" si="3">SUM(C14:D14)/202%</f>
        <v>43.564356435643568</v>
      </c>
      <c r="F14" s="465">
        <v>249</v>
      </c>
      <c r="G14" s="466">
        <f t="shared" si="1"/>
        <v>88</v>
      </c>
      <c r="H14" s="467">
        <f t="shared" si="2"/>
        <v>38.118811881188115</v>
      </c>
      <c r="I14" s="468"/>
      <c r="J14" s="467">
        <f>'Section Load'!C17/G14</f>
        <v>193.75</v>
      </c>
    </row>
    <row r="15" spans="1:17">
      <c r="A15" s="248">
        <v>14</v>
      </c>
      <c r="B15" s="465">
        <f t="shared" si="0"/>
        <v>42.079207920792079</v>
      </c>
      <c r="C15" s="465">
        <v>85</v>
      </c>
      <c r="D15" s="465">
        <v>10</v>
      </c>
      <c r="E15" s="465">
        <f t="shared" si="3"/>
        <v>47.029702970297031</v>
      </c>
      <c r="F15" s="465">
        <v>224</v>
      </c>
      <c r="G15" s="466">
        <f t="shared" si="1"/>
        <v>95</v>
      </c>
      <c r="H15" s="467">
        <f t="shared" si="2"/>
        <v>42.079207920792079</v>
      </c>
      <c r="I15" s="468"/>
      <c r="J15" s="467">
        <f>'Section Load'!C18/G15</f>
        <v>183.47368421052633</v>
      </c>
    </row>
    <row r="16" spans="1:17">
      <c r="A16" s="248">
        <v>15</v>
      </c>
      <c r="B16" s="465">
        <f t="shared" si="0"/>
        <v>55.445544554455445</v>
      </c>
      <c r="C16" s="465">
        <v>112</v>
      </c>
      <c r="D16" s="465">
        <v>9</v>
      </c>
      <c r="E16" s="465">
        <f t="shared" si="3"/>
        <v>59.900990099009903</v>
      </c>
      <c r="F16" s="465">
        <v>338</v>
      </c>
      <c r="G16" s="466">
        <f t="shared" si="1"/>
        <v>121</v>
      </c>
      <c r="H16" s="467">
        <f t="shared" si="2"/>
        <v>55.445544554455445</v>
      </c>
      <c r="I16" s="468"/>
      <c r="J16" s="467">
        <f>'Section Load'!C19/G16</f>
        <v>143.21247933884314</v>
      </c>
    </row>
    <row r="17" spans="1:10">
      <c r="A17" s="248">
        <v>16</v>
      </c>
      <c r="B17" s="465">
        <f t="shared" si="0"/>
        <v>40.099009900990097</v>
      </c>
      <c r="C17" s="465">
        <v>81</v>
      </c>
      <c r="D17" s="465">
        <v>8</v>
      </c>
      <c r="E17" s="465">
        <f>SUM(C17:D17)/202%</f>
        <v>44.059405940594061</v>
      </c>
      <c r="F17" s="465">
        <v>309</v>
      </c>
      <c r="G17" s="466">
        <f t="shared" si="1"/>
        <v>89</v>
      </c>
      <c r="H17" s="467">
        <f t="shared" si="2"/>
        <v>40.099009900990097</v>
      </c>
      <c r="I17" s="468"/>
      <c r="J17" s="467">
        <f>'Section Load'!C20/G17</f>
        <v>195.57629213483122</v>
      </c>
    </row>
    <row r="18" spans="1:10">
      <c r="A18" s="248">
        <v>17</v>
      </c>
      <c r="B18" s="465">
        <f t="shared" si="0"/>
        <v>42.079207920792079</v>
      </c>
      <c r="C18" s="465">
        <v>85</v>
      </c>
      <c r="D18" s="465">
        <v>9</v>
      </c>
      <c r="E18" s="465">
        <f t="shared" si="3"/>
        <v>46.534653465346537</v>
      </c>
      <c r="F18" s="465">
        <v>204</v>
      </c>
      <c r="G18" s="466">
        <f t="shared" si="1"/>
        <v>94</v>
      </c>
      <c r="H18" s="467">
        <f t="shared" si="2"/>
        <v>42.079207920792079</v>
      </c>
      <c r="I18" s="468"/>
      <c r="J18" s="467">
        <f>'Section Load'!C21/G18</f>
        <v>186.62765957446808</v>
      </c>
    </row>
    <row r="19" spans="1:10">
      <c r="A19" s="248">
        <v>18</v>
      </c>
      <c r="B19" s="465">
        <f t="shared" si="0"/>
        <v>47.524752475247524</v>
      </c>
      <c r="C19" s="469">
        <v>96</v>
      </c>
      <c r="D19" s="469">
        <v>9</v>
      </c>
      <c r="E19" s="465">
        <f t="shared" si="3"/>
        <v>51.980198019801982</v>
      </c>
      <c r="F19" s="469">
        <v>325</v>
      </c>
      <c r="G19" s="466">
        <f t="shared" si="1"/>
        <v>105</v>
      </c>
      <c r="H19" s="467">
        <f t="shared" si="2"/>
        <v>47.524752475247524</v>
      </c>
      <c r="I19" s="468"/>
      <c r="J19" s="467">
        <f>'Section Load'!C22/G19</f>
        <v>172.04600000000016</v>
      </c>
    </row>
    <row r="20" spans="1:10">
      <c r="A20" s="248">
        <v>19</v>
      </c>
      <c r="B20" s="465">
        <f t="shared" si="0"/>
        <v>43.564356435643568</v>
      </c>
      <c r="C20" s="465">
        <v>88</v>
      </c>
      <c r="D20" s="465">
        <v>10</v>
      </c>
      <c r="E20" s="465">
        <f t="shared" si="3"/>
        <v>48.514851485148512</v>
      </c>
      <c r="F20" s="465">
        <v>304</v>
      </c>
      <c r="G20" s="466">
        <f t="shared" si="1"/>
        <v>98</v>
      </c>
      <c r="H20" s="467">
        <f t="shared" si="2"/>
        <v>43.564356435643568</v>
      </c>
      <c r="I20" s="468"/>
      <c r="J20" s="467">
        <f>'Section Load'!C23/G20</f>
        <v>191.03234693877533</v>
      </c>
    </row>
    <row r="21" spans="1:10">
      <c r="A21" s="248">
        <v>20</v>
      </c>
      <c r="B21" s="465">
        <f t="shared" si="0"/>
        <v>39.10891089108911</v>
      </c>
      <c r="C21" s="465">
        <v>79</v>
      </c>
      <c r="D21" s="465">
        <v>10</v>
      </c>
      <c r="E21" s="465">
        <f t="shared" si="3"/>
        <v>44.059405940594061</v>
      </c>
      <c r="F21" s="465">
        <v>304</v>
      </c>
      <c r="G21" s="466">
        <f t="shared" si="1"/>
        <v>89</v>
      </c>
      <c r="H21" s="467">
        <f t="shared" si="2"/>
        <v>39.10891089108911</v>
      </c>
      <c r="I21" s="468"/>
      <c r="J21" s="467">
        <f>'Section Load'!C24/G21</f>
        <v>194.79449438202272</v>
      </c>
    </row>
    <row r="22" spans="1:10">
      <c r="A22" s="248">
        <v>21</v>
      </c>
      <c r="B22" s="465">
        <f t="shared" si="0"/>
        <v>47.029702970297031</v>
      </c>
      <c r="C22" s="465">
        <v>95</v>
      </c>
      <c r="D22" s="465">
        <v>14</v>
      </c>
      <c r="E22" s="465">
        <f t="shared" si="3"/>
        <v>53.960396039603957</v>
      </c>
      <c r="F22" s="465">
        <v>338</v>
      </c>
      <c r="G22" s="466">
        <f t="shared" si="1"/>
        <v>109</v>
      </c>
      <c r="H22" s="467">
        <f t="shared" si="2"/>
        <v>47.029702970297031</v>
      </c>
      <c r="I22" s="468"/>
      <c r="J22" s="467">
        <f>'Section Load'!C25/G22</f>
        <v>170.16550458715577</v>
      </c>
    </row>
    <row r="23" spans="1:10">
      <c r="A23" s="248">
        <v>22</v>
      </c>
      <c r="B23" s="465">
        <v>83</v>
      </c>
      <c r="C23" s="465">
        <v>131</v>
      </c>
      <c r="D23" s="465">
        <v>13</v>
      </c>
      <c r="E23" s="465">
        <f t="shared" si="3"/>
        <v>71.287128712871294</v>
      </c>
      <c r="F23" s="465">
        <v>462</v>
      </c>
      <c r="G23" s="466">
        <f t="shared" si="1"/>
        <v>144</v>
      </c>
      <c r="H23" s="467">
        <f t="shared" si="2"/>
        <v>64.851485148514854</v>
      </c>
      <c r="I23" s="468"/>
      <c r="J23" s="467">
        <f>'Section Load'!C26/G23</f>
        <v>138.35250000000008</v>
      </c>
    </row>
    <row r="24" spans="1:10">
      <c r="A24" s="248">
        <v>23</v>
      </c>
      <c r="B24" s="465">
        <v>98</v>
      </c>
      <c r="C24" s="465">
        <v>108</v>
      </c>
      <c r="D24" s="465">
        <v>16</v>
      </c>
      <c r="E24" s="465">
        <f t="shared" si="3"/>
        <v>61.386138613861384</v>
      </c>
      <c r="F24" s="465">
        <v>825</v>
      </c>
      <c r="G24" s="466">
        <f t="shared" si="1"/>
        <v>124</v>
      </c>
      <c r="H24" s="467">
        <f t="shared" si="2"/>
        <v>53.465346534653463</v>
      </c>
      <c r="I24" s="468"/>
      <c r="J24" s="467">
        <f>'Section Load'!C27/G24</f>
        <v>156.3574193548383</v>
      </c>
    </row>
    <row r="25" spans="1:10">
      <c r="A25" s="248">
        <v>24</v>
      </c>
      <c r="B25" s="465">
        <f t="shared" si="0"/>
        <v>47.524752475247524</v>
      </c>
      <c r="C25" s="465">
        <v>96</v>
      </c>
      <c r="D25" s="465">
        <v>12</v>
      </c>
      <c r="E25" s="465">
        <f t="shared" si="3"/>
        <v>53.465346534653463</v>
      </c>
      <c r="F25" s="465">
        <v>358</v>
      </c>
      <c r="G25" s="466">
        <f t="shared" si="1"/>
        <v>108</v>
      </c>
      <c r="H25" s="467">
        <f t="shared" si="2"/>
        <v>47.524752475247524</v>
      </c>
      <c r="I25" s="468"/>
      <c r="J25" s="467">
        <f>'Section Load'!C28/G25</f>
        <v>156.26083333333372</v>
      </c>
    </row>
    <row r="26" spans="1:10">
      <c r="A26" s="248">
        <v>25</v>
      </c>
      <c r="B26" s="465">
        <f t="shared" si="0"/>
        <v>59.900990099009903</v>
      </c>
      <c r="C26" s="465">
        <v>121</v>
      </c>
      <c r="D26" s="465">
        <v>12</v>
      </c>
      <c r="E26" s="465">
        <f t="shared" si="3"/>
        <v>65.841584158415841</v>
      </c>
      <c r="F26" s="465">
        <v>384</v>
      </c>
      <c r="G26" s="466">
        <f t="shared" si="1"/>
        <v>133</v>
      </c>
      <c r="H26" s="467">
        <f t="shared" si="2"/>
        <v>59.900990099009903</v>
      </c>
      <c r="I26" s="468"/>
      <c r="J26" s="467">
        <f>'Section Load'!C29/G26</f>
        <v>125.01503759398496</v>
      </c>
    </row>
    <row r="27" spans="1:10">
      <c r="A27" s="248">
        <v>26</v>
      </c>
      <c r="B27" s="465">
        <f t="shared" si="0"/>
        <v>59.405940594059409</v>
      </c>
      <c r="C27" s="465">
        <v>120</v>
      </c>
      <c r="D27" s="465">
        <v>12</v>
      </c>
      <c r="E27" s="465">
        <f t="shared" si="3"/>
        <v>65.346534653465341</v>
      </c>
      <c r="F27" s="465">
        <v>323</v>
      </c>
      <c r="G27" s="466">
        <f t="shared" si="1"/>
        <v>132</v>
      </c>
      <c r="H27" s="467">
        <f t="shared" si="2"/>
        <v>59.405940594059409</v>
      </c>
      <c r="I27" s="468"/>
      <c r="J27" s="467">
        <f>'Section Load'!C30/G27</f>
        <v>127.96969696969697</v>
      </c>
    </row>
    <row r="28" spans="1:10">
      <c r="A28" s="248">
        <v>27</v>
      </c>
      <c r="B28" s="465">
        <f t="shared" si="0"/>
        <v>51.980198019801982</v>
      </c>
      <c r="C28" s="465">
        <v>105</v>
      </c>
      <c r="D28" s="465">
        <v>12</v>
      </c>
      <c r="E28" s="465">
        <f t="shared" si="3"/>
        <v>57.920792079207921</v>
      </c>
      <c r="F28" s="465">
        <v>327</v>
      </c>
      <c r="G28" s="466">
        <f t="shared" si="1"/>
        <v>117</v>
      </c>
      <c r="H28" s="467">
        <f t="shared" si="2"/>
        <v>51.980198019801982</v>
      </c>
      <c r="I28" s="468"/>
      <c r="J28" s="467">
        <f>'Section Load'!C31/G28</f>
        <v>151.2905982905983</v>
      </c>
    </row>
    <row r="29" spans="1:10">
      <c r="A29" s="248">
        <v>28</v>
      </c>
      <c r="B29" s="465">
        <f t="shared" si="0"/>
        <v>60.89108910891089</v>
      </c>
      <c r="C29" s="465">
        <v>123</v>
      </c>
      <c r="D29" s="465">
        <v>12</v>
      </c>
      <c r="E29" s="465">
        <f t="shared" si="3"/>
        <v>66.831683168316829</v>
      </c>
      <c r="F29" s="465">
        <v>389</v>
      </c>
      <c r="G29" s="466">
        <f t="shared" si="1"/>
        <v>135</v>
      </c>
      <c r="H29" s="467">
        <f t="shared" si="2"/>
        <v>60.89108910891089</v>
      </c>
      <c r="I29" s="468"/>
      <c r="J29" s="467">
        <f>'Section Load'!C32/G29</f>
        <v>132.48888888888888</v>
      </c>
    </row>
    <row r="30" spans="1:10">
      <c r="A30" s="248">
        <v>29</v>
      </c>
      <c r="B30" s="465">
        <f>C30/202%</f>
        <v>73.267326732673268</v>
      </c>
      <c r="C30" s="465">
        <v>148</v>
      </c>
      <c r="D30" s="465">
        <v>12</v>
      </c>
      <c r="E30" s="465">
        <f t="shared" si="3"/>
        <v>79.207920792079207</v>
      </c>
      <c r="F30" s="465">
        <v>445</v>
      </c>
      <c r="G30" s="466">
        <f t="shared" si="1"/>
        <v>160</v>
      </c>
      <c r="H30" s="467">
        <f>C30/202%</f>
        <v>73.267326732673268</v>
      </c>
      <c r="I30" s="468"/>
      <c r="J30" s="467">
        <f>'Section Load'!C33/G30</f>
        <v>109.325</v>
      </c>
    </row>
    <row r="31" spans="1:10">
      <c r="A31" s="248">
        <v>30</v>
      </c>
      <c r="B31" s="465">
        <f t="shared" si="0"/>
        <v>55.940594059405939</v>
      </c>
      <c r="C31" s="465">
        <v>113</v>
      </c>
      <c r="D31" s="465">
        <v>11</v>
      </c>
      <c r="E31" s="465">
        <f t="shared" si="3"/>
        <v>61.386138613861384</v>
      </c>
      <c r="F31" s="465">
        <v>450</v>
      </c>
      <c r="G31" s="470">
        <f t="shared" si="1"/>
        <v>124</v>
      </c>
      <c r="H31" s="467">
        <f t="shared" si="2"/>
        <v>55.940594059405939</v>
      </c>
      <c r="I31" s="468"/>
      <c r="J31" s="467">
        <f>'Section Load'!C34/G31</f>
        <v>141.36290322580646</v>
      </c>
    </row>
    <row r="32" spans="1:10">
      <c r="A32" s="248">
        <v>31</v>
      </c>
      <c r="B32" s="465">
        <f t="shared" si="0"/>
        <v>0</v>
      </c>
      <c r="C32" s="465"/>
      <c r="D32" s="465"/>
      <c r="E32" s="465"/>
      <c r="F32" s="465"/>
      <c r="G32" s="470"/>
      <c r="H32" s="467">
        <f t="shared" si="2"/>
        <v>0</v>
      </c>
      <c r="I32" s="468"/>
      <c r="J32" s="467" t="e">
        <f>'Section Load'!C35/G32</f>
        <v>#DIV/0!</v>
      </c>
    </row>
    <row r="33" spans="1:8">
      <c r="A33" t="s">
        <v>316</v>
      </c>
      <c r="B33" s="275">
        <f>AVERAGE(B2:B31)</f>
        <v>53.921122112211201</v>
      </c>
      <c r="C33" s="275">
        <f t="shared" ref="C33:H33" si="4">AVERAGE(C2:C31)</f>
        <v>104.7</v>
      </c>
      <c r="D33" s="275">
        <f t="shared" si="4"/>
        <v>10.166666666666666</v>
      </c>
      <c r="E33" s="275">
        <f t="shared" si="4"/>
        <v>56.84257425742576</v>
      </c>
      <c r="F33" s="275">
        <f t="shared" si="4"/>
        <v>371.66666666666669</v>
      </c>
      <c r="G33" s="275">
        <f t="shared" si="4"/>
        <v>114.86666666666666</v>
      </c>
      <c r="H33" s="275">
        <f t="shared" si="4"/>
        <v>51.831683168316815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topLeftCell="C1" zoomScale="90" zoomScaleNormal="90" workbookViewId="0">
      <selection activeCell="N4" sqref="N4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77.227722772277232</v>
      </c>
      <c r="E4" s="91">
        <f>Occupancy!B3</f>
        <v>53.465346534653463</v>
      </c>
      <c r="F4" s="91">
        <f>Occupancy!C3</f>
        <v>108</v>
      </c>
      <c r="G4" s="91">
        <f>Occupancy!D3</f>
        <v>5</v>
      </c>
      <c r="H4" s="91">
        <f>Occupancy!E3</f>
        <v>56</v>
      </c>
      <c r="I4" s="91">
        <f>Occupancy!F3</f>
        <v>516</v>
      </c>
      <c r="J4" s="91">
        <f>Occupancy!G3</f>
        <v>113</v>
      </c>
      <c r="K4" s="91">
        <f>Occupancy!H3</f>
        <v>53.465346534653463</v>
      </c>
      <c r="L4" s="91">
        <f>Occupancy!I3</f>
        <v>0</v>
      </c>
      <c r="M4" s="91">
        <f>Occupancy!J3</f>
        <v>176.04424778761063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0</v>
      </c>
      <c r="E5" s="91">
        <f>'2'!G18</f>
        <v>0</v>
      </c>
      <c r="F5" s="91">
        <f>'3'!G18</f>
        <v>300</v>
      </c>
      <c r="G5" s="91">
        <f>'4'!G18</f>
        <v>170</v>
      </c>
      <c r="H5" s="91">
        <f>'5'!G18</f>
        <v>120</v>
      </c>
      <c r="I5" s="91">
        <f>'6'!G18</f>
        <v>120</v>
      </c>
      <c r="J5" s="91">
        <f>'7'!G18</f>
        <v>160</v>
      </c>
      <c r="K5" s="91">
        <f>'8'!G18</f>
        <v>160</v>
      </c>
      <c r="L5" s="91">
        <f>'9'!G18</f>
        <v>150</v>
      </c>
      <c r="M5" s="91">
        <f>'10'!G18</f>
        <v>70</v>
      </c>
      <c r="N5" s="91">
        <f>'11'!G18</f>
        <v>80</v>
      </c>
      <c r="O5" s="91">
        <f>'12'!G18</f>
        <v>80</v>
      </c>
      <c r="P5" s="91">
        <f>'13'!G18</f>
        <v>50</v>
      </c>
      <c r="Q5" s="91">
        <f>'14'!G18</f>
        <v>60</v>
      </c>
      <c r="R5" s="91">
        <f>'15'!G18</f>
        <v>100</v>
      </c>
      <c r="S5" s="91">
        <f>'16'!G18</f>
        <v>80</v>
      </c>
      <c r="T5" s="91">
        <f>'17'!G18</f>
        <v>80</v>
      </c>
      <c r="U5" s="91">
        <f>'18 '!G18</f>
        <v>100</v>
      </c>
      <c r="V5" s="91">
        <f>'19'!G18</f>
        <v>100</v>
      </c>
      <c r="W5" s="91">
        <f>'20'!G18</f>
        <v>160</v>
      </c>
      <c r="X5" s="91">
        <f>'21'!G18</f>
        <v>110</v>
      </c>
      <c r="Y5" s="91">
        <f>'22'!G18</f>
        <v>120</v>
      </c>
      <c r="Z5" s="91">
        <f>'23'!G18</f>
        <v>160</v>
      </c>
      <c r="AA5" s="91">
        <f>'24'!G18</f>
        <v>160</v>
      </c>
      <c r="AB5" s="91">
        <f>'25'!G18</f>
        <v>140</v>
      </c>
      <c r="AC5" s="91">
        <f>'26'!G18</f>
        <v>120</v>
      </c>
      <c r="AD5" s="91">
        <f>'27'!G18</f>
        <v>120</v>
      </c>
      <c r="AE5" s="91">
        <f>'28'!G18</f>
        <v>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>
      <c r="B6" s="93"/>
      <c r="C6" s="90" t="s">
        <v>69</v>
      </c>
      <c r="D6" s="91">
        <f>'1'!G19</f>
        <v>54</v>
      </c>
      <c r="E6" s="91">
        <f>'2'!G19</f>
        <v>56</v>
      </c>
      <c r="F6" s="91">
        <f>'3'!G19</f>
        <v>56</v>
      </c>
      <c r="G6" s="91">
        <f>'4'!G19</f>
        <v>49</v>
      </c>
      <c r="H6" s="91">
        <f>'5'!G19</f>
        <v>51</v>
      </c>
      <c r="I6" s="91">
        <f>'6'!G19</f>
        <v>44</v>
      </c>
      <c r="J6" s="91">
        <f>'7'!G19</f>
        <v>54</v>
      </c>
      <c r="K6" s="91">
        <f>'8'!G19</f>
        <v>51</v>
      </c>
      <c r="L6" s="91">
        <f>'9'!G19</f>
        <v>55</v>
      </c>
      <c r="M6" s="91">
        <f>'10'!G19</f>
        <v>54</v>
      </c>
      <c r="N6" s="91">
        <f>'11'!G19</f>
        <v>50</v>
      </c>
      <c r="O6" s="91">
        <f>'12'!G19</f>
        <v>56</v>
      </c>
      <c r="P6" s="91">
        <f>'13'!G19</f>
        <v>53</v>
      </c>
      <c r="Q6" s="91">
        <f>'14'!G19</f>
        <v>54</v>
      </c>
      <c r="R6" s="91">
        <f>'15'!G19</f>
        <v>55</v>
      </c>
      <c r="S6" s="91">
        <f>'16'!G19</f>
        <v>55</v>
      </c>
      <c r="T6" s="91">
        <f>'17'!G19</f>
        <v>53</v>
      </c>
      <c r="U6" s="91">
        <f>'18 '!G19</f>
        <v>54</v>
      </c>
      <c r="V6" s="91">
        <f>'19'!G19</f>
        <v>57</v>
      </c>
      <c r="W6" s="91">
        <f>'20'!G19</f>
        <v>56</v>
      </c>
      <c r="X6" s="91">
        <f>'21'!G19</f>
        <v>57</v>
      </c>
      <c r="Y6" s="91">
        <f>'22'!G19</f>
        <v>56</v>
      </c>
      <c r="Z6" s="91">
        <f>'23'!G19</f>
        <v>56</v>
      </c>
      <c r="AA6" s="91">
        <f>'24'!G19</f>
        <v>52</v>
      </c>
      <c r="AB6" s="91">
        <f>'25'!G19</f>
        <v>50</v>
      </c>
      <c r="AC6" s="91">
        <f>'26'!G19</f>
        <v>55</v>
      </c>
      <c r="AD6" s="91">
        <f>'27'!G19</f>
        <v>57</v>
      </c>
      <c r="AE6" s="91">
        <f>'28'!G19</f>
        <v>52</v>
      </c>
      <c r="AF6" s="91">
        <f>'29'!G19</f>
        <v>52</v>
      </c>
      <c r="AG6" s="91">
        <f>'30'!G19</f>
        <v>56</v>
      </c>
      <c r="AH6" s="91">
        <f>'31'!G19</f>
        <v>56</v>
      </c>
      <c r="AI6" s="90"/>
    </row>
    <row r="7" spans="2:35">
      <c r="B7" s="93"/>
      <c r="C7" s="90" t="s">
        <v>70</v>
      </c>
      <c r="D7" s="91">
        <f>'1'!G62</f>
        <v>0</v>
      </c>
      <c r="E7" s="91">
        <f>'2'!G62</f>
        <v>0</v>
      </c>
      <c r="F7" s="91">
        <f>'3'!G62</f>
        <v>30</v>
      </c>
      <c r="G7" s="91">
        <f>'4'!G62</f>
        <v>100</v>
      </c>
      <c r="H7" s="91">
        <f>'5'!G62</f>
        <v>86</v>
      </c>
      <c r="I7" s="91">
        <f>'6'!G62</f>
        <v>81</v>
      </c>
      <c r="J7" s="91">
        <f>'7'!G62</f>
        <v>57</v>
      </c>
      <c r="K7" s="91">
        <f>'8'!G62</f>
        <v>103</v>
      </c>
      <c r="L7" s="91">
        <f>'9'!G62</f>
        <v>80</v>
      </c>
      <c r="M7" s="91">
        <f>'10'!G62</f>
        <v>61</v>
      </c>
      <c r="N7" s="91">
        <f>'11'!G62</f>
        <v>73</v>
      </c>
      <c r="O7" s="91">
        <f>'12'!G62</f>
        <v>44</v>
      </c>
      <c r="P7" s="91">
        <f>'13'!G62</f>
        <v>54</v>
      </c>
      <c r="Q7" s="91">
        <f>'14'!G62</f>
        <v>46</v>
      </c>
      <c r="R7" s="91">
        <f>'15'!G62</f>
        <v>79</v>
      </c>
      <c r="S7" s="91">
        <f>'16'!G62</f>
        <v>66</v>
      </c>
      <c r="T7" s="91">
        <f>'17'!G62</f>
        <v>66</v>
      </c>
      <c r="U7" s="91">
        <f>'18 '!G62</f>
        <v>69</v>
      </c>
      <c r="V7" s="91">
        <f>'19'!G62</f>
        <v>60</v>
      </c>
      <c r="W7" s="91">
        <f>'20'!G62</f>
        <v>69</v>
      </c>
      <c r="X7" s="91">
        <f>'21'!G62</f>
        <v>60</v>
      </c>
      <c r="Y7" s="91">
        <f>'22'!G62</f>
        <v>72</v>
      </c>
      <c r="Z7" s="91">
        <f>'23'!G62</f>
        <v>119</v>
      </c>
      <c r="AA7" s="91">
        <f>'24'!G62</f>
        <v>124</v>
      </c>
      <c r="AB7" s="91">
        <f>'25'!G62</f>
        <v>102</v>
      </c>
      <c r="AC7" s="91">
        <f>'26'!G62</f>
        <v>93</v>
      </c>
      <c r="AD7" s="91">
        <f>'27'!G62</f>
        <v>120</v>
      </c>
      <c r="AE7" s="91">
        <f>'28'!G62</f>
        <v>90</v>
      </c>
      <c r="AF7" s="91">
        <f>'29'!G62</f>
        <v>102</v>
      </c>
      <c r="AG7" s="91">
        <f>'30'!G62</f>
        <v>114</v>
      </c>
      <c r="AH7" s="91">
        <f>'31'!G62</f>
        <v>83</v>
      </c>
      <c r="AI7" s="90"/>
    </row>
    <row r="8" spans="2:35">
      <c r="B8" s="93"/>
      <c r="C8" s="90" t="s">
        <v>299</v>
      </c>
      <c r="D8" s="91">
        <f>'1'!G63</f>
        <v>133</v>
      </c>
      <c r="E8" s="91">
        <f>'2'!G63</f>
        <v>114</v>
      </c>
      <c r="F8" s="91">
        <f>'3'!G63</f>
        <v>61</v>
      </c>
      <c r="G8" s="91">
        <f>'4'!G63</f>
        <v>152</v>
      </c>
      <c r="H8" s="91">
        <f>'5'!G63</f>
        <v>119</v>
      </c>
      <c r="I8" s="91">
        <f>'6'!G63</f>
        <v>119</v>
      </c>
      <c r="J8" s="91">
        <f>'7'!G63</f>
        <v>95</v>
      </c>
      <c r="K8" s="91">
        <f>'8'!G63</f>
        <v>112</v>
      </c>
      <c r="L8" s="91">
        <f>'9'!G63</f>
        <v>67</v>
      </c>
      <c r="M8" s="91">
        <f>'10'!G63</f>
        <v>104</v>
      </c>
      <c r="N8" s="91">
        <f>'11'!G63</f>
        <v>108</v>
      </c>
      <c r="O8" s="91">
        <f>'12'!G63</f>
        <v>97</v>
      </c>
      <c r="P8" s="91">
        <f>'13'!G63</f>
        <v>93</v>
      </c>
      <c r="Q8" s="91">
        <f>'14'!G63</f>
        <v>49</v>
      </c>
      <c r="R8" s="91">
        <f>'15'!G63</f>
        <v>95</v>
      </c>
      <c r="S8" s="91">
        <f>'16'!G63</f>
        <v>91</v>
      </c>
      <c r="T8" s="91">
        <f>'17'!G63</f>
        <v>84</v>
      </c>
      <c r="U8" s="91">
        <f>'18 '!G63</f>
        <v>124</v>
      </c>
      <c r="V8" s="91">
        <f>'19'!G63</f>
        <v>93</v>
      </c>
      <c r="W8" s="91">
        <f>'20'!G63</f>
        <v>105</v>
      </c>
      <c r="X8" s="91">
        <f>'21'!G63</f>
        <v>96</v>
      </c>
      <c r="Y8" s="91">
        <f>'22'!G63</f>
        <v>108</v>
      </c>
      <c r="Z8" s="91">
        <f>'23'!G63</f>
        <v>126</v>
      </c>
      <c r="AA8" s="91">
        <f>'24'!G63</f>
        <v>68</v>
      </c>
      <c r="AB8" s="91">
        <f>'25'!G63</f>
        <v>164</v>
      </c>
      <c r="AC8" s="91">
        <f>'26'!G63</f>
        <v>127</v>
      </c>
      <c r="AD8" s="91">
        <f>'27'!G63</f>
        <v>150</v>
      </c>
      <c r="AE8" s="91">
        <f>'28'!G63</f>
        <v>139</v>
      </c>
      <c r="AF8" s="91">
        <f>'29'!G63</f>
        <v>139</v>
      </c>
      <c r="AG8" s="91">
        <f>'30'!G63</f>
        <v>73</v>
      </c>
      <c r="AH8" s="91">
        <f>'31'!G63</f>
        <v>167</v>
      </c>
      <c r="AI8" s="90"/>
    </row>
    <row r="9" spans="2:35">
      <c r="B9" s="731" t="s">
        <v>71</v>
      </c>
      <c r="C9" s="90" t="s">
        <v>31</v>
      </c>
      <c r="D9" s="91">
        <f>'1'!G65</f>
        <v>98</v>
      </c>
      <c r="E9" s="91">
        <f>'2'!G65</f>
        <v>60</v>
      </c>
      <c r="F9" s="91">
        <f>'3'!G65</f>
        <v>40</v>
      </c>
      <c r="G9" s="91">
        <f>'4'!G65</f>
        <v>81</v>
      </c>
      <c r="H9" s="91">
        <f>'5'!G65</f>
        <v>74</v>
      </c>
      <c r="I9" s="91">
        <f>'6'!G65</f>
        <v>69</v>
      </c>
      <c r="J9" s="91">
        <f>'7'!G65</f>
        <v>79</v>
      </c>
      <c r="K9" s="91">
        <f>'8'!G65</f>
        <v>92</v>
      </c>
      <c r="L9" s="91">
        <f>'9'!G65</f>
        <v>78</v>
      </c>
      <c r="M9" s="91">
        <f>'10'!G65</f>
        <v>58</v>
      </c>
      <c r="N9" s="91">
        <f>'11'!G65</f>
        <v>79</v>
      </c>
      <c r="O9" s="91">
        <f>'12'!G65</f>
        <v>48</v>
      </c>
      <c r="P9" s="91">
        <f>'13'!G65</f>
        <v>69</v>
      </c>
      <c r="Q9" s="91">
        <f>'14'!G65</f>
        <v>56</v>
      </c>
      <c r="R9" s="91">
        <f>'15'!G65</f>
        <v>70</v>
      </c>
      <c r="S9" s="91">
        <f>'16'!G65</f>
        <v>62</v>
      </c>
      <c r="T9" s="91">
        <f>'17'!G65</f>
        <v>65</v>
      </c>
      <c r="U9" s="91">
        <f>'18 '!G65</f>
        <v>64</v>
      </c>
      <c r="V9" s="91">
        <f>'19'!G65</f>
        <v>63</v>
      </c>
      <c r="W9" s="91">
        <f>'20'!G65</f>
        <v>72</v>
      </c>
      <c r="X9" s="91">
        <f>'21'!G65</f>
        <v>72</v>
      </c>
      <c r="Y9" s="91">
        <f>'22'!G65</f>
        <v>75</v>
      </c>
      <c r="Z9" s="91">
        <f>'23'!G65</f>
        <v>88</v>
      </c>
      <c r="AA9" s="91">
        <f>'24'!G65</f>
        <v>103</v>
      </c>
      <c r="AB9" s="91">
        <f>'25'!G65</f>
        <v>86</v>
      </c>
      <c r="AC9" s="91">
        <f>'26'!G65</f>
        <v>84</v>
      </c>
      <c r="AD9" s="91">
        <f>'27'!G65</f>
        <v>97</v>
      </c>
      <c r="AE9" s="91">
        <f>'28'!G65</f>
        <v>89</v>
      </c>
      <c r="AF9" s="91">
        <f>'29'!G65</f>
        <v>84</v>
      </c>
      <c r="AG9" s="91">
        <f>'30'!G65</f>
        <v>80</v>
      </c>
      <c r="AH9" s="91">
        <f>'31'!G65</f>
        <v>74</v>
      </c>
      <c r="AI9" s="90"/>
    </row>
    <row r="10" spans="2:35">
      <c r="B10" s="731"/>
      <c r="C10" s="90" t="s">
        <v>32</v>
      </c>
      <c r="D10" s="91">
        <f>'1'!G66</f>
        <v>28</v>
      </c>
      <c r="E10" s="91">
        <f>'2'!G66</f>
        <v>27</v>
      </c>
      <c r="F10" s="91">
        <f>'3'!G66</f>
        <v>18</v>
      </c>
      <c r="G10" s="91">
        <f>'4'!G66</f>
        <v>21</v>
      </c>
      <c r="H10" s="91">
        <f>'5'!G66</f>
        <v>19</v>
      </c>
      <c r="I10" s="91">
        <f>'6'!G66</f>
        <v>15</v>
      </c>
      <c r="J10" s="91">
        <f>'7'!G66</f>
        <v>17</v>
      </c>
      <c r="K10" s="91">
        <f>'8'!G66</f>
        <v>20</v>
      </c>
      <c r="L10" s="91">
        <f>'9'!G66</f>
        <v>17</v>
      </c>
      <c r="M10" s="91">
        <f>'10'!G66</f>
        <v>14</v>
      </c>
      <c r="N10" s="91">
        <f>'11'!G66</f>
        <v>14</v>
      </c>
      <c r="O10" s="91">
        <f>'12'!G66</f>
        <v>6</v>
      </c>
      <c r="P10" s="91">
        <f>'13'!G66</f>
        <v>12</v>
      </c>
      <c r="Q10" s="91">
        <f>'14'!G66</f>
        <v>13</v>
      </c>
      <c r="R10" s="91">
        <f>'15'!G66</f>
        <v>17</v>
      </c>
      <c r="S10" s="91">
        <f>'16'!G66</f>
        <v>21</v>
      </c>
      <c r="T10" s="91">
        <f>'17'!G66</f>
        <v>15</v>
      </c>
      <c r="U10" s="91">
        <f>'18 '!G66</f>
        <v>11</v>
      </c>
      <c r="V10" s="91">
        <f>'19'!G66</f>
        <v>15</v>
      </c>
      <c r="W10" s="91">
        <f>'20'!G66</f>
        <v>10</v>
      </c>
      <c r="X10" s="91">
        <f>'21'!G66</f>
        <v>12</v>
      </c>
      <c r="Y10" s="91">
        <f>'22'!G66</f>
        <v>14</v>
      </c>
      <c r="Z10" s="91">
        <f>'23'!G66</f>
        <v>23</v>
      </c>
      <c r="AA10" s="91">
        <f>'24'!G66</f>
        <v>14</v>
      </c>
      <c r="AB10" s="91">
        <f>'25'!G66</f>
        <v>11</v>
      </c>
      <c r="AC10" s="91">
        <f>'26'!G66</f>
        <v>19</v>
      </c>
      <c r="AD10" s="91">
        <f>'27'!G66</f>
        <v>25</v>
      </c>
      <c r="AE10" s="91">
        <f>'28'!G66</f>
        <v>17</v>
      </c>
      <c r="AF10" s="91">
        <f>'29'!G66</f>
        <v>22</v>
      </c>
      <c r="AG10" s="91">
        <f>'30'!G66</f>
        <v>27</v>
      </c>
      <c r="AH10" s="91">
        <f>'31'!G66</f>
        <v>15</v>
      </c>
      <c r="AI10" s="90"/>
    </row>
    <row r="11" spans="2:35">
      <c r="B11" s="731"/>
      <c r="C11" s="90" t="s">
        <v>33</v>
      </c>
      <c r="D11" s="91">
        <f>'1'!G67</f>
        <v>40</v>
      </c>
      <c r="E11" s="91">
        <f>'2'!G67</f>
        <v>39</v>
      </c>
      <c r="F11" s="91">
        <f>'3'!G67</f>
        <v>20</v>
      </c>
      <c r="G11" s="91">
        <f>'4'!G67</f>
        <v>27</v>
      </c>
      <c r="H11" s="91">
        <f>'5'!G67</f>
        <v>22</v>
      </c>
      <c r="I11" s="91">
        <f>'6'!G67</f>
        <v>21</v>
      </c>
      <c r="J11" s="91">
        <f>'7'!G67</f>
        <v>23</v>
      </c>
      <c r="K11" s="91">
        <f>'8'!G67</f>
        <v>21</v>
      </c>
      <c r="L11" s="91">
        <f>'9'!G67</f>
        <v>24</v>
      </c>
      <c r="M11" s="91">
        <f>'10'!G67</f>
        <v>21</v>
      </c>
      <c r="N11" s="91">
        <f>'11'!G67</f>
        <v>17</v>
      </c>
      <c r="O11" s="91">
        <f>'12'!G67</f>
        <v>15</v>
      </c>
      <c r="P11" s="91">
        <f>'13'!G67</f>
        <v>18</v>
      </c>
      <c r="Q11" s="91">
        <f>'14'!G67</f>
        <v>18</v>
      </c>
      <c r="R11" s="91">
        <f>'15'!G67</f>
        <v>23</v>
      </c>
      <c r="S11" s="91">
        <f>'16'!G67</f>
        <v>26</v>
      </c>
      <c r="T11" s="91">
        <f>'17'!G67</f>
        <v>19</v>
      </c>
      <c r="U11" s="91">
        <f>'18 '!G67</f>
        <v>22</v>
      </c>
      <c r="V11" s="91">
        <f>'19'!G67</f>
        <v>23</v>
      </c>
      <c r="W11" s="91">
        <f>'20'!G67</f>
        <v>23</v>
      </c>
      <c r="X11" s="91">
        <f>'21'!G67</f>
        <v>20</v>
      </c>
      <c r="Y11" s="91">
        <f>'22'!G67</f>
        <v>20</v>
      </c>
      <c r="Z11" s="91">
        <f>'23'!G67</f>
        <v>25</v>
      </c>
      <c r="AA11" s="91">
        <f>'24'!G67</f>
        <v>25</v>
      </c>
      <c r="AB11" s="91">
        <f>'25'!G67</f>
        <v>20</v>
      </c>
      <c r="AC11" s="91">
        <f>'26'!G67</f>
        <v>26</v>
      </c>
      <c r="AD11" s="91">
        <f>'27'!G67</f>
        <v>22</v>
      </c>
      <c r="AE11" s="91">
        <f>'28'!G67</f>
        <v>23</v>
      </c>
      <c r="AF11" s="91">
        <f>'29'!G67</f>
        <v>25</v>
      </c>
      <c r="AG11" s="91">
        <f>'30'!G67</f>
        <v>32</v>
      </c>
      <c r="AH11" s="91">
        <f>'31'!G67</f>
        <v>20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31" t="s">
        <v>72</v>
      </c>
      <c r="C13" s="90" t="s">
        <v>31</v>
      </c>
      <c r="D13" s="91">
        <f>'1'!G68</f>
        <v>14</v>
      </c>
      <c r="E13" s="91">
        <f>'2'!G68</f>
        <v>10</v>
      </c>
      <c r="F13" s="91">
        <f>'3'!G68</f>
        <v>9</v>
      </c>
      <c r="G13" s="91">
        <f>'4'!G68</f>
        <v>27</v>
      </c>
      <c r="H13" s="91">
        <f>'5'!G68</f>
        <v>27</v>
      </c>
      <c r="I13" s="91">
        <f>'6'!G68</f>
        <v>47</v>
      </c>
      <c r="J13" s="91">
        <f>'7'!G68</f>
        <v>42</v>
      </c>
      <c r="K13" s="91">
        <f>'8'!G68</f>
        <v>30</v>
      </c>
      <c r="L13" s="91">
        <f>'9'!G68</f>
        <v>27</v>
      </c>
      <c r="M13" s="91">
        <f>'10'!G68</f>
        <v>26</v>
      </c>
      <c r="N13" s="91">
        <f>'11'!G68</f>
        <v>26</v>
      </c>
      <c r="O13" s="91">
        <f>'12'!G68</f>
        <v>23</v>
      </c>
      <c r="P13" s="91">
        <f>'13'!G68</f>
        <v>20</v>
      </c>
      <c r="Q13" s="91">
        <f>'14'!G68</f>
        <v>35</v>
      </c>
      <c r="R13" s="91">
        <f>'15'!G68</f>
        <v>23</v>
      </c>
      <c r="S13" s="91">
        <f>'16'!G68</f>
        <v>31</v>
      </c>
      <c r="T13" s="91">
        <f>'17'!G68</f>
        <v>21</v>
      </c>
      <c r="U13" s="91">
        <f>'18 '!G68</f>
        <v>55</v>
      </c>
      <c r="V13" s="91">
        <f>'19'!G68</f>
        <v>30</v>
      </c>
      <c r="W13" s="91">
        <f>'20'!G68</f>
        <v>50</v>
      </c>
      <c r="X13" s="91">
        <f>'21'!G68</f>
        <v>34</v>
      </c>
      <c r="Y13" s="91">
        <f>'22'!G68</f>
        <v>45</v>
      </c>
      <c r="Z13" s="91">
        <f>'23'!G68</f>
        <v>42</v>
      </c>
      <c r="AA13" s="506">
        <f>'24'!G68</f>
        <v>33</v>
      </c>
      <c r="AB13" s="91">
        <f>'25'!G68</f>
        <v>73</v>
      </c>
      <c r="AC13" s="91">
        <f>'26'!G68</f>
        <v>50</v>
      </c>
      <c r="AD13" s="91">
        <f>'27'!G68</f>
        <v>57</v>
      </c>
      <c r="AE13" s="91">
        <f>'28'!G68</f>
        <v>68</v>
      </c>
      <c r="AF13" s="91">
        <f>'29'!G68</f>
        <v>48</v>
      </c>
      <c r="AG13" s="91">
        <f>'30'!G68</f>
        <v>25</v>
      </c>
      <c r="AH13" s="91">
        <f>'31'!G68</f>
        <v>29</v>
      </c>
      <c r="AI13" s="90"/>
    </row>
    <row r="14" spans="2:35">
      <c r="B14" s="731"/>
      <c r="C14" s="90" t="s">
        <v>32</v>
      </c>
      <c r="D14" s="91">
        <f>'1'!G69</f>
        <v>25</v>
      </c>
      <c r="E14" s="91">
        <f>'2'!G69</f>
        <v>11</v>
      </c>
      <c r="F14" s="91">
        <f>'3'!G69</f>
        <v>22</v>
      </c>
      <c r="G14" s="91">
        <f>'4'!G69</f>
        <v>7</v>
      </c>
      <c r="H14" s="91">
        <f>'5'!G69</f>
        <v>11</v>
      </c>
      <c r="I14" s="91">
        <f>'6'!G69</f>
        <v>8</v>
      </c>
      <c r="J14" s="91">
        <f>'7'!G69</f>
        <v>7</v>
      </c>
      <c r="K14" s="91">
        <f>'8'!G69</f>
        <v>6</v>
      </c>
      <c r="L14" s="91">
        <f>'9'!G69</f>
        <v>7</v>
      </c>
      <c r="M14" s="91">
        <f>'10'!G69</f>
        <v>9</v>
      </c>
      <c r="N14" s="91">
        <f>'11'!G69</f>
        <v>8</v>
      </c>
      <c r="O14" s="91">
        <f>'12'!G69</f>
        <v>6</v>
      </c>
      <c r="P14" s="91">
        <f>'13'!G69</f>
        <v>5</v>
      </c>
      <c r="Q14" s="91">
        <f>'14'!G69</f>
        <v>6</v>
      </c>
      <c r="R14" s="91">
        <f>'15'!G69</f>
        <v>11</v>
      </c>
      <c r="S14" s="91">
        <f>'16'!G69</f>
        <v>6</v>
      </c>
      <c r="T14" s="91">
        <f>'17'!G69</f>
        <v>8</v>
      </c>
      <c r="U14" s="91">
        <f>'18 '!G69</f>
        <v>12</v>
      </c>
      <c r="V14" s="91">
        <f>'19'!G69</f>
        <v>8</v>
      </c>
      <c r="W14" s="91">
        <f>'20'!G69</f>
        <v>14</v>
      </c>
      <c r="X14" s="91">
        <f>'21'!G69</f>
        <v>8</v>
      </c>
      <c r="Y14" s="91">
        <f>'22'!G69</f>
        <v>8</v>
      </c>
      <c r="Z14" s="91">
        <f>'23'!G69</f>
        <v>31</v>
      </c>
      <c r="AA14" s="91">
        <f>'24'!G69</f>
        <v>31</v>
      </c>
      <c r="AB14" s="91">
        <f>'25'!G69</f>
        <v>5</v>
      </c>
      <c r="AC14" s="91">
        <f>'26'!G69</f>
        <v>8</v>
      </c>
      <c r="AD14" s="91">
        <f>'27'!G69</f>
        <v>9</v>
      </c>
      <c r="AE14" s="91">
        <f>'28'!G69</f>
        <v>6</v>
      </c>
      <c r="AF14" s="91">
        <f>'29'!G69</f>
        <v>7</v>
      </c>
      <c r="AG14" s="91">
        <f>'30'!G69</f>
        <v>8</v>
      </c>
      <c r="AH14" s="91">
        <f>'31'!G69</f>
        <v>9</v>
      </c>
      <c r="AI14" s="90"/>
    </row>
    <row r="15" spans="2:35">
      <c r="B15" s="731"/>
      <c r="C15" s="90" t="s">
        <v>33</v>
      </c>
      <c r="D15" s="91">
        <f>'1'!G70</f>
        <v>13</v>
      </c>
      <c r="E15" s="91">
        <f>'2'!G70</f>
        <v>12</v>
      </c>
      <c r="F15" s="91">
        <f>'3'!G70</f>
        <v>7</v>
      </c>
      <c r="G15" s="91">
        <f>'4'!G70</f>
        <v>6</v>
      </c>
      <c r="H15" s="91">
        <f>'5'!G70</f>
        <v>6</v>
      </c>
      <c r="I15" s="91">
        <f>'6'!G70</f>
        <v>6</v>
      </c>
      <c r="J15" s="91">
        <f>'7'!G70</f>
        <v>9</v>
      </c>
      <c r="K15" s="91">
        <f>'8'!G70</f>
        <v>8</v>
      </c>
      <c r="L15" s="91">
        <f>'9'!G70</f>
        <v>14</v>
      </c>
      <c r="M15" s="91">
        <f>'10'!G70</f>
        <v>4</v>
      </c>
      <c r="N15" s="91">
        <f>'11'!G70</f>
        <v>6</v>
      </c>
      <c r="O15" s="91">
        <f>'12'!G70</f>
        <v>4</v>
      </c>
      <c r="P15" s="91">
        <f>'13'!G70</f>
        <v>7</v>
      </c>
      <c r="Q15" s="91">
        <f>'14'!G70</f>
        <v>6</v>
      </c>
      <c r="R15" s="91">
        <f>'15'!G70</f>
        <v>7</v>
      </c>
      <c r="S15" s="91">
        <f>'16'!G70</f>
        <v>7</v>
      </c>
      <c r="T15" s="91">
        <f>'17'!G70</f>
        <v>7</v>
      </c>
      <c r="U15" s="91">
        <f>'18 '!G70</f>
        <v>4</v>
      </c>
      <c r="V15" s="91">
        <f>'19'!G70</f>
        <v>6.1000000000003638</v>
      </c>
      <c r="W15" s="91">
        <f>'20'!G70</f>
        <v>4.8999999999996362</v>
      </c>
      <c r="X15" s="91">
        <f>'21'!G70</f>
        <v>4</v>
      </c>
      <c r="Y15" s="91">
        <f>'22'!G70</f>
        <v>6</v>
      </c>
      <c r="Z15" s="91">
        <f>'23'!G70</f>
        <v>6</v>
      </c>
      <c r="AA15" s="91">
        <f>'24'!G70</f>
        <v>8</v>
      </c>
      <c r="AB15" s="91">
        <f>'25'!G70</f>
        <v>12</v>
      </c>
      <c r="AC15" s="91">
        <f>'26'!G70</f>
        <v>13</v>
      </c>
      <c r="AD15" s="91">
        <f>'27'!G70</f>
        <v>11</v>
      </c>
      <c r="AE15" s="91">
        <f>'28'!G70</f>
        <v>9</v>
      </c>
      <c r="AF15" s="91">
        <f>'29'!G70</f>
        <v>15</v>
      </c>
      <c r="AG15" s="91">
        <f>'30'!G70</f>
        <v>22</v>
      </c>
      <c r="AH15" s="91">
        <f>'31'!G70</f>
        <v>8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31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>
      <c r="B18" s="731"/>
      <c r="C18" s="90" t="s">
        <v>75</v>
      </c>
      <c r="D18" s="90">
        <f>'1'!G174</f>
        <v>15</v>
      </c>
      <c r="E18" s="91">
        <f>'2'!G174</f>
        <v>0</v>
      </c>
      <c r="F18" s="91">
        <f>'3'!G174</f>
        <v>0</v>
      </c>
      <c r="G18" s="91">
        <f>'4'!G174</f>
        <v>14</v>
      </c>
      <c r="H18" s="91">
        <f>'5'!G174</f>
        <v>14</v>
      </c>
      <c r="I18" s="91">
        <f>'6'!G174</f>
        <v>11</v>
      </c>
      <c r="J18" s="91">
        <f>'7'!G174</f>
        <v>11</v>
      </c>
      <c r="K18" s="91">
        <f>'8'!G174</f>
        <v>12</v>
      </c>
      <c r="L18" s="91">
        <f>'9'!G174</f>
        <v>18</v>
      </c>
      <c r="M18" s="91">
        <f>'10'!G174</f>
        <v>1</v>
      </c>
      <c r="N18" s="91">
        <f>'11'!G174</f>
        <v>14</v>
      </c>
      <c r="O18" s="91">
        <f>'12'!G174</f>
        <v>0</v>
      </c>
      <c r="P18" s="91">
        <f>'13'!G174</f>
        <v>13</v>
      </c>
      <c r="Q18" s="91">
        <f>'14'!G174</f>
        <v>5</v>
      </c>
      <c r="R18" s="91">
        <f>'15'!G174</f>
        <v>10</v>
      </c>
      <c r="S18" s="91">
        <f>'16'!G174</f>
        <v>13</v>
      </c>
      <c r="T18" s="91">
        <f>'17'!G174</f>
        <v>0</v>
      </c>
      <c r="U18" s="91">
        <f>'18 '!G174</f>
        <v>13</v>
      </c>
      <c r="V18" s="91">
        <f>'19'!G174</f>
        <v>9</v>
      </c>
      <c r="W18" s="91">
        <f>'20'!G174</f>
        <v>12</v>
      </c>
      <c r="X18" s="91">
        <f>'21'!G174</f>
        <v>11</v>
      </c>
      <c r="Y18" s="91">
        <f>'22'!G174</f>
        <v>12</v>
      </c>
      <c r="Z18" s="91">
        <f>'23'!G174</f>
        <v>13</v>
      </c>
      <c r="AA18" s="91">
        <f>'24'!G174</f>
        <v>14</v>
      </c>
      <c r="AB18" s="91">
        <f>'25'!G174</f>
        <v>8</v>
      </c>
      <c r="AC18" s="91">
        <f>'26'!G174</f>
        <v>12</v>
      </c>
      <c r="AD18" s="91">
        <f>'27'!G174</f>
        <v>13</v>
      </c>
      <c r="AE18" s="91">
        <f>'28'!G174</f>
        <v>15</v>
      </c>
      <c r="AF18" s="91">
        <f>'29'!G174</f>
        <v>13</v>
      </c>
      <c r="AG18" s="91">
        <f>'30'!G174</f>
        <v>14</v>
      </c>
      <c r="AH18" s="91">
        <f>'31'!G174</f>
        <v>12</v>
      </c>
      <c r="AI18" s="90"/>
    </row>
    <row r="19" spans="2:35">
      <c r="B19" s="731"/>
      <c r="C19" s="90" t="s">
        <v>76</v>
      </c>
      <c r="D19" s="90">
        <f>'1'!G175</f>
        <v>12</v>
      </c>
      <c r="E19" s="91">
        <f>'2'!G175</f>
        <v>7</v>
      </c>
      <c r="F19" s="91">
        <f>'3'!G175</f>
        <v>2</v>
      </c>
      <c r="G19" s="91">
        <f>'4'!G175</f>
        <v>17</v>
      </c>
      <c r="H19" s="91">
        <f>'5'!G175</f>
        <v>11</v>
      </c>
      <c r="I19" s="91">
        <f>'6'!G175</f>
        <v>9</v>
      </c>
      <c r="J19" s="91">
        <f>'7'!G175</f>
        <v>11</v>
      </c>
      <c r="K19" s="91">
        <f>'8'!G175</f>
        <v>9</v>
      </c>
      <c r="L19" s="91">
        <f>'9'!G175</f>
        <v>10</v>
      </c>
      <c r="M19" s="91">
        <f>'10'!G175</f>
        <v>4</v>
      </c>
      <c r="N19" s="91">
        <f>'11'!G175</f>
        <v>11</v>
      </c>
      <c r="O19" s="91">
        <f>'12'!G175</f>
        <v>5</v>
      </c>
      <c r="P19" s="91">
        <f>'13'!G175</f>
        <v>11</v>
      </c>
      <c r="Q19" s="91">
        <f>'14'!G175</f>
        <v>6</v>
      </c>
      <c r="R19" s="91">
        <f>'15'!G175</f>
        <v>13</v>
      </c>
      <c r="S19" s="91">
        <f>'16'!G175</f>
        <v>10</v>
      </c>
      <c r="T19" s="91">
        <f>'17'!G175</f>
        <v>7</v>
      </c>
      <c r="U19" s="91">
        <f>'18 '!G175</f>
        <v>10</v>
      </c>
      <c r="V19" s="91">
        <f>'19'!G175</f>
        <v>9</v>
      </c>
      <c r="W19" s="91">
        <f>'20'!G175</f>
        <v>12</v>
      </c>
      <c r="X19" s="91">
        <f>'21'!G175</f>
        <v>10</v>
      </c>
      <c r="Y19" s="91">
        <f>'22'!G175</f>
        <v>10</v>
      </c>
      <c r="Z19" s="91">
        <f>'23'!G175</f>
        <v>11</v>
      </c>
      <c r="AA19" s="91">
        <f>'24'!G175</f>
        <v>10</v>
      </c>
      <c r="AB19" s="91">
        <f>'25'!G175</f>
        <v>8</v>
      </c>
      <c r="AC19" s="91">
        <f>'26'!G175</f>
        <v>10</v>
      </c>
      <c r="AD19" s="91">
        <f>'27'!G175</f>
        <v>11</v>
      </c>
      <c r="AE19" s="91">
        <f>'28'!G175</f>
        <v>9</v>
      </c>
      <c r="AF19" s="91">
        <f>'29'!G175</f>
        <v>12</v>
      </c>
      <c r="AG19" s="91">
        <f>'30'!G175</f>
        <v>8</v>
      </c>
      <c r="AH19" s="91">
        <f>'31'!G175</f>
        <v>10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31" t="s">
        <v>77</v>
      </c>
      <c r="C21" s="90" t="s">
        <v>78</v>
      </c>
      <c r="D21" s="90">
        <f>'1'!G178</f>
        <v>62</v>
      </c>
      <c r="E21" s="91">
        <f>'2'!G178</f>
        <v>64</v>
      </c>
      <c r="F21" s="91">
        <f>'3'!G178</f>
        <v>58</v>
      </c>
      <c r="G21" s="91">
        <f>'4'!G178</f>
        <v>79</v>
      </c>
      <c r="H21" s="91">
        <f>'5'!G178</f>
        <v>97</v>
      </c>
      <c r="I21" s="91">
        <f>'6'!G178</f>
        <v>72</v>
      </c>
      <c r="J21" s="91">
        <f>'7'!G178</f>
        <v>62</v>
      </c>
      <c r="K21" s="91">
        <f>'8'!G178</f>
        <v>60</v>
      </c>
      <c r="L21" s="91">
        <f>'9'!G178</f>
        <v>61</v>
      </c>
      <c r="M21" s="91">
        <f>'10'!G178</f>
        <v>41</v>
      </c>
      <c r="N21" s="91">
        <f>'11'!G178</f>
        <v>42</v>
      </c>
      <c r="O21" s="91">
        <f>'12'!G178</f>
        <v>43</v>
      </c>
      <c r="P21" s="91">
        <f>'13'!G178</f>
        <v>21</v>
      </c>
      <c r="Q21" s="91">
        <f>'14'!G178</f>
        <v>21</v>
      </c>
      <c r="R21" s="91">
        <f>'15'!G178</f>
        <v>72</v>
      </c>
      <c r="S21" s="91">
        <f>'16'!G178</f>
        <v>60</v>
      </c>
      <c r="T21" s="91">
        <f>'17'!G178</f>
        <v>60</v>
      </c>
      <c r="U21" s="91">
        <f>'18 '!G178</f>
        <v>64</v>
      </c>
      <c r="V21" s="91">
        <f>'19'!G178</f>
        <v>35</v>
      </c>
      <c r="W21" s="91">
        <f>'20'!G178</f>
        <v>41</v>
      </c>
      <c r="X21" s="91">
        <f>'21'!G178</f>
        <v>61</v>
      </c>
      <c r="Y21" s="91">
        <f>'22'!G178</f>
        <v>0</v>
      </c>
      <c r="Z21" s="91">
        <f>'23'!G178</f>
        <v>104</v>
      </c>
      <c r="AA21" s="91">
        <f>'24'!G178</f>
        <v>42</v>
      </c>
      <c r="AB21" s="91">
        <f>'25'!G178</f>
        <v>21</v>
      </c>
      <c r="AC21" s="91">
        <f>'26'!G178</f>
        <v>55</v>
      </c>
      <c r="AD21" s="91">
        <f>'27'!G178</f>
        <v>39</v>
      </c>
      <c r="AE21" s="91">
        <f>'28'!G178</f>
        <v>50</v>
      </c>
      <c r="AF21" s="91">
        <f>'29'!G178</f>
        <v>42</v>
      </c>
      <c r="AG21" s="91">
        <f>'30'!G178</f>
        <v>63</v>
      </c>
      <c r="AH21" s="91">
        <f>'31'!G178</f>
        <v>109</v>
      </c>
      <c r="AI21" s="90"/>
    </row>
    <row r="22" spans="2:35">
      <c r="B22" s="731"/>
      <c r="C22" s="90" t="s">
        <v>79</v>
      </c>
      <c r="D22" s="90">
        <f>'1'!G179</f>
        <v>42</v>
      </c>
      <c r="E22" s="91">
        <f>'2'!G179</f>
        <v>1</v>
      </c>
      <c r="F22" s="91">
        <f>'3'!G179</f>
        <v>15</v>
      </c>
      <c r="G22" s="91">
        <f>'4'!G179</f>
        <v>35</v>
      </c>
      <c r="H22" s="91">
        <f>'5'!G179</f>
        <v>16</v>
      </c>
      <c r="I22" s="91">
        <f>'6'!G179</f>
        <v>5</v>
      </c>
      <c r="J22" s="91">
        <f>'7'!G179</f>
        <v>9</v>
      </c>
      <c r="K22" s="91">
        <f>'8'!G179</f>
        <v>14</v>
      </c>
      <c r="L22" s="91">
        <f>'9'!G179</f>
        <v>18</v>
      </c>
      <c r="M22" s="91">
        <f>'10'!G179</f>
        <v>23</v>
      </c>
      <c r="N22" s="91">
        <f>'11'!G179</f>
        <v>34</v>
      </c>
      <c r="O22" s="91">
        <f>'12'!G179</f>
        <v>19</v>
      </c>
      <c r="P22" s="91">
        <f>'13'!G179</f>
        <v>54</v>
      </c>
      <c r="Q22" s="91">
        <f>'14'!G179</f>
        <v>3</v>
      </c>
      <c r="R22" s="91">
        <f>'15'!G179</f>
        <v>20</v>
      </c>
      <c r="S22" s="91">
        <f>'16'!G179</f>
        <v>28</v>
      </c>
      <c r="T22" s="91">
        <f>'17'!G179</f>
        <v>27</v>
      </c>
      <c r="U22" s="91">
        <f>'18 '!G179</f>
        <v>54</v>
      </c>
      <c r="V22" s="91">
        <f>'19'!G179</f>
        <v>4</v>
      </c>
      <c r="W22" s="91">
        <f>'20'!G179</f>
        <v>0</v>
      </c>
      <c r="X22" s="91">
        <f>'21'!G179</f>
        <v>20</v>
      </c>
      <c r="Y22" s="91">
        <f>'22'!G179</f>
        <v>14</v>
      </c>
      <c r="Z22" s="91">
        <f>'23'!G179</f>
        <v>52</v>
      </c>
      <c r="AA22" s="91">
        <f>'24'!G179</f>
        <v>30</v>
      </c>
      <c r="AB22" s="91">
        <f>'25'!G179</f>
        <v>80</v>
      </c>
      <c r="AC22" s="91">
        <f>'26'!G179</f>
        <v>48</v>
      </c>
      <c r="AD22" s="91">
        <f>'27'!G179</f>
        <v>62</v>
      </c>
      <c r="AE22" s="91">
        <f>'28'!G179</f>
        <v>69</v>
      </c>
      <c r="AF22" s="91">
        <f>'29'!G179</f>
        <v>18</v>
      </c>
      <c r="AG22" s="91">
        <f>'30'!G179</f>
        <v>25</v>
      </c>
      <c r="AH22" s="91">
        <f>'31'!G179</f>
        <v>49</v>
      </c>
      <c r="AI22" s="90"/>
    </row>
    <row r="23" spans="2:35">
      <c r="B23" s="731"/>
      <c r="C23" s="90" t="s">
        <v>80</v>
      </c>
      <c r="D23" s="90">
        <f>'1'!G180</f>
        <v>4</v>
      </c>
      <c r="E23" s="91">
        <f>'2'!G180</f>
        <v>3</v>
      </c>
      <c r="F23" s="91">
        <f>'3'!G180</f>
        <v>4</v>
      </c>
      <c r="G23" s="91">
        <f>'4'!G180</f>
        <v>16</v>
      </c>
      <c r="H23" s="91">
        <f>'5'!G180</f>
        <v>1</v>
      </c>
      <c r="I23" s="91">
        <f>'6'!G180</f>
        <v>20</v>
      </c>
      <c r="J23" s="91">
        <f>'7'!G180</f>
        <v>3</v>
      </c>
      <c r="K23" s="91">
        <f>'8'!G180</f>
        <v>15</v>
      </c>
      <c r="L23" s="91">
        <f>'9'!G180</f>
        <v>1</v>
      </c>
      <c r="M23" s="91">
        <f>'10'!G180</f>
        <v>0</v>
      </c>
      <c r="N23" s="91">
        <f>'11'!G180</f>
        <v>2</v>
      </c>
      <c r="O23" s="91">
        <f>'12'!G180</f>
        <v>17</v>
      </c>
      <c r="P23" s="91">
        <f>'13'!G180</f>
        <v>3</v>
      </c>
      <c r="Q23" s="91">
        <f>'14'!G180</f>
        <v>15</v>
      </c>
      <c r="R23" s="91">
        <f>'15'!G180</f>
        <v>11</v>
      </c>
      <c r="S23" s="91">
        <f>'16'!G180</f>
        <v>3</v>
      </c>
      <c r="T23" s="91">
        <f>'17'!G180</f>
        <v>1</v>
      </c>
      <c r="U23" s="91">
        <f>'18 '!G180</f>
        <v>15</v>
      </c>
      <c r="V23" s="91">
        <f>'19'!G180</f>
        <v>0</v>
      </c>
      <c r="W23" s="91">
        <f>'20'!G180</f>
        <v>12</v>
      </c>
      <c r="X23" s="91">
        <f>'21'!G180</f>
        <v>14</v>
      </c>
      <c r="Y23" s="91">
        <f>'22'!G180</f>
        <v>5</v>
      </c>
      <c r="Z23" s="91">
        <f>'23'!G180</f>
        <v>2</v>
      </c>
      <c r="AA23" s="91">
        <f>'24'!G180</f>
        <v>7</v>
      </c>
      <c r="AB23" s="91">
        <f>'25'!G180</f>
        <v>7</v>
      </c>
      <c r="AC23" s="91">
        <f>'26'!G180</f>
        <v>0</v>
      </c>
      <c r="AD23" s="91">
        <f>'27'!G180</f>
        <v>14</v>
      </c>
      <c r="AE23" s="91">
        <f>'28'!G180</f>
        <v>3</v>
      </c>
      <c r="AF23" s="91">
        <f>'29'!G180</f>
        <v>15</v>
      </c>
      <c r="AG23" s="91">
        <f>'30'!G180</f>
        <v>3</v>
      </c>
      <c r="AH23" s="91">
        <f>'31'!G180</f>
        <v>9</v>
      </c>
      <c r="AI23" s="90"/>
    </row>
    <row r="24" spans="2:35" ht="30">
      <c r="B24" s="93" t="s">
        <v>301</v>
      </c>
      <c r="C24" s="90"/>
      <c r="D24" s="91">
        <f>SUM(D5:D6)</f>
        <v>54</v>
      </c>
      <c r="E24" s="91">
        <f t="shared" ref="E24:AH24" si="0">SUM(E5:E6)</f>
        <v>56</v>
      </c>
      <c r="F24" s="91">
        <f t="shared" si="0"/>
        <v>356</v>
      </c>
      <c r="G24" s="91">
        <f t="shared" si="0"/>
        <v>219</v>
      </c>
      <c r="H24" s="91">
        <f t="shared" si="0"/>
        <v>171</v>
      </c>
      <c r="I24" s="91">
        <f t="shared" si="0"/>
        <v>164</v>
      </c>
      <c r="J24" s="91">
        <f t="shared" si="0"/>
        <v>214</v>
      </c>
      <c r="K24" s="91">
        <f t="shared" si="0"/>
        <v>211</v>
      </c>
      <c r="L24" s="91">
        <f t="shared" si="0"/>
        <v>205</v>
      </c>
      <c r="M24" s="91">
        <f t="shared" si="0"/>
        <v>124</v>
      </c>
      <c r="N24" s="91">
        <f t="shared" si="0"/>
        <v>130</v>
      </c>
      <c r="O24" s="91">
        <f t="shared" si="0"/>
        <v>136</v>
      </c>
      <c r="P24" s="91">
        <f t="shared" si="0"/>
        <v>103</v>
      </c>
      <c r="Q24" s="91">
        <f t="shared" si="0"/>
        <v>114</v>
      </c>
      <c r="R24" s="91">
        <f t="shared" si="0"/>
        <v>155</v>
      </c>
      <c r="S24" s="91">
        <f t="shared" si="0"/>
        <v>135</v>
      </c>
      <c r="T24" s="91">
        <f t="shared" si="0"/>
        <v>133</v>
      </c>
      <c r="U24" s="91">
        <f t="shared" si="0"/>
        <v>154</v>
      </c>
      <c r="V24" s="91">
        <f t="shared" si="0"/>
        <v>157</v>
      </c>
      <c r="W24" s="91">
        <f t="shared" si="0"/>
        <v>216</v>
      </c>
      <c r="X24" s="91">
        <f t="shared" si="0"/>
        <v>167</v>
      </c>
      <c r="Y24" s="91">
        <f t="shared" si="0"/>
        <v>176</v>
      </c>
      <c r="Z24" s="91">
        <f t="shared" si="0"/>
        <v>216</v>
      </c>
      <c r="AA24" s="91">
        <f>SUM(AA5:AA6)</f>
        <v>212</v>
      </c>
      <c r="AB24" s="91">
        <f t="shared" si="0"/>
        <v>190</v>
      </c>
      <c r="AC24" s="91">
        <f t="shared" si="0"/>
        <v>175</v>
      </c>
      <c r="AD24" s="91">
        <f t="shared" si="0"/>
        <v>177</v>
      </c>
      <c r="AE24" s="91">
        <f t="shared" si="0"/>
        <v>92</v>
      </c>
      <c r="AF24" s="91">
        <f t="shared" si="0"/>
        <v>312</v>
      </c>
      <c r="AG24" s="91">
        <f t="shared" si="0"/>
        <v>226</v>
      </c>
      <c r="AH24" s="91">
        <f t="shared" si="0"/>
        <v>146</v>
      </c>
      <c r="AI24" s="90"/>
    </row>
    <row r="25" spans="2:35" ht="30">
      <c r="B25" s="93" t="s">
        <v>81</v>
      </c>
      <c r="C25" s="90"/>
      <c r="D25" s="91">
        <f>SUM(D9:D11,D14:D15,)</f>
        <v>204</v>
      </c>
      <c r="E25" s="91">
        <f t="shared" ref="E25:AI25" si="1">SUM(E9:E11,E14:E15,)</f>
        <v>149</v>
      </c>
      <c r="F25" s="91">
        <f t="shared" si="1"/>
        <v>107</v>
      </c>
      <c r="G25" s="91">
        <f t="shared" si="1"/>
        <v>142</v>
      </c>
      <c r="H25" s="91">
        <f t="shared" si="1"/>
        <v>132</v>
      </c>
      <c r="I25" s="91">
        <f t="shared" si="1"/>
        <v>119</v>
      </c>
      <c r="J25" s="91">
        <f t="shared" si="1"/>
        <v>135</v>
      </c>
      <c r="K25" s="91">
        <f>SUM(K9:K11,K14:K15,)</f>
        <v>147</v>
      </c>
      <c r="L25" s="91">
        <f t="shared" si="1"/>
        <v>140</v>
      </c>
      <c r="M25" s="91">
        <f t="shared" si="1"/>
        <v>106</v>
      </c>
      <c r="N25" s="91">
        <f t="shared" si="1"/>
        <v>124</v>
      </c>
      <c r="O25" s="91">
        <f t="shared" si="1"/>
        <v>79</v>
      </c>
      <c r="P25" s="91">
        <f t="shared" si="1"/>
        <v>111</v>
      </c>
      <c r="Q25" s="91">
        <f t="shared" si="1"/>
        <v>99</v>
      </c>
      <c r="R25" s="91">
        <f t="shared" si="1"/>
        <v>128</v>
      </c>
      <c r="S25" s="91">
        <f t="shared" si="1"/>
        <v>122</v>
      </c>
      <c r="T25" s="91">
        <f>SUM(T9:T11,T14:T15,)</f>
        <v>114</v>
      </c>
      <c r="U25" s="91">
        <f t="shared" si="1"/>
        <v>113</v>
      </c>
      <c r="V25" s="91">
        <f t="shared" si="1"/>
        <v>115.10000000000036</v>
      </c>
      <c r="W25" s="91">
        <f t="shared" si="1"/>
        <v>123.89999999999964</v>
      </c>
      <c r="X25" s="91">
        <f t="shared" si="1"/>
        <v>116</v>
      </c>
      <c r="Y25" s="91">
        <f t="shared" si="1"/>
        <v>123</v>
      </c>
      <c r="Z25" s="91">
        <f t="shared" si="1"/>
        <v>173</v>
      </c>
      <c r="AA25" s="91">
        <f t="shared" si="1"/>
        <v>181</v>
      </c>
      <c r="AB25" s="91">
        <f t="shared" si="1"/>
        <v>134</v>
      </c>
      <c r="AC25" s="91">
        <f t="shared" si="1"/>
        <v>150</v>
      </c>
      <c r="AD25" s="91">
        <f t="shared" si="1"/>
        <v>164</v>
      </c>
      <c r="AE25" s="91">
        <f t="shared" si="1"/>
        <v>144</v>
      </c>
      <c r="AF25" s="91">
        <f t="shared" si="1"/>
        <v>153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80</v>
      </c>
      <c r="E27" s="91">
        <f t="shared" ref="E27:AH27" si="2">SUM(E13,E21,E23)</f>
        <v>77</v>
      </c>
      <c r="F27" s="91">
        <f>SUM(F13,F21,F23)</f>
        <v>71</v>
      </c>
      <c r="G27" s="91">
        <f t="shared" si="2"/>
        <v>122</v>
      </c>
      <c r="H27" s="91">
        <f t="shared" si="2"/>
        <v>125</v>
      </c>
      <c r="I27" s="91">
        <f t="shared" si="2"/>
        <v>139</v>
      </c>
      <c r="J27" s="91">
        <f t="shared" si="2"/>
        <v>107</v>
      </c>
      <c r="K27" s="91">
        <f t="shared" si="2"/>
        <v>105</v>
      </c>
      <c r="L27" s="91">
        <f t="shared" si="2"/>
        <v>89</v>
      </c>
      <c r="M27" s="91">
        <f t="shared" si="2"/>
        <v>67</v>
      </c>
      <c r="N27" s="91">
        <f t="shared" si="2"/>
        <v>70</v>
      </c>
      <c r="O27" s="91">
        <f t="shared" si="2"/>
        <v>83</v>
      </c>
      <c r="P27" s="91">
        <f t="shared" si="2"/>
        <v>44</v>
      </c>
      <c r="Q27" s="91">
        <f t="shared" si="2"/>
        <v>71</v>
      </c>
      <c r="R27" s="91">
        <f t="shared" si="2"/>
        <v>106</v>
      </c>
      <c r="S27" s="91">
        <f t="shared" si="2"/>
        <v>94</v>
      </c>
      <c r="T27" s="91">
        <f t="shared" si="2"/>
        <v>82</v>
      </c>
      <c r="U27" s="91">
        <f t="shared" si="2"/>
        <v>134</v>
      </c>
      <c r="V27" s="91">
        <f t="shared" si="2"/>
        <v>65</v>
      </c>
      <c r="W27" s="91">
        <f t="shared" si="2"/>
        <v>103</v>
      </c>
      <c r="X27" s="91">
        <f t="shared" si="2"/>
        <v>109</v>
      </c>
      <c r="Y27" s="91">
        <f t="shared" si="2"/>
        <v>50</v>
      </c>
      <c r="Z27" s="91">
        <f t="shared" si="2"/>
        <v>148</v>
      </c>
      <c r="AA27" s="91">
        <f t="shared" si="2"/>
        <v>82</v>
      </c>
      <c r="AB27" s="91">
        <f t="shared" si="2"/>
        <v>101</v>
      </c>
      <c r="AC27" s="91">
        <f t="shared" si="2"/>
        <v>105</v>
      </c>
      <c r="AD27" s="91">
        <f t="shared" si="2"/>
        <v>110</v>
      </c>
      <c r="AE27" s="91">
        <f t="shared" si="2"/>
        <v>121</v>
      </c>
      <c r="AF27" s="91">
        <f t="shared" si="2"/>
        <v>105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98</v>
      </c>
      <c r="E29" s="249">
        <f t="shared" ref="E29:AH29" si="4">E9</f>
        <v>60</v>
      </c>
      <c r="F29" s="249">
        <f t="shared" si="4"/>
        <v>40</v>
      </c>
      <c r="G29" s="249">
        <f t="shared" si="4"/>
        <v>81</v>
      </c>
      <c r="H29" s="249">
        <f t="shared" si="4"/>
        <v>74</v>
      </c>
      <c r="I29" s="249">
        <f t="shared" si="4"/>
        <v>69</v>
      </c>
      <c r="J29" s="249">
        <f t="shared" si="4"/>
        <v>79</v>
      </c>
      <c r="K29" s="249">
        <f t="shared" si="4"/>
        <v>92</v>
      </c>
      <c r="L29" s="249">
        <f t="shared" si="4"/>
        <v>78</v>
      </c>
      <c r="M29" s="249">
        <f t="shared" si="4"/>
        <v>58</v>
      </c>
      <c r="N29" s="249">
        <f t="shared" si="4"/>
        <v>79</v>
      </c>
      <c r="O29" s="249">
        <f t="shared" si="4"/>
        <v>48</v>
      </c>
      <c r="P29" s="249">
        <f t="shared" si="4"/>
        <v>69</v>
      </c>
      <c r="Q29" s="249">
        <f t="shared" si="4"/>
        <v>56</v>
      </c>
      <c r="R29" s="249">
        <f t="shared" si="4"/>
        <v>70</v>
      </c>
      <c r="S29" s="249">
        <f t="shared" si="4"/>
        <v>62</v>
      </c>
      <c r="T29" s="249">
        <f t="shared" si="4"/>
        <v>65</v>
      </c>
      <c r="U29" s="249">
        <f t="shared" si="4"/>
        <v>64</v>
      </c>
      <c r="V29" s="249">
        <f t="shared" si="4"/>
        <v>63</v>
      </c>
      <c r="W29" s="249">
        <f t="shared" si="4"/>
        <v>72</v>
      </c>
      <c r="X29" s="249">
        <f t="shared" si="4"/>
        <v>72</v>
      </c>
      <c r="Y29" s="249">
        <f t="shared" si="4"/>
        <v>75</v>
      </c>
      <c r="Z29" s="249">
        <f t="shared" si="4"/>
        <v>88</v>
      </c>
      <c r="AA29" s="249">
        <f t="shared" si="4"/>
        <v>103</v>
      </c>
      <c r="AB29" s="249">
        <f t="shared" si="4"/>
        <v>86</v>
      </c>
      <c r="AC29" s="249">
        <f t="shared" si="4"/>
        <v>84</v>
      </c>
      <c r="AD29" s="249">
        <f t="shared" si="4"/>
        <v>97</v>
      </c>
      <c r="AE29" s="249">
        <f t="shared" si="4"/>
        <v>89</v>
      </c>
      <c r="AF29" s="249">
        <f t="shared" si="4"/>
        <v>84</v>
      </c>
      <c r="AG29" s="249">
        <f t="shared" si="4"/>
        <v>80</v>
      </c>
      <c r="AH29" s="249">
        <f t="shared" si="4"/>
        <v>74</v>
      </c>
      <c r="AI29" s="248"/>
    </row>
    <row r="30" spans="2:35">
      <c r="B30" s="247" t="s">
        <v>84</v>
      </c>
      <c r="C30" s="248"/>
      <c r="D30" s="249">
        <f>SUM(D10:D11,D14:D15)</f>
        <v>106</v>
      </c>
      <c r="E30" s="249">
        <f t="shared" ref="E30:AH30" si="5">SUM(E10:E11,E14:E15)</f>
        <v>89</v>
      </c>
      <c r="F30" s="249">
        <f t="shared" si="5"/>
        <v>67</v>
      </c>
      <c r="G30" s="249">
        <f t="shared" si="5"/>
        <v>61</v>
      </c>
      <c r="H30" s="249">
        <f t="shared" si="5"/>
        <v>58</v>
      </c>
      <c r="I30" s="249">
        <f t="shared" si="5"/>
        <v>50</v>
      </c>
      <c r="J30" s="249">
        <f t="shared" si="5"/>
        <v>56</v>
      </c>
      <c r="K30" s="249">
        <f t="shared" si="5"/>
        <v>55</v>
      </c>
      <c r="L30" s="249">
        <f t="shared" si="5"/>
        <v>62</v>
      </c>
      <c r="M30" s="249">
        <f t="shared" si="5"/>
        <v>48</v>
      </c>
      <c r="N30" s="249">
        <f t="shared" si="5"/>
        <v>45</v>
      </c>
      <c r="O30" s="249">
        <f t="shared" si="5"/>
        <v>31</v>
      </c>
      <c r="P30" s="249">
        <f t="shared" si="5"/>
        <v>42</v>
      </c>
      <c r="Q30" s="249">
        <f t="shared" si="5"/>
        <v>43</v>
      </c>
      <c r="R30" s="249">
        <f t="shared" si="5"/>
        <v>58</v>
      </c>
      <c r="S30" s="249">
        <f t="shared" si="5"/>
        <v>60</v>
      </c>
      <c r="T30" s="249">
        <f t="shared" si="5"/>
        <v>49</v>
      </c>
      <c r="U30" s="249">
        <f t="shared" si="5"/>
        <v>49</v>
      </c>
      <c r="V30" s="249">
        <f t="shared" si="5"/>
        <v>52.100000000000364</v>
      </c>
      <c r="W30" s="249">
        <f t="shared" si="5"/>
        <v>51.899999999999636</v>
      </c>
      <c r="X30" s="249">
        <f t="shared" si="5"/>
        <v>44</v>
      </c>
      <c r="Y30" s="249">
        <f t="shared" si="5"/>
        <v>48</v>
      </c>
      <c r="Z30" s="249">
        <f t="shared" si="5"/>
        <v>85</v>
      </c>
      <c r="AA30" s="249">
        <f t="shared" si="5"/>
        <v>78</v>
      </c>
      <c r="AB30" s="249">
        <f t="shared" si="5"/>
        <v>48</v>
      </c>
      <c r="AC30" s="249">
        <f t="shared" si="5"/>
        <v>66</v>
      </c>
      <c r="AD30" s="249">
        <f t="shared" si="5"/>
        <v>67</v>
      </c>
      <c r="AE30" s="249">
        <f t="shared" si="5"/>
        <v>55</v>
      </c>
      <c r="AF30" s="249">
        <f t="shared" si="5"/>
        <v>69</v>
      </c>
      <c r="AG30" s="249">
        <f t="shared" si="5"/>
        <v>89</v>
      </c>
      <c r="AH30" s="249">
        <f t="shared" si="5"/>
        <v>52</v>
      </c>
      <c r="AI30" s="248"/>
    </row>
    <row r="31" spans="2:35">
      <c r="B31" s="247" t="s">
        <v>85</v>
      </c>
      <c r="C31" s="248"/>
      <c r="D31" s="248">
        <f>D30/SUM(D29:D30)%</f>
        <v>51.96078431372549</v>
      </c>
      <c r="E31" s="248">
        <f t="shared" ref="E31:AH31" si="6">E30/SUM(E29:E30)%</f>
        <v>59.731543624161077</v>
      </c>
      <c r="F31" s="248">
        <f t="shared" si="6"/>
        <v>62.616822429906541</v>
      </c>
      <c r="G31" s="248">
        <f t="shared" si="6"/>
        <v>42.95774647887324</v>
      </c>
      <c r="H31" s="248">
        <f t="shared" si="6"/>
        <v>43.939393939393938</v>
      </c>
      <c r="I31" s="248">
        <f t="shared" si="6"/>
        <v>42.016806722689076</v>
      </c>
      <c r="J31" s="248">
        <f t="shared" si="6"/>
        <v>41.481481481481481</v>
      </c>
      <c r="K31" s="248">
        <f t="shared" si="6"/>
        <v>37.414965986394556</v>
      </c>
      <c r="L31" s="248">
        <f t="shared" si="6"/>
        <v>44.285714285714292</v>
      </c>
      <c r="M31" s="248">
        <f t="shared" si="6"/>
        <v>45.283018867924525</v>
      </c>
      <c r="N31" s="248">
        <f t="shared" si="6"/>
        <v>36.29032258064516</v>
      </c>
      <c r="O31" s="248">
        <f t="shared" si="6"/>
        <v>39.24050632911392</v>
      </c>
      <c r="P31" s="248">
        <f t="shared" si="6"/>
        <v>37.837837837837832</v>
      </c>
      <c r="Q31" s="248">
        <f t="shared" si="6"/>
        <v>43.434343434343432</v>
      </c>
      <c r="R31" s="248">
        <f t="shared" si="6"/>
        <v>45.3125</v>
      </c>
      <c r="S31" s="248">
        <f t="shared" si="6"/>
        <v>49.180327868852459</v>
      </c>
      <c r="T31" s="248">
        <f t="shared" si="6"/>
        <v>42.982456140350884</v>
      </c>
      <c r="U31" s="248">
        <f t="shared" si="6"/>
        <v>43.362831858407084</v>
      </c>
      <c r="V31" s="248">
        <f t="shared" si="6"/>
        <v>45.264986967854213</v>
      </c>
      <c r="W31" s="248">
        <f t="shared" si="6"/>
        <v>41.888619854721384</v>
      </c>
      <c r="X31" s="248">
        <f t="shared" si="6"/>
        <v>37.931034482758626</v>
      </c>
      <c r="Y31" s="248">
        <f t="shared" si="6"/>
        <v>39.024390243902438</v>
      </c>
      <c r="Z31" s="248">
        <f t="shared" si="6"/>
        <v>49.132947976878611</v>
      </c>
      <c r="AA31" s="248">
        <f t="shared" si="6"/>
        <v>43.093922651933703</v>
      </c>
      <c r="AB31" s="248">
        <f t="shared" si="6"/>
        <v>35.820895522388057</v>
      </c>
      <c r="AC31" s="248">
        <f t="shared" si="6"/>
        <v>44</v>
      </c>
      <c r="AD31" s="248">
        <f t="shared" si="6"/>
        <v>40.853658536585371</v>
      </c>
      <c r="AE31" s="248">
        <f t="shared" si="6"/>
        <v>38.194444444444443</v>
      </c>
      <c r="AF31" s="248">
        <f t="shared" si="6"/>
        <v>45.098039215686271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5" sqref="C5:C34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35" t="s">
        <v>308</v>
      </c>
      <c r="G2" s="736"/>
      <c r="H2" s="736"/>
      <c r="I2" s="736"/>
      <c r="J2" s="736"/>
      <c r="K2" s="736"/>
      <c r="L2" s="736"/>
      <c r="M2" s="737"/>
      <c r="N2" s="734" t="s">
        <v>86</v>
      </c>
      <c r="O2" s="734"/>
      <c r="P2" s="734"/>
      <c r="Q2" s="734"/>
      <c r="R2" s="734"/>
      <c r="S2" s="734"/>
      <c r="T2" s="734"/>
      <c r="U2" s="734"/>
      <c r="V2" s="734"/>
      <c r="W2" s="734"/>
      <c r="X2" s="734"/>
      <c r="Y2" s="734"/>
      <c r="Z2" s="734"/>
      <c r="AA2" s="734"/>
      <c r="AB2" s="734"/>
      <c r="AC2" s="734"/>
      <c r="AD2" s="734"/>
      <c r="AE2" s="734"/>
      <c r="AF2" s="734"/>
      <c r="AG2" s="734"/>
      <c r="AH2" s="734"/>
      <c r="AI2" s="734"/>
      <c r="AJ2" s="734"/>
      <c r="AK2" s="734"/>
      <c r="AL2" s="734"/>
      <c r="AM2" s="734"/>
      <c r="AN2" s="733"/>
      <c r="AO2" s="733"/>
      <c r="AP2" s="733"/>
      <c r="AQ2" s="733"/>
      <c r="AR2" s="733"/>
      <c r="AS2" s="733"/>
      <c r="AT2" s="733"/>
      <c r="AU2" s="638"/>
      <c r="AV2" s="732" t="s">
        <v>87</v>
      </c>
      <c r="AW2" s="732"/>
      <c r="AX2" s="732"/>
      <c r="AY2" s="732"/>
      <c r="BB2" s="318" t="s">
        <v>334</v>
      </c>
      <c r="BC2" s="318" t="s">
        <v>335</v>
      </c>
    </row>
    <row r="3" spans="1:55">
      <c r="F3" s="640"/>
      <c r="G3" s="641"/>
      <c r="H3" s="641"/>
      <c r="I3" s="641"/>
      <c r="J3" s="641"/>
      <c r="K3" s="641"/>
      <c r="L3" s="641"/>
      <c r="M3" s="642"/>
      <c r="N3" s="639"/>
      <c r="O3" s="639"/>
      <c r="P3" s="639"/>
      <c r="Q3" s="639"/>
      <c r="R3" s="639"/>
      <c r="S3" s="639"/>
      <c r="T3" s="639"/>
      <c r="U3" s="639"/>
      <c r="V3" s="639"/>
      <c r="W3" s="639"/>
      <c r="X3" s="639"/>
      <c r="Y3" s="639"/>
      <c r="Z3" s="639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39"/>
      <c r="AN3" s="738" t="s">
        <v>138</v>
      </c>
      <c r="AO3" s="738"/>
      <c r="AP3" s="738"/>
      <c r="AQ3" s="738"/>
      <c r="AR3" s="738"/>
      <c r="AS3" s="738"/>
      <c r="AT3" s="738"/>
      <c r="AU3" s="739" t="s">
        <v>283</v>
      </c>
      <c r="AV3" s="739"/>
      <c r="AW3" s="739"/>
      <c r="AX3" s="739"/>
      <c r="AY3" s="739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43" t="s">
        <v>284</v>
      </c>
      <c r="G4" s="644" t="s">
        <v>285</v>
      </c>
      <c r="H4" s="644" t="s">
        <v>286</v>
      </c>
      <c r="I4" s="644" t="s">
        <v>287</v>
      </c>
      <c r="J4" s="644" t="s">
        <v>282</v>
      </c>
      <c r="K4" s="644" t="s">
        <v>51</v>
      </c>
      <c r="L4" s="645" t="s">
        <v>60</v>
      </c>
      <c r="M4" s="645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646">
        <f>'1'!G7</f>
        <v>20006.53</v>
      </c>
      <c r="C5" s="646">
        <f>'1'!G8</f>
        <v>20449</v>
      </c>
      <c r="D5" s="646">
        <f>'1'!G15</f>
        <v>1070.0859999998938</v>
      </c>
      <c r="E5" s="646">
        <f>'1'!G20</f>
        <v>54</v>
      </c>
      <c r="F5" s="646">
        <f>SUM('1'!G35,'1'!G49)</f>
        <v>3670.9500000000116</v>
      </c>
      <c r="G5" s="646">
        <f>SUM('1'!H37,'1'!H51)</f>
        <v>1573.5100000000093</v>
      </c>
      <c r="H5" s="646">
        <f>SUM('1'!G38,'1'!G52)</f>
        <v>1665.429999999993</v>
      </c>
      <c r="I5" s="646">
        <f>SUM('1'!G39,'1'!G53)</f>
        <v>2724.390000000014</v>
      </c>
      <c r="J5" s="646">
        <f>SUM('1'!G41,'1'!G42,'1'!G55,'1'!G56)</f>
        <v>2431.4200000000055</v>
      </c>
      <c r="K5" s="646">
        <f>SUM('1'!G43,'1'!G57)</f>
        <v>2561.2300000000032</v>
      </c>
      <c r="L5" s="254">
        <f>'1'!G50</f>
        <v>1236.0200000000004</v>
      </c>
      <c r="M5" s="254">
        <f>'1'!G36</f>
        <v>885.33000000000175</v>
      </c>
      <c r="N5" s="254">
        <f>'1'!G138</f>
        <v>49</v>
      </c>
      <c r="O5" s="254">
        <f>'1'!G139</f>
        <v>1</v>
      </c>
      <c r="P5" s="254">
        <f>'1'!G140</f>
        <v>0</v>
      </c>
      <c r="Q5" s="254">
        <f>'1'!G141</f>
        <v>193.59999999999854</v>
      </c>
      <c r="R5" s="254">
        <f>'1'!G142</f>
        <v>73</v>
      </c>
      <c r="S5" s="254">
        <f>'1'!$G$145</f>
        <v>15.25</v>
      </c>
      <c r="T5" s="254">
        <f>'1'!$G$146</f>
        <v>474</v>
      </c>
      <c r="U5" s="254">
        <f>'1'!$G$144</f>
        <v>229</v>
      </c>
      <c r="V5" s="254">
        <f>'1'!$G$147</f>
        <v>437.31999999994878</v>
      </c>
      <c r="W5" s="254">
        <f>'1'!$G$148</f>
        <v>375.11999999999534</v>
      </c>
      <c r="X5" s="254">
        <f>'1'!$G$143</f>
        <v>27.239999999999782</v>
      </c>
      <c r="Y5" s="254">
        <f>'1'!$G$58</f>
        <v>225.94000000000233</v>
      </c>
      <c r="Z5" s="254">
        <f>'1'!$G$151</f>
        <v>293</v>
      </c>
      <c r="AA5" s="254">
        <f>'1'!G161</f>
        <v>0</v>
      </c>
      <c r="AB5" s="254">
        <f>'1'!G162</f>
        <v>22</v>
      </c>
      <c r="AC5" s="254"/>
      <c r="AD5" s="254">
        <f>'1'!G163+'1'!G164</f>
        <v>34</v>
      </c>
      <c r="AE5" s="254">
        <f>'1'!$G$116</f>
        <v>0</v>
      </c>
      <c r="AF5" s="254">
        <f>'1'!$G$117</f>
        <v>21.400000000000091</v>
      </c>
      <c r="AG5" s="254">
        <f>'1'!$G$118</f>
        <v>362.5</v>
      </c>
      <c r="AH5" s="254">
        <f>'1'!$G$119</f>
        <v>431.91000000000349</v>
      </c>
      <c r="AI5" s="254">
        <f>'1'!$G$120</f>
        <v>433.7400000000016</v>
      </c>
      <c r="AJ5" s="254">
        <f>'1'!$G$121</f>
        <v>784.71000000002095</v>
      </c>
      <c r="AK5" s="254">
        <f>'1'!$G$122</f>
        <v>213.74000000000524</v>
      </c>
      <c r="AL5" s="254">
        <f>'1'!$G$123</f>
        <v>346.69000000000233</v>
      </c>
      <c r="AM5" s="254">
        <f>'1'!$G$133</f>
        <v>833.86000000000058</v>
      </c>
      <c r="AN5" s="254">
        <f>'1'!$G$15</f>
        <v>1070.0859999998938</v>
      </c>
      <c r="AO5" s="254">
        <f>'1'!$G$74</f>
        <v>267.77000000001863</v>
      </c>
      <c r="AP5" s="254">
        <f>'1'!$G$75</f>
        <v>0</v>
      </c>
      <c r="AQ5" s="254">
        <f>'1'!$G$76</f>
        <v>102.91000000000349</v>
      </c>
      <c r="AR5" s="254">
        <f>'1'!$G$77</f>
        <v>27.400000000001455</v>
      </c>
      <c r="AS5" s="254">
        <f>'1'!$G$78</f>
        <v>1.8999999999996362</v>
      </c>
      <c r="AT5" s="254">
        <f>AN5-SUM(AO5:AS5)</f>
        <v>670.10599999987062</v>
      </c>
      <c r="AU5" s="254">
        <f>SUM('1'!G91:G92)</f>
        <v>9.6599999999998545</v>
      </c>
      <c r="AV5" s="254">
        <f>'1'!$G$88</f>
        <v>6.3800000000010186</v>
      </c>
      <c r="AW5" s="254">
        <f>'1'!$G$89</f>
        <v>4.0900000000001455</v>
      </c>
      <c r="AX5" s="254">
        <f>'1'!$G$90</f>
        <v>5.6100000000005821</v>
      </c>
      <c r="AY5" s="252">
        <f>SUM(AV5:AX5)</f>
        <v>16.080000000001746</v>
      </c>
      <c r="AZ5" s="311">
        <f>AO5/AU5</f>
        <v>27.719461697724913</v>
      </c>
      <c r="BA5" s="311">
        <f>AT5/AY5</f>
        <v>41.673258706455087</v>
      </c>
      <c r="BB5" s="351">
        <f>C5-SUM(F5:K5,Y5)</f>
        <v>5596.129999999961</v>
      </c>
      <c r="BC5" s="351">
        <f>BB5/B5%</f>
        <v>27.971517299601487</v>
      </c>
    </row>
    <row r="6" spans="1:55">
      <c r="A6" s="359">
        <v>2</v>
      </c>
      <c r="B6" s="646">
        <f>'2'!G7</f>
        <v>19489.369999999995</v>
      </c>
      <c r="C6" s="646">
        <f>'2'!G8</f>
        <v>19893</v>
      </c>
      <c r="D6" s="646">
        <f>'2'!G15</f>
        <v>808.52700000000186</v>
      </c>
      <c r="E6" s="646">
        <f>'2'!G20</f>
        <v>56</v>
      </c>
      <c r="F6" s="646">
        <f>SUM('2'!G35,'2'!G49)</f>
        <v>3641.6900000000023</v>
      </c>
      <c r="G6" s="646">
        <f>SUM('2'!G37,'2'!G51)</f>
        <v>1509.2399999999907</v>
      </c>
      <c r="H6" s="646">
        <f>SUM('2'!G38,'2'!G52)</f>
        <v>1563.0599999999977</v>
      </c>
      <c r="I6" s="646">
        <f>SUM('2'!G39,'2'!G53)</f>
        <v>2721.7999999999884</v>
      </c>
      <c r="J6" s="646">
        <f>SUM('2'!G41,'2'!G42,'2'!G55,'2'!G56)</f>
        <v>3100</v>
      </c>
      <c r="K6" s="646">
        <f>SUM('2'!G43,'2'!G57)</f>
        <v>2437.1699999999983</v>
      </c>
      <c r="L6" s="254">
        <f>'2'!G50</f>
        <v>1150.7200000000012</v>
      </c>
      <c r="M6" s="254">
        <f>'2'!G36</f>
        <v>756.53999999999724</v>
      </c>
      <c r="N6" s="254">
        <f>'2'!G138</f>
        <v>103</v>
      </c>
      <c r="O6" s="254">
        <f>'2'!$G$139</f>
        <v>0</v>
      </c>
      <c r="P6" s="254">
        <f>'2'!$G$140</f>
        <v>13.899999999994179</v>
      </c>
      <c r="Q6" s="254">
        <f>'2'!$G$141</f>
        <v>171.09999999999854</v>
      </c>
      <c r="R6" s="254">
        <f>'2'!$G$142</f>
        <v>72.119999999998981</v>
      </c>
      <c r="S6" s="254">
        <f>'2'!$G$145</f>
        <v>16.75</v>
      </c>
      <c r="T6" s="254">
        <f>'2'!$G$146</f>
        <v>508</v>
      </c>
      <c r="U6" s="254">
        <f>'2'!$G$144</f>
        <v>224</v>
      </c>
      <c r="V6" s="254">
        <f>'2'!$G$147</f>
        <v>448.68000000005122</v>
      </c>
      <c r="W6" s="251">
        <f>'2'!$G$148</f>
        <v>258.23999999999069</v>
      </c>
      <c r="X6" s="251">
        <f>'2'!$G$143</f>
        <v>25.0600000000004</v>
      </c>
      <c r="Y6" s="251">
        <f>'2'!$G$58</f>
        <v>92.020000000004075</v>
      </c>
      <c r="Z6" s="251">
        <f>'2'!$G$151</f>
        <v>264</v>
      </c>
      <c r="AA6" s="251">
        <f>'2'!G161</f>
        <v>-0.15999999997438863</v>
      </c>
      <c r="AB6" s="254">
        <f>'2'!G162</f>
        <v>14</v>
      </c>
      <c r="AC6" s="254"/>
      <c r="AD6" s="254">
        <f>'2'!G163+'2'!G164</f>
        <v>36.399999999999636</v>
      </c>
      <c r="AE6" s="254">
        <f>'2'!$G$116</f>
        <v>0</v>
      </c>
      <c r="AF6" s="254">
        <f>'2'!$G$117</f>
        <v>20.809999999999945</v>
      </c>
      <c r="AG6" s="254">
        <f>'2'!$G$118</f>
        <v>364.48999999999069</v>
      </c>
      <c r="AH6" s="254">
        <f>'2'!$G$119</f>
        <v>423.11999999999534</v>
      </c>
      <c r="AI6" s="254">
        <f>'2'!$G$120</f>
        <v>421.32999999999811</v>
      </c>
      <c r="AJ6" s="254">
        <f>'2'!$G$121</f>
        <v>753.75999999995111</v>
      </c>
      <c r="AK6" s="254">
        <f>'2'!$G$122</f>
        <v>213.86000000000058</v>
      </c>
      <c r="AL6" s="254">
        <f>'2'!$G$123</f>
        <v>347.07999999998719</v>
      </c>
      <c r="AM6" s="254">
        <f>'2'!$G$133</f>
        <v>832.02000000000407</v>
      </c>
      <c r="AN6" s="254">
        <f>'2'!$G$15</f>
        <v>808.52700000000186</v>
      </c>
      <c r="AO6" s="254">
        <f>'2'!$G$74</f>
        <v>258.03000000002794</v>
      </c>
      <c r="AP6" s="254">
        <f>'2'!$G$75</f>
        <v>0</v>
      </c>
      <c r="AQ6" s="254">
        <f>'2'!$G$76</f>
        <v>98.589999999996508</v>
      </c>
      <c r="AR6" s="254">
        <f>'2'!$G$77</f>
        <v>40</v>
      </c>
      <c r="AS6" s="254">
        <f>'2'!$G$78</f>
        <v>0.6000000000003638</v>
      </c>
      <c r="AT6" s="254">
        <f t="shared" ref="AT6:AT34" si="0">AN6-SUM(AO6:AS6)</f>
        <v>411.30699999997705</v>
      </c>
      <c r="AU6" s="254">
        <f>SUM('2'!G91:G92)</f>
        <v>9.0100000000002183</v>
      </c>
      <c r="AV6" s="254">
        <f>'2'!$G$88</f>
        <v>2.6899999999986903</v>
      </c>
      <c r="AW6" s="254">
        <f>'2'!$G$89</f>
        <v>0.47000000000116415</v>
      </c>
      <c r="AX6" s="254">
        <f>'2'!$G$90</f>
        <v>9.1499999999941792</v>
      </c>
      <c r="AY6" s="252">
        <f t="shared" ref="AY6:AY34" si="1">SUM(AV6:AX6)</f>
        <v>12.309999999994034</v>
      </c>
      <c r="AZ6" s="311">
        <f t="shared" ref="AZ6:AZ8" si="2">AO6/AU6</f>
        <v>28.638179800224382</v>
      </c>
      <c r="BA6" s="311">
        <f t="shared" ref="BA6:BA35" si="3">AT6/AY6</f>
        <v>33.41242891959191</v>
      </c>
      <c r="BB6" s="351">
        <f t="shared" ref="BB6:BB35" si="4">C6-SUM(F6:K6,Y6)</f>
        <v>4828.0200000000186</v>
      </c>
      <c r="BC6" s="351">
        <f t="shared" ref="BC6:BC35" si="5">BB6/B6%</f>
        <v>24.772581155778866</v>
      </c>
    </row>
    <row r="7" spans="1:55" s="313" customFormat="1">
      <c r="A7" s="359">
        <v>3</v>
      </c>
      <c r="B7" s="646">
        <f>'3'!G7</f>
        <v>19192.100000000006</v>
      </c>
      <c r="C7" s="646">
        <f>'3'!G8</f>
        <v>19529</v>
      </c>
      <c r="D7" s="646">
        <f>'3'!G15</f>
        <v>524.78700000001118</v>
      </c>
      <c r="E7" s="646">
        <f>'3'!G20</f>
        <v>356</v>
      </c>
      <c r="F7" s="646">
        <f>SUM('3'!G35,'3'!G49)</f>
        <v>3773.3099999999977</v>
      </c>
      <c r="G7" s="646">
        <f>SUM('3'!G37,'3'!G51)</f>
        <v>1514.2000000000116</v>
      </c>
      <c r="H7" s="646">
        <f>SUM('3'!G38,'3'!G52)</f>
        <v>1476.640000000014</v>
      </c>
      <c r="I7" s="646">
        <f>SUM('3'!G39,'3'!G53)</f>
        <v>2758.7999999999884</v>
      </c>
      <c r="J7" s="646">
        <f>SUM('3'!G41,'3'!G42,'3'!G55,'3'!G56)</f>
        <v>3094.6399999999994</v>
      </c>
      <c r="K7" s="646">
        <f>SUM('3'!G43,'3'!G57)</f>
        <v>2419.6699999999983</v>
      </c>
      <c r="L7" s="251">
        <f>'3'!G50</f>
        <v>965.46999999999753</v>
      </c>
      <c r="M7" s="251">
        <f>'3'!G36</f>
        <v>783.35000000000218</v>
      </c>
      <c r="N7" s="251">
        <f>'3'!G138</f>
        <v>84</v>
      </c>
      <c r="O7" s="251">
        <f>'3'!$G$139</f>
        <v>0</v>
      </c>
      <c r="P7" s="251">
        <f>'3'!$G$140</f>
        <v>0</v>
      </c>
      <c r="Q7" s="251">
        <f>'3'!$G$141</f>
        <v>184.10000000000582</v>
      </c>
      <c r="R7" s="251">
        <f>'3'!$G$142</f>
        <v>69.680000000000291</v>
      </c>
      <c r="S7" s="251">
        <f>'3'!$G$145</f>
        <v>16.960000000000036</v>
      </c>
      <c r="T7" s="251">
        <f>'3'!$G$146</f>
        <v>426</v>
      </c>
      <c r="U7" s="251">
        <f>'3'!$G$144</f>
        <v>221</v>
      </c>
      <c r="V7" s="251">
        <f>'3'!$G$147</f>
        <v>395.80000000004657</v>
      </c>
      <c r="W7" s="251">
        <f>'3'!$G$148</f>
        <v>249.04000000003725</v>
      </c>
      <c r="X7" s="251">
        <f>'3'!$G$143</f>
        <v>8.3899999999998727</v>
      </c>
      <c r="Y7" s="251">
        <f>'3'!$G$58</f>
        <v>22.669999999998254</v>
      </c>
      <c r="Z7" s="251">
        <f>'3'!$G$151</f>
        <v>215</v>
      </c>
      <c r="AA7" s="254">
        <f>'3'!G161</f>
        <v>0.55999999999767169</v>
      </c>
      <c r="AB7" s="254">
        <f>'3'!G162</f>
        <v>29.600000000005821</v>
      </c>
      <c r="AC7" s="254"/>
      <c r="AD7" s="254">
        <f>'3'!G163+'3'!G164</f>
        <v>55</v>
      </c>
      <c r="AE7" s="251">
        <f>'3'!$G$116</f>
        <v>0</v>
      </c>
      <c r="AF7" s="251">
        <f>'3'!$G$117</f>
        <v>20.75</v>
      </c>
      <c r="AG7" s="251">
        <f>'3'!$G$118</f>
        <v>392.5</v>
      </c>
      <c r="AH7" s="251">
        <f>'3'!$G$119</f>
        <v>449.51999999998952</v>
      </c>
      <c r="AI7" s="251">
        <f>'3'!$G$120</f>
        <v>429.38000000000102</v>
      </c>
      <c r="AJ7" s="251">
        <f>'3'!$G$121</f>
        <v>774.68000000005122</v>
      </c>
      <c r="AK7" s="251">
        <f>'3'!$G$122</f>
        <v>238.93999999998778</v>
      </c>
      <c r="AL7" s="251">
        <f>'3'!$G$123</f>
        <v>338.12000000002445</v>
      </c>
      <c r="AM7" s="251">
        <f>'3'!$G$133</f>
        <v>837.55999999999767</v>
      </c>
      <c r="AN7" s="251">
        <f>'3'!$G$15</f>
        <v>524.78700000001118</v>
      </c>
      <c r="AO7" s="251">
        <f>'3'!$G$74</f>
        <v>240.55999999993946</v>
      </c>
      <c r="AP7" s="251">
        <f>'3'!$G$75</f>
        <v>0</v>
      </c>
      <c r="AQ7" s="251">
        <f>'3'!$G$76</f>
        <v>90.5</v>
      </c>
      <c r="AR7" s="251">
        <f>'3'!$G$77</f>
        <v>34.69999999999709</v>
      </c>
      <c r="AS7" s="251">
        <f>'3'!$G$78</f>
        <v>0.7999999999992724</v>
      </c>
      <c r="AT7" s="251">
        <f t="shared" si="0"/>
        <v>158.22700000007535</v>
      </c>
      <c r="AU7" s="254">
        <f>SUM('3'!G91:G92)</f>
        <v>8.5399999999999636</v>
      </c>
      <c r="AV7" s="251">
        <f>'3'!$G$88</f>
        <v>0</v>
      </c>
      <c r="AW7" s="251">
        <f>'3'!$G$89</f>
        <v>0</v>
      </c>
      <c r="AX7" s="251">
        <f>'3'!$G$90</f>
        <v>3.2400000000052387</v>
      </c>
      <c r="AY7" s="255">
        <f t="shared" si="1"/>
        <v>3.2400000000052387</v>
      </c>
      <c r="AZ7" s="311">
        <f t="shared" si="2"/>
        <v>28.168618266971954</v>
      </c>
      <c r="BA7" s="311">
        <f t="shared" si="3"/>
        <v>48.835493827104791</v>
      </c>
      <c r="BB7" s="351">
        <f t="shared" si="4"/>
        <v>4469.0699999999924</v>
      </c>
      <c r="BC7" s="351">
        <f t="shared" si="5"/>
        <v>23.285987463591745</v>
      </c>
    </row>
    <row r="8" spans="1:55">
      <c r="A8" s="359">
        <v>4</v>
      </c>
      <c r="B8" s="646">
        <f>'4'!G7</f>
        <v>19783.089999999997</v>
      </c>
      <c r="C8" s="646">
        <f>'4'!G8</f>
        <v>20218.950000000012</v>
      </c>
      <c r="D8" s="646">
        <f>'4'!G15</f>
        <v>1035.25</v>
      </c>
      <c r="E8" s="646">
        <f>'4'!G20</f>
        <v>219</v>
      </c>
      <c r="F8" s="646">
        <f>SUM('4'!G35,'4'!G49)</f>
        <v>3322.8600000000151</v>
      </c>
      <c r="G8" s="646">
        <f>SUM('4'!G37,'4'!G51)</f>
        <v>1526.8799999999756</v>
      </c>
      <c r="H8" s="646">
        <f>SUM('4'!G38,'4'!G52)</f>
        <v>1752.359999999986</v>
      </c>
      <c r="I8" s="646">
        <f>SUM('4'!G39,'4'!G53)</f>
        <v>2740.5200000000186</v>
      </c>
      <c r="J8" s="646">
        <f>SUM('4'!G41,'4'!G42,'4'!G55,'4'!G56)</f>
        <v>3146.7900000000009</v>
      </c>
      <c r="K8" s="646">
        <f>SUM('4'!G43,'4'!G57)</f>
        <v>2444.6500000000015</v>
      </c>
      <c r="L8" s="254">
        <f>'4'!G50</f>
        <v>1036.4099999999999</v>
      </c>
      <c r="M8" s="254">
        <f>'4'!G36</f>
        <v>727.02999999999884</v>
      </c>
      <c r="N8" s="254">
        <f>'4'!G138</f>
        <v>70</v>
      </c>
      <c r="O8" s="254">
        <f>'4'!$G$139</f>
        <v>0</v>
      </c>
      <c r="P8" s="254">
        <f>'4'!$G$140</f>
        <v>2.4000000000087311</v>
      </c>
      <c r="Q8" s="254">
        <f>'4'!$G$141</f>
        <v>180.23999999999796</v>
      </c>
      <c r="R8" s="254">
        <f>'4'!$G$142</f>
        <v>67.950000000000728</v>
      </c>
      <c r="S8" s="254">
        <f>'4'!$G$145</f>
        <v>17.269999999999527</v>
      </c>
      <c r="T8" s="254">
        <f>'4'!$G$146</f>
        <v>462</v>
      </c>
      <c r="U8" s="254">
        <f>'4'!$G$144</f>
        <v>225</v>
      </c>
      <c r="V8" s="251">
        <f>'4'!$G$147</f>
        <v>396.03999999992084</v>
      </c>
      <c r="W8" s="251">
        <f>'4'!$G$148</f>
        <v>255.28000000002794</v>
      </c>
      <c r="X8" s="254">
        <f>'4'!$G$143</f>
        <v>30.670000000000073</v>
      </c>
      <c r="Y8" s="254">
        <f>'4'!$G$58</f>
        <v>173.66</v>
      </c>
      <c r="Z8" s="254">
        <f>'4'!$G$151</f>
        <v>268</v>
      </c>
      <c r="AA8" s="254">
        <f>'4'!G161</f>
        <v>0</v>
      </c>
      <c r="AB8" s="254">
        <f>'4'!G162</f>
        <v>25.599999999991269</v>
      </c>
      <c r="AC8" s="254"/>
      <c r="AD8" s="254">
        <f>'4'!G163+'4'!G164</f>
        <v>50.000000000006366</v>
      </c>
      <c r="AE8" s="254">
        <f>'4'!$G$116</f>
        <v>0</v>
      </c>
      <c r="AF8" s="254">
        <f>'4'!$G$117</f>
        <v>31.4699999999998</v>
      </c>
      <c r="AG8" s="254">
        <f>'4'!$G$118</f>
        <v>384.05999999999767</v>
      </c>
      <c r="AH8" s="254">
        <f>'4'!$G$119</f>
        <v>438.76000000000931</v>
      </c>
      <c r="AI8" s="254">
        <f>'4'!$G$120</f>
        <v>413</v>
      </c>
      <c r="AJ8" s="254">
        <f>'4'!$G$121</f>
        <v>784.44000000000233</v>
      </c>
      <c r="AK8" s="254">
        <f>'4'!$G$122</f>
        <v>245.56000000001222</v>
      </c>
      <c r="AL8" s="254">
        <f>'4'!$G$123</f>
        <v>321.77999999999884</v>
      </c>
      <c r="AM8" s="254">
        <f>'4'!$G$133</f>
        <v>840.17999999999302</v>
      </c>
      <c r="AN8" s="254">
        <f>'4'!$G$15</f>
        <v>1035.25</v>
      </c>
      <c r="AO8" s="254">
        <f>'4'!$G$74</f>
        <v>317.86999999999534</v>
      </c>
      <c r="AP8" s="254">
        <f>'4'!$G$75</f>
        <v>0</v>
      </c>
      <c r="AQ8" s="254">
        <f>'4'!$G$76</f>
        <v>94.320000000006985</v>
      </c>
      <c r="AR8" s="254">
        <f>'4'!$G$77</f>
        <v>22.900000000001455</v>
      </c>
      <c r="AS8" s="254">
        <f>'4'!$G$78</f>
        <v>0.7000000000007276</v>
      </c>
      <c r="AT8" s="254">
        <f t="shared" si="0"/>
        <v>599.45999999999549</v>
      </c>
      <c r="AU8" s="254">
        <f>SUM('4'!G91:G92)</f>
        <v>11.090000000000146</v>
      </c>
      <c r="AV8" s="254">
        <f>'4'!$G$88</f>
        <v>1.9900000000016007</v>
      </c>
      <c r="AW8" s="254">
        <f>'4'!$G$89</f>
        <v>8.7199999999975262</v>
      </c>
      <c r="AX8" s="254">
        <f>'4'!$G$90</f>
        <v>4.1399999999994179</v>
      </c>
      <c r="AY8" s="252">
        <f t="shared" si="1"/>
        <v>14.849999999998545</v>
      </c>
      <c r="AZ8" s="311">
        <f t="shared" si="2"/>
        <v>28.662759242560071</v>
      </c>
      <c r="BA8" s="311">
        <f t="shared" si="3"/>
        <v>40.367676767680422</v>
      </c>
      <c r="BB8" s="351">
        <f t="shared" si="4"/>
        <v>5111.2300000000141</v>
      </c>
      <c r="BC8" s="351">
        <f t="shared" si="5"/>
        <v>25.836358223108803</v>
      </c>
    </row>
    <row r="9" spans="1:55">
      <c r="A9" s="359">
        <v>5</v>
      </c>
      <c r="B9" s="646">
        <f>'5'!G7</f>
        <v>19899.910000000003</v>
      </c>
      <c r="C9" s="646">
        <f>'5'!G8</f>
        <v>20335.049999999988</v>
      </c>
      <c r="D9" s="646">
        <f>'5'!G15</f>
        <v>1002.0500000000466</v>
      </c>
      <c r="E9" s="646">
        <f>'5'!G20</f>
        <v>171</v>
      </c>
      <c r="F9" s="646">
        <f>SUM('5'!G35,'5'!G49)</f>
        <v>3487.7099999999919</v>
      </c>
      <c r="G9" s="646">
        <f>SUM('5'!G37,'5'!G51)</f>
        <v>1513.0600000000268</v>
      </c>
      <c r="H9" s="646">
        <f>SUM('5'!G38,'5'!G52)</f>
        <v>1672.4000000000233</v>
      </c>
      <c r="I9" s="646">
        <f>SUM('5'!G39,'5'!G53)</f>
        <v>2669.0800000000163</v>
      </c>
      <c r="J9" s="646">
        <f>SUM('5'!G41,'5'!G42,'5'!G55,'5'!G56)</f>
        <v>3314.6699999999983</v>
      </c>
      <c r="K9" s="646">
        <f>SUM('5'!G43,'5'!G57)</f>
        <v>2407.4700000000012</v>
      </c>
      <c r="L9" s="254">
        <f>'5'!G50</f>
        <v>989.63999999999942</v>
      </c>
      <c r="M9" s="254">
        <f>'5'!G36</f>
        <v>802.54000000000087</v>
      </c>
      <c r="N9" s="254">
        <f>'5'!G138</f>
        <v>59</v>
      </c>
      <c r="O9" s="254">
        <f>'5'!$G$139</f>
        <v>0</v>
      </c>
      <c r="P9" s="254">
        <f>'5'!$G$140</f>
        <v>0</v>
      </c>
      <c r="Q9" s="258">
        <f>'5'!$G$141</f>
        <v>171.05999999999767</v>
      </c>
      <c r="R9" s="254">
        <f>'5'!$G$142</f>
        <v>77</v>
      </c>
      <c r="S9" s="251">
        <f>'5'!$G$145</f>
        <v>16.770000000000437</v>
      </c>
      <c r="T9" s="254">
        <f>'5'!$G$146</f>
        <v>450</v>
      </c>
      <c r="U9" s="254">
        <f>'5'!$G$144</f>
        <v>225</v>
      </c>
      <c r="V9" s="256">
        <f>'5'!$G$147</f>
        <v>381.1600000000326</v>
      </c>
      <c r="W9" s="254">
        <f>'5'!$G$148</f>
        <v>231.19999999995343</v>
      </c>
      <c r="X9" s="254">
        <f>'5'!$G$143</f>
        <v>20.339999999999691</v>
      </c>
      <c r="Y9" s="254">
        <f>'5'!$G$58</f>
        <v>76.81</v>
      </c>
      <c r="Z9" s="254">
        <f>'5'!$G$151</f>
        <v>246</v>
      </c>
      <c r="AA9" s="254">
        <f>'5'!G161</f>
        <v>0</v>
      </c>
      <c r="AB9" s="254">
        <f>'5'!G162</f>
        <v>25.80000000000291</v>
      </c>
      <c r="AC9" s="254"/>
      <c r="AD9" s="254">
        <f>'5'!G163+'5'!G164</f>
        <v>54.399999999991451</v>
      </c>
      <c r="AE9" s="254">
        <f>'5'!$G$116</f>
        <v>0</v>
      </c>
      <c r="AF9" s="254">
        <f>'5'!$G$117</f>
        <v>34.360000000000127</v>
      </c>
      <c r="AG9" s="254">
        <f>'5'!$G$118</f>
        <v>378.98000000001048</v>
      </c>
      <c r="AH9" s="254">
        <f>'5'!$G$119</f>
        <v>421.61999999999534</v>
      </c>
      <c r="AI9" s="254">
        <f>'5'!$G$120</f>
        <v>411.54999999999927</v>
      </c>
      <c r="AJ9" s="254">
        <f>'5'!$G$121</f>
        <v>726.40999999997439</v>
      </c>
      <c r="AK9" s="254">
        <f>'5'!$G$122</f>
        <v>241.27999999999884</v>
      </c>
      <c r="AL9" s="254">
        <f>'5'!$G$123</f>
        <v>314.07999999998719</v>
      </c>
      <c r="AM9" s="254">
        <f>'5'!$G$133</f>
        <v>846.25</v>
      </c>
      <c r="AN9" s="254">
        <f>'5'!$G$15</f>
        <v>1002.0500000000466</v>
      </c>
      <c r="AO9" s="256">
        <f>'5'!$G$74</f>
        <v>282.26000000000931</v>
      </c>
      <c r="AP9" s="256">
        <f>'5'!$G$75</f>
        <v>0</v>
      </c>
      <c r="AQ9" s="256">
        <f>'5'!$G$76</f>
        <v>95.679999999993015</v>
      </c>
      <c r="AR9" s="256">
        <f>'5'!$G$77</f>
        <v>52.30000000000291</v>
      </c>
      <c r="AS9" s="256">
        <f>'5'!$G$78</f>
        <v>1</v>
      </c>
      <c r="AT9" s="256">
        <f t="shared" si="0"/>
        <v>570.81000000004133</v>
      </c>
      <c r="AU9" s="254">
        <f>SUM('5'!G91:G92)</f>
        <v>9.8599999999996726</v>
      </c>
      <c r="AV9" s="254">
        <f>'5'!$G$88</f>
        <v>0</v>
      </c>
      <c r="AW9" s="254">
        <f>'5'!$G$89</f>
        <v>9.6200000000026193</v>
      </c>
      <c r="AX9" s="254">
        <f>'5'!$G$90</f>
        <v>4.0399999999935972</v>
      </c>
      <c r="AY9" s="252">
        <f t="shared" si="1"/>
        <v>13.659999999996217</v>
      </c>
      <c r="AZ9" s="311">
        <f>AO9/AU9</f>
        <v>28.626774847872078</v>
      </c>
      <c r="BA9" s="311">
        <f t="shared" si="3"/>
        <v>41.786969253308889</v>
      </c>
      <c r="BB9" s="351">
        <f t="shared" si="4"/>
        <v>5193.8499999999312</v>
      </c>
      <c r="BC9" s="351">
        <f t="shared" si="5"/>
        <v>26.099866783316763</v>
      </c>
    </row>
    <row r="10" spans="1:55">
      <c r="A10" s="359">
        <v>6</v>
      </c>
      <c r="B10" s="646">
        <f>'6'!G7</f>
        <v>20272</v>
      </c>
      <c r="C10" s="646">
        <f>'6'!G8</f>
        <v>20708</v>
      </c>
      <c r="D10" s="646">
        <f>'6'!G15</f>
        <v>933.30000000004657</v>
      </c>
      <c r="E10" s="646">
        <f>'6'!G20</f>
        <v>164</v>
      </c>
      <c r="F10" s="646">
        <f>SUM('6'!G35,'6'!G49)</f>
        <v>3481.4799999999814</v>
      </c>
      <c r="G10" s="646">
        <f>SUM('6'!G37,'6'!G51)</f>
        <v>1517.109999999986</v>
      </c>
      <c r="H10" s="646">
        <f>SUM('6'!G38,'6'!G52)</f>
        <v>1687.109999999986</v>
      </c>
      <c r="I10" s="646">
        <f>SUM('6'!G39,'6'!G53)</f>
        <v>2707.4099999999744</v>
      </c>
      <c r="J10" s="646">
        <f>SUM('6'!G41,'6'!G42,'6'!G55,'6'!G56)</f>
        <v>3311.0800000000017</v>
      </c>
      <c r="K10" s="646">
        <f>SUM('6'!G43,'6'!G57)</f>
        <v>2434.8099999999977</v>
      </c>
      <c r="L10" s="254">
        <f>'6'!G50</f>
        <v>1030.7400000000016</v>
      </c>
      <c r="M10" s="254">
        <f>'6'!G36</f>
        <v>1049.2099999999991</v>
      </c>
      <c r="N10" s="254">
        <f>'6'!G138</f>
        <v>63</v>
      </c>
      <c r="O10" s="254">
        <f>'6'!$G$139</f>
        <v>2</v>
      </c>
      <c r="P10" s="254">
        <f>'6'!$G$140</f>
        <v>0</v>
      </c>
      <c r="Q10" s="254">
        <f>'6'!$G$141</f>
        <v>163.90000000000146</v>
      </c>
      <c r="R10" s="254">
        <f>'6'!$G$142</f>
        <v>68.25</v>
      </c>
      <c r="S10" s="254">
        <f>'6'!$G$145</f>
        <v>18</v>
      </c>
      <c r="T10" s="251">
        <f>'6'!$G$146</f>
        <v>438</v>
      </c>
      <c r="U10" s="251">
        <f>'6'!$G$144</f>
        <v>220</v>
      </c>
      <c r="V10" s="251">
        <f>'6'!$G$147</f>
        <v>377</v>
      </c>
      <c r="W10" s="251">
        <f>'6'!$G$148</f>
        <v>288</v>
      </c>
      <c r="X10" s="251">
        <f>'6'!$G$143</f>
        <v>22.300000000000182</v>
      </c>
      <c r="Y10" s="251">
        <f>'6'!$G$58</f>
        <v>203.53</v>
      </c>
      <c r="Z10" s="251">
        <f>'6'!$G$151</f>
        <v>243</v>
      </c>
      <c r="AA10" s="251">
        <f>'6'!G161</f>
        <v>0</v>
      </c>
      <c r="AB10" s="251">
        <f>'6'!G162</f>
        <v>31</v>
      </c>
      <c r="AC10" s="251"/>
      <c r="AD10" s="251">
        <f>'6'!G163+'6'!G164</f>
        <v>37.200000000002547</v>
      </c>
      <c r="AE10" s="254">
        <f>'6'!$G$116</f>
        <v>0</v>
      </c>
      <c r="AF10" s="254">
        <f>'6'!$G$117</f>
        <v>30.210000000000036</v>
      </c>
      <c r="AG10" s="254">
        <f>'6'!$G$118</f>
        <v>356.47000000000116</v>
      </c>
      <c r="AH10" s="254">
        <f>'6'!$G$119</f>
        <v>425.07000000000698</v>
      </c>
      <c r="AI10" s="254">
        <f>'6'!$G$120</f>
        <v>416</v>
      </c>
      <c r="AJ10" s="254">
        <f>'6'!$G$121</f>
        <v>745</v>
      </c>
      <c r="AK10" s="254">
        <f>'6'!$G$122</f>
        <v>238.61999999999534</v>
      </c>
      <c r="AL10" s="254">
        <f>'6'!$G$123</f>
        <v>307.25</v>
      </c>
      <c r="AM10" s="254">
        <f>'6'!$G$133</f>
        <v>813.13000000000466</v>
      </c>
      <c r="AN10" s="254">
        <f>'6'!$G$15</f>
        <v>933.30000000004657</v>
      </c>
      <c r="AO10" s="256">
        <f>'6'!$G$74</f>
        <v>304.51000000000931</v>
      </c>
      <c r="AP10" s="256">
        <f>'6'!$G$75</f>
        <v>0</v>
      </c>
      <c r="AQ10" s="256">
        <f>'6'!$G$76</f>
        <v>80</v>
      </c>
      <c r="AR10" s="256">
        <f>'6'!$G$77</f>
        <v>37.69999999999709</v>
      </c>
      <c r="AS10" s="256">
        <f>'6'!$G$78</f>
        <v>1</v>
      </c>
      <c r="AT10" s="256">
        <f t="shared" si="0"/>
        <v>510.09000000004016</v>
      </c>
      <c r="AU10" s="254">
        <f>SUM('6'!G91:G92)</f>
        <v>10.650000000000546</v>
      </c>
      <c r="AV10" s="254">
        <f>'6'!$G$88</f>
        <v>-6.0000000001309672E-2</v>
      </c>
      <c r="AW10" s="254">
        <f>'6'!$G$89</f>
        <v>9.0999999999985448</v>
      </c>
      <c r="AX10" s="254">
        <f>'6'!$G$90</f>
        <v>2.8200000000069849</v>
      </c>
      <c r="AY10" s="252">
        <f t="shared" si="1"/>
        <v>11.86000000000422</v>
      </c>
      <c r="AZ10" s="311">
        <f t="shared" ref="AZ10:AZ28" si="6">AO10/AU10</f>
        <v>28.592488262910209</v>
      </c>
      <c r="BA10" s="311">
        <f t="shared" si="3"/>
        <v>43.009274873512531</v>
      </c>
      <c r="BB10" s="351">
        <f t="shared" si="4"/>
        <v>5365.4700000000721</v>
      </c>
      <c r="BC10" s="351">
        <f t="shared" si="5"/>
        <v>26.4673934490927</v>
      </c>
    </row>
    <row r="11" spans="1:55">
      <c r="A11" s="359">
        <v>7</v>
      </c>
      <c r="B11" s="646">
        <f>'7'!G7</f>
        <v>19831</v>
      </c>
      <c r="C11" s="646">
        <f>'7'!G8</f>
        <v>20261</v>
      </c>
      <c r="D11" s="646">
        <f>'7'!G15</f>
        <v>963</v>
      </c>
      <c r="E11" s="646">
        <f>'7'!G20</f>
        <v>214</v>
      </c>
      <c r="F11" s="646">
        <f>SUM('7'!G35,'7'!G49)</f>
        <v>3527</v>
      </c>
      <c r="G11" s="646">
        <f>SUM('7'!G37,'7'!G51)</f>
        <v>1524</v>
      </c>
      <c r="H11" s="646">
        <f>SUM('7'!G38,'7'!G52)</f>
        <v>1668</v>
      </c>
      <c r="I11" s="646">
        <f>SUM('7'!G39,'7'!G53)</f>
        <v>2675</v>
      </c>
      <c r="J11" s="646">
        <f>SUM('7'!G41,'7'!G42,'7'!G55,'7'!G56)</f>
        <v>3369</v>
      </c>
      <c r="K11" s="646">
        <f>SUM('7'!G43,'7'!G57)</f>
        <v>2246</v>
      </c>
      <c r="L11" s="254">
        <f>'7'!G50</f>
        <v>1043</v>
      </c>
      <c r="M11" s="254">
        <f>'7'!G36</f>
        <v>698</v>
      </c>
      <c r="N11" s="254">
        <f>'7'!G138</f>
        <v>74</v>
      </c>
      <c r="O11" s="254">
        <f>'7'!$G$139</f>
        <v>0</v>
      </c>
      <c r="P11" s="254">
        <f>'7'!$G$140</f>
        <v>-0.30000000000291038</v>
      </c>
      <c r="Q11" s="254">
        <f>'7'!$G$141</f>
        <v>172</v>
      </c>
      <c r="R11" s="254">
        <f>'7'!$G$142</f>
        <v>66</v>
      </c>
      <c r="S11" s="254">
        <f>'7'!$G$145</f>
        <v>17</v>
      </c>
      <c r="T11" s="251">
        <f>'7'!$G$146</f>
        <v>410</v>
      </c>
      <c r="U11" s="251">
        <f>'7'!$G$144</f>
        <v>230</v>
      </c>
      <c r="V11" s="251">
        <f>'7'!$G$147</f>
        <v>368</v>
      </c>
      <c r="W11" s="251">
        <f>'7'!$G$148</f>
        <v>247</v>
      </c>
      <c r="X11" s="251">
        <f>'7'!$G$143</f>
        <v>25</v>
      </c>
      <c r="Y11" s="251">
        <f>'7'!$G$58</f>
        <v>199</v>
      </c>
      <c r="Z11" s="256">
        <f>'7'!$G$151</f>
        <v>215</v>
      </c>
      <c r="AA11" s="256">
        <f>'7'!G161</f>
        <v>65.440000000002328</v>
      </c>
      <c r="AB11" s="251">
        <f>'7'!G162</f>
        <v>34</v>
      </c>
      <c r="AC11" s="251"/>
      <c r="AD11" s="251">
        <f>'7'!G163+'7'!G164</f>
        <v>48</v>
      </c>
      <c r="AE11" s="254">
        <f>'7'!$G$116</f>
        <v>0</v>
      </c>
      <c r="AF11" s="254">
        <f>'7'!$G$117</f>
        <v>29</v>
      </c>
      <c r="AG11" s="254">
        <f>'7'!$G$118</f>
        <v>639</v>
      </c>
      <c r="AH11" s="254">
        <f>'7'!$G$119</f>
        <v>437</v>
      </c>
      <c r="AI11" s="254">
        <f>'7'!$G$120</f>
        <v>428</v>
      </c>
      <c r="AJ11" s="254">
        <f>'7'!$G$121</f>
        <v>720</v>
      </c>
      <c r="AK11" s="256">
        <f>'7'!$G$122</f>
        <v>240</v>
      </c>
      <c r="AL11" s="254">
        <f>'7'!$G$123</f>
        <v>318</v>
      </c>
      <c r="AM11" s="254">
        <f>'7'!$G$133</f>
        <v>756</v>
      </c>
      <c r="AN11" s="254">
        <f>'7'!$G$15</f>
        <v>963</v>
      </c>
      <c r="AO11" s="256">
        <f>'7'!$G$74</f>
        <v>301</v>
      </c>
      <c r="AP11" s="256">
        <f>'7'!$G$75</f>
        <v>0</v>
      </c>
      <c r="AQ11" s="256">
        <f>'7'!$G$76</f>
        <v>72</v>
      </c>
      <c r="AR11" s="256">
        <f>'7'!$G$77</f>
        <v>39</v>
      </c>
      <c r="AS11" s="256">
        <f>'7'!$G$78</f>
        <v>1</v>
      </c>
      <c r="AT11" s="256">
        <f t="shared" si="0"/>
        <v>550</v>
      </c>
      <c r="AU11" s="254">
        <f>SUM('7'!G91:G92)</f>
        <v>10.529999999999745</v>
      </c>
      <c r="AV11" s="254">
        <f>'7'!$G$88</f>
        <v>0</v>
      </c>
      <c r="AW11" s="254">
        <f>'7'!$G$89</f>
        <v>10</v>
      </c>
      <c r="AX11" s="254">
        <f>'7'!$G$90</f>
        <v>5</v>
      </c>
      <c r="AY11" s="252">
        <f t="shared" si="1"/>
        <v>15</v>
      </c>
      <c r="AZ11" s="311">
        <f>AO11/AU11</f>
        <v>28.584995251662608</v>
      </c>
      <c r="BA11" s="311">
        <f t="shared" si="3"/>
        <v>36.666666666666664</v>
      </c>
      <c r="BB11" s="351">
        <f t="shared" si="4"/>
        <v>5053</v>
      </c>
      <c r="BC11" s="351">
        <f t="shared" si="5"/>
        <v>25.480308607735363</v>
      </c>
    </row>
    <row r="12" spans="1:55">
      <c r="A12" s="359">
        <v>8</v>
      </c>
      <c r="B12" s="646">
        <f>'8'!G7</f>
        <v>19232</v>
      </c>
      <c r="C12" s="646">
        <f>'8'!G8</f>
        <v>19647</v>
      </c>
      <c r="D12" s="646">
        <f>'8'!G15</f>
        <v>925</v>
      </c>
      <c r="E12" s="646">
        <f>'8'!G20</f>
        <v>211</v>
      </c>
      <c r="F12" s="646">
        <f>SUM('8'!G35,'8'!G49)</f>
        <v>3416</v>
      </c>
      <c r="G12" s="646">
        <f>SUM('8'!G37,'8'!G51)</f>
        <v>1534</v>
      </c>
      <c r="H12" s="646">
        <f>SUM('8'!G38,'8'!G52)</f>
        <v>1715</v>
      </c>
      <c r="I12" s="646">
        <f>SUM('8'!G39,'8'!G53)</f>
        <v>2685</v>
      </c>
      <c r="J12" s="646">
        <f>SUM('8'!G41,'8'!G42,'8'!G55,'8'!G56)</f>
        <v>3190</v>
      </c>
      <c r="K12" s="646">
        <f>SUM('8'!G43,'8'!G57)</f>
        <v>2170</v>
      </c>
      <c r="L12" s="254">
        <f>'8'!G50</f>
        <v>974</v>
      </c>
      <c r="M12" s="254">
        <f>'8'!G36</f>
        <v>742</v>
      </c>
      <c r="N12" s="254">
        <f>'8'!G138</f>
        <v>64</v>
      </c>
      <c r="O12" s="254">
        <f>'8'!$G$139</f>
        <v>0</v>
      </c>
      <c r="P12" s="254">
        <f>'8'!$G$140</f>
        <v>0</v>
      </c>
      <c r="Q12" s="254">
        <f>'8'!$G$141</f>
        <v>172</v>
      </c>
      <c r="R12" s="254">
        <f>'8'!$G$142</f>
        <v>64</v>
      </c>
      <c r="S12" s="254">
        <f>'8'!$G$145</f>
        <v>18</v>
      </c>
      <c r="T12" s="251">
        <f>'8'!$G$146</f>
        <v>408</v>
      </c>
      <c r="U12" s="251">
        <f>'8'!$G$144</f>
        <v>240</v>
      </c>
      <c r="V12" s="251">
        <f>'8'!$G$147</f>
        <v>358</v>
      </c>
      <c r="W12" s="251">
        <f>'8'!$G$148</f>
        <v>265</v>
      </c>
      <c r="X12" s="251">
        <f>'8'!$G$143</f>
        <v>28</v>
      </c>
      <c r="Y12" s="251">
        <f>'8'!$G$58</f>
        <v>181</v>
      </c>
      <c r="Z12" s="251">
        <f>'8'!$G$151</f>
        <v>231</v>
      </c>
      <c r="AA12" s="251">
        <f>'8'!G161</f>
        <v>6</v>
      </c>
      <c r="AB12" s="251">
        <f>'8'!G162</f>
        <v>21</v>
      </c>
      <c r="AC12" s="251"/>
      <c r="AD12" s="251">
        <f>'8'!G163+'8'!G164</f>
        <v>28</v>
      </c>
      <c r="AE12" s="254">
        <f>'8'!$G$116</f>
        <v>0</v>
      </c>
      <c r="AF12" s="254">
        <f>'8'!$G$117</f>
        <v>22</v>
      </c>
      <c r="AG12" s="254">
        <f>'8'!$G$118</f>
        <v>85</v>
      </c>
      <c r="AH12" s="254">
        <f>'8'!$G$119</f>
        <v>453</v>
      </c>
      <c r="AI12" s="254">
        <f>'8'!$G$120</f>
        <v>414</v>
      </c>
      <c r="AJ12" s="254">
        <f>'8'!$G$121</f>
        <v>709</v>
      </c>
      <c r="AK12" s="254">
        <f>'8'!$G$122</f>
        <v>216</v>
      </c>
      <c r="AL12" s="254">
        <f>'8'!$G$123</f>
        <v>319</v>
      </c>
      <c r="AM12" s="254">
        <f>'8'!$G$133</f>
        <v>767</v>
      </c>
      <c r="AN12" s="254">
        <f>'8'!$G$15</f>
        <v>925</v>
      </c>
      <c r="AO12" s="256">
        <f>'8'!$G$74</f>
        <v>306</v>
      </c>
      <c r="AP12" s="256">
        <f>'8'!$G$75</f>
        <v>0</v>
      </c>
      <c r="AQ12" s="256">
        <f>'8'!$G$76</f>
        <v>87</v>
      </c>
      <c r="AR12" s="256">
        <f>'8'!$G$77</f>
        <v>24</v>
      </c>
      <c r="AS12" s="256">
        <f>'8'!$G$78</f>
        <v>0</v>
      </c>
      <c r="AT12" s="256">
        <f t="shared" si="0"/>
        <v>508</v>
      </c>
      <c r="AU12" s="254">
        <f>SUM('8'!G91:G92)</f>
        <v>10.659999999999854</v>
      </c>
      <c r="AV12" s="254">
        <f>'8'!$G$88</f>
        <v>0</v>
      </c>
      <c r="AW12" s="254">
        <f>'8'!$G$89</f>
        <v>9</v>
      </c>
      <c r="AX12" s="254">
        <f>'8'!$G$90</f>
        <v>4</v>
      </c>
      <c r="AY12" s="252">
        <f t="shared" si="1"/>
        <v>13</v>
      </c>
      <c r="AZ12" s="311">
        <f t="shared" si="6"/>
        <v>28.705440900563243</v>
      </c>
      <c r="BA12" s="311">
        <f t="shared" si="3"/>
        <v>39.07692307692308</v>
      </c>
      <c r="BB12" s="351">
        <f t="shared" si="4"/>
        <v>4756</v>
      </c>
      <c r="BC12" s="351">
        <f t="shared" si="5"/>
        <v>24.729617304492514</v>
      </c>
    </row>
    <row r="13" spans="1:55">
      <c r="A13" s="359">
        <v>9</v>
      </c>
      <c r="B13" s="646">
        <f>'9'!G7</f>
        <v>17711</v>
      </c>
      <c r="C13" s="646">
        <f>'9'!G8</f>
        <v>18011</v>
      </c>
      <c r="D13" s="646">
        <f>'9'!G15</f>
        <v>907</v>
      </c>
      <c r="E13" s="646">
        <f>'9'!G20</f>
        <v>205</v>
      </c>
      <c r="F13" s="646">
        <f>SUM('9'!G35,'9'!G49)</f>
        <v>3089</v>
      </c>
      <c r="G13" s="646">
        <f>SUM('9'!G37,'9'!G51)</f>
        <v>1472</v>
      </c>
      <c r="H13" s="646">
        <f>SUM('9'!G38,'9'!G52)</f>
        <v>1658</v>
      </c>
      <c r="I13" s="646">
        <f>SUM('9'!G39,'9'!G53)</f>
        <v>2610</v>
      </c>
      <c r="J13" s="646">
        <f>SUM('9'!G41,'9'!G42,'9'!G55,'9'!G56)</f>
        <v>2762.4599999999991</v>
      </c>
      <c r="K13" s="646">
        <f>SUM('9'!G43,'9'!G57)</f>
        <v>2151</v>
      </c>
      <c r="L13" s="254">
        <f>'9'!G50</f>
        <v>969</v>
      </c>
      <c r="M13" s="254">
        <f>'9'!G36</f>
        <v>704</v>
      </c>
      <c r="N13" s="254">
        <f>'9'!G138</f>
        <v>54</v>
      </c>
      <c r="O13" s="254">
        <f>'9'!$G$139</f>
        <v>0</v>
      </c>
      <c r="P13" s="254">
        <f>'9'!$G$140</f>
        <v>0</v>
      </c>
      <c r="Q13" s="254">
        <f>'9'!$G$141</f>
        <v>176</v>
      </c>
      <c r="R13" s="254">
        <f>'9'!$G$142</f>
        <v>72</v>
      </c>
      <c r="S13" s="254">
        <f>'9'!$G$145</f>
        <v>18</v>
      </c>
      <c r="T13" s="251">
        <f>'9'!$G$146</f>
        <v>382</v>
      </c>
      <c r="U13" s="251">
        <f>'9'!$G$144</f>
        <v>220</v>
      </c>
      <c r="V13" s="251">
        <f>'9'!$G$147</f>
        <v>358</v>
      </c>
      <c r="W13" s="251">
        <f>'9'!$G$148</f>
        <v>228</v>
      </c>
      <c r="X13" s="251">
        <f>'9'!$G$143</f>
        <v>25</v>
      </c>
      <c r="Y13" s="251">
        <f>'9'!$G$58</f>
        <v>184</v>
      </c>
      <c r="Z13" s="251">
        <f>'9'!$G$151</f>
        <v>216</v>
      </c>
      <c r="AA13" s="251">
        <f>'9'!G161</f>
        <v>6</v>
      </c>
      <c r="AB13" s="251">
        <f>'9'!G162</f>
        <v>23</v>
      </c>
      <c r="AC13" s="251"/>
      <c r="AD13" s="251">
        <f>'9'!G163+'9'!G164</f>
        <v>33</v>
      </c>
      <c r="AE13" s="254">
        <f>'9'!$G$116</f>
        <v>0</v>
      </c>
      <c r="AF13" s="254">
        <f>'9'!$G$117</f>
        <v>23</v>
      </c>
      <c r="AG13" s="254">
        <f>'9'!$G$118</f>
        <v>346</v>
      </c>
      <c r="AH13" s="254">
        <f>'9'!$G$119</f>
        <v>442</v>
      </c>
      <c r="AI13" s="254">
        <f>'9'!$G$120</f>
        <v>422</v>
      </c>
      <c r="AJ13" s="254">
        <f>'9'!$G$121</f>
        <v>702</v>
      </c>
      <c r="AK13" s="254">
        <f>'9'!$G$122</f>
        <v>185</v>
      </c>
      <c r="AL13" s="254">
        <f>'9'!$G$123</f>
        <v>306</v>
      </c>
      <c r="AM13" s="254">
        <f>'9'!$G$133</f>
        <v>524</v>
      </c>
      <c r="AN13" s="254">
        <f>'9'!$G$15</f>
        <v>907</v>
      </c>
      <c r="AO13" s="256">
        <f>'9'!$G$74</f>
        <v>305</v>
      </c>
      <c r="AP13" s="256">
        <f>'9'!$G$75</f>
        <v>0.19999999999708962</v>
      </c>
      <c r="AQ13" s="256">
        <f>'9'!$G$76</f>
        <v>76</v>
      </c>
      <c r="AR13" s="256">
        <f>'9'!$G$77</f>
        <v>24</v>
      </c>
      <c r="AS13" s="256">
        <f>'9'!$G$78</f>
        <v>0</v>
      </c>
      <c r="AT13" s="256">
        <f t="shared" si="0"/>
        <v>501.80000000000291</v>
      </c>
      <c r="AU13" s="254">
        <f>SUM('9'!G91:G92)</f>
        <v>11</v>
      </c>
      <c r="AV13" s="254">
        <f>'9'!$G$88</f>
        <v>0</v>
      </c>
      <c r="AW13" s="254">
        <f>'9'!$G$89</f>
        <v>9</v>
      </c>
      <c r="AX13" s="254">
        <f>'9'!$G$90</f>
        <v>2</v>
      </c>
      <c r="AY13" s="252">
        <f t="shared" si="1"/>
        <v>11</v>
      </c>
      <c r="AZ13" s="311">
        <f t="shared" si="6"/>
        <v>27.727272727272727</v>
      </c>
      <c r="BA13" s="311">
        <f t="shared" si="3"/>
        <v>45.61818181818208</v>
      </c>
      <c r="BB13" s="351">
        <f t="shared" si="4"/>
        <v>4084.5400000000009</v>
      </c>
      <c r="BC13" s="351">
        <f t="shared" si="5"/>
        <v>23.062164756366105</v>
      </c>
    </row>
    <row r="14" spans="1:55">
      <c r="A14" s="359">
        <v>10</v>
      </c>
      <c r="B14" s="646">
        <f>'10'!G7</f>
        <v>16861</v>
      </c>
      <c r="C14" s="646">
        <f>'10'!G8</f>
        <v>17063</v>
      </c>
      <c r="D14" s="646">
        <f>'10'!G15</f>
        <v>759</v>
      </c>
      <c r="E14" s="646">
        <f>'10'!G20</f>
        <v>124</v>
      </c>
      <c r="F14" s="646">
        <f>SUM('10'!G35,'10'!G49)</f>
        <v>2752</v>
      </c>
      <c r="G14" s="646">
        <f>SUM('10'!G37,'10'!G51)</f>
        <v>1452</v>
      </c>
      <c r="H14" s="646">
        <f>SUM('10'!G38,'10'!G52)</f>
        <v>1541</v>
      </c>
      <c r="I14" s="646">
        <f>SUM('10'!G39,'10'!G53)</f>
        <v>2574</v>
      </c>
      <c r="J14" s="646">
        <f>SUM('10'!G41,'10'!G42,'10'!G55,'10'!G56)</f>
        <v>2760</v>
      </c>
      <c r="K14" s="646">
        <f>SUM('10'!G43,'10'!G57)</f>
        <v>2123</v>
      </c>
      <c r="L14" s="254">
        <f>'10'!G50</f>
        <v>940</v>
      </c>
      <c r="M14" s="254">
        <f>'10'!G36</f>
        <v>634</v>
      </c>
      <c r="N14" s="254">
        <f>'10'!G138</f>
        <v>42</v>
      </c>
      <c r="O14" s="254">
        <f>'10'!$G$139</f>
        <v>0</v>
      </c>
      <c r="P14" s="254">
        <f>'10'!$G$140</f>
        <v>0</v>
      </c>
      <c r="Q14" s="254">
        <f>'10'!$G$141</f>
        <v>175</v>
      </c>
      <c r="R14" s="254">
        <f>'10'!$G$142</f>
        <v>66</v>
      </c>
      <c r="S14" s="254">
        <f>'10'!$G$145</f>
        <v>11</v>
      </c>
      <c r="T14" s="251">
        <f>'10'!$G$146</f>
        <v>362</v>
      </c>
      <c r="U14" s="251">
        <f>'10'!$G$144</f>
        <v>228</v>
      </c>
      <c r="V14" s="257">
        <f>'10'!$G$147</f>
        <v>374</v>
      </c>
      <c r="W14" s="257">
        <f>'10'!$G$148</f>
        <v>221</v>
      </c>
      <c r="X14" s="251">
        <f>'10'!$G$143</f>
        <v>22</v>
      </c>
      <c r="Y14" s="251">
        <f>'10'!$G$58</f>
        <v>80</v>
      </c>
      <c r="Z14" s="251">
        <f>'10'!$G$151</f>
        <v>218</v>
      </c>
      <c r="AA14" s="251">
        <f>'10'!G161</f>
        <v>65</v>
      </c>
      <c r="AB14" s="251">
        <f>'10'!G162</f>
        <v>28</v>
      </c>
      <c r="AC14" s="251"/>
      <c r="AD14" s="251">
        <f>'10'!G163+'10'!G164</f>
        <v>63</v>
      </c>
      <c r="AE14" s="254">
        <f>'10'!$G$116</f>
        <v>0</v>
      </c>
      <c r="AF14" s="254">
        <f>'10'!$G$117</f>
        <v>23</v>
      </c>
      <c r="AG14" s="254">
        <f>'10'!$G$118</f>
        <v>362</v>
      </c>
      <c r="AH14" s="254">
        <f>'10'!$G$119</f>
        <v>411</v>
      </c>
      <c r="AI14" s="254">
        <f>'10'!$G$120</f>
        <v>410</v>
      </c>
      <c r="AJ14" s="254">
        <f>'10'!$G$121</f>
        <v>662</v>
      </c>
      <c r="AK14" s="254">
        <f>'10'!$G$122</f>
        <v>175</v>
      </c>
      <c r="AL14" s="254">
        <f>'10'!$G$123</f>
        <v>302</v>
      </c>
      <c r="AM14" s="254">
        <f>'10'!$G$133</f>
        <v>366</v>
      </c>
      <c r="AN14" s="254">
        <f>'10'!$G$15</f>
        <v>759</v>
      </c>
      <c r="AO14" s="256">
        <f>'10'!$G$74</f>
        <v>313</v>
      </c>
      <c r="AP14" s="256">
        <f>'10'!$G$75</f>
        <v>0</v>
      </c>
      <c r="AQ14" s="256">
        <f>'10'!$G$76</f>
        <v>91</v>
      </c>
      <c r="AR14" s="256">
        <f>'10'!$G$77</f>
        <v>34</v>
      </c>
      <c r="AS14" s="256">
        <f>'10'!$G$78</f>
        <v>1.2999999999992724</v>
      </c>
      <c r="AT14" s="256">
        <f t="shared" si="0"/>
        <v>319.70000000000073</v>
      </c>
      <c r="AU14" s="254">
        <f>SUM('10'!G91:G92)</f>
        <v>11</v>
      </c>
      <c r="AV14" s="254">
        <f>'10'!$G$88</f>
        <v>0</v>
      </c>
      <c r="AW14" s="254">
        <f>'10'!$G$89</f>
        <v>0</v>
      </c>
      <c r="AX14" s="254">
        <f>'10'!$G$90</f>
        <v>13</v>
      </c>
      <c r="AY14" s="252">
        <f t="shared" si="1"/>
        <v>13</v>
      </c>
      <c r="AZ14" s="311">
        <f t="shared" si="6"/>
        <v>28.454545454545453</v>
      </c>
      <c r="BA14" s="311">
        <f t="shared" si="3"/>
        <v>24.592307692307749</v>
      </c>
      <c r="BB14" s="351">
        <f t="shared" si="4"/>
        <v>3781</v>
      </c>
      <c r="BC14" s="351">
        <f t="shared" si="5"/>
        <v>22.424529980428204</v>
      </c>
    </row>
    <row r="15" spans="1:55">
      <c r="A15" s="359">
        <v>11</v>
      </c>
      <c r="B15" s="646">
        <f>'11'!G7</f>
        <v>17025</v>
      </c>
      <c r="C15" s="646">
        <f>'11'!G8</f>
        <v>17262</v>
      </c>
      <c r="D15" s="646">
        <f>'11'!G15</f>
        <v>931</v>
      </c>
      <c r="E15" s="646">
        <f>'11'!G20</f>
        <v>130</v>
      </c>
      <c r="F15" s="646">
        <f>SUM('11'!G35,'11'!G49)</f>
        <v>2699</v>
      </c>
      <c r="G15" s="646">
        <f>SUM('11'!G37,'11'!G51)</f>
        <v>1445</v>
      </c>
      <c r="H15" s="646">
        <f>SUM('11'!G38,'11'!G52)</f>
        <v>1494</v>
      </c>
      <c r="I15" s="646">
        <f>SUM('11'!G39,'11'!G53)</f>
        <v>2471</v>
      </c>
      <c r="J15" s="646">
        <f>SUM('11'!G41,'11'!G42,'11'!G55,'11'!G56)</f>
        <v>2906.3999999999942</v>
      </c>
      <c r="K15" s="646">
        <f>SUM('11'!G43,'11'!G57)</f>
        <v>2040</v>
      </c>
      <c r="L15" s="254">
        <f>'11'!G50</f>
        <v>979</v>
      </c>
      <c r="M15" s="254">
        <f>'11'!G36</f>
        <v>590</v>
      </c>
      <c r="N15" s="254">
        <f>'11'!G138</f>
        <v>48</v>
      </c>
      <c r="O15" s="254">
        <f>'11'!$G$139</f>
        <v>0</v>
      </c>
      <c r="P15" s="254">
        <f>'11'!$G$140</f>
        <v>0</v>
      </c>
      <c r="Q15" s="254">
        <f>'11'!$G$141</f>
        <v>167</v>
      </c>
      <c r="R15" s="254">
        <f>'11'!$G$142</f>
        <v>65</v>
      </c>
      <c r="S15" s="254">
        <f>'11'!$G$145</f>
        <v>10</v>
      </c>
      <c r="T15" s="251">
        <f>'11'!$G$146</f>
        <v>287</v>
      </c>
      <c r="U15" s="251">
        <f>'11'!$G$144</f>
        <v>214</v>
      </c>
      <c r="V15" s="251">
        <f>'11'!$G$147</f>
        <v>353</v>
      </c>
      <c r="W15" s="251">
        <f>'11'!$G$148</f>
        <v>188</v>
      </c>
      <c r="X15" s="251">
        <f>'11'!$G$143</f>
        <v>24</v>
      </c>
      <c r="Y15" s="251">
        <f>'11'!$G$58</f>
        <v>231</v>
      </c>
      <c r="Z15" s="251">
        <f>'11'!$G$151</f>
        <v>213</v>
      </c>
      <c r="AA15" s="251">
        <f>'11'!G161</f>
        <v>107</v>
      </c>
      <c r="AB15" s="251">
        <f>'11'!G162</f>
        <v>36</v>
      </c>
      <c r="AC15" s="251">
        <f>'11'!G88</f>
        <v>0</v>
      </c>
      <c r="AD15" s="251">
        <f>'11'!G163+'11'!G164</f>
        <v>35</v>
      </c>
      <c r="AE15" s="254">
        <f>'11'!$G$116</f>
        <v>0</v>
      </c>
      <c r="AF15" s="254">
        <f>'11'!$G$117</f>
        <v>25</v>
      </c>
      <c r="AG15" s="254">
        <f>'11'!$G$118</f>
        <v>338</v>
      </c>
      <c r="AH15" s="254">
        <f>'11'!$G$119</f>
        <v>400</v>
      </c>
      <c r="AI15" s="254">
        <f>'11'!$G$120</f>
        <v>379</v>
      </c>
      <c r="AJ15" s="254">
        <f>'11'!$G$121</f>
        <v>619</v>
      </c>
      <c r="AK15" s="254">
        <f>'11'!$G$122</f>
        <v>173</v>
      </c>
      <c r="AL15" s="254">
        <f>'11'!$G$123</f>
        <v>283</v>
      </c>
      <c r="AM15" s="254">
        <f>'11'!$G$133</f>
        <v>386</v>
      </c>
      <c r="AN15" s="254">
        <f>'11'!$G$15</f>
        <v>931</v>
      </c>
      <c r="AO15" s="256">
        <f>'11'!$G$74</f>
        <v>314</v>
      </c>
      <c r="AP15" s="256">
        <f>'11'!$G$75</f>
        <v>0</v>
      </c>
      <c r="AQ15" s="256">
        <f>'11'!$G$76</f>
        <v>63</v>
      </c>
      <c r="AR15" s="256">
        <f>'11'!$G$77</f>
        <v>19</v>
      </c>
      <c r="AS15" s="256">
        <f>'11'!$G$78</f>
        <v>1.7000000000007276</v>
      </c>
      <c r="AT15" s="256">
        <f t="shared" si="0"/>
        <v>533.29999999999927</v>
      </c>
      <c r="AU15" s="254">
        <f>SUM('11'!G91:G92)</f>
        <v>11</v>
      </c>
      <c r="AV15" s="254">
        <f>'11'!$G$88</f>
        <v>0</v>
      </c>
      <c r="AW15" s="254">
        <f>'11'!$G$89</f>
        <v>11</v>
      </c>
      <c r="AX15" s="254">
        <f>'11'!$G$90</f>
        <v>1</v>
      </c>
      <c r="AY15" s="252">
        <f t="shared" si="1"/>
        <v>12</v>
      </c>
      <c r="AZ15" s="311">
        <f t="shared" si="6"/>
        <v>28.545454545454547</v>
      </c>
      <c r="BA15" s="311">
        <f t="shared" si="3"/>
        <v>44.441666666666606</v>
      </c>
      <c r="BB15" s="351">
        <f t="shared" si="4"/>
        <v>3975.6000000000058</v>
      </c>
      <c r="BC15" s="351">
        <f t="shared" si="5"/>
        <v>23.351541850220297</v>
      </c>
    </row>
    <row r="16" spans="1:55">
      <c r="A16" s="359">
        <v>12</v>
      </c>
      <c r="B16" s="646">
        <f>'12'!G7</f>
        <v>16531</v>
      </c>
      <c r="C16" s="646">
        <f>'12'!G8</f>
        <v>16713</v>
      </c>
      <c r="D16" s="646">
        <f>'12'!G15</f>
        <v>644</v>
      </c>
      <c r="E16" s="646">
        <f>'12'!G20</f>
        <v>136</v>
      </c>
      <c r="F16" s="646">
        <f>SUM('12'!G35,'12'!G49)</f>
        <v>2756</v>
      </c>
      <c r="G16" s="646">
        <f>SUM('12'!G37,'12'!G51)</f>
        <v>1481</v>
      </c>
      <c r="H16" s="646">
        <f>SUM('12'!G38,'12'!G52)</f>
        <v>1484</v>
      </c>
      <c r="I16" s="646">
        <f>SUM('12'!G39,'12'!G53)</f>
        <v>2461</v>
      </c>
      <c r="J16" s="646">
        <f>SUM('12'!G41,'12'!G42,'12'!G55,'12'!G56)</f>
        <v>2812</v>
      </c>
      <c r="K16" s="646">
        <f>SUM('12'!G43,'12'!G57)</f>
        <v>2022</v>
      </c>
      <c r="L16" s="254">
        <f>'12'!G50</f>
        <v>848</v>
      </c>
      <c r="M16" s="254">
        <f>'12'!G36</f>
        <v>613</v>
      </c>
      <c r="N16" s="254">
        <f>'12'!G138</f>
        <v>55</v>
      </c>
      <c r="O16" s="254">
        <f>'12'!$G$139</f>
        <v>0</v>
      </c>
      <c r="P16" s="254">
        <f>'12'!$G$140</f>
        <v>0</v>
      </c>
      <c r="Q16" s="254">
        <f>'12'!$G$141</f>
        <v>174</v>
      </c>
      <c r="R16" s="254">
        <f>'12'!$G$142</f>
        <v>69</v>
      </c>
      <c r="S16" s="254">
        <f>'12'!$G$145</f>
        <v>10</v>
      </c>
      <c r="T16" s="251">
        <f>'12'!$G$146</f>
        <v>321</v>
      </c>
      <c r="U16" s="251">
        <f>'12'!$G$144</f>
        <v>231</v>
      </c>
      <c r="V16" s="251">
        <f>'12'!$G$147</f>
        <v>306</v>
      </c>
      <c r="W16" s="251">
        <f>'12'!$G$148</f>
        <v>196</v>
      </c>
      <c r="X16" s="251">
        <f>'12'!$G$143</f>
        <v>25</v>
      </c>
      <c r="Y16" s="251">
        <f>'12'!$G$58</f>
        <v>13</v>
      </c>
      <c r="Z16" s="251">
        <f>'12'!$G$151</f>
        <v>232</v>
      </c>
      <c r="AA16" s="251">
        <f>'12'!G161</f>
        <v>8</v>
      </c>
      <c r="AB16" s="251">
        <f>'12'!G162</f>
        <v>30</v>
      </c>
      <c r="AC16" s="251">
        <f>'12'!G88</f>
        <v>0</v>
      </c>
      <c r="AD16" s="251">
        <f>'12'!G163+'12'!G164</f>
        <v>35</v>
      </c>
      <c r="AE16" s="254">
        <f>'12'!$G$116</f>
        <v>0</v>
      </c>
      <c r="AF16" s="254">
        <f>'12'!$G$117</f>
        <v>17</v>
      </c>
      <c r="AG16" s="254">
        <f>'12'!$G$118</f>
        <v>339</v>
      </c>
      <c r="AH16" s="254">
        <f>'12'!$G$119</f>
        <v>401</v>
      </c>
      <c r="AI16" s="254">
        <f>'12'!$G$120</f>
        <v>397</v>
      </c>
      <c r="AJ16" s="254">
        <f>'12'!$G$121</f>
        <v>641</v>
      </c>
      <c r="AK16" s="254">
        <f>'12'!$G$122</f>
        <v>189</v>
      </c>
      <c r="AL16" s="254">
        <f>'12'!$G$123</f>
        <v>281</v>
      </c>
      <c r="AM16" s="254">
        <f>'12'!$G$133</f>
        <v>413</v>
      </c>
      <c r="AN16" s="254">
        <f>'12'!$G$15</f>
        <v>644</v>
      </c>
      <c r="AO16" s="256">
        <f>'12'!$G$74</f>
        <v>379</v>
      </c>
      <c r="AP16" s="256">
        <f>'12'!$G$75</f>
        <v>0</v>
      </c>
      <c r="AQ16" s="256">
        <f>'12'!$G$76</f>
        <v>78</v>
      </c>
      <c r="AR16" s="256">
        <f>'12'!$G$77</f>
        <v>23</v>
      </c>
      <c r="AS16" s="256">
        <f>'12'!$G$78</f>
        <v>0</v>
      </c>
      <c r="AT16" s="256">
        <f t="shared" si="0"/>
        <v>164</v>
      </c>
      <c r="AU16" s="254">
        <f>SUM('12'!G91:G92)</f>
        <v>9.4200000000000728</v>
      </c>
      <c r="AV16" s="254">
        <f>'12'!$G$88</f>
        <v>0</v>
      </c>
      <c r="AW16" s="254">
        <f>'12'!$G$89</f>
        <v>-0.2000000000007276</v>
      </c>
      <c r="AX16" s="254">
        <f>'12'!$G$90</f>
        <v>9.3699999999953434</v>
      </c>
      <c r="AY16" s="252">
        <f t="shared" si="1"/>
        <v>9.1699999999946158</v>
      </c>
      <c r="AZ16" s="311">
        <f t="shared" si="6"/>
        <v>40.233545647558074</v>
      </c>
      <c r="BA16" s="311">
        <f t="shared" si="3"/>
        <v>17.884405670675715</v>
      </c>
      <c r="BB16" s="351">
        <f t="shared" si="4"/>
        <v>3684</v>
      </c>
      <c r="BC16" s="351">
        <f t="shared" si="5"/>
        <v>22.285403181900673</v>
      </c>
    </row>
    <row r="17" spans="1:55">
      <c r="A17" s="359">
        <v>13</v>
      </c>
      <c r="B17" s="646">
        <f>'13'!G7</f>
        <v>16800</v>
      </c>
      <c r="C17" s="646">
        <f>'13'!G8</f>
        <v>17050</v>
      </c>
      <c r="D17" s="646">
        <f>'13'!G15</f>
        <v>957</v>
      </c>
      <c r="E17" s="646">
        <f>'13'!G20</f>
        <v>103</v>
      </c>
      <c r="F17" s="646">
        <f>SUM('13'!G35,'13'!G49)</f>
        <v>2750</v>
      </c>
      <c r="G17" s="646">
        <f>SUM('13'!G37,'13'!G51)</f>
        <v>1471</v>
      </c>
      <c r="H17" s="646">
        <f>SUM('13'!G38,'13'!G52)</f>
        <v>1543</v>
      </c>
      <c r="I17" s="646">
        <f>SUM('13'!G39,'13'!G53)</f>
        <v>2404</v>
      </c>
      <c r="J17" s="646">
        <f>SUM('13'!G41,'13'!G42,'13'!G55,'13'!G56)</f>
        <v>2861</v>
      </c>
      <c r="K17" s="646">
        <f>SUM('13'!G43,'13'!G57)</f>
        <v>2011</v>
      </c>
      <c r="L17" s="254">
        <f>'13'!G50</f>
        <v>842</v>
      </c>
      <c r="M17" s="254">
        <f>'13'!G36</f>
        <v>582</v>
      </c>
      <c r="N17" s="254">
        <f>'13'!G138</f>
        <v>53</v>
      </c>
      <c r="O17" s="254">
        <f>'13'!$G$139</f>
        <v>0</v>
      </c>
      <c r="P17" s="254">
        <f>'13'!$G$140</f>
        <v>0</v>
      </c>
      <c r="Q17" s="254">
        <f>'13'!$G$141</f>
        <v>165</v>
      </c>
      <c r="R17" s="254">
        <f>'13'!$G$142</f>
        <v>69</v>
      </c>
      <c r="S17" s="254">
        <f>'13'!$G$145</f>
        <v>12</v>
      </c>
      <c r="T17" s="251">
        <f>'13'!$G$146</f>
        <v>352</v>
      </c>
      <c r="U17" s="251">
        <f>'13'!$G$144</f>
        <v>220</v>
      </c>
      <c r="V17" s="251">
        <f>'13'!$G$147</f>
        <v>292</v>
      </c>
      <c r="W17" s="251">
        <f>'13'!$G$148</f>
        <v>135</v>
      </c>
      <c r="X17" s="251">
        <f>'13'!$G$143</f>
        <v>26</v>
      </c>
      <c r="Y17" s="251">
        <f>'13'!$G$58</f>
        <v>214</v>
      </c>
      <c r="Z17" s="251">
        <f>'13'!$G$151</f>
        <v>214</v>
      </c>
      <c r="AA17" s="251">
        <f>'13'!G161</f>
        <v>7</v>
      </c>
      <c r="AB17" s="251">
        <f>'13'!G162</f>
        <v>34</v>
      </c>
      <c r="AC17" s="251">
        <f>'13'!G88</f>
        <v>1.2700000000004366</v>
      </c>
      <c r="AD17" s="251">
        <f>'13'!G163+'13'!G164</f>
        <v>36</v>
      </c>
      <c r="AE17" s="254">
        <f>'13'!$G$116</f>
        <v>0</v>
      </c>
      <c r="AF17" s="254">
        <f>'13'!$G$117</f>
        <v>21</v>
      </c>
      <c r="AG17" s="254">
        <f>'13'!$G$118</f>
        <v>344</v>
      </c>
      <c r="AH17" s="254">
        <f>'13'!$G$119</f>
        <v>344</v>
      </c>
      <c r="AI17" s="254">
        <f>'13'!$G$120</f>
        <v>394</v>
      </c>
      <c r="AJ17" s="254">
        <f>'13'!$G$121</f>
        <v>616</v>
      </c>
      <c r="AK17" s="254">
        <f>'13'!$G$122</f>
        <v>188</v>
      </c>
      <c r="AL17" s="254">
        <f>'13'!$G$123</f>
        <v>274</v>
      </c>
      <c r="AM17" s="254">
        <f>'13'!$G$133</f>
        <v>406</v>
      </c>
      <c r="AN17" s="254">
        <f>'13'!$G$15</f>
        <v>957</v>
      </c>
      <c r="AO17" s="256">
        <f>'13'!$G$74</f>
        <v>209</v>
      </c>
      <c r="AP17" s="256">
        <f>'13'!$G$75</f>
        <v>0</v>
      </c>
      <c r="AQ17" s="256">
        <f>'13'!$G$76</f>
        <v>81</v>
      </c>
      <c r="AR17" s="256">
        <f>'13'!$G$77</f>
        <v>24</v>
      </c>
      <c r="AS17" s="256">
        <f>'13'!$G$78</f>
        <v>0</v>
      </c>
      <c r="AT17" s="256">
        <f t="shared" si="0"/>
        <v>643</v>
      </c>
      <c r="AU17" s="254">
        <f>SUM('13'!G91:G92)</f>
        <v>10.899999999999636</v>
      </c>
      <c r="AV17" s="254">
        <f>'13'!$G$88</f>
        <v>1.2700000000004366</v>
      </c>
      <c r="AW17" s="254">
        <f>'13'!$G$89</f>
        <v>7.3800000000010186</v>
      </c>
      <c r="AX17" s="254">
        <f>'13'!$G$90</f>
        <v>6.930000000007567</v>
      </c>
      <c r="AY17" s="252">
        <f t="shared" si="1"/>
        <v>15.580000000009022</v>
      </c>
      <c r="AZ17" s="311">
        <f t="shared" si="6"/>
        <v>19.174311926606144</v>
      </c>
      <c r="BA17" s="311">
        <f t="shared" si="3"/>
        <v>41.27086007699792</v>
      </c>
      <c r="BB17" s="351">
        <f t="shared" si="4"/>
        <v>3796</v>
      </c>
      <c r="BC17" s="351">
        <f t="shared" si="5"/>
        <v>22.595238095238095</v>
      </c>
    </row>
    <row r="18" spans="1:55">
      <c r="A18" s="359">
        <v>14</v>
      </c>
      <c r="B18" s="646">
        <f>'14'!G7</f>
        <v>17228</v>
      </c>
      <c r="C18" s="646">
        <f>'14'!G8</f>
        <v>17430</v>
      </c>
      <c r="D18" s="646">
        <f>'14'!G15</f>
        <v>745</v>
      </c>
      <c r="E18" s="646">
        <f>'14'!G20</f>
        <v>114</v>
      </c>
      <c r="F18" s="646">
        <f>SUM('14'!G35,'14'!G49)</f>
        <v>2564</v>
      </c>
      <c r="G18" s="646">
        <f>SUM('14'!G37,'14'!G51)</f>
        <v>1509</v>
      </c>
      <c r="H18" s="646">
        <f>SUM('14'!G38,'14'!G52)</f>
        <v>1832</v>
      </c>
      <c r="I18" s="646">
        <f>SUM('14'!G39,'14'!G53)</f>
        <v>2495</v>
      </c>
      <c r="J18" s="646">
        <f>SUM('14'!G41,'14'!G42,'14'!G55,'14'!G56)</f>
        <v>3132</v>
      </c>
      <c r="K18" s="646">
        <f>SUM('14'!G43,'14'!G57)</f>
        <v>2011</v>
      </c>
      <c r="L18" s="254">
        <f>'14'!G50</f>
        <v>861</v>
      </c>
      <c r="M18" s="254">
        <f>'14'!G36</f>
        <v>627</v>
      </c>
      <c r="N18" s="254">
        <f>'14'!G138</f>
        <v>65</v>
      </c>
      <c r="O18" s="254">
        <f>'14'!$G$139</f>
        <v>0</v>
      </c>
      <c r="P18" s="254">
        <f>'14'!$G$140</f>
        <v>0</v>
      </c>
      <c r="Q18" s="254">
        <f>'14'!$G$141</f>
        <v>164</v>
      </c>
      <c r="R18" s="254">
        <f>'14'!$G$142</f>
        <v>63</v>
      </c>
      <c r="S18" s="254">
        <f>'14'!$G$145</f>
        <v>13</v>
      </c>
      <c r="T18" s="251">
        <f>'14'!$G$146</f>
        <v>368</v>
      </c>
      <c r="U18" s="251">
        <f>'14'!$G$144</f>
        <v>236</v>
      </c>
      <c r="V18" s="251">
        <f>'14'!$G$147</f>
        <v>325</v>
      </c>
      <c r="W18" s="251">
        <f>'14'!$G$148</f>
        <v>181</v>
      </c>
      <c r="X18" s="251">
        <f>'14'!$G$143</f>
        <v>20</v>
      </c>
      <c r="Y18" s="251">
        <f>'14'!$G$58</f>
        <v>76</v>
      </c>
      <c r="Z18" s="251">
        <f>'14'!$G$151</f>
        <v>196</v>
      </c>
      <c r="AA18" s="251">
        <f>'14'!G161</f>
        <v>6</v>
      </c>
      <c r="AB18" s="251">
        <f>'14'!G162</f>
        <v>40</v>
      </c>
      <c r="AC18" s="251">
        <f>'14'!G88</f>
        <v>0</v>
      </c>
      <c r="AD18" s="251">
        <f>'14'!G163+'14'!G164</f>
        <v>73</v>
      </c>
      <c r="AE18" s="254">
        <f>'14'!$G$116</f>
        <v>0</v>
      </c>
      <c r="AF18" s="254">
        <f>'14'!$G$117</f>
        <v>21</v>
      </c>
      <c r="AG18" s="254">
        <f>'14'!$G$118</f>
        <v>377</v>
      </c>
      <c r="AH18" s="254">
        <f>'14'!$G$119</f>
        <v>377</v>
      </c>
      <c r="AI18" s="254">
        <f>'14'!$G$120</f>
        <v>411</v>
      </c>
      <c r="AJ18" s="254">
        <f>'14'!$G$121</f>
        <v>655</v>
      </c>
      <c r="AK18" s="254">
        <f>'14'!$G$122</f>
        <v>188</v>
      </c>
      <c r="AL18" s="254">
        <f>'14'!$G$123</f>
        <v>297</v>
      </c>
      <c r="AM18" s="254">
        <f>'14'!$G$133</f>
        <v>403</v>
      </c>
      <c r="AN18" s="254">
        <f>'14'!$G$15</f>
        <v>745</v>
      </c>
      <c r="AO18" s="256">
        <f>'14'!$G$74</f>
        <v>326</v>
      </c>
      <c r="AP18" s="256">
        <f>'14'!$G$75</f>
        <v>0</v>
      </c>
      <c r="AQ18" s="256">
        <f>'14'!$G$76</f>
        <v>75</v>
      </c>
      <c r="AR18" s="256">
        <f>'14'!$G$77</f>
        <v>27</v>
      </c>
      <c r="AS18" s="256">
        <f>'14'!$G$78</f>
        <v>1</v>
      </c>
      <c r="AT18" s="256">
        <f t="shared" si="0"/>
        <v>316</v>
      </c>
      <c r="AU18" s="254">
        <f>SUM('14'!G91:G92)</f>
        <v>11.450000000000728</v>
      </c>
      <c r="AV18" s="254">
        <f>'14'!$G$88</f>
        <v>0</v>
      </c>
      <c r="AW18" s="254">
        <f>'14'!$G$89</f>
        <v>1.8100000000013097</v>
      </c>
      <c r="AX18" s="254">
        <f>'14'!$G$90</f>
        <v>9.2299999999959255</v>
      </c>
      <c r="AY18" s="252">
        <f t="shared" si="1"/>
        <v>11.039999999997235</v>
      </c>
      <c r="AZ18" s="311">
        <f t="shared" si="6"/>
        <v>28.471615720522209</v>
      </c>
      <c r="BA18" s="311">
        <f t="shared" si="3"/>
        <v>28.623188405804271</v>
      </c>
      <c r="BB18" s="351">
        <f t="shared" si="4"/>
        <v>3811</v>
      </c>
      <c r="BC18" s="351">
        <f t="shared" si="5"/>
        <v>22.120965869514745</v>
      </c>
    </row>
    <row r="19" spans="1:55">
      <c r="A19" s="359">
        <v>15</v>
      </c>
      <c r="B19" s="646">
        <f>'15'!G7</f>
        <v>17216.75</v>
      </c>
      <c r="C19" s="646">
        <f>'15'!G8</f>
        <v>17328.710000000021</v>
      </c>
      <c r="D19" s="646">
        <f>'15'!G15</f>
        <v>965</v>
      </c>
      <c r="E19" s="646">
        <f>'15'!G20</f>
        <v>155</v>
      </c>
      <c r="F19" s="646">
        <f>SUM('15'!G35,'15'!G49)</f>
        <v>2552.4300000000003</v>
      </c>
      <c r="G19" s="646">
        <f>SUM('15'!G37,'15'!G51)</f>
        <v>1497.7399999999998</v>
      </c>
      <c r="H19" s="646">
        <f>SUM('15'!G38,'15'!G52)</f>
        <v>1386.9500000000007</v>
      </c>
      <c r="I19" s="646">
        <f>SUM('15'!G39,'15'!G53)</f>
        <v>2494.9000000000015</v>
      </c>
      <c r="J19" s="646">
        <f>SUM('15'!G41,'15'!G42,'15'!G55,'15'!G56)</f>
        <v>3008.3700000000099</v>
      </c>
      <c r="K19" s="646">
        <f>SUM('15'!G43,'15'!G57)</f>
        <v>2012.7100000000064</v>
      </c>
      <c r="L19" s="254">
        <f>'15'!G50</f>
        <v>902.7300000000032</v>
      </c>
      <c r="M19" s="254">
        <f>'15'!G36</f>
        <v>573.68999999999869</v>
      </c>
      <c r="N19" s="254">
        <f>'15'!G138</f>
        <v>56</v>
      </c>
      <c r="O19" s="254">
        <f>'15'!$G$139</f>
        <v>1</v>
      </c>
      <c r="P19" s="254">
        <f>'15'!$G$140</f>
        <v>0</v>
      </c>
      <c r="Q19" s="254">
        <f>'15'!$G$141</f>
        <v>175.9800000000032</v>
      </c>
      <c r="R19" s="254">
        <f>'15'!$G$142</f>
        <v>71.919999999998254</v>
      </c>
      <c r="S19" s="254">
        <f>'15'!$G$145</f>
        <v>14.420000000000073</v>
      </c>
      <c r="T19" s="251">
        <f>'15'!$G$146</f>
        <v>381</v>
      </c>
      <c r="U19" s="251">
        <f>'15'!$G$144</f>
        <v>231</v>
      </c>
      <c r="V19" s="251">
        <f>'15'!$G$147</f>
        <v>390.8399999999674</v>
      </c>
      <c r="W19" s="251">
        <f>'15'!$G$148</f>
        <v>181.56000000005588</v>
      </c>
      <c r="X19" s="251">
        <f>'15'!$G$143</f>
        <v>26.070000000000164</v>
      </c>
      <c r="Y19" s="251">
        <f>'15'!$G$58</f>
        <v>179.03999999999996</v>
      </c>
      <c r="Z19" s="251">
        <f>'15'!$G$151</f>
        <v>238</v>
      </c>
      <c r="AA19" s="251">
        <f>'15'!G161</f>
        <v>8.0399999999790452</v>
      </c>
      <c r="AB19" s="251">
        <f>'15'!G162</f>
        <v>38.30000000000291</v>
      </c>
      <c r="AC19" s="251">
        <f>'15'!G88</f>
        <v>2.0000000000436557E-2</v>
      </c>
      <c r="AD19" s="251">
        <f>'15'!G163+'15'!G164</f>
        <v>59.600000000005821</v>
      </c>
      <c r="AE19" s="254">
        <f>'15'!$G$116</f>
        <v>0</v>
      </c>
      <c r="AF19" s="254">
        <f>'15'!$G$117</f>
        <v>23.873999999999796</v>
      </c>
      <c r="AG19" s="254">
        <f>'15'!$G$118</f>
        <v>324.19000000000233</v>
      </c>
      <c r="AH19" s="254">
        <f>'15'!$G$119</f>
        <v>345.26999999998952</v>
      </c>
      <c r="AI19" s="254">
        <f>'15'!$G$120</f>
        <v>418</v>
      </c>
      <c r="AJ19" s="254">
        <f>'15'!$G$121</f>
        <v>645.19000000000233</v>
      </c>
      <c r="AK19" s="254">
        <f>'15'!$G$122</f>
        <v>183.83999999999651</v>
      </c>
      <c r="AL19" s="254">
        <f>'15'!$G$123</f>
        <v>230.64000000001397</v>
      </c>
      <c r="AM19" s="254">
        <f>'15'!$G$133</f>
        <v>398.27000000000407</v>
      </c>
      <c r="AN19" s="254">
        <f>'15'!$G$15</f>
        <v>965</v>
      </c>
      <c r="AO19" s="256">
        <f>'15'!$G$74</f>
        <v>313</v>
      </c>
      <c r="AP19" s="256">
        <f>'15'!$G$75</f>
        <v>0</v>
      </c>
      <c r="AQ19" s="256">
        <f>'15'!$G$76</f>
        <v>75</v>
      </c>
      <c r="AR19" s="256">
        <f>'15'!$G$77</f>
        <v>26.400000000001455</v>
      </c>
      <c r="AS19" s="256">
        <f>'15'!$G$78</f>
        <v>1</v>
      </c>
      <c r="AT19" s="256">
        <f t="shared" si="0"/>
        <v>549.59999999999854</v>
      </c>
      <c r="AU19" s="254">
        <f>SUM('15'!G91:G92)</f>
        <v>11.019999999999527</v>
      </c>
      <c r="AV19" s="254">
        <f>'15'!$G$88</f>
        <v>2.0000000000436557E-2</v>
      </c>
      <c r="AW19" s="254">
        <f>'15'!$G$89</f>
        <v>9.9599999999991269</v>
      </c>
      <c r="AX19" s="254">
        <f>'15'!$G$90</f>
        <v>2.9400000000023283</v>
      </c>
      <c r="AY19" s="252">
        <f t="shared" si="1"/>
        <v>12.920000000001892</v>
      </c>
      <c r="AZ19" s="311">
        <f t="shared" si="6"/>
        <v>28.402903811253488</v>
      </c>
      <c r="BA19" s="311">
        <f t="shared" si="3"/>
        <v>42.538699690396136</v>
      </c>
      <c r="BB19" s="351">
        <f t="shared" si="4"/>
        <v>4196.5700000000033</v>
      </c>
      <c r="BC19" s="351">
        <f t="shared" si="5"/>
        <v>24.374925581192755</v>
      </c>
    </row>
    <row r="20" spans="1:55">
      <c r="A20" s="359">
        <v>16</v>
      </c>
      <c r="B20" s="646">
        <f>'16'!G7</f>
        <v>17314.25</v>
      </c>
      <c r="C20" s="646">
        <f>'16'!G8</f>
        <v>17406.289999999979</v>
      </c>
      <c r="D20" s="646">
        <f>'16'!G15</f>
        <v>1006</v>
      </c>
      <c r="E20" s="646">
        <f>'16'!G20</f>
        <v>135</v>
      </c>
      <c r="F20" s="646">
        <f>SUM('16'!G35,'16'!G49)</f>
        <v>2589.5699999999997</v>
      </c>
      <c r="G20" s="646">
        <f>SUM('16'!G37,'16'!G51)</f>
        <v>1483.2600000000002</v>
      </c>
      <c r="H20" s="646">
        <f>SUM('16'!G38,'16'!G52)</f>
        <v>1625.0499999999993</v>
      </c>
      <c r="I20" s="646">
        <f>SUM('16'!G39,'16'!G53)</f>
        <v>2600.0999999999985</v>
      </c>
      <c r="J20" s="646">
        <f>SUM('16'!G41,'16'!G42,'16'!G55,'16'!G56)</f>
        <v>3032.7699999999968</v>
      </c>
      <c r="K20" s="646">
        <f>SUM('16'!G43,'16'!G57)</f>
        <v>2071.2899999999936</v>
      </c>
      <c r="L20" s="254">
        <f>'16'!G50</f>
        <v>868.2699999999968</v>
      </c>
      <c r="M20" s="254">
        <f>'16'!G36</f>
        <v>587.31000000000131</v>
      </c>
      <c r="N20" s="254">
        <f>'16'!G138</f>
        <v>59</v>
      </c>
      <c r="O20" s="254">
        <f>'16'!$G$139</f>
        <v>0</v>
      </c>
      <c r="P20" s="254">
        <f>'16'!$G$140</f>
        <v>0</v>
      </c>
      <c r="Q20" s="254">
        <f>'16'!$G$141</f>
        <v>165.0199999999968</v>
      </c>
      <c r="R20" s="254">
        <f>'16'!$G$142</f>
        <v>76.080000000001746</v>
      </c>
      <c r="S20" s="254">
        <f>'16'!$G$145</f>
        <v>15.579999999999927</v>
      </c>
      <c r="T20" s="251">
        <f>'16'!$G$146</f>
        <v>441</v>
      </c>
      <c r="U20" s="251">
        <f>'16'!$G$144</f>
        <v>226</v>
      </c>
      <c r="V20" s="251">
        <f>'16'!$G$147</f>
        <v>336.1600000000326</v>
      </c>
      <c r="W20" s="251">
        <f>'16'!$G$148</f>
        <v>163.43999999994412</v>
      </c>
      <c r="X20" s="251">
        <f>'16'!$G$143</f>
        <v>22.929999999999836</v>
      </c>
      <c r="Y20" s="251">
        <f>'16'!$G$58</f>
        <v>187.96000000000004</v>
      </c>
      <c r="Z20" s="251">
        <f>'16'!$G$151</f>
        <v>224</v>
      </c>
      <c r="AA20" s="251">
        <f>'16'!G161</f>
        <v>6.9600000000209548</v>
      </c>
      <c r="AB20" s="251">
        <f>'16'!G162</f>
        <v>13.69999999999709</v>
      </c>
      <c r="AC20" s="251">
        <f>'16'!G88</f>
        <v>0</v>
      </c>
      <c r="AD20" s="251">
        <f>'16'!G163+'16'!G164</f>
        <v>36.399999999994179</v>
      </c>
      <c r="AE20" s="254">
        <f>'16'!$G$116</f>
        <v>0</v>
      </c>
      <c r="AF20" s="254">
        <f>'16'!$G$117</f>
        <v>23.126000000000204</v>
      </c>
      <c r="AG20" s="254">
        <f>'16'!$G$118</f>
        <v>306.80999999999767</v>
      </c>
      <c r="AH20" s="254">
        <f>'16'!$G$119</f>
        <v>457.73000000001048</v>
      </c>
      <c r="AI20" s="254">
        <f>'16'!$G$120</f>
        <v>435</v>
      </c>
      <c r="AJ20" s="254">
        <f>'16'!$G$121</f>
        <v>669.80999999999767</v>
      </c>
      <c r="AK20" s="254">
        <f>'16'!$G$122</f>
        <v>168.16000000000349</v>
      </c>
      <c r="AL20" s="254">
        <f>'16'!$G$123</f>
        <v>270.35999999998603</v>
      </c>
      <c r="AM20" s="254">
        <f>'16'!$G$133</f>
        <v>468.72999999999593</v>
      </c>
      <c r="AN20" s="254">
        <f>'16'!$G$15</f>
        <v>1006</v>
      </c>
      <c r="AO20" s="256">
        <f>'16'!$G$74</f>
        <v>304</v>
      </c>
      <c r="AP20" s="256">
        <f>'16'!$G$75</f>
        <v>0</v>
      </c>
      <c r="AQ20" s="256">
        <f>'16'!$G$76</f>
        <v>90</v>
      </c>
      <c r="AR20" s="256">
        <f>'16'!$G$77</f>
        <v>26.599999999998545</v>
      </c>
      <c r="AS20" s="256">
        <f>'16'!$G$78</f>
        <v>1</v>
      </c>
      <c r="AT20" s="256">
        <f t="shared" si="0"/>
        <v>584.40000000000146</v>
      </c>
      <c r="AU20" s="254">
        <f>SUM('16'!G91:G92)</f>
        <v>10.619999999999891</v>
      </c>
      <c r="AV20" s="254">
        <f>'16'!$G$88</f>
        <v>0</v>
      </c>
      <c r="AW20" s="254">
        <f>'16'!$G$89</f>
        <v>8.1399999999994179</v>
      </c>
      <c r="AX20" s="254">
        <f>'16'!$G$90</f>
        <v>9.6900000000023283</v>
      </c>
      <c r="AY20" s="252">
        <f t="shared" si="1"/>
        <v>17.830000000001746</v>
      </c>
      <c r="AZ20" s="311">
        <f t="shared" si="6"/>
        <v>28.625235404896717</v>
      </c>
      <c r="BA20" s="311">
        <f t="shared" si="3"/>
        <v>32.776219854175224</v>
      </c>
      <c r="BB20" s="351">
        <f t="shared" si="4"/>
        <v>3816.28999999999</v>
      </c>
      <c r="BC20" s="351">
        <f t="shared" si="5"/>
        <v>22.041324342665664</v>
      </c>
    </row>
    <row r="21" spans="1:55">
      <c r="A21" s="359">
        <v>17</v>
      </c>
      <c r="B21" s="646">
        <f>'17'!G7</f>
        <v>17454</v>
      </c>
      <c r="C21" s="646">
        <f>'17'!G8</f>
        <v>17543</v>
      </c>
      <c r="D21" s="646">
        <f>'17'!G15</f>
        <v>734.2730000000447</v>
      </c>
      <c r="E21" s="646">
        <f>'17'!G20</f>
        <v>133</v>
      </c>
      <c r="F21" s="646">
        <f>SUM('17'!G35,'17'!G49)</f>
        <v>2686.2100000000009</v>
      </c>
      <c r="G21" s="646">
        <f>SUM('17'!G37,'17'!G51)</f>
        <v>1510.42</v>
      </c>
      <c r="H21" s="646">
        <f>SUM('17'!G38,'17'!G52)</f>
        <v>1604.1599999999999</v>
      </c>
      <c r="I21" s="646">
        <f>SUM('17'!G39,'17'!G53)</f>
        <v>2698</v>
      </c>
      <c r="J21" s="646">
        <f>SUM('17'!G41,'17'!G42,'17'!G55,'17'!G56)</f>
        <v>3005.1699999999983</v>
      </c>
      <c r="K21" s="646">
        <f>SUM('17'!G43,'17'!G57)</f>
        <v>2219.1499999999942</v>
      </c>
      <c r="L21" s="254">
        <f>'17'!G50</f>
        <v>838.52999999999884</v>
      </c>
      <c r="M21" s="254">
        <f>'17'!G36</f>
        <v>592.45999999999913</v>
      </c>
      <c r="N21" s="254">
        <f>'18 '!G138</f>
        <v>60</v>
      </c>
      <c r="O21" s="254">
        <f>'17'!$G$139</f>
        <v>0</v>
      </c>
      <c r="P21" s="254">
        <f>'17'!$G$140</f>
        <v>0</v>
      </c>
      <c r="Q21" s="254">
        <f>'17'!$G$141</f>
        <v>158.80000000000291</v>
      </c>
      <c r="R21" s="254">
        <f>'17'!$G$142</f>
        <v>78.090000000000146</v>
      </c>
      <c r="S21" s="254">
        <f>'17'!$G$145</f>
        <v>14.340000000000146</v>
      </c>
      <c r="T21" s="251">
        <f>'17'!$G$146</f>
        <v>428</v>
      </c>
      <c r="U21" s="251">
        <f>'17'!$G$144</f>
        <v>233</v>
      </c>
      <c r="V21" s="251">
        <f>'17'!$G$147</f>
        <v>330</v>
      </c>
      <c r="W21" s="251">
        <f>'17'!$G$148</f>
        <v>164</v>
      </c>
      <c r="X21" s="251">
        <f>'17'!$G$143</f>
        <v>27.510000000000218</v>
      </c>
      <c r="Y21" s="251">
        <f>'17'!$G$58</f>
        <v>17.599999999999909</v>
      </c>
      <c r="Z21" s="251">
        <f>'17'!$G$151</f>
        <v>213</v>
      </c>
      <c r="AA21" s="251">
        <f>'17'!G161</f>
        <v>7</v>
      </c>
      <c r="AB21" s="251">
        <f>'17'!G162</f>
        <v>37</v>
      </c>
      <c r="AC21" s="251">
        <f>'17'!G88</f>
        <v>0</v>
      </c>
      <c r="AD21" s="251">
        <f>'17'!G163+'17'!G164</f>
        <v>62.599999999996726</v>
      </c>
      <c r="AE21" s="254">
        <f>'17'!$G$116</f>
        <v>0</v>
      </c>
      <c r="AF21" s="254">
        <f>'17'!$G$117</f>
        <v>22.9699999999998</v>
      </c>
      <c r="AG21" s="254">
        <f>'17'!$G$118</f>
        <v>337</v>
      </c>
      <c r="AH21" s="254">
        <f>'17'!$G$119</f>
        <v>457</v>
      </c>
      <c r="AI21" s="254">
        <f>'17'!$G$120</f>
        <v>434.40000000000146</v>
      </c>
      <c r="AJ21" s="254">
        <f>'17'!$G$121</f>
        <v>691</v>
      </c>
      <c r="AK21" s="254">
        <f>'17'!$G$122</f>
        <v>185.44000000000233</v>
      </c>
      <c r="AL21" s="254">
        <f>'17'!$G$123</f>
        <v>256.63000000000466</v>
      </c>
      <c r="AM21" s="254">
        <f>'17'!$G$133</f>
        <v>488.60000000000582</v>
      </c>
      <c r="AN21" s="254">
        <f>'17'!$G$15</f>
        <v>734.2730000000447</v>
      </c>
      <c r="AO21" s="256">
        <f>'17'!$G$74</f>
        <v>307.90000000002328</v>
      </c>
      <c r="AP21" s="256">
        <f>'17'!$G$75</f>
        <v>-0.19999999999708962</v>
      </c>
      <c r="AQ21" s="256">
        <f>'17'!$G$76</f>
        <v>73.5</v>
      </c>
      <c r="AR21" s="256">
        <f>'17'!$G$77</f>
        <v>23.30000000000291</v>
      </c>
      <c r="AS21" s="256">
        <f>'17'!$G$78</f>
        <v>0</v>
      </c>
      <c r="AT21" s="256">
        <f t="shared" si="0"/>
        <v>329.7730000000156</v>
      </c>
      <c r="AU21" s="254">
        <f>SUM('17'!G91:G92)</f>
        <v>10.850000000000364</v>
      </c>
      <c r="AV21" s="254">
        <f>'17'!$G$88</f>
        <v>0</v>
      </c>
      <c r="AW21" s="254">
        <f>'17'!$G$89</f>
        <v>3.5400000000008731</v>
      </c>
      <c r="AX21" s="254">
        <f>'17'!$G$90</f>
        <v>4.8399999999965075</v>
      </c>
      <c r="AY21" s="252">
        <f t="shared" si="1"/>
        <v>8.3799999999973807</v>
      </c>
      <c r="AZ21" s="311">
        <f t="shared" si="6"/>
        <v>28.377880184332991</v>
      </c>
      <c r="BA21" s="311">
        <f t="shared" si="3"/>
        <v>39.35238663485903</v>
      </c>
      <c r="BB21" s="351">
        <f t="shared" si="4"/>
        <v>3802.2900000000063</v>
      </c>
      <c r="BC21" s="351">
        <f t="shared" si="5"/>
        <v>21.78463389480925</v>
      </c>
    </row>
    <row r="22" spans="1:55">
      <c r="A22" s="359">
        <v>18</v>
      </c>
      <c r="B22" s="646">
        <f>'18 '!G7</f>
        <v>17765</v>
      </c>
      <c r="C22" s="646">
        <f>'18 '!G8</f>
        <v>18064.830000000016</v>
      </c>
      <c r="D22" s="646">
        <f>'18 '!G15</f>
        <v>881.7269999999553</v>
      </c>
      <c r="E22" s="646">
        <f>'18 '!G20</f>
        <v>154</v>
      </c>
      <c r="F22" s="646">
        <f>SUM('18 '!G35,'18 '!G49)</f>
        <v>2634.4799999999996</v>
      </c>
      <c r="G22" s="646">
        <f>SUM('18 '!G37,'18 '!G51)</f>
        <v>1562.5499999999993</v>
      </c>
      <c r="H22" s="646">
        <f>SUM('18 '!G38,'18 '!G52)</f>
        <v>1696.2999999999993</v>
      </c>
      <c r="I22" s="646">
        <f>SUM('18 '!G39,'18 '!G53)</f>
        <v>2546.4900000000016</v>
      </c>
      <c r="J22" s="646">
        <f>SUM('18 '!G41,'18 '!G42,'18 '!G55,'18 '!G56)</f>
        <v>3090.5200000000041</v>
      </c>
      <c r="K22" s="646">
        <f>SUM('18 '!G43,'18 '!G57)</f>
        <v>2338</v>
      </c>
      <c r="L22" s="254">
        <f>'18 '!G50</f>
        <v>921.40000000000146</v>
      </c>
      <c r="M22" s="254">
        <f>'18 '!G36</f>
        <v>600.90000000000146</v>
      </c>
      <c r="N22" s="254">
        <f>'18 '!G138</f>
        <v>60</v>
      </c>
      <c r="O22" s="254">
        <f>'18 '!$G$139</f>
        <v>1</v>
      </c>
      <c r="P22" s="254">
        <f>'18 '!$G$140</f>
        <v>0</v>
      </c>
      <c r="Q22" s="254">
        <f>'18 '!$G$141</f>
        <v>171.84999999999854</v>
      </c>
      <c r="R22" s="254">
        <f>'18 '!$G$142</f>
        <v>80.540000000000873</v>
      </c>
      <c r="S22" s="254">
        <f>'18 '!$G$145</f>
        <v>14.849999999999454</v>
      </c>
      <c r="T22" s="251">
        <f>'18 '!$G$146</f>
        <v>366</v>
      </c>
      <c r="U22" s="251">
        <f>'18 '!$G$144</f>
        <v>220</v>
      </c>
      <c r="V22" s="256">
        <f>'18 '!$G$147</f>
        <v>304.56000000005588</v>
      </c>
      <c r="W22" s="256">
        <f>'18 '!$G$148</f>
        <v>155.43999999994412</v>
      </c>
      <c r="X22" s="256">
        <f>'18 '!$G$143</f>
        <v>24.949999999999818</v>
      </c>
      <c r="Y22" s="256">
        <f>'18 '!$G$58</f>
        <v>131.88000000000011</v>
      </c>
      <c r="Z22" s="256">
        <f>'18 '!$G$151</f>
        <v>254</v>
      </c>
      <c r="AA22" s="256">
        <f>'18 '!G161</f>
        <v>7.5599999999976717</v>
      </c>
      <c r="AB22" s="251">
        <f>'18 '!G162</f>
        <v>40.30000000000291</v>
      </c>
      <c r="AC22" s="251">
        <f>'18 '!G88</f>
        <v>1.8699999999989814</v>
      </c>
      <c r="AD22" s="251">
        <f>'18 '!G163+'18 '!G164</f>
        <v>71.900000000003274</v>
      </c>
      <c r="AE22" s="254">
        <f>'18 '!$G$116</f>
        <v>0</v>
      </c>
      <c r="AF22" s="254">
        <f>'18 '!$G$117</f>
        <v>23.140000000000327</v>
      </c>
      <c r="AG22" s="254">
        <f>'18 '!$G$118</f>
        <v>351.48999999999069</v>
      </c>
      <c r="AH22" s="254">
        <f>'18 '!$G$119</f>
        <v>441.04999999998836</v>
      </c>
      <c r="AI22" s="254">
        <f>'18 '!$G$120</f>
        <v>434.66999999999825</v>
      </c>
      <c r="AJ22" s="254">
        <f>'18 '!$G$121</f>
        <v>651</v>
      </c>
      <c r="AK22" s="254">
        <f>'18 '!$G$122</f>
        <v>168.55999999999767</v>
      </c>
      <c r="AL22" s="254">
        <f>'18 '!$G$123</f>
        <v>264.95999999999185</v>
      </c>
      <c r="AM22" s="254">
        <f>'18 '!$G$133</f>
        <v>500.79999999998836</v>
      </c>
      <c r="AN22" s="254">
        <f>'18 '!$G$15</f>
        <v>881.7269999999553</v>
      </c>
      <c r="AO22" s="256">
        <f>'18 '!$G$74</f>
        <v>285.25</v>
      </c>
      <c r="AP22" s="256">
        <f>'18 '!$G$75</f>
        <v>0</v>
      </c>
      <c r="AQ22" s="256">
        <f>'18 '!$G$76</f>
        <v>80.5</v>
      </c>
      <c r="AR22" s="256">
        <f>'18 '!$G$77</f>
        <v>22.69999999999709</v>
      </c>
      <c r="AS22" s="256">
        <f>'18 '!$G$78</f>
        <v>1</v>
      </c>
      <c r="AT22" s="256">
        <f t="shared" si="0"/>
        <v>492.27699999995821</v>
      </c>
      <c r="AU22" s="254">
        <f>SUM('18 '!G91:G92)</f>
        <v>10.069999999999709</v>
      </c>
      <c r="AV22" s="254">
        <f>'18 '!$G$88</f>
        <v>1.8699999999989814</v>
      </c>
      <c r="AW22" s="254">
        <f>'18 '!$G$89</f>
        <v>7.4199999999982538</v>
      </c>
      <c r="AX22" s="254">
        <f>'18 '!$G$90</f>
        <v>0.71000000000640284</v>
      </c>
      <c r="AY22" s="252">
        <f t="shared" si="1"/>
        <v>10.000000000003638</v>
      </c>
      <c r="AZ22" s="311">
        <f t="shared" si="6"/>
        <v>28.326713008938256</v>
      </c>
      <c r="BA22" s="311">
        <f t="shared" si="3"/>
        <v>49.227699999977915</v>
      </c>
      <c r="BB22" s="351">
        <f t="shared" si="4"/>
        <v>4064.6100000000115</v>
      </c>
      <c r="BC22" s="351">
        <f t="shared" si="5"/>
        <v>22.879876160990776</v>
      </c>
    </row>
    <row r="23" spans="1:55" s="313" customFormat="1">
      <c r="A23" s="359">
        <v>19</v>
      </c>
      <c r="B23" s="646">
        <f>'19'!G7</f>
        <v>18033</v>
      </c>
      <c r="C23" s="646">
        <f>'19'!G8</f>
        <v>18721.169999999984</v>
      </c>
      <c r="D23" s="646">
        <f>'19'!G15</f>
        <v>834.30000000004657</v>
      </c>
      <c r="E23" s="646">
        <f>'19'!G20</f>
        <v>157</v>
      </c>
      <c r="F23" s="646">
        <f>SUM('19'!G35,'19'!G49)</f>
        <v>2941.6499999999996</v>
      </c>
      <c r="G23" s="646">
        <f>SUM('19'!G37,'19'!G51)</f>
        <v>1596.17</v>
      </c>
      <c r="H23" s="646">
        <f>SUM('19'!G38,'19'!G52)</f>
        <v>1623.5400000000009</v>
      </c>
      <c r="I23" s="646">
        <f>SUM('19'!G39,'19'!G53)</f>
        <v>2646.0699999999997</v>
      </c>
      <c r="J23" s="646">
        <f>SUM('19'!G41,'19'!G42,'19'!G55,'19'!G56)</f>
        <v>2846.1399999999994</v>
      </c>
      <c r="K23" s="646">
        <f>SUM('19'!G43,'19'!G57)</f>
        <v>2372.3700000000099</v>
      </c>
      <c r="L23" s="251">
        <f>'19'!G50</f>
        <v>975.76000000000204</v>
      </c>
      <c r="M23" s="251">
        <f>'19'!G36</f>
        <v>661.59999999999854</v>
      </c>
      <c r="N23" s="251">
        <f>'19'!G138</f>
        <v>59</v>
      </c>
      <c r="O23" s="251">
        <f>'19'!$G$139</f>
        <v>0</v>
      </c>
      <c r="P23" s="251">
        <f>'19'!$G$140</f>
        <v>0</v>
      </c>
      <c r="Q23" s="251">
        <f>'19'!$G$141</f>
        <v>171.04999999999563</v>
      </c>
      <c r="R23" s="254">
        <f>'19'!G142</f>
        <v>66.610000000000582</v>
      </c>
      <c r="S23" s="251">
        <f>'19'!$G$145</f>
        <v>16.210000000000036</v>
      </c>
      <c r="T23" s="251">
        <f>'19'!$G$146</f>
        <v>407</v>
      </c>
      <c r="U23" s="251">
        <f>'19'!$G$144</f>
        <v>220</v>
      </c>
      <c r="V23" s="251">
        <f>'19'!$G$147</f>
        <v>351.07999999995809</v>
      </c>
      <c r="W23" s="251">
        <f>'19'!$G$148</f>
        <v>166.08000000007451</v>
      </c>
      <c r="X23" s="251">
        <f>'19'!$G$143</f>
        <v>24.059999999999945</v>
      </c>
      <c r="Y23" s="251">
        <f>'19'!$G$58</f>
        <v>161.78999999999996</v>
      </c>
      <c r="Z23" s="251">
        <f>'19'!$G$151</f>
        <v>190</v>
      </c>
      <c r="AA23" s="251">
        <f>'19'!G161</f>
        <v>7.2000000000116415</v>
      </c>
      <c r="AB23" s="251">
        <f>'19'!G162</f>
        <v>42.099999999991269</v>
      </c>
      <c r="AC23" s="251">
        <f>'19'!G88</f>
        <v>0.20999999999912689</v>
      </c>
      <c r="AD23" s="251">
        <f>'19'!G163+'19'!G164</f>
        <v>68.80000000000291</v>
      </c>
      <c r="AE23" s="251">
        <f>'19'!$G$116</f>
        <v>0</v>
      </c>
      <c r="AF23" s="251">
        <f>'19'!$G$117</f>
        <v>23.339999999999691</v>
      </c>
      <c r="AG23" s="251">
        <f>'19'!$G$118</f>
        <v>365.60000000000582</v>
      </c>
      <c r="AH23" s="251">
        <f>'19'!$G$119</f>
        <v>443.40000000002328</v>
      </c>
      <c r="AI23" s="251">
        <f>'19'!$G$120</f>
        <v>407.05999999999767</v>
      </c>
      <c r="AJ23" s="251">
        <f>'19'!$G$121</f>
        <v>665.42999999999302</v>
      </c>
      <c r="AK23" s="251">
        <f>'19'!$G$122</f>
        <v>173.49000000000524</v>
      </c>
      <c r="AL23" s="251">
        <f>'19'!$G$123</f>
        <v>278.76000000000931</v>
      </c>
      <c r="AM23" s="251">
        <f>'19'!$G$133</f>
        <v>668.02999999999884</v>
      </c>
      <c r="AN23" s="251">
        <f>'19'!$G$15</f>
        <v>834.30000000004657</v>
      </c>
      <c r="AO23" s="256">
        <f>'19'!$G$74</f>
        <v>306.34999999997672</v>
      </c>
      <c r="AP23" s="256">
        <f>'19'!$G$75</f>
        <v>0</v>
      </c>
      <c r="AQ23" s="256">
        <f>'19'!$G$76</f>
        <v>83.899999999994179</v>
      </c>
      <c r="AR23" s="256">
        <f>'19'!$G$77</f>
        <v>27.099999999998545</v>
      </c>
      <c r="AS23" s="256">
        <f>'19'!$G$78</f>
        <v>1.2999999999992724</v>
      </c>
      <c r="AT23" s="256">
        <f t="shared" si="0"/>
        <v>415.65000000007785</v>
      </c>
      <c r="AU23" s="251">
        <f>SUM('19'!G91:G92)</f>
        <v>10.730000000000473</v>
      </c>
      <c r="AV23" s="251">
        <f>'19'!$G$88</f>
        <v>0.20999999999912689</v>
      </c>
      <c r="AW23" s="251">
        <f>'19'!$G$89</f>
        <v>7.0200000000004366</v>
      </c>
      <c r="AX23" s="251">
        <f>'19'!$G$90</f>
        <v>1.8600000000005821</v>
      </c>
      <c r="AY23" s="255">
        <f t="shared" si="1"/>
        <v>9.0900000000001455</v>
      </c>
      <c r="AZ23" s="311">
        <f t="shared" si="6"/>
        <v>28.550792171478399</v>
      </c>
      <c r="BA23" s="311">
        <f t="shared" si="3"/>
        <v>45.726072607268556</v>
      </c>
      <c r="BB23" s="351">
        <f t="shared" si="4"/>
        <v>4533.4399999999732</v>
      </c>
      <c r="BC23" s="351">
        <f t="shared" si="5"/>
        <v>25.139688349137543</v>
      </c>
    </row>
    <row r="24" spans="1:55">
      <c r="A24" s="359">
        <v>20</v>
      </c>
      <c r="B24" s="646">
        <f>'20'!G7</f>
        <v>16723.150000000023</v>
      </c>
      <c r="C24" s="646">
        <f>'20'!G8</f>
        <v>17336.710000000021</v>
      </c>
      <c r="D24" s="646">
        <f>'20'!G15</f>
        <v>986.94999999995343</v>
      </c>
      <c r="E24" s="646">
        <f>'20'!G20</f>
        <v>216</v>
      </c>
      <c r="F24" s="646">
        <f>SUM('20'!G35,'20'!G49)</f>
        <v>2570.5700000000015</v>
      </c>
      <c r="G24" s="646">
        <f>SUM('20'!G37,'20'!G51)</f>
        <v>1537.7799999999988</v>
      </c>
      <c r="H24" s="646">
        <f>SUM('20'!G38,'20'!G52)</f>
        <v>1612.8499999999985</v>
      </c>
      <c r="I24" s="646">
        <f>SUM('20'!G39,'20'!G53)</f>
        <v>2507.0499999999993</v>
      </c>
      <c r="J24" s="646">
        <f>SUM('20'!G41,'20'!G42,'20'!G55,'20'!G56)</f>
        <v>2588.6399999999994</v>
      </c>
      <c r="K24" s="646">
        <f>SUM('20'!G43,'20'!G57)</f>
        <v>2313.4700000000012</v>
      </c>
      <c r="L24" s="254">
        <f>'20'!G50</f>
        <v>914.65999999999622</v>
      </c>
      <c r="M24" s="254">
        <f>'20'!G36</f>
        <v>594.86000000000058</v>
      </c>
      <c r="N24" s="254">
        <f>'20'!G138</f>
        <v>57</v>
      </c>
      <c r="O24" s="254">
        <f>'20'!$G$139</f>
        <v>1</v>
      </c>
      <c r="P24" s="254">
        <f>'20'!$G$140</f>
        <v>19</v>
      </c>
      <c r="Q24" s="254">
        <f>'20'!$G$141</f>
        <v>163.31999999999971</v>
      </c>
      <c r="R24" s="254">
        <f>'20'!$G$142</f>
        <v>74.889999999999418</v>
      </c>
      <c r="S24" s="254">
        <f>'20'!$G$145</f>
        <v>14.880000000000109</v>
      </c>
      <c r="T24" s="251">
        <f>'20'!$G$146</f>
        <v>346</v>
      </c>
      <c r="U24" s="251">
        <f>'20'!$G$144</f>
        <v>226</v>
      </c>
      <c r="V24" s="251">
        <f>'20'!$G$147</f>
        <v>347.35999999998603</v>
      </c>
      <c r="W24" s="251">
        <f>'20'!$G$148</f>
        <v>160.47999999998137</v>
      </c>
      <c r="X24" s="251">
        <f>'20'!$G$143</f>
        <v>26.25</v>
      </c>
      <c r="Y24" s="251">
        <f>'20'!$G$58</f>
        <v>256.7199999999998</v>
      </c>
      <c r="Z24" s="251">
        <f>'20'!$G$151</f>
        <v>212</v>
      </c>
      <c r="AA24" s="251">
        <f>'20'!G161</f>
        <v>6.4799999999813735</v>
      </c>
      <c r="AB24" s="251">
        <f>'20'!G162</f>
        <v>36.100000000005821</v>
      </c>
      <c r="AC24" s="251">
        <f>'20'!G88</f>
        <v>0</v>
      </c>
      <c r="AD24" s="251">
        <f>'20'!G163+'20'!G164</f>
        <v>53.30000000000291</v>
      </c>
      <c r="AE24" s="254">
        <f>'20'!$G$116</f>
        <v>0</v>
      </c>
      <c r="AF24" s="254">
        <f>'20'!$G$117</f>
        <v>22.680000000000291</v>
      </c>
      <c r="AG24" s="254">
        <f>'20'!$G$118</f>
        <v>343.23999999999069</v>
      </c>
      <c r="AH24" s="254">
        <f>'20'!$G$119</f>
        <v>432.47999999998137</v>
      </c>
      <c r="AI24" s="254">
        <f>'20'!$G$120</f>
        <v>402.74000000000524</v>
      </c>
      <c r="AJ24" s="254">
        <f>'20'!$G$121</f>
        <v>607.0800000000163</v>
      </c>
      <c r="AK24" s="254">
        <f>'20'!$G$122</f>
        <v>154.1299999999901</v>
      </c>
      <c r="AL24" s="254">
        <f>'20'!$G$123</f>
        <v>273.07000000000698</v>
      </c>
      <c r="AM24" s="254">
        <f>'20'!$G$133</f>
        <v>655.39000000001397</v>
      </c>
      <c r="AN24" s="254">
        <f>'20'!$G$15</f>
        <v>986.94999999995343</v>
      </c>
      <c r="AO24" s="256">
        <f>'20'!$G$74</f>
        <v>295.15000000002328</v>
      </c>
      <c r="AP24" s="256">
        <f>'20'!$G$75</f>
        <v>0</v>
      </c>
      <c r="AQ24" s="256">
        <f>'20'!$G$76</f>
        <v>83.64000000001397</v>
      </c>
      <c r="AR24" s="256">
        <f>'20'!$G$77</f>
        <v>25.599999999998545</v>
      </c>
      <c r="AS24" s="256">
        <f>'20'!$G$78</f>
        <v>0.6000000000003638</v>
      </c>
      <c r="AT24" s="256">
        <f t="shared" si="0"/>
        <v>581.95999999991727</v>
      </c>
      <c r="AU24" s="254">
        <f>SUM('20'!G91:G92)</f>
        <v>10.329999999999927</v>
      </c>
      <c r="AV24" s="254">
        <f>'20'!$G$88</f>
        <v>0</v>
      </c>
      <c r="AW24" s="254">
        <f>'20'!$G$89</f>
        <v>11.18999999999869</v>
      </c>
      <c r="AX24" s="254">
        <f>'20'!$G$90</f>
        <v>2.7399999999906868</v>
      </c>
      <c r="AY24" s="252">
        <f t="shared" si="1"/>
        <v>13.929999999989377</v>
      </c>
      <c r="AZ24" s="311">
        <f t="shared" si="6"/>
        <v>28.572120038724623</v>
      </c>
      <c r="BA24" s="311">
        <f t="shared" si="3"/>
        <v>41.777458722208259</v>
      </c>
      <c r="BB24" s="351">
        <f t="shared" si="4"/>
        <v>3949.6300000000228</v>
      </c>
      <c r="BC24" s="351">
        <f t="shared" si="5"/>
        <v>23.617739480899335</v>
      </c>
    </row>
    <row r="25" spans="1:55">
      <c r="A25" s="359">
        <v>21</v>
      </c>
      <c r="B25" s="646">
        <f>'21'!G7</f>
        <v>17868.559999999998</v>
      </c>
      <c r="C25" s="646">
        <f>'21'!G8</f>
        <v>18548.039999999979</v>
      </c>
      <c r="D25" s="646">
        <f>'21'!G15</f>
        <v>1017.3400000000838</v>
      </c>
      <c r="E25" s="646">
        <f>'21'!G20</f>
        <v>167</v>
      </c>
      <c r="F25" s="646">
        <f>SUM('21'!G35,'21'!G49)</f>
        <v>2555.7699999999968</v>
      </c>
      <c r="G25" s="646">
        <f>SUM('21'!G37,'21'!G51)</f>
        <v>1565.5</v>
      </c>
      <c r="H25" s="646">
        <f>SUM('21'!G38,'21'!G52)</f>
        <v>1671.4500000000007</v>
      </c>
      <c r="I25" s="646">
        <f>SUM('21'!G39,'21'!G53)</f>
        <v>2598.239999999998</v>
      </c>
      <c r="J25" s="646">
        <f>SUM('21'!G41,'21'!G42,'21'!G55,'21'!G56)</f>
        <v>2838.3999999999942</v>
      </c>
      <c r="K25" s="646">
        <f>SUM('21'!G43,'21'!G57)</f>
        <v>2339.9399999999878</v>
      </c>
      <c r="L25" s="254">
        <f>'21'!G50</f>
        <v>1160.0500000000029</v>
      </c>
      <c r="M25" s="254">
        <f>'21'!G36</f>
        <v>661.91000000000349</v>
      </c>
      <c r="N25" s="254">
        <f>'21'!G138</f>
        <v>68</v>
      </c>
      <c r="O25" s="254">
        <f>'21'!$G$139</f>
        <v>2</v>
      </c>
      <c r="P25" s="254">
        <f>'21'!$G$140</f>
        <v>1.5</v>
      </c>
      <c r="Q25" s="254">
        <f>'21'!$G$141</f>
        <v>183.9600000000064</v>
      </c>
      <c r="R25" s="254">
        <f>'21'!$G$142</f>
        <v>82.779999999998836</v>
      </c>
      <c r="S25" s="254">
        <f>'21'!$G$145</f>
        <v>15.119999999999891</v>
      </c>
      <c r="T25" s="251">
        <f>'21'!$G$146</f>
        <v>369</v>
      </c>
      <c r="U25" s="251">
        <f>'21'!$G$144</f>
        <v>227</v>
      </c>
      <c r="V25" s="251">
        <f>'21'!$G$147</f>
        <v>376.11999999999534</v>
      </c>
      <c r="W25" s="251">
        <f>'21'!$G$148</f>
        <v>154.88000000000466</v>
      </c>
      <c r="X25" s="251">
        <f>'21'!$G$143</f>
        <v>23.769999999999982</v>
      </c>
      <c r="Y25" s="251">
        <f>'21'!$G$58</f>
        <v>234.19000000000005</v>
      </c>
      <c r="Z25" s="251">
        <f>'21'!$G$151</f>
        <v>226</v>
      </c>
      <c r="AA25" s="251">
        <f>'21'!G161</f>
        <v>101.76000000000931</v>
      </c>
      <c r="AB25" s="251">
        <f>'21'!G162</f>
        <v>41.80000000000291</v>
      </c>
      <c r="AC25" s="251">
        <f>'21'!G88</f>
        <v>0</v>
      </c>
      <c r="AD25" s="251">
        <f>'21'!G163+'21'!G164</f>
        <v>54.100000000000364</v>
      </c>
      <c r="AE25" s="254">
        <f>'21'!$G$116</f>
        <v>0</v>
      </c>
      <c r="AF25" s="254">
        <f>'21'!$G$117</f>
        <v>23.139999999999873</v>
      </c>
      <c r="AG25" s="254">
        <f>'21'!$G$118</f>
        <v>333.44000000000233</v>
      </c>
      <c r="AH25" s="254">
        <f>'21'!$G$119</f>
        <v>440.86000000001513</v>
      </c>
      <c r="AI25" s="254">
        <f>'21'!$G$120</f>
        <v>411.36000000000058</v>
      </c>
      <c r="AJ25" s="254">
        <f>'21'!$G$121</f>
        <v>673.20000000001164</v>
      </c>
      <c r="AK25" s="254">
        <f>'21'!$G$122</f>
        <v>203.35000000000582</v>
      </c>
      <c r="AL25" s="254">
        <f>'21'!$G$123</f>
        <v>265.57999999998719</v>
      </c>
      <c r="AM25" s="254">
        <f>'21'!$G$133</f>
        <v>655.83999999999651</v>
      </c>
      <c r="AN25" s="254">
        <f>'21'!$G$15</f>
        <v>1017.3400000000838</v>
      </c>
      <c r="AO25" s="256">
        <f>'21'!$G$74</f>
        <v>294.76000000000931</v>
      </c>
      <c r="AP25" s="256">
        <f>'21'!$G$75</f>
        <v>0</v>
      </c>
      <c r="AQ25" s="256">
        <f>'21'!$G$76</f>
        <v>104.77999999999884</v>
      </c>
      <c r="AR25" s="256">
        <f>'21'!$G$77</f>
        <v>50.30000000000291</v>
      </c>
      <c r="AS25" s="256">
        <f>'21'!$G$78</f>
        <v>1.1000000000003638</v>
      </c>
      <c r="AT25" s="256">
        <f t="shared" si="0"/>
        <v>566.4000000000724</v>
      </c>
      <c r="AU25" s="254">
        <f>SUM('21'!G91:G92)</f>
        <v>10.309999999999491</v>
      </c>
      <c r="AV25" s="254">
        <f>'21'!$G$88</f>
        <v>0</v>
      </c>
      <c r="AW25" s="254">
        <f>'21'!$G$89</f>
        <v>10.30000000000291</v>
      </c>
      <c r="AX25" s="254">
        <f>'21'!$G$90</f>
        <v>2.1199999999953434</v>
      </c>
      <c r="AY25" s="252">
        <f t="shared" si="1"/>
        <v>12.419999999998254</v>
      </c>
      <c r="AZ25" s="311">
        <f t="shared" si="6"/>
        <v>28.589718719691938</v>
      </c>
      <c r="BA25" s="311">
        <f t="shared" si="3"/>
        <v>45.603864734311756</v>
      </c>
      <c r="BB25" s="351">
        <f t="shared" si="4"/>
        <v>4744.5500000000011</v>
      </c>
      <c r="BC25" s="351">
        <f t="shared" si="5"/>
        <v>26.552503391431667</v>
      </c>
    </row>
    <row r="26" spans="1:55">
      <c r="A26" s="359">
        <v>22</v>
      </c>
      <c r="B26" s="646">
        <f>'22'!G7</f>
        <v>19215.959999999963</v>
      </c>
      <c r="C26" s="646">
        <f>'22'!G8</f>
        <v>19922.760000000009</v>
      </c>
      <c r="D26" s="646">
        <f>'22'!G15</f>
        <v>1036.4099999999162</v>
      </c>
      <c r="E26" s="646">
        <f>'22'!G20</f>
        <v>176</v>
      </c>
      <c r="F26" s="646">
        <f>SUM('22'!G35,'22'!G49)</f>
        <v>2596.6300000000028</v>
      </c>
      <c r="G26" s="646">
        <f>SUM('22'!G37,'22'!G51)</f>
        <v>1587.0900000000001</v>
      </c>
      <c r="H26" s="646">
        <f>SUM('22'!G38,'22'!G52)</f>
        <v>1787.2400000000016</v>
      </c>
      <c r="I26" s="646">
        <f>SUM('22'!G39,'22'!G53)</f>
        <v>2648.7000000000044</v>
      </c>
      <c r="J26" s="646">
        <f>SUM('22'!G41,'22'!G42,'22'!G55,'22'!G56)</f>
        <v>3073.5800000000017</v>
      </c>
      <c r="K26" s="646">
        <f>SUM('22'!G43,'22'!G57)</f>
        <v>2333.4200000000128</v>
      </c>
      <c r="L26" s="254">
        <f>'22'!G50</f>
        <v>1510.6999999999971</v>
      </c>
      <c r="M26" s="254">
        <f>'22'!G36</f>
        <v>834.2899999999936</v>
      </c>
      <c r="N26" s="254">
        <f>'22'!G138</f>
        <v>107</v>
      </c>
      <c r="O26" s="254">
        <f>'22'!$G$139</f>
        <v>9</v>
      </c>
      <c r="P26" s="254">
        <f>'22'!$G$140</f>
        <v>1.5299999999988358</v>
      </c>
      <c r="Q26" s="254">
        <f>'22'!$G$141</f>
        <v>192.63999999999942</v>
      </c>
      <c r="R26" s="254">
        <f>'22'!$G$142</f>
        <v>79.819999999999709</v>
      </c>
      <c r="S26" s="254">
        <f>'22'!$G$145</f>
        <v>14.800000000000182</v>
      </c>
      <c r="T26" s="251">
        <f>'22'!$G$146</f>
        <v>446</v>
      </c>
      <c r="U26" s="251">
        <f>'22'!$G$144</f>
        <v>229</v>
      </c>
      <c r="V26" s="251">
        <f>'22'!$G$147</f>
        <v>492</v>
      </c>
      <c r="W26" s="251">
        <f>'22'!$G$148</f>
        <v>202.55999999993946</v>
      </c>
      <c r="X26" s="251">
        <f>'22'!$G$143</f>
        <v>27.960000000000036</v>
      </c>
      <c r="Y26" s="251">
        <f>'22'!$G$58</f>
        <v>243.45000000000027</v>
      </c>
      <c r="Z26" s="251">
        <f>'22'!$G$151</f>
        <v>219</v>
      </c>
      <c r="AA26" s="251">
        <f>'22'!G161</f>
        <v>218</v>
      </c>
      <c r="AB26" s="251">
        <f>'22'!G162</f>
        <v>29.30000000000291</v>
      </c>
      <c r="AC26" s="251">
        <f>'22'!G88</f>
        <v>0</v>
      </c>
      <c r="AD26" s="251">
        <f>'22'!G163+'22'!G164</f>
        <v>37.599999999996726</v>
      </c>
      <c r="AE26" s="254">
        <f>'22'!$G$116</f>
        <v>0</v>
      </c>
      <c r="AF26" s="254">
        <f>'22'!$G$117</f>
        <v>23.110000000000127</v>
      </c>
      <c r="AG26" s="254">
        <f>'22'!$G$118</f>
        <v>312.96000000002095</v>
      </c>
      <c r="AH26" s="254">
        <f>'22'!$G$119</f>
        <v>408.85999999998603</v>
      </c>
      <c r="AI26" s="254">
        <f>'22'!$G$120</f>
        <v>424.18000000000029</v>
      </c>
      <c r="AJ26" s="254">
        <f>'22'!$G$121</f>
        <v>705.19999999995343</v>
      </c>
      <c r="AK26" s="254">
        <f>'22'!$G$122</f>
        <v>222.64999999999418</v>
      </c>
      <c r="AL26" s="254">
        <f>'22'!$G$123</f>
        <v>271.79999999998836</v>
      </c>
      <c r="AM26" s="254">
        <f>'22'!$G$133</f>
        <v>653.44000000000233</v>
      </c>
      <c r="AN26" s="254">
        <f>'22'!$G$15</f>
        <v>1036.4099999999162</v>
      </c>
      <c r="AO26" s="256">
        <f>'22'!$G$74</f>
        <v>307.70999999996275</v>
      </c>
      <c r="AP26" s="256">
        <f>'22'!$G$75</f>
        <v>0</v>
      </c>
      <c r="AQ26" s="256">
        <f>'22'!$G$76</f>
        <v>119.35000000000582</v>
      </c>
      <c r="AR26" s="256">
        <f>'22'!$G$77</f>
        <v>40</v>
      </c>
      <c r="AS26" s="256">
        <f>'22'!$G$78</f>
        <v>3</v>
      </c>
      <c r="AT26" s="256">
        <f t="shared" si="0"/>
        <v>566.34999999994761</v>
      </c>
      <c r="AU26" s="254">
        <f>SUM('22'!G91:G92)</f>
        <v>10.75</v>
      </c>
      <c r="AV26" s="254">
        <f>'22'!$G$88</f>
        <v>0</v>
      </c>
      <c r="AW26" s="254">
        <f>'22'!$G$89</f>
        <v>9.8799999999973807</v>
      </c>
      <c r="AX26" s="254">
        <f>'22'!$G$90</f>
        <v>3.4500000000116415</v>
      </c>
      <c r="AY26" s="252">
        <f t="shared" si="1"/>
        <v>13.330000000009022</v>
      </c>
      <c r="AZ26" s="311">
        <f t="shared" si="6"/>
        <v>28.624186046508161</v>
      </c>
      <c r="BA26" s="311">
        <f t="shared" si="3"/>
        <v>42.486871717896797</v>
      </c>
      <c r="BB26" s="351">
        <f t="shared" si="4"/>
        <v>5652.6499999999851</v>
      </c>
      <c r="BC26" s="351">
        <f t="shared" si="5"/>
        <v>29.416433006729804</v>
      </c>
    </row>
    <row r="27" spans="1:55">
      <c r="A27" s="359">
        <v>23</v>
      </c>
      <c r="B27" s="646">
        <f>'23'!G7</f>
        <v>18703.160000000033</v>
      </c>
      <c r="C27" s="646">
        <f>'23'!G8</f>
        <v>19388.319999999949</v>
      </c>
      <c r="D27" s="646">
        <f>'23'!G15</f>
        <v>979.91999999992549</v>
      </c>
      <c r="E27" s="646">
        <f>'23'!G20</f>
        <v>216</v>
      </c>
      <c r="F27" s="646">
        <f>SUM('23'!G35,'23'!G49)</f>
        <v>2448.6800000000003</v>
      </c>
      <c r="G27" s="646">
        <f>SUM('23'!G37,'23'!G51)</f>
        <v>1571.9800000000032</v>
      </c>
      <c r="H27" s="646">
        <f>SUM('23'!G38,'23'!G52)</f>
        <v>1932.0699999999997</v>
      </c>
      <c r="I27" s="646">
        <f>SUM('23'!G39,'23'!G53)</f>
        <v>2576.25</v>
      </c>
      <c r="J27" s="646">
        <f>SUM('23'!G41,'23'!G42,'23'!G55,'23'!G56)</f>
        <v>2695.2200000000012</v>
      </c>
      <c r="K27" s="646">
        <f>SUM('23'!G43,'23'!G57)</f>
        <v>2339.2399999999907</v>
      </c>
      <c r="L27" s="254">
        <f>'23'!G50</f>
        <v>1627.260000000002</v>
      </c>
      <c r="M27" s="254">
        <f>'23'!G36</f>
        <v>1155.2800000000061</v>
      </c>
      <c r="N27" s="254">
        <f>'23'!G138</f>
        <v>109</v>
      </c>
      <c r="O27" s="254">
        <f>'23'!G139</f>
        <v>5</v>
      </c>
      <c r="P27" s="254">
        <f>'23'!$G$140</f>
        <v>2</v>
      </c>
      <c r="Q27" s="254">
        <f>'23'!$G$141</f>
        <v>183.70999999999913</v>
      </c>
      <c r="R27" s="254">
        <f>'23'!$G$142</f>
        <v>78.540000000000873</v>
      </c>
      <c r="S27" s="254">
        <f>'23'!$G$145</f>
        <v>14.0600000000004</v>
      </c>
      <c r="T27" s="251">
        <f>'23'!$G$146</f>
        <v>417</v>
      </c>
      <c r="U27" s="251">
        <f>'23'!$G$144</f>
        <v>221</v>
      </c>
      <c r="V27" s="251">
        <f>'23'!$G$147</f>
        <v>421.8399999999674</v>
      </c>
      <c r="W27" s="251">
        <f>'23'!$G$148</f>
        <v>267.52000000001863</v>
      </c>
      <c r="X27" s="251">
        <f>'23'!$G$143</f>
        <v>27.119999999999891</v>
      </c>
      <c r="Y27" s="251">
        <f>'23'!$G$58</f>
        <v>225.96000000000004</v>
      </c>
      <c r="Z27" s="251">
        <f>'23'!$G$151</f>
        <v>238</v>
      </c>
      <c r="AA27" s="251">
        <f>'23'!$G$161</f>
        <v>16</v>
      </c>
      <c r="AB27" s="251">
        <f>'23'!G162</f>
        <v>14.299999999988358</v>
      </c>
      <c r="AC27" s="251">
        <f>'23'!G88</f>
        <v>2.0100000000020373</v>
      </c>
      <c r="AD27" s="251">
        <f>'23'!G163+'23'!G164</f>
        <v>35.099999999996726</v>
      </c>
      <c r="AE27" s="254">
        <f>'23'!$G$116</f>
        <v>0</v>
      </c>
      <c r="AF27" s="254">
        <f>'23'!$G$117</f>
        <v>23.099999999999909</v>
      </c>
      <c r="AG27" s="254">
        <f>'23'!$G$118</f>
        <v>340.17999999999302</v>
      </c>
      <c r="AH27" s="254">
        <f>'23'!$G$119</f>
        <v>417.17999999999302</v>
      </c>
      <c r="AI27" s="254">
        <f>'23'!$G$120</f>
        <v>406.45999999999913</v>
      </c>
      <c r="AJ27" s="254">
        <f>'23'!$G$121</f>
        <v>664.1600000000326</v>
      </c>
      <c r="AK27" s="254">
        <f>'23'!$G$122</f>
        <v>209.97000000000116</v>
      </c>
      <c r="AL27" s="254">
        <f>'23'!$G$123</f>
        <v>273.30999999999767</v>
      </c>
      <c r="AM27" s="254">
        <f>'23'!$G$133</f>
        <v>661.32999999998719</v>
      </c>
      <c r="AN27" s="254">
        <f>'23'!$G$15</f>
        <v>979.91999999992549</v>
      </c>
      <c r="AO27" s="256">
        <f>'23'!$G$74</f>
        <v>292.69000000006054</v>
      </c>
      <c r="AP27" s="256">
        <f>'23'!$G$75</f>
        <v>0</v>
      </c>
      <c r="AQ27" s="256">
        <f>'23'!$G$76</f>
        <v>101.32999999998719</v>
      </c>
      <c r="AR27" s="256">
        <f>'23'!$G$77</f>
        <v>36</v>
      </c>
      <c r="AS27" s="256">
        <f>'23'!$G$78</f>
        <v>1</v>
      </c>
      <c r="AT27" s="256">
        <f t="shared" si="0"/>
        <v>548.89999999987776</v>
      </c>
      <c r="AU27" s="254">
        <f>SUM('23'!G91:G92)</f>
        <v>10.220000000000255</v>
      </c>
      <c r="AV27" s="254">
        <f>'23'!$G$88</f>
        <v>2.0100000000020373</v>
      </c>
      <c r="AW27" s="254">
        <f>'23'!$G$89</f>
        <v>8.1700000000018917</v>
      </c>
      <c r="AX27" s="254">
        <f>'23'!$G$90</f>
        <v>1.4899999999906868</v>
      </c>
      <c r="AY27" s="252">
        <f t="shared" si="1"/>
        <v>11.669999999994616</v>
      </c>
      <c r="AZ27" s="311">
        <f t="shared" si="6"/>
        <v>28.638943248537501</v>
      </c>
      <c r="BA27" s="311">
        <f t="shared" si="3"/>
        <v>47.035132819205742</v>
      </c>
      <c r="BB27" s="351">
        <f t="shared" si="4"/>
        <v>5598.9199999999546</v>
      </c>
      <c r="BC27" s="351">
        <f t="shared" si="5"/>
        <v>29.935690011741034</v>
      </c>
    </row>
    <row r="28" spans="1:55" s="315" customFormat="1">
      <c r="A28" s="359">
        <v>24</v>
      </c>
      <c r="B28" s="646">
        <f>'24'!G7</f>
        <v>16363.169999999984</v>
      </c>
      <c r="C28" s="646">
        <f>'24'!G8</f>
        <v>16876.170000000042</v>
      </c>
      <c r="D28" s="646">
        <f>'24'!G15</f>
        <v>1037.0800000000745</v>
      </c>
      <c r="E28" s="646">
        <f>'24'!G20</f>
        <v>212</v>
      </c>
      <c r="F28" s="646">
        <f>SUM('24'!G35,'24'!G49)</f>
        <v>2037.0099999999984</v>
      </c>
      <c r="G28" s="646">
        <f>SUM('24'!G37,'24'!G51)</f>
        <v>1645.5099999999984</v>
      </c>
      <c r="H28" s="646">
        <f>SUM('24'!G38,'24'!G52)</f>
        <v>1826.3899999999994</v>
      </c>
      <c r="I28" s="646">
        <f>SUM('24'!G39,'24'!G53)</f>
        <v>2607.1999999999971</v>
      </c>
      <c r="J28" s="646">
        <f>SUM('24'!G41,'24'!G42,'24'!G55,'24'!G56)</f>
        <v>2484.3300000000017</v>
      </c>
      <c r="K28" s="646">
        <f>SUM('24'!G43,'24'!G57)</f>
        <v>2087.4100000000035</v>
      </c>
      <c r="L28" s="254">
        <f>'24'!G50</f>
        <v>1014.6399999999994</v>
      </c>
      <c r="M28" s="251">
        <f>'24'!G36</f>
        <v>656.69999999999709</v>
      </c>
      <c r="N28" s="251">
        <f>'24'!G138</f>
        <v>64</v>
      </c>
      <c r="O28" s="251">
        <f>'24'!G139</f>
        <v>0</v>
      </c>
      <c r="P28" s="251">
        <f>'24'!$G$140</f>
        <v>-2.9999999998835847E-2</v>
      </c>
      <c r="Q28" s="251">
        <f>'24'!$G$141</f>
        <v>173.66999999999825</v>
      </c>
      <c r="R28" s="251">
        <f>'24'!$G$142</f>
        <v>81.729999999999563</v>
      </c>
      <c r="S28" s="251">
        <f>'24'!$G$145</f>
        <v>6.7399999999997817</v>
      </c>
      <c r="T28" s="251">
        <f>'24'!$G$146</f>
        <v>398</v>
      </c>
      <c r="U28" s="251">
        <f>'24'!$G$144</f>
        <v>213</v>
      </c>
      <c r="V28" s="251">
        <f>'24'!$G$147</f>
        <v>318.04000000003725</v>
      </c>
      <c r="W28" s="251">
        <f>'24'!$G$148</f>
        <v>154.04000000003725</v>
      </c>
      <c r="X28" s="251">
        <f>'24'!$G$143</f>
        <v>34.380000000000109</v>
      </c>
      <c r="Y28" s="251">
        <f>'24'!$G$58</f>
        <v>214.40999999999985</v>
      </c>
      <c r="Z28" s="251">
        <f>'24'!$G$151</f>
        <v>207</v>
      </c>
      <c r="AA28" s="251">
        <f>'24'!G161</f>
        <v>69.520000000018626</v>
      </c>
      <c r="AB28" s="251">
        <f>'24'!G162</f>
        <v>34.100000000005821</v>
      </c>
      <c r="AC28" s="251">
        <f>'24'!G88</f>
        <v>-0.38000000000101863</v>
      </c>
      <c r="AD28" s="251">
        <f>'24'!G163+'24'!G164</f>
        <v>71.600000000000364</v>
      </c>
      <c r="AE28" s="251">
        <f>'24'!$G$116</f>
        <v>0</v>
      </c>
      <c r="AF28" s="251">
        <f>'24'!$G$117</f>
        <v>22.519999999999982</v>
      </c>
      <c r="AG28" s="251">
        <f>'24'!$G$118</f>
        <v>376.08999999999651</v>
      </c>
      <c r="AH28" s="251">
        <f>'24'!$G$119</f>
        <v>407.17000000001281</v>
      </c>
      <c r="AI28" s="251">
        <f>'24'!$G$120</f>
        <v>413.89999999999418</v>
      </c>
      <c r="AJ28" s="251">
        <f>'24'!$G$121</f>
        <v>659.92999999999302</v>
      </c>
      <c r="AK28" s="251">
        <f>'24'!$G$122</f>
        <v>187.41000000000349</v>
      </c>
      <c r="AL28" s="251">
        <f>'24'!$G$123</f>
        <v>265.89000000001397</v>
      </c>
      <c r="AM28" s="251">
        <f>'24'!$G$133</f>
        <v>437.57000000000698</v>
      </c>
      <c r="AN28" s="251">
        <f>'24'!$G$15</f>
        <v>1037.0800000000745</v>
      </c>
      <c r="AO28" s="256">
        <f>'24'!$G$74</f>
        <v>311.18999999994412</v>
      </c>
      <c r="AP28" s="256">
        <f>'24'!$G$75</f>
        <v>0</v>
      </c>
      <c r="AQ28" s="256">
        <f>'24'!$G$76</f>
        <v>114</v>
      </c>
      <c r="AR28" s="256">
        <f>'24'!$G$77</f>
        <v>34</v>
      </c>
      <c r="AS28" s="256">
        <f>'24'!$G$78</f>
        <v>1</v>
      </c>
      <c r="AT28" s="256">
        <f>AN28-SUM(AO28:AS28)</f>
        <v>576.89000000013039</v>
      </c>
      <c r="AU28" s="251">
        <f>SUM('24'!G91:G92)</f>
        <v>11.329999999999927</v>
      </c>
      <c r="AV28" s="251">
        <f>'24'!$G$88</f>
        <v>-0.38000000000101863</v>
      </c>
      <c r="AW28" s="251">
        <f>'24'!$G$89</f>
        <v>10.389999999999418</v>
      </c>
      <c r="AX28" s="251">
        <f>'24'!$G$90</f>
        <v>2.6300000000046566</v>
      </c>
      <c r="AY28" s="255">
        <f t="shared" si="1"/>
        <v>12.640000000003056</v>
      </c>
      <c r="AZ28" s="311">
        <f t="shared" si="6"/>
        <v>27.466019417470971</v>
      </c>
      <c r="BA28" s="311">
        <f t="shared" si="3"/>
        <v>45.640031645568904</v>
      </c>
      <c r="BB28" s="351">
        <f t="shared" si="4"/>
        <v>3973.9100000000435</v>
      </c>
      <c r="BC28" s="351">
        <f t="shared" si="5"/>
        <v>24.28569769794024</v>
      </c>
    </row>
    <row r="29" spans="1:55">
      <c r="A29" s="359">
        <v>25</v>
      </c>
      <c r="B29" s="646">
        <f>'25'!G7</f>
        <v>16329</v>
      </c>
      <c r="C29" s="646">
        <f>'25'!G8</f>
        <v>16627</v>
      </c>
      <c r="D29" s="646">
        <f>'25'!G15</f>
        <v>815</v>
      </c>
      <c r="E29" s="646">
        <f>'25'!G20</f>
        <v>190</v>
      </c>
      <c r="F29" s="646">
        <f>SUM('25'!G35,'25'!G49)</f>
        <v>2140</v>
      </c>
      <c r="G29" s="646">
        <f>SUM('25'!G37,'25'!G51)</f>
        <v>1608</v>
      </c>
      <c r="H29" s="646">
        <f>SUM('25'!G38,'25'!G52)</f>
        <v>1761</v>
      </c>
      <c r="I29" s="646">
        <f>SUM('25'!G39,'25'!G53)</f>
        <v>2591</v>
      </c>
      <c r="J29" s="646">
        <f>SUM('25'!G41,'25'!G42,'25'!G55,'25'!G56)</f>
        <v>3028.3999999999942</v>
      </c>
      <c r="K29" s="646">
        <f>SUM('25'!G43,'25'!G57)</f>
        <v>1958</v>
      </c>
      <c r="L29" s="254">
        <f>'25'!G50</f>
        <v>1011</v>
      </c>
      <c r="M29" s="254">
        <f>'25'!G36</f>
        <v>600</v>
      </c>
      <c r="N29" s="254">
        <f>'25'!G138</f>
        <v>76</v>
      </c>
      <c r="O29" s="254">
        <f>'25'!$G$139</f>
        <v>1</v>
      </c>
      <c r="P29" s="254">
        <f>'25'!$G$140</f>
        <v>0</v>
      </c>
      <c r="Q29" s="254">
        <f>'25'!$G$141</f>
        <v>173</v>
      </c>
      <c r="R29" s="254">
        <f>'25'!$G$142</f>
        <v>65</v>
      </c>
      <c r="S29" s="254">
        <f>'25'!$G$145</f>
        <v>6</v>
      </c>
      <c r="T29" s="251">
        <f>'25'!$G$146</f>
        <v>402</v>
      </c>
      <c r="U29" s="251">
        <f>'25'!$G$144</f>
        <v>204</v>
      </c>
      <c r="V29" s="251">
        <f>'25'!$G$147</f>
        <v>365</v>
      </c>
      <c r="W29" s="251">
        <f>'25'!$G$148</f>
        <v>158</v>
      </c>
      <c r="X29" s="251">
        <f>'25'!$G$143</f>
        <v>26</v>
      </c>
      <c r="Y29" s="251">
        <f>'25'!$G$58</f>
        <v>110</v>
      </c>
      <c r="Z29" s="251">
        <f>'25'!$G$151</f>
        <v>250</v>
      </c>
      <c r="AA29" s="251">
        <f>'25'!G161</f>
        <v>20.479999999981374</v>
      </c>
      <c r="AB29" s="251">
        <f>'25'!G162</f>
        <v>38</v>
      </c>
      <c r="AC29" s="251">
        <f>'25'!G88</f>
        <v>0</v>
      </c>
      <c r="AD29" s="251">
        <f>'25'!G163+'25'!G164</f>
        <v>36</v>
      </c>
      <c r="AE29" s="254">
        <f>'25'!$G$116</f>
        <v>0</v>
      </c>
      <c r="AF29" s="254">
        <f>'25'!$G$117</f>
        <v>23</v>
      </c>
      <c r="AG29" s="254">
        <f>'25'!$G$118</f>
        <v>338</v>
      </c>
      <c r="AH29" s="254">
        <f>'25'!$G$119</f>
        <v>419</v>
      </c>
      <c r="AI29" s="254">
        <f>'25'!$G$120</f>
        <v>406.2300000000032</v>
      </c>
      <c r="AJ29" s="254">
        <f>'25'!$G$121</f>
        <v>710</v>
      </c>
      <c r="AK29" s="254">
        <f>'25'!$G$122</f>
        <v>179</v>
      </c>
      <c r="AL29" s="254">
        <f>'25'!$G$123</f>
        <v>263</v>
      </c>
      <c r="AM29" s="254">
        <f>'25'!$G$133</f>
        <v>397</v>
      </c>
      <c r="AN29" s="254">
        <f>'25'!$G$15</f>
        <v>815</v>
      </c>
      <c r="AO29" s="256">
        <f>'25'!$G$74</f>
        <v>296</v>
      </c>
      <c r="AP29" s="256">
        <f>'25'!$G$75</f>
        <v>0</v>
      </c>
      <c r="AQ29" s="256">
        <f>'25'!$G$76</f>
        <v>102</v>
      </c>
      <c r="AR29" s="256">
        <f>'25'!$G$77</f>
        <v>28</v>
      </c>
      <c r="AS29" s="256">
        <f>'25'!$G$78</f>
        <v>0</v>
      </c>
      <c r="AT29" s="256">
        <f t="shared" si="0"/>
        <v>389</v>
      </c>
      <c r="AU29" s="254">
        <f>SUM('25'!G91:G92)</f>
        <v>9.6799999999998363</v>
      </c>
      <c r="AV29" s="254">
        <f>'25'!$G$88</f>
        <v>0</v>
      </c>
      <c r="AW29" s="254">
        <f>'25'!$G$89</f>
        <v>4.9799999999995634</v>
      </c>
      <c r="AX29" s="254">
        <f>'25'!$G$90</f>
        <v>4</v>
      </c>
      <c r="AY29" s="252">
        <f t="shared" si="1"/>
        <v>8.9799999999995634</v>
      </c>
      <c r="BA29" s="311">
        <f t="shared" si="3"/>
        <v>43.318485523387409</v>
      </c>
      <c r="BB29" s="351">
        <f t="shared" si="4"/>
        <v>3430.6000000000058</v>
      </c>
      <c r="BC29" s="351">
        <f t="shared" si="5"/>
        <v>21.009247351338146</v>
      </c>
    </row>
    <row r="30" spans="1:55">
      <c r="A30" s="359">
        <v>26</v>
      </c>
      <c r="B30" s="646">
        <f>'26'!G7</f>
        <v>16454</v>
      </c>
      <c r="C30" s="646">
        <f>'26'!G8</f>
        <v>16892</v>
      </c>
      <c r="D30" s="646">
        <f>'26'!G15</f>
        <v>936</v>
      </c>
      <c r="E30" s="646">
        <f>'26'!G20</f>
        <v>175</v>
      </c>
      <c r="F30" s="646">
        <f>SUM('26'!G35,'26'!G49)</f>
        <v>2079</v>
      </c>
      <c r="G30" s="646">
        <f>SUM('26'!G37,'26'!G51)</f>
        <v>1519</v>
      </c>
      <c r="H30" s="646">
        <f>SUM('26'!G38,'26'!G52)</f>
        <v>1746</v>
      </c>
      <c r="I30" s="646">
        <f>SUM('26'!G39,'26'!G53)</f>
        <v>2557</v>
      </c>
      <c r="J30" s="646">
        <f>SUM('26'!G41,'26'!G42,'26'!G55,'26'!G56)</f>
        <v>3448</v>
      </c>
      <c r="K30" s="646">
        <f>SUM('26'!G43,'26'!G57)</f>
        <v>1948</v>
      </c>
      <c r="L30" s="254">
        <f>'26'!G50</f>
        <v>1009</v>
      </c>
      <c r="M30" s="254">
        <f>'26'!G36</f>
        <v>643</v>
      </c>
      <c r="N30" s="254">
        <f>'26'!G138</f>
        <v>62</v>
      </c>
      <c r="O30" s="254">
        <f>'26'!$G$139</f>
        <v>0</v>
      </c>
      <c r="P30" s="254">
        <f>'26'!$G$140</f>
        <v>0</v>
      </c>
      <c r="Q30" s="254">
        <f>'26'!$G$141</f>
        <v>189</v>
      </c>
      <c r="R30" s="254">
        <f>'26'!$G$142</f>
        <v>95</v>
      </c>
      <c r="S30" s="254">
        <f>'26'!$G$145</f>
        <v>6</v>
      </c>
      <c r="T30" s="251">
        <f>'26'!$G$146</f>
        <v>380</v>
      </c>
      <c r="U30" s="251">
        <f>'26'!$G$144</f>
        <v>194</v>
      </c>
      <c r="V30" s="251">
        <f>'26'!$G$147</f>
        <v>348</v>
      </c>
      <c r="W30" s="251">
        <f>'26'!$G$148</f>
        <v>191</v>
      </c>
      <c r="X30" s="251">
        <f>'26'!$G$143</f>
        <v>30</v>
      </c>
      <c r="Y30" s="251">
        <f>'26'!$G$58</f>
        <v>202</v>
      </c>
      <c r="Z30" s="251">
        <f>'26'!$G$151</f>
        <v>232</v>
      </c>
      <c r="AA30" s="251">
        <f>'26'!G161</f>
        <v>16</v>
      </c>
      <c r="AB30" s="251">
        <f>'26'!G162</f>
        <v>30</v>
      </c>
      <c r="AC30" s="251">
        <f>'26'!G88</f>
        <v>0</v>
      </c>
      <c r="AD30" s="251">
        <f>'26'!G163+'26'!G164</f>
        <v>34</v>
      </c>
      <c r="AE30" s="254">
        <f>'26'!$G$116</f>
        <v>0</v>
      </c>
      <c r="AF30" s="254">
        <f>'26'!$G$117</f>
        <v>27</v>
      </c>
      <c r="AG30" s="254">
        <f>'26'!$G$118</f>
        <v>337</v>
      </c>
      <c r="AH30" s="254">
        <f>'26'!$G$119</f>
        <v>427</v>
      </c>
      <c r="AI30" s="254">
        <f>'26'!$G$120</f>
        <v>423</v>
      </c>
      <c r="AJ30" s="254">
        <f>'26'!$G$121</f>
        <v>837</v>
      </c>
      <c r="AK30" s="254">
        <f>'26'!$G$122</f>
        <v>157</v>
      </c>
      <c r="AL30" s="254">
        <f>'26'!$G$123</f>
        <v>266</v>
      </c>
      <c r="AM30" s="254">
        <f>'26'!$G$133</f>
        <v>428</v>
      </c>
      <c r="AN30" s="254">
        <f>'26'!$G$15</f>
        <v>936</v>
      </c>
      <c r="AO30" s="256">
        <f>'26'!$G$74</f>
        <v>286</v>
      </c>
      <c r="AP30" s="256">
        <f>'26'!$G$75</f>
        <v>0</v>
      </c>
      <c r="AQ30" s="256">
        <f>'26'!$G$76</f>
        <v>105</v>
      </c>
      <c r="AR30" s="256">
        <f>'26'!$G$77</f>
        <v>31</v>
      </c>
      <c r="AS30" s="256">
        <f>'26'!$G$78</f>
        <v>1</v>
      </c>
      <c r="AT30" s="256">
        <f t="shared" si="0"/>
        <v>513</v>
      </c>
      <c r="AU30" s="254">
        <f>SUM('26'!G91:G92)</f>
        <v>11</v>
      </c>
      <c r="AV30" s="254">
        <f>'26'!$G$88</f>
        <v>0</v>
      </c>
      <c r="AW30" s="254">
        <f>'26'!$G$89</f>
        <v>9.0200000000004366</v>
      </c>
      <c r="AX30" s="254">
        <f>'26'!$G$90</f>
        <v>3</v>
      </c>
      <c r="AY30" s="252">
        <f t="shared" si="1"/>
        <v>12.020000000000437</v>
      </c>
      <c r="BA30" s="311">
        <f t="shared" si="3"/>
        <v>42.678868552411096</v>
      </c>
      <c r="BB30" s="351">
        <f t="shared" si="4"/>
        <v>3393</v>
      </c>
      <c r="BC30" s="351">
        <f t="shared" si="5"/>
        <v>20.621125562173333</v>
      </c>
    </row>
    <row r="31" spans="1:55">
      <c r="A31" s="359">
        <v>27</v>
      </c>
      <c r="B31" s="646">
        <f>'27'!G7</f>
        <v>17608</v>
      </c>
      <c r="C31" s="646">
        <f>'27'!G8</f>
        <v>17701</v>
      </c>
      <c r="D31" s="646">
        <f>'27'!G15</f>
        <v>954</v>
      </c>
      <c r="E31" s="646">
        <f>'27'!G20</f>
        <v>177</v>
      </c>
      <c r="F31" s="646">
        <f>SUM('27'!G35,'27'!G49)</f>
        <v>2111</v>
      </c>
      <c r="G31" s="646">
        <f>SUM('27'!G37,'27'!G51)</f>
        <v>1582</v>
      </c>
      <c r="H31" s="646">
        <f>SUM('27'!G38,'27'!G52)</f>
        <v>1792</v>
      </c>
      <c r="I31" s="646">
        <f>SUM('27'!G39,'27'!G53)</f>
        <v>2612</v>
      </c>
      <c r="J31" s="646">
        <f>SUM('27'!G41,'27'!G42,'27'!G55,'27'!G56)</f>
        <v>3934</v>
      </c>
      <c r="K31" s="646">
        <f>SUM('27'!G43,'27'!G57)</f>
        <v>1969</v>
      </c>
      <c r="L31" s="254">
        <f>'27'!G50</f>
        <v>977</v>
      </c>
      <c r="M31" s="254">
        <f>'27'!G36</f>
        <v>707</v>
      </c>
      <c r="N31" s="254">
        <f>'27'!G138</f>
        <v>58</v>
      </c>
      <c r="O31" s="254">
        <f>'27'!$G$139</f>
        <v>1</v>
      </c>
      <c r="P31" s="254">
        <f>'27'!$G$140</f>
        <v>0</v>
      </c>
      <c r="Q31" s="254">
        <f>'27'!$G$141</f>
        <v>145</v>
      </c>
      <c r="R31" s="254">
        <f>'27'!$G$142</f>
        <v>70</v>
      </c>
      <c r="S31" s="254">
        <f>'27'!$G$145</f>
        <v>5</v>
      </c>
      <c r="T31" s="251">
        <f>'27'!$G$146</f>
        <v>390</v>
      </c>
      <c r="U31" s="251">
        <f>'27'!$G$144</f>
        <v>198</v>
      </c>
      <c r="V31" s="251">
        <f>'27'!$G$147</f>
        <v>339</v>
      </c>
      <c r="W31" s="251">
        <f>'27'!$G$148</f>
        <v>225</v>
      </c>
      <c r="X31" s="251">
        <f>'27'!$G$143</f>
        <v>23</v>
      </c>
      <c r="Y31" s="251">
        <f>'27'!$G$58</f>
        <v>198</v>
      </c>
      <c r="Z31" s="251">
        <f>'27'!$G$151</f>
        <v>265</v>
      </c>
      <c r="AA31" s="251">
        <f>'27'!G161</f>
        <v>22</v>
      </c>
      <c r="AB31" s="251">
        <f>'27'!G162</f>
        <v>41</v>
      </c>
      <c r="AC31" s="251">
        <f>'27'!G88</f>
        <v>0</v>
      </c>
      <c r="AD31" s="251">
        <f>'27'!G163+'27'!G164</f>
        <v>68</v>
      </c>
      <c r="AE31" s="254">
        <f>'27'!$G$116</f>
        <v>0</v>
      </c>
      <c r="AF31" s="254">
        <f>'27'!$G$117</f>
        <v>19</v>
      </c>
      <c r="AG31" s="254">
        <f>'27'!$G$118</f>
        <v>355</v>
      </c>
      <c r="AH31" s="254">
        <f>'27'!$G$119</f>
        <v>386</v>
      </c>
      <c r="AI31" s="254">
        <f>'27'!$G$120</f>
        <v>400</v>
      </c>
      <c r="AJ31" s="254">
        <f>'27'!$G$121</f>
        <v>552</v>
      </c>
      <c r="AK31" s="254">
        <f>'27'!$G$122</f>
        <v>195</v>
      </c>
      <c r="AL31" s="254">
        <f>'27'!$G$123</f>
        <v>283</v>
      </c>
      <c r="AM31" s="254">
        <f>'27'!$G$133</f>
        <v>369</v>
      </c>
      <c r="AN31" s="254">
        <f>'27'!$G$15</f>
        <v>954</v>
      </c>
      <c r="AO31" s="254">
        <f>'27'!$G$74</f>
        <v>293</v>
      </c>
      <c r="AP31" s="254">
        <f>'27'!$G$75</f>
        <v>0</v>
      </c>
      <c r="AQ31" s="254">
        <f>'27'!$G$76</f>
        <v>99</v>
      </c>
      <c r="AR31" s="254">
        <f>'27'!$G$77</f>
        <v>27</v>
      </c>
      <c r="AS31" s="254">
        <f>'27'!$G$78</f>
        <v>1</v>
      </c>
      <c r="AT31" s="254">
        <f t="shared" si="0"/>
        <v>534</v>
      </c>
      <c r="AU31" s="254">
        <f>SUM('27'!G91:G92)</f>
        <v>11</v>
      </c>
      <c r="AV31" s="254">
        <f>'27'!$G$88</f>
        <v>0</v>
      </c>
      <c r="AW31" s="254">
        <f>'27'!$G$89</f>
        <v>10</v>
      </c>
      <c r="AX31" s="254">
        <f>'27'!$G$90</f>
        <v>2</v>
      </c>
      <c r="AY31" s="252">
        <f t="shared" si="1"/>
        <v>12</v>
      </c>
      <c r="BA31" s="311">
        <f t="shared" si="3"/>
        <v>44.5</v>
      </c>
      <c r="BB31" s="351">
        <f t="shared" si="4"/>
        <v>3503</v>
      </c>
      <c r="BC31" s="351">
        <f t="shared" si="5"/>
        <v>19.894366197183096</v>
      </c>
    </row>
    <row r="32" spans="1:55">
      <c r="A32" s="359">
        <v>28</v>
      </c>
      <c r="B32" s="646">
        <f>'28'!G7</f>
        <v>17654</v>
      </c>
      <c r="C32" s="646">
        <f>'28'!G8</f>
        <v>17886</v>
      </c>
      <c r="D32" s="646">
        <f>'28'!G15</f>
        <v>971</v>
      </c>
      <c r="E32" s="646">
        <f>'28'!G20</f>
        <v>92</v>
      </c>
      <c r="F32" s="646">
        <f>SUM('28'!G35,'28'!G49)</f>
        <v>2153</v>
      </c>
      <c r="G32" s="646">
        <f>SUM('28'!G37,'28'!G51)</f>
        <v>1576</v>
      </c>
      <c r="H32" s="646">
        <f>SUM('28'!G38,'28'!G52)</f>
        <v>1753</v>
      </c>
      <c r="I32" s="646">
        <f>SUM('28'!G39,'28'!G53)</f>
        <v>2604</v>
      </c>
      <c r="J32" s="646">
        <f>SUM('28'!G41,'28'!G42,'28'!G55,'28'!G56)</f>
        <v>4136</v>
      </c>
      <c r="K32" s="646">
        <f>SUM('28'!G43,'28'!G57)</f>
        <v>1961</v>
      </c>
      <c r="L32" s="254">
        <f>'28'!G50</f>
        <v>1036</v>
      </c>
      <c r="M32" s="254">
        <f>'28'!G36</f>
        <v>689</v>
      </c>
      <c r="N32" s="254">
        <f>'28'!G138</f>
        <v>48</v>
      </c>
      <c r="O32" s="254">
        <f>'28'!$G$139</f>
        <v>0</v>
      </c>
      <c r="P32" s="254">
        <f>'28'!$G$140</f>
        <v>0</v>
      </c>
      <c r="Q32" s="254">
        <f>'28'!$G$141</f>
        <v>172</v>
      </c>
      <c r="R32" s="254">
        <f>'28'!$G$142</f>
        <v>77</v>
      </c>
      <c r="S32" s="254">
        <f>'28'!$G$145</f>
        <v>9</v>
      </c>
      <c r="T32" s="251">
        <f>'28'!$G$146</f>
        <v>401</v>
      </c>
      <c r="U32" s="251">
        <f>'28'!$G$144</f>
        <v>195</v>
      </c>
      <c r="V32" s="251">
        <f>'28'!$G$147</f>
        <v>379</v>
      </c>
      <c r="W32" s="251">
        <f>'28'!$G$148</f>
        <v>185</v>
      </c>
      <c r="X32" s="251">
        <f>'28'!$G$143</f>
        <v>28</v>
      </c>
      <c r="Y32" s="251">
        <f>'28'!$G$58</f>
        <v>203</v>
      </c>
      <c r="Z32" s="251">
        <f>'28'!$G$151</f>
        <v>254</v>
      </c>
      <c r="AA32" s="251">
        <f>'28'!G161</f>
        <v>29</v>
      </c>
      <c r="AB32" s="251">
        <f>'28'!G162</f>
        <v>39</v>
      </c>
      <c r="AC32" s="251">
        <f>'28'!G88</f>
        <v>0.43000000000029104</v>
      </c>
      <c r="AD32" s="251">
        <f>'28'!G163+'28'!G164</f>
        <v>45.899999999999636</v>
      </c>
      <c r="AE32" s="254">
        <f>'28'!$G$116</f>
        <v>0</v>
      </c>
      <c r="AF32" s="254">
        <f>'28'!$G$117</f>
        <v>23</v>
      </c>
      <c r="AG32" s="254">
        <f>'28'!$G$118</f>
        <v>349</v>
      </c>
      <c r="AH32" s="254">
        <f>'28'!$G$119</f>
        <v>422</v>
      </c>
      <c r="AI32" s="254">
        <f>'28'!$G$120</f>
        <v>415</v>
      </c>
      <c r="AJ32" s="254">
        <f>'28'!$G$121</f>
        <v>708</v>
      </c>
      <c r="AK32" s="254">
        <f>'28'!$G$122</f>
        <v>190</v>
      </c>
      <c r="AL32" s="254">
        <f>'28'!$G$123</f>
        <v>277</v>
      </c>
      <c r="AM32" s="254">
        <f>'28'!$G$133</f>
        <v>407</v>
      </c>
      <c r="AN32" s="254">
        <f>'28'!$G$15</f>
        <v>971</v>
      </c>
      <c r="AO32" s="254">
        <f>'28'!$G$74</f>
        <v>352</v>
      </c>
      <c r="AP32" s="254">
        <f>'28'!$G$75</f>
        <v>0</v>
      </c>
      <c r="AQ32" s="254">
        <f>'28'!$G$76</f>
        <v>83</v>
      </c>
      <c r="AR32" s="254">
        <f>'28'!$G$77</f>
        <v>50</v>
      </c>
      <c r="AS32" s="254">
        <f>'28'!$G$78</f>
        <v>1</v>
      </c>
      <c r="AT32" s="254">
        <f t="shared" si="0"/>
        <v>485</v>
      </c>
      <c r="AU32" s="254">
        <f>SUM('28'!G91:G92)</f>
        <v>11.079999999999927</v>
      </c>
      <c r="AV32" s="254">
        <f>'28'!$G$88</f>
        <v>0.43000000000029104</v>
      </c>
      <c r="AW32" s="254">
        <f>'28'!$G$89</f>
        <v>9.680000000000291</v>
      </c>
      <c r="AX32" s="254">
        <f>'28'!$G$90</f>
        <v>3.1499999999941792</v>
      </c>
      <c r="AY32" s="252">
        <f t="shared" si="1"/>
        <v>13.259999999994761</v>
      </c>
      <c r="BA32" s="311">
        <f t="shared" si="3"/>
        <v>36.576168929124556</v>
      </c>
      <c r="BB32" s="351">
        <f t="shared" si="4"/>
        <v>3500</v>
      </c>
      <c r="BC32" s="351">
        <f t="shared" si="5"/>
        <v>19.825535289452816</v>
      </c>
    </row>
    <row r="33" spans="1:55">
      <c r="A33" s="359">
        <v>29</v>
      </c>
      <c r="B33" s="646">
        <f>'29'!G7</f>
        <v>17167</v>
      </c>
      <c r="C33" s="646">
        <f>'29'!G8</f>
        <v>17492</v>
      </c>
      <c r="D33" s="646">
        <f>'29'!G15</f>
        <v>1002</v>
      </c>
      <c r="E33" s="646">
        <f>'29'!G20</f>
        <v>312</v>
      </c>
      <c r="F33" s="646">
        <f>SUM('29'!G35,'29'!G49)</f>
        <v>2108</v>
      </c>
      <c r="G33" s="646">
        <f>SUM('29'!G37,'29'!G51)</f>
        <v>1611</v>
      </c>
      <c r="H33" s="646">
        <f>SUM('29'!G38,'29'!G52)</f>
        <v>1750</v>
      </c>
      <c r="I33" s="646">
        <f>SUM('29'!G39,'29'!G53)</f>
        <v>2606</v>
      </c>
      <c r="J33" s="646">
        <f>SUM('29'!G41,'29'!G42,'29'!G55,'29'!G56)</f>
        <v>3572</v>
      </c>
      <c r="K33" s="646">
        <f>SUM('29'!G43,'29'!G57)</f>
        <v>2065</v>
      </c>
      <c r="L33" s="254">
        <f>'29'!G50</f>
        <v>983</v>
      </c>
      <c r="M33" s="254">
        <f>'29'!G36</f>
        <v>695</v>
      </c>
      <c r="N33" s="254">
        <f>'29'!G138</f>
        <v>48</v>
      </c>
      <c r="O33" s="254">
        <f>'29'!$G$139</f>
        <v>0</v>
      </c>
      <c r="P33" s="254">
        <f>'29'!$G$140</f>
        <v>0</v>
      </c>
      <c r="Q33" s="254">
        <f>'29'!$G$141</f>
        <v>185</v>
      </c>
      <c r="R33" s="254">
        <f>'29'!$G$142</f>
        <v>78</v>
      </c>
      <c r="S33" s="254">
        <f>'29'!$G$145</f>
        <v>8</v>
      </c>
      <c r="T33" s="254">
        <f>'29'!$G$146</f>
        <v>383</v>
      </c>
      <c r="U33" s="254">
        <f>'29'!$G$144</f>
        <v>200</v>
      </c>
      <c r="V33" s="254">
        <f>'29'!$G$147</f>
        <v>374</v>
      </c>
      <c r="W33" s="254">
        <f>'29'!$G$148</f>
        <v>185</v>
      </c>
      <c r="X33" s="254">
        <f>'29'!$G$143</f>
        <v>25</v>
      </c>
      <c r="Y33" s="254">
        <f>'29'!$G$58</f>
        <v>211</v>
      </c>
      <c r="Z33" s="254">
        <f>'29'!$G$151</f>
        <v>250</v>
      </c>
      <c r="AA33" s="254">
        <f>'29'!G161</f>
        <v>25</v>
      </c>
      <c r="AB33" s="254">
        <f>'29'!G162</f>
        <v>29</v>
      </c>
      <c r="AC33" s="254">
        <f>'29'!G88</f>
        <v>0</v>
      </c>
      <c r="AD33" s="254">
        <f>'29'!G163+'29'!G164</f>
        <v>50.100000000000364</v>
      </c>
      <c r="AE33" s="254">
        <f>'29'!$G$116</f>
        <v>0</v>
      </c>
      <c r="AF33" s="254">
        <f>'29'!$G$117</f>
        <v>24</v>
      </c>
      <c r="AG33" s="254">
        <f>'29'!$G$118</f>
        <v>336</v>
      </c>
      <c r="AH33" s="254">
        <f>'29'!$G$119</f>
        <v>417</v>
      </c>
      <c r="AI33" s="254">
        <f>'29'!$G$120</f>
        <v>424</v>
      </c>
      <c r="AJ33" s="254">
        <f>'29'!$G$121</f>
        <v>710</v>
      </c>
      <c r="AK33" s="254">
        <f>'29'!$G$122</f>
        <v>200</v>
      </c>
      <c r="AL33" s="254">
        <f>'29'!$G$123</f>
        <v>275</v>
      </c>
      <c r="AM33" s="254">
        <f>'29'!$G$133</f>
        <v>494</v>
      </c>
      <c r="AN33" s="254">
        <f>'29'!$G$15</f>
        <v>1002</v>
      </c>
      <c r="AO33" s="254">
        <f>'29'!$G$74</f>
        <v>303</v>
      </c>
      <c r="AP33" s="254">
        <f>'29'!$G$75</f>
        <v>0</v>
      </c>
      <c r="AQ33" s="254">
        <f>'29'!$G$76</f>
        <v>98</v>
      </c>
      <c r="AR33" s="254">
        <f>'29'!$G$77</f>
        <v>46</v>
      </c>
      <c r="AS33" s="254">
        <f>'29'!$G$78</f>
        <v>2</v>
      </c>
      <c r="AT33" s="254">
        <f t="shared" si="0"/>
        <v>553</v>
      </c>
      <c r="AU33" s="254">
        <f>SUM('29'!G91:G92)</f>
        <v>11</v>
      </c>
      <c r="AV33" s="254">
        <f>'29'!$G$88</f>
        <v>0</v>
      </c>
      <c r="AW33" s="254">
        <f>'29'!$G$89</f>
        <v>9.930000000000291</v>
      </c>
      <c r="AX33" s="254">
        <f>'29'!$G$90</f>
        <v>0.930000000007567</v>
      </c>
      <c r="AY33" s="252">
        <f t="shared" si="1"/>
        <v>10.860000000007858</v>
      </c>
      <c r="BA33" s="311">
        <f t="shared" si="3"/>
        <v>50.920810313038665</v>
      </c>
      <c r="BB33" s="351">
        <f t="shared" si="4"/>
        <v>3569</v>
      </c>
      <c r="BC33" s="351">
        <f t="shared" si="5"/>
        <v>20.789887574998545</v>
      </c>
    </row>
    <row r="34" spans="1:55" s="313" customFormat="1">
      <c r="A34" s="359">
        <v>30</v>
      </c>
      <c r="B34" s="646">
        <f>'30'!G7</f>
        <v>17289</v>
      </c>
      <c r="C34" s="646">
        <f>'30'!G8</f>
        <v>17529</v>
      </c>
      <c r="D34" s="646">
        <f>'30'!G15</f>
        <v>929</v>
      </c>
      <c r="E34" s="646">
        <f>'30'!G20</f>
        <v>226</v>
      </c>
      <c r="F34" s="646">
        <f>SUM('30'!G35,'30'!G49)</f>
        <v>2077</v>
      </c>
      <c r="G34" s="646">
        <f>SUM('30'!G37,'30'!G51)</f>
        <v>1553</v>
      </c>
      <c r="H34" s="646">
        <f>SUM('30'!G38,'30'!G52)</f>
        <v>1629</v>
      </c>
      <c r="I34" s="646">
        <f>SUM('30'!G39,'30'!G53)</f>
        <v>2616</v>
      </c>
      <c r="J34" s="646">
        <f>SUM('30'!G41,'30'!G42,'30'!G55,'30'!G56)</f>
        <v>3884</v>
      </c>
      <c r="K34" s="646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929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490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44.025157232714761</v>
      </c>
      <c r="BB34" s="351">
        <f t="shared" si="4"/>
        <v>3682</v>
      </c>
      <c r="BC34" s="351">
        <f t="shared" si="5"/>
        <v>21.296778298339987</v>
      </c>
    </row>
    <row r="35" spans="1:55">
      <c r="A35" s="359">
        <v>31</v>
      </c>
      <c r="B35" s="646">
        <f>'31'!G7</f>
        <v>17614.229999999981</v>
      </c>
      <c r="C35" s="646">
        <f>'31'!G8</f>
        <v>17830.150000000023</v>
      </c>
      <c r="D35" s="646">
        <f>'31'!G15</f>
        <v>915.76699999999255</v>
      </c>
      <c r="E35" s="646">
        <f>'31'!G20</f>
        <v>146</v>
      </c>
      <c r="F35" s="646">
        <f>SUM('31'!G35,'31'!G49)</f>
        <v>2110.1699999999983</v>
      </c>
      <c r="G35" s="646">
        <f>SUM('31'!G37,'31'!G51)</f>
        <v>1588.0899999999965</v>
      </c>
      <c r="H35" s="646">
        <f>SUM('31'!G38,'31'!G52)</f>
        <v>1627.4300000000003</v>
      </c>
      <c r="I35" s="646">
        <f>SUM('31'!G39,'31'!G53)</f>
        <v>2649.2900000000009</v>
      </c>
      <c r="J35" s="646">
        <f>SUM('31'!G41,'31'!G42,'31'!G55,'31'!G56)</f>
        <v>4318.8500000000058</v>
      </c>
      <c r="K35" s="646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915.76699999999255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516.41800000001967</v>
      </c>
      <c r="AU35" s="251">
        <f>SUM('31'!G92:G142)</f>
        <v>26254.982043404645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46.026559714806908</v>
      </c>
      <c r="BB35" s="351">
        <f t="shared" si="4"/>
        <v>3453.5100000000166</v>
      </c>
      <c r="BC35" s="351">
        <f t="shared" si="5"/>
        <v>19.606363718425502</v>
      </c>
    </row>
    <row r="36" spans="1:55" s="316" customFormat="1">
      <c r="A36" s="304" t="s">
        <v>359</v>
      </c>
      <c r="B36" s="305">
        <f>AVERAGE(B5:B35)</f>
        <v>17955.942903225805</v>
      </c>
      <c r="C36" s="305">
        <f t="shared" ref="C36:BC36" si="9">AVERAGE(C5:C35)</f>
        <v>18311.714516129032</v>
      </c>
      <c r="D36" s="305">
        <f t="shared" si="9"/>
        <v>909.89570967741906</v>
      </c>
      <c r="E36" s="305">
        <f t="shared" si="9"/>
        <v>170.83870967741936</v>
      </c>
      <c r="F36" s="305">
        <f t="shared" si="9"/>
        <v>2752.3280645161285</v>
      </c>
      <c r="G36" s="305">
        <f t="shared" si="9"/>
        <v>1536.680322580645</v>
      </c>
      <c r="H36" s="305">
        <f t="shared" si="9"/>
        <v>1663.7558064516131</v>
      </c>
      <c r="I36" s="305">
        <f t="shared" si="9"/>
        <v>2608.235161290323</v>
      </c>
      <c r="J36" s="305">
        <f t="shared" si="9"/>
        <v>3134.7048387096775</v>
      </c>
      <c r="K36" s="305">
        <f t="shared" si="9"/>
        <v>2180.3419354838711</v>
      </c>
      <c r="L36" s="305">
        <f t="shared" si="9"/>
        <v>1023.762258064516</v>
      </c>
      <c r="M36" s="305">
        <f t="shared" si="9"/>
        <v>707.47548387096765</v>
      </c>
      <c r="N36" s="305">
        <f t="shared" si="9"/>
        <v>64.58064516129032</v>
      </c>
      <c r="O36" s="305">
        <f t="shared" si="9"/>
        <v>0.87096774193548387</v>
      </c>
      <c r="P36" s="305">
        <f t="shared" si="9"/>
        <v>1.2903225806451613</v>
      </c>
      <c r="Q36" s="305">
        <f t="shared" si="9"/>
        <v>173.53483870967747</v>
      </c>
      <c r="R36" s="305">
        <f t="shared" si="9"/>
        <v>73.390322580645119</v>
      </c>
      <c r="S36" s="305">
        <f t="shared" si="9"/>
        <v>12.930322580645166</v>
      </c>
      <c r="T36" s="305">
        <f t="shared" si="9"/>
        <v>402.41935483870969</v>
      </c>
      <c r="U36" s="305">
        <f t="shared" si="9"/>
        <v>219.90322580645162</v>
      </c>
      <c r="V36" s="305">
        <f t="shared" si="9"/>
        <v>365.50064516129095</v>
      </c>
      <c r="W36" s="305">
        <f t="shared" si="9"/>
        <v>206.76903225806348</v>
      </c>
      <c r="X36" s="305">
        <f t="shared" si="9"/>
        <v>24.980322580645158</v>
      </c>
      <c r="Y36" s="305">
        <f t="shared" si="9"/>
        <v>165.70451612903241</v>
      </c>
      <c r="Z36" s="305">
        <f t="shared" si="9"/>
        <v>234.29032258064515</v>
      </c>
      <c r="AA36" s="305">
        <f t="shared" si="9"/>
        <v>29.045161290323332</v>
      </c>
      <c r="AB36" s="305">
        <f t="shared" si="9"/>
        <v>30.52903225806433</v>
      </c>
      <c r="AC36" s="305">
        <f t="shared" si="9"/>
        <v>0.70142857142855064</v>
      </c>
      <c r="AD36" s="305">
        <f t="shared" si="9"/>
        <v>47.519354838709866</v>
      </c>
      <c r="AE36" s="305">
        <f t="shared" si="9"/>
        <v>0</v>
      </c>
      <c r="AF36" s="305">
        <f t="shared" si="9"/>
        <v>24.127419354838704</v>
      </c>
      <c r="AG36" s="305">
        <f t="shared" si="9"/>
        <v>348.55838709677414</v>
      </c>
      <c r="AH36" s="305">
        <f t="shared" si="9"/>
        <v>420.08225806451577</v>
      </c>
      <c r="AI36" s="305">
        <f t="shared" si="9"/>
        <v>415.53580645161293</v>
      </c>
      <c r="AJ36" s="305">
        <f t="shared" si="9"/>
        <v>693.72354838709657</v>
      </c>
      <c r="AK36" s="305">
        <f t="shared" si="9"/>
        <v>197.94129032258041</v>
      </c>
      <c r="AL36" s="305">
        <f t="shared" si="9"/>
        <v>287.80483870967777</v>
      </c>
      <c r="AM36" s="305">
        <f t="shared" si="9"/>
        <v>569.05483870967737</v>
      </c>
      <c r="AN36" s="305">
        <f t="shared" si="9"/>
        <v>909.89570967741906</v>
      </c>
      <c r="AO36" s="305">
        <f t="shared" si="9"/>
        <v>299.16609677419279</v>
      </c>
      <c r="AP36" s="305">
        <f t="shared" si="9"/>
        <v>0</v>
      </c>
      <c r="AQ36" s="305">
        <f t="shared" si="9"/>
        <v>89.290322580645167</v>
      </c>
      <c r="AR36" s="305">
        <f t="shared" si="9"/>
        <v>31.812903225806359</v>
      </c>
      <c r="AS36" s="305">
        <f t="shared" si="9"/>
        <v>0.967741935483871</v>
      </c>
      <c r="AT36" s="305">
        <f t="shared" si="9"/>
        <v>488.65864516129096</v>
      </c>
      <c r="AU36" s="305">
        <f t="shared" si="9"/>
        <v>857.14038849692395</v>
      </c>
      <c r="AV36" s="305">
        <f t="shared" si="9"/>
        <v>0.53000000000000935</v>
      </c>
      <c r="AW36" s="305">
        <f t="shared" si="9"/>
        <v>7.3587096774193217</v>
      </c>
      <c r="AX36" s="305">
        <f t="shared" si="9"/>
        <v>4.1587096774192984</v>
      </c>
      <c r="AY36" s="305">
        <f t="shared" si="9"/>
        <v>12.047419354838629</v>
      </c>
      <c r="AZ36" s="305">
        <f t="shared" si="9"/>
        <v>28.519999014345075</v>
      </c>
      <c r="BA36" s="305">
        <f t="shared" si="9"/>
        <v>40.886122293975134</v>
      </c>
      <c r="BB36" s="305">
        <f t="shared" si="9"/>
        <v>4269.963870967742</v>
      </c>
      <c r="BC36" s="305">
        <f t="shared" si="9"/>
        <v>23.663073868704384</v>
      </c>
    </row>
    <row r="37" spans="1:55">
      <c r="A37" s="261" t="s">
        <v>196</v>
      </c>
      <c r="B37" s="305">
        <f>SUM(B5:B35)</f>
        <v>556634.23</v>
      </c>
      <c r="C37" s="305">
        <f t="shared" ref="C37:BC37" si="10">SUM(C5:C35)</f>
        <v>567663.15</v>
      </c>
      <c r="D37" s="305">
        <f t="shared" si="10"/>
        <v>28206.766999999993</v>
      </c>
      <c r="E37" s="305">
        <f t="shared" si="10"/>
        <v>5296</v>
      </c>
      <c r="F37" s="305">
        <f>SUM(F5:F35)</f>
        <v>85322.169999999984</v>
      </c>
      <c r="G37" s="305">
        <f t="shared" si="10"/>
        <v>47637.09</v>
      </c>
      <c r="H37" s="305">
        <f t="shared" si="10"/>
        <v>51576.430000000008</v>
      </c>
      <c r="I37" s="305">
        <f t="shared" si="10"/>
        <v>80855.290000000008</v>
      </c>
      <c r="J37" s="305">
        <f t="shared" si="10"/>
        <v>97175.85</v>
      </c>
      <c r="K37" s="305">
        <f t="shared" si="10"/>
        <v>67590.600000000006</v>
      </c>
      <c r="L37" s="305">
        <f t="shared" si="10"/>
        <v>31736.629999999997</v>
      </c>
      <c r="M37" s="305">
        <f t="shared" si="10"/>
        <v>21931.739999999998</v>
      </c>
      <c r="N37" s="305">
        <f t="shared" si="10"/>
        <v>2002</v>
      </c>
      <c r="O37" s="305">
        <f t="shared" si="10"/>
        <v>27</v>
      </c>
      <c r="P37" s="305">
        <f t="shared" si="10"/>
        <v>40</v>
      </c>
      <c r="Q37" s="305">
        <f t="shared" si="10"/>
        <v>5379.5800000000017</v>
      </c>
      <c r="R37" s="305">
        <f t="shared" si="10"/>
        <v>2275.0999999999985</v>
      </c>
      <c r="S37" s="305">
        <f t="shared" si="10"/>
        <v>400.84000000000015</v>
      </c>
      <c r="T37" s="305">
        <f t="shared" si="10"/>
        <v>12475</v>
      </c>
      <c r="U37" s="305">
        <f t="shared" si="10"/>
        <v>6817</v>
      </c>
      <c r="V37" s="305">
        <f t="shared" si="10"/>
        <v>11330.520000000019</v>
      </c>
      <c r="W37" s="305">
        <f t="shared" si="10"/>
        <v>6409.8399999999674</v>
      </c>
      <c r="X37" s="305">
        <f t="shared" si="10"/>
        <v>774.38999999999987</v>
      </c>
      <c r="Y37" s="305">
        <f t="shared" si="10"/>
        <v>5136.8400000000047</v>
      </c>
      <c r="Z37" s="305">
        <f t="shared" si="10"/>
        <v>7263</v>
      </c>
      <c r="AA37" s="305">
        <f t="shared" si="10"/>
        <v>900.40000000002328</v>
      </c>
      <c r="AB37" s="305">
        <f t="shared" si="10"/>
        <v>946.39999999999418</v>
      </c>
      <c r="AC37" s="305">
        <f t="shared" si="10"/>
        <v>14.729999999999563</v>
      </c>
      <c r="AD37" s="305">
        <f t="shared" si="10"/>
        <v>1473.1000000000058</v>
      </c>
      <c r="AE37" s="305">
        <f t="shared" si="10"/>
        <v>0</v>
      </c>
      <c r="AF37" s="305">
        <f t="shared" si="10"/>
        <v>747.94999999999982</v>
      </c>
      <c r="AG37" s="305">
        <f t="shared" si="10"/>
        <v>10805.309999999998</v>
      </c>
      <c r="AH37" s="305">
        <f t="shared" si="10"/>
        <v>13022.549999999988</v>
      </c>
      <c r="AI37" s="305">
        <f t="shared" si="10"/>
        <v>12881.61</v>
      </c>
      <c r="AJ37" s="305">
        <f t="shared" si="10"/>
        <v>21505.429999999993</v>
      </c>
      <c r="AK37" s="305">
        <f t="shared" si="10"/>
        <v>6136.179999999993</v>
      </c>
      <c r="AL37" s="305">
        <f t="shared" si="10"/>
        <v>8921.9500000000116</v>
      </c>
      <c r="AM37" s="305">
        <f t="shared" si="10"/>
        <v>17640.699999999997</v>
      </c>
      <c r="AN37" s="305">
        <f t="shared" si="10"/>
        <v>28206.766999999993</v>
      </c>
      <c r="AO37" s="305">
        <f t="shared" si="10"/>
        <v>9274.1489999999758</v>
      </c>
      <c r="AP37" s="305">
        <f t="shared" si="10"/>
        <v>0</v>
      </c>
      <c r="AQ37" s="305">
        <f t="shared" si="10"/>
        <v>2768</v>
      </c>
      <c r="AR37" s="305">
        <f t="shared" si="10"/>
        <v>986.19999999999709</v>
      </c>
      <c r="AS37" s="305">
        <f t="shared" si="10"/>
        <v>30</v>
      </c>
      <c r="AT37" s="305">
        <f t="shared" si="10"/>
        <v>15148.41800000002</v>
      </c>
      <c r="AU37" s="305">
        <f t="shared" si="10"/>
        <v>26571.352043404644</v>
      </c>
      <c r="AV37" s="305">
        <f t="shared" si="10"/>
        <v>16.430000000000291</v>
      </c>
      <c r="AW37" s="305">
        <f t="shared" si="10"/>
        <v>228.11999999999898</v>
      </c>
      <c r="AX37" s="305">
        <f t="shared" si="10"/>
        <v>128.91999999999825</v>
      </c>
      <c r="AY37" s="305">
        <f t="shared" si="10"/>
        <v>373.46999999999753</v>
      </c>
      <c r="AZ37" s="305">
        <f t="shared" si="10"/>
        <v>684.47997634428179</v>
      </c>
      <c r="BA37" s="305">
        <f t="shared" si="10"/>
        <v>1267.4697911132291</v>
      </c>
      <c r="BB37" s="305">
        <f t="shared" si="10"/>
        <v>132368.88</v>
      </c>
      <c r="BC37" s="305">
        <f t="shared" si="10"/>
        <v>733.55528992983591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647">
        <f t="shared" ref="F39:K39" si="11">F19-F18</f>
        <v>-11.569999999999709</v>
      </c>
      <c r="G39" s="647">
        <f t="shared" si="11"/>
        <v>-11.260000000000218</v>
      </c>
      <c r="H39" s="647">
        <f t="shared" si="11"/>
        <v>-445.04999999999927</v>
      </c>
      <c r="I39" s="647">
        <f t="shared" si="11"/>
        <v>-9.9999999998544808E-2</v>
      </c>
      <c r="J39" s="647">
        <f t="shared" si="11"/>
        <v>-123.6299999999901</v>
      </c>
      <c r="K39" s="647">
        <f t="shared" si="11"/>
        <v>1.7100000000064028</v>
      </c>
      <c r="L39" s="647"/>
      <c r="M39" s="647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34" zoomScale="60" zoomScaleNormal="61" zoomScalePageLayoutView="70" workbookViewId="0">
      <selection activeCell="E11" sqref="E11"/>
    </sheetView>
  </sheetViews>
  <sheetFormatPr defaultColWidth="22.33203125" defaultRowHeight="21.95" customHeight="1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7" customWidth="1"/>
    <col min="6" max="6" width="19.44140625" style="497" customWidth="1"/>
    <col min="7" max="7" width="28.88671875" style="689" customWidth="1"/>
    <col min="8" max="8" width="24.6640625" style="170" customWidth="1"/>
    <col min="9" max="9" width="23.5546875" style="497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ht="22.5">
      <c r="A2" s="510" t="s">
        <v>350</v>
      </c>
      <c r="B2" s="533">
        <v>44562</v>
      </c>
      <c r="C2" s="378" t="s">
        <v>67</v>
      </c>
      <c r="D2" s="379">
        <v>0.96</v>
      </c>
      <c r="E2" s="378"/>
      <c r="F2" s="378"/>
      <c r="G2" s="679" t="s">
        <v>116</v>
      </c>
      <c r="H2" s="378" t="s">
        <v>5</v>
      </c>
      <c r="I2" s="378" t="s">
        <v>7</v>
      </c>
      <c r="J2" s="383" t="s">
        <v>117</v>
      </c>
    </row>
    <row r="3" spans="1:15" ht="22.5">
      <c r="A3" s="511"/>
      <c r="B3" s="380"/>
      <c r="C3" s="378" t="s">
        <v>118</v>
      </c>
      <c r="D3" s="381">
        <v>22</v>
      </c>
      <c r="E3" s="810" t="s">
        <v>119</v>
      </c>
      <c r="F3" s="811"/>
      <c r="G3" s="679"/>
      <c r="H3" s="382"/>
      <c r="I3" s="382"/>
      <c r="J3" s="383"/>
      <c r="K3" s="534"/>
      <c r="L3" s="429"/>
    </row>
    <row r="4" spans="1:15" ht="22.5">
      <c r="A4" s="512"/>
      <c r="B4" s="384"/>
      <c r="C4" s="378" t="s">
        <v>120</v>
      </c>
      <c r="D4" s="379">
        <v>0.76</v>
      </c>
      <c r="E4" s="385"/>
      <c r="F4" s="385"/>
      <c r="G4" s="679"/>
      <c r="H4" s="385"/>
      <c r="I4" s="386"/>
      <c r="J4" s="383"/>
      <c r="K4" s="535"/>
      <c r="L4" s="429"/>
    </row>
    <row r="5" spans="1:15" ht="22.5">
      <c r="A5" s="513" t="s">
        <v>121</v>
      </c>
      <c r="B5" s="387"/>
      <c r="C5" s="387"/>
      <c r="D5" s="387" t="s">
        <v>122</v>
      </c>
      <c r="E5" s="405" t="s">
        <v>369</v>
      </c>
      <c r="F5" s="405" t="s">
        <v>110</v>
      </c>
      <c r="G5" s="559" t="s">
        <v>124</v>
      </c>
      <c r="H5" s="395" t="s">
        <v>125</v>
      </c>
      <c r="I5" s="396" t="s">
        <v>126</v>
      </c>
      <c r="J5" s="389" t="s">
        <v>127</v>
      </c>
      <c r="K5" s="536"/>
      <c r="L5" s="429"/>
    </row>
    <row r="6" spans="1:15" ht="22.5">
      <c r="A6" s="801" t="s">
        <v>128</v>
      </c>
      <c r="B6" s="802"/>
      <c r="C6" s="803"/>
      <c r="D6" s="390"/>
      <c r="E6" s="391"/>
      <c r="F6" s="391"/>
      <c r="G6" s="571"/>
      <c r="H6" s="391"/>
      <c r="I6" s="391"/>
      <c r="J6" s="392"/>
      <c r="K6" s="537"/>
      <c r="L6" s="429"/>
    </row>
    <row r="7" spans="1:15" ht="23.25" thickBot="1">
      <c r="A7" s="514" t="s">
        <v>129</v>
      </c>
      <c r="B7" s="393"/>
      <c r="C7" s="393"/>
      <c r="D7" s="151" t="s">
        <v>130</v>
      </c>
      <c r="E7" s="396">
        <v>94561</v>
      </c>
      <c r="F7" s="396">
        <v>114567.53</v>
      </c>
      <c r="G7" s="680">
        <f>F7-E7</f>
        <v>20006.53</v>
      </c>
      <c r="H7" s="396">
        <f>G7</f>
        <v>20006.53</v>
      </c>
      <c r="I7" s="403">
        <v>12000</v>
      </c>
      <c r="J7" s="397">
        <f>H7/DAY(B2)</f>
        <v>20006.53</v>
      </c>
      <c r="K7" s="538">
        <v>1375467</v>
      </c>
      <c r="L7" s="429"/>
      <c r="N7" s="539"/>
      <c r="O7" s="171"/>
    </row>
    <row r="8" spans="1:15" ht="23.25" thickBot="1">
      <c r="A8" s="515" t="s">
        <v>131</v>
      </c>
      <c r="B8" s="398"/>
      <c r="C8" s="399"/>
      <c r="D8" s="224" t="s">
        <v>24</v>
      </c>
      <c r="E8" s="396">
        <v>140885</v>
      </c>
      <c r="F8" s="396">
        <v>161334</v>
      </c>
      <c r="G8" s="680">
        <f>F8-E8</f>
        <v>20449</v>
      </c>
      <c r="H8" s="396">
        <f>G8</f>
        <v>20449</v>
      </c>
      <c r="I8" s="400">
        <v>12000</v>
      </c>
      <c r="J8" s="397">
        <f>H8/DAY(B2)</f>
        <v>20449</v>
      </c>
      <c r="K8" s="538">
        <v>1715917</v>
      </c>
      <c r="L8" s="395">
        <v>1728480</v>
      </c>
      <c r="M8" s="539">
        <f>L8-K8</f>
        <v>12563</v>
      </c>
      <c r="N8" s="539"/>
      <c r="O8" s="171"/>
    </row>
    <row r="9" spans="1:15" ht="22.5">
      <c r="A9" s="516" t="s">
        <v>132</v>
      </c>
      <c r="B9" s="401"/>
      <c r="C9" s="401"/>
      <c r="D9" s="394" t="s">
        <v>130</v>
      </c>
      <c r="E9" s="665">
        <v>2258776</v>
      </c>
      <c r="F9" s="666">
        <v>2271542.1</v>
      </c>
      <c r="G9" s="681">
        <f>F9-E9</f>
        <v>12766.100000000093</v>
      </c>
      <c r="H9" s="396">
        <f t="shared" ref="H9:H13" si="0">G9</f>
        <v>12766.100000000093</v>
      </c>
      <c r="I9" s="403">
        <f>I8-J8</f>
        <v>-8449</v>
      </c>
      <c r="J9" s="397">
        <f>H9/DAY(B2)</f>
        <v>12766.100000000093</v>
      </c>
      <c r="K9" s="540">
        <f>K8-100</f>
        <v>1715817</v>
      </c>
      <c r="L9" s="429"/>
      <c r="N9" s="539"/>
      <c r="O9" s="171"/>
    </row>
    <row r="10" spans="1:15" ht="22.5">
      <c r="A10" s="514" t="s">
        <v>133</v>
      </c>
      <c r="B10" s="393"/>
      <c r="C10" s="393"/>
      <c r="D10" s="394" t="s">
        <v>130</v>
      </c>
      <c r="E10" s="666">
        <v>540826</v>
      </c>
      <c r="F10" s="666">
        <v>547525.15</v>
      </c>
      <c r="G10" s="681">
        <f t="shared" ref="G10:G11" si="1">F10-E10</f>
        <v>6699.1500000000233</v>
      </c>
      <c r="H10" s="396">
        <f t="shared" si="0"/>
        <v>6699.1500000000233</v>
      </c>
      <c r="I10" s="396"/>
      <c r="J10" s="397">
        <f>H10/DAY(B2)</f>
        <v>6699.1500000000233</v>
      </c>
      <c r="K10" s="540"/>
      <c r="L10" s="429"/>
      <c r="N10" s="539"/>
      <c r="O10" s="171"/>
    </row>
    <row r="11" spans="1:15" ht="22.5">
      <c r="A11" s="514" t="s">
        <v>134</v>
      </c>
      <c r="B11" s="393"/>
      <c r="C11" s="393"/>
      <c r="D11" s="394" t="s">
        <v>130</v>
      </c>
      <c r="E11" s="396">
        <v>37000</v>
      </c>
      <c r="F11" s="396">
        <v>37000</v>
      </c>
      <c r="G11" s="681">
        <f t="shared" si="1"/>
        <v>0</v>
      </c>
      <c r="H11" s="396">
        <f t="shared" si="0"/>
        <v>0</v>
      </c>
      <c r="I11" s="396"/>
      <c r="J11" s="397">
        <f>H11/DAY(B2)</f>
        <v>0</v>
      </c>
      <c r="K11" s="540"/>
      <c r="L11" s="429"/>
      <c r="N11" s="539"/>
      <c r="O11" s="171">
        <f>142-18</f>
        <v>124</v>
      </c>
    </row>
    <row r="12" spans="1:15" ht="22.5">
      <c r="A12" s="514" t="s">
        <v>135</v>
      </c>
      <c r="B12" s="393"/>
      <c r="C12" s="393"/>
      <c r="D12" s="394" t="s">
        <v>130</v>
      </c>
      <c r="E12" s="666">
        <v>40010</v>
      </c>
      <c r="F12" s="666">
        <v>40010</v>
      </c>
      <c r="G12" s="681">
        <f>F12-E12</f>
        <v>0</v>
      </c>
      <c r="H12" s="396">
        <f t="shared" si="0"/>
        <v>0</v>
      </c>
      <c r="I12" s="396"/>
      <c r="J12" s="397">
        <f>H12/DAY(B2)</f>
        <v>0</v>
      </c>
      <c r="K12" s="540"/>
      <c r="L12" s="429"/>
      <c r="N12" s="539"/>
      <c r="O12" s="171"/>
    </row>
    <row r="13" spans="1:15" ht="22.5">
      <c r="A13" s="517" t="s">
        <v>136</v>
      </c>
      <c r="B13" s="404"/>
      <c r="C13" s="404"/>
      <c r="D13" s="394"/>
      <c r="E13" s="396"/>
      <c r="F13" s="396"/>
      <c r="G13" s="681">
        <f>F13-E13</f>
        <v>0</v>
      </c>
      <c r="H13" s="396">
        <f t="shared" si="0"/>
        <v>0</v>
      </c>
      <c r="I13" s="403">
        <f>G7-G13</f>
        <v>20006.53</v>
      </c>
      <c r="J13" s="397">
        <f>H13/DAY(B2)</f>
        <v>0</v>
      </c>
      <c r="K13" s="540"/>
      <c r="L13" s="429"/>
      <c r="N13" s="539"/>
      <c r="O13" s="171"/>
    </row>
    <row r="14" spans="1:15" ht="22.5">
      <c r="A14" s="804" t="s">
        <v>137</v>
      </c>
      <c r="B14" s="805"/>
      <c r="C14" s="806"/>
      <c r="D14" s="391"/>
      <c r="E14" s="652"/>
      <c r="F14" s="652"/>
      <c r="G14" s="125"/>
      <c r="H14" s="652"/>
      <c r="I14" s="652"/>
      <c r="J14" s="653"/>
      <c r="K14" s="541"/>
      <c r="L14" s="429"/>
      <c r="N14" s="539"/>
      <c r="O14" s="171"/>
    </row>
    <row r="15" spans="1:15" ht="22.5">
      <c r="A15" s="518" t="s">
        <v>138</v>
      </c>
      <c r="B15" s="407"/>
      <c r="C15" s="407"/>
      <c r="D15" s="394" t="s">
        <v>139</v>
      </c>
      <c r="E15" s="665">
        <v>1878430</v>
      </c>
      <c r="F15" s="667">
        <v>1879500.0859999999</v>
      </c>
      <c r="G15" s="682">
        <f>(F15-E15)</f>
        <v>1070.0859999998938</v>
      </c>
      <c r="H15" s="403">
        <f>G15</f>
        <v>1070.0859999998938</v>
      </c>
      <c r="I15" s="403">
        <v>800</v>
      </c>
      <c r="J15" s="397">
        <f>H15/DAY(B2)</f>
        <v>1070.0859999998938</v>
      </c>
      <c r="K15" s="540"/>
      <c r="L15" s="429"/>
      <c r="N15" s="539"/>
      <c r="O15" s="171"/>
    </row>
    <row r="16" spans="1:15" ht="22.5">
      <c r="A16" s="519"/>
      <c r="B16" s="410"/>
      <c r="C16" s="410"/>
      <c r="D16" s="411"/>
      <c r="E16" s="665"/>
      <c r="F16" s="665"/>
      <c r="G16" s="681"/>
      <c r="H16" s="403"/>
      <c r="I16" s="403">
        <f>I15-J15</f>
        <v>-270.08599999989383</v>
      </c>
      <c r="J16" s="412"/>
      <c r="K16" s="540"/>
      <c r="L16" s="429"/>
      <c r="N16" s="539"/>
      <c r="O16" s="171"/>
    </row>
    <row r="17" spans="1:15" ht="22.5">
      <c r="A17" s="804" t="s">
        <v>140</v>
      </c>
      <c r="B17" s="805"/>
      <c r="C17" s="806"/>
      <c r="D17" s="391"/>
      <c r="E17" s="652"/>
      <c r="F17" s="652"/>
      <c r="G17" s="125"/>
      <c r="H17" s="652"/>
      <c r="I17" s="652"/>
      <c r="J17" s="653"/>
      <c r="K17" s="540"/>
      <c r="L17" s="429"/>
      <c r="N17" s="539"/>
      <c r="O17" s="171"/>
    </row>
    <row r="18" spans="1:15" ht="22.5">
      <c r="A18" s="772" t="s">
        <v>141</v>
      </c>
      <c r="B18" s="773"/>
      <c r="C18" s="774"/>
      <c r="D18" s="394" t="s">
        <v>142</v>
      </c>
      <c r="E18" s="668">
        <v>0</v>
      </c>
      <c r="F18" s="668">
        <v>0</v>
      </c>
      <c r="G18" s="656">
        <f>F18*10</f>
        <v>0</v>
      </c>
      <c r="H18" s="396">
        <f>G18</f>
        <v>0</v>
      </c>
      <c r="I18" s="403">
        <v>65</v>
      </c>
      <c r="J18" s="397">
        <f>H18/DAY(B2)</f>
        <v>0</v>
      </c>
      <c r="K18" s="540"/>
      <c r="L18" s="429"/>
      <c r="N18" s="539"/>
      <c r="O18" s="171"/>
    </row>
    <row r="19" spans="1:15" ht="22.5">
      <c r="A19" s="772" t="s">
        <v>69</v>
      </c>
      <c r="B19" s="773"/>
      <c r="C19" s="774"/>
      <c r="D19" s="394" t="s">
        <v>142</v>
      </c>
      <c r="E19" s="668">
        <v>152225</v>
      </c>
      <c r="F19" s="668">
        <v>152279</v>
      </c>
      <c r="G19" s="681">
        <f t="shared" ref="G19" si="2">F19-E19</f>
        <v>54</v>
      </c>
      <c r="H19" s="396">
        <f t="shared" ref="H19" si="3">G19</f>
        <v>54</v>
      </c>
      <c r="I19" s="666"/>
      <c r="J19" s="397">
        <f>H19/DAY(B2)</f>
        <v>54</v>
      </c>
      <c r="K19" s="540"/>
      <c r="L19" s="429"/>
      <c r="N19" s="539"/>
      <c r="O19" s="171"/>
    </row>
    <row r="20" spans="1:15" ht="22.5">
      <c r="A20" s="517" t="s">
        <v>143</v>
      </c>
      <c r="B20" s="404"/>
      <c r="C20" s="404"/>
      <c r="D20" s="414"/>
      <c r="E20" s="669"/>
      <c r="F20" s="669"/>
      <c r="G20" s="683">
        <f>G18+G19</f>
        <v>54</v>
      </c>
      <c r="H20" s="396">
        <f>G20</f>
        <v>54</v>
      </c>
      <c r="I20" s="415">
        <f>I18-J20</f>
        <v>11</v>
      </c>
      <c r="J20" s="397">
        <f>H20/DAY(B2)</f>
        <v>54</v>
      </c>
      <c r="K20" s="540"/>
      <c r="L20" s="429"/>
      <c r="N20" s="539"/>
      <c r="O20" s="171"/>
    </row>
    <row r="21" spans="1:15" ht="22.5">
      <c r="A21" s="804" t="s">
        <v>144</v>
      </c>
      <c r="B21" s="805"/>
      <c r="C21" s="806"/>
      <c r="D21" s="391"/>
      <c r="E21" s="652"/>
      <c r="F21" s="652"/>
      <c r="G21" s="125"/>
      <c r="H21" s="652"/>
      <c r="I21" s="652"/>
      <c r="J21" s="653"/>
      <c r="K21" s="540"/>
      <c r="L21" s="429"/>
      <c r="N21" s="539"/>
      <c r="O21" s="171"/>
    </row>
    <row r="22" spans="1:15" ht="22.5">
      <c r="A22" s="518" t="s">
        <v>145</v>
      </c>
      <c r="B22" s="407"/>
      <c r="C22" s="407"/>
      <c r="D22" s="394" t="s">
        <v>146</v>
      </c>
      <c r="E22" s="668">
        <v>2970</v>
      </c>
      <c r="F22" s="668">
        <v>2970</v>
      </c>
      <c r="G22" s="656">
        <f>(F22-E22)</f>
        <v>0</v>
      </c>
      <c r="H22" s="396">
        <f>G22</f>
        <v>0</v>
      </c>
      <c r="I22" s="396"/>
      <c r="J22" s="397">
        <f>H22/DAY(B2)</f>
        <v>0</v>
      </c>
      <c r="K22" s="540"/>
      <c r="L22" s="429"/>
      <c r="N22" s="539"/>
      <c r="O22" s="171"/>
    </row>
    <row r="23" spans="1:15" ht="22.5">
      <c r="A23" s="518" t="s">
        <v>147</v>
      </c>
      <c r="B23" s="407"/>
      <c r="C23" s="407"/>
      <c r="D23" s="394" t="s">
        <v>146</v>
      </c>
      <c r="E23" s="668">
        <v>1500</v>
      </c>
      <c r="F23" s="668">
        <v>1500</v>
      </c>
      <c r="G23" s="656">
        <f t="shared" ref="G23" si="4">(F23-E23)</f>
        <v>0</v>
      </c>
      <c r="H23" s="396">
        <f t="shared" ref="H23:H24" si="5">G23</f>
        <v>0</v>
      </c>
      <c r="I23" s="396"/>
      <c r="J23" s="397">
        <f>H23/DAY(B2)</f>
        <v>0</v>
      </c>
      <c r="K23" s="540"/>
      <c r="L23" s="429"/>
      <c r="N23" s="539"/>
      <c r="O23" s="171"/>
    </row>
    <row r="24" spans="1:15" ht="22.5">
      <c r="A24" s="520" t="s">
        <v>148</v>
      </c>
      <c r="B24" s="416"/>
      <c r="C24" s="416"/>
      <c r="D24" s="387" t="s">
        <v>146</v>
      </c>
      <c r="E24" s="670">
        <v>4970</v>
      </c>
      <c r="F24" s="670"/>
      <c r="G24" s="656">
        <f>SUM(G22:G23)</f>
        <v>0</v>
      </c>
      <c r="H24" s="396">
        <f t="shared" si="5"/>
        <v>0</v>
      </c>
      <c r="I24" s="396"/>
      <c r="J24" s="397">
        <f>H24/DAY(B2)</f>
        <v>0</v>
      </c>
      <c r="K24" s="540"/>
      <c r="L24" s="429"/>
      <c r="N24" s="539"/>
      <c r="O24" s="171"/>
    </row>
    <row r="25" spans="1:15" ht="22.5">
      <c r="A25" s="801" t="s">
        <v>149</v>
      </c>
      <c r="B25" s="802"/>
      <c r="C25" s="803"/>
      <c r="D25" s="390"/>
      <c r="E25" s="652"/>
      <c r="F25" s="652"/>
      <c r="G25" s="125"/>
      <c r="H25" s="652"/>
      <c r="I25" s="671"/>
      <c r="J25" s="653"/>
      <c r="K25" s="540"/>
      <c r="L25" s="429"/>
      <c r="N25" s="539"/>
      <c r="O25" s="171"/>
    </row>
    <row r="26" spans="1:15" ht="22.5">
      <c r="A26" s="521" t="s">
        <v>150</v>
      </c>
      <c r="B26" s="417"/>
      <c r="C26" s="418"/>
      <c r="D26" s="419" t="s">
        <v>151</v>
      </c>
      <c r="E26" s="672"/>
      <c r="F26" s="672"/>
      <c r="G26" s="684"/>
      <c r="H26" s="396"/>
      <c r="I26" s="420"/>
      <c r="J26" s="397"/>
      <c r="K26" s="541"/>
      <c r="L26" s="429"/>
      <c r="N26" s="539"/>
      <c r="O26" s="171"/>
    </row>
    <row r="27" spans="1:15" ht="22.5">
      <c r="A27" s="521" t="s">
        <v>5</v>
      </c>
      <c r="B27" s="417"/>
      <c r="C27" s="418"/>
      <c r="D27" s="421" t="s">
        <v>24</v>
      </c>
      <c r="E27" s="673">
        <f>G8</f>
        <v>20449</v>
      </c>
      <c r="F27" s="673">
        <v>9</v>
      </c>
      <c r="G27" s="685">
        <f>E27*F27</f>
        <v>184041</v>
      </c>
      <c r="H27" s="396">
        <f t="shared" ref="H27:H32" si="6">G27</f>
        <v>184041</v>
      </c>
      <c r="I27" s="674"/>
      <c r="J27" s="397">
        <f>H27/DAY(B2)</f>
        <v>184041</v>
      </c>
      <c r="K27" s="540"/>
      <c r="L27" s="429"/>
      <c r="N27" s="539"/>
      <c r="O27" s="171"/>
    </row>
    <row r="28" spans="1:15" ht="22.5">
      <c r="A28" s="521" t="s">
        <v>152</v>
      </c>
      <c r="B28" s="417"/>
      <c r="C28" s="418"/>
      <c r="D28" s="421" t="s">
        <v>153</v>
      </c>
      <c r="E28" s="673">
        <f>G15</f>
        <v>1070.0859999998938</v>
      </c>
      <c r="F28" s="673">
        <v>52</v>
      </c>
      <c r="G28" s="685">
        <f>E28*F28</f>
        <v>55644.471999994479</v>
      </c>
      <c r="H28" s="396">
        <f t="shared" si="6"/>
        <v>55644.471999994479</v>
      </c>
      <c r="I28" s="420"/>
      <c r="J28" s="397">
        <f>H28/DAY(B2)</f>
        <v>55644.471999994479</v>
      </c>
      <c r="K28" s="540"/>
      <c r="L28" s="429"/>
      <c r="N28" s="539"/>
      <c r="O28" s="171"/>
    </row>
    <row r="29" spans="1:15" ht="22.5">
      <c r="A29" s="521" t="s">
        <v>154</v>
      </c>
      <c r="B29" s="417"/>
      <c r="C29" s="418"/>
      <c r="D29" s="421" t="s">
        <v>155</v>
      </c>
      <c r="E29" s="673">
        <f>G24</f>
        <v>0</v>
      </c>
      <c r="F29" s="673">
        <v>69</v>
      </c>
      <c r="G29" s="685">
        <f>E29*F29</f>
        <v>0</v>
      </c>
      <c r="H29" s="396">
        <f t="shared" si="6"/>
        <v>0</v>
      </c>
      <c r="I29" s="420"/>
      <c r="J29" s="397">
        <f>H29/DAY(B2)</f>
        <v>0</v>
      </c>
      <c r="K29" s="540"/>
      <c r="L29" s="429"/>
      <c r="N29" s="539"/>
      <c r="O29" s="171"/>
    </row>
    <row r="30" spans="1:15" ht="22.5">
      <c r="A30" s="521" t="s">
        <v>156</v>
      </c>
      <c r="B30" s="417"/>
      <c r="C30" s="418"/>
      <c r="D30" s="421" t="s">
        <v>157</v>
      </c>
      <c r="E30" s="673">
        <f>G19</f>
        <v>54</v>
      </c>
      <c r="F30" s="673">
        <v>146</v>
      </c>
      <c r="G30" s="685">
        <f>E30*F30</f>
        <v>7884</v>
      </c>
      <c r="H30" s="396">
        <f t="shared" si="6"/>
        <v>7884</v>
      </c>
      <c r="I30" s="420"/>
      <c r="J30" s="397">
        <f>H30/DAY(B2)</f>
        <v>7884</v>
      </c>
      <c r="K30" s="540"/>
      <c r="L30" s="429"/>
      <c r="N30" s="539"/>
      <c r="O30" s="171"/>
    </row>
    <row r="31" spans="1:15" ht="22.5">
      <c r="A31" s="521" t="s">
        <v>158</v>
      </c>
      <c r="B31" s="417"/>
      <c r="C31" s="418"/>
      <c r="D31" s="421" t="s">
        <v>142</v>
      </c>
      <c r="E31" s="673">
        <f>G18</f>
        <v>0</v>
      </c>
      <c r="F31" s="673">
        <v>80</v>
      </c>
      <c r="G31" s="685">
        <f>E31*F31</f>
        <v>0</v>
      </c>
      <c r="H31" s="396">
        <f t="shared" si="6"/>
        <v>0</v>
      </c>
      <c r="I31" s="420"/>
      <c r="J31" s="397">
        <f>H31/DAY(B2)</f>
        <v>0</v>
      </c>
      <c r="K31" s="540"/>
      <c r="L31" s="429"/>
      <c r="N31" s="539"/>
      <c r="O31" s="171"/>
    </row>
    <row r="32" spans="1:15" ht="22.5">
      <c r="A32" s="522" t="s">
        <v>159</v>
      </c>
      <c r="B32" s="422"/>
      <c r="C32" s="423"/>
      <c r="D32" s="424"/>
      <c r="E32" s="654"/>
      <c r="F32" s="654"/>
      <c r="G32" s="692">
        <f>G27+G28+G29+G30+G31</f>
        <v>247569.47199999448</v>
      </c>
      <c r="H32" s="693">
        <f t="shared" si="6"/>
        <v>247569.47199999448</v>
      </c>
      <c r="I32" s="694"/>
      <c r="J32" s="695">
        <f>H32/DAY(B2)</f>
        <v>247569.47199999448</v>
      </c>
      <c r="K32" s="540"/>
      <c r="L32" s="429"/>
      <c r="N32" s="539"/>
      <c r="O32" s="171"/>
    </row>
    <row r="33" spans="1:15" ht="25.5" customHeight="1">
      <c r="A33" s="812" t="s">
        <v>331</v>
      </c>
      <c r="B33" s="813"/>
      <c r="C33" s="813"/>
      <c r="D33" s="542"/>
      <c r="E33" s="675"/>
      <c r="F33" s="676"/>
      <c r="G33" s="686"/>
      <c r="H33" s="676"/>
      <c r="I33" s="676"/>
      <c r="J33" s="677"/>
      <c r="K33" s="540"/>
      <c r="L33" s="429"/>
      <c r="N33" s="539"/>
      <c r="O33" s="171"/>
    </row>
    <row r="34" spans="1:15" ht="22.5">
      <c r="A34" s="523" t="s">
        <v>160</v>
      </c>
      <c r="B34" s="425"/>
      <c r="C34" s="425"/>
      <c r="D34" s="391"/>
      <c r="E34" s="652"/>
      <c r="F34" s="652"/>
      <c r="G34" s="486"/>
      <c r="H34" s="652"/>
      <c r="I34" s="652"/>
      <c r="J34" s="653"/>
      <c r="K34" s="540"/>
      <c r="L34" s="429"/>
      <c r="N34" s="539"/>
      <c r="O34" s="171"/>
    </row>
    <row r="35" spans="1:15" ht="22.5">
      <c r="A35" s="514" t="s">
        <v>161</v>
      </c>
      <c r="B35" s="393"/>
      <c r="C35" s="393"/>
      <c r="D35" s="394" t="s">
        <v>130</v>
      </c>
      <c r="E35" s="666">
        <v>152842</v>
      </c>
      <c r="F35" s="666">
        <v>154894.12</v>
      </c>
      <c r="G35" s="681">
        <f t="shared" ref="G35:G46" si="7">F35-E35</f>
        <v>2052.1199999999953</v>
      </c>
      <c r="H35" s="396">
        <f t="shared" ref="H35:H47" si="8">G35</f>
        <v>2052.1199999999953</v>
      </c>
      <c r="I35" s="396"/>
      <c r="J35" s="397">
        <f>H35/DAY(B2)</f>
        <v>2052.1199999999953</v>
      </c>
      <c r="K35" s="540"/>
      <c r="L35" s="429"/>
      <c r="N35" s="539"/>
      <c r="O35" s="171"/>
    </row>
    <row r="36" spans="1:15" ht="22.5">
      <c r="A36" s="514" t="s">
        <v>162</v>
      </c>
      <c r="B36" s="393"/>
      <c r="C36" s="393"/>
      <c r="D36" s="394" t="s">
        <v>130</v>
      </c>
      <c r="E36" s="666">
        <v>21527</v>
      </c>
      <c r="F36" s="666">
        <v>22412.33</v>
      </c>
      <c r="G36" s="681">
        <f t="shared" si="7"/>
        <v>885.33000000000175</v>
      </c>
      <c r="H36" s="396">
        <f t="shared" si="8"/>
        <v>885.33000000000175</v>
      </c>
      <c r="I36" s="396"/>
      <c r="J36" s="397">
        <f>H36/DAY(B2)</f>
        <v>885.33000000000175</v>
      </c>
      <c r="K36" s="540"/>
      <c r="L36" s="429"/>
      <c r="N36" s="539"/>
      <c r="O36" s="543"/>
    </row>
    <row r="37" spans="1:15" ht="22.5">
      <c r="A37" s="514" t="s">
        <v>163</v>
      </c>
      <c r="B37" s="393"/>
      <c r="C37" s="393"/>
      <c r="D37" s="394" t="s">
        <v>130</v>
      </c>
      <c r="E37" s="666">
        <v>195393</v>
      </c>
      <c r="F37" s="666">
        <v>196966.51</v>
      </c>
      <c r="G37" s="681">
        <f t="shared" si="7"/>
        <v>1573.5100000000093</v>
      </c>
      <c r="H37" s="396">
        <f t="shared" si="8"/>
        <v>1573.5100000000093</v>
      </c>
      <c r="I37" s="396"/>
      <c r="J37" s="397">
        <f>H37/DAY(B2)</f>
        <v>1573.5100000000093</v>
      </c>
      <c r="K37" s="540"/>
      <c r="L37" s="429"/>
      <c r="N37" s="539"/>
      <c r="O37" s="544"/>
    </row>
    <row r="38" spans="1:15" ht="22.5">
      <c r="A38" s="514" t="s">
        <v>164</v>
      </c>
      <c r="B38" s="393"/>
      <c r="C38" s="393"/>
      <c r="D38" s="394" t="s">
        <v>130</v>
      </c>
      <c r="E38" s="396">
        <v>232482</v>
      </c>
      <c r="F38" s="396">
        <v>234147.43</v>
      </c>
      <c r="G38" s="681">
        <f t="shared" si="7"/>
        <v>1665.429999999993</v>
      </c>
      <c r="H38" s="396">
        <f t="shared" si="8"/>
        <v>1665.429999999993</v>
      </c>
      <c r="I38" s="396"/>
      <c r="J38" s="397">
        <f>H38/DAY(B2)</f>
        <v>1665.429999999993</v>
      </c>
      <c r="K38" s="540"/>
      <c r="L38" s="429"/>
      <c r="N38" s="539"/>
      <c r="O38" s="171"/>
    </row>
    <row r="39" spans="1:15" ht="22.5">
      <c r="A39" s="514" t="s">
        <v>165</v>
      </c>
      <c r="B39" s="393"/>
      <c r="C39" s="393"/>
      <c r="D39" s="394" t="s">
        <v>130</v>
      </c>
      <c r="E39" s="666">
        <v>411079</v>
      </c>
      <c r="F39" s="666">
        <v>413803.39</v>
      </c>
      <c r="G39" s="681">
        <f t="shared" si="7"/>
        <v>2724.390000000014</v>
      </c>
      <c r="H39" s="396">
        <f t="shared" si="8"/>
        <v>2724.390000000014</v>
      </c>
      <c r="I39" s="396"/>
      <c r="J39" s="397">
        <f>H39/DAY(B2)</f>
        <v>2724.390000000014</v>
      </c>
      <c r="K39" s="540"/>
      <c r="L39" s="429"/>
      <c r="N39" s="539"/>
      <c r="O39" s="171"/>
    </row>
    <row r="40" spans="1:15" ht="22.5">
      <c r="A40" s="524" t="s">
        <v>166</v>
      </c>
      <c r="B40" s="426"/>
      <c r="C40" s="426"/>
      <c r="D40" s="394" t="s">
        <v>130</v>
      </c>
      <c r="E40" s="666">
        <v>5610</v>
      </c>
      <c r="F40" s="666">
        <v>5609.97</v>
      </c>
      <c r="G40" s="681">
        <f t="shared" si="7"/>
        <v>-2.9999999999745341E-2</v>
      </c>
      <c r="H40" s="396">
        <f t="shared" si="8"/>
        <v>-2.9999999999745341E-2</v>
      </c>
      <c r="I40" s="396"/>
      <c r="J40" s="397">
        <f>H40/DAY(B2)</f>
        <v>-2.9999999999745341E-2</v>
      </c>
      <c r="K40" s="541"/>
      <c r="L40" s="429"/>
      <c r="N40" s="539"/>
      <c r="O40" s="171"/>
    </row>
    <row r="41" spans="1:15" ht="22.5">
      <c r="A41" s="514" t="s">
        <v>167</v>
      </c>
      <c r="B41" s="393"/>
      <c r="C41" s="393"/>
      <c r="D41" s="394" t="s">
        <v>130</v>
      </c>
      <c r="E41" s="666">
        <v>0</v>
      </c>
      <c r="F41" s="666">
        <v>0</v>
      </c>
      <c r="G41" s="681">
        <f t="shared" si="7"/>
        <v>0</v>
      </c>
      <c r="H41" s="396">
        <f t="shared" si="8"/>
        <v>0</v>
      </c>
      <c r="I41" s="396"/>
      <c r="J41" s="397">
        <f>H41/DAY(B2)</f>
        <v>0</v>
      </c>
      <c r="K41" s="540"/>
      <c r="L41" s="429"/>
      <c r="N41" s="539"/>
      <c r="O41" s="171"/>
    </row>
    <row r="42" spans="1:15" ht="22.5">
      <c r="A42" s="514" t="s">
        <v>168</v>
      </c>
      <c r="B42" s="393"/>
      <c r="C42" s="393"/>
      <c r="D42" s="394" t="s">
        <v>130</v>
      </c>
      <c r="E42" s="666">
        <v>73809</v>
      </c>
      <c r="F42" s="666">
        <v>73808.600000000006</v>
      </c>
      <c r="G42" s="681">
        <f t="shared" si="7"/>
        <v>-0.39999999999417923</v>
      </c>
      <c r="H42" s="396">
        <f t="shared" si="8"/>
        <v>-0.39999999999417923</v>
      </c>
      <c r="I42" s="396"/>
      <c r="J42" s="397">
        <f>H42/DAY(B2)</f>
        <v>-0.39999999999417923</v>
      </c>
      <c r="K42" s="540"/>
      <c r="L42" s="429"/>
      <c r="N42" s="539"/>
      <c r="O42" s="171"/>
    </row>
    <row r="43" spans="1:15" ht="22.5">
      <c r="A43" s="514" t="s">
        <v>169</v>
      </c>
      <c r="B43" s="393"/>
      <c r="C43" s="393"/>
      <c r="D43" s="394" t="s">
        <v>130</v>
      </c>
      <c r="E43" s="666">
        <v>47261</v>
      </c>
      <c r="F43" s="666">
        <v>49822.23</v>
      </c>
      <c r="G43" s="681">
        <f t="shared" si="7"/>
        <v>2561.2300000000032</v>
      </c>
      <c r="H43" s="396">
        <f t="shared" si="8"/>
        <v>2561.2300000000032</v>
      </c>
      <c r="I43" s="396"/>
      <c r="J43" s="397">
        <f>H43/DAY(B2)</f>
        <v>2561.2300000000032</v>
      </c>
      <c r="K43" s="540"/>
      <c r="L43" s="429"/>
      <c r="N43" s="539"/>
      <c r="O43" s="171"/>
    </row>
    <row r="44" spans="1:15" ht="22.5">
      <c r="A44" s="514" t="s">
        <v>170</v>
      </c>
      <c r="B44" s="393"/>
      <c r="C44" s="393"/>
      <c r="D44" s="394" t="s">
        <v>130</v>
      </c>
      <c r="E44" s="666">
        <v>0</v>
      </c>
      <c r="F44" s="666">
        <v>0</v>
      </c>
      <c r="G44" s="681">
        <f t="shared" si="7"/>
        <v>0</v>
      </c>
      <c r="H44" s="396">
        <f t="shared" si="8"/>
        <v>0</v>
      </c>
      <c r="I44" s="396"/>
      <c r="J44" s="397">
        <f>H44/DAY(B2)</f>
        <v>0</v>
      </c>
      <c r="K44" s="540"/>
      <c r="L44" s="429"/>
      <c r="N44" s="539"/>
      <c r="O44" s="171"/>
    </row>
    <row r="45" spans="1:15" ht="22.5">
      <c r="A45" s="514" t="s">
        <v>171</v>
      </c>
      <c r="B45" s="393"/>
      <c r="C45" s="393"/>
      <c r="D45" s="394" t="s">
        <v>130</v>
      </c>
      <c r="E45" s="666">
        <v>0</v>
      </c>
      <c r="F45" s="666">
        <v>0</v>
      </c>
      <c r="G45" s="681">
        <f t="shared" si="7"/>
        <v>0</v>
      </c>
      <c r="H45" s="396">
        <f t="shared" si="8"/>
        <v>0</v>
      </c>
      <c r="I45" s="396"/>
      <c r="J45" s="397">
        <f>H45/DAY(B2)</f>
        <v>0</v>
      </c>
      <c r="K45" s="540"/>
      <c r="L45" s="429"/>
      <c r="N45" s="539"/>
      <c r="O45" s="171"/>
    </row>
    <row r="46" spans="1:15" ht="22.5">
      <c r="A46" s="514" t="s">
        <v>172</v>
      </c>
      <c r="B46" s="393"/>
      <c r="C46" s="393"/>
      <c r="D46" s="394" t="s">
        <v>130</v>
      </c>
      <c r="E46" s="666">
        <v>0</v>
      </c>
      <c r="F46" s="666">
        <v>0</v>
      </c>
      <c r="G46" s="681">
        <f t="shared" si="7"/>
        <v>0</v>
      </c>
      <c r="H46" s="396">
        <f t="shared" si="8"/>
        <v>0</v>
      </c>
      <c r="I46" s="396"/>
      <c r="J46" s="397">
        <f>H46/DAY(B2)</f>
        <v>0</v>
      </c>
      <c r="K46" s="540"/>
      <c r="L46" s="429"/>
      <c r="N46" s="539"/>
      <c r="O46" s="171"/>
    </row>
    <row r="47" spans="1:15" ht="22.5">
      <c r="A47" s="517" t="s">
        <v>173</v>
      </c>
      <c r="B47" s="404"/>
      <c r="C47" s="404"/>
      <c r="D47" s="388"/>
      <c r="E47" s="396"/>
      <c r="F47" s="396"/>
      <c r="G47" s="656">
        <f>G35+G36+G37+G38+G39+G40+G41+G42+G43+G44+G45+G46</f>
        <v>11461.580000000024</v>
      </c>
      <c r="H47" s="396">
        <f t="shared" si="8"/>
        <v>11461.580000000024</v>
      </c>
      <c r="I47" s="396"/>
      <c r="J47" s="397">
        <f>H47/DAY(B2)</f>
        <v>11461.580000000024</v>
      </c>
      <c r="K47" s="540"/>
      <c r="L47" s="429"/>
      <c r="N47" s="539"/>
      <c r="O47" s="171"/>
    </row>
    <row r="48" spans="1:15" ht="22.5">
      <c r="A48" s="523" t="s">
        <v>174</v>
      </c>
      <c r="B48" s="425"/>
      <c r="C48" s="425"/>
      <c r="D48" s="391"/>
      <c r="E48" s="652"/>
      <c r="F48" s="652"/>
      <c r="G48" s="486"/>
      <c r="H48" s="652"/>
      <c r="I48" s="652"/>
      <c r="J48" s="653"/>
      <c r="K48" s="540"/>
      <c r="L48" s="429"/>
      <c r="N48" s="539"/>
      <c r="O48" s="171"/>
    </row>
    <row r="49" spans="1:15" ht="22.5">
      <c r="A49" s="514" t="s">
        <v>161</v>
      </c>
      <c r="B49" s="427"/>
      <c r="C49" s="427"/>
      <c r="D49" s="394" t="s">
        <v>130</v>
      </c>
      <c r="E49" s="666">
        <v>272240</v>
      </c>
      <c r="F49" s="666">
        <v>273858.83</v>
      </c>
      <c r="G49" s="681">
        <f t="shared" ref="G49:G58" si="9">F49-E49</f>
        <v>1618.8300000000163</v>
      </c>
      <c r="H49" s="396">
        <f t="shared" ref="H49:H60" si="10">G49</f>
        <v>1618.8300000000163</v>
      </c>
      <c r="I49" s="396"/>
      <c r="J49" s="397">
        <f>H49/DAY(B2)</f>
        <v>1618.8300000000163</v>
      </c>
      <c r="K49" s="540"/>
      <c r="L49" s="429"/>
      <c r="N49" s="539"/>
      <c r="O49" s="171"/>
    </row>
    <row r="50" spans="1:15" ht="22.5">
      <c r="A50" s="514" t="s">
        <v>175</v>
      </c>
      <c r="B50" s="427"/>
      <c r="C50" s="427"/>
      <c r="D50" s="394" t="s">
        <v>130</v>
      </c>
      <c r="E50" s="666">
        <v>24650</v>
      </c>
      <c r="F50" s="666">
        <v>25886.02</v>
      </c>
      <c r="G50" s="681">
        <f t="shared" si="9"/>
        <v>1236.0200000000004</v>
      </c>
      <c r="H50" s="396">
        <f t="shared" si="10"/>
        <v>1236.0200000000004</v>
      </c>
      <c r="I50" s="396"/>
      <c r="J50" s="397">
        <f>H50/DAY(B2)</f>
        <v>1236.0200000000004</v>
      </c>
      <c r="K50" s="540"/>
      <c r="L50" s="429"/>
      <c r="N50" s="539"/>
      <c r="O50" s="171"/>
    </row>
    <row r="51" spans="1:15" ht="22.5">
      <c r="A51" s="514" t="s">
        <v>163</v>
      </c>
      <c r="B51" s="427"/>
      <c r="C51" s="427"/>
      <c r="D51" s="394" t="s">
        <v>130</v>
      </c>
      <c r="E51" s="666">
        <v>0</v>
      </c>
      <c r="F51" s="666">
        <v>0</v>
      </c>
      <c r="G51" s="681">
        <f t="shared" si="9"/>
        <v>0</v>
      </c>
      <c r="H51" s="396">
        <f t="shared" si="10"/>
        <v>0</v>
      </c>
      <c r="I51" s="396"/>
      <c r="J51" s="397">
        <f>H51/DAY(B2)</f>
        <v>0</v>
      </c>
      <c r="K51" s="540"/>
      <c r="L51" s="429"/>
      <c r="N51" s="539"/>
      <c r="O51" s="171"/>
    </row>
    <row r="52" spans="1:15" ht="22.5">
      <c r="A52" s="514" t="s">
        <v>176</v>
      </c>
      <c r="B52" s="427"/>
      <c r="C52" s="427"/>
      <c r="D52" s="394" t="s">
        <v>130</v>
      </c>
      <c r="E52" s="666">
        <v>0</v>
      </c>
      <c r="F52" s="666">
        <v>0</v>
      </c>
      <c r="G52" s="681">
        <f t="shared" si="9"/>
        <v>0</v>
      </c>
      <c r="H52" s="396">
        <f t="shared" si="10"/>
        <v>0</v>
      </c>
      <c r="I52" s="396"/>
      <c r="J52" s="397">
        <f>H52/DAY(B2)</f>
        <v>0</v>
      </c>
      <c r="K52" s="540"/>
      <c r="L52" s="429"/>
      <c r="N52" s="539"/>
      <c r="O52" s="171"/>
    </row>
    <row r="53" spans="1:15" ht="22.5">
      <c r="A53" s="514" t="s">
        <v>165</v>
      </c>
      <c r="B53" s="427"/>
      <c r="C53" s="427"/>
      <c r="D53" s="394" t="s">
        <v>130</v>
      </c>
      <c r="E53" s="666">
        <v>0</v>
      </c>
      <c r="F53" s="666">
        <v>0</v>
      </c>
      <c r="G53" s="681">
        <f t="shared" si="9"/>
        <v>0</v>
      </c>
      <c r="H53" s="396">
        <f t="shared" si="10"/>
        <v>0</v>
      </c>
      <c r="I53" s="396"/>
      <c r="J53" s="397">
        <f>H53/DAY(B2)</f>
        <v>0</v>
      </c>
      <c r="K53" s="540"/>
      <c r="L53" s="429"/>
      <c r="N53" s="539"/>
      <c r="O53" s="171"/>
    </row>
    <row r="54" spans="1:15" ht="22.5">
      <c r="A54" s="514" t="s">
        <v>177</v>
      </c>
      <c r="B54" s="427"/>
      <c r="C54" s="427"/>
      <c r="D54" s="394" t="s">
        <v>130</v>
      </c>
      <c r="E54" s="666">
        <v>3183</v>
      </c>
      <c r="F54" s="666">
        <v>3188.13</v>
      </c>
      <c r="G54" s="681">
        <f t="shared" si="9"/>
        <v>5.1300000000001091</v>
      </c>
      <c r="H54" s="396">
        <f t="shared" si="10"/>
        <v>5.1300000000001091</v>
      </c>
      <c r="I54" s="396"/>
      <c r="J54" s="397">
        <f>H54/DAY(B2)</f>
        <v>5.1300000000001091</v>
      </c>
      <c r="K54" s="540"/>
      <c r="L54" s="429"/>
      <c r="N54" s="539"/>
      <c r="O54" s="171"/>
    </row>
    <row r="55" spans="1:15" ht="22.5">
      <c r="A55" s="514" t="s">
        <v>178</v>
      </c>
      <c r="B55" s="427"/>
      <c r="C55" s="427"/>
      <c r="D55" s="394" t="s">
        <v>130</v>
      </c>
      <c r="E55" s="666">
        <v>3511</v>
      </c>
      <c r="F55" s="666">
        <v>5942.82</v>
      </c>
      <c r="G55" s="681">
        <f t="shared" si="9"/>
        <v>2431.8199999999997</v>
      </c>
      <c r="H55" s="396">
        <f t="shared" si="10"/>
        <v>2431.8199999999997</v>
      </c>
      <c r="I55" s="396"/>
      <c r="J55" s="397">
        <f>H55/DAY(B2)</f>
        <v>2431.8199999999997</v>
      </c>
      <c r="K55" s="540"/>
      <c r="L55" s="429"/>
      <c r="N55" s="539"/>
      <c r="O55" s="171"/>
    </row>
    <row r="56" spans="1:15" ht="22.5">
      <c r="A56" s="514" t="s">
        <v>179</v>
      </c>
      <c r="B56" s="427"/>
      <c r="C56" s="427"/>
      <c r="D56" s="394" t="s">
        <v>180</v>
      </c>
      <c r="E56" s="666">
        <v>8610.5400000000009</v>
      </c>
      <c r="F56" s="666">
        <v>8610.5400000000009</v>
      </c>
      <c r="G56" s="681">
        <f t="shared" si="9"/>
        <v>0</v>
      </c>
      <c r="H56" s="396">
        <f t="shared" si="10"/>
        <v>0</v>
      </c>
      <c r="I56" s="396"/>
      <c r="J56" s="397">
        <f>H56/DAY(B2)</f>
        <v>0</v>
      </c>
      <c r="K56" s="537"/>
      <c r="L56" s="429"/>
      <c r="N56" s="539"/>
      <c r="O56" s="171"/>
    </row>
    <row r="57" spans="1:15" ht="22.5">
      <c r="A57" s="514" t="s">
        <v>169</v>
      </c>
      <c r="B57" s="427"/>
      <c r="C57" s="427"/>
      <c r="D57" s="394" t="s">
        <v>130</v>
      </c>
      <c r="E57" s="666">
        <v>0</v>
      </c>
      <c r="F57" s="666">
        <v>0</v>
      </c>
      <c r="G57" s="681">
        <f t="shared" si="9"/>
        <v>0</v>
      </c>
      <c r="H57" s="396">
        <f t="shared" si="10"/>
        <v>0</v>
      </c>
      <c r="I57" s="396"/>
      <c r="J57" s="397">
        <f>H57/DAY(B2)</f>
        <v>0</v>
      </c>
      <c r="K57" s="540"/>
      <c r="L57" s="429"/>
      <c r="N57" s="539"/>
      <c r="O57" s="171"/>
    </row>
    <row r="58" spans="1:15" ht="22.5">
      <c r="A58" s="514" t="s">
        <v>181</v>
      </c>
      <c r="B58" s="427"/>
      <c r="C58" s="427"/>
      <c r="D58" s="394" t="s">
        <v>130</v>
      </c>
      <c r="E58" s="666">
        <v>92285</v>
      </c>
      <c r="F58" s="666">
        <v>92510.94</v>
      </c>
      <c r="G58" s="681">
        <f t="shared" si="9"/>
        <v>225.94000000000233</v>
      </c>
      <c r="H58" s="396">
        <f t="shared" si="10"/>
        <v>225.94000000000233</v>
      </c>
      <c r="I58" s="396"/>
      <c r="J58" s="397">
        <f>H58/DAY(B2)</f>
        <v>225.94000000000233</v>
      </c>
      <c r="K58" s="540"/>
      <c r="L58" s="429"/>
      <c r="N58" s="539"/>
      <c r="O58" s="171"/>
    </row>
    <row r="59" spans="1:15" ht="22.5">
      <c r="A59" s="517" t="s">
        <v>173</v>
      </c>
      <c r="B59" s="404"/>
      <c r="C59" s="404"/>
      <c r="D59" s="387"/>
      <c r="E59" s="396"/>
      <c r="F59" s="396"/>
      <c r="G59" s="656">
        <f>G49+G50+G51+G52+G53+G54+G55+G56+G57+G58</f>
        <v>5517.7400000000189</v>
      </c>
      <c r="H59" s="396">
        <f t="shared" si="10"/>
        <v>5517.7400000000189</v>
      </c>
      <c r="I59" s="396">
        <f>G7-G60</f>
        <v>3027.2099999999555</v>
      </c>
      <c r="J59" s="397">
        <f>H59/DAY(B2)</f>
        <v>5517.7400000000189</v>
      </c>
      <c r="K59" s="540"/>
      <c r="L59" s="429"/>
      <c r="N59" s="539"/>
      <c r="O59" s="171"/>
    </row>
    <row r="60" spans="1:15" ht="22.5">
      <c r="A60" s="514"/>
      <c r="B60" s="393"/>
      <c r="C60" s="393"/>
      <c r="D60" s="387" t="s">
        <v>182</v>
      </c>
      <c r="E60" s="396"/>
      <c r="F60" s="396"/>
      <c r="G60" s="656">
        <f>G47+G59</f>
        <v>16979.320000000043</v>
      </c>
      <c r="H60" s="396">
        <f t="shared" si="10"/>
        <v>16979.320000000043</v>
      </c>
      <c r="I60" s="396">
        <f>G13-G60</f>
        <v>-16979.320000000043</v>
      </c>
      <c r="J60" s="397">
        <f>H60/DAY(B2)</f>
        <v>16979.320000000043</v>
      </c>
      <c r="K60" s="540"/>
      <c r="L60" s="429"/>
      <c r="N60" s="539"/>
      <c r="O60" s="171"/>
    </row>
    <row r="61" spans="1:15" s="547" customFormat="1" ht="22.5">
      <c r="A61" s="792" t="s">
        <v>332</v>
      </c>
      <c r="B61" s="793"/>
      <c r="C61" s="794"/>
      <c r="D61" s="428"/>
      <c r="E61" s="650"/>
      <c r="F61" s="650"/>
      <c r="G61" s="340"/>
      <c r="H61" s="650"/>
      <c r="I61" s="650"/>
      <c r="J61" s="678"/>
      <c r="K61" s="545"/>
      <c r="L61" s="546"/>
      <c r="N61" s="539"/>
      <c r="O61" s="171"/>
    </row>
    <row r="62" spans="1:15" ht="22.5">
      <c r="A62" s="772" t="s">
        <v>198</v>
      </c>
      <c r="B62" s="773"/>
      <c r="C62" s="774"/>
      <c r="D62" s="394" t="s">
        <v>142</v>
      </c>
      <c r="E62" s="668">
        <v>267213</v>
      </c>
      <c r="F62" s="668">
        <v>267213</v>
      </c>
      <c r="G62" s="681">
        <f t="shared" ref="G62:G63" si="11">F62-E62</f>
        <v>0</v>
      </c>
      <c r="H62" s="396">
        <f t="shared" ref="H62:H71" si="12">G62</f>
        <v>0</v>
      </c>
      <c r="I62" s="396"/>
      <c r="J62" s="397">
        <f>H62/DAY(B2)</f>
        <v>0</v>
      </c>
      <c r="K62" s="541"/>
      <c r="L62" s="429"/>
      <c r="N62" s="539"/>
      <c r="O62" s="171"/>
    </row>
    <row r="63" spans="1:15" ht="22.5">
      <c r="A63" s="772" t="s">
        <v>199</v>
      </c>
      <c r="B63" s="773"/>
      <c r="C63" s="774"/>
      <c r="D63" s="394" t="s">
        <v>142</v>
      </c>
      <c r="E63" s="668">
        <v>212425</v>
      </c>
      <c r="F63" s="668">
        <v>212558</v>
      </c>
      <c r="G63" s="681">
        <f t="shared" si="11"/>
        <v>133</v>
      </c>
      <c r="H63" s="396">
        <f t="shared" si="12"/>
        <v>133</v>
      </c>
      <c r="I63" s="396"/>
      <c r="J63" s="397">
        <f>H63/DAY(B2)</f>
        <v>133</v>
      </c>
      <c r="K63" s="545"/>
      <c r="L63" s="429"/>
      <c r="N63" s="539"/>
      <c r="O63" s="171"/>
    </row>
    <row r="64" spans="1:15" ht="22.5">
      <c r="A64" s="766" t="s">
        <v>200</v>
      </c>
      <c r="B64" s="767"/>
      <c r="C64" s="768"/>
      <c r="D64" s="394"/>
      <c r="E64" s="668"/>
      <c r="F64" s="668"/>
      <c r="G64" s="681">
        <f>G62+G63</f>
        <v>133</v>
      </c>
      <c r="H64" s="396">
        <f t="shared" si="12"/>
        <v>133</v>
      </c>
      <c r="I64" s="396"/>
      <c r="J64" s="397">
        <f>H64/DAY(B2)</f>
        <v>133</v>
      </c>
      <c r="K64" s="545"/>
      <c r="L64" s="429"/>
      <c r="N64" s="539"/>
      <c r="O64" s="171"/>
    </row>
    <row r="65" spans="1:15" ht="22.5">
      <c r="A65" s="807" t="s">
        <v>201</v>
      </c>
      <c r="B65" s="808"/>
      <c r="C65" s="809"/>
      <c r="D65" s="394" t="s">
        <v>142</v>
      </c>
      <c r="E65" s="668">
        <v>432614</v>
      </c>
      <c r="F65" s="668">
        <v>432712</v>
      </c>
      <c r="G65" s="681">
        <f t="shared" ref="G65:G70" si="13">F65-E65</f>
        <v>98</v>
      </c>
      <c r="H65" s="396">
        <f t="shared" si="12"/>
        <v>98</v>
      </c>
      <c r="I65" s="396"/>
      <c r="J65" s="397">
        <f>H65/DAY(B2)</f>
        <v>98</v>
      </c>
      <c r="K65" s="545"/>
      <c r="L65" s="429"/>
      <c r="N65" s="539"/>
      <c r="O65" s="171"/>
    </row>
    <row r="66" spans="1:15" ht="22.5">
      <c r="A66" s="518" t="s">
        <v>202</v>
      </c>
      <c r="B66" s="407"/>
      <c r="C66" s="407"/>
      <c r="D66" s="394" t="s">
        <v>142</v>
      </c>
      <c r="E66" s="668">
        <v>107214</v>
      </c>
      <c r="F66" s="668">
        <v>107242</v>
      </c>
      <c r="G66" s="681">
        <f t="shared" si="13"/>
        <v>28</v>
      </c>
      <c r="H66" s="396">
        <f t="shared" si="12"/>
        <v>28</v>
      </c>
      <c r="I66" s="396"/>
      <c r="J66" s="397">
        <f>H66/DAY(B2)</f>
        <v>28</v>
      </c>
      <c r="K66" s="537"/>
      <c r="L66" s="429"/>
      <c r="N66" s="539"/>
      <c r="O66" s="171"/>
    </row>
    <row r="67" spans="1:15" ht="22.5">
      <c r="A67" s="518" t="s">
        <v>203</v>
      </c>
      <c r="B67" s="407"/>
      <c r="C67" s="407"/>
      <c r="D67" s="394" t="s">
        <v>142</v>
      </c>
      <c r="E67" s="668">
        <v>103928</v>
      </c>
      <c r="F67" s="668">
        <v>103968</v>
      </c>
      <c r="G67" s="681">
        <f t="shared" si="13"/>
        <v>40</v>
      </c>
      <c r="H67" s="396">
        <f t="shared" si="12"/>
        <v>40</v>
      </c>
      <c r="I67" s="396"/>
      <c r="J67" s="397">
        <f>H67/DAY(B2)</f>
        <v>40</v>
      </c>
      <c r="K67" s="548"/>
      <c r="L67" s="429"/>
      <c r="N67" s="539"/>
      <c r="O67" s="171"/>
    </row>
    <row r="68" spans="1:15" ht="22.5">
      <c r="A68" s="518" t="s">
        <v>204</v>
      </c>
      <c r="B68" s="407"/>
      <c r="C68" s="407"/>
      <c r="D68" s="394" t="s">
        <v>142</v>
      </c>
      <c r="E68" s="668">
        <v>156620</v>
      </c>
      <c r="F68" s="668">
        <v>156634</v>
      </c>
      <c r="G68" s="681">
        <f t="shared" si="13"/>
        <v>14</v>
      </c>
      <c r="H68" s="396">
        <f t="shared" si="12"/>
        <v>14</v>
      </c>
      <c r="I68" s="396"/>
      <c r="J68" s="397">
        <f>H68/DAY(B2)</f>
        <v>14</v>
      </c>
      <c r="K68" s="545"/>
      <c r="L68" s="429"/>
      <c r="N68" s="539"/>
      <c r="O68" s="171"/>
    </row>
    <row r="69" spans="1:15" ht="22.5">
      <c r="A69" s="518" t="s">
        <v>205</v>
      </c>
      <c r="B69" s="407"/>
      <c r="C69" s="407"/>
      <c r="D69" s="394" t="s">
        <v>142</v>
      </c>
      <c r="E69" s="668">
        <v>10214</v>
      </c>
      <c r="F69" s="668">
        <v>10239</v>
      </c>
      <c r="G69" s="681">
        <f t="shared" si="13"/>
        <v>25</v>
      </c>
      <c r="H69" s="396">
        <f t="shared" si="12"/>
        <v>25</v>
      </c>
      <c r="I69" s="396"/>
      <c r="J69" s="397">
        <f>H69/DAY(B2)</f>
        <v>25</v>
      </c>
      <c r="K69" s="545"/>
      <c r="L69" s="429"/>
      <c r="N69" s="539"/>
      <c r="O69" s="171"/>
    </row>
    <row r="70" spans="1:15" ht="22.5">
      <c r="A70" s="518" t="s">
        <v>206</v>
      </c>
      <c r="B70" s="407"/>
      <c r="C70" s="407"/>
      <c r="D70" s="394" t="s">
        <v>142</v>
      </c>
      <c r="E70" s="413">
        <v>7862</v>
      </c>
      <c r="F70" s="413">
        <v>7875</v>
      </c>
      <c r="G70" s="687">
        <f t="shared" si="13"/>
        <v>13</v>
      </c>
      <c r="H70" s="396">
        <f t="shared" si="12"/>
        <v>13</v>
      </c>
      <c r="I70" s="395"/>
      <c r="J70" s="397">
        <f>H70/DAY(B2)</f>
        <v>13</v>
      </c>
      <c r="K70" s="545"/>
      <c r="L70" s="429"/>
      <c r="N70" s="539"/>
      <c r="O70" s="171"/>
    </row>
    <row r="71" spans="1:15" ht="22.5">
      <c r="A71" s="766" t="s">
        <v>208</v>
      </c>
      <c r="B71" s="767"/>
      <c r="C71" s="768"/>
      <c r="D71" s="411"/>
      <c r="E71" s="411"/>
      <c r="F71" s="411"/>
      <c r="G71" s="573">
        <f>SUM(G65:G70)</f>
        <v>218</v>
      </c>
      <c r="H71" s="396">
        <f t="shared" si="12"/>
        <v>218</v>
      </c>
      <c r="I71" s="657"/>
      <c r="J71" s="397">
        <f>H71/DAY(B2)</f>
        <v>218</v>
      </c>
      <c r="K71" s="545"/>
      <c r="L71" s="429"/>
      <c r="N71" s="539"/>
      <c r="O71" s="171"/>
    </row>
    <row r="72" spans="1:15" ht="22.5">
      <c r="A72" s="814"/>
      <c r="B72" s="762"/>
      <c r="C72" s="507"/>
      <c r="D72" s="429"/>
      <c r="E72" s="658"/>
      <c r="F72" s="658"/>
      <c r="G72" s="688"/>
      <c r="H72" s="430"/>
      <c r="I72" s="658"/>
      <c r="J72" s="659"/>
      <c r="N72" s="539"/>
      <c r="O72" s="171"/>
    </row>
    <row r="73" spans="1:15" ht="22.5">
      <c r="A73" s="792" t="s">
        <v>333</v>
      </c>
      <c r="B73" s="793"/>
      <c r="C73" s="794"/>
      <c r="D73" s="428"/>
      <c r="E73" s="428"/>
      <c r="F73" s="428"/>
      <c r="G73" s="572"/>
      <c r="H73" s="431"/>
      <c r="I73" s="431"/>
      <c r="J73" s="432"/>
      <c r="K73" s="545"/>
      <c r="L73" s="429"/>
      <c r="N73" s="539"/>
      <c r="O73" s="171"/>
    </row>
    <row r="74" spans="1:15" ht="22.5">
      <c r="A74" s="772" t="s">
        <v>220</v>
      </c>
      <c r="B74" s="773"/>
      <c r="C74" s="774"/>
      <c r="D74" s="394" t="s">
        <v>139</v>
      </c>
      <c r="E74" s="408">
        <v>892032</v>
      </c>
      <c r="F74" s="408">
        <v>892299.77</v>
      </c>
      <c r="G74" s="687">
        <f t="shared" ref="G74:G78" si="14">F74-E74</f>
        <v>267.77000000001863</v>
      </c>
      <c r="H74" s="396">
        <f t="shared" ref="H74:H79" si="15">G74</f>
        <v>267.77000000001863</v>
      </c>
      <c r="I74" s="657"/>
      <c r="J74" s="397">
        <f>H74/DAY(B2)</f>
        <v>267.77000000001863</v>
      </c>
      <c r="K74" s="545"/>
      <c r="L74" s="429"/>
      <c r="N74" s="539"/>
      <c r="O74" s="171"/>
    </row>
    <row r="75" spans="1:15" ht="22.5">
      <c r="A75" s="772" t="s">
        <v>221</v>
      </c>
      <c r="B75" s="773"/>
      <c r="C75" s="774"/>
      <c r="D75" s="394" t="s">
        <v>139</v>
      </c>
      <c r="E75" s="408">
        <v>73586.8</v>
      </c>
      <c r="F75" s="408">
        <v>73586.8</v>
      </c>
      <c r="G75" s="687">
        <f t="shared" si="14"/>
        <v>0</v>
      </c>
      <c r="H75" s="396">
        <f t="shared" si="15"/>
        <v>0</v>
      </c>
      <c r="I75" s="657"/>
      <c r="J75" s="397">
        <f>H75/DAY(B2)</f>
        <v>0</v>
      </c>
      <c r="K75" s="545"/>
      <c r="L75" s="429"/>
      <c r="N75" s="539"/>
      <c r="O75" s="171"/>
    </row>
    <row r="76" spans="1:15" ht="22.5">
      <c r="A76" s="795" t="s">
        <v>222</v>
      </c>
      <c r="B76" s="796"/>
      <c r="C76" s="797"/>
      <c r="D76" s="394" t="s">
        <v>139</v>
      </c>
      <c r="E76" s="408">
        <v>167207</v>
      </c>
      <c r="F76" s="408">
        <v>167309.91</v>
      </c>
      <c r="G76" s="687">
        <f t="shared" si="14"/>
        <v>102.91000000000349</v>
      </c>
      <c r="H76" s="396">
        <f t="shared" si="15"/>
        <v>102.91000000000349</v>
      </c>
      <c r="I76" s="657"/>
      <c r="J76" s="397">
        <f>H76/DAY(B2)</f>
        <v>102.91000000000349</v>
      </c>
      <c r="K76" s="545"/>
      <c r="L76" s="429"/>
      <c r="N76" s="539"/>
      <c r="O76" s="171"/>
    </row>
    <row r="77" spans="1:15" ht="22.5">
      <c r="A77" s="795" t="s">
        <v>223</v>
      </c>
      <c r="B77" s="796"/>
      <c r="C77" s="797"/>
      <c r="D77" s="394" t="s">
        <v>139</v>
      </c>
      <c r="E77" s="509">
        <v>40316</v>
      </c>
      <c r="F77" s="408">
        <v>40343.4</v>
      </c>
      <c r="G77" s="687">
        <f t="shared" si="14"/>
        <v>27.400000000001455</v>
      </c>
      <c r="H77" s="396">
        <f t="shared" si="15"/>
        <v>27.400000000001455</v>
      </c>
      <c r="I77" s="657"/>
      <c r="J77" s="397">
        <f>H77/DAY(B2)</f>
        <v>27.400000000001455</v>
      </c>
      <c r="K77" s="545"/>
      <c r="L77" s="429"/>
      <c r="N77" s="539"/>
      <c r="O77" s="171"/>
    </row>
    <row r="78" spans="1:15" ht="22.5">
      <c r="A78" s="795" t="s">
        <v>224</v>
      </c>
      <c r="B78" s="796"/>
      <c r="C78" s="797"/>
      <c r="D78" s="394" t="s">
        <v>139</v>
      </c>
      <c r="E78" s="408">
        <v>9486</v>
      </c>
      <c r="F78" s="408">
        <v>9487.9</v>
      </c>
      <c r="G78" s="687">
        <f t="shared" si="14"/>
        <v>1.8999999999996362</v>
      </c>
      <c r="H78" s="396">
        <f t="shared" si="15"/>
        <v>1.8999999999996362</v>
      </c>
      <c r="I78" s="395"/>
      <c r="J78" s="397">
        <f>H78/DAY(B2)</f>
        <v>1.8999999999996362</v>
      </c>
      <c r="K78" s="545"/>
      <c r="L78" s="429"/>
      <c r="N78" s="539"/>
      <c r="O78" s="171"/>
    </row>
    <row r="79" spans="1:15" ht="22.5">
      <c r="A79" s="795" t="s">
        <v>225</v>
      </c>
      <c r="B79" s="796"/>
      <c r="C79" s="797"/>
      <c r="D79" s="394"/>
      <c r="E79" s="408"/>
      <c r="F79" s="408"/>
      <c r="G79" s="687">
        <f>G15-SUM(G74:G78)</f>
        <v>670.10599999987062</v>
      </c>
      <c r="H79" s="396">
        <f t="shared" si="15"/>
        <v>670.10599999987062</v>
      </c>
      <c r="I79" s="395"/>
      <c r="J79" s="397"/>
      <c r="K79" s="545"/>
      <c r="L79" s="429"/>
      <c r="N79" s="539"/>
      <c r="O79" s="171"/>
    </row>
    <row r="80" spans="1:15" ht="22.5">
      <c r="A80" s="766" t="s">
        <v>329</v>
      </c>
      <c r="B80" s="767"/>
      <c r="C80" s="768"/>
      <c r="D80" s="394"/>
      <c r="E80" s="402"/>
      <c r="F80" s="402"/>
      <c r="G80" s="687">
        <f>SUM(G74:G79)</f>
        <v>1070.0859999998938</v>
      </c>
      <c r="H80" s="396"/>
      <c r="I80" s="395"/>
      <c r="J80" s="397"/>
      <c r="K80" s="545"/>
      <c r="L80" s="429"/>
      <c r="N80" s="539"/>
      <c r="O80" s="171"/>
    </row>
    <row r="81" spans="1:15" ht="22.5">
      <c r="A81" s="786" t="s">
        <v>226</v>
      </c>
      <c r="B81" s="787"/>
      <c r="C81" s="788"/>
      <c r="D81" s="390"/>
      <c r="E81" s="391"/>
      <c r="F81" s="391"/>
      <c r="G81" s="575"/>
      <c r="H81" s="433"/>
      <c r="I81" s="433"/>
      <c r="J81" s="434"/>
      <c r="O81" s="171"/>
    </row>
    <row r="82" spans="1:15" ht="22.5">
      <c r="A82" s="518" t="s">
        <v>227</v>
      </c>
      <c r="B82" s="407"/>
      <c r="C82" s="407"/>
      <c r="D82" s="394" t="s">
        <v>228</v>
      </c>
      <c r="E82" s="413">
        <v>0</v>
      </c>
      <c r="F82" s="413">
        <v>0</v>
      </c>
      <c r="G82" s="687">
        <f t="shared" ref="G82:G92" si="16">F82-E82</f>
        <v>0</v>
      </c>
      <c r="H82" s="396">
        <f t="shared" ref="H82:H92" si="17">G82</f>
        <v>0</v>
      </c>
      <c r="I82" s="395"/>
      <c r="J82" s="397">
        <f>H82/DAY(B2)</f>
        <v>0</v>
      </c>
      <c r="O82" s="171"/>
    </row>
    <row r="83" spans="1:15" ht="22.5">
      <c r="A83" s="518" t="s">
        <v>229</v>
      </c>
      <c r="B83" s="407"/>
      <c r="C83" s="407"/>
      <c r="D83" s="394" t="s">
        <v>228</v>
      </c>
      <c r="E83" s="413">
        <v>0</v>
      </c>
      <c r="F83" s="413">
        <v>0</v>
      </c>
      <c r="G83" s="687">
        <f t="shared" si="16"/>
        <v>0</v>
      </c>
      <c r="H83" s="396">
        <f t="shared" si="17"/>
        <v>0</v>
      </c>
      <c r="I83" s="395"/>
      <c r="J83" s="397">
        <f>H83/DAY(B2)</f>
        <v>0</v>
      </c>
      <c r="O83" s="171"/>
    </row>
    <row r="84" spans="1:15" ht="22.5">
      <c r="A84" s="518" t="s">
        <v>230</v>
      </c>
      <c r="B84" s="407"/>
      <c r="C84" s="407"/>
      <c r="D84" s="394" t="s">
        <v>228</v>
      </c>
      <c r="E84" s="435">
        <v>41675</v>
      </c>
      <c r="F84" s="435">
        <v>41675</v>
      </c>
      <c r="G84" s="687">
        <f t="shared" si="16"/>
        <v>0</v>
      </c>
      <c r="H84" s="396">
        <f t="shared" si="17"/>
        <v>0</v>
      </c>
      <c r="I84" s="395"/>
      <c r="J84" s="397">
        <f>H84/DAY(B2)</f>
        <v>0</v>
      </c>
      <c r="O84" s="171"/>
    </row>
    <row r="85" spans="1:15" ht="22.5">
      <c r="A85" s="518" t="s">
        <v>231</v>
      </c>
      <c r="B85" s="407"/>
      <c r="C85" s="407"/>
      <c r="D85" s="394" t="s">
        <v>228</v>
      </c>
      <c r="E85" s="435">
        <v>2096.56</v>
      </c>
      <c r="F85" s="435">
        <v>2096.56</v>
      </c>
      <c r="G85" s="687">
        <f t="shared" si="16"/>
        <v>0</v>
      </c>
      <c r="H85" s="396">
        <f t="shared" si="17"/>
        <v>0</v>
      </c>
      <c r="I85" s="395">
        <f>G82+G83+G84+G85</f>
        <v>0</v>
      </c>
      <c r="J85" s="397">
        <f>H85/DAY(B2)</f>
        <v>0</v>
      </c>
      <c r="O85" s="171"/>
    </row>
    <row r="86" spans="1:15" ht="22.5">
      <c r="A86" s="518" t="s">
        <v>232</v>
      </c>
      <c r="B86" s="407"/>
      <c r="C86" s="407"/>
      <c r="D86" s="394" t="s">
        <v>228</v>
      </c>
      <c r="E86" s="435">
        <v>42863</v>
      </c>
      <c r="F86" s="435">
        <v>42887</v>
      </c>
      <c r="G86" s="690">
        <f t="shared" si="16"/>
        <v>24</v>
      </c>
      <c r="H86" s="396">
        <f t="shared" si="17"/>
        <v>24</v>
      </c>
      <c r="I86" s="395"/>
      <c r="J86" s="397">
        <f>H86/DAY(B2)</f>
        <v>24</v>
      </c>
      <c r="O86" s="171"/>
    </row>
    <row r="87" spans="1:15" ht="22.5">
      <c r="A87" s="518" t="s">
        <v>233</v>
      </c>
      <c r="B87" s="407"/>
      <c r="C87" s="407"/>
      <c r="D87" s="394" t="s">
        <v>228</v>
      </c>
      <c r="E87" s="435">
        <v>34598.550000000003</v>
      </c>
      <c r="F87" s="435">
        <v>34598.550000000003</v>
      </c>
      <c r="G87" s="687">
        <f t="shared" si="16"/>
        <v>0</v>
      </c>
      <c r="H87" s="396">
        <f t="shared" si="17"/>
        <v>0</v>
      </c>
      <c r="I87" s="395"/>
      <c r="J87" s="397">
        <f>H87/DAY(B2)</f>
        <v>0</v>
      </c>
      <c r="O87" s="171"/>
    </row>
    <row r="88" spans="1:15" ht="22.5">
      <c r="A88" s="518" t="s">
        <v>234</v>
      </c>
      <c r="B88" s="407"/>
      <c r="C88" s="407"/>
      <c r="D88" s="394" t="s">
        <v>228</v>
      </c>
      <c r="E88" s="435">
        <v>24047</v>
      </c>
      <c r="F88" s="435">
        <v>24053.38</v>
      </c>
      <c r="G88" s="687">
        <f t="shared" si="16"/>
        <v>6.3800000000010186</v>
      </c>
      <c r="H88" s="396">
        <f t="shared" si="17"/>
        <v>6.3800000000010186</v>
      </c>
      <c r="I88" s="395">
        <f>G86+G87+G88</f>
        <v>30.380000000001019</v>
      </c>
      <c r="J88" s="397">
        <f>H88/DAY(B2)</f>
        <v>6.3800000000010186</v>
      </c>
      <c r="O88" s="171"/>
    </row>
    <row r="89" spans="1:15" ht="22.5">
      <c r="A89" s="518" t="s">
        <v>235</v>
      </c>
      <c r="B89" s="407"/>
      <c r="C89" s="407"/>
      <c r="D89" s="394" t="s">
        <v>228</v>
      </c>
      <c r="E89" s="435">
        <v>25663</v>
      </c>
      <c r="F89" s="435">
        <v>25667.09</v>
      </c>
      <c r="G89" s="687">
        <f t="shared" si="16"/>
        <v>4.0900000000001455</v>
      </c>
      <c r="H89" s="396">
        <f t="shared" si="17"/>
        <v>4.0900000000001455</v>
      </c>
      <c r="I89" s="395"/>
      <c r="J89" s="397">
        <f>H89/DAY(B2)</f>
        <v>4.0900000000001455</v>
      </c>
      <c r="O89" s="171"/>
    </row>
    <row r="90" spans="1:15" ht="22.5">
      <c r="A90" s="518" t="s">
        <v>236</v>
      </c>
      <c r="B90" s="407"/>
      <c r="C90" s="407"/>
      <c r="D90" s="394" t="s">
        <v>228</v>
      </c>
      <c r="E90" s="435">
        <v>71034</v>
      </c>
      <c r="F90" s="435">
        <v>71039.61</v>
      </c>
      <c r="G90" s="687">
        <f t="shared" si="16"/>
        <v>5.6100000000005821</v>
      </c>
      <c r="H90" s="396">
        <f t="shared" si="17"/>
        <v>5.6100000000005821</v>
      </c>
      <c r="I90" s="395">
        <f>G89+G90</f>
        <v>9.7000000000007276</v>
      </c>
      <c r="J90" s="397">
        <f>H90/DAY(B2)</f>
        <v>5.6100000000005821</v>
      </c>
      <c r="O90" s="171"/>
    </row>
    <row r="91" spans="1:15" ht="22.5">
      <c r="A91" s="518" t="s">
        <v>237</v>
      </c>
      <c r="B91" s="407"/>
      <c r="C91" s="407"/>
      <c r="D91" s="394" t="s">
        <v>228</v>
      </c>
      <c r="E91" s="413">
        <v>3226.32</v>
      </c>
      <c r="F91" s="413">
        <v>3226.32</v>
      </c>
      <c r="G91" s="687">
        <f t="shared" si="16"/>
        <v>0</v>
      </c>
      <c r="H91" s="396">
        <f t="shared" si="17"/>
        <v>0</v>
      </c>
      <c r="I91" s="444"/>
      <c r="J91" s="397">
        <f>H91/DAY(B2)</f>
        <v>0</v>
      </c>
      <c r="O91" s="171"/>
    </row>
    <row r="92" spans="1:15" ht="22.5">
      <c r="A92" s="518" t="s">
        <v>238</v>
      </c>
      <c r="B92" s="407"/>
      <c r="C92" s="407"/>
      <c r="D92" s="394" t="s">
        <v>228</v>
      </c>
      <c r="E92" s="413">
        <v>5438</v>
      </c>
      <c r="F92" s="413">
        <v>5447.66</v>
      </c>
      <c r="G92" s="687">
        <f t="shared" si="16"/>
        <v>9.6599999999998545</v>
      </c>
      <c r="H92" s="396">
        <f t="shared" si="17"/>
        <v>9.6599999999998545</v>
      </c>
      <c r="I92" s="444"/>
      <c r="J92" s="397">
        <f>H92/DAY(B2)</f>
        <v>9.6599999999998545</v>
      </c>
      <c r="O92" s="171"/>
    </row>
    <row r="93" spans="1:15" ht="22.5">
      <c r="A93" s="789" t="s">
        <v>239</v>
      </c>
      <c r="B93" s="790"/>
      <c r="C93" s="791"/>
      <c r="D93" s="391"/>
      <c r="E93" s="391"/>
      <c r="F93" s="391"/>
      <c r="G93" s="564"/>
      <c r="H93" s="406"/>
      <c r="I93" s="406"/>
      <c r="J93" s="437"/>
      <c r="K93" s="545"/>
      <c r="L93" s="429"/>
      <c r="O93" s="171"/>
    </row>
    <row r="94" spans="1:15" ht="22.5">
      <c r="A94" s="772" t="s">
        <v>240</v>
      </c>
      <c r="B94" s="773"/>
      <c r="C94" s="774"/>
      <c r="D94" s="394" t="s">
        <v>130</v>
      </c>
      <c r="E94" s="394"/>
      <c r="F94" s="394"/>
      <c r="G94" s="576">
        <f>G35+G43+G49+G57</f>
        <v>6232.1800000000148</v>
      </c>
      <c r="H94" s="396">
        <f t="shared" ref="H94:H105" si="18">G94</f>
        <v>6232.1800000000148</v>
      </c>
      <c r="I94" s="395"/>
      <c r="J94" s="397">
        <f>H94/DAY(B2)</f>
        <v>6232.1800000000148</v>
      </c>
      <c r="K94" s="545"/>
      <c r="L94" s="429"/>
      <c r="O94" s="171"/>
    </row>
    <row r="95" spans="1:15" ht="22.5">
      <c r="A95" s="772" t="s">
        <v>241</v>
      </c>
      <c r="B95" s="773"/>
      <c r="C95" s="774"/>
      <c r="D95" s="394" t="s">
        <v>23</v>
      </c>
      <c r="E95" s="394"/>
      <c r="F95" s="394"/>
      <c r="G95" s="577">
        <f>G94/G7</f>
        <v>0.31150729286887907</v>
      </c>
      <c r="H95" s="396">
        <f t="shared" si="18"/>
        <v>0.31150729286887907</v>
      </c>
      <c r="I95" s="660"/>
      <c r="J95" s="397">
        <f>H95/DAY(B2)</f>
        <v>0.31150729286887907</v>
      </c>
      <c r="K95" s="545"/>
      <c r="L95" s="429"/>
      <c r="O95" s="171"/>
    </row>
    <row r="96" spans="1:15" ht="22.5">
      <c r="A96" s="772" t="s">
        <v>242</v>
      </c>
      <c r="B96" s="773"/>
      <c r="C96" s="774"/>
      <c r="D96" s="394" t="s">
        <v>130</v>
      </c>
      <c r="E96" s="395"/>
      <c r="F96" s="395"/>
      <c r="G96" s="576">
        <f>G41+G42+G55+G56</f>
        <v>2431.4200000000055</v>
      </c>
      <c r="H96" s="396">
        <f t="shared" si="18"/>
        <v>2431.4200000000055</v>
      </c>
      <c r="I96" s="395"/>
      <c r="J96" s="397">
        <f>H96/DAY(B2)</f>
        <v>2431.4200000000055</v>
      </c>
      <c r="K96" s="545"/>
      <c r="L96" s="429"/>
      <c r="O96" s="171"/>
    </row>
    <row r="97" spans="1:15" ht="22.5">
      <c r="A97" s="772" t="s">
        <v>243</v>
      </c>
      <c r="B97" s="773"/>
      <c r="C97" s="774"/>
      <c r="D97" s="394" t="s">
        <v>23</v>
      </c>
      <c r="E97" s="395"/>
      <c r="F97" s="395"/>
      <c r="G97" s="577">
        <f>G96/G7</f>
        <v>0.12153132002401244</v>
      </c>
      <c r="H97" s="396">
        <f t="shared" si="18"/>
        <v>0.12153132002401244</v>
      </c>
      <c r="I97" s="660"/>
      <c r="J97" s="397">
        <f>H97/DAY(B2)</f>
        <v>0.12153132002401244</v>
      </c>
      <c r="K97" s="545"/>
      <c r="L97" s="429"/>
      <c r="O97" s="171"/>
    </row>
    <row r="98" spans="1:15" ht="22.5">
      <c r="A98" s="772" t="s">
        <v>244</v>
      </c>
      <c r="B98" s="773"/>
      <c r="C98" s="774"/>
      <c r="D98" s="394" t="s">
        <v>130</v>
      </c>
      <c r="E98" s="395"/>
      <c r="F98" s="395"/>
      <c r="G98" s="576">
        <f>G39+G53</f>
        <v>2724.390000000014</v>
      </c>
      <c r="H98" s="396">
        <f t="shared" si="18"/>
        <v>2724.390000000014</v>
      </c>
      <c r="I98" s="661"/>
      <c r="J98" s="397">
        <f>H98/DAY(B2)</f>
        <v>2724.390000000014</v>
      </c>
      <c r="K98" s="545"/>
      <c r="L98" s="429"/>
      <c r="O98" s="171"/>
    </row>
    <row r="99" spans="1:15" ht="22.5">
      <c r="A99" s="772" t="s">
        <v>245</v>
      </c>
      <c r="B99" s="773"/>
      <c r="C99" s="774"/>
      <c r="D99" s="394" t="s">
        <v>23</v>
      </c>
      <c r="E99" s="395"/>
      <c r="F99" s="395"/>
      <c r="G99" s="577">
        <f>G98/G7</f>
        <v>0.13617503884981624</v>
      </c>
      <c r="H99" s="396">
        <f t="shared" si="18"/>
        <v>0.13617503884981624</v>
      </c>
      <c r="I99" s="661"/>
      <c r="J99" s="397">
        <f>H99/DAY(B2)</f>
        <v>0.13617503884981624</v>
      </c>
      <c r="O99" s="171"/>
    </row>
    <row r="100" spans="1:15" ht="22.5">
      <c r="A100" s="772" t="s">
        <v>246</v>
      </c>
      <c r="B100" s="773"/>
      <c r="C100" s="774"/>
      <c r="D100" s="394" t="s">
        <v>180</v>
      </c>
      <c r="E100" s="395"/>
      <c r="F100" s="395"/>
      <c r="G100" s="576">
        <f>G38+G52</f>
        <v>1665.429999999993</v>
      </c>
      <c r="H100" s="396">
        <f t="shared" si="18"/>
        <v>1665.429999999993</v>
      </c>
      <c r="I100" s="395"/>
      <c r="J100" s="397">
        <f>H100/DAY(B2)</f>
        <v>1665.429999999993</v>
      </c>
      <c r="K100" s="549"/>
      <c r="O100" s="171"/>
    </row>
    <row r="101" spans="1:15" ht="22.5">
      <c r="A101" s="772" t="s">
        <v>247</v>
      </c>
      <c r="B101" s="773"/>
      <c r="C101" s="774"/>
      <c r="D101" s="394" t="s">
        <v>23</v>
      </c>
      <c r="E101" s="395"/>
      <c r="F101" s="395"/>
      <c r="G101" s="577">
        <f>G100/G7</f>
        <v>8.3244320729281548E-2</v>
      </c>
      <c r="H101" s="396">
        <f t="shared" si="18"/>
        <v>8.3244320729281548E-2</v>
      </c>
      <c r="I101" s="661"/>
      <c r="J101" s="397">
        <f>H101/DAY(B2)</f>
        <v>8.3244320729281548E-2</v>
      </c>
      <c r="O101" s="171"/>
    </row>
    <row r="102" spans="1:15" ht="22.5">
      <c r="A102" s="772" t="s">
        <v>248</v>
      </c>
      <c r="B102" s="773"/>
      <c r="C102" s="774"/>
      <c r="D102" s="394" t="s">
        <v>180</v>
      </c>
      <c r="E102" s="395"/>
      <c r="F102" s="395"/>
      <c r="G102" s="576">
        <f>G36+G50</f>
        <v>2121.3500000000022</v>
      </c>
      <c r="H102" s="396">
        <f t="shared" si="18"/>
        <v>2121.3500000000022</v>
      </c>
      <c r="I102" s="661"/>
      <c r="J102" s="397">
        <f>H102/DAY(B2)</f>
        <v>2121.3500000000022</v>
      </c>
      <c r="O102" s="171"/>
    </row>
    <row r="103" spans="1:15" ht="22.5">
      <c r="A103" s="772" t="s">
        <v>249</v>
      </c>
      <c r="B103" s="773"/>
      <c r="C103" s="774"/>
      <c r="D103" s="394" t="s">
        <v>23</v>
      </c>
      <c r="E103" s="395"/>
      <c r="F103" s="395"/>
      <c r="G103" s="577">
        <f>G102/G7</f>
        <v>0.10603288026459373</v>
      </c>
      <c r="H103" s="396">
        <f t="shared" si="18"/>
        <v>0.10603288026459373</v>
      </c>
      <c r="I103" s="395"/>
      <c r="J103" s="397">
        <f>H103/DAY(B2)</f>
        <v>0.10603288026459373</v>
      </c>
      <c r="O103" s="171"/>
    </row>
    <row r="104" spans="1:15" ht="22.5">
      <c r="A104" s="772" t="s">
        <v>250</v>
      </c>
      <c r="B104" s="773"/>
      <c r="C104" s="774"/>
      <c r="D104" s="394" t="s">
        <v>180</v>
      </c>
      <c r="E104" s="395"/>
      <c r="F104" s="395"/>
      <c r="G104" s="576">
        <f>G37+G51</f>
        <v>1573.5100000000093</v>
      </c>
      <c r="H104" s="396">
        <f t="shared" si="18"/>
        <v>1573.5100000000093</v>
      </c>
      <c r="I104" s="395"/>
      <c r="J104" s="397">
        <f>H104/DAY(B2)</f>
        <v>1573.5100000000093</v>
      </c>
      <c r="O104" s="171"/>
    </row>
    <row r="105" spans="1:15" ht="23.25" thickBot="1">
      <c r="A105" s="779" t="s">
        <v>251</v>
      </c>
      <c r="B105" s="780"/>
      <c r="C105" s="781"/>
      <c r="D105" s="438" t="s">
        <v>23</v>
      </c>
      <c r="E105" s="439"/>
      <c r="F105" s="439"/>
      <c r="G105" s="578">
        <f>G104/G7</f>
        <v>7.8649820833498335E-2</v>
      </c>
      <c r="H105" s="396">
        <f t="shared" si="18"/>
        <v>7.8649820833498335E-2</v>
      </c>
      <c r="I105" s="439"/>
      <c r="J105" s="440">
        <f>H105/DAY(B2)</f>
        <v>7.8649820833498335E-2</v>
      </c>
      <c r="O105" s="171"/>
    </row>
    <row r="106" spans="1:15" ht="22.5">
      <c r="O106" s="171"/>
    </row>
    <row r="107" spans="1:15" ht="22.5"/>
    <row r="108" spans="1:15" ht="22.5">
      <c r="A108" s="782" t="s">
        <v>324</v>
      </c>
      <c r="B108" s="782"/>
      <c r="C108" s="782"/>
      <c r="D108" s="782"/>
      <c r="E108" s="782"/>
      <c r="F108" s="782"/>
      <c r="G108" s="782"/>
      <c r="H108" s="782"/>
      <c r="I108" s="782"/>
      <c r="J108" s="782"/>
    </row>
    <row r="109" spans="1:15" ht="22.5">
      <c r="A109" s="775"/>
      <c r="B109" s="775"/>
    </row>
    <row r="110" spans="1:15" ht="22.5">
      <c r="A110" s="783" t="s">
        <v>165</v>
      </c>
      <c r="B110" s="784"/>
      <c r="C110" s="784"/>
      <c r="D110" s="784"/>
      <c r="E110" s="784"/>
      <c r="F110" s="784"/>
      <c r="G110" s="784"/>
      <c r="H110" s="784"/>
      <c r="I110" s="784"/>
      <c r="J110" s="785"/>
    </row>
    <row r="111" spans="1:15" ht="22.5">
      <c r="A111" s="769"/>
      <c r="B111" s="770"/>
      <c r="C111" s="771"/>
      <c r="D111" s="436"/>
      <c r="E111" s="444"/>
      <c r="F111" s="444"/>
      <c r="G111" s="585"/>
      <c r="H111" s="441"/>
      <c r="I111" s="444"/>
      <c r="J111" s="441"/>
    </row>
    <row r="112" spans="1:15" ht="22.5">
      <c r="A112" s="761" t="s">
        <v>252</v>
      </c>
      <c r="B112" s="764"/>
      <c r="C112" s="762"/>
      <c r="D112" s="387" t="s">
        <v>183</v>
      </c>
      <c r="E112" s="442">
        <v>55681</v>
      </c>
      <c r="F112" s="442">
        <v>55750.8</v>
      </c>
      <c r="G112" s="687">
        <f t="shared" ref="G112:G123" si="19">F112-E112</f>
        <v>69.80000000000291</v>
      </c>
      <c r="H112" s="396">
        <f t="shared" ref="H112:H123" si="20">G112</f>
        <v>69.80000000000291</v>
      </c>
      <c r="I112" s="444"/>
      <c r="J112" s="443">
        <f>H112/DAY(B2)</f>
        <v>69.80000000000291</v>
      </c>
    </row>
    <row r="113" spans="1:18" ht="29.25" customHeight="1">
      <c r="A113" s="761" t="s">
        <v>253</v>
      </c>
      <c r="B113" s="764"/>
      <c r="C113" s="762"/>
      <c r="D113" s="387" t="s">
        <v>183</v>
      </c>
      <c r="E113" s="442">
        <v>32195</v>
      </c>
      <c r="F113" s="442">
        <v>32649.73</v>
      </c>
      <c r="G113" s="687">
        <f t="shared" si="19"/>
        <v>454.72999999999956</v>
      </c>
      <c r="H113" s="396">
        <f t="shared" si="20"/>
        <v>454.72999999999956</v>
      </c>
      <c r="I113" s="444"/>
      <c r="J113" s="443">
        <f>H113/DAY(B2)</f>
        <v>454.72999999999956</v>
      </c>
    </row>
    <row r="114" spans="1:18" ht="29.25" customHeight="1">
      <c r="A114" s="761" t="s">
        <v>254</v>
      </c>
      <c r="B114" s="764"/>
      <c r="C114" s="762"/>
      <c r="D114" s="387" t="s">
        <v>183</v>
      </c>
      <c r="E114" s="442">
        <v>24871</v>
      </c>
      <c r="F114" s="442">
        <v>25139.35</v>
      </c>
      <c r="G114" s="687">
        <f t="shared" si="19"/>
        <v>268.34999999999854</v>
      </c>
      <c r="H114" s="396">
        <f t="shared" si="20"/>
        <v>268.34999999999854</v>
      </c>
      <c r="I114" s="444"/>
      <c r="J114" s="443">
        <f>H114/DAY(B2)</f>
        <v>268.34999999999854</v>
      </c>
    </row>
    <row r="115" spans="1:18" ht="29.25" customHeight="1">
      <c r="A115" s="761" t="s">
        <v>255</v>
      </c>
      <c r="B115" s="764"/>
      <c r="C115" s="762"/>
      <c r="D115" s="387" t="s">
        <v>183</v>
      </c>
      <c r="E115" s="442">
        <v>8785</v>
      </c>
      <c r="F115" s="442">
        <v>8793.5</v>
      </c>
      <c r="G115" s="687">
        <f t="shared" si="19"/>
        <v>8.5</v>
      </c>
      <c r="H115" s="396">
        <f t="shared" si="20"/>
        <v>8.5</v>
      </c>
      <c r="I115" s="444"/>
      <c r="J115" s="443">
        <f>H115/DAY(B2)</f>
        <v>8.5</v>
      </c>
    </row>
    <row r="116" spans="1:18" ht="29.25" customHeight="1">
      <c r="A116" s="776" t="s">
        <v>96</v>
      </c>
      <c r="B116" s="777"/>
      <c r="C116" s="778"/>
      <c r="D116" s="387" t="s">
        <v>183</v>
      </c>
      <c r="E116" s="442">
        <v>0</v>
      </c>
      <c r="F116" s="442">
        <v>0</v>
      </c>
      <c r="G116" s="687">
        <f t="shared" si="19"/>
        <v>0</v>
      </c>
      <c r="H116" s="396">
        <f t="shared" si="20"/>
        <v>0</v>
      </c>
      <c r="I116" s="444"/>
      <c r="J116" s="443">
        <f>H116/DAY(B2)</f>
        <v>0</v>
      </c>
      <c r="Q116" s="761"/>
      <c r="R116" s="762"/>
    </row>
    <row r="117" spans="1:18" ht="29.25" customHeight="1">
      <c r="A117" s="776" t="s">
        <v>184</v>
      </c>
      <c r="B117" s="777"/>
      <c r="C117" s="778"/>
      <c r="D117" s="387" t="s">
        <v>183</v>
      </c>
      <c r="E117" s="442">
        <v>2590</v>
      </c>
      <c r="F117" s="442">
        <v>2611.4</v>
      </c>
      <c r="G117" s="687">
        <f t="shared" si="19"/>
        <v>21.400000000000091</v>
      </c>
      <c r="H117" s="396">
        <f t="shared" si="20"/>
        <v>21.400000000000091</v>
      </c>
      <c r="I117" s="444"/>
      <c r="J117" s="443">
        <f>H117/DAY(B2)</f>
        <v>21.400000000000091</v>
      </c>
      <c r="Q117" s="761"/>
      <c r="R117" s="762"/>
    </row>
    <row r="118" spans="1:18" ht="22.5">
      <c r="A118" s="760" t="s">
        <v>97</v>
      </c>
      <c r="B118" s="760"/>
      <c r="C118" s="760"/>
      <c r="D118" s="394" t="s">
        <v>183</v>
      </c>
      <c r="E118" s="442">
        <v>241647</v>
      </c>
      <c r="F118" s="442">
        <v>242009.5</v>
      </c>
      <c r="G118" s="687">
        <f t="shared" si="19"/>
        <v>362.5</v>
      </c>
      <c r="H118" s="396">
        <f t="shared" si="20"/>
        <v>362.5</v>
      </c>
      <c r="I118" s="444"/>
      <c r="J118" s="443">
        <f>H118/DAY(B2)</f>
        <v>362.5</v>
      </c>
      <c r="Q118" s="761"/>
      <c r="R118" s="762"/>
    </row>
    <row r="119" spans="1:18" ht="22.5">
      <c r="A119" s="760" t="s">
        <v>98</v>
      </c>
      <c r="B119" s="760"/>
      <c r="C119" s="760"/>
      <c r="D119" s="394" t="s">
        <v>183</v>
      </c>
      <c r="E119" s="442">
        <v>245126</v>
      </c>
      <c r="F119" s="442">
        <v>245557.91</v>
      </c>
      <c r="G119" s="687">
        <f t="shared" si="19"/>
        <v>431.91000000000349</v>
      </c>
      <c r="H119" s="396">
        <f t="shared" si="20"/>
        <v>431.91000000000349</v>
      </c>
      <c r="I119" s="444"/>
      <c r="J119" s="443">
        <f>H119/DAY(B2)</f>
        <v>431.91000000000349</v>
      </c>
    </row>
    <row r="120" spans="1:18" ht="22.5">
      <c r="A120" s="760" t="s">
        <v>99</v>
      </c>
      <c r="B120" s="760"/>
      <c r="C120" s="760"/>
      <c r="D120" s="394" t="s">
        <v>183</v>
      </c>
      <c r="E120" s="442">
        <v>30078</v>
      </c>
      <c r="F120" s="442">
        <v>30511.74</v>
      </c>
      <c r="G120" s="687">
        <f t="shared" si="19"/>
        <v>433.7400000000016</v>
      </c>
      <c r="H120" s="396">
        <f t="shared" si="20"/>
        <v>433.7400000000016</v>
      </c>
      <c r="I120" s="444"/>
      <c r="J120" s="443">
        <f>H120/DAY(B2)</f>
        <v>433.7400000000016</v>
      </c>
    </row>
    <row r="121" spans="1:18" ht="22.5">
      <c r="A121" s="760" t="s">
        <v>100</v>
      </c>
      <c r="B121" s="760"/>
      <c r="C121" s="760"/>
      <c r="D121" s="394" t="s">
        <v>183</v>
      </c>
      <c r="E121" s="442">
        <v>376529</v>
      </c>
      <c r="F121" s="442">
        <v>377313.71</v>
      </c>
      <c r="G121" s="687">
        <f t="shared" si="19"/>
        <v>784.71000000002095</v>
      </c>
      <c r="H121" s="396">
        <f t="shared" si="20"/>
        <v>784.71000000002095</v>
      </c>
      <c r="I121" s="444"/>
      <c r="J121" s="443">
        <f>H121/DAY(B2)</f>
        <v>784.71000000002095</v>
      </c>
    </row>
    <row r="122" spans="1:18" ht="22.5">
      <c r="A122" s="760" t="s">
        <v>101</v>
      </c>
      <c r="B122" s="760"/>
      <c r="C122" s="760"/>
      <c r="D122" s="394" t="s">
        <v>183</v>
      </c>
      <c r="E122" s="442">
        <v>120050</v>
      </c>
      <c r="F122" s="442">
        <v>120263.74</v>
      </c>
      <c r="G122" s="687">
        <f t="shared" si="19"/>
        <v>213.74000000000524</v>
      </c>
      <c r="H122" s="396">
        <f t="shared" si="20"/>
        <v>213.74000000000524</v>
      </c>
      <c r="I122" s="444"/>
      <c r="J122" s="443">
        <f>H122/DAY(B2)</f>
        <v>213.74000000000524</v>
      </c>
    </row>
    <row r="123" spans="1:18" ht="22.5">
      <c r="A123" s="760" t="s">
        <v>102</v>
      </c>
      <c r="B123" s="760"/>
      <c r="C123" s="760"/>
      <c r="D123" s="394" t="s">
        <v>183</v>
      </c>
      <c r="E123" s="442">
        <v>145125</v>
      </c>
      <c r="F123" s="442">
        <v>145471.69</v>
      </c>
      <c r="G123" s="687">
        <f t="shared" si="19"/>
        <v>346.69000000000233</v>
      </c>
      <c r="H123" s="396">
        <f t="shared" si="20"/>
        <v>346.69000000000233</v>
      </c>
      <c r="I123" s="444"/>
      <c r="J123" s="443">
        <f>H123/DAY(B2)</f>
        <v>346.69000000000233</v>
      </c>
    </row>
    <row r="124" spans="1:18" ht="29.25" customHeight="1">
      <c r="A124" s="769"/>
      <c r="B124" s="770"/>
      <c r="C124" s="771"/>
      <c r="D124" s="436"/>
      <c r="E124" s="444"/>
      <c r="F124" s="444"/>
      <c r="G124" s="585"/>
      <c r="H124" s="441"/>
      <c r="I124" s="444"/>
      <c r="J124" s="441"/>
    </row>
    <row r="125" spans="1:18" ht="22.5">
      <c r="A125" s="766" t="s">
        <v>196</v>
      </c>
      <c r="B125" s="767"/>
      <c r="C125" s="768"/>
      <c r="D125" s="394"/>
      <c r="E125" s="444"/>
      <c r="F125" s="444"/>
      <c r="G125" s="687">
        <f>SUM(G112:G124)</f>
        <v>3396.0700000000347</v>
      </c>
      <c r="H125" s="441"/>
      <c r="I125" s="156">
        <f>G125-(G39+G53)</f>
        <v>671.68000000002075</v>
      </c>
      <c r="J125" s="441"/>
    </row>
    <row r="126" spans="1:18" ht="22.5">
      <c r="A126" s="754" t="s">
        <v>317</v>
      </c>
      <c r="B126" s="754"/>
      <c r="C126" s="754"/>
      <c r="D126" s="754"/>
      <c r="E126" s="754"/>
      <c r="F126" s="754"/>
      <c r="G126" s="754"/>
      <c r="H126" s="754"/>
      <c r="I126" s="754"/>
      <c r="J126" s="754"/>
    </row>
    <row r="127" spans="1:18" ht="22.5">
      <c r="A127" s="755"/>
      <c r="B127" s="755"/>
      <c r="C127" s="436"/>
      <c r="D127" s="394"/>
      <c r="E127" s="444"/>
      <c r="F127" s="444"/>
      <c r="G127" s="687"/>
      <c r="H127" s="396">
        <f t="shared" ref="H127:H135" si="21">G127</f>
        <v>0</v>
      </c>
      <c r="I127" s="444"/>
      <c r="J127" s="443">
        <f>H127/DAY(B2)</f>
        <v>0</v>
      </c>
    </row>
    <row r="128" spans="1:18" ht="29.25" customHeight="1">
      <c r="A128" s="761" t="s">
        <v>318</v>
      </c>
      <c r="B128" s="764"/>
      <c r="C128" s="762"/>
      <c r="D128" s="394" t="s">
        <v>183</v>
      </c>
      <c r="E128" s="444">
        <v>38004</v>
      </c>
      <c r="F128" s="444">
        <v>38365.74</v>
      </c>
      <c r="G128" s="687">
        <f t="shared" ref="G128:G133" si="22">F128-E128</f>
        <v>361.73999999999796</v>
      </c>
      <c r="H128" s="396">
        <f t="shared" si="21"/>
        <v>361.73999999999796</v>
      </c>
      <c r="I128" s="444"/>
      <c r="J128" s="443">
        <f>H128/DAY(B2)</f>
        <v>361.73999999999796</v>
      </c>
    </row>
    <row r="129" spans="1:15" ht="22.5">
      <c r="A129" s="525" t="s">
        <v>319</v>
      </c>
      <c r="B129" s="445"/>
      <c r="C129" s="446"/>
      <c r="D129" s="394" t="s">
        <v>183</v>
      </c>
      <c r="E129" s="444">
        <v>20321</v>
      </c>
      <c r="F129" s="444">
        <v>20525.43</v>
      </c>
      <c r="G129" s="687">
        <f t="shared" si="22"/>
        <v>204.43000000000029</v>
      </c>
      <c r="H129" s="396">
        <f t="shared" si="21"/>
        <v>204.43000000000029</v>
      </c>
      <c r="I129" s="444"/>
      <c r="J129" s="443">
        <f>H129/DAY(B2)</f>
        <v>204.43000000000029</v>
      </c>
      <c r="N129" s="550"/>
      <c r="O129" s="497"/>
    </row>
    <row r="130" spans="1:15" ht="22.5">
      <c r="A130" s="525" t="s">
        <v>320</v>
      </c>
      <c r="B130" s="445"/>
      <c r="C130" s="446"/>
      <c r="D130" s="394" t="s">
        <v>183</v>
      </c>
      <c r="E130" s="444">
        <v>18382</v>
      </c>
      <c r="F130" s="444">
        <v>19180.349999999999</v>
      </c>
      <c r="G130" s="687">
        <f t="shared" si="22"/>
        <v>798.34999999999854</v>
      </c>
      <c r="H130" s="396">
        <f t="shared" si="21"/>
        <v>798.34999999999854</v>
      </c>
      <c r="I130" s="444"/>
      <c r="J130" s="443">
        <f>H130/DAY(B2)</f>
        <v>798.34999999999854</v>
      </c>
      <c r="N130" s="550"/>
      <c r="O130" s="497"/>
    </row>
    <row r="131" spans="1:15" ht="22.5">
      <c r="A131" s="761" t="s">
        <v>321</v>
      </c>
      <c r="B131" s="764"/>
      <c r="C131" s="762"/>
      <c r="D131" s="394" t="s">
        <v>183</v>
      </c>
      <c r="E131" s="444">
        <v>13153</v>
      </c>
      <c r="F131" s="648">
        <v>13233.4</v>
      </c>
      <c r="G131" s="690">
        <f t="shared" si="22"/>
        <v>80.399999999999636</v>
      </c>
      <c r="H131" s="396">
        <f t="shared" si="21"/>
        <v>80.399999999999636</v>
      </c>
      <c r="I131" s="444"/>
      <c r="J131" s="443">
        <f>H131/DAY(B2)</f>
        <v>80.399999999999636</v>
      </c>
      <c r="N131" s="550"/>
      <c r="O131" s="497"/>
    </row>
    <row r="132" spans="1:15" ht="22.5">
      <c r="A132" s="761" t="s">
        <v>322</v>
      </c>
      <c r="B132" s="764"/>
      <c r="C132" s="762"/>
      <c r="D132" s="394" t="s">
        <v>183</v>
      </c>
      <c r="E132" s="444">
        <v>41023</v>
      </c>
      <c r="F132" s="648">
        <v>41473.43</v>
      </c>
      <c r="G132" s="690">
        <f t="shared" si="22"/>
        <v>450.43000000000029</v>
      </c>
      <c r="H132" s="396">
        <f t="shared" si="21"/>
        <v>450.43000000000029</v>
      </c>
      <c r="I132" s="444"/>
      <c r="J132" s="443">
        <f>H132/DAY(B2)</f>
        <v>450.43000000000029</v>
      </c>
    </row>
    <row r="133" spans="1:15" ht="22.5">
      <c r="A133" s="761" t="s">
        <v>342</v>
      </c>
      <c r="B133" s="764"/>
      <c r="C133" s="762"/>
      <c r="D133" s="394" t="s">
        <v>183</v>
      </c>
      <c r="E133" s="444">
        <v>87703</v>
      </c>
      <c r="F133" s="648">
        <v>88536.86</v>
      </c>
      <c r="G133" s="690">
        <f t="shared" si="22"/>
        <v>833.86000000000058</v>
      </c>
      <c r="H133" s="396">
        <f t="shared" si="21"/>
        <v>833.86000000000058</v>
      </c>
      <c r="I133" s="444"/>
      <c r="J133" s="443">
        <f>H133/DAY(B2)</f>
        <v>833.86000000000058</v>
      </c>
    </row>
    <row r="134" spans="1:15" ht="22.5">
      <c r="A134" s="765" t="s">
        <v>340</v>
      </c>
      <c r="B134" s="759"/>
      <c r="C134" s="749"/>
      <c r="D134" s="394" t="s">
        <v>183</v>
      </c>
      <c r="E134" s="444">
        <v>668880</v>
      </c>
      <c r="F134" s="648">
        <v>669520</v>
      </c>
      <c r="G134" s="690">
        <f>F134-E134</f>
        <v>640</v>
      </c>
      <c r="H134" s="396">
        <f t="shared" ref="H134" si="23">G134</f>
        <v>640</v>
      </c>
      <c r="I134" s="444"/>
      <c r="J134" s="443">
        <f>H134/DAY(B2)</f>
        <v>640</v>
      </c>
    </row>
    <row r="135" spans="1:15" ht="22.5">
      <c r="A135" s="766" t="s">
        <v>196</v>
      </c>
      <c r="B135" s="767"/>
      <c r="C135" s="768"/>
      <c r="D135" s="394"/>
      <c r="E135" s="444"/>
      <c r="F135" s="444"/>
      <c r="G135" s="687">
        <f>SUM(G128:G134)</f>
        <v>3369.2099999999973</v>
      </c>
      <c r="H135" s="396">
        <f t="shared" si="21"/>
        <v>3369.2099999999973</v>
      </c>
      <c r="I135" s="156">
        <f>G135-(G35+G49)</f>
        <v>-301.74000000001433</v>
      </c>
      <c r="J135" s="443">
        <f>H135/DAY(B2)</f>
        <v>3369.2099999999973</v>
      </c>
    </row>
    <row r="136" spans="1:15" ht="22.5">
      <c r="A136" s="754" t="s">
        <v>325</v>
      </c>
      <c r="B136" s="754"/>
      <c r="C136" s="754"/>
      <c r="D136" s="754"/>
      <c r="E136" s="754"/>
      <c r="F136" s="754"/>
      <c r="G136" s="754"/>
      <c r="H136" s="754"/>
      <c r="I136" s="754"/>
      <c r="J136" s="754"/>
    </row>
    <row r="137" spans="1:15" ht="22.5">
      <c r="A137" s="165"/>
      <c r="B137" s="436"/>
      <c r="C137" s="436"/>
      <c r="D137" s="436"/>
      <c r="E137" s="444"/>
      <c r="F137" s="444"/>
      <c r="G137" s="585"/>
      <c r="H137" s="441"/>
      <c r="I137" s="444"/>
      <c r="J137" s="441"/>
    </row>
    <row r="138" spans="1:15" ht="22.5">
      <c r="A138" s="760" t="s">
        <v>185</v>
      </c>
      <c r="B138" s="760"/>
      <c r="C138" s="760"/>
      <c r="D138" s="394" t="s">
        <v>183</v>
      </c>
      <c r="E138" s="447">
        <v>864171</v>
      </c>
      <c r="F138" s="447">
        <v>864220</v>
      </c>
      <c r="G138" s="687">
        <f t="shared" ref="G138:G150" si="24">F138-E138</f>
        <v>49</v>
      </c>
      <c r="H138" s="396">
        <f t="shared" ref="H138:H150" si="25">G138</f>
        <v>49</v>
      </c>
      <c r="I138" s="395"/>
      <c r="J138" s="443">
        <f>H138/DAY(B2)</f>
        <v>49</v>
      </c>
    </row>
    <row r="139" spans="1:15" ht="22.5">
      <c r="A139" s="760" t="s">
        <v>186</v>
      </c>
      <c r="B139" s="760"/>
      <c r="C139" s="760"/>
      <c r="D139" s="394" t="s">
        <v>183</v>
      </c>
      <c r="E139" s="448">
        <v>886546</v>
      </c>
      <c r="F139" s="448">
        <v>886547</v>
      </c>
      <c r="G139" s="687">
        <f t="shared" si="24"/>
        <v>1</v>
      </c>
      <c r="H139" s="396">
        <f t="shared" si="25"/>
        <v>1</v>
      </c>
      <c r="I139" s="395"/>
      <c r="J139" s="443">
        <f>H139/DAY(B2)</f>
        <v>1</v>
      </c>
    </row>
    <row r="140" spans="1:15" ht="22.5">
      <c r="A140" s="760" t="s">
        <v>187</v>
      </c>
      <c r="B140" s="760"/>
      <c r="C140" s="760"/>
      <c r="D140" s="394" t="s">
        <v>183</v>
      </c>
      <c r="E140" s="449">
        <v>88882</v>
      </c>
      <c r="F140" s="449">
        <v>88882</v>
      </c>
      <c r="G140" s="687">
        <f t="shared" si="24"/>
        <v>0</v>
      </c>
      <c r="H140" s="396">
        <f t="shared" si="25"/>
        <v>0</v>
      </c>
      <c r="I140" s="395"/>
      <c r="J140" s="443">
        <f>H140/DAY(B2)</f>
        <v>0</v>
      </c>
    </row>
    <row r="141" spans="1:15" ht="22.5">
      <c r="A141" s="763" t="s">
        <v>188</v>
      </c>
      <c r="B141" s="763"/>
      <c r="C141" s="763"/>
      <c r="D141" s="450" t="s">
        <v>183</v>
      </c>
      <c r="E141" s="449">
        <v>49306</v>
      </c>
      <c r="F141" s="448">
        <v>49499.6</v>
      </c>
      <c r="G141" s="690">
        <f t="shared" si="24"/>
        <v>193.59999999999854</v>
      </c>
      <c r="H141" s="455">
        <f t="shared" si="25"/>
        <v>193.59999999999854</v>
      </c>
      <c r="I141" s="662"/>
      <c r="J141" s="527">
        <f>H141/DAY(B2)</f>
        <v>193.59999999999854</v>
      </c>
    </row>
    <row r="142" spans="1:15" ht="22.5">
      <c r="A142" s="763" t="s">
        <v>189</v>
      </c>
      <c r="B142" s="763"/>
      <c r="C142" s="763"/>
      <c r="D142" s="450" t="s">
        <v>183</v>
      </c>
      <c r="E142" s="448">
        <v>19009</v>
      </c>
      <c r="F142" s="448">
        <v>19082</v>
      </c>
      <c r="G142" s="690">
        <f t="shared" si="24"/>
        <v>73</v>
      </c>
      <c r="H142" s="455">
        <f t="shared" si="25"/>
        <v>73</v>
      </c>
      <c r="I142" s="663"/>
      <c r="J142" s="527">
        <f>H142/DAY(B2)</f>
        <v>73</v>
      </c>
    </row>
    <row r="143" spans="1:15" ht="22.5">
      <c r="A143" s="819" t="s">
        <v>91</v>
      </c>
      <c r="B143" s="819"/>
      <c r="C143" s="819"/>
      <c r="D143" s="450" t="s">
        <v>183</v>
      </c>
      <c r="E143" s="449">
        <v>3061</v>
      </c>
      <c r="F143" s="448">
        <v>3088.24</v>
      </c>
      <c r="G143" s="690">
        <f t="shared" si="24"/>
        <v>27.239999999999782</v>
      </c>
      <c r="H143" s="455">
        <f t="shared" si="25"/>
        <v>27.239999999999782</v>
      </c>
      <c r="I143" s="663"/>
      <c r="J143" s="527">
        <f>H143/DAY(B2)</f>
        <v>27.239999999999782</v>
      </c>
    </row>
    <row r="144" spans="1:15" ht="22.5">
      <c r="A144" s="763" t="s">
        <v>90</v>
      </c>
      <c r="B144" s="763"/>
      <c r="C144" s="763"/>
      <c r="D144" s="450" t="s">
        <v>183</v>
      </c>
      <c r="E144" s="449">
        <v>869670</v>
      </c>
      <c r="F144" s="448">
        <v>869899</v>
      </c>
      <c r="G144" s="690">
        <f t="shared" si="24"/>
        <v>229</v>
      </c>
      <c r="H144" s="455">
        <f t="shared" si="25"/>
        <v>229</v>
      </c>
      <c r="I144" s="663"/>
      <c r="J144" s="527">
        <f>H144/DAY(B2)</f>
        <v>229</v>
      </c>
    </row>
    <row r="145" spans="1:10" ht="22.5">
      <c r="A145" s="819" t="s">
        <v>190</v>
      </c>
      <c r="B145" s="819"/>
      <c r="C145" s="819"/>
      <c r="D145" s="450" t="s">
        <v>183</v>
      </c>
      <c r="E145" s="449">
        <v>4558</v>
      </c>
      <c r="F145" s="448">
        <v>4573.25</v>
      </c>
      <c r="G145" s="690">
        <f t="shared" si="24"/>
        <v>15.25</v>
      </c>
      <c r="H145" s="455">
        <f t="shared" si="25"/>
        <v>15.25</v>
      </c>
      <c r="I145" s="663"/>
      <c r="J145" s="527">
        <f>H145/DAY(B2)</f>
        <v>15.25</v>
      </c>
    </row>
    <row r="146" spans="1:10" ht="22.5">
      <c r="A146" s="820" t="s">
        <v>191</v>
      </c>
      <c r="B146" s="821"/>
      <c r="C146" s="822"/>
      <c r="D146" s="450" t="s">
        <v>183</v>
      </c>
      <c r="E146" s="448">
        <v>724858</v>
      </c>
      <c r="F146" s="448">
        <v>725332</v>
      </c>
      <c r="G146" s="690">
        <f t="shared" si="24"/>
        <v>474</v>
      </c>
      <c r="H146" s="455">
        <f t="shared" si="25"/>
        <v>474</v>
      </c>
      <c r="I146" s="663"/>
      <c r="J146" s="527">
        <f>H146/DAY(B2)</f>
        <v>474</v>
      </c>
    </row>
    <row r="147" spans="1:10" ht="22.5">
      <c r="A147" s="763" t="s">
        <v>192</v>
      </c>
      <c r="B147" s="763"/>
      <c r="C147" s="763"/>
      <c r="D147" s="450" t="s">
        <v>183</v>
      </c>
      <c r="E147" s="448">
        <v>615282</v>
      </c>
      <c r="F147" s="448">
        <v>615719.31999999995</v>
      </c>
      <c r="G147" s="690">
        <f t="shared" si="24"/>
        <v>437.31999999994878</v>
      </c>
      <c r="H147" s="455">
        <f t="shared" si="25"/>
        <v>437.31999999994878</v>
      </c>
      <c r="I147" s="663"/>
      <c r="J147" s="527">
        <f>H147/DAY(B2)</f>
        <v>437.31999999994878</v>
      </c>
    </row>
    <row r="148" spans="1:10" ht="22.5">
      <c r="A148" s="815" t="s">
        <v>193</v>
      </c>
      <c r="B148" s="816"/>
      <c r="C148" s="817"/>
      <c r="D148" s="509" t="s">
        <v>130</v>
      </c>
      <c r="E148" s="409">
        <v>683033.12</v>
      </c>
      <c r="F148" s="435">
        <v>683408.24</v>
      </c>
      <c r="G148" s="690">
        <f t="shared" si="24"/>
        <v>375.11999999999534</v>
      </c>
      <c r="H148" s="455">
        <f t="shared" si="25"/>
        <v>375.11999999999534</v>
      </c>
      <c r="I148" s="455"/>
      <c r="J148" s="527">
        <f>H148/DAY(B2)</f>
        <v>375.11999999999534</v>
      </c>
    </row>
    <row r="149" spans="1:10" ht="22.5">
      <c r="A149" s="815" t="s">
        <v>336</v>
      </c>
      <c r="B149" s="816"/>
      <c r="C149" s="817"/>
      <c r="D149" s="528" t="s">
        <v>130</v>
      </c>
      <c r="E149" s="394">
        <v>10749</v>
      </c>
      <c r="F149" s="450">
        <v>11075.3</v>
      </c>
      <c r="G149" s="690">
        <f t="shared" si="24"/>
        <v>326.29999999999927</v>
      </c>
      <c r="H149" s="455">
        <f t="shared" si="25"/>
        <v>326.29999999999927</v>
      </c>
      <c r="I149" s="655"/>
      <c r="J149" s="527">
        <f>H149/DAY(B2)</f>
        <v>326.29999999999927</v>
      </c>
    </row>
    <row r="150" spans="1:10" ht="22.5">
      <c r="A150" s="815" t="s">
        <v>337</v>
      </c>
      <c r="B150" s="816"/>
      <c r="C150" s="817"/>
      <c r="D150" s="509" t="s">
        <v>130</v>
      </c>
      <c r="E150" s="450">
        <v>4052</v>
      </c>
      <c r="F150" s="450">
        <v>4283.5</v>
      </c>
      <c r="G150" s="690">
        <f t="shared" si="24"/>
        <v>231.5</v>
      </c>
      <c r="H150" s="455">
        <f t="shared" si="25"/>
        <v>231.5</v>
      </c>
      <c r="I150" s="655"/>
      <c r="J150" s="527">
        <f>H150/DAY(B2)</f>
        <v>231.5</v>
      </c>
    </row>
    <row r="151" spans="1:10" ht="22.5">
      <c r="A151" s="815" t="s">
        <v>338</v>
      </c>
      <c r="B151" s="816"/>
      <c r="C151" s="817"/>
      <c r="D151" s="529"/>
      <c r="E151" s="450">
        <v>78217</v>
      </c>
      <c r="F151" s="450">
        <v>78510</v>
      </c>
      <c r="G151" s="690">
        <f t="shared" ref="G151:G152" si="26">F151-E151</f>
        <v>293</v>
      </c>
      <c r="H151" s="455">
        <f t="shared" ref="H151:H153" si="27">G151</f>
        <v>293</v>
      </c>
      <c r="I151" s="655"/>
      <c r="J151" s="527">
        <f>H151/DAY(B2)</f>
        <v>293</v>
      </c>
    </row>
    <row r="152" spans="1:10" ht="22.5">
      <c r="A152" s="815" t="s">
        <v>339</v>
      </c>
      <c r="B152" s="816"/>
      <c r="C152" s="817"/>
      <c r="D152" s="529"/>
      <c r="E152" s="450">
        <v>1127</v>
      </c>
      <c r="F152" s="450">
        <v>1167</v>
      </c>
      <c r="G152" s="690">
        <f t="shared" si="26"/>
        <v>40</v>
      </c>
      <c r="H152" s="455">
        <f t="shared" si="27"/>
        <v>40</v>
      </c>
      <c r="I152" s="655"/>
      <c r="J152" s="527">
        <f>H152/DAY(B2)</f>
        <v>40</v>
      </c>
    </row>
    <row r="153" spans="1:10" ht="22.5">
      <c r="A153" s="766" t="s">
        <v>196</v>
      </c>
      <c r="B153" s="767"/>
      <c r="C153" s="768"/>
      <c r="D153" s="529"/>
      <c r="E153" s="451"/>
      <c r="F153" s="451"/>
      <c r="G153" s="691">
        <f>SUM(G138:G152)</f>
        <v>2765.3299999999417</v>
      </c>
      <c r="H153" s="530">
        <f t="shared" si="27"/>
        <v>2765.3299999999417</v>
      </c>
      <c r="I153" s="656">
        <f>G153-(G38+G52)</f>
        <v>1099.8999999999487</v>
      </c>
      <c r="J153" s="531"/>
    </row>
    <row r="154" spans="1:10" ht="22.5">
      <c r="A154" s="818" t="s">
        <v>344</v>
      </c>
      <c r="B154" s="818"/>
      <c r="C154" s="818"/>
      <c r="D154" s="818"/>
      <c r="E154" s="818"/>
      <c r="F154" s="818"/>
      <c r="G154" s="818"/>
      <c r="H154" s="818"/>
      <c r="I154" s="818"/>
      <c r="J154" s="818"/>
    </row>
    <row r="155" spans="1:10" ht="27.75" customHeight="1">
      <c r="A155" s="763" t="s">
        <v>345</v>
      </c>
      <c r="B155" s="763"/>
      <c r="C155" s="763"/>
      <c r="D155" s="459"/>
      <c r="E155" s="649">
        <v>12792</v>
      </c>
      <c r="F155" s="648">
        <v>13472</v>
      </c>
      <c r="G155" s="690">
        <f t="shared" ref="G155:G158" si="28">F155-E155</f>
        <v>680</v>
      </c>
      <c r="H155" s="648"/>
      <c r="I155" s="648"/>
      <c r="J155" s="527">
        <f>H155/DAY(B2)</f>
        <v>0</v>
      </c>
    </row>
    <row r="156" spans="1:10" ht="25.5" customHeight="1">
      <c r="A156" s="763" t="s">
        <v>349</v>
      </c>
      <c r="B156" s="763"/>
      <c r="C156" s="763"/>
      <c r="D156" s="463"/>
      <c r="E156" s="444">
        <v>1034</v>
      </c>
      <c r="F156" s="648">
        <v>1088</v>
      </c>
      <c r="G156" s="690">
        <f t="shared" si="28"/>
        <v>54</v>
      </c>
      <c r="H156" s="462"/>
      <c r="I156" s="648"/>
      <c r="J156" s="527">
        <f>H156/DAY(B2)</f>
        <v>0</v>
      </c>
    </row>
    <row r="157" spans="1:10" ht="25.5" customHeight="1">
      <c r="A157" s="740" t="s">
        <v>364</v>
      </c>
      <c r="B157" s="741"/>
      <c r="C157" s="742"/>
      <c r="D157" s="402" t="s">
        <v>130</v>
      </c>
      <c r="E157" s="395">
        <v>1236</v>
      </c>
      <c r="F157" s="648">
        <v>1306.01</v>
      </c>
      <c r="G157" s="690">
        <f t="shared" si="28"/>
        <v>70.009999999999991</v>
      </c>
      <c r="H157" s="462"/>
      <c r="I157" s="648"/>
      <c r="J157" s="527"/>
    </row>
    <row r="158" spans="1:10" ht="25.5" customHeight="1">
      <c r="A158" s="740" t="s">
        <v>365</v>
      </c>
      <c r="B158" s="741"/>
      <c r="C158" s="742"/>
      <c r="D158" s="402" t="s">
        <v>130</v>
      </c>
      <c r="E158" s="444">
        <v>7.83</v>
      </c>
      <c r="F158" s="648">
        <v>8.1</v>
      </c>
      <c r="G158" s="690">
        <f t="shared" si="28"/>
        <v>0.26999999999999957</v>
      </c>
      <c r="H158" s="462"/>
      <c r="I158" s="648"/>
      <c r="J158" s="527"/>
    </row>
    <row r="159" spans="1:10" ht="25.5" customHeight="1">
      <c r="A159" s="743"/>
      <c r="B159" s="744"/>
      <c r="C159" s="745"/>
      <c r="D159" s="463"/>
      <c r="E159" s="444"/>
      <c r="F159" s="648"/>
      <c r="G159" s="690"/>
      <c r="H159" s="462"/>
      <c r="I159" s="648"/>
      <c r="J159" s="527"/>
    </row>
    <row r="160" spans="1:10" ht="22.5">
      <c r="A160" s="754" t="s">
        <v>326</v>
      </c>
      <c r="B160" s="754"/>
      <c r="C160" s="754"/>
      <c r="D160" s="754"/>
      <c r="E160" s="754"/>
      <c r="F160" s="754"/>
      <c r="G160" s="754"/>
      <c r="H160" s="754"/>
      <c r="I160" s="754"/>
      <c r="J160" s="754"/>
    </row>
    <row r="161" spans="1:10" ht="22.5">
      <c r="A161" s="526" t="s">
        <v>92</v>
      </c>
      <c r="B161" s="452"/>
      <c r="C161" s="452"/>
      <c r="D161" s="453" t="s">
        <v>180</v>
      </c>
      <c r="E161" s="454">
        <v>471153.16</v>
      </c>
      <c r="F161" s="454">
        <v>471153.16</v>
      </c>
      <c r="G161" s="584">
        <f t="shared" ref="G161:G168" si="29">F161-E161</f>
        <v>0</v>
      </c>
      <c r="H161" s="396">
        <f t="shared" ref="H161:H168" si="30">G161</f>
        <v>0</v>
      </c>
      <c r="I161" s="655"/>
      <c r="J161" s="456">
        <f>H161/DAY(B2)</f>
        <v>0</v>
      </c>
    </row>
    <row r="162" spans="1:10" ht="22.5">
      <c r="A162" s="526" t="s">
        <v>93</v>
      </c>
      <c r="B162" s="452"/>
      <c r="C162" s="452"/>
      <c r="D162" s="453" t="s">
        <v>180</v>
      </c>
      <c r="E162" s="454">
        <v>87570</v>
      </c>
      <c r="F162" s="454">
        <v>87592</v>
      </c>
      <c r="G162" s="584">
        <f t="shared" si="29"/>
        <v>22</v>
      </c>
      <c r="H162" s="396">
        <f t="shared" si="30"/>
        <v>22</v>
      </c>
      <c r="I162" s="655"/>
      <c r="J162" s="456">
        <f>H162/DAY(B2)</f>
        <v>22</v>
      </c>
    </row>
    <row r="163" spans="1:10" ht="22.5">
      <c r="A163" s="526" t="s">
        <v>197</v>
      </c>
      <c r="B163" s="452"/>
      <c r="C163" s="452"/>
      <c r="D163" s="453" t="s">
        <v>180</v>
      </c>
      <c r="E163" s="454">
        <v>77825</v>
      </c>
      <c r="F163" s="454">
        <v>77859</v>
      </c>
      <c r="G163" s="584">
        <f t="shared" si="29"/>
        <v>34</v>
      </c>
      <c r="H163" s="396">
        <f t="shared" si="30"/>
        <v>34</v>
      </c>
      <c r="I163" s="655"/>
      <c r="J163" s="456">
        <f>H163/DAY(B2)</f>
        <v>34</v>
      </c>
    </row>
    <row r="164" spans="1:10" ht="22.5">
      <c r="A164" s="526" t="s">
        <v>197</v>
      </c>
      <c r="B164" s="452"/>
      <c r="C164" s="452"/>
      <c r="D164" s="453" t="s">
        <v>180</v>
      </c>
      <c r="E164" s="454">
        <v>4242</v>
      </c>
      <c r="F164" s="454">
        <v>4242</v>
      </c>
      <c r="G164" s="584">
        <f>F164-E164</f>
        <v>0</v>
      </c>
      <c r="H164" s="396">
        <f t="shared" si="30"/>
        <v>0</v>
      </c>
      <c r="I164" s="655"/>
      <c r="J164" s="456">
        <f>H164/DAY(B2)</f>
        <v>0</v>
      </c>
    </row>
    <row r="165" spans="1:10" ht="22.5">
      <c r="A165" s="526" t="s">
        <v>309</v>
      </c>
      <c r="B165" s="452"/>
      <c r="C165" s="452"/>
      <c r="D165" s="453" t="s">
        <v>180</v>
      </c>
      <c r="E165" s="454">
        <v>29646</v>
      </c>
      <c r="F165" s="454">
        <v>29652.55</v>
      </c>
      <c r="G165" s="584">
        <f t="shared" si="29"/>
        <v>6.5499999999992724</v>
      </c>
      <c r="H165" s="396">
        <f t="shared" si="30"/>
        <v>6.5499999999992724</v>
      </c>
      <c r="I165" s="655"/>
      <c r="J165" s="456">
        <f>H165/DAY(B2)</f>
        <v>6.5499999999992724</v>
      </c>
    </row>
    <row r="166" spans="1:10" ht="22.5">
      <c r="A166" s="755"/>
      <c r="B166" s="755"/>
      <c r="C166" s="436"/>
      <c r="D166" s="453" t="s">
        <v>180</v>
      </c>
      <c r="E166" s="444"/>
      <c r="F166" s="444"/>
      <c r="G166" s="584">
        <f t="shared" si="29"/>
        <v>0</v>
      </c>
      <c r="H166" s="396">
        <f t="shared" si="30"/>
        <v>0</v>
      </c>
      <c r="I166" s="444"/>
      <c r="J166" s="441"/>
    </row>
    <row r="167" spans="1:10" ht="22.5">
      <c r="A167" s="755"/>
      <c r="B167" s="755"/>
      <c r="C167" s="436"/>
      <c r="D167" s="453" t="s">
        <v>180</v>
      </c>
      <c r="E167" s="444"/>
      <c r="F167" s="444"/>
      <c r="G167" s="584">
        <f t="shared" si="29"/>
        <v>0</v>
      </c>
      <c r="H167" s="396">
        <f t="shared" si="30"/>
        <v>0</v>
      </c>
      <c r="I167" s="444"/>
      <c r="J167" s="441"/>
    </row>
    <row r="168" spans="1:10" ht="22.5">
      <c r="A168" s="755"/>
      <c r="B168" s="755"/>
      <c r="C168" s="436"/>
      <c r="D168" s="453" t="s">
        <v>180</v>
      </c>
      <c r="E168" s="444"/>
      <c r="F168" s="444"/>
      <c r="G168" s="584">
        <f t="shared" si="29"/>
        <v>0</v>
      </c>
      <c r="H168" s="396">
        <f t="shared" si="30"/>
        <v>0</v>
      </c>
      <c r="I168" s="444"/>
      <c r="J168" s="441"/>
    </row>
    <row r="169" spans="1:10" ht="22.5"/>
    <row r="170" spans="1:10" ht="22.5"/>
    <row r="171" spans="1:10" ht="22.5">
      <c r="A171" s="756" t="s">
        <v>330</v>
      </c>
      <c r="B171" s="757"/>
      <c r="C171" s="757"/>
      <c r="D171" s="757"/>
      <c r="E171" s="757"/>
      <c r="F171" s="757"/>
      <c r="G171" s="757"/>
      <c r="H171" s="757"/>
      <c r="I171" s="757"/>
      <c r="J171" s="758"/>
    </row>
    <row r="172" spans="1:10" ht="22.5">
      <c r="A172" s="752"/>
      <c r="B172" s="753"/>
      <c r="C172" s="457"/>
      <c r="D172" s="508"/>
      <c r="E172" s="444"/>
      <c r="F172" s="444"/>
      <c r="G172" s="585"/>
      <c r="H172" s="441"/>
      <c r="I172" s="444"/>
      <c r="J172" s="458">
        <f>H172/DAY(B2)</f>
        <v>0</v>
      </c>
    </row>
    <row r="173" spans="1:10" ht="22.5">
      <c r="A173" s="748" t="s">
        <v>209</v>
      </c>
      <c r="B173" s="749"/>
      <c r="C173" s="377"/>
      <c r="D173" s="508" t="s">
        <v>142</v>
      </c>
      <c r="E173" s="444">
        <v>8126</v>
      </c>
      <c r="F173" s="444">
        <v>8126</v>
      </c>
      <c r="G173" s="585">
        <f>F173-E173</f>
        <v>0</v>
      </c>
      <c r="H173" s="396">
        <f t="shared" ref="H173:H189" si="31">G173</f>
        <v>0</v>
      </c>
      <c r="I173" s="444"/>
      <c r="J173" s="458">
        <f>H173/DAY(B2)</f>
        <v>0</v>
      </c>
    </row>
    <row r="174" spans="1:10" ht="22.5">
      <c r="A174" s="748" t="s">
        <v>75</v>
      </c>
      <c r="B174" s="749"/>
      <c r="C174" s="377"/>
      <c r="D174" s="508" t="s">
        <v>142</v>
      </c>
      <c r="E174" s="648">
        <v>38293</v>
      </c>
      <c r="F174" s="648">
        <v>38308</v>
      </c>
      <c r="G174" s="585">
        <f t="shared" ref="G174:G175" si="32">F174-E174</f>
        <v>15</v>
      </c>
      <c r="H174" s="396">
        <f t="shared" si="31"/>
        <v>15</v>
      </c>
      <c r="I174" s="444"/>
      <c r="J174" s="458">
        <f>H174/DAY(B2)</f>
        <v>15</v>
      </c>
    </row>
    <row r="175" spans="1:10" ht="22.5">
      <c r="A175" s="748" t="s">
        <v>76</v>
      </c>
      <c r="B175" s="759"/>
      <c r="C175" s="749"/>
      <c r="D175" s="508" t="s">
        <v>142</v>
      </c>
      <c r="E175" s="444">
        <v>21518</v>
      </c>
      <c r="F175" s="444">
        <v>21530</v>
      </c>
      <c r="G175" s="585">
        <f t="shared" si="32"/>
        <v>12</v>
      </c>
      <c r="H175" s="396">
        <f t="shared" si="31"/>
        <v>12</v>
      </c>
      <c r="I175" s="444"/>
      <c r="J175" s="458"/>
    </row>
    <row r="176" spans="1:10" ht="22.5">
      <c r="A176" s="746" t="s">
        <v>196</v>
      </c>
      <c r="B176" s="747"/>
      <c r="C176" s="377"/>
      <c r="D176" s="508"/>
      <c r="E176" s="444"/>
      <c r="F176" s="444"/>
      <c r="G176" s="585">
        <f>SUM(G173:G175)</f>
        <v>27</v>
      </c>
      <c r="H176" s="396">
        <f t="shared" si="31"/>
        <v>27</v>
      </c>
      <c r="I176" s="444"/>
      <c r="J176" s="458">
        <f>H176/DAY(B2)</f>
        <v>27</v>
      </c>
    </row>
    <row r="177" spans="1:10" ht="22.5">
      <c r="A177" s="748" t="s">
        <v>77</v>
      </c>
      <c r="B177" s="749"/>
      <c r="C177" s="377"/>
      <c r="D177" s="508" t="s">
        <v>142</v>
      </c>
      <c r="E177" s="444"/>
      <c r="F177" s="444"/>
      <c r="G177" s="585"/>
      <c r="H177" s="396">
        <f t="shared" si="31"/>
        <v>0</v>
      </c>
      <c r="I177" s="444"/>
      <c r="J177" s="458">
        <f>H177/DAY(B2)</f>
        <v>0</v>
      </c>
    </row>
    <row r="178" spans="1:10" ht="22.5">
      <c r="A178" s="748" t="s">
        <v>210</v>
      </c>
      <c r="B178" s="749"/>
      <c r="C178" s="377"/>
      <c r="D178" s="508" t="s">
        <v>142</v>
      </c>
      <c r="E178" s="444">
        <v>79614</v>
      </c>
      <c r="F178" s="444">
        <v>79676</v>
      </c>
      <c r="G178" s="585">
        <f>F178-E178</f>
        <v>62</v>
      </c>
      <c r="H178" s="396">
        <f t="shared" si="31"/>
        <v>62</v>
      </c>
      <c r="I178" s="444"/>
      <c r="J178" s="458">
        <f>H178/DAY(B2)</f>
        <v>62</v>
      </c>
    </row>
    <row r="179" spans="1:10" ht="22.5">
      <c r="A179" s="748" t="s">
        <v>211</v>
      </c>
      <c r="B179" s="749"/>
      <c r="C179" s="377"/>
      <c r="D179" s="508" t="s">
        <v>142</v>
      </c>
      <c r="E179" s="444">
        <v>33915</v>
      </c>
      <c r="F179" s="444">
        <v>33957</v>
      </c>
      <c r="G179" s="585">
        <f t="shared" ref="G179:G180" si="33">F179-E179</f>
        <v>42</v>
      </c>
      <c r="H179" s="396">
        <f t="shared" si="31"/>
        <v>42</v>
      </c>
      <c r="I179" s="444"/>
      <c r="J179" s="458">
        <f>H179/DAY(B2)</f>
        <v>42</v>
      </c>
    </row>
    <row r="180" spans="1:10" ht="22.5">
      <c r="A180" s="748" t="s">
        <v>212</v>
      </c>
      <c r="B180" s="749"/>
      <c r="C180" s="377"/>
      <c r="D180" s="508" t="s">
        <v>142</v>
      </c>
      <c r="E180" s="444">
        <v>5477</v>
      </c>
      <c r="F180" s="444">
        <v>5481</v>
      </c>
      <c r="G180" s="585">
        <f t="shared" si="33"/>
        <v>4</v>
      </c>
      <c r="H180" s="396">
        <f t="shared" si="31"/>
        <v>4</v>
      </c>
      <c r="I180" s="444"/>
      <c r="J180" s="458">
        <f>H180/DAY(B2)</f>
        <v>4</v>
      </c>
    </row>
    <row r="181" spans="1:10" ht="22.5">
      <c r="A181" s="746" t="s">
        <v>108</v>
      </c>
      <c r="B181" s="747"/>
      <c r="C181" s="377"/>
      <c r="D181" s="508"/>
      <c r="E181" s="444"/>
      <c r="F181" s="444"/>
      <c r="G181" s="585">
        <f>SUM(G178:G180)</f>
        <v>108</v>
      </c>
      <c r="H181" s="396">
        <f t="shared" si="31"/>
        <v>108</v>
      </c>
      <c r="I181" s="444"/>
      <c r="J181" s="458">
        <f>H181/DAY(B2)</f>
        <v>108</v>
      </c>
    </row>
    <row r="182" spans="1:10" ht="21.95" customHeight="1">
      <c r="A182" s="748" t="s">
        <v>213</v>
      </c>
      <c r="B182" s="749"/>
      <c r="C182" s="377"/>
      <c r="D182" s="508"/>
      <c r="E182" s="444"/>
      <c r="F182" s="444"/>
      <c r="G182" s="585"/>
      <c r="H182" s="396">
        <f t="shared" si="31"/>
        <v>0</v>
      </c>
      <c r="I182" s="444"/>
      <c r="J182" s="458">
        <f>H182/DAY(B2)</f>
        <v>0</v>
      </c>
    </row>
    <row r="183" spans="1:10" ht="21.95" customHeight="1">
      <c r="A183" s="748" t="s">
        <v>214</v>
      </c>
      <c r="B183" s="749"/>
      <c r="C183" s="377"/>
      <c r="D183" s="508" t="s">
        <v>142</v>
      </c>
      <c r="E183" s="648">
        <v>14947</v>
      </c>
      <c r="F183" s="648">
        <v>14977</v>
      </c>
      <c r="G183" s="586">
        <f>F183-E183</f>
        <v>30</v>
      </c>
      <c r="H183" s="396">
        <f t="shared" si="31"/>
        <v>30</v>
      </c>
      <c r="I183" s="444"/>
      <c r="J183" s="458">
        <f>H183/DAY(B2)</f>
        <v>30</v>
      </c>
    </row>
    <row r="184" spans="1:10" ht="21.95" customHeight="1">
      <c r="A184" s="748" t="s">
        <v>215</v>
      </c>
      <c r="B184" s="749"/>
      <c r="C184" s="377"/>
      <c r="D184" s="508" t="s">
        <v>142</v>
      </c>
      <c r="E184" s="648">
        <v>10301</v>
      </c>
      <c r="F184" s="648">
        <v>10308</v>
      </c>
      <c r="G184" s="586">
        <f t="shared" ref="G184:G185" si="34">F184-E184</f>
        <v>7</v>
      </c>
      <c r="H184" s="396">
        <f t="shared" si="31"/>
        <v>7</v>
      </c>
      <c r="I184" s="444"/>
      <c r="J184" s="458">
        <f>H184/DAY(B2)</f>
        <v>7</v>
      </c>
    </row>
    <row r="185" spans="1:10" ht="22.5">
      <c r="A185" s="748" t="s">
        <v>216</v>
      </c>
      <c r="B185" s="749"/>
      <c r="C185" s="377"/>
      <c r="D185" s="508" t="s">
        <v>142</v>
      </c>
      <c r="E185" s="648"/>
      <c r="F185" s="648"/>
      <c r="G185" s="586">
        <f t="shared" si="34"/>
        <v>0</v>
      </c>
      <c r="H185" s="396">
        <f t="shared" si="31"/>
        <v>0</v>
      </c>
      <c r="I185" s="444"/>
      <c r="J185" s="460">
        <f>H185/DAY(B2)</f>
        <v>0</v>
      </c>
    </row>
    <row r="186" spans="1:10" ht="22.5">
      <c r="A186" s="746" t="s">
        <v>196</v>
      </c>
      <c r="B186" s="747"/>
      <c r="C186" s="377"/>
      <c r="D186" s="229"/>
      <c r="E186" s="648"/>
      <c r="F186" s="648"/>
      <c r="G186" s="586">
        <f>SUM(G183:G185)</f>
        <v>37</v>
      </c>
      <c r="H186" s="396">
        <f t="shared" si="31"/>
        <v>37</v>
      </c>
      <c r="I186" s="648"/>
      <c r="J186" s="460">
        <f>H186/DAY(B2)</f>
        <v>37</v>
      </c>
    </row>
    <row r="187" spans="1:10" ht="22.5">
      <c r="A187" s="748" t="s">
        <v>217</v>
      </c>
      <c r="B187" s="749"/>
      <c r="C187" s="377"/>
      <c r="D187" s="461" t="s">
        <v>142</v>
      </c>
      <c r="E187" s="462"/>
      <c r="F187" s="462"/>
      <c r="G187" s="586">
        <f>G62+G19</f>
        <v>54</v>
      </c>
      <c r="H187" s="396">
        <f t="shared" si="31"/>
        <v>54</v>
      </c>
      <c r="I187" s="648"/>
      <c r="J187" s="460">
        <f>H187/DAY(B2)</f>
        <v>54</v>
      </c>
    </row>
    <row r="188" spans="1:10" ht="22.5">
      <c r="A188" s="748" t="s">
        <v>218</v>
      </c>
      <c r="B188" s="749"/>
      <c r="C188" s="377"/>
      <c r="D188" s="461" t="s">
        <v>142</v>
      </c>
      <c r="E188" s="462"/>
      <c r="F188" s="462"/>
      <c r="G188" s="586">
        <f>G65+G66+G67+G69+G70</f>
        <v>204</v>
      </c>
      <c r="H188" s="396">
        <f t="shared" si="31"/>
        <v>204</v>
      </c>
      <c r="I188" s="648"/>
      <c r="J188" s="659"/>
    </row>
    <row r="189" spans="1:10" ht="22.5">
      <c r="A189" s="748" t="s">
        <v>219</v>
      </c>
      <c r="B189" s="749"/>
      <c r="C189" s="377"/>
      <c r="D189" s="461" t="s">
        <v>142</v>
      </c>
      <c r="E189" s="648"/>
      <c r="F189" s="648"/>
      <c r="G189" s="586">
        <f>G181</f>
        <v>108</v>
      </c>
      <c r="H189" s="396">
        <f t="shared" si="31"/>
        <v>108</v>
      </c>
      <c r="I189" s="648"/>
      <c r="J189" s="456">
        <f>H189/DAY(B2)</f>
        <v>108</v>
      </c>
    </row>
    <row r="190" spans="1:10" ht="27">
      <c r="A190" s="750" t="s">
        <v>360</v>
      </c>
      <c r="B190" s="751"/>
      <c r="C190" s="598"/>
      <c r="D190" s="476"/>
      <c r="E190" s="664"/>
      <c r="F190" s="599">
        <v>52955</v>
      </c>
      <c r="G190" s="651">
        <f>F190-E190</f>
        <v>52955</v>
      </c>
      <c r="H190" s="478"/>
      <c r="I190" s="599"/>
      <c r="J190" s="478"/>
    </row>
    <row r="191" spans="1:10" ht="22.5">
      <c r="A191" s="748"/>
      <c r="B191" s="749"/>
    </row>
    <row r="192" spans="1:10" ht="22.5"/>
    <row r="193" ht="22.5"/>
    <row r="194" ht="22.5"/>
    <row r="195" ht="22.5"/>
    <row r="196" ht="22.5"/>
    <row r="197" ht="22.5"/>
    <row r="198" ht="22.5"/>
    <row r="199" ht="22.5"/>
    <row r="200" ht="22.5"/>
    <row r="201" ht="22.5"/>
    <row r="202" ht="22.5"/>
    <row r="203" ht="22.5"/>
    <row r="204" ht="22.5"/>
    <row r="205" ht="22.5"/>
    <row r="206" ht="22.5"/>
    <row r="207" ht="22.5"/>
    <row r="208" ht="22.5"/>
    <row r="209" ht="22.5"/>
    <row r="210" ht="22.5"/>
    <row r="211" ht="22.5"/>
    <row r="212" ht="22.5"/>
    <row r="213" ht="22.5"/>
    <row r="214" ht="22.5"/>
    <row r="215" ht="22.5"/>
    <row r="216" ht="22.5"/>
    <row r="217" ht="22.5"/>
    <row r="218" ht="22.5"/>
    <row r="219" ht="22.5"/>
    <row r="220" ht="22.5"/>
    <row r="221" ht="22.5"/>
    <row r="222" ht="22.5"/>
    <row r="223" ht="22.5"/>
    <row r="224" ht="22.5"/>
    <row r="225" ht="22.5"/>
    <row r="226" ht="22.5"/>
    <row r="227" ht="22.5"/>
    <row r="228" ht="22.5"/>
    <row r="229" ht="22.5"/>
    <row r="230" ht="22.5"/>
    <row r="231" ht="22.5"/>
    <row r="232" ht="22.5"/>
    <row r="233" ht="22.5"/>
    <row r="234" ht="22.5"/>
    <row r="235" ht="22.5"/>
    <row r="236" ht="22.5"/>
    <row r="237" ht="22.5"/>
    <row r="238" ht="22.5"/>
    <row r="239" ht="22.5"/>
    <row r="240" ht="22.5"/>
    <row r="241" ht="22.5"/>
    <row r="242" ht="22.5"/>
    <row r="243" ht="22.5"/>
    <row r="244" ht="22.5"/>
    <row r="245" ht="22.5"/>
    <row r="246" ht="22.5"/>
    <row r="247" ht="22.5"/>
    <row r="248" ht="22.5"/>
    <row r="249" ht="22.5"/>
    <row r="250" ht="22.5"/>
    <row r="251" ht="22.5"/>
    <row r="252" ht="22.5"/>
    <row r="253" ht="22.5"/>
    <row r="254" ht="22.5"/>
    <row r="255" ht="22.5"/>
    <row r="256" ht="22.5"/>
    <row r="257" ht="22.5"/>
    <row r="258" ht="22.5"/>
    <row r="259" ht="22.5"/>
    <row r="260" ht="22.5"/>
    <row r="261" ht="22.5"/>
    <row r="262" ht="22.5"/>
    <row r="263" ht="22.5"/>
    <row r="264" ht="22.5"/>
    <row r="265" ht="22.5"/>
    <row r="266" ht="22.5"/>
    <row r="267" ht="22.5"/>
    <row r="268" ht="22.5"/>
    <row r="269" ht="22.5"/>
    <row r="270" ht="22.5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6" s="57" customFormat="1" ht="27">
      <c r="A2" s="191" t="s">
        <v>350</v>
      </c>
      <c r="B2" s="262">
        <v>44563</v>
      </c>
      <c r="C2" s="348" t="s">
        <v>67</v>
      </c>
      <c r="D2" s="218">
        <v>0.43559999999999999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>
      <c r="A3" s="189"/>
      <c r="B3" s="221"/>
      <c r="C3" s="348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6" s="57" customFormat="1" ht="27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'1'!F7</f>
        <v>114567.53</v>
      </c>
      <c r="F7" s="95">
        <v>134056.9</v>
      </c>
      <c r="G7" s="112">
        <f>F7-E7</f>
        <v>19489.369999999995</v>
      </c>
      <c r="H7" s="99">
        <f>G7+'1'!H7</f>
        <v>39495.899999999994</v>
      </c>
      <c r="I7" s="113">
        <f>'[1]1'!I7</f>
        <v>12000</v>
      </c>
      <c r="J7" s="175">
        <f>H7/DAY(B2)</f>
        <v>19747.949999999997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>
      <c r="A8" s="196" t="s">
        <v>131</v>
      </c>
      <c r="B8" s="197"/>
      <c r="C8" s="198"/>
      <c r="D8" s="224" t="s">
        <v>24</v>
      </c>
      <c r="E8" s="95">
        <f>'1'!F8</f>
        <v>161334</v>
      </c>
      <c r="F8" s="114">
        <v>181227</v>
      </c>
      <c r="G8" s="115">
        <f>F8-E8</f>
        <v>19893</v>
      </c>
      <c r="H8" s="99">
        <f>G8+'1'!H8</f>
        <v>40342</v>
      </c>
      <c r="I8" s="116">
        <v>12000</v>
      </c>
      <c r="J8" s="175">
        <f>H8/DAY(B2)</f>
        <v>20171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>
      <c r="A9" s="199" t="s">
        <v>132</v>
      </c>
      <c r="B9" s="200"/>
      <c r="C9" s="200"/>
      <c r="D9" s="151" t="s">
        <v>130</v>
      </c>
      <c r="E9" s="95">
        <f>'1'!F9</f>
        <v>2271542.1</v>
      </c>
      <c r="F9" s="353">
        <v>2283852.9</v>
      </c>
      <c r="G9" s="112">
        <f t="shared" ref="G9:G11" si="0">F9-E9</f>
        <v>12310.799999999814</v>
      </c>
      <c r="H9" s="99">
        <f>G9+'1'!H9</f>
        <v>25076.899999999907</v>
      </c>
      <c r="I9" s="124">
        <f>I8-J8</f>
        <v>-8171</v>
      </c>
      <c r="J9" s="175">
        <f>H9/DAY(B2)</f>
        <v>12538.449999999953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'1'!F10</f>
        <v>547525.15</v>
      </c>
      <c r="F10" s="117">
        <v>554172.82999999996</v>
      </c>
      <c r="G10" s="112">
        <f t="shared" si="0"/>
        <v>6647.6799999999348</v>
      </c>
      <c r="H10" s="99">
        <f>G10+'1'!H10</f>
        <v>13346.829999999958</v>
      </c>
      <c r="I10" s="118"/>
      <c r="J10" s="175">
        <f>H10/DAY(B2)</f>
        <v>6673.414999999979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18958.479999999749</v>
      </c>
      <c r="H13" s="99">
        <f>G13+'1'!H13</f>
        <v>18958.479999999749</v>
      </c>
      <c r="I13" s="120">
        <f>G7-G13</f>
        <v>530.8900000002468</v>
      </c>
      <c r="J13" s="175">
        <f>H13/DAY(B2)</f>
        <v>9479.2399999998743</v>
      </c>
      <c r="K13" s="79"/>
      <c r="L13" s="66"/>
      <c r="N13" s="87"/>
      <c r="O13" s="71"/>
      <c r="P13" s="65">
        <v>822</v>
      </c>
    </row>
    <row r="14" spans="1:16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45" t="s">
        <v>138</v>
      </c>
      <c r="B15" s="205"/>
      <c r="C15" s="205"/>
      <c r="D15" s="151" t="s">
        <v>139</v>
      </c>
      <c r="E15" s="95">
        <f>'1'!F15</f>
        <v>1879500.0859999999</v>
      </c>
      <c r="F15" s="352">
        <v>1880308.6129999999</v>
      </c>
      <c r="G15" s="356">
        <f>(F15-E15)</f>
        <v>808.52700000000186</v>
      </c>
      <c r="H15" s="99">
        <f>G15+'1'!H15</f>
        <v>1878.6129999998957</v>
      </c>
      <c r="I15" s="113">
        <v>800</v>
      </c>
      <c r="J15" s="175">
        <f>H15/DAY(B2)</f>
        <v>939.30649999994785</v>
      </c>
      <c r="K15" s="79"/>
      <c r="L15" s="66"/>
      <c r="N15" s="87"/>
      <c r="O15" s="71"/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-139.30649999994785</v>
      </c>
      <c r="J16" s="176"/>
      <c r="K16" s="79"/>
      <c r="L16" s="66"/>
      <c r="N16" s="87"/>
      <c r="O16" s="71"/>
      <c r="P16" s="71">
        <f>G9+P12</f>
        <v>13008.799999999814</v>
      </c>
    </row>
    <row r="17" spans="1:16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13132.799999999814</v>
      </c>
    </row>
    <row r="18" spans="1:16" ht="27.75">
      <c r="A18" s="864" t="s">
        <v>141</v>
      </c>
      <c r="B18" s="865"/>
      <c r="C18" s="866"/>
      <c r="D18" s="151" t="s">
        <v>142</v>
      </c>
      <c r="E18" s="95">
        <f>'1'!F18</f>
        <v>0</v>
      </c>
      <c r="F18" s="117">
        <v>0</v>
      </c>
      <c r="G18" s="119">
        <f>F18*10</f>
        <v>0</v>
      </c>
      <c r="H18" s="99">
        <f>G18+'1'!H18</f>
        <v>0</v>
      </c>
      <c r="I18" s="113">
        <f>'[1]1'!I18</f>
        <v>65</v>
      </c>
      <c r="J18" s="175">
        <f>H18/DAY(B2)</f>
        <v>0</v>
      </c>
      <c r="K18" s="79"/>
      <c r="L18" s="66"/>
      <c r="N18" s="87"/>
      <c r="O18" s="71"/>
    </row>
    <row r="19" spans="1:16" ht="27.75">
      <c r="A19" s="864" t="s">
        <v>69</v>
      </c>
      <c r="B19" s="865"/>
      <c r="C19" s="866"/>
      <c r="D19" s="151" t="s">
        <v>142</v>
      </c>
      <c r="E19" s="95">
        <f>'1'!F19</f>
        <v>152279</v>
      </c>
      <c r="F19" s="353">
        <v>152335</v>
      </c>
      <c r="G19" s="112">
        <f>F19-E19</f>
        <v>56</v>
      </c>
      <c r="H19" s="99">
        <f>G19+'1'!H19</f>
        <v>110</v>
      </c>
      <c r="I19" s="354"/>
      <c r="J19" s="175">
        <f>H19/DAY(B2)</f>
        <v>55</v>
      </c>
      <c r="K19" s="79"/>
      <c r="L19" s="66"/>
      <c r="N19" s="87"/>
      <c r="O19" s="71"/>
    </row>
    <row r="20" spans="1:16" ht="29.25">
      <c r="A20" s="201" t="s">
        <v>143</v>
      </c>
      <c r="B20" s="202"/>
      <c r="C20" s="202"/>
      <c r="D20" s="126"/>
      <c r="E20" s="126"/>
      <c r="F20" s="151"/>
      <c r="G20" s="355">
        <f>G18+G19</f>
        <v>56</v>
      </c>
      <c r="H20" s="99">
        <f>G20+'1'!H20</f>
        <v>110</v>
      </c>
      <c r="I20" s="336">
        <f>I18-J20</f>
        <v>10</v>
      </c>
      <c r="J20" s="175">
        <f>H20/DAY(B2)</f>
        <v>55</v>
      </c>
      <c r="K20" s="79"/>
      <c r="L20" s="66"/>
      <c r="N20" s="87"/>
      <c r="O20" s="71"/>
    </row>
    <row r="21" spans="1:16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>
      <c r="A23" s="345" t="s">
        <v>147</v>
      </c>
      <c r="B23" s="205"/>
      <c r="C23" s="205"/>
      <c r="D23" s="151" t="s">
        <v>146</v>
      </c>
      <c r="E23" s="95">
        <f>'1'!F23</f>
        <v>1500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>
      <c r="A27" s="208" t="s">
        <v>5</v>
      </c>
      <c r="B27" s="209"/>
      <c r="C27" s="210"/>
      <c r="D27" s="226" t="s">
        <v>24</v>
      </c>
      <c r="E27" s="135">
        <f>G8</f>
        <v>19893</v>
      </c>
      <c r="F27" s="136">
        <v>9</v>
      </c>
      <c r="G27" s="137">
        <f>E27*F27</f>
        <v>179037</v>
      </c>
      <c r="H27" s="99">
        <f>G27+'1'!H27</f>
        <v>363078</v>
      </c>
      <c r="I27" s="138"/>
      <c r="J27" s="175">
        <f>H27/DAY(B2)</f>
        <v>181539</v>
      </c>
      <c r="K27" s="63"/>
      <c r="L27" s="89"/>
      <c r="N27" s="87"/>
      <c r="O27" s="71"/>
    </row>
    <row r="28" spans="1:16" s="88" customFormat="1" ht="27.75">
      <c r="A28" s="208" t="s">
        <v>152</v>
      </c>
      <c r="B28" s="209"/>
      <c r="C28" s="210"/>
      <c r="D28" s="226" t="s">
        <v>153</v>
      </c>
      <c r="E28" s="139">
        <f>G15</f>
        <v>808.52700000000186</v>
      </c>
      <c r="F28" s="136">
        <v>52</v>
      </c>
      <c r="G28" s="137">
        <f t="shared" ref="G28:G31" si="2">E28*F28</f>
        <v>42043.404000000097</v>
      </c>
      <c r="H28" s="99">
        <f>G28+'1'!H28</f>
        <v>97687.875999994576</v>
      </c>
      <c r="I28" s="140"/>
      <c r="J28" s="175">
        <f>H28/DAY(B2)</f>
        <v>48843.937999997288</v>
      </c>
      <c r="K28" s="63"/>
      <c r="L28" s="89"/>
      <c r="N28" s="87"/>
      <c r="O28" s="71"/>
    </row>
    <row r="29" spans="1:16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 t="shared" si="2"/>
        <v>8176</v>
      </c>
      <c r="H30" s="99">
        <f>G30+'1'!H30</f>
        <v>16060</v>
      </c>
      <c r="I30" s="140"/>
      <c r="J30" s="175">
        <f>H30/DAY(B2)</f>
        <v>8030</v>
      </c>
      <c r="K30" s="63"/>
      <c r="L30" s="89"/>
      <c r="N30" s="87"/>
      <c r="O30" s="71"/>
    </row>
    <row r="31" spans="1:16" s="88" customFormat="1" ht="27.75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80</v>
      </c>
      <c r="G31" s="137">
        <f t="shared" si="2"/>
        <v>0</v>
      </c>
      <c r="H31" s="99">
        <f>G31+'1'!H31</f>
        <v>0</v>
      </c>
      <c r="I31" s="140"/>
      <c r="J31" s="175">
        <f>H31/DAY(B2)</f>
        <v>0</v>
      </c>
      <c r="K31" s="63"/>
      <c r="L31" s="89"/>
      <c r="N31" s="87"/>
      <c r="O31" s="71"/>
    </row>
    <row r="32" spans="1:16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229256.4040000001</v>
      </c>
      <c r="H32" s="99">
        <f>G32+'1'!H32</f>
        <v>476825.87599999458</v>
      </c>
      <c r="I32" s="144"/>
      <c r="J32" s="175">
        <f>H32/DAY(B2)</f>
        <v>238412.93799999729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'1'!F35</f>
        <v>154894.12</v>
      </c>
      <c r="F35" s="145">
        <v>156908.64000000001</v>
      </c>
      <c r="G35" s="112">
        <f t="shared" ref="G35:G46" si="3">F35-E35</f>
        <v>2014.5200000000186</v>
      </c>
      <c r="H35" s="99">
        <f>G35+'1'!H35</f>
        <v>4066.640000000014</v>
      </c>
      <c r="I35" s="95"/>
      <c r="J35" s="175">
        <f>H35/DAY(B2)</f>
        <v>2033.320000000007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'1'!F36</f>
        <v>22412.33</v>
      </c>
      <c r="F36" s="145">
        <v>23168.87</v>
      </c>
      <c r="G36" s="112">
        <f t="shared" si="3"/>
        <v>756.53999999999724</v>
      </c>
      <c r="H36" s="99">
        <f>G36+'1'!H36</f>
        <v>1641.869999999999</v>
      </c>
      <c r="I36" s="95"/>
      <c r="J36" s="175">
        <f>H36/DAY(B2)</f>
        <v>820.93499999999949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'1'!F37</f>
        <v>196966.51</v>
      </c>
      <c r="F37" s="145">
        <v>198475.75</v>
      </c>
      <c r="G37" s="112">
        <f t="shared" si="3"/>
        <v>1509.2399999999907</v>
      </c>
      <c r="H37" s="99">
        <f>G37+'1'!H37</f>
        <v>3082.75</v>
      </c>
      <c r="I37" s="95"/>
      <c r="J37" s="175">
        <f>H37/DAY(B2)</f>
        <v>1541.375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'1'!F38</f>
        <v>234147.43</v>
      </c>
      <c r="F38" s="108">
        <v>235710.49</v>
      </c>
      <c r="G38" s="112">
        <f t="shared" si="3"/>
        <v>1563.0599999999977</v>
      </c>
      <c r="H38" s="99">
        <f>G38+'1'!H38</f>
        <v>3228.4899999999907</v>
      </c>
      <c r="I38" s="95"/>
      <c r="J38" s="175">
        <f>H38/DAY(B2)</f>
        <v>1614.2449999999953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'1'!F39</f>
        <v>413803.39</v>
      </c>
      <c r="F39" s="145">
        <v>416525.19</v>
      </c>
      <c r="G39" s="112">
        <f t="shared" si="3"/>
        <v>2721.7999999999884</v>
      </c>
      <c r="H39" s="99">
        <f>G39+'1'!H39</f>
        <v>5446.1900000000023</v>
      </c>
      <c r="I39" s="95"/>
      <c r="J39" s="175">
        <f>H39/DAY(B2)</f>
        <v>2723.0950000000012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'1'!F40</f>
        <v>5609.97</v>
      </c>
      <c r="F40" s="145">
        <v>5609.98</v>
      </c>
      <c r="G40" s="112">
        <f t="shared" si="3"/>
        <v>9.999999999308784E-3</v>
      </c>
      <c r="H40" s="99">
        <f>G40+'1'!H40</f>
        <v>-2.0000000000436557E-2</v>
      </c>
      <c r="I40" s="95"/>
      <c r="J40" s="175">
        <f>H40/DAY(B2)</f>
        <v>-1.0000000000218279E-2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'1'!F41</f>
        <v>0</v>
      </c>
      <c r="F41" s="145">
        <v>0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'1'!F42</f>
        <v>73808.600000000006</v>
      </c>
      <c r="F42" s="145">
        <v>73808.600000000006</v>
      </c>
      <c r="G42" s="112">
        <f t="shared" si="3"/>
        <v>0</v>
      </c>
      <c r="H42" s="99">
        <f>G42+'1'!H42</f>
        <v>-0.39999999999417923</v>
      </c>
      <c r="I42" s="95"/>
      <c r="J42" s="175">
        <f>H42/DAY(B2)</f>
        <v>-0.19999999999708962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'1'!F43</f>
        <v>49822.23</v>
      </c>
      <c r="F43" s="145">
        <v>52259.4</v>
      </c>
      <c r="G43" s="112">
        <f t="shared" si="3"/>
        <v>2437.1699999999983</v>
      </c>
      <c r="H43" s="99">
        <f>G43+'1'!H43</f>
        <v>4998.4000000000015</v>
      </c>
      <c r="I43" s="95"/>
      <c r="J43" s="175">
        <f>H43/DAY(B2)</f>
        <v>2499.2000000000007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11002.339999999989</v>
      </c>
      <c r="H47" s="99">
        <f>G47+'1'!H47</f>
        <v>22463.920000000013</v>
      </c>
      <c r="I47" s="95"/>
      <c r="J47" s="175">
        <f>H47/DAY(B2)</f>
        <v>11231.960000000006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'1'!F49</f>
        <v>273858.83</v>
      </c>
      <c r="F49" s="145">
        <v>275486</v>
      </c>
      <c r="G49" s="112">
        <f t="shared" ref="G49:G58" si="4">F49-E49</f>
        <v>1627.1699999999837</v>
      </c>
      <c r="H49" s="99">
        <f>G49+'1'!H49</f>
        <v>3246</v>
      </c>
      <c r="I49" s="95"/>
      <c r="J49" s="175">
        <f>H49/DAY(B2)</f>
        <v>1623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'1'!F50</f>
        <v>25886.02</v>
      </c>
      <c r="F50" s="145">
        <v>27036.74</v>
      </c>
      <c r="G50" s="112">
        <f t="shared" si="4"/>
        <v>1150.7200000000012</v>
      </c>
      <c r="H50" s="99">
        <f>G50+'1'!H50</f>
        <v>2386.7400000000016</v>
      </c>
      <c r="I50" s="95"/>
      <c r="J50" s="175">
        <f>H50/DAY(B2)</f>
        <v>1193.3700000000008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'1'!F54</f>
        <v>3188.13</v>
      </c>
      <c r="F54" s="145">
        <v>3192.59</v>
      </c>
      <c r="G54" s="112">
        <f t="shared" si="4"/>
        <v>4.4600000000000364</v>
      </c>
      <c r="H54" s="99">
        <f>G54+'1'!H54</f>
        <v>9.5900000000001455</v>
      </c>
      <c r="I54" s="95"/>
      <c r="J54" s="175">
        <f>H54/DAY(B2)</f>
        <v>4.7950000000000728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'1'!F55</f>
        <v>5942.82</v>
      </c>
      <c r="F55" s="145">
        <v>9042.82</v>
      </c>
      <c r="G55" s="112">
        <f t="shared" si="4"/>
        <v>3100</v>
      </c>
      <c r="H55" s="99">
        <f>G55+'1'!H55</f>
        <v>5531.82</v>
      </c>
      <c r="I55" s="95"/>
      <c r="J55" s="175">
        <f>H55/DAY(B2)</f>
        <v>2765.91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'1'!F58</f>
        <v>92510.94</v>
      </c>
      <c r="F58" s="145">
        <v>92602.96</v>
      </c>
      <c r="G58" s="112">
        <f t="shared" si="4"/>
        <v>92.020000000004075</v>
      </c>
      <c r="H58" s="99">
        <f>G58+'1'!H58</f>
        <v>317.9600000000064</v>
      </c>
      <c r="I58" s="95"/>
      <c r="J58" s="175">
        <f>H58/DAY(B2)</f>
        <v>158.9800000000032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5974.369999999989</v>
      </c>
      <c r="H59" s="99">
        <f>G59+'1'!H59</f>
        <v>11492.110000000008</v>
      </c>
      <c r="I59" s="95">
        <f>G7-G60</f>
        <v>2512.660000000018</v>
      </c>
      <c r="J59" s="175">
        <f>H59/DAY(B2)</f>
        <v>5746.0550000000039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16976.709999999977</v>
      </c>
      <c r="H60" s="99">
        <f>G60+'1'!H60</f>
        <v>33956.030000000021</v>
      </c>
      <c r="I60" s="95">
        <f>G13-G60</f>
        <v>1981.7699999997712</v>
      </c>
      <c r="J60" s="175">
        <f>H60/DAY(B2)</f>
        <v>16978.01500000001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'1'!F62</f>
        <v>267213</v>
      </c>
      <c r="F62" s="122">
        <v>267213</v>
      </c>
      <c r="G62" s="112">
        <f t="shared" ref="G62:G63" si="5">F62-E62</f>
        <v>0</v>
      </c>
      <c r="H62" s="99">
        <f>G62+'1'!H62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'1'!F63</f>
        <v>212558</v>
      </c>
      <c r="F63" s="122">
        <v>212672</v>
      </c>
      <c r="G63" s="112">
        <f t="shared" si="5"/>
        <v>114</v>
      </c>
      <c r="H63" s="99">
        <f>G63+'1'!H63</f>
        <v>247</v>
      </c>
      <c r="I63" s="118"/>
      <c r="J63" s="175">
        <f>H63/DAY(B2)</f>
        <v>123.5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'1'!F64</f>
        <v>0</v>
      </c>
      <c r="F64" s="122"/>
      <c r="G64" s="112">
        <f>G62+G63</f>
        <v>114</v>
      </c>
      <c r="H64" s="99">
        <f>G64+'1'!H64</f>
        <v>247</v>
      </c>
      <c r="I64" s="118"/>
      <c r="J64" s="175">
        <f>H64/DAY(B2)</f>
        <v>123.5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'1'!F65</f>
        <v>432712</v>
      </c>
      <c r="F65" s="122">
        <v>432772</v>
      </c>
      <c r="G65" s="112">
        <f t="shared" ref="G65:G70" si="6">F65-E65</f>
        <v>60</v>
      </c>
      <c r="H65" s="99">
        <f>G65+'1'!H65</f>
        <v>158</v>
      </c>
      <c r="I65" s="118"/>
      <c r="J65" s="175">
        <f>H65/DAY(B2)</f>
        <v>79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'1'!F66</f>
        <v>107242</v>
      </c>
      <c r="F66" s="122">
        <v>107269</v>
      </c>
      <c r="G66" s="112">
        <f t="shared" si="6"/>
        <v>27</v>
      </c>
      <c r="H66" s="99">
        <f>G66+'1'!H66</f>
        <v>55</v>
      </c>
      <c r="I66" s="118"/>
      <c r="J66" s="175">
        <f>H66/DAY(B2)</f>
        <v>27.5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'1'!F67</f>
        <v>103968</v>
      </c>
      <c r="F67" s="122">
        <v>104007</v>
      </c>
      <c r="G67" s="112">
        <f t="shared" si="6"/>
        <v>39</v>
      </c>
      <c r="H67" s="99">
        <f>G67+'1'!H67</f>
        <v>79</v>
      </c>
      <c r="I67" s="118"/>
      <c r="J67" s="175">
        <f>H67/DAY(B2)</f>
        <v>39.5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'1'!F68</f>
        <v>156634</v>
      </c>
      <c r="F68" s="122">
        <v>156644</v>
      </c>
      <c r="G68" s="112">
        <f t="shared" si="6"/>
        <v>10</v>
      </c>
      <c r="H68" s="99">
        <f>G68+'1'!H68</f>
        <v>24</v>
      </c>
      <c r="I68" s="118"/>
      <c r="J68" s="175">
        <f>H68/DAY(B2)</f>
        <v>12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'1'!F69</f>
        <v>10239</v>
      </c>
      <c r="F69" s="122">
        <v>10250</v>
      </c>
      <c r="G69" s="236">
        <f t="shared" si="6"/>
        <v>11</v>
      </c>
      <c r="H69" s="99">
        <f>G69+'1'!H69</f>
        <v>36</v>
      </c>
      <c r="I69" s="118"/>
      <c r="J69" s="175">
        <f>H69/DAY(B2)</f>
        <v>18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'1'!F70</f>
        <v>7875</v>
      </c>
      <c r="F70" s="122">
        <v>7887</v>
      </c>
      <c r="G70" s="112">
        <f t="shared" si="6"/>
        <v>12</v>
      </c>
      <c r="H70" s="99">
        <f>G70+'1'!H70</f>
        <v>25</v>
      </c>
      <c r="I70" s="118"/>
      <c r="J70" s="175">
        <f>H70/DAY(B2)</f>
        <v>12.5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159</v>
      </c>
      <c r="H71" s="99">
        <f>G71+'1'!H71</f>
        <v>377</v>
      </c>
      <c r="I71" s="154"/>
      <c r="J71" s="175">
        <f>H71/DAY(B2)</f>
        <v>188.5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'1'!F74</f>
        <v>892299.77</v>
      </c>
      <c r="F74" s="123">
        <v>892557.8</v>
      </c>
      <c r="G74" s="112">
        <f t="shared" ref="G74:G78" si="7">F74-E74</f>
        <v>258.03000000002794</v>
      </c>
      <c r="H74" s="99">
        <f>G74+'1'!H74</f>
        <v>525.80000000004657</v>
      </c>
      <c r="I74" s="154"/>
      <c r="J74" s="175">
        <f>H74/DAY(B2)</f>
        <v>262.90000000002328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'1'!F76</f>
        <v>167309.91</v>
      </c>
      <c r="F76" s="123">
        <v>167408.5</v>
      </c>
      <c r="G76" s="112">
        <f t="shared" si="7"/>
        <v>98.589999999996508</v>
      </c>
      <c r="H76" s="99">
        <f>G76+'1'!H76</f>
        <v>201.5</v>
      </c>
      <c r="I76" s="154"/>
      <c r="J76" s="175">
        <f>H76/DAY(B2)</f>
        <v>100.75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'1'!F77</f>
        <v>40343.4</v>
      </c>
      <c r="F77" s="123">
        <v>40383.4</v>
      </c>
      <c r="G77" s="112">
        <f t="shared" si="7"/>
        <v>40</v>
      </c>
      <c r="H77" s="99">
        <f>G77+'1'!H77</f>
        <v>67.400000000001455</v>
      </c>
      <c r="I77" s="154"/>
      <c r="J77" s="175">
        <f>H77/DAY(B2)</f>
        <v>33.700000000000728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'1'!F78</f>
        <v>9487.9</v>
      </c>
      <c r="F78" s="123">
        <v>9488.5</v>
      </c>
      <c r="G78" s="112">
        <f t="shared" si="7"/>
        <v>0.6000000000003638</v>
      </c>
      <c r="H78" s="99">
        <f>G78+'1'!H78</f>
        <v>2.5</v>
      </c>
      <c r="I78" s="118"/>
      <c r="J78" s="175">
        <f>H78/DAY(B2)</f>
        <v>1.25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'1'!F79</f>
        <v>0</v>
      </c>
      <c r="F79" s="123"/>
      <c r="G79" s="112">
        <f>G15-SUM(G74:G78)</f>
        <v>411.30699999997705</v>
      </c>
      <c r="H79" s="99">
        <f>G79+'1'!H79</f>
        <v>1081.4129999998477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808.52700000000186</v>
      </c>
      <c r="H80" s="99">
        <f>G80+'1'!H80</f>
        <v>808.52700000000186</v>
      </c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'1'!F85</f>
        <v>2096.56</v>
      </c>
      <c r="F85" s="164">
        <v>2096.56</v>
      </c>
      <c r="G85" s="112">
        <f t="shared" si="8"/>
        <v>0</v>
      </c>
      <c r="H85" s="99">
        <f>G85+'1'!H85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'1'!F86</f>
        <v>42887</v>
      </c>
      <c r="F86" s="164">
        <v>42911.11</v>
      </c>
      <c r="G86" s="112">
        <f t="shared" si="8"/>
        <v>24.110000000000582</v>
      </c>
      <c r="H86" s="99">
        <f>G86+'1'!H86</f>
        <v>48.110000000000582</v>
      </c>
      <c r="I86" s="118"/>
      <c r="J86" s="175">
        <f>H86/DAY(B2)</f>
        <v>24.055000000000291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'1'!F88</f>
        <v>24053.38</v>
      </c>
      <c r="F88" s="164">
        <v>24056.07</v>
      </c>
      <c r="G88" s="112">
        <f t="shared" si="8"/>
        <v>2.6899999999986903</v>
      </c>
      <c r="H88" s="99">
        <f>G88+'1'!H88</f>
        <v>9.069999999999709</v>
      </c>
      <c r="I88" s="118">
        <f>G86+G87+G88</f>
        <v>26.799999999999272</v>
      </c>
      <c r="J88" s="175">
        <f>H88/DAY(B2)</f>
        <v>4.5349999999998545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'1'!F89</f>
        <v>25667.09</v>
      </c>
      <c r="F89" s="164">
        <v>25667.56</v>
      </c>
      <c r="G89" s="112">
        <f t="shared" si="8"/>
        <v>0.47000000000116415</v>
      </c>
      <c r="H89" s="99">
        <f>G89+'1'!H89</f>
        <v>4.5600000000013097</v>
      </c>
      <c r="I89" s="118"/>
      <c r="J89" s="175">
        <f>H89/DAY(B2)</f>
        <v>2.2800000000006548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'1'!F90</f>
        <v>71039.61</v>
      </c>
      <c r="F90" s="164">
        <v>71048.759999999995</v>
      </c>
      <c r="G90" s="112">
        <f t="shared" si="8"/>
        <v>9.1499999999941792</v>
      </c>
      <c r="H90" s="99">
        <f>G90+'1'!H90</f>
        <v>14.759999999994761</v>
      </c>
      <c r="I90" s="118">
        <f>G89+G90</f>
        <v>9.6199999999953434</v>
      </c>
      <c r="J90" s="175">
        <f>H90/DAY(B2)</f>
        <v>7.3799999999973807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'1'!F91</f>
        <v>3226.32</v>
      </c>
      <c r="F91" s="122">
        <v>3226.32</v>
      </c>
      <c r="G91" s="112">
        <f t="shared" si="8"/>
        <v>0</v>
      </c>
      <c r="H91" s="99">
        <f>G91+'1'!H91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'1'!F92</f>
        <v>5447.66</v>
      </c>
      <c r="F92" s="122">
        <v>5456.67</v>
      </c>
      <c r="G92" s="112">
        <f t="shared" si="8"/>
        <v>9.0100000000002183</v>
      </c>
      <c r="H92" s="99">
        <f>G92+'1'!H92</f>
        <v>18.670000000000073</v>
      </c>
      <c r="I92" s="165"/>
      <c r="J92" s="175">
        <f>H92/DAY(B2)</f>
        <v>9.3350000000000364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6078.8600000000006</v>
      </c>
      <c r="H94" s="99">
        <f>G94+'1'!H94</f>
        <v>12311.040000000015</v>
      </c>
      <c r="I94" s="118"/>
      <c r="J94" s="175">
        <f>H94/DAY(B2)</f>
        <v>6155.5200000000077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0.31190643925380873</v>
      </c>
      <c r="H95" s="99">
        <f>G95+'1'!H95</f>
        <v>0.6234137321226878</v>
      </c>
      <c r="I95" s="167"/>
      <c r="J95" s="175">
        <f>H95/DAY(B2)</f>
        <v>0.3117068660613439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3100</v>
      </c>
      <c r="H96" s="99">
        <f>G96+'1'!H96</f>
        <v>5531.4200000000055</v>
      </c>
      <c r="I96" s="118"/>
      <c r="J96" s="175">
        <f>H96/DAY(B2)</f>
        <v>2765.7100000000028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0.15906106764867212</v>
      </c>
      <c r="H97" s="99">
        <f>G97+'1'!H97</f>
        <v>0.28059238767268457</v>
      </c>
      <c r="I97" s="167"/>
      <c r="J97" s="175">
        <f>H97/DAY(B2)</f>
        <v>0.14029619383634229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2721.7999999999884</v>
      </c>
      <c r="H98" s="99">
        <f>G98+'1'!H98</f>
        <v>5446.1900000000023</v>
      </c>
      <c r="I98" s="168"/>
      <c r="J98" s="175">
        <f>H98/DAY(B2)</f>
        <v>2723.0950000000012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0.1396556173955335</v>
      </c>
      <c r="H99" s="99">
        <f>G99+'1'!H99</f>
        <v>0.27583065624534975</v>
      </c>
      <c r="I99" s="168"/>
      <c r="J99" s="175">
        <f>H99/DAY(B2)</f>
        <v>0.13791532812267487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1563.0599999999977</v>
      </c>
      <c r="H100" s="99">
        <f>G100+'1'!H100</f>
        <v>3228.4899999999907</v>
      </c>
      <c r="I100" s="118"/>
      <c r="J100" s="175">
        <f>H100/DAY(B2)</f>
        <v>1614.2449999999953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8.0200642709333247E-2</v>
      </c>
      <c r="H101" s="99">
        <f>G101+'1'!H101</f>
        <v>0.16344496343861481</v>
      </c>
      <c r="I101" s="168"/>
      <c r="J101" s="175">
        <f>H101/DAY(B2)</f>
        <v>8.1722481719307405E-2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1907.2599999999984</v>
      </c>
      <c r="H102" s="99">
        <f>G102+'1'!H102</f>
        <v>4028.6100000000006</v>
      </c>
      <c r="I102" s="168"/>
      <c r="J102" s="175">
        <f>H102/DAY(B2)</f>
        <v>2014.3050000000003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9.7861552220518094E-2</v>
      </c>
      <c r="H103" s="99">
        <f>G103+'1'!H103</f>
        <v>0.20389443248511183</v>
      </c>
      <c r="I103" s="118"/>
      <c r="J103" s="175">
        <f>H103/DAY(B2)</f>
        <v>0.10194721624255591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1509.2399999999907</v>
      </c>
      <c r="H104" s="99">
        <f>G104+'1'!H104</f>
        <v>3082.75</v>
      </c>
      <c r="I104" s="118"/>
      <c r="J104" s="175">
        <f>H104/DAY(B2)</f>
        <v>1541.375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7.7439137334864655E-2</v>
      </c>
      <c r="H105" s="99">
        <f>G105+'1'!H105</f>
        <v>0.15608895816836299</v>
      </c>
      <c r="I105" s="187"/>
      <c r="J105" s="188">
        <f>H105/DAY(B2)</f>
        <v>7.8044479084181495E-2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'1'!F112</f>
        <v>55750.8</v>
      </c>
      <c r="F112" s="237">
        <v>55818.83</v>
      </c>
      <c r="G112" s="112">
        <f t="shared" ref="G112:G123" si="9">F112-E112</f>
        <v>68.029999999998836</v>
      </c>
      <c r="H112" s="99">
        <f>G112+'1'!H112</f>
        <v>137.83000000000175</v>
      </c>
      <c r="I112" s="165"/>
      <c r="J112" s="328">
        <f>H112/DAY(B2)</f>
        <v>68.915000000000873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'1'!F113</f>
        <v>32649.73</v>
      </c>
      <c r="F113" s="237">
        <v>33097.18</v>
      </c>
      <c r="G113" s="112">
        <f t="shared" si="9"/>
        <v>447.45000000000073</v>
      </c>
      <c r="H113" s="99">
        <f>G113+'1'!H113</f>
        <v>902.18000000000029</v>
      </c>
      <c r="I113" s="165"/>
      <c r="J113" s="328">
        <f>H113/DAY(B2)</f>
        <v>451.09000000000015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'1'!F114</f>
        <v>25139.35</v>
      </c>
      <c r="F114" s="237">
        <v>25408.3</v>
      </c>
      <c r="G114" s="112">
        <f t="shared" si="9"/>
        <v>268.95000000000073</v>
      </c>
      <c r="H114" s="99">
        <f>G114+'1'!H114</f>
        <v>537.29999999999927</v>
      </c>
      <c r="I114" s="165"/>
      <c r="J114" s="328">
        <f>H114/DAY(B2)</f>
        <v>268.64999999999964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'1'!F115</f>
        <v>8793.5</v>
      </c>
      <c r="F115" s="237">
        <v>8802.7999999999993</v>
      </c>
      <c r="G115" s="112">
        <f t="shared" si="9"/>
        <v>9.2999999999992724</v>
      </c>
      <c r="H115" s="99">
        <f>G115+'1'!H115</f>
        <v>17.799999999999272</v>
      </c>
      <c r="I115" s="165"/>
      <c r="J115" s="328">
        <f>H115/DAY(B2)</f>
        <v>8.8999999999996362</v>
      </c>
    </row>
    <row r="116" spans="1:18" ht="29.25" customHeight="1">
      <c r="A116" s="850" t="s">
        <v>96</v>
      </c>
      <c r="B116" s="851"/>
      <c r="C116" s="852"/>
      <c r="D116" s="698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28">
        <f>H116/DAY(B2)</f>
        <v>0</v>
      </c>
      <c r="Q116" s="843"/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'1'!F117</f>
        <v>2611.4</v>
      </c>
      <c r="F117" s="237">
        <v>2632.21</v>
      </c>
      <c r="G117" s="112">
        <f t="shared" si="9"/>
        <v>20.809999999999945</v>
      </c>
      <c r="H117" s="99">
        <f>G117+'1'!H117</f>
        <v>42.210000000000036</v>
      </c>
      <c r="I117" s="165"/>
      <c r="J117" s="328">
        <f>H117/DAY(B2)</f>
        <v>21.105000000000018</v>
      </c>
      <c r="Q117" s="843"/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'1'!F118</f>
        <v>242009.5</v>
      </c>
      <c r="F118" s="237">
        <v>242373.99</v>
      </c>
      <c r="G118" s="112">
        <f t="shared" si="9"/>
        <v>364.48999999999069</v>
      </c>
      <c r="H118" s="99">
        <f>G118+'1'!H118</f>
        <v>726.98999999999069</v>
      </c>
      <c r="I118" s="165"/>
      <c r="J118" s="328">
        <f>H118/DAY(B2)</f>
        <v>363.49499999999534</v>
      </c>
      <c r="Q118" s="843"/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'1'!F119</f>
        <v>245557.91</v>
      </c>
      <c r="F119" s="237">
        <v>245981.03</v>
      </c>
      <c r="G119" s="112">
        <f t="shared" si="9"/>
        <v>423.11999999999534</v>
      </c>
      <c r="H119" s="99">
        <f>G119+'1'!H119</f>
        <v>855.02999999999884</v>
      </c>
      <c r="I119" s="165"/>
      <c r="J119" s="328">
        <f>H119/DAY(B2)</f>
        <v>427.51499999999942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'1'!F120</f>
        <v>30511.74</v>
      </c>
      <c r="F120" s="237">
        <v>30933.07</v>
      </c>
      <c r="G120" s="112">
        <f t="shared" si="9"/>
        <v>421.32999999999811</v>
      </c>
      <c r="H120" s="99">
        <f>G120+'1'!H120</f>
        <v>855.06999999999971</v>
      </c>
      <c r="I120" s="165"/>
      <c r="J120" s="328">
        <f>H120/DAY(B2)</f>
        <v>427.53499999999985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'1'!F121</f>
        <v>377313.71</v>
      </c>
      <c r="F121" s="237">
        <v>378067.47</v>
      </c>
      <c r="G121" s="112">
        <f t="shared" si="9"/>
        <v>753.75999999995111</v>
      </c>
      <c r="H121" s="99">
        <f>G121+'1'!H121</f>
        <v>1538.4699999999721</v>
      </c>
      <c r="I121" s="165"/>
      <c r="J121" s="328">
        <f>H121/DAY(B2)</f>
        <v>769.23499999998603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'1'!F122</f>
        <v>120263.74</v>
      </c>
      <c r="F122" s="237">
        <v>120477.6</v>
      </c>
      <c r="G122" s="112">
        <f t="shared" si="9"/>
        <v>213.86000000000058</v>
      </c>
      <c r="H122" s="99">
        <f>G122+'1'!H122</f>
        <v>427.60000000000582</v>
      </c>
      <c r="I122" s="165"/>
      <c r="J122" s="328">
        <f>H122/DAY(B2)</f>
        <v>213.80000000000291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'1'!F123</f>
        <v>145471.69</v>
      </c>
      <c r="F123" s="237">
        <v>145818.76999999999</v>
      </c>
      <c r="G123" s="112">
        <f t="shared" si="9"/>
        <v>347.07999999998719</v>
      </c>
      <c r="H123" s="99">
        <f>G123+'1'!H123</f>
        <v>693.76999999998952</v>
      </c>
      <c r="I123" s="165"/>
      <c r="J123" s="328">
        <f>H123/DAY(B2)</f>
        <v>346.88499999999476</v>
      </c>
    </row>
    <row r="124" spans="1:18" ht="29.25" customHeight="1">
      <c r="A124" s="847"/>
      <c r="B124" s="848"/>
      <c r="C124" s="849"/>
      <c r="D124" s="165"/>
      <c r="E124" s="165"/>
      <c r="F124" s="165"/>
      <c r="G124" s="327"/>
      <c r="H124" s="156"/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3338.1799999999225</v>
      </c>
      <c r="H125" s="156"/>
      <c r="I125" s="327">
        <f>G125-(G39+G53)</f>
        <v>616.37999999993417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'1'!F128</f>
        <v>38365.74</v>
      </c>
      <c r="F128" s="165">
        <v>38727.72</v>
      </c>
      <c r="G128" s="112">
        <f t="shared" ref="G128:G133" si="10">F128-E128</f>
        <v>361.9800000000032</v>
      </c>
      <c r="H128" s="99">
        <f>G128+'1'!H128</f>
        <v>723.72000000000116</v>
      </c>
      <c r="I128" s="165"/>
      <c r="J128" s="328">
        <f>H128/DAY(B2)</f>
        <v>361.86000000000058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'1'!F129</f>
        <v>20525.43</v>
      </c>
      <c r="F129" s="165">
        <v>20725.8</v>
      </c>
      <c r="G129" s="112">
        <f t="shared" si="10"/>
        <v>200.36999999999898</v>
      </c>
      <c r="H129" s="99">
        <f>G129+'1'!H129</f>
        <v>404.79999999999927</v>
      </c>
      <c r="I129" s="165"/>
      <c r="J129" s="328">
        <f>H129/DAY(B2)</f>
        <v>202.39999999999964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'1'!F130</f>
        <v>19180.349999999999</v>
      </c>
      <c r="F130" s="165">
        <v>19929.53</v>
      </c>
      <c r="G130" s="112">
        <f t="shared" si="10"/>
        <v>749.18000000000029</v>
      </c>
      <c r="H130" s="99">
        <f>G130+'1'!H130</f>
        <v>1547.5299999999988</v>
      </c>
      <c r="I130" s="165"/>
      <c r="J130" s="328">
        <f>H130/DAY(B2)</f>
        <v>773.76499999999942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'1'!F131</f>
        <v>13233.4</v>
      </c>
      <c r="F131" s="165">
        <v>13311.723</v>
      </c>
      <c r="G131" s="112">
        <f t="shared" si="10"/>
        <v>78.32300000000032</v>
      </c>
      <c r="H131" s="99">
        <f>G131+'1'!H131</f>
        <v>158.72299999999996</v>
      </c>
      <c r="I131" s="165"/>
      <c r="J131" s="328">
        <f>H131/DAY(B2)</f>
        <v>79.361499999999978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'1'!F132</f>
        <v>41473.43</v>
      </c>
      <c r="F132" s="165">
        <v>41921.1</v>
      </c>
      <c r="G132" s="112">
        <f t="shared" si="10"/>
        <v>447.66999999999825</v>
      </c>
      <c r="H132" s="99">
        <f>G132+'1'!H132</f>
        <v>898.09999999999854</v>
      </c>
      <c r="I132" s="165"/>
      <c r="J132" s="328">
        <f>H132/DAY(B2)</f>
        <v>449.04999999999927</v>
      </c>
    </row>
    <row r="133" spans="1:15" ht="27.75">
      <c r="A133" s="843" t="s">
        <v>342</v>
      </c>
      <c r="B133" s="844"/>
      <c r="C133" s="845"/>
      <c r="D133" s="151" t="s">
        <v>183</v>
      </c>
      <c r="E133" s="95">
        <f>'1'!F133</f>
        <v>88536.86</v>
      </c>
      <c r="F133" s="165">
        <v>89368.88</v>
      </c>
      <c r="G133" s="112">
        <f t="shared" si="10"/>
        <v>832.02000000000407</v>
      </c>
      <c r="H133" s="99">
        <f>G133+'1'!H133</f>
        <v>1665.8800000000047</v>
      </c>
      <c r="I133" s="165"/>
      <c r="J133" s="328">
        <f>H133/DAY(B2)</f>
        <v>832.94000000000233</v>
      </c>
    </row>
    <row r="134" spans="1:15" ht="27.75">
      <c r="A134" s="843" t="s">
        <v>340</v>
      </c>
      <c r="B134" s="844"/>
      <c r="C134" s="845"/>
      <c r="D134" s="696" t="s">
        <v>183</v>
      </c>
      <c r="E134" s="95">
        <f>'1'!F134</f>
        <v>669520</v>
      </c>
      <c r="F134" s="158">
        <v>670206</v>
      </c>
      <c r="G134" s="112">
        <f>F134-E134</f>
        <v>686</v>
      </c>
      <c r="H134" s="99">
        <f>G134+'1'!H134</f>
        <v>1326</v>
      </c>
      <c r="I134" s="165"/>
      <c r="J134" s="328">
        <f>H134/DAY(B2)</f>
        <v>663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3355.5430000000051</v>
      </c>
      <c r="H135" s="99">
        <f>G135+'1'!H135</f>
        <v>6724.7530000000024</v>
      </c>
      <c r="I135" s="327">
        <f>G135-(G35+G49)</f>
        <v>-286.14699999999721</v>
      </c>
      <c r="J135" s="328">
        <f>H135/DAY(B2)</f>
        <v>3362.3765000000012</v>
      </c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696" t="s">
        <v>183</v>
      </c>
      <c r="E138" s="95">
        <f>'1'!F138</f>
        <v>864220</v>
      </c>
      <c r="F138" s="147">
        <v>864323</v>
      </c>
      <c r="G138" s="112">
        <f t="shared" ref="G138:G152" si="11">F138-E138</f>
        <v>103</v>
      </c>
      <c r="H138" s="99">
        <f>G138+'1'!H138</f>
        <v>152</v>
      </c>
      <c r="I138" s="118"/>
      <c r="J138" s="328">
        <f>H138/DAY(B2)</f>
        <v>76</v>
      </c>
    </row>
    <row r="139" spans="1:15" ht="27.75">
      <c r="A139" s="842" t="s">
        <v>186</v>
      </c>
      <c r="B139" s="842"/>
      <c r="C139" s="842"/>
      <c r="D139" s="696" t="s">
        <v>183</v>
      </c>
      <c r="E139" s="95">
        <f>'1'!F139</f>
        <v>886547</v>
      </c>
      <c r="F139" s="148">
        <v>886547</v>
      </c>
      <c r="G139" s="112">
        <f t="shared" si="11"/>
        <v>0</v>
      </c>
      <c r="H139" s="99">
        <f>G139+'1'!H139</f>
        <v>1</v>
      </c>
      <c r="I139" s="118"/>
      <c r="J139" s="328">
        <f>H139/DAY(B2)</f>
        <v>0.5</v>
      </c>
    </row>
    <row r="140" spans="1:15" ht="27.75">
      <c r="A140" s="842" t="s">
        <v>187</v>
      </c>
      <c r="B140" s="842"/>
      <c r="C140" s="842"/>
      <c r="D140" s="696" t="s">
        <v>183</v>
      </c>
      <c r="E140" s="95">
        <f>'1'!F140</f>
        <v>88882</v>
      </c>
      <c r="F140" s="149">
        <v>88895.9</v>
      </c>
      <c r="G140" s="112">
        <f t="shared" si="11"/>
        <v>13.899999999994179</v>
      </c>
      <c r="H140" s="99">
        <f>G140+'1'!H140</f>
        <v>13.899999999994179</v>
      </c>
      <c r="I140" s="118"/>
      <c r="J140" s="328">
        <f>H140/DAY(B2)</f>
        <v>6.9499999999970896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'1'!F141</f>
        <v>49499.6</v>
      </c>
      <c r="F141" s="149">
        <v>49670.7</v>
      </c>
      <c r="G141" s="112">
        <f t="shared" si="11"/>
        <v>171.09999999999854</v>
      </c>
      <c r="H141" s="99">
        <f>G141+'1'!H141</f>
        <v>364.69999999999709</v>
      </c>
      <c r="I141" s="118"/>
      <c r="J141" s="328">
        <f>H141/DAY(B2)</f>
        <v>182.34999999999854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'1'!F142</f>
        <v>19082</v>
      </c>
      <c r="F142" s="148">
        <v>19154.12</v>
      </c>
      <c r="G142" s="112">
        <f t="shared" si="11"/>
        <v>72.119999999998981</v>
      </c>
      <c r="H142" s="99">
        <f>G142+'1'!H142</f>
        <v>145.11999999999898</v>
      </c>
      <c r="I142" s="140"/>
      <c r="J142" s="328">
        <f>H142/DAY(B2)</f>
        <v>72.559999999999491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'1'!F143</f>
        <v>3088.24</v>
      </c>
      <c r="F143" s="149">
        <v>3113.3</v>
      </c>
      <c r="G143" s="112">
        <f t="shared" si="11"/>
        <v>25.0600000000004</v>
      </c>
      <c r="H143" s="99">
        <f>G143+'1'!H143</f>
        <v>52.300000000000182</v>
      </c>
      <c r="I143" s="140"/>
      <c r="J143" s="328">
        <f>H143/DAY(B2)</f>
        <v>26.150000000000091</v>
      </c>
    </row>
    <row r="144" spans="1:15" ht="27.75">
      <c r="A144" s="823" t="s">
        <v>90</v>
      </c>
      <c r="B144" s="823"/>
      <c r="C144" s="823"/>
      <c r="D144" s="696" t="s">
        <v>183</v>
      </c>
      <c r="E144" s="95">
        <f>'1'!F144</f>
        <v>869899</v>
      </c>
      <c r="F144" s="149">
        <v>870123</v>
      </c>
      <c r="G144" s="112">
        <f t="shared" si="11"/>
        <v>224</v>
      </c>
      <c r="H144" s="99">
        <f>G144+'1'!H144</f>
        <v>453</v>
      </c>
      <c r="I144" s="140"/>
      <c r="J144" s="328">
        <f>H144/DAY(B2)</f>
        <v>226.5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'1'!F145</f>
        <v>4573.25</v>
      </c>
      <c r="F145" s="149">
        <v>4590</v>
      </c>
      <c r="G145" s="112">
        <f t="shared" si="11"/>
        <v>16.75</v>
      </c>
      <c r="H145" s="99">
        <f>G145+'1'!H145</f>
        <v>32</v>
      </c>
      <c r="I145" s="140"/>
      <c r="J145" s="328">
        <f>H145/DAY(B2)</f>
        <v>16</v>
      </c>
    </row>
    <row r="146" spans="1:10" ht="27.75">
      <c r="A146" s="877" t="s">
        <v>191</v>
      </c>
      <c r="B146" s="862"/>
      <c r="C146" s="863"/>
      <c r="D146" s="696" t="s">
        <v>183</v>
      </c>
      <c r="E146" s="95">
        <f>'1'!F146</f>
        <v>725332</v>
      </c>
      <c r="F146" s="148">
        <v>725840</v>
      </c>
      <c r="G146" s="112">
        <f t="shared" si="11"/>
        <v>508</v>
      </c>
      <c r="H146" s="99">
        <f>G146+'1'!H146</f>
        <v>982</v>
      </c>
      <c r="I146" s="140"/>
      <c r="J146" s="328">
        <f>H146/DAY(B2)</f>
        <v>491</v>
      </c>
    </row>
    <row r="147" spans="1:10" ht="27.75">
      <c r="A147" s="823" t="s">
        <v>192</v>
      </c>
      <c r="B147" s="823"/>
      <c r="C147" s="823"/>
      <c r="D147" s="696" t="s">
        <v>183</v>
      </c>
      <c r="E147" s="95">
        <f>'1'!F147</f>
        <v>615719.31999999995</v>
      </c>
      <c r="F147" s="148">
        <v>616168</v>
      </c>
      <c r="G147" s="112">
        <f t="shared" si="11"/>
        <v>448.68000000005122</v>
      </c>
      <c r="H147" s="99">
        <f>G147+'1'!H147</f>
        <v>886</v>
      </c>
      <c r="I147" s="140"/>
      <c r="J147" s="328">
        <f>H147/DAY(B2)</f>
        <v>443</v>
      </c>
    </row>
    <row r="148" spans="1:10" ht="27.75">
      <c r="A148" s="824" t="s">
        <v>193</v>
      </c>
      <c r="B148" s="825"/>
      <c r="C148" s="826"/>
      <c r="D148" s="697" t="s">
        <v>130</v>
      </c>
      <c r="E148" s="95">
        <f>'1'!F148</f>
        <v>683408.24</v>
      </c>
      <c r="F148" s="150">
        <v>683666.48</v>
      </c>
      <c r="G148" s="112">
        <f t="shared" si="11"/>
        <v>258.23999999999069</v>
      </c>
      <c r="H148" s="99">
        <f>G148+'1'!H148</f>
        <v>633.35999999998603</v>
      </c>
      <c r="I148" s="124"/>
      <c r="J148" s="328">
        <f>H148/DAY(B2)</f>
        <v>316.67999999999302</v>
      </c>
    </row>
    <row r="149" spans="1:10" ht="27.75">
      <c r="A149" s="824" t="s">
        <v>336</v>
      </c>
      <c r="B149" s="825"/>
      <c r="C149" s="826"/>
      <c r="D149" s="698" t="s">
        <v>130</v>
      </c>
      <c r="E149" s="95">
        <f>'1'!F149</f>
        <v>11075.3</v>
      </c>
      <c r="F149" s="146">
        <v>11363.9</v>
      </c>
      <c r="G149" s="112">
        <f t="shared" si="11"/>
        <v>288.60000000000036</v>
      </c>
      <c r="H149" s="99">
        <f>G149+'1'!H149</f>
        <v>614.89999999999964</v>
      </c>
      <c r="I149" s="119"/>
      <c r="J149" s="328">
        <f>H149/DAY(B2)</f>
        <v>307.44999999999982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'1'!F150</f>
        <v>4283.5</v>
      </c>
      <c r="F150" s="233">
        <v>4500.7</v>
      </c>
      <c r="G150" s="112">
        <f t="shared" si="11"/>
        <v>217.19999999999982</v>
      </c>
      <c r="H150" s="99">
        <f>G150+'1'!H150</f>
        <v>448.69999999999982</v>
      </c>
      <c r="I150" s="119"/>
      <c r="J150" s="328">
        <f>H150/DAY(B2)</f>
        <v>224.34999999999991</v>
      </c>
    </row>
    <row r="151" spans="1:10" ht="27.75">
      <c r="A151" s="824" t="s">
        <v>338</v>
      </c>
      <c r="B151" s="825"/>
      <c r="C151" s="826"/>
      <c r="D151" s="697" t="s">
        <v>130</v>
      </c>
      <c r="E151" s="95">
        <f>'1'!F151</f>
        <v>78510</v>
      </c>
      <c r="F151" s="233">
        <v>78774</v>
      </c>
      <c r="G151" s="112">
        <f t="shared" si="11"/>
        <v>264</v>
      </c>
      <c r="H151" s="99">
        <f>G151+'1'!H151</f>
        <v>557</v>
      </c>
      <c r="I151" s="119"/>
      <c r="J151" s="328">
        <f>H151/DAY(B2)</f>
        <v>278.5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'1'!F152</f>
        <v>1167</v>
      </c>
      <c r="F152" s="233">
        <v>1191.7</v>
      </c>
      <c r="G152" s="112">
        <f t="shared" si="11"/>
        <v>24.700000000000045</v>
      </c>
      <c r="H152" s="99">
        <f>G152+'1'!H152</f>
        <v>64.700000000000045</v>
      </c>
      <c r="I152" s="119"/>
      <c r="J152" s="328">
        <f>H152/DAY(B2)</f>
        <v>32.350000000000023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2635.350000000034</v>
      </c>
      <c r="H153" s="363"/>
      <c r="I153" s="119">
        <f>G153-(G38+G52)</f>
        <v>1072.2900000000363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699" t="s">
        <v>130</v>
      </c>
      <c r="E155" s="95">
        <f>'1'!F155</f>
        <v>13472</v>
      </c>
      <c r="F155" s="551">
        <v>14130</v>
      </c>
      <c r="G155" s="112">
        <f t="shared" ref="G155:G158" si="12">F155-E155</f>
        <v>658</v>
      </c>
      <c r="H155" s="99">
        <f>G155+'1'!H155</f>
        <v>658</v>
      </c>
      <c r="I155" s="364"/>
      <c r="J155" s="328">
        <f>H155/DAY(B2)</f>
        <v>329</v>
      </c>
    </row>
    <row r="156" spans="1:10" ht="27.75">
      <c r="A156" s="823" t="s">
        <v>347</v>
      </c>
      <c r="B156" s="823"/>
      <c r="C156" s="823"/>
      <c r="D156" s="699" t="s">
        <v>130</v>
      </c>
      <c r="E156" s="95">
        <f>'1'!F156</f>
        <v>1088</v>
      </c>
      <c r="F156" s="165">
        <v>1143</v>
      </c>
      <c r="G156" s="112">
        <f t="shared" si="12"/>
        <v>55</v>
      </c>
      <c r="H156" s="99">
        <f>G156+'1'!H156</f>
        <v>55</v>
      </c>
      <c r="I156" s="165"/>
      <c r="J156" s="328">
        <f>H156/DAY(B2)</f>
        <v>27.5</v>
      </c>
    </row>
    <row r="157" spans="1:10" ht="27.75">
      <c r="A157" s="824" t="s">
        <v>364</v>
      </c>
      <c r="B157" s="825"/>
      <c r="C157" s="826"/>
      <c r="D157" s="699" t="s">
        <v>130</v>
      </c>
      <c r="E157" s="95">
        <f>'1'!F157</f>
        <v>1306.01</v>
      </c>
      <c r="F157" s="165">
        <v>1372.34</v>
      </c>
      <c r="G157" s="112">
        <f t="shared" si="12"/>
        <v>66.329999999999927</v>
      </c>
      <c r="H157" s="99"/>
      <c r="I157" s="165"/>
      <c r="J157" s="328"/>
    </row>
    <row r="158" spans="1:10" ht="27.75">
      <c r="A158" s="824" t="s">
        <v>365</v>
      </c>
      <c r="B158" s="825"/>
      <c r="C158" s="826"/>
      <c r="D158" s="117" t="s">
        <v>130</v>
      </c>
      <c r="E158" s="95">
        <v>7.9</v>
      </c>
      <c r="F158" s="165">
        <v>7.9</v>
      </c>
      <c r="G158" s="112">
        <f t="shared" si="12"/>
        <v>0</v>
      </c>
      <c r="H158" s="99"/>
      <c r="I158" s="165"/>
      <c r="J158" s="328"/>
    </row>
    <row r="159" spans="1:10" ht="27.75">
      <c r="A159" s="824"/>
      <c r="B159" s="825"/>
      <c r="C159" s="826"/>
      <c r="D159" s="117"/>
      <c r="E159" s="95"/>
      <c r="F159" s="16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4" ht="29.25">
      <c r="A161" s="242" t="s">
        <v>92</v>
      </c>
      <c r="B161" s="243"/>
      <c r="C161" s="243"/>
      <c r="D161" s="244" t="s">
        <v>180</v>
      </c>
      <c r="E161" s="95">
        <f>'1'!F161</f>
        <v>471153.16</v>
      </c>
      <c r="F161" s="235">
        <v>471153</v>
      </c>
      <c r="G161" s="238">
        <f t="shared" ref="G161:G165" si="13">F161-E161</f>
        <v>-0.15999999997438863</v>
      </c>
      <c r="H161" s="99">
        <f>G161+'1'!H161</f>
        <v>-0.15999999997438863</v>
      </c>
      <c r="I161" s="236"/>
      <c r="J161" s="239">
        <f>H161/DAY(B2)</f>
        <v>-7.9999999987194315E-2</v>
      </c>
    </row>
    <row r="162" spans="1:14" ht="29.25">
      <c r="A162" s="242" t="s">
        <v>93</v>
      </c>
      <c r="B162" s="243"/>
      <c r="C162" s="243"/>
      <c r="D162" s="244" t="s">
        <v>180</v>
      </c>
      <c r="E162" s="95">
        <f>'1'!F162</f>
        <v>87592</v>
      </c>
      <c r="F162" s="235">
        <v>87606</v>
      </c>
      <c r="G162" s="238">
        <f t="shared" si="13"/>
        <v>14</v>
      </c>
      <c r="H162" s="99">
        <f>G162+'1'!H162</f>
        <v>36</v>
      </c>
      <c r="I162" s="236"/>
      <c r="J162" s="239">
        <f>H162/DAY(B2)</f>
        <v>18</v>
      </c>
    </row>
    <row r="163" spans="1:14" ht="29.25">
      <c r="A163" s="242" t="s">
        <v>197</v>
      </c>
      <c r="B163" s="243"/>
      <c r="C163" s="243"/>
      <c r="D163" s="244" t="s">
        <v>180</v>
      </c>
      <c r="E163" s="95">
        <f>'1'!F163</f>
        <v>77859</v>
      </c>
      <c r="F163" s="235">
        <v>77895.5</v>
      </c>
      <c r="G163" s="238">
        <f t="shared" si="13"/>
        <v>36.5</v>
      </c>
      <c r="H163" s="99">
        <f>G163+'1'!H163</f>
        <v>70.5</v>
      </c>
      <c r="I163" s="236"/>
      <c r="J163" s="239">
        <f>H163/DAY(B2)</f>
        <v>35.25</v>
      </c>
    </row>
    <row r="164" spans="1:14" ht="29.25">
      <c r="A164" s="242" t="s">
        <v>197</v>
      </c>
      <c r="B164" s="243"/>
      <c r="C164" s="243"/>
      <c r="D164" s="244" t="s">
        <v>180</v>
      </c>
      <c r="E164" s="95">
        <f>'1'!F164</f>
        <v>4242</v>
      </c>
      <c r="F164" s="235">
        <v>4241.8999999999996</v>
      </c>
      <c r="G164" s="238">
        <f t="shared" si="13"/>
        <v>-0.1000000000003638</v>
      </c>
      <c r="H164" s="99">
        <f>G164+'1'!H164</f>
        <v>-0.1000000000003638</v>
      </c>
      <c r="I164" s="236"/>
      <c r="J164" s="239">
        <f>H164/DAY(B2)</f>
        <v>-5.0000000000181899E-2</v>
      </c>
    </row>
    <row r="165" spans="1:14" ht="29.25">
      <c r="A165" s="242" t="s">
        <v>309</v>
      </c>
      <c r="B165" s="243"/>
      <c r="C165" s="243"/>
      <c r="D165" s="244" t="s">
        <v>180</v>
      </c>
      <c r="E165" s="95">
        <f>'1'!F165</f>
        <v>29652.55</v>
      </c>
      <c r="F165" s="235">
        <v>29653.45</v>
      </c>
      <c r="G165" s="238">
        <f t="shared" si="13"/>
        <v>0.90000000000145519</v>
      </c>
      <c r="H165" s="99">
        <f>G165+'1'!H165</f>
        <v>7.4500000000007276</v>
      </c>
      <c r="I165" s="236"/>
      <c r="J165" s="239">
        <f>H165/DAY(B2)</f>
        <v>3.7250000000003638</v>
      </c>
    </row>
    <row r="166" spans="1:14" ht="29.25" customHeight="1">
      <c r="A166" s="832"/>
      <c r="B166" s="832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>
      <c r="A167" s="832"/>
      <c r="B167" s="832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>
      <c r="A168" s="832"/>
      <c r="B168" s="832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/>
    <row r="170" spans="1:14" ht="29.25"/>
    <row r="171" spans="1:14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4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36" t="s">
        <v>209</v>
      </c>
      <c r="B173" s="837"/>
      <c r="C173" s="333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>
      <c r="A174" s="836" t="s">
        <v>75</v>
      </c>
      <c r="B174" s="837"/>
      <c r="C174" s="333"/>
      <c r="D174" s="228" t="s">
        <v>142</v>
      </c>
      <c r="E174" s="95">
        <f>'1'!F174</f>
        <v>38308</v>
      </c>
      <c r="F174" s="157">
        <v>38308</v>
      </c>
      <c r="G174" s="155">
        <f t="shared" ref="G174:G175" si="14">F174-E174</f>
        <v>0</v>
      </c>
      <c r="H174" s="99">
        <f>G174+'1'!H174</f>
        <v>15</v>
      </c>
      <c r="I174" s="155"/>
      <c r="J174" s="178">
        <f>H174/DAY(B2)</f>
        <v>7.5</v>
      </c>
    </row>
    <row r="175" spans="1:14" ht="27.75">
      <c r="A175" s="836" t="s">
        <v>76</v>
      </c>
      <c r="B175" s="876"/>
      <c r="C175" s="837"/>
      <c r="D175" s="228" t="s">
        <v>142</v>
      </c>
      <c r="E175" s="95">
        <f>'1'!F175</f>
        <v>21530</v>
      </c>
      <c r="F175" s="155">
        <v>21537</v>
      </c>
      <c r="G175" s="155">
        <f t="shared" si="14"/>
        <v>7</v>
      </c>
      <c r="H175" s="99">
        <f>G175+'1'!H175</f>
        <v>19</v>
      </c>
      <c r="I175" s="155"/>
      <c r="J175" s="178">
        <f>H175/DAY(B2)</f>
        <v>9.5</v>
      </c>
      <c r="N175" s="602"/>
    </row>
    <row r="176" spans="1:14" ht="27.75">
      <c r="A176" s="827" t="s">
        <v>196</v>
      </c>
      <c r="B176" s="828"/>
      <c r="C176" s="485"/>
      <c r="D176" s="228"/>
      <c r="E176" s="95"/>
      <c r="F176" s="155"/>
      <c r="G176" s="155">
        <f>SUM(G173:G175)</f>
        <v>7</v>
      </c>
      <c r="H176" s="99">
        <f>G176+'1'!H176</f>
        <v>34</v>
      </c>
      <c r="I176" s="155"/>
      <c r="J176" s="178">
        <f>H176/DAY(B2)</f>
        <v>17</v>
      </c>
    </row>
    <row r="177" spans="1:10" ht="27.75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>
      <c r="A178" s="836" t="s">
        <v>210</v>
      </c>
      <c r="B178" s="837"/>
      <c r="C178" s="333"/>
      <c r="D178" s="228" t="s">
        <v>142</v>
      </c>
      <c r="E178" s="95">
        <f>'1'!F178</f>
        <v>79676</v>
      </c>
      <c r="F178" s="155">
        <v>79740</v>
      </c>
      <c r="G178" s="155">
        <f>F178-E178</f>
        <v>64</v>
      </c>
      <c r="H178" s="99">
        <f>G178+'1'!H178</f>
        <v>126</v>
      </c>
      <c r="I178" s="155"/>
      <c r="J178" s="178">
        <f>H178/DAY(B2)</f>
        <v>63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'1'!F179</f>
        <v>33957</v>
      </c>
      <c r="F179" s="155">
        <v>33958</v>
      </c>
      <c r="G179" s="155">
        <f t="shared" ref="G179:G180" si="15">F179-E179</f>
        <v>1</v>
      </c>
      <c r="H179" s="99">
        <f>G179+'1'!H179</f>
        <v>43</v>
      </c>
      <c r="I179" s="155"/>
      <c r="J179" s="178">
        <f>H179/DAY(B2)</f>
        <v>21.5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'1'!F180</f>
        <v>5481</v>
      </c>
      <c r="F180" s="155">
        <v>5484</v>
      </c>
      <c r="G180" s="155">
        <f t="shared" si="15"/>
        <v>3</v>
      </c>
      <c r="H180" s="99">
        <f>G180+'1'!H180</f>
        <v>7</v>
      </c>
      <c r="I180" s="155"/>
      <c r="J180" s="178">
        <f>H180/DAY(B2)</f>
        <v>3.5</v>
      </c>
    </row>
    <row r="181" spans="1:10" ht="27.75">
      <c r="A181" s="838" t="s">
        <v>108</v>
      </c>
      <c r="B181" s="839"/>
      <c r="C181" s="485"/>
      <c r="D181" s="228"/>
      <c r="E181" s="95"/>
      <c r="F181" s="155"/>
      <c r="G181" s="155">
        <f>SUM(G178:G180)</f>
        <v>68</v>
      </c>
      <c r="H181" s="99">
        <f>G181+'1'!H181</f>
        <v>176</v>
      </c>
      <c r="I181" s="155"/>
      <c r="J181" s="178">
        <f>H181/DAY(B2)</f>
        <v>88</v>
      </c>
    </row>
    <row r="182" spans="1:10" ht="31.5" customHeight="1">
      <c r="A182" s="836" t="s">
        <v>213</v>
      </c>
      <c r="B182" s="837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36" t="s">
        <v>214</v>
      </c>
      <c r="B183" s="837"/>
      <c r="C183" s="334"/>
      <c r="D183" s="228" t="s">
        <v>142</v>
      </c>
      <c r="E183" s="95">
        <f>'1'!F183</f>
        <v>14977</v>
      </c>
      <c r="F183" s="157">
        <v>14989</v>
      </c>
      <c r="G183" s="157">
        <f>F183-E183</f>
        <v>12</v>
      </c>
      <c r="H183" s="99">
        <f>G183+'1'!H183</f>
        <v>42</v>
      </c>
      <c r="I183" s="155"/>
      <c r="J183" s="178">
        <f>H183/DAY(B2)</f>
        <v>21</v>
      </c>
    </row>
    <row r="184" spans="1:10" ht="27.75" customHeight="1">
      <c r="A184" s="836" t="s">
        <v>215</v>
      </c>
      <c r="B184" s="837"/>
      <c r="C184" s="334"/>
      <c r="D184" s="228" t="s">
        <v>142</v>
      </c>
      <c r="E184" s="95">
        <f>'1'!F184</f>
        <v>10308</v>
      </c>
      <c r="F184" s="157">
        <v>10320</v>
      </c>
      <c r="G184" s="157">
        <f t="shared" ref="G184:G185" si="16">F184-E184</f>
        <v>12</v>
      </c>
      <c r="H184" s="99">
        <f>G184+'1'!H184</f>
        <v>19</v>
      </c>
      <c r="I184" s="155"/>
      <c r="J184" s="178">
        <f>H184/DAY(B2)</f>
        <v>9.5</v>
      </c>
    </row>
    <row r="185" spans="1:10" ht="24.75" customHeight="1">
      <c r="A185" s="836" t="s">
        <v>216</v>
      </c>
      <c r="B185" s="837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827" t="s">
        <v>196</v>
      </c>
      <c r="B186" s="828"/>
      <c r="C186" s="484"/>
      <c r="D186" s="229"/>
      <c r="E186" s="95"/>
      <c r="F186" s="157"/>
      <c r="G186" s="157">
        <f>SUM(G183:G185)</f>
        <v>24</v>
      </c>
      <c r="H186" s="99">
        <f>G186+'1'!H186</f>
        <v>61</v>
      </c>
      <c r="I186" s="157"/>
      <c r="J186" s="178">
        <f>H186/DAY(B2)</f>
        <v>30.5</v>
      </c>
    </row>
    <row r="187" spans="1:10" ht="28.5" customHeight="1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56</v>
      </c>
      <c r="H187" s="99">
        <f>G187+'1'!H187</f>
        <v>110</v>
      </c>
      <c r="I187" s="158"/>
      <c r="J187" s="179">
        <f>H187/DAY(B2)</f>
        <v>55</v>
      </c>
    </row>
    <row r="188" spans="1:10" ht="24" customHeight="1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149</v>
      </c>
      <c r="H188" s="99">
        <f>G188+'1'!H188</f>
        <v>353</v>
      </c>
      <c r="I188" s="158"/>
      <c r="J188" s="179">
        <f>H188/DAY(B2)</f>
        <v>176.5</v>
      </c>
    </row>
    <row r="189" spans="1:10" ht="24.75" customHeight="1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68</v>
      </c>
      <c r="H189" s="99">
        <f>G189+'1'!H189</f>
        <v>176</v>
      </c>
      <c r="I189" s="158"/>
      <c r="J189" s="179">
        <f>H189/DAY(B2)</f>
        <v>88</v>
      </c>
    </row>
    <row r="190" spans="1:10" ht="27.75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6" s="57" customFormat="1" ht="27">
      <c r="A2" s="191" t="s">
        <v>350</v>
      </c>
      <c r="B2" s="375">
        <v>44564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>
      <c r="A3" s="189"/>
      <c r="B3" s="221"/>
      <c r="C3" s="348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'2'!F7</f>
        <v>134056.9</v>
      </c>
      <c r="F7" s="95">
        <v>153249</v>
      </c>
      <c r="G7" s="112">
        <f>F7-E7</f>
        <v>19192.100000000006</v>
      </c>
      <c r="H7" s="99">
        <f>G7+'2'!H7</f>
        <v>58688</v>
      </c>
      <c r="I7" s="113">
        <f>'1'!I7</f>
        <v>12000</v>
      </c>
      <c r="J7" s="175">
        <f>H7/DAY(B2)</f>
        <v>19562.666666666668</v>
      </c>
      <c r="K7" s="172">
        <v>1375467</v>
      </c>
      <c r="L7" s="66"/>
      <c r="N7" s="87"/>
      <c r="O7" s="71"/>
    </row>
    <row r="8" spans="1:16" ht="27.75" thickBot="1">
      <c r="A8" s="196" t="s">
        <v>131</v>
      </c>
      <c r="B8" s="197"/>
      <c r="C8" s="198"/>
      <c r="D8" s="224" t="s">
        <v>24</v>
      </c>
      <c r="E8" s="95">
        <f>'2'!F8</f>
        <v>181227</v>
      </c>
      <c r="F8" s="114">
        <v>200756</v>
      </c>
      <c r="G8" s="115">
        <f>F8-E8</f>
        <v>19529</v>
      </c>
      <c r="H8" s="99">
        <f>G8+'2'!H8</f>
        <v>59871</v>
      </c>
      <c r="I8" s="116"/>
      <c r="J8" s="175">
        <f>H8/DAY(B2)</f>
        <v>19957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>
      <c r="A9" s="199" t="s">
        <v>132</v>
      </c>
      <c r="B9" s="200"/>
      <c r="C9" s="200"/>
      <c r="D9" s="151" t="s">
        <v>130</v>
      </c>
      <c r="E9" s="95">
        <f>'2'!F9</f>
        <v>2283852.9</v>
      </c>
      <c r="F9" s="117">
        <v>2296070.1</v>
      </c>
      <c r="G9" s="112">
        <f>F9-E9</f>
        <v>12217.200000000186</v>
      </c>
      <c r="H9" s="99">
        <f>G9+'2'!H9</f>
        <v>37294.100000000093</v>
      </c>
      <c r="I9" s="124">
        <f>I7-J7</f>
        <v>-7562.6666666666679</v>
      </c>
      <c r="J9" s="175">
        <f>H9/DAY(B2)</f>
        <v>12431.366666666698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'2'!F10</f>
        <v>554172.82999999996</v>
      </c>
      <c r="F10" s="117">
        <v>560620.94999999995</v>
      </c>
      <c r="G10" s="112">
        <f t="shared" ref="G10:G12" si="0">F10-E10</f>
        <v>6448.1199999999953</v>
      </c>
      <c r="H10" s="99">
        <f>G10+'2'!H10</f>
        <v>19794.949999999953</v>
      </c>
      <c r="I10" s="282"/>
      <c r="J10" s="175">
        <f>H10/DAY(B2)</f>
        <v>6598.3166666666511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18665.320000000182</v>
      </c>
      <c r="H13" s="99">
        <f>G13+'2'!H13</f>
        <v>37623.79999999993</v>
      </c>
      <c r="I13" s="120">
        <f>G7-G13</f>
        <v>526.77999999982421</v>
      </c>
      <c r="J13" s="175">
        <f>H13/DAY(B2)</f>
        <v>12541.266666666643</v>
      </c>
      <c r="K13" s="79"/>
      <c r="L13" s="66"/>
      <c r="N13" s="87"/>
      <c r="O13" s="71"/>
    </row>
    <row r="14" spans="1:16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45" t="s">
        <v>138</v>
      </c>
      <c r="B15" s="205"/>
      <c r="C15" s="205"/>
      <c r="D15" s="151" t="s">
        <v>139</v>
      </c>
      <c r="E15" s="95">
        <f>'2'!F15</f>
        <v>1880308.6129999999</v>
      </c>
      <c r="F15" s="494">
        <v>1880833.4</v>
      </c>
      <c r="G15" s="112">
        <f>(F15-E15)</f>
        <v>524.78700000001118</v>
      </c>
      <c r="H15" s="99">
        <f>G15+'2'!H15</f>
        <v>2403.3999999999069</v>
      </c>
      <c r="I15" s="113">
        <f>'1'!I15</f>
        <v>800</v>
      </c>
      <c r="J15" s="175">
        <f>H15/DAY(B2)</f>
        <v>801.13333333330229</v>
      </c>
      <c r="K15" s="79"/>
      <c r="L15" s="66"/>
      <c r="N15" s="87"/>
      <c r="O15" s="71"/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-1.1333333333022892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'2'!F18</f>
        <v>0</v>
      </c>
      <c r="F18" s="122">
        <v>30</v>
      </c>
      <c r="G18" s="119">
        <f>F18*10</f>
        <v>300</v>
      </c>
      <c r="H18" s="99">
        <f>G18+'2'!H18</f>
        <v>300</v>
      </c>
      <c r="I18" s="113">
        <f>'1'!I18</f>
        <v>65</v>
      </c>
      <c r="J18" s="175">
        <f>H18/DAY(B2)</f>
        <v>100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'2'!F19</f>
        <v>152335</v>
      </c>
      <c r="F19" s="122">
        <v>152391</v>
      </c>
      <c r="G19" s="112">
        <f t="shared" ref="G19" si="1">F19-E19</f>
        <v>56</v>
      </c>
      <c r="H19" s="99">
        <f>G19+'2'!H19</f>
        <v>166</v>
      </c>
      <c r="I19" s="335"/>
      <c r="J19" s="175">
        <f>H19/DAY(B2)</f>
        <v>55.333333333333336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356</v>
      </c>
      <c r="H20" s="99">
        <f>G20+'2'!H20</f>
        <v>466</v>
      </c>
      <c r="I20" s="336">
        <f>I18-J20</f>
        <v>-90.333333333333343</v>
      </c>
      <c r="J20" s="175">
        <f>H20/DAY(B2)</f>
        <v>155.33333333333334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19529</v>
      </c>
      <c r="F27" s="136">
        <v>9</v>
      </c>
      <c r="G27" s="137">
        <f>E27*F27</f>
        <v>175761</v>
      </c>
      <c r="H27" s="99">
        <f>G27+'2'!H27</f>
        <v>538839</v>
      </c>
      <c r="I27" s="138"/>
      <c r="J27" s="175">
        <f>H27/DAY(B2)</f>
        <v>179613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524.78700000001118</v>
      </c>
      <c r="F28" s="136">
        <v>52</v>
      </c>
      <c r="G28" s="137">
        <f>E28*F28</f>
        <v>27288.924000000581</v>
      </c>
      <c r="H28" s="99">
        <f>G28+'2'!H28</f>
        <v>124976.79999999516</v>
      </c>
      <c r="I28" s="140"/>
      <c r="J28" s="175">
        <f>H28/DAY(B2)</f>
        <v>41658.933333331719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G30+'2'!H30</f>
        <v>24236</v>
      </c>
      <c r="I30" s="140"/>
      <c r="J30" s="175">
        <f>H30/DAY(B2)</f>
        <v>8078.666666666667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G31+'2'!H31</f>
        <v>24000</v>
      </c>
      <c r="I31" s="140"/>
      <c r="J31" s="175">
        <f>H31/DAY(B2)</f>
        <v>8000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235225.92400000058</v>
      </c>
      <c r="H32" s="99">
        <f>G32+'2'!H32</f>
        <v>712051.79999999516</v>
      </c>
      <c r="I32" s="144"/>
      <c r="J32" s="175">
        <f>H32/DAY(B2)</f>
        <v>237350.59999999838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'2'!F35</f>
        <v>156908.64000000001</v>
      </c>
      <c r="F35" s="145">
        <v>158786.95000000001</v>
      </c>
      <c r="G35" s="112">
        <f t="shared" ref="G35:G46" si="3">F35-E35</f>
        <v>1878.3099999999977</v>
      </c>
      <c r="H35" s="99">
        <f>G35+'2'!H35</f>
        <v>5944.9500000000116</v>
      </c>
      <c r="I35" s="95"/>
      <c r="J35" s="175">
        <f>H35/DAY(B2)</f>
        <v>1981.650000000004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'2'!F36</f>
        <v>23168.87</v>
      </c>
      <c r="F36" s="145">
        <v>23952.22</v>
      </c>
      <c r="G36" s="112">
        <f t="shared" si="3"/>
        <v>783.35000000000218</v>
      </c>
      <c r="H36" s="99">
        <f>G36+'2'!H36</f>
        <v>2425.2200000000012</v>
      </c>
      <c r="I36" s="95"/>
      <c r="J36" s="175">
        <f>H36/DAY(B2)</f>
        <v>808.40666666666709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'2'!F37</f>
        <v>198475.75</v>
      </c>
      <c r="F37" s="145">
        <v>199989.95</v>
      </c>
      <c r="G37" s="112">
        <f t="shared" si="3"/>
        <v>1514.2000000000116</v>
      </c>
      <c r="H37" s="99">
        <f>G37+'2'!H37</f>
        <v>4596.9500000000116</v>
      </c>
      <c r="I37" s="95"/>
      <c r="J37" s="175">
        <f>H37/DAY(B2)</f>
        <v>1532.3166666666705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'2'!F38</f>
        <v>235710.49</v>
      </c>
      <c r="F38" s="108">
        <v>237187.13</v>
      </c>
      <c r="G38" s="112">
        <f t="shared" si="3"/>
        <v>1476.640000000014</v>
      </c>
      <c r="H38" s="99">
        <f>G38+'2'!H38</f>
        <v>4705.1300000000047</v>
      </c>
      <c r="I38" s="95"/>
      <c r="J38" s="175">
        <f>H38/DAY(B2)</f>
        <v>1568.3766666666681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'2'!F39</f>
        <v>416525.19</v>
      </c>
      <c r="F39" s="145">
        <v>419283.99</v>
      </c>
      <c r="G39" s="112">
        <f t="shared" si="3"/>
        <v>2758.7999999999884</v>
      </c>
      <c r="H39" s="99">
        <f>G39+'2'!H39</f>
        <v>8204.9899999999907</v>
      </c>
      <c r="I39" s="95"/>
      <c r="J39" s="175">
        <f>H39/DAY(B2)</f>
        <v>2734.9966666666637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'2'!F40</f>
        <v>5609.98</v>
      </c>
      <c r="F40" s="145">
        <v>5609.98</v>
      </c>
      <c r="G40" s="112">
        <f t="shared" si="3"/>
        <v>0</v>
      </c>
      <c r="H40" s="99">
        <f>G40+'2'!H40</f>
        <v>-2.0000000000436557E-2</v>
      </c>
      <c r="I40" s="95"/>
      <c r="J40" s="175">
        <f>H40/DAY(B2)</f>
        <v>-6.6666666668121861E-3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'2'!F41</f>
        <v>0</v>
      </c>
      <c r="F41" s="145">
        <v>0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'2'!F42</f>
        <v>73808.600000000006</v>
      </c>
      <c r="F42" s="145">
        <v>73808.600000000006</v>
      </c>
      <c r="G42" s="112">
        <f t="shared" si="3"/>
        <v>0</v>
      </c>
      <c r="H42" s="99">
        <f>G42+'2'!H42</f>
        <v>-0.39999999999417923</v>
      </c>
      <c r="I42" s="95"/>
      <c r="J42" s="175">
        <f>H42/DAY(B2)</f>
        <v>-0.13333333333139308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'2'!F43</f>
        <v>52259.4</v>
      </c>
      <c r="F43" s="145">
        <v>54679.07</v>
      </c>
      <c r="G43" s="112">
        <f t="shared" si="3"/>
        <v>2419.6699999999983</v>
      </c>
      <c r="H43" s="99">
        <f>G43+'2'!H43</f>
        <v>7418.07</v>
      </c>
      <c r="I43" s="95"/>
      <c r="J43" s="175">
        <f>H43/DAY(B2)</f>
        <v>2472.69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10830.970000000012</v>
      </c>
      <c r="H47" s="99">
        <f>G47+'2'!H47</f>
        <v>33294.890000000029</v>
      </c>
      <c r="I47" s="95"/>
      <c r="J47" s="175">
        <f>H47/DAY(B2)</f>
        <v>11098.296666666676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'2'!F49</f>
        <v>275486</v>
      </c>
      <c r="F49" s="145">
        <v>277381</v>
      </c>
      <c r="G49" s="112">
        <f t="shared" ref="G49:G58" si="4">F49-E49</f>
        <v>1895</v>
      </c>
      <c r="H49" s="99">
        <f>G49+'2'!H49</f>
        <v>5141</v>
      </c>
      <c r="I49" s="95"/>
      <c r="J49" s="175">
        <f>H49/DAY(B2)</f>
        <v>1713.6666666666667</v>
      </c>
      <c r="K49" s="79"/>
      <c r="L49" s="66"/>
      <c r="N49" s="87">
        <f>G35+G49</f>
        <v>3773.3099999999977</v>
      </c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'2'!F50</f>
        <v>27036.74</v>
      </c>
      <c r="F50" s="145">
        <v>28002.21</v>
      </c>
      <c r="G50" s="112">
        <f t="shared" si="4"/>
        <v>965.46999999999753</v>
      </c>
      <c r="H50" s="99">
        <f>G50+'2'!H50</f>
        <v>3352.2099999999991</v>
      </c>
      <c r="I50" s="95"/>
      <c r="J50" s="175">
        <f>H50/DAY(B2)</f>
        <v>1117.403333333333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'2'!F54</f>
        <v>3192.59</v>
      </c>
      <c r="F54" s="145">
        <v>3197.08</v>
      </c>
      <c r="G54" s="112">
        <f t="shared" si="4"/>
        <v>4.4899999999997817</v>
      </c>
      <c r="H54" s="99">
        <f>G54+'2'!H54</f>
        <v>14.079999999999927</v>
      </c>
      <c r="I54" s="95"/>
      <c r="J54" s="175">
        <f>H54/DAY(B2)</f>
        <v>4.6933333333333094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'2'!F55</f>
        <v>9042.82</v>
      </c>
      <c r="F55" s="145">
        <v>12137.46</v>
      </c>
      <c r="G55" s="112">
        <f t="shared" si="4"/>
        <v>3094.6399999999994</v>
      </c>
      <c r="H55" s="99">
        <f>G55+'2'!H55</f>
        <v>8626.4599999999991</v>
      </c>
      <c r="I55" s="95"/>
      <c r="J55" s="175">
        <f>H55/DAY(B2)</f>
        <v>2875.4866666666662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8610.5400000000009</v>
      </c>
      <c r="G56" s="112">
        <f t="shared" si="4"/>
        <v>0</v>
      </c>
      <c r="H56" s="99">
        <f>G56+'2'!H56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'2'!F58</f>
        <v>92602.96</v>
      </c>
      <c r="F58" s="145">
        <v>92625.63</v>
      </c>
      <c r="G58" s="112">
        <f t="shared" si="4"/>
        <v>22.669999999998254</v>
      </c>
      <c r="H58" s="99">
        <f>G58+'2'!H58</f>
        <v>340.63000000000466</v>
      </c>
      <c r="I58" s="95"/>
      <c r="J58" s="175">
        <f>H58/DAY(B2)</f>
        <v>113.54333333333489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5982.269999999995</v>
      </c>
      <c r="H59" s="99">
        <f>G59+'2'!H59</f>
        <v>17474.380000000005</v>
      </c>
      <c r="I59" s="95">
        <f>G7-G60</f>
        <v>2378.8600000000006</v>
      </c>
      <c r="J59" s="175">
        <f>H59/DAY(B2)</f>
        <v>5824.7933333333349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16813.240000000005</v>
      </c>
      <c r="H60" s="99">
        <f>G60+'2'!H60</f>
        <v>50769.270000000026</v>
      </c>
      <c r="I60" s="95">
        <f>G13-G60</f>
        <v>1852.0800000001764</v>
      </c>
      <c r="J60" s="175">
        <f>H60/DAY(B2)</f>
        <v>16923.090000000007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'2'!F62</f>
        <v>267213</v>
      </c>
      <c r="F62" s="164">
        <v>267243</v>
      </c>
      <c r="G62" s="112">
        <f t="shared" ref="G62:G63" si="5">F62-E62</f>
        <v>30</v>
      </c>
      <c r="H62" s="99">
        <f>G62+'2'!H62</f>
        <v>30</v>
      </c>
      <c r="I62" s="118"/>
      <c r="J62" s="175">
        <f>H62/DAY(B2)</f>
        <v>10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'2'!F63</f>
        <v>212672</v>
      </c>
      <c r="F63" s="122">
        <v>212733</v>
      </c>
      <c r="G63" s="112">
        <f t="shared" si="5"/>
        <v>61</v>
      </c>
      <c r="H63" s="99">
        <f>G63+'2'!H63</f>
        <v>308</v>
      </c>
      <c r="I63" s="118"/>
      <c r="J63" s="175">
        <f>H63/DAY(B2)</f>
        <v>102.66666666666667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'2'!F64</f>
        <v>0</v>
      </c>
      <c r="F64" s="122"/>
      <c r="G64" s="112">
        <f>G62+G63</f>
        <v>91</v>
      </c>
      <c r="H64" s="99">
        <f>G64+'2'!H64</f>
        <v>338</v>
      </c>
      <c r="I64" s="118"/>
      <c r="J64" s="175">
        <f>H64/DAY(B2)</f>
        <v>112.66666666666667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'2'!F65</f>
        <v>432772</v>
      </c>
      <c r="F65" s="122">
        <v>432812</v>
      </c>
      <c r="G65" s="112">
        <f t="shared" ref="G65:G70" si="6">F65-E65</f>
        <v>40</v>
      </c>
      <c r="H65" s="99">
        <f>G65+'2'!H65</f>
        <v>198</v>
      </c>
      <c r="I65" s="118"/>
      <c r="J65" s="175">
        <f>H65/DAY(B2)</f>
        <v>66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'2'!F66</f>
        <v>107269</v>
      </c>
      <c r="F66" s="122">
        <v>107287</v>
      </c>
      <c r="G66" s="112">
        <f t="shared" si="6"/>
        <v>18</v>
      </c>
      <c r="H66" s="99">
        <f>G66+'2'!H66</f>
        <v>73</v>
      </c>
      <c r="I66" s="118"/>
      <c r="J66" s="175">
        <f>H66/DAY(B2)</f>
        <v>24.333333333333332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'2'!F67</f>
        <v>104007</v>
      </c>
      <c r="F67" s="122">
        <v>104027</v>
      </c>
      <c r="G67" s="112">
        <f t="shared" si="6"/>
        <v>20</v>
      </c>
      <c r="H67" s="99">
        <f>G67+'2'!H67</f>
        <v>99</v>
      </c>
      <c r="I67" s="118"/>
      <c r="J67" s="175">
        <f>H67/DAY(B2)</f>
        <v>33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'2'!F68</f>
        <v>156644</v>
      </c>
      <c r="F68" s="122">
        <v>156653</v>
      </c>
      <c r="G68" s="112">
        <f t="shared" si="6"/>
        <v>9</v>
      </c>
      <c r="H68" s="99">
        <f>G68+'2'!H68</f>
        <v>33</v>
      </c>
      <c r="I68" s="118"/>
      <c r="J68" s="175">
        <f>H68/DAY(B2)</f>
        <v>11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'2'!F69</f>
        <v>10250</v>
      </c>
      <c r="F69" s="122">
        <v>10272</v>
      </c>
      <c r="G69" s="112">
        <f t="shared" si="6"/>
        <v>22</v>
      </c>
      <c r="H69" s="99">
        <f>G69+'2'!H69</f>
        <v>58</v>
      </c>
      <c r="I69" s="118"/>
      <c r="J69" s="175">
        <f>H69/DAY(B2)</f>
        <v>19.333333333333332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'2'!F70</f>
        <v>7887</v>
      </c>
      <c r="F70" s="122">
        <v>7894</v>
      </c>
      <c r="G70" s="112">
        <f t="shared" si="6"/>
        <v>7</v>
      </c>
      <c r="H70" s="99">
        <f>G70+'2'!H70</f>
        <v>32</v>
      </c>
      <c r="I70" s="118"/>
      <c r="J70" s="175">
        <f>H70/DAY(B2)</f>
        <v>10.666666666666666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116</v>
      </c>
      <c r="H71" s="99">
        <f>G71+'2'!H71</f>
        <v>493</v>
      </c>
      <c r="I71" s="154"/>
      <c r="J71" s="175">
        <f>H71/DAY(B2)</f>
        <v>164.33333333333334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'2'!F74</f>
        <v>892557.8</v>
      </c>
      <c r="F74" s="117">
        <v>892798.36</v>
      </c>
      <c r="G74" s="112">
        <f t="shared" ref="G74:G78" si="7">F74-E74</f>
        <v>240.55999999993946</v>
      </c>
      <c r="H74" s="99">
        <f>G74+'2'!H74</f>
        <v>766.35999999998603</v>
      </c>
      <c r="I74" s="154"/>
      <c r="J74" s="175">
        <f>H74/DAY(B2)</f>
        <v>255.45333333332869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'2'!F76</f>
        <v>167408.5</v>
      </c>
      <c r="F76" s="123">
        <v>167499</v>
      </c>
      <c r="G76" s="112">
        <f t="shared" si="7"/>
        <v>90.5</v>
      </c>
      <c r="H76" s="99">
        <f>G76+'2'!H76</f>
        <v>292</v>
      </c>
      <c r="I76" s="154"/>
      <c r="J76" s="175">
        <f>H76/DAY(B2)</f>
        <v>97.333333333333329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'2'!F77</f>
        <v>40383.4</v>
      </c>
      <c r="F77" s="123">
        <v>40418.1</v>
      </c>
      <c r="G77" s="112">
        <f t="shared" si="7"/>
        <v>34.69999999999709</v>
      </c>
      <c r="H77" s="99">
        <f>G77+'2'!H77</f>
        <v>102.09999999999854</v>
      </c>
      <c r="I77" s="154"/>
      <c r="J77" s="175">
        <f>H77/DAY(B2)</f>
        <v>34.033333333332848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'2'!F78</f>
        <v>9488.5</v>
      </c>
      <c r="F78" s="123">
        <v>9489.2999999999993</v>
      </c>
      <c r="G78" s="112">
        <f t="shared" si="7"/>
        <v>0.7999999999992724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'2'!F79</f>
        <v>0</v>
      </c>
      <c r="F79" s="117"/>
      <c r="G79" s="112">
        <f>G15-SUM(G74:G78)</f>
        <v>158.22700000007535</v>
      </c>
      <c r="H79" s="99">
        <f>G79+'2'!H79</f>
        <v>1239.639999999923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524.78700000001118</v>
      </c>
      <c r="H80" s="99">
        <f>G80+'2'!H80</f>
        <v>1333.314000000013</v>
      </c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'2'!F85</f>
        <v>2096.56</v>
      </c>
      <c r="F85" s="164">
        <v>2096.56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'2'!F86</f>
        <v>42911.11</v>
      </c>
      <c r="F86" s="164">
        <v>42935.15</v>
      </c>
      <c r="G86" s="112">
        <f t="shared" si="8"/>
        <v>24.040000000000873</v>
      </c>
      <c r="H86" s="99">
        <f>G86+'2'!H86</f>
        <v>72.150000000001455</v>
      </c>
      <c r="I86" s="118"/>
      <c r="J86" s="175">
        <f>H86/DAY(B2)</f>
        <v>24.050000000000484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'2'!F88</f>
        <v>24056.07</v>
      </c>
      <c r="F88" s="164">
        <v>24056.07</v>
      </c>
      <c r="G88" s="112">
        <f t="shared" si="8"/>
        <v>0</v>
      </c>
      <c r="H88" s="99">
        <f>G88+'2'!H88</f>
        <v>9.069999999999709</v>
      </c>
      <c r="I88" s="118">
        <f>G86+G87+G88</f>
        <v>24.040000000000873</v>
      </c>
      <c r="J88" s="175">
        <f>H88/DAY(B2)</f>
        <v>3.0233333333332362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'2'!F89</f>
        <v>25667.56</v>
      </c>
      <c r="F89" s="164">
        <v>25667.56</v>
      </c>
      <c r="G89" s="112">
        <f t="shared" si="8"/>
        <v>0</v>
      </c>
      <c r="H89" s="99">
        <f>G89+'2'!H89</f>
        <v>4.5600000000013097</v>
      </c>
      <c r="I89" s="118"/>
      <c r="J89" s="175">
        <f>H89/DAY(B2)</f>
        <v>1.5200000000004366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'2'!F90</f>
        <v>71048.759999999995</v>
      </c>
      <c r="F90" s="164">
        <v>71052</v>
      </c>
      <c r="G90" s="112">
        <f t="shared" si="8"/>
        <v>3.2400000000052387</v>
      </c>
      <c r="H90" s="99">
        <f>G90+'2'!H90</f>
        <v>18</v>
      </c>
      <c r="I90" s="118">
        <f>G89+G90</f>
        <v>3.2400000000052387</v>
      </c>
      <c r="J90" s="175">
        <f>H90/DAY(B2)</f>
        <v>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'2'!F92</f>
        <v>5456.67</v>
      </c>
      <c r="F92" s="122">
        <v>5465.21</v>
      </c>
      <c r="G92" s="112">
        <f t="shared" si="8"/>
        <v>8.5399999999999636</v>
      </c>
      <c r="H92" s="99">
        <f>G92+'2'!H92</f>
        <v>27.210000000000036</v>
      </c>
      <c r="I92" s="165"/>
      <c r="J92" s="175">
        <f>H92/DAY(B2)</f>
        <v>9.0700000000000127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6192.9799999999959</v>
      </c>
      <c r="H94" s="99">
        <f>G94+'2'!H94</f>
        <v>18504.020000000011</v>
      </c>
      <c r="I94" s="118"/>
      <c r="J94" s="175">
        <f>H94/DAY(B2)</f>
        <v>6168.0066666666708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0.32268381261039669</v>
      </c>
      <c r="H95" s="99">
        <f>G95+'2'!H95</f>
        <v>0.94609754473308449</v>
      </c>
      <c r="I95" s="167"/>
      <c r="J95" s="175">
        <f>H95/DAY(B2)</f>
        <v>0.31536584824436148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3094.6399999999994</v>
      </c>
      <c r="H96" s="99">
        <f>G96+'2'!H96</f>
        <v>8626.0600000000049</v>
      </c>
      <c r="I96" s="118"/>
      <c r="J96" s="175">
        <f>H96/DAY(B2)</f>
        <v>2875.3533333333348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0.16124551247648763</v>
      </c>
      <c r="H97" s="99">
        <f>G97+'2'!H97</f>
        <v>0.44183790014917224</v>
      </c>
      <c r="I97" s="167"/>
      <c r="J97" s="175">
        <f>H97/DAY(B2)</f>
        <v>0.14727930004972409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2758.7999999999884</v>
      </c>
      <c r="H98" s="99">
        <f>G98+'2'!H98</f>
        <v>8204.9899999999907</v>
      </c>
      <c r="I98" s="168"/>
      <c r="J98" s="175">
        <f>H98/DAY(B2)</f>
        <v>2734.9966666666637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0.14374664575528406</v>
      </c>
      <c r="H99" s="99">
        <f>G99+'2'!H99</f>
        <v>0.41957730200063381</v>
      </c>
      <c r="I99" s="168"/>
      <c r="J99" s="175">
        <f>H99/DAY(B2)</f>
        <v>0.13985910066687793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1476.640000000014</v>
      </c>
      <c r="H100" s="99">
        <f>G100+'2'!H100</f>
        <v>4705.1300000000047</v>
      </c>
      <c r="I100" s="118"/>
      <c r="J100" s="175">
        <f>H100/DAY(B2)</f>
        <v>1568.3766666666681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7.6939990933770325E-2</v>
      </c>
      <c r="H101" s="99">
        <f>G101+'2'!H101</f>
        <v>0.24038495437238513</v>
      </c>
      <c r="I101" s="168"/>
      <c r="J101" s="175">
        <f>H101/DAY(B2)</f>
        <v>8.0128318124128378E-2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1748.8199999999997</v>
      </c>
      <c r="H102" s="99">
        <f>G102+'2'!H102</f>
        <v>5777.43</v>
      </c>
      <c r="I102" s="168"/>
      <c r="J102" s="175">
        <f>H102/DAY(B2)</f>
        <v>1925.8100000000002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9.1121867851876509E-2</v>
      </c>
      <c r="H103" s="99">
        <f>G103+'2'!H103</f>
        <v>0.29501630033698834</v>
      </c>
      <c r="I103" s="118"/>
      <c r="J103" s="175">
        <f>H103/DAY(B2)</f>
        <v>9.8338766778996112E-2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1514.2000000000116</v>
      </c>
      <c r="H104" s="99">
        <f>G104+'2'!H104</f>
        <v>4596.9500000000116</v>
      </c>
      <c r="I104" s="118"/>
      <c r="J104" s="175">
        <f>H104/DAY(B2)</f>
        <v>1532.3166666666705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7.8897046180460256E-2</v>
      </c>
      <c r="H105" s="99">
        <f>G105+'2'!H105</f>
        <v>0.23498600434882325</v>
      </c>
      <c r="I105" s="187"/>
      <c r="J105" s="188">
        <f>H105/DAY(B2)</f>
        <v>7.8328668116274411E-2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'2'!F112</f>
        <v>55818.83</v>
      </c>
      <c r="F112" s="237">
        <v>55886.89</v>
      </c>
      <c r="G112" s="112">
        <f t="shared" ref="G112:G123" si="9">F112-E112</f>
        <v>68.059999999997672</v>
      </c>
      <c r="H112" s="99">
        <f>G112+'2'!H112</f>
        <v>205.88999999999942</v>
      </c>
      <c r="I112" s="165"/>
      <c r="J112" s="328">
        <f>H112/DAY(B2)</f>
        <v>68.629999999999811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'2'!F113</f>
        <v>33097.18</v>
      </c>
      <c r="F113" s="237">
        <v>33563</v>
      </c>
      <c r="G113" s="112">
        <f t="shared" si="9"/>
        <v>465.81999999999971</v>
      </c>
      <c r="H113" s="99">
        <f>G113+'2'!H113</f>
        <v>1368</v>
      </c>
      <c r="I113" s="165"/>
      <c r="J113" s="328">
        <f>H113/DAY(B2)</f>
        <v>456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'2'!F114</f>
        <v>25408.3</v>
      </c>
      <c r="F114" s="237">
        <v>25683.7</v>
      </c>
      <c r="G114" s="112">
        <f t="shared" si="9"/>
        <v>275.40000000000146</v>
      </c>
      <c r="H114" s="99">
        <f>G114+'2'!H114</f>
        <v>812.70000000000073</v>
      </c>
      <c r="I114" s="165"/>
      <c r="J114" s="328">
        <f>H114/DAY(B2)</f>
        <v>270.90000000000026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'2'!F115</f>
        <v>8802.7999999999993</v>
      </c>
      <c r="F115" s="237">
        <v>8813.23</v>
      </c>
      <c r="G115" s="112">
        <f t="shared" si="9"/>
        <v>10.430000000000291</v>
      </c>
      <c r="H115" s="99">
        <f>G115+'2'!H115</f>
        <v>28.229999999999563</v>
      </c>
      <c r="I115" s="165"/>
      <c r="J115" s="328">
        <f>H115/DAY(B2)</f>
        <v>9.4099999999998545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28">
        <f>H116/DAY(B2)</f>
        <v>0</v>
      </c>
      <c r="Q116" s="843"/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'2'!F117</f>
        <v>2632.21</v>
      </c>
      <c r="F117" s="237">
        <v>2652.96</v>
      </c>
      <c r="G117" s="112">
        <f t="shared" si="9"/>
        <v>20.75</v>
      </c>
      <c r="H117" s="99">
        <f>G117+'2'!H117</f>
        <v>62.960000000000036</v>
      </c>
      <c r="I117" s="165"/>
      <c r="J117" s="328">
        <f>H117/DAY(B2)</f>
        <v>20.986666666666679</v>
      </c>
      <c r="Q117" s="843"/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'2'!F118</f>
        <v>242373.99</v>
      </c>
      <c r="F118" s="237">
        <v>242766.49</v>
      </c>
      <c r="G118" s="112">
        <f t="shared" si="9"/>
        <v>392.5</v>
      </c>
      <c r="H118" s="99">
        <f>G118+'2'!H118</f>
        <v>1119.4899999999907</v>
      </c>
      <c r="I118" s="165"/>
      <c r="J118" s="328">
        <f>H118/DAY(B2)</f>
        <v>373.16333333333023</v>
      </c>
      <c r="Q118" s="843"/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'2'!F119</f>
        <v>245981.03</v>
      </c>
      <c r="F119" s="237">
        <v>246430.55</v>
      </c>
      <c r="G119" s="112">
        <f t="shared" si="9"/>
        <v>449.51999999998952</v>
      </c>
      <c r="H119" s="99">
        <f>G119+'2'!H119</f>
        <v>1304.5499999999884</v>
      </c>
      <c r="I119" s="165"/>
      <c r="J119" s="328">
        <f>H119/DAY(B2)</f>
        <v>434.8499999999961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'2'!F120</f>
        <v>30933.07</v>
      </c>
      <c r="F120" s="237">
        <v>31362.45</v>
      </c>
      <c r="G120" s="112">
        <f t="shared" si="9"/>
        <v>429.38000000000102</v>
      </c>
      <c r="H120" s="99">
        <f>G120+'2'!H120</f>
        <v>1284.4500000000007</v>
      </c>
      <c r="I120" s="165"/>
      <c r="J120" s="328">
        <f>H120/DAY(B2)</f>
        <v>428.15000000000026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'2'!F121</f>
        <v>378067.47</v>
      </c>
      <c r="F121" s="237">
        <v>378842.15</v>
      </c>
      <c r="G121" s="112">
        <f t="shared" si="9"/>
        <v>774.68000000005122</v>
      </c>
      <c r="H121" s="99">
        <f>G121+'2'!H121</f>
        <v>2313.1500000000233</v>
      </c>
      <c r="I121" s="165"/>
      <c r="J121" s="328">
        <f>H121/DAY(B2)</f>
        <v>771.0500000000078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'2'!F122</f>
        <v>120477.6</v>
      </c>
      <c r="F122" s="237">
        <v>120716.54</v>
      </c>
      <c r="G122" s="112">
        <f t="shared" si="9"/>
        <v>238.93999999998778</v>
      </c>
      <c r="H122" s="99">
        <f>G122+'2'!H122</f>
        <v>666.5399999999936</v>
      </c>
      <c r="I122" s="165"/>
      <c r="J122" s="328">
        <f>H122/DAY(B2)</f>
        <v>222.17999999999788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'2'!F123</f>
        <v>145818.76999999999</v>
      </c>
      <c r="F123" s="237">
        <v>146156.89000000001</v>
      </c>
      <c r="G123" s="112">
        <f t="shared" si="9"/>
        <v>338.12000000002445</v>
      </c>
      <c r="H123" s="99">
        <f>G123+'2'!H123</f>
        <v>1031.890000000014</v>
      </c>
      <c r="I123" s="165"/>
      <c r="J123" s="328">
        <f>H123/DAY(B2)</f>
        <v>343.96333333333797</v>
      </c>
    </row>
    <row r="124" spans="1:18" ht="29.25" customHeight="1">
      <c r="A124" s="847"/>
      <c r="B124" s="848"/>
      <c r="C124" s="849"/>
      <c r="D124" s="165"/>
      <c r="E124" s="165"/>
      <c r="F124" s="165"/>
      <c r="G124" s="327"/>
      <c r="H124" s="156"/>
      <c r="I124" s="165"/>
      <c r="J124" s="327"/>
    </row>
    <row r="125" spans="1:18" ht="29.25">
      <c r="A125" s="873" t="s">
        <v>196</v>
      </c>
      <c r="B125" s="874"/>
      <c r="C125" s="875"/>
      <c r="D125" s="307"/>
      <c r="E125" s="308"/>
      <c r="F125" s="308"/>
      <c r="G125" s="309">
        <f>SUM(G112:G124)</f>
        <v>3463.6000000000531</v>
      </c>
      <c r="H125" s="156"/>
      <c r="I125" s="327">
        <f>G125-(G39+G53)</f>
        <v>704.80000000006476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'2'!F128</f>
        <v>38727.72</v>
      </c>
      <c r="F128" s="165">
        <v>39060.46</v>
      </c>
      <c r="G128" s="112">
        <f t="shared" ref="G128:G134" si="10">F128-E128</f>
        <v>332.73999999999796</v>
      </c>
      <c r="H128" s="99">
        <f>G128+'2'!H128</f>
        <v>1056.4599999999991</v>
      </c>
      <c r="I128" s="165"/>
      <c r="J128" s="328">
        <f>H128/DAY(B2)</f>
        <v>352.15333333333302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'2'!F129</f>
        <v>20725.8</v>
      </c>
      <c r="F129" s="165">
        <v>20938.84</v>
      </c>
      <c r="G129" s="112">
        <f t="shared" si="10"/>
        <v>213.04000000000087</v>
      </c>
      <c r="H129" s="99">
        <f>G129+'2'!H129</f>
        <v>617.84000000000015</v>
      </c>
      <c r="I129" s="165"/>
      <c r="J129" s="328">
        <f>H129/DAY(B2)</f>
        <v>205.94666666666672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'2'!F130</f>
        <v>19929.53</v>
      </c>
      <c r="F130" s="165">
        <v>20550.099999999999</v>
      </c>
      <c r="G130" s="112">
        <f t="shared" si="10"/>
        <v>620.56999999999971</v>
      </c>
      <c r="H130" s="99">
        <f>G130+'2'!H130</f>
        <v>2168.0999999999985</v>
      </c>
      <c r="I130" s="165"/>
      <c r="J130" s="328">
        <f>H130/DAY(B2)</f>
        <v>722.69999999999948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'2'!F131</f>
        <v>13311.723</v>
      </c>
      <c r="F131" s="165">
        <v>13412</v>
      </c>
      <c r="G131" s="112">
        <f t="shared" si="10"/>
        <v>100.27700000000004</v>
      </c>
      <c r="H131" s="99">
        <f>G131+'2'!H131</f>
        <v>259</v>
      </c>
      <c r="I131" s="165"/>
      <c r="J131" s="328">
        <f>H131/DAY(B2)</f>
        <v>86.333333333333329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'2'!F132</f>
        <v>41921.1</v>
      </c>
      <c r="F132" s="165">
        <v>42365.21</v>
      </c>
      <c r="G132" s="112">
        <f t="shared" si="10"/>
        <v>444.11000000000058</v>
      </c>
      <c r="H132" s="99">
        <f>G132+'2'!H132</f>
        <v>1342.2099999999991</v>
      </c>
      <c r="I132" s="165"/>
      <c r="J132" s="328">
        <f>H132/DAY(B2)</f>
        <v>447.40333333333302</v>
      </c>
    </row>
    <row r="133" spans="1:15" ht="27.75">
      <c r="A133" s="843" t="s">
        <v>342</v>
      </c>
      <c r="B133" s="844"/>
      <c r="C133" s="845"/>
      <c r="D133" s="151" t="s">
        <v>183</v>
      </c>
      <c r="E133" s="95">
        <f>'2'!F133</f>
        <v>89368.88</v>
      </c>
      <c r="F133" s="165">
        <v>90206.44</v>
      </c>
      <c r="G133" s="112">
        <f t="shared" si="10"/>
        <v>837.55999999999767</v>
      </c>
      <c r="H133" s="99">
        <f>G133+'2'!H133</f>
        <v>2503.4400000000023</v>
      </c>
      <c r="I133" s="165"/>
      <c r="J133" s="328">
        <f>H133/DAY(B2)</f>
        <v>834.48000000000081</v>
      </c>
    </row>
    <row r="134" spans="1:15" ht="27.75">
      <c r="A134" s="905" t="s">
        <v>340</v>
      </c>
      <c r="B134" s="906"/>
      <c r="C134" s="830"/>
      <c r="D134" s="151" t="s">
        <v>183</v>
      </c>
      <c r="E134" s="95">
        <f>'2'!F134</f>
        <v>670206</v>
      </c>
      <c r="F134" s="165">
        <v>670802</v>
      </c>
      <c r="G134" s="112">
        <f t="shared" si="10"/>
        <v>596</v>
      </c>
      <c r="H134" s="99">
        <f>G134+'2'!H134</f>
        <v>1922</v>
      </c>
      <c r="I134" s="165"/>
      <c r="J134" s="328">
        <f>H134/DAY(B2)</f>
        <v>640.66666666666663</v>
      </c>
    </row>
    <row r="135" spans="1:15" ht="29.25">
      <c r="A135" s="873" t="s">
        <v>196</v>
      </c>
      <c r="B135" s="874"/>
      <c r="C135" s="875"/>
      <c r="D135" s="151"/>
      <c r="E135" s="95"/>
      <c r="F135" s="165"/>
      <c r="G135" s="112">
        <f>SUM(G128:G134)</f>
        <v>3144.2969999999968</v>
      </c>
      <c r="H135" s="99">
        <f>G135+'2'!H135</f>
        <v>9869.0499999999993</v>
      </c>
      <c r="I135" s="327">
        <f>G135-(G35+G49)</f>
        <v>-629.01300000000083</v>
      </c>
      <c r="J135" s="328">
        <f>H135/DAY(B2)</f>
        <v>3289.6833333333329</v>
      </c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'2'!F138</f>
        <v>864323</v>
      </c>
      <c r="F138" s="147">
        <v>864407</v>
      </c>
      <c r="G138" s="112">
        <f t="shared" ref="G138:G152" si="11">F138-E138</f>
        <v>84</v>
      </c>
      <c r="H138" s="99">
        <f>G138+'2'!H138</f>
        <v>236</v>
      </c>
      <c r="I138" s="118"/>
      <c r="J138" s="328">
        <f>H138/DAY(B2)</f>
        <v>78.666666666666671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'2'!F139</f>
        <v>886547</v>
      </c>
      <c r="F139" s="148">
        <v>886547</v>
      </c>
      <c r="G139" s="112">
        <f t="shared" si="11"/>
        <v>0</v>
      </c>
      <c r="H139" s="99">
        <f>G139+'2'!H139</f>
        <v>1</v>
      </c>
      <c r="I139" s="118"/>
      <c r="J139" s="328">
        <f>H139/DAY(B2)</f>
        <v>0.33333333333333331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'2'!F140</f>
        <v>88895.9</v>
      </c>
      <c r="F140" s="149">
        <v>88895.9</v>
      </c>
      <c r="G140" s="112">
        <f t="shared" si="11"/>
        <v>0</v>
      </c>
      <c r="H140" s="99">
        <f>G140+'2'!H140</f>
        <v>13.899999999994179</v>
      </c>
      <c r="I140" s="118"/>
      <c r="J140" s="328">
        <f>H140/DAY(B2)</f>
        <v>4.6333333333313931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'2'!F141</f>
        <v>49670.7</v>
      </c>
      <c r="F141" s="149">
        <v>49854.8</v>
      </c>
      <c r="G141" s="112">
        <f t="shared" si="11"/>
        <v>184.10000000000582</v>
      </c>
      <c r="H141" s="99">
        <f>G141+'2'!H141</f>
        <v>548.80000000000291</v>
      </c>
      <c r="I141" s="118"/>
      <c r="J141" s="328">
        <f>H141/DAY(B2)</f>
        <v>182.9333333333343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'2'!F142</f>
        <v>19154.12</v>
      </c>
      <c r="F142" s="148">
        <v>19223.8</v>
      </c>
      <c r="G142" s="112">
        <f t="shared" si="11"/>
        <v>69.680000000000291</v>
      </c>
      <c r="H142" s="99">
        <f>G142+'2'!H142</f>
        <v>214.79999999999927</v>
      </c>
      <c r="I142" s="140"/>
      <c r="J142" s="328">
        <f>H142/DAY(B2)</f>
        <v>71.599999999999753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'2'!F143</f>
        <v>3113.3</v>
      </c>
      <c r="F143" s="149">
        <v>3121.69</v>
      </c>
      <c r="G143" s="112">
        <f t="shared" si="11"/>
        <v>8.3899999999998727</v>
      </c>
      <c r="H143" s="99">
        <f>G143+'2'!H143</f>
        <v>60.690000000000055</v>
      </c>
      <c r="I143" s="140"/>
      <c r="J143" s="328">
        <f>H143/DAY(B2)</f>
        <v>20.230000000000018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'2'!F144</f>
        <v>870123</v>
      </c>
      <c r="F144" s="149">
        <v>870344</v>
      </c>
      <c r="G144" s="112">
        <f t="shared" si="11"/>
        <v>221</v>
      </c>
      <c r="H144" s="99">
        <f>G144+'2'!H144</f>
        <v>674</v>
      </c>
      <c r="I144" s="140"/>
      <c r="J144" s="328">
        <f>H144/DAY(B2)</f>
        <v>224.66666666666666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'2'!F145</f>
        <v>4590</v>
      </c>
      <c r="F145" s="149">
        <v>4606.96</v>
      </c>
      <c r="G145" s="112">
        <f t="shared" si="11"/>
        <v>16.960000000000036</v>
      </c>
      <c r="H145" s="99">
        <f>G145+'2'!H145</f>
        <v>48.960000000000036</v>
      </c>
      <c r="I145" s="140"/>
      <c r="J145" s="328">
        <f>H145/DAY(B2)</f>
        <v>16.320000000000011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'2'!F146</f>
        <v>725840</v>
      </c>
      <c r="F146" s="147">
        <v>726266</v>
      </c>
      <c r="G146" s="112">
        <f t="shared" si="11"/>
        <v>426</v>
      </c>
      <c r="H146" s="99">
        <f>G146+'2'!H146</f>
        <v>1408</v>
      </c>
      <c r="I146" s="140"/>
      <c r="J146" s="328">
        <f>H146/DAY(B2)</f>
        <v>469.33333333333331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'2'!F147</f>
        <v>616168</v>
      </c>
      <c r="F147" s="148">
        <v>616563.80000000005</v>
      </c>
      <c r="G147" s="112">
        <f t="shared" si="11"/>
        <v>395.80000000004657</v>
      </c>
      <c r="H147" s="99">
        <f>G147+'2'!H147</f>
        <v>1281.8000000000466</v>
      </c>
      <c r="I147" s="140"/>
      <c r="J147" s="328">
        <f>H147/DAY(B2)</f>
        <v>427.26666666668217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'2'!F148</f>
        <v>683666.48</v>
      </c>
      <c r="F148" s="150">
        <v>683915.52</v>
      </c>
      <c r="G148" s="112">
        <f t="shared" si="11"/>
        <v>249.04000000003725</v>
      </c>
      <c r="H148" s="99">
        <f>G148+'2'!H148</f>
        <v>882.40000000002328</v>
      </c>
      <c r="I148" s="124"/>
      <c r="J148" s="328">
        <f>H148/DAY(B2)</f>
        <v>294.13333333334111</v>
      </c>
    </row>
    <row r="149" spans="1:10" ht="27.75">
      <c r="A149" s="901" t="s">
        <v>336</v>
      </c>
      <c r="B149" s="902"/>
      <c r="C149" s="903"/>
      <c r="D149" s="227" t="s">
        <v>130</v>
      </c>
      <c r="E149" s="95">
        <f>'2'!F149</f>
        <v>11363.9</v>
      </c>
      <c r="F149" s="146">
        <v>11666.01</v>
      </c>
      <c r="G149" s="112">
        <f t="shared" si="11"/>
        <v>302.11000000000058</v>
      </c>
      <c r="H149" s="99">
        <f>G149+'2'!H149</f>
        <v>917.01000000000022</v>
      </c>
      <c r="I149" s="119"/>
      <c r="J149" s="328">
        <f>H149/DAY(B2)</f>
        <v>305.67000000000007</v>
      </c>
    </row>
    <row r="150" spans="1:10" ht="27.75">
      <c r="A150" s="901" t="s">
        <v>337</v>
      </c>
      <c r="B150" s="902"/>
      <c r="C150" s="903"/>
      <c r="D150" s="117" t="s">
        <v>130</v>
      </c>
      <c r="E150" s="95">
        <f>'2'!F150</f>
        <v>4500.7</v>
      </c>
      <c r="F150" s="233">
        <v>4698.6000000000004</v>
      </c>
      <c r="G150" s="112">
        <f t="shared" si="11"/>
        <v>197.90000000000055</v>
      </c>
      <c r="H150" s="99">
        <f>G150+'2'!H150</f>
        <v>646.60000000000036</v>
      </c>
      <c r="I150" s="119"/>
      <c r="J150" s="328">
        <f>H150/DAY(B2)</f>
        <v>215.53333333333345</v>
      </c>
    </row>
    <row r="151" spans="1:10" ht="29.25" customHeight="1">
      <c r="A151" s="901" t="s">
        <v>338</v>
      </c>
      <c r="B151" s="902"/>
      <c r="C151" s="903"/>
      <c r="D151" s="117" t="s">
        <v>130</v>
      </c>
      <c r="E151" s="95">
        <f>'2'!F151</f>
        <v>78774</v>
      </c>
      <c r="F151" s="233">
        <v>78989</v>
      </c>
      <c r="G151" s="112">
        <f t="shared" si="11"/>
        <v>215</v>
      </c>
      <c r="H151" s="99">
        <f>G151+'2'!H151</f>
        <v>772</v>
      </c>
      <c r="I151" s="119"/>
      <c r="J151" s="328">
        <f>H151/DAY(B2)</f>
        <v>257.33333333333331</v>
      </c>
    </row>
    <row r="152" spans="1:10" ht="29.25" customHeight="1">
      <c r="A152" s="901" t="s">
        <v>339</v>
      </c>
      <c r="B152" s="902"/>
      <c r="C152" s="903"/>
      <c r="D152" s="117" t="s">
        <v>130</v>
      </c>
      <c r="E152" s="95">
        <f>'2'!F152</f>
        <v>1191.7</v>
      </c>
      <c r="F152" s="233">
        <v>1213.8</v>
      </c>
      <c r="G152" s="112">
        <f t="shared" si="11"/>
        <v>22.099999999999909</v>
      </c>
      <c r="H152" s="99">
        <f>G152+'2'!H152</f>
        <v>86.799999999999955</v>
      </c>
      <c r="I152" s="119"/>
      <c r="J152" s="328">
        <f>H152/DAY(B2)</f>
        <v>28.933333333333319</v>
      </c>
    </row>
    <row r="153" spans="1:10" ht="29.25" customHeight="1">
      <c r="A153" s="873" t="s">
        <v>196</v>
      </c>
      <c r="B153" s="874"/>
      <c r="C153" s="875"/>
      <c r="D153" s="367"/>
      <c r="E153" s="368"/>
      <c r="F153" s="369"/>
      <c r="G153" s="370">
        <f>SUM(G138:G152)</f>
        <v>2392.0800000000909</v>
      </c>
      <c r="H153" s="371"/>
      <c r="I153" s="119">
        <f>G153-(G38+G52)</f>
        <v>915.44000000007691</v>
      </c>
      <c r="J153" s="372"/>
    </row>
    <row r="154" spans="1:10" ht="29.25" customHeight="1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29.25" customHeight="1">
      <c r="A155" s="823" t="s">
        <v>345</v>
      </c>
      <c r="B155" s="823"/>
      <c r="C155" s="823"/>
      <c r="D155" s="117" t="s">
        <v>130</v>
      </c>
      <c r="E155" s="95">
        <f>'2'!F155</f>
        <v>14130</v>
      </c>
      <c r="F155" s="473">
        <v>14751.96</v>
      </c>
      <c r="G155" s="112">
        <f t="shared" ref="G155:G158" si="12">F155-E155</f>
        <v>621.95999999999913</v>
      </c>
      <c r="H155" s="99">
        <f>G155+'2'!H155</f>
        <v>1279.9599999999991</v>
      </c>
      <c r="I155" s="364"/>
      <c r="J155" s="328">
        <f>H155/DAY(B2)</f>
        <v>426.65333333333302</v>
      </c>
    </row>
    <row r="156" spans="1:10" ht="29.25" customHeight="1">
      <c r="A156" s="904" t="s">
        <v>346</v>
      </c>
      <c r="B156" s="904"/>
      <c r="C156" s="904"/>
      <c r="D156" s="117" t="s">
        <v>130</v>
      </c>
      <c r="E156" s="95">
        <f>'2'!F156</f>
        <v>1143</v>
      </c>
      <c r="F156" s="473">
        <v>1197.82</v>
      </c>
      <c r="G156" s="112">
        <f t="shared" si="12"/>
        <v>54.819999999999936</v>
      </c>
      <c r="H156" s="99">
        <f>G156+'2'!H156</f>
        <v>109.81999999999994</v>
      </c>
      <c r="I156" s="165"/>
      <c r="J156" s="328">
        <f>H156/DAY(B2)</f>
        <v>36.606666666666648</v>
      </c>
    </row>
    <row r="157" spans="1:10" ht="29.25" customHeight="1">
      <c r="A157" s="824" t="s">
        <v>364</v>
      </c>
      <c r="B157" s="825"/>
      <c r="C157" s="826"/>
      <c r="D157" s="117" t="s">
        <v>130</v>
      </c>
      <c r="E157" s="95">
        <f>'2'!F157</f>
        <v>1372.34</v>
      </c>
      <c r="F157" s="473">
        <v>1435.6</v>
      </c>
      <c r="G157" s="112">
        <f t="shared" si="12"/>
        <v>63.259999999999991</v>
      </c>
      <c r="H157" s="99"/>
      <c r="I157" s="165"/>
      <c r="J157" s="328"/>
    </row>
    <row r="158" spans="1:10" ht="29.25" customHeight="1">
      <c r="A158" s="824" t="s">
        <v>365</v>
      </c>
      <c r="B158" s="825"/>
      <c r="C158" s="826"/>
      <c r="D158" s="117" t="s">
        <v>130</v>
      </c>
      <c r="E158" s="95">
        <f>'2'!F158</f>
        <v>7.9</v>
      </c>
      <c r="F158" s="473">
        <v>7.9</v>
      </c>
      <c r="G158" s="112">
        <f t="shared" si="12"/>
        <v>0</v>
      </c>
      <c r="H158" s="99"/>
      <c r="I158" s="165"/>
      <c r="J158" s="328"/>
    </row>
    <row r="159" spans="1:10" ht="29.25" customHeight="1">
      <c r="A159" s="901"/>
      <c r="B159" s="902"/>
      <c r="C159" s="903"/>
      <c r="D159" s="117"/>
      <c r="E159" s="95"/>
      <c r="F159" s="16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'2'!F161</f>
        <v>471153</v>
      </c>
      <c r="F161" s="235">
        <v>471153.56</v>
      </c>
      <c r="G161" s="238">
        <f t="shared" ref="G161:G165" si="13">F161-E161</f>
        <v>0.55999999999767169</v>
      </c>
      <c r="H161" s="99">
        <f>G161+'2'!H161</f>
        <v>0.40000000002328306</v>
      </c>
      <c r="I161" s="236"/>
      <c r="J161" s="239">
        <f>H161/DAY(B2)</f>
        <v>0.13333333334109435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'2'!F162</f>
        <v>87606</v>
      </c>
      <c r="F162" s="235">
        <v>87635.6</v>
      </c>
      <c r="G162" s="238">
        <f t="shared" si="13"/>
        <v>29.600000000005821</v>
      </c>
      <c r="H162" s="99">
        <f>G162+'2'!H162</f>
        <v>65.600000000005821</v>
      </c>
      <c r="I162" s="236"/>
      <c r="J162" s="239">
        <f>H162/DAY(B2)</f>
        <v>21.866666666668607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'2'!F163</f>
        <v>77895.5</v>
      </c>
      <c r="F163" s="235">
        <v>77946.5</v>
      </c>
      <c r="G163" s="238">
        <f t="shared" si="13"/>
        <v>51</v>
      </c>
      <c r="H163" s="99">
        <f>G163+'2'!H163</f>
        <v>121.5</v>
      </c>
      <c r="I163" s="236"/>
      <c r="J163" s="239">
        <f>H163/DAY(B2)</f>
        <v>40.5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'2'!F164</f>
        <v>4241.8999999999996</v>
      </c>
      <c r="F164" s="235">
        <v>4245.8999999999996</v>
      </c>
      <c r="G164" s="238">
        <f t="shared" si="13"/>
        <v>4</v>
      </c>
      <c r="H164" s="99">
        <f>G164+'2'!H164</f>
        <v>3.8999999999996362</v>
      </c>
      <c r="I164" s="236"/>
      <c r="J164" s="239">
        <f>H164/DAY(B2)</f>
        <v>1.2999999999998788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'2'!F165</f>
        <v>29653.45</v>
      </c>
      <c r="F165" s="235">
        <v>29660.5</v>
      </c>
      <c r="G165" s="238">
        <f t="shared" si="13"/>
        <v>7.0499999999992724</v>
      </c>
      <c r="H165" s="99">
        <f>G165+'2'!H165</f>
        <v>14.5</v>
      </c>
      <c r="I165" s="236"/>
      <c r="J165" s="239">
        <f>H165/DAY(B2)</f>
        <v>4.833333333333333</v>
      </c>
    </row>
    <row r="166" spans="1:10" ht="29.25">
      <c r="A166" s="832"/>
      <c r="B166" s="832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>
      <c r="A167" s="832"/>
      <c r="B167" s="832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>
      <c r="A168" s="832"/>
      <c r="B168" s="832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'2'!F173</f>
        <v>8126</v>
      </c>
      <c r="F173" s="155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'2'!F174</f>
        <v>38308</v>
      </c>
      <c r="F174" s="157">
        <v>38308</v>
      </c>
      <c r="G174" s="155">
        <f t="shared" ref="G174:G175" si="14">F174-E174</f>
        <v>0</v>
      </c>
      <c r="H174" s="99">
        <f>G174+'2'!H174</f>
        <v>15</v>
      </c>
      <c r="I174" s="155"/>
      <c r="J174" s="178">
        <f>H174/DAY(B2)</f>
        <v>5</v>
      </c>
    </row>
    <row r="175" spans="1:10" ht="21.75" customHeight="1">
      <c r="A175" s="836" t="s">
        <v>76</v>
      </c>
      <c r="B175" s="876"/>
      <c r="C175" s="837"/>
      <c r="D175" s="228" t="s">
        <v>142</v>
      </c>
      <c r="E175" s="95">
        <f>'2'!F175</f>
        <v>21537</v>
      </c>
      <c r="F175" s="155">
        <v>21539</v>
      </c>
      <c r="G175" s="155">
        <f t="shared" si="14"/>
        <v>2</v>
      </c>
      <c r="H175" s="99">
        <f>G175+'2'!H175</f>
        <v>21</v>
      </c>
      <c r="I175" s="155"/>
      <c r="J175" s="178">
        <f>H175/DAY(B2)</f>
        <v>7</v>
      </c>
    </row>
    <row r="176" spans="1:10" ht="21.75" customHeight="1">
      <c r="A176" s="873" t="s">
        <v>196</v>
      </c>
      <c r="B176" s="874"/>
      <c r="C176" s="875"/>
      <c r="D176" s="228"/>
      <c r="E176" s="95"/>
      <c r="F176" s="155"/>
      <c r="G176" s="155">
        <f>SUM(G173:G175)</f>
        <v>2</v>
      </c>
      <c r="H176" s="99">
        <f>G176+'2'!H176</f>
        <v>36</v>
      </c>
      <c r="I176" s="155"/>
      <c r="J176" s="178">
        <f>H176/DAY(B2)</f>
        <v>12</v>
      </c>
    </row>
    <row r="177" spans="1:10" ht="21.7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36" t="s">
        <v>210</v>
      </c>
      <c r="B178" s="837"/>
      <c r="C178" s="333"/>
      <c r="D178" s="228" t="s">
        <v>142</v>
      </c>
      <c r="E178" s="95">
        <f>'2'!F178</f>
        <v>79740</v>
      </c>
      <c r="F178" s="155">
        <v>79798</v>
      </c>
      <c r="G178" s="155">
        <f>F178-E178</f>
        <v>58</v>
      </c>
      <c r="H178" s="99">
        <f>G178+'2'!H178</f>
        <v>184</v>
      </c>
      <c r="I178" s="155"/>
      <c r="J178" s="178">
        <f>H178/DAY(B2)</f>
        <v>61.333333333333336</v>
      </c>
    </row>
    <row r="179" spans="1:10" ht="24" customHeight="1">
      <c r="A179" s="836" t="s">
        <v>211</v>
      </c>
      <c r="B179" s="837"/>
      <c r="C179" s="333"/>
      <c r="D179" s="228" t="s">
        <v>142</v>
      </c>
      <c r="E179" s="95">
        <f>'2'!F179</f>
        <v>33958</v>
      </c>
      <c r="F179" s="155">
        <v>33973</v>
      </c>
      <c r="G179" s="155">
        <f t="shared" ref="G179:G180" si="15">F179-E179</f>
        <v>15</v>
      </c>
      <c r="H179" s="99">
        <f>G179+'2'!H179</f>
        <v>58</v>
      </c>
      <c r="I179" s="155"/>
      <c r="J179" s="178">
        <f>H179/DAY(B2)</f>
        <v>19.333333333333332</v>
      </c>
    </row>
    <row r="180" spans="1:10" ht="22.5" customHeight="1">
      <c r="A180" s="836" t="s">
        <v>212</v>
      </c>
      <c r="B180" s="837"/>
      <c r="C180" s="333"/>
      <c r="D180" s="228" t="s">
        <v>142</v>
      </c>
      <c r="E180" s="95">
        <f>'2'!F180</f>
        <v>5484</v>
      </c>
      <c r="F180" s="155">
        <v>5488</v>
      </c>
      <c r="G180" s="155">
        <f t="shared" si="15"/>
        <v>4</v>
      </c>
      <c r="H180" s="99">
        <f>G180+'2'!H180</f>
        <v>11</v>
      </c>
      <c r="I180" s="155"/>
      <c r="J180" s="178">
        <f>H180/DAY(B2)</f>
        <v>3.6666666666666665</v>
      </c>
    </row>
    <row r="181" spans="1:10" ht="29.25">
      <c r="A181" s="873" t="s">
        <v>196</v>
      </c>
      <c r="B181" s="874"/>
      <c r="C181" s="875"/>
      <c r="D181" s="228"/>
      <c r="E181" s="95"/>
      <c r="F181" s="155"/>
      <c r="G181" s="155">
        <f>SUM(G178:G180)</f>
        <v>77</v>
      </c>
      <c r="H181" s="99">
        <f>G181+'2'!H181</f>
        <v>253</v>
      </c>
      <c r="I181" s="155"/>
      <c r="J181" s="178">
        <f>H181/DAY(B2)</f>
        <v>84.333333333333329</v>
      </c>
    </row>
    <row r="182" spans="1:10" ht="27" customHeight="1">
      <c r="A182" s="836" t="s">
        <v>213</v>
      </c>
      <c r="B182" s="837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36" t="s">
        <v>214</v>
      </c>
      <c r="B183" s="837"/>
      <c r="C183" s="334"/>
      <c r="D183" s="228" t="s">
        <v>142</v>
      </c>
      <c r="E183" s="95">
        <f>'2'!F183</f>
        <v>14989</v>
      </c>
      <c r="F183" s="157">
        <v>15014</v>
      </c>
      <c r="G183" s="157">
        <f>F183-E183</f>
        <v>25</v>
      </c>
      <c r="H183" s="99">
        <f>G183+'2'!H183</f>
        <v>67</v>
      </c>
      <c r="I183" s="155"/>
      <c r="J183" s="178">
        <f>H183/DAY(B2)</f>
        <v>22.333333333333332</v>
      </c>
    </row>
    <row r="184" spans="1:10" ht="25.5" customHeight="1">
      <c r="A184" s="836" t="s">
        <v>215</v>
      </c>
      <c r="B184" s="837"/>
      <c r="C184" s="334"/>
      <c r="D184" s="228" t="s">
        <v>142</v>
      </c>
      <c r="E184" s="95">
        <f>'2'!F184</f>
        <v>10320</v>
      </c>
      <c r="F184" s="157">
        <v>10326</v>
      </c>
      <c r="G184" s="157">
        <f t="shared" ref="G184:G185" si="16">F184-E184</f>
        <v>6</v>
      </c>
      <c r="H184" s="99">
        <f>G184+'2'!H184</f>
        <v>25</v>
      </c>
      <c r="I184" s="155"/>
      <c r="J184" s="178">
        <f>H184/DAY(B2)</f>
        <v>8.3333333333333339</v>
      </c>
    </row>
    <row r="185" spans="1:10" ht="27.75">
      <c r="A185" s="836" t="s">
        <v>216</v>
      </c>
      <c r="B185" s="837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>
      <c r="A186" s="873" t="s">
        <v>196</v>
      </c>
      <c r="B186" s="874"/>
      <c r="C186" s="875"/>
      <c r="D186" s="229"/>
      <c r="E186" s="95"/>
      <c r="F186" s="157"/>
      <c r="G186" s="157">
        <f>SUM(G183:G185)</f>
        <v>31</v>
      </c>
      <c r="H186" s="99">
        <f>G186+'2'!H186</f>
        <v>92</v>
      </c>
      <c r="I186" s="157"/>
      <c r="J186" s="178">
        <f>H186/DAY(B2)</f>
        <v>30.666666666666668</v>
      </c>
    </row>
    <row r="187" spans="1:10" ht="27.75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86</v>
      </c>
      <c r="H187" s="99">
        <f>G187+'2'!H187</f>
        <v>196</v>
      </c>
      <c r="I187" s="158"/>
      <c r="J187" s="179">
        <f>H187/DAY(B2)</f>
        <v>65.333333333333329</v>
      </c>
    </row>
    <row r="188" spans="1:10" ht="27.75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107</v>
      </c>
      <c r="H188" s="99">
        <f>G188+'2'!H188</f>
        <v>460</v>
      </c>
      <c r="I188" s="158"/>
      <c r="J188" s="179">
        <f>H188/DAY(B2)</f>
        <v>153.33333333333334</v>
      </c>
    </row>
    <row r="189" spans="1:10" ht="27.75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77</v>
      </c>
      <c r="H189" s="99">
        <f>G189+'2'!H189</f>
        <v>253</v>
      </c>
      <c r="I189" s="158"/>
      <c r="J189" s="179">
        <f>H189/DAY(B2)</f>
        <v>84.333333333333329</v>
      </c>
    </row>
    <row r="190" spans="1:10" ht="27.75">
      <c r="A190" s="829"/>
      <c r="B190" s="83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/>
    <row r="192" spans="1:10" ht="29.25"/>
    <row r="193" ht="29.25"/>
    <row r="194" ht="29.25"/>
    <row r="195" ht="29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Normal="48" zoomScaleSheetLayoutView="55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356</v>
      </c>
      <c r="B2" s="262">
        <v>44565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>
      <c r="A7" s="194" t="s">
        <v>129</v>
      </c>
      <c r="B7" s="195"/>
      <c r="C7" s="195"/>
      <c r="D7" s="151" t="s">
        <v>130</v>
      </c>
      <c r="E7" s="95">
        <f>'3'!F7</f>
        <v>153249</v>
      </c>
      <c r="F7" s="95">
        <v>173032.09</v>
      </c>
      <c r="G7" s="112">
        <f>F7-E7</f>
        <v>19783.089999999997</v>
      </c>
      <c r="H7" s="99">
        <f>G7+'3'!H7</f>
        <v>78471.09</v>
      </c>
      <c r="I7" s="113">
        <f>'1'!I7</f>
        <v>12000</v>
      </c>
      <c r="J7" s="175">
        <f>H7/DAY(B2)</f>
        <v>19617.772499999999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'3'!F8</f>
        <v>200756</v>
      </c>
      <c r="F8" s="114">
        <v>220974.95</v>
      </c>
      <c r="G8" s="115">
        <f>F8-E8</f>
        <v>20218.950000000012</v>
      </c>
      <c r="H8" s="99">
        <f>G8+'3'!H8</f>
        <v>80089.950000000012</v>
      </c>
      <c r="I8" s="116"/>
      <c r="J8" s="175">
        <f>H8/DAY(B2)</f>
        <v>20022.487500000003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'3'!F9</f>
        <v>2296070.1</v>
      </c>
      <c r="F9" s="117">
        <v>2308514.5</v>
      </c>
      <c r="G9" s="112">
        <f>F9-E9</f>
        <v>12444.399999999907</v>
      </c>
      <c r="H9" s="99">
        <f>G9+'3'!H9</f>
        <v>49738.5</v>
      </c>
      <c r="I9" s="124">
        <f>I7-J7</f>
        <v>-7617.7724999999991</v>
      </c>
      <c r="J9" s="175">
        <f>H9/DAY(B2)</f>
        <v>12434.625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'3'!F10</f>
        <v>560620.94999999995</v>
      </c>
      <c r="F10" s="117">
        <v>567423.27</v>
      </c>
      <c r="G10" s="112">
        <f t="shared" ref="G10:G12" si="0">F10-E10</f>
        <v>6802.3200000000652</v>
      </c>
      <c r="H10" s="99">
        <f>G10+'3'!H10</f>
        <v>26597.270000000019</v>
      </c>
      <c r="I10" s="282"/>
      <c r="J10" s="175">
        <f>H10/DAY(B2)</f>
        <v>6649.3175000000047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19246.719999999972</v>
      </c>
      <c r="H13" s="99">
        <f>G13+'3'!H13</f>
        <v>56870.519999999902</v>
      </c>
      <c r="I13" s="120">
        <f>G7-G13</f>
        <v>536.37000000002445</v>
      </c>
      <c r="J13" s="175">
        <f>H13/DAY(B2)</f>
        <v>14217.629999999976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'3'!F15</f>
        <v>1880833.4</v>
      </c>
      <c r="F15" s="123">
        <v>1881868.65</v>
      </c>
      <c r="G15" s="112">
        <f>(F15-E15)</f>
        <v>1035.25</v>
      </c>
      <c r="H15" s="99">
        <f>G15+'3'!H15</f>
        <v>3438.6499999999069</v>
      </c>
      <c r="I15" s="113">
        <f>'1'!I15</f>
        <v>800</v>
      </c>
      <c r="J15" s="175">
        <f>H15/DAY(B2)</f>
        <v>859.66249999997672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-59.662499999976717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'3'!F18</f>
        <v>30</v>
      </c>
      <c r="F18" s="122">
        <v>17</v>
      </c>
      <c r="G18" s="119">
        <f>F18*10</f>
        <v>170</v>
      </c>
      <c r="H18" s="99">
        <f>G18+'3'!H18</f>
        <v>470</v>
      </c>
      <c r="I18" s="113">
        <f>'1'!I18</f>
        <v>65</v>
      </c>
      <c r="J18" s="175">
        <f>H18/DAY(B2)</f>
        <v>117.5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'3'!F19</f>
        <v>152391</v>
      </c>
      <c r="F19" s="122">
        <v>152440</v>
      </c>
      <c r="G19" s="112">
        <f t="shared" ref="G19" si="1">F19-E19</f>
        <v>49</v>
      </c>
      <c r="H19" s="99">
        <f>G19+'3'!H19</f>
        <v>215</v>
      </c>
      <c r="I19" s="335"/>
      <c r="J19" s="175">
        <f>H19/DAY(B2)</f>
        <v>53.75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219</v>
      </c>
      <c r="H20" s="99">
        <f>G20+'3'!H20</f>
        <v>685</v>
      </c>
      <c r="I20" s="336">
        <f>I18-J20</f>
        <v>-106.25</v>
      </c>
      <c r="J20" s="175">
        <f>H20/DAY(B2)</f>
        <v>171.25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20218.950000000012</v>
      </c>
      <c r="F27" s="136">
        <v>9</v>
      </c>
      <c r="G27" s="137">
        <f>E27*F27</f>
        <v>181970.5500000001</v>
      </c>
      <c r="H27" s="99">
        <f>G27+'3'!H27</f>
        <v>720809.55</v>
      </c>
      <c r="I27" s="138"/>
      <c r="J27" s="175">
        <f>H27/DAY(B2)</f>
        <v>180202.38750000001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1035.25</v>
      </c>
      <c r="F28" s="136">
        <v>52</v>
      </c>
      <c r="G28" s="137">
        <f>E28*F28</f>
        <v>53833</v>
      </c>
      <c r="H28" s="99">
        <f>G28+'3'!H28</f>
        <v>178809.79999999516</v>
      </c>
      <c r="I28" s="140"/>
      <c r="J28" s="175">
        <f>H28/DAY(B2)</f>
        <v>44702.449999998789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G30+'3'!H30</f>
        <v>31390</v>
      </c>
      <c r="I30" s="140"/>
      <c r="J30" s="175">
        <f>H30/DAY(B2)</f>
        <v>7847.5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G31+'3'!H31</f>
        <v>37600</v>
      </c>
      <c r="I31" s="140"/>
      <c r="J31" s="175">
        <f>H31/DAY(B2)</f>
        <v>9400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256557.5500000001</v>
      </c>
      <c r="H32" s="99">
        <f>G32+'3'!H32</f>
        <v>968609.3499999952</v>
      </c>
      <c r="I32" s="144"/>
      <c r="J32" s="175">
        <f>H32/DAY(B2)</f>
        <v>242152.3374999988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'3'!F35</f>
        <v>158786.95000000001</v>
      </c>
      <c r="F35" s="145">
        <v>160674.78</v>
      </c>
      <c r="G35" s="112">
        <f t="shared" ref="G35:G46" si="3">F35-E35</f>
        <v>1887.8299999999872</v>
      </c>
      <c r="H35" s="99">
        <f>G35+'3'!H35</f>
        <v>7832.7799999999988</v>
      </c>
      <c r="I35" s="95"/>
      <c r="J35" s="175">
        <f>H35/DAY(B2)</f>
        <v>1958.1949999999997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'3'!F36</f>
        <v>23952.22</v>
      </c>
      <c r="F36" s="145">
        <v>24679.25</v>
      </c>
      <c r="G36" s="112">
        <f t="shared" si="3"/>
        <v>727.02999999999884</v>
      </c>
      <c r="H36" s="99">
        <f>G36+'3'!H36</f>
        <v>3152.25</v>
      </c>
      <c r="I36" s="95"/>
      <c r="J36" s="175">
        <f>H36/DAY(B2)</f>
        <v>788.0625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'3'!F37</f>
        <v>199989.95</v>
      </c>
      <c r="F37" s="145">
        <v>201516.83</v>
      </c>
      <c r="G37" s="112">
        <f t="shared" si="3"/>
        <v>1526.8799999999756</v>
      </c>
      <c r="H37" s="99">
        <f>G37+'3'!H37</f>
        <v>6123.8299999999872</v>
      </c>
      <c r="I37" s="95"/>
      <c r="J37" s="175">
        <f>H37/DAY(B2)</f>
        <v>1530.9574999999968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'3'!F38</f>
        <v>237187.13</v>
      </c>
      <c r="F38" s="108">
        <v>238939.49</v>
      </c>
      <c r="G38" s="112">
        <f t="shared" si="3"/>
        <v>1752.359999999986</v>
      </c>
      <c r="H38" s="99">
        <f>G38+'3'!H38</f>
        <v>6457.4899999999907</v>
      </c>
      <c r="I38" s="95"/>
      <c r="J38" s="175">
        <f>H38/DAY(B2)</f>
        <v>1614.3724999999977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'3'!F39</f>
        <v>419283.99</v>
      </c>
      <c r="F39" s="145">
        <v>422024.51</v>
      </c>
      <c r="G39" s="112">
        <f t="shared" si="3"/>
        <v>2740.5200000000186</v>
      </c>
      <c r="H39" s="99">
        <f>G39+'3'!H39</f>
        <v>10945.510000000009</v>
      </c>
      <c r="I39" s="95"/>
      <c r="J39" s="175">
        <f>H39/DAY(B2)</f>
        <v>2736.3775000000023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'3'!F40</f>
        <v>5609.98</v>
      </c>
      <c r="F40" s="145">
        <v>5609.98</v>
      </c>
      <c r="G40" s="112">
        <f t="shared" si="3"/>
        <v>0</v>
      </c>
      <c r="H40" s="99">
        <f>G40+'3'!H40</f>
        <v>-2.0000000000436557E-2</v>
      </c>
      <c r="I40" s="95"/>
      <c r="J40" s="175">
        <f>H40/DAY(B2)</f>
        <v>-5.0000000001091394E-3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'3'!F41</f>
        <v>0</v>
      </c>
      <c r="F41" s="145">
        <v>0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'3'!F42</f>
        <v>73808.600000000006</v>
      </c>
      <c r="F42" s="145">
        <v>73808.600000000006</v>
      </c>
      <c r="G42" s="112">
        <f t="shared" si="3"/>
        <v>0</v>
      </c>
      <c r="H42" s="99">
        <f>G42+'3'!H42</f>
        <v>-0.39999999999417923</v>
      </c>
      <c r="I42" s="95"/>
      <c r="J42" s="175">
        <f>H42/DAY(B2)</f>
        <v>-9.9999999998544808E-2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'3'!F43</f>
        <v>54679.07</v>
      </c>
      <c r="F43" s="145">
        <v>57123.72</v>
      </c>
      <c r="G43" s="112">
        <f t="shared" si="3"/>
        <v>2444.6500000000015</v>
      </c>
      <c r="H43" s="99">
        <f>G43+'3'!H43</f>
        <v>9862.7200000000012</v>
      </c>
      <c r="I43" s="95"/>
      <c r="J43" s="175">
        <f>H43/DAY(B2)</f>
        <v>2465.6800000000003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11079.269999999968</v>
      </c>
      <c r="H47" s="99">
        <f>G47+'3'!H47</f>
        <v>44374.159999999996</v>
      </c>
      <c r="I47" s="95"/>
      <c r="J47" s="175">
        <f>H47/DAY(B2)</f>
        <v>11093.539999999999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'3'!F49</f>
        <v>277381</v>
      </c>
      <c r="F49" s="552">
        <v>278816.03000000003</v>
      </c>
      <c r="G49" s="112">
        <f t="shared" ref="G49:G58" si="4">F49-E49</f>
        <v>1435.0300000000279</v>
      </c>
      <c r="H49" s="99">
        <f>G49+'3'!H49</f>
        <v>6576.0300000000279</v>
      </c>
      <c r="I49" s="95"/>
      <c r="J49" s="175">
        <f>H49/DAY(B2)</f>
        <v>1644.007500000007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'3'!F50</f>
        <v>28002.21</v>
      </c>
      <c r="F50" s="145">
        <v>29038.62</v>
      </c>
      <c r="G50" s="112">
        <f t="shared" si="4"/>
        <v>1036.4099999999999</v>
      </c>
      <c r="H50" s="99">
        <f>G50+'3'!H50</f>
        <v>4388.619999999999</v>
      </c>
      <c r="I50" s="95"/>
      <c r="J50" s="175">
        <f>H50/DAY(B2)</f>
        <v>1097.1549999999997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v>0</v>
      </c>
      <c r="F54" s="145">
        <v>198.08</v>
      </c>
      <c r="G54" s="112">
        <f t="shared" si="4"/>
        <v>198.08</v>
      </c>
      <c r="H54" s="99">
        <f>G54+'3'!H54</f>
        <v>212.15999999999994</v>
      </c>
      <c r="I54" s="95"/>
      <c r="J54" s="175">
        <f>H54/DAY(B2)</f>
        <v>53.039999999999985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'3'!F55</f>
        <v>12137.46</v>
      </c>
      <c r="F55" s="145">
        <v>15284.25</v>
      </c>
      <c r="G55" s="112">
        <f t="shared" si="4"/>
        <v>3146.7900000000009</v>
      </c>
      <c r="H55" s="99">
        <f>G55+'3'!H55</f>
        <v>11773.25</v>
      </c>
      <c r="I55" s="95"/>
      <c r="J55" s="175">
        <f>H55/DAY(B2)</f>
        <v>2943.3125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'3'!F56</f>
        <v>8610.5400000000009</v>
      </c>
      <c r="F56" s="145">
        <v>8610.5400000000009</v>
      </c>
      <c r="G56" s="112">
        <f t="shared" si="4"/>
        <v>0</v>
      </c>
      <c r="H56" s="99">
        <f>G56+'3'!H56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v>0</v>
      </c>
      <c r="F58" s="145">
        <v>173.66</v>
      </c>
      <c r="G58" s="112">
        <f t="shared" si="4"/>
        <v>173.66</v>
      </c>
      <c r="H58" s="99">
        <f>G58+'3'!H58</f>
        <v>514.29000000000462</v>
      </c>
      <c r="I58" s="95"/>
      <c r="J58" s="175">
        <f>H58/DAY(B2)</f>
        <v>128.57250000000116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5989.9700000000284</v>
      </c>
      <c r="H59" s="99">
        <f>G59+'3'!H59</f>
        <v>23464.350000000035</v>
      </c>
      <c r="I59" s="95">
        <f>G7-G60</f>
        <v>2713.8499999999985</v>
      </c>
      <c r="J59" s="175">
        <f>H59/DAY(B2)</f>
        <v>5866.0875000000087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17069.239999999998</v>
      </c>
      <c r="H60" s="99">
        <f>G60+'3'!H60</f>
        <v>67838.510000000024</v>
      </c>
      <c r="I60" s="95">
        <f>G13-G60</f>
        <v>2177.4799999999741</v>
      </c>
      <c r="J60" s="175">
        <f>H60/DAY(B2)</f>
        <v>16959.627500000006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'3'!F62</f>
        <v>267243</v>
      </c>
      <c r="F62" s="122">
        <v>267343</v>
      </c>
      <c r="G62" s="112">
        <f t="shared" ref="G62:G63" si="5">F62-E62</f>
        <v>100</v>
      </c>
      <c r="H62" s="99">
        <f>G62+'3'!H62</f>
        <v>130</v>
      </c>
      <c r="I62" s="118"/>
      <c r="J62" s="175">
        <f>H62/DAY(B2)</f>
        <v>32.5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'3'!F63</f>
        <v>212733</v>
      </c>
      <c r="F63" s="122">
        <v>212885</v>
      </c>
      <c r="G63" s="112">
        <f t="shared" si="5"/>
        <v>152</v>
      </c>
      <c r="H63" s="99">
        <f>G63+'3'!H63</f>
        <v>460</v>
      </c>
      <c r="I63" s="118"/>
      <c r="J63" s="175">
        <f>H63/DAY(B2)</f>
        <v>115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122"/>
      <c r="F64" s="122"/>
      <c r="G64" s="112">
        <f>G62+G63</f>
        <v>252</v>
      </c>
      <c r="H64" s="99">
        <f>G64+'3'!H64</f>
        <v>590</v>
      </c>
      <c r="I64" s="118"/>
      <c r="J64" s="175">
        <f>H64/DAY(B2)</f>
        <v>147.5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'3'!F65</f>
        <v>432812</v>
      </c>
      <c r="F65" s="122">
        <v>432893</v>
      </c>
      <c r="G65" s="112">
        <f t="shared" ref="G65:G70" si="6">F65-E65</f>
        <v>81</v>
      </c>
      <c r="H65" s="99">
        <f>G65+'3'!H65</f>
        <v>279</v>
      </c>
      <c r="I65" s="118"/>
      <c r="J65" s="175">
        <f>H65/DAY(B2)</f>
        <v>69.75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'3'!F66</f>
        <v>107287</v>
      </c>
      <c r="F66" s="122">
        <v>107308</v>
      </c>
      <c r="G66" s="112">
        <f t="shared" si="6"/>
        <v>21</v>
      </c>
      <c r="H66" s="99">
        <f>G66+'3'!H66</f>
        <v>94</v>
      </c>
      <c r="I66" s="118"/>
      <c r="J66" s="175">
        <f>H66/DAY(B2)</f>
        <v>23.5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'3'!F67</f>
        <v>104027</v>
      </c>
      <c r="F67" s="122">
        <v>104054</v>
      </c>
      <c r="G67" s="112">
        <f t="shared" si="6"/>
        <v>27</v>
      </c>
      <c r="H67" s="99">
        <f>G67+'3'!H67</f>
        <v>126</v>
      </c>
      <c r="I67" s="118"/>
      <c r="J67" s="175">
        <f>H67/DAY(B2)</f>
        <v>31.5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'3'!F68</f>
        <v>156653</v>
      </c>
      <c r="F68" s="122">
        <v>156680</v>
      </c>
      <c r="G68" s="112">
        <f t="shared" si="6"/>
        <v>27</v>
      </c>
      <c r="H68" s="99">
        <f>G68+'3'!H68</f>
        <v>60</v>
      </c>
      <c r="I68" s="118"/>
      <c r="J68" s="175">
        <f>H68/DAY(B2)</f>
        <v>15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'3'!F69</f>
        <v>10272</v>
      </c>
      <c r="F69" s="164">
        <v>10279</v>
      </c>
      <c r="G69" s="112">
        <f t="shared" si="6"/>
        <v>7</v>
      </c>
      <c r="H69" s="99">
        <f>G69+'3'!H69</f>
        <v>65</v>
      </c>
      <c r="I69" s="118"/>
      <c r="J69" s="175">
        <f>H69/DAY(B2)</f>
        <v>16.25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'3'!F70</f>
        <v>7894</v>
      </c>
      <c r="F70" s="122">
        <v>7900</v>
      </c>
      <c r="G70" s="112">
        <f t="shared" si="6"/>
        <v>6</v>
      </c>
      <c r="H70" s="99">
        <f>G70+'3'!H70</f>
        <v>38</v>
      </c>
      <c r="I70" s="118"/>
      <c r="J70" s="175">
        <f>H70/DAY(B2)</f>
        <v>9.5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169</v>
      </c>
      <c r="H71" s="99">
        <f>G71+'3'!H71</f>
        <v>662</v>
      </c>
      <c r="I71" s="154"/>
      <c r="J71" s="175">
        <f>H71/DAY(B2)</f>
        <v>165.5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'3'!F74</f>
        <v>892798.36</v>
      </c>
      <c r="F74" s="117">
        <v>893116.23</v>
      </c>
      <c r="G74" s="112">
        <f t="shared" ref="G74:G78" si="7">F74-E74</f>
        <v>317.86999999999534</v>
      </c>
      <c r="H74" s="99">
        <f>G74+'3'!H74</f>
        <v>1084.2299999999814</v>
      </c>
      <c r="I74" s="154"/>
      <c r="J74" s="175">
        <f>H74/DAY(B2)</f>
        <v>271.05749999999534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'3'!F76</f>
        <v>167499</v>
      </c>
      <c r="F76" s="123">
        <v>167593.32</v>
      </c>
      <c r="G76" s="112">
        <f t="shared" si="7"/>
        <v>94.320000000006985</v>
      </c>
      <c r="H76" s="99">
        <f>G76+'3'!H76</f>
        <v>386.32000000000698</v>
      </c>
      <c r="I76" s="154"/>
      <c r="J76" s="175">
        <f>H76/DAY(B2)</f>
        <v>96.580000000001746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'3'!F77</f>
        <v>40418.1</v>
      </c>
      <c r="F77" s="123">
        <v>40441</v>
      </c>
      <c r="G77" s="112">
        <f t="shared" si="7"/>
        <v>22.900000000001455</v>
      </c>
      <c r="H77" s="99">
        <f>G77+'3'!H77</f>
        <v>125</v>
      </c>
      <c r="I77" s="154"/>
      <c r="J77" s="175">
        <f>H77/DAY(B2)</f>
        <v>31.25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'3'!F78</f>
        <v>9489.2999999999993</v>
      </c>
      <c r="F78" s="123">
        <v>9490</v>
      </c>
      <c r="G78" s="112">
        <f t="shared" si="7"/>
        <v>0.7000000000007276</v>
      </c>
      <c r="H78" s="99">
        <f>G78+'3'!H78</f>
        <v>4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'3'!F79</f>
        <v>0</v>
      </c>
      <c r="F79" s="117"/>
      <c r="G79" s="112">
        <f>G15-SUM(G74:G78)</f>
        <v>599.45999999999549</v>
      </c>
      <c r="H79" s="99">
        <f>G79+'3'!H79</f>
        <v>1839.0999999999185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1035.25</v>
      </c>
      <c r="H80" s="99">
        <f>G80+'3'!H80</f>
        <v>2368.564000000013</v>
      </c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'3'!F85</f>
        <v>2096.56</v>
      </c>
      <c r="F85" s="164">
        <v>2096.56</v>
      </c>
      <c r="G85" s="236">
        <f t="shared" si="8"/>
        <v>0</v>
      </c>
      <c r="H85" s="99">
        <f>G85+'3'!H85</f>
        <v>0</v>
      </c>
      <c r="I85" s="118">
        <f>G82+G83+G84+G85</f>
        <v>0.26000000000203727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'3'!F86</f>
        <v>42935.15</v>
      </c>
      <c r="F86" s="164">
        <v>42959.57</v>
      </c>
      <c r="G86" s="112">
        <f t="shared" si="8"/>
        <v>24.419999999998254</v>
      </c>
      <c r="H86" s="99">
        <f>G86+'3'!H86</f>
        <v>96.569999999999709</v>
      </c>
      <c r="I86" s="118"/>
      <c r="J86" s="175">
        <f>H86/DAY(B2)</f>
        <v>24.142499999999927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'3'!F87</f>
        <v>34598.550000000003</v>
      </c>
      <c r="F87" s="164">
        <v>34598.550000000003</v>
      </c>
      <c r="G87" s="112">
        <f t="shared" si="8"/>
        <v>0</v>
      </c>
      <c r="H87" s="99">
        <f>G87+'3'!H87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'3'!F88</f>
        <v>24056.07</v>
      </c>
      <c r="F88" s="164">
        <v>24058.06</v>
      </c>
      <c r="G88" s="112">
        <f t="shared" si="8"/>
        <v>1.9900000000016007</v>
      </c>
      <c r="H88" s="99">
        <f>G88+'3'!H88</f>
        <v>11.06000000000131</v>
      </c>
      <c r="I88" s="118">
        <f>G86+G87+G88</f>
        <v>26.409999999999854</v>
      </c>
      <c r="J88" s="175">
        <f>H88/DAY(B2)</f>
        <v>2.7650000000003274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'3'!F89</f>
        <v>25667.56</v>
      </c>
      <c r="F89" s="164">
        <v>25676.28</v>
      </c>
      <c r="G89" s="112">
        <f t="shared" si="8"/>
        <v>8.7199999999975262</v>
      </c>
      <c r="H89" s="99">
        <f>G89+'3'!H89</f>
        <v>13.279999999998836</v>
      </c>
      <c r="I89" s="118"/>
      <c r="J89" s="175">
        <f>H89/DAY(B2)</f>
        <v>3.319999999999709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'3'!F90</f>
        <v>71052</v>
      </c>
      <c r="F90" s="164">
        <v>71056.14</v>
      </c>
      <c r="G90" s="112">
        <f t="shared" si="8"/>
        <v>4.1399999999994179</v>
      </c>
      <c r="H90" s="99">
        <f>G90+'3'!H90</f>
        <v>22.139999999999418</v>
      </c>
      <c r="I90" s="118">
        <f>G89+G90</f>
        <v>12.859999999996944</v>
      </c>
      <c r="J90" s="175">
        <f>H90/DAY(B2)</f>
        <v>5.5349999999998545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'3'!F92</f>
        <v>5465.21</v>
      </c>
      <c r="F92" s="122">
        <v>5476.3</v>
      </c>
      <c r="G92" s="112">
        <f t="shared" si="8"/>
        <v>11.090000000000146</v>
      </c>
      <c r="H92" s="99">
        <f>G92+'3'!H92</f>
        <v>38.300000000000182</v>
      </c>
      <c r="I92" s="165"/>
      <c r="J92" s="175">
        <f>H92/DAY(B2)</f>
        <v>9.5750000000000455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5767.5100000000166</v>
      </c>
      <c r="H94" s="99">
        <f>G94+'3'!H94</f>
        <v>24271.530000000028</v>
      </c>
      <c r="I94" s="118"/>
      <c r="J94" s="175">
        <f>H94/DAY(B2)</f>
        <v>6067.882500000007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0.2915373685303973</v>
      </c>
      <c r="H95" s="99">
        <f>G95+'3'!H95</f>
        <v>1.2376349132634819</v>
      </c>
      <c r="I95" s="167"/>
      <c r="J95" s="175">
        <f>H95/DAY(B2)</f>
        <v>0.30940872831587046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3146.7900000000009</v>
      </c>
      <c r="H96" s="99">
        <f>G96+'3'!H96</f>
        <v>11772.850000000006</v>
      </c>
      <c r="I96" s="118"/>
      <c r="J96" s="175">
        <f>H96/DAY(B2)</f>
        <v>2943.2125000000015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0.15906463550436264</v>
      </c>
      <c r="H97" s="99">
        <f>G97+'3'!H97</f>
        <v>0.60090253565353491</v>
      </c>
      <c r="I97" s="167"/>
      <c r="J97" s="175">
        <f>H97/DAY(B2)</f>
        <v>0.15022563391338373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2740.5200000000186</v>
      </c>
      <c r="H98" s="99">
        <f>G98+'3'!H98</f>
        <v>10945.510000000009</v>
      </c>
      <c r="I98" s="168"/>
      <c r="J98" s="175">
        <f>H98/DAY(B2)</f>
        <v>2736.3775000000023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0.13852840986923778</v>
      </c>
      <c r="H99" s="99">
        <f>G99+'3'!H99</f>
        <v>0.55810571186987157</v>
      </c>
      <c r="I99" s="168"/>
      <c r="J99" s="175">
        <f>H99/DAY(B2)</f>
        <v>0.13952642796746789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1752.359999999986</v>
      </c>
      <c r="H100" s="99">
        <f>G100+'3'!H100</f>
        <v>6457.4899999999907</v>
      </c>
      <c r="I100" s="118"/>
      <c r="J100" s="175">
        <f>H100/DAY(B2)</f>
        <v>1614.3724999999977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8.8578680074750019E-2</v>
      </c>
      <c r="H101" s="99">
        <f>G101+'3'!H101</f>
        <v>0.32896363444713517</v>
      </c>
      <c r="I101" s="168"/>
      <c r="J101" s="175">
        <f>H101/DAY(B2)</f>
        <v>8.2240908611783792E-2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1763.4399999999987</v>
      </c>
      <c r="H102" s="99">
        <f>G102+'3'!H102</f>
        <v>7540.869999999999</v>
      </c>
      <c r="I102" s="168"/>
      <c r="J102" s="175">
        <f>H102/DAY(B2)</f>
        <v>1885.2174999999997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8.9138754360415837E-2</v>
      </c>
      <c r="H103" s="99">
        <f>G103+'3'!H103</f>
        <v>0.38415505469740419</v>
      </c>
      <c r="I103" s="118"/>
      <c r="J103" s="175">
        <f>H103/DAY(B2)</f>
        <v>9.6038763674351046E-2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1526.8799999999756</v>
      </c>
      <c r="H104" s="99">
        <f>G104+'3'!H104</f>
        <v>6123.8299999999872</v>
      </c>
      <c r="I104" s="118"/>
      <c r="J104" s="175">
        <f>H104/DAY(B2)</f>
        <v>1530.9574999999968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7.718106726502158E-2</v>
      </c>
      <c r="H105" s="99">
        <f>G105+'3'!H105</f>
        <v>0.31216707161384483</v>
      </c>
      <c r="I105" s="187"/>
      <c r="J105" s="188">
        <f>H105/DAY(B2)</f>
        <v>7.8041767903461207E-2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'3'!F112</f>
        <v>55886.89</v>
      </c>
      <c r="F112" s="237">
        <v>55960.22</v>
      </c>
      <c r="G112" s="112">
        <f t="shared" ref="G112:G123" si="9">F112-E112</f>
        <v>73.330000000001746</v>
      </c>
      <c r="H112" s="99">
        <f>G112+'3'!H112</f>
        <v>279.22000000000116</v>
      </c>
      <c r="I112" s="165"/>
      <c r="J112" s="328">
        <f>H112/DAY(B2)</f>
        <v>69.805000000000291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'3'!F113</f>
        <v>33563</v>
      </c>
      <c r="F113" s="237">
        <v>34018.86</v>
      </c>
      <c r="G113" s="112">
        <f t="shared" si="9"/>
        <v>455.86000000000058</v>
      </c>
      <c r="H113" s="99">
        <f>G113+'3'!H113</f>
        <v>1823.8600000000006</v>
      </c>
      <c r="I113" s="165"/>
      <c r="J113" s="328">
        <f>H113/DAY(B2)</f>
        <v>455.96500000000015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'3'!F114</f>
        <v>25683.7</v>
      </c>
      <c r="F114" s="237">
        <v>25950.21</v>
      </c>
      <c r="G114" s="112">
        <f t="shared" si="9"/>
        <v>266.5099999999984</v>
      </c>
      <c r="H114" s="99">
        <f>G114+'3'!H114</f>
        <v>1079.2099999999991</v>
      </c>
      <c r="I114" s="165"/>
      <c r="J114" s="328">
        <f>H114/DAY(B2)</f>
        <v>269.80249999999978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'3'!F115</f>
        <v>8813.23</v>
      </c>
      <c r="F115" s="237">
        <v>8822.5300000000007</v>
      </c>
      <c r="G115" s="112">
        <f t="shared" si="9"/>
        <v>9.3000000000010914</v>
      </c>
      <c r="H115" s="99">
        <f>G115+'3'!H115</f>
        <v>37.530000000000655</v>
      </c>
      <c r="I115" s="165"/>
      <c r="J115" s="328">
        <f>H115/DAY(B2)</f>
        <v>9.3825000000001637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'3'!F117</f>
        <v>2652.96</v>
      </c>
      <c r="F117" s="237">
        <v>2684.43</v>
      </c>
      <c r="G117" s="112">
        <f t="shared" si="9"/>
        <v>31.4699999999998</v>
      </c>
      <c r="H117" s="99">
        <f>G117+'3'!H117</f>
        <v>94.429999999999836</v>
      </c>
      <c r="I117" s="165"/>
      <c r="J117" s="328">
        <f>H117/DAY(B2)</f>
        <v>23.607499999999959</v>
      </c>
      <c r="Q117" s="843" t="s">
        <v>312</v>
      </c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'3'!F118</f>
        <v>242766.49</v>
      </c>
      <c r="F118" s="237">
        <v>243150.55</v>
      </c>
      <c r="G118" s="112">
        <f t="shared" si="9"/>
        <v>384.05999999999767</v>
      </c>
      <c r="H118" s="99">
        <f>G118+'3'!H118</f>
        <v>1503.5499999999884</v>
      </c>
      <c r="I118" s="165"/>
      <c r="J118" s="328">
        <f>H118/DAY(B2)</f>
        <v>375.88749999999709</v>
      </c>
      <c r="Q118" s="843" t="s">
        <v>311</v>
      </c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'3'!F119</f>
        <v>246430.55</v>
      </c>
      <c r="F119" s="237">
        <v>246869.31</v>
      </c>
      <c r="G119" s="112">
        <f t="shared" si="9"/>
        <v>438.76000000000931</v>
      </c>
      <c r="H119" s="99">
        <f>G119+'3'!H119</f>
        <v>1743.3099999999977</v>
      </c>
      <c r="I119" s="165"/>
      <c r="J119" s="328">
        <f>H119/DAY(B2)</f>
        <v>435.82749999999942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'3'!F120</f>
        <v>31362.45</v>
      </c>
      <c r="F120" s="237">
        <v>31775.45</v>
      </c>
      <c r="G120" s="112">
        <f t="shared" si="9"/>
        <v>413</v>
      </c>
      <c r="H120" s="99">
        <f>G120+'3'!H120</f>
        <v>1697.4500000000007</v>
      </c>
      <c r="I120" s="165"/>
      <c r="J120" s="328">
        <f>H120/DAY(B2)</f>
        <v>424.36250000000018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'3'!F121</f>
        <v>378842.15</v>
      </c>
      <c r="F121" s="237">
        <v>379626.59</v>
      </c>
      <c r="G121" s="112">
        <f t="shared" si="9"/>
        <v>784.44000000000233</v>
      </c>
      <c r="H121" s="99">
        <f>G121+'3'!H121</f>
        <v>3097.5900000000256</v>
      </c>
      <c r="I121" s="165"/>
      <c r="J121" s="328">
        <f>H121/DAY(B2)</f>
        <v>774.3975000000064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'3'!F122</f>
        <v>120716.54</v>
      </c>
      <c r="F122" s="237">
        <v>120962.1</v>
      </c>
      <c r="G122" s="112">
        <f t="shared" si="9"/>
        <v>245.56000000001222</v>
      </c>
      <c r="H122" s="99">
        <f>G122+'3'!H122</f>
        <v>912.10000000000582</v>
      </c>
      <c r="I122" s="165"/>
      <c r="J122" s="328">
        <f>H122/DAY(B2)</f>
        <v>228.02500000000146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'3'!F123</f>
        <v>146156.89000000001</v>
      </c>
      <c r="F123" s="237">
        <v>146478.67000000001</v>
      </c>
      <c r="G123" s="112">
        <f t="shared" si="9"/>
        <v>321.77999999999884</v>
      </c>
      <c r="H123" s="99">
        <f>G123+'3'!H123</f>
        <v>1353.6700000000128</v>
      </c>
      <c r="I123" s="165"/>
      <c r="J123" s="328">
        <f>H123/DAY(B2)</f>
        <v>338.4175000000032</v>
      </c>
    </row>
    <row r="124" spans="1:18" ht="29.25" customHeight="1">
      <c r="A124" s="847"/>
      <c r="B124" s="848"/>
      <c r="C124" s="849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>
      <c r="A125" s="589" t="s">
        <v>196</v>
      </c>
      <c r="B125" s="590"/>
      <c r="C125" s="591"/>
      <c r="D125" s="307"/>
      <c r="E125" s="308"/>
      <c r="F125" s="308"/>
      <c r="G125" s="309">
        <f>SUM(G112:G124)</f>
        <v>3424.070000000022</v>
      </c>
      <c r="H125" s="156"/>
      <c r="I125" s="327">
        <f>G125-(G39+G53)</f>
        <v>683.55000000000337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'3'!F128</f>
        <v>39060.46</v>
      </c>
      <c r="F128" s="165">
        <v>39388.42</v>
      </c>
      <c r="G128" s="112">
        <f t="shared" ref="G128:G134" si="10">F128-E128</f>
        <v>327.95999999999913</v>
      </c>
      <c r="H128" s="99">
        <f>G128+'3'!H128</f>
        <v>1384.4199999999983</v>
      </c>
      <c r="I128" s="165"/>
      <c r="J128" s="328">
        <f>H128/DAY(B2)</f>
        <v>346.10499999999956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'3'!F129</f>
        <v>20938.84</v>
      </c>
      <c r="F129" s="165">
        <v>21201.37</v>
      </c>
      <c r="G129" s="112">
        <f t="shared" si="10"/>
        <v>262.52999999999884</v>
      </c>
      <c r="H129" s="99">
        <f>G129+'3'!H129</f>
        <v>880.36999999999898</v>
      </c>
      <c r="I129" s="165"/>
      <c r="J129" s="328">
        <f>H129/DAY(B2)</f>
        <v>220.09249999999975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'3'!F130</f>
        <v>20550.099999999999</v>
      </c>
      <c r="F130" s="165">
        <v>21202.17</v>
      </c>
      <c r="G130" s="112">
        <f t="shared" si="10"/>
        <v>652.06999999999971</v>
      </c>
      <c r="H130" s="99">
        <f>G130+'3'!H130</f>
        <v>2820.1699999999983</v>
      </c>
      <c r="I130" s="165"/>
      <c r="J130" s="328">
        <f>H130/DAY(B2)</f>
        <v>705.04249999999956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'3'!F131</f>
        <v>13412</v>
      </c>
      <c r="F131" s="165">
        <v>13484.52</v>
      </c>
      <c r="G131" s="112">
        <f t="shared" si="10"/>
        <v>72.520000000000437</v>
      </c>
      <c r="H131" s="99">
        <f>G131+'3'!H131</f>
        <v>331.52000000000044</v>
      </c>
      <c r="I131" s="165"/>
      <c r="J131" s="328">
        <f>H131/DAY(B2)</f>
        <v>82.880000000000109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'3'!F132</f>
        <v>42365.21</v>
      </c>
      <c r="F132" s="165">
        <v>42815.69</v>
      </c>
      <c r="G132" s="112">
        <f t="shared" si="10"/>
        <v>450.4800000000032</v>
      </c>
      <c r="H132" s="99">
        <f>G132+'3'!H132</f>
        <v>1792.6900000000023</v>
      </c>
      <c r="I132" s="165"/>
      <c r="J132" s="328">
        <f>H132/DAY(B2)</f>
        <v>448.17250000000058</v>
      </c>
    </row>
    <row r="133" spans="1:15" ht="27.75">
      <c r="A133" s="843" t="s">
        <v>323</v>
      </c>
      <c r="B133" s="844"/>
      <c r="C133" s="845"/>
      <c r="D133" s="151" t="s">
        <v>183</v>
      </c>
      <c r="E133" s="95">
        <f>'3'!F133</f>
        <v>90206.44</v>
      </c>
      <c r="F133" s="165">
        <v>91046.62</v>
      </c>
      <c r="G133" s="112">
        <f t="shared" si="10"/>
        <v>840.17999999999302</v>
      </c>
      <c r="H133" s="99">
        <f>G133+'3'!H133</f>
        <v>3343.6199999999953</v>
      </c>
      <c r="I133" s="165"/>
      <c r="J133" s="328">
        <f>H133/DAY(B2)</f>
        <v>835.90499999999884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'3'!F134</f>
        <v>670802</v>
      </c>
      <c r="F134" s="165">
        <v>671437</v>
      </c>
      <c r="G134" s="112">
        <f t="shared" si="10"/>
        <v>635</v>
      </c>
      <c r="H134" s="99">
        <f>G134+'3'!H134</f>
        <v>2557</v>
      </c>
      <c r="I134" s="165"/>
      <c r="J134" s="328">
        <f>H134/DAY(B2)</f>
        <v>639.25</v>
      </c>
    </row>
    <row r="135" spans="1:15" ht="29.25">
      <c r="A135" s="873" t="s">
        <v>196</v>
      </c>
      <c r="B135" s="874"/>
      <c r="C135" s="875"/>
      <c r="D135" s="151"/>
      <c r="E135" s="95"/>
      <c r="F135" s="165"/>
      <c r="G135" s="112">
        <f>SUM(G128:G134)</f>
        <v>3240.7399999999943</v>
      </c>
      <c r="H135" s="99">
        <f>G135+'3'!H135</f>
        <v>13109.789999999994</v>
      </c>
      <c r="I135" s="327">
        <f>G135-(G35+G49)</f>
        <v>-82.120000000020809</v>
      </c>
      <c r="J135" s="328">
        <f>H135/DAY(B2)</f>
        <v>3277.4474999999984</v>
      </c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'3'!F138</f>
        <v>864407</v>
      </c>
      <c r="F138" s="147">
        <v>864477</v>
      </c>
      <c r="G138" s="112">
        <f t="shared" ref="G138:G152" si="11">F138-E138</f>
        <v>70</v>
      </c>
      <c r="H138" s="99">
        <f>G138+'3'!H138</f>
        <v>306</v>
      </c>
      <c r="I138" s="118"/>
      <c r="J138" s="328">
        <f>H138/DAY(B2)</f>
        <v>76.5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'3'!F139</f>
        <v>886547</v>
      </c>
      <c r="F139" s="148">
        <v>886547</v>
      </c>
      <c r="G139" s="112">
        <f t="shared" si="11"/>
        <v>0</v>
      </c>
      <c r="H139" s="99">
        <f>G139+'3'!H139</f>
        <v>1</v>
      </c>
      <c r="I139" s="118"/>
      <c r="J139" s="328">
        <f>H139/DAY(B2)</f>
        <v>0.25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'3'!F140</f>
        <v>88895.9</v>
      </c>
      <c r="F140" s="149">
        <v>88898.3</v>
      </c>
      <c r="G140" s="112">
        <f t="shared" si="11"/>
        <v>2.4000000000087311</v>
      </c>
      <c r="H140" s="99">
        <f>G140+'3'!H140</f>
        <v>16.30000000000291</v>
      </c>
      <c r="I140" s="118"/>
      <c r="J140" s="328">
        <f>H140/DAY(B2)</f>
        <v>4.0750000000007276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'3'!F141</f>
        <v>49854.8</v>
      </c>
      <c r="F141" s="149">
        <v>50035.040000000001</v>
      </c>
      <c r="G141" s="112">
        <f t="shared" si="11"/>
        <v>180.23999999999796</v>
      </c>
      <c r="H141" s="99">
        <f>G141+'3'!H141</f>
        <v>729.04000000000087</v>
      </c>
      <c r="I141" s="118"/>
      <c r="J141" s="328">
        <f>H141/DAY(B2)</f>
        <v>182.26000000000022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'3'!F142</f>
        <v>19223.8</v>
      </c>
      <c r="F142" s="148">
        <v>19291.75</v>
      </c>
      <c r="G142" s="112">
        <f t="shared" si="11"/>
        <v>67.950000000000728</v>
      </c>
      <c r="H142" s="99">
        <f>G142+'3'!H142</f>
        <v>282.75</v>
      </c>
      <c r="I142" s="140"/>
      <c r="J142" s="328">
        <f>H142/DAY(B2)</f>
        <v>70.6875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'3'!F143</f>
        <v>3121.69</v>
      </c>
      <c r="F143" s="149">
        <v>3152.36</v>
      </c>
      <c r="G143" s="112">
        <f t="shared" si="11"/>
        <v>30.670000000000073</v>
      </c>
      <c r="H143" s="99">
        <f>G143+'3'!H143</f>
        <v>91.360000000000127</v>
      </c>
      <c r="I143" s="140"/>
      <c r="J143" s="328">
        <f>H143/DAY(B2)</f>
        <v>22.840000000000032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'3'!F144</f>
        <v>870344</v>
      </c>
      <c r="F144" s="149">
        <v>870569</v>
      </c>
      <c r="G144" s="112">
        <f t="shared" si="11"/>
        <v>225</v>
      </c>
      <c r="H144" s="99">
        <f>G144+'3'!H144</f>
        <v>899</v>
      </c>
      <c r="I144" s="140"/>
      <c r="J144" s="328">
        <f>H144/DAY(B2)</f>
        <v>224.75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'3'!F145</f>
        <v>4606.96</v>
      </c>
      <c r="F145" s="149">
        <v>4624.2299999999996</v>
      </c>
      <c r="G145" s="112">
        <f t="shared" si="11"/>
        <v>17.269999999999527</v>
      </c>
      <c r="H145" s="99">
        <f>G145+'3'!H145</f>
        <v>66.229999999999563</v>
      </c>
      <c r="I145" s="140"/>
      <c r="J145" s="328">
        <f>H145/DAY(B2)</f>
        <v>16.557499999999891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'3'!F146</f>
        <v>726266</v>
      </c>
      <c r="F146" s="148">
        <v>726728</v>
      </c>
      <c r="G146" s="112">
        <f t="shared" si="11"/>
        <v>462</v>
      </c>
      <c r="H146" s="99">
        <f>G146+'3'!H146</f>
        <v>1870</v>
      </c>
      <c r="I146" s="140"/>
      <c r="J146" s="328">
        <f>H146/DAY(B2)</f>
        <v>467.5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'3'!F147</f>
        <v>616563.80000000005</v>
      </c>
      <c r="F147" s="148">
        <v>616959.84</v>
      </c>
      <c r="G147" s="112">
        <f t="shared" si="11"/>
        <v>396.03999999992084</v>
      </c>
      <c r="H147" s="99">
        <f>G147+'3'!H147</f>
        <v>1677.8399999999674</v>
      </c>
      <c r="I147" s="140"/>
      <c r="J147" s="328">
        <f>H147/DAY(B2)</f>
        <v>419.45999999999185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'3'!F148</f>
        <v>683915.52</v>
      </c>
      <c r="F148" s="150">
        <v>684170.8</v>
      </c>
      <c r="G148" s="112">
        <f t="shared" si="11"/>
        <v>255.28000000002794</v>
      </c>
      <c r="H148" s="99">
        <f>G148+'3'!H148</f>
        <v>1137.6800000000512</v>
      </c>
      <c r="I148" s="124"/>
      <c r="J148" s="328">
        <f>H148/DAY(B2)</f>
        <v>284.42000000001281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'3'!F149</f>
        <v>11666.01</v>
      </c>
      <c r="F149" s="146">
        <v>12179.96</v>
      </c>
      <c r="G149" s="112">
        <f t="shared" si="11"/>
        <v>513.94999999999891</v>
      </c>
      <c r="H149" s="99">
        <f>G149+'3'!H149</f>
        <v>1430.9599999999991</v>
      </c>
      <c r="I149" s="119"/>
      <c r="J149" s="328">
        <f>H149/DAY(B2)</f>
        <v>357.73999999999978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'3'!F150</f>
        <v>4698.6000000000004</v>
      </c>
      <c r="F150" s="233">
        <v>4925.78</v>
      </c>
      <c r="G150" s="112">
        <f t="shared" si="11"/>
        <v>227.17999999999938</v>
      </c>
      <c r="H150" s="99">
        <f>G150+'3'!H150</f>
        <v>873.77999999999975</v>
      </c>
      <c r="I150" s="119"/>
      <c r="J150" s="328">
        <f>H150/DAY(B2)</f>
        <v>218.44499999999994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'3'!F151</f>
        <v>78989</v>
      </c>
      <c r="F151" s="233">
        <v>79257</v>
      </c>
      <c r="G151" s="112">
        <f t="shared" si="11"/>
        <v>268</v>
      </c>
      <c r="H151" s="99">
        <f>G151+'3'!H151</f>
        <v>1040</v>
      </c>
      <c r="I151" s="119"/>
      <c r="J151" s="328">
        <f>H151/DAY(B2)</f>
        <v>260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'3'!F152</f>
        <v>1213.8</v>
      </c>
      <c r="F152" s="233">
        <v>1224.04</v>
      </c>
      <c r="G152" s="112">
        <f t="shared" si="11"/>
        <v>10.240000000000009</v>
      </c>
      <c r="H152" s="99">
        <f>G152+'3'!H152</f>
        <v>97.039999999999964</v>
      </c>
      <c r="I152" s="119"/>
      <c r="J152" s="328">
        <f>H152/DAY(B2)</f>
        <v>24.259999999999991</v>
      </c>
    </row>
    <row r="153" spans="1:10" ht="29.25">
      <c r="A153" s="873" t="s">
        <v>196</v>
      </c>
      <c r="B153" s="874"/>
      <c r="C153" s="875"/>
      <c r="D153" s="358"/>
      <c r="E153" s="360"/>
      <c r="F153" s="361"/>
      <c r="G153" s="362">
        <f>SUM(G138:G152)</f>
        <v>2726.2199999999539</v>
      </c>
      <c r="H153" s="363"/>
      <c r="I153" s="119">
        <f>G153-(G38+G52)</f>
        <v>973.85999999996784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'3'!F155</f>
        <v>14751.96</v>
      </c>
      <c r="F155" s="374">
        <v>15390.56</v>
      </c>
      <c r="G155" s="112">
        <f t="shared" ref="G155:G158" si="12">F155-E155</f>
        <v>638.60000000000036</v>
      </c>
      <c r="H155" s="99">
        <f>G155+'3'!H155</f>
        <v>1918.5599999999995</v>
      </c>
      <c r="I155" s="364"/>
      <c r="J155" s="328">
        <f>H155/DAY(B2)</f>
        <v>479.63999999999987</v>
      </c>
    </row>
    <row r="156" spans="1:10" ht="27.75">
      <c r="A156" s="823" t="s">
        <v>346</v>
      </c>
      <c r="B156" s="823"/>
      <c r="C156" s="823"/>
      <c r="D156" s="117" t="s">
        <v>130</v>
      </c>
      <c r="E156" s="95">
        <f>'3'!F156</f>
        <v>1197.82</v>
      </c>
      <c r="F156" s="155">
        <v>1255.8699999999999</v>
      </c>
      <c r="G156" s="112">
        <f t="shared" si="12"/>
        <v>58.049999999999955</v>
      </c>
      <c r="H156" s="99">
        <f>G156+'3'!H156</f>
        <v>167.86999999999989</v>
      </c>
      <c r="I156" s="165"/>
      <c r="J156" s="328">
        <f>H156/DAY(B2)</f>
        <v>41.967499999999973</v>
      </c>
    </row>
    <row r="157" spans="1:10" ht="27.75">
      <c r="A157" s="824" t="s">
        <v>364</v>
      </c>
      <c r="B157" s="825"/>
      <c r="C157" s="826"/>
      <c r="D157" s="117" t="s">
        <v>130</v>
      </c>
      <c r="E157" s="95">
        <f>'3'!F157</f>
        <v>1435.6</v>
      </c>
      <c r="F157" s="155">
        <v>1498.22</v>
      </c>
      <c r="G157" s="112">
        <f t="shared" si="12"/>
        <v>62.620000000000118</v>
      </c>
      <c r="H157" s="99">
        <f>G157+'3'!H157</f>
        <v>62.620000000000118</v>
      </c>
      <c r="I157" s="165"/>
      <c r="J157" s="328">
        <f>H157/DAY(B2)</f>
        <v>15.65500000000003</v>
      </c>
    </row>
    <row r="158" spans="1:10" ht="27.75">
      <c r="A158" s="824" t="s">
        <v>365</v>
      </c>
      <c r="B158" s="825"/>
      <c r="C158" s="826"/>
      <c r="D158" s="117" t="s">
        <v>130</v>
      </c>
      <c r="E158" s="95">
        <f>'3'!F158</f>
        <v>7.9</v>
      </c>
      <c r="F158" s="155">
        <v>8.5299999999999994</v>
      </c>
      <c r="G158" s="112">
        <f t="shared" si="12"/>
        <v>0.62999999999999901</v>
      </c>
      <c r="H158" s="99">
        <f>G158+'3'!H158</f>
        <v>0.62999999999999901</v>
      </c>
      <c r="I158" s="165"/>
      <c r="J158" s="328">
        <f>H158/DAY(B2)</f>
        <v>0.15749999999999975</v>
      </c>
    </row>
    <row r="159" spans="1:10" ht="27.75">
      <c r="A159" s="907"/>
      <c r="B159" s="908"/>
      <c r="C159" s="909"/>
      <c r="D159" s="117"/>
      <c r="E159" s="95"/>
      <c r="F159" s="16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'3'!F161</f>
        <v>471153.56</v>
      </c>
      <c r="F161" s="235">
        <v>471153.56</v>
      </c>
      <c r="G161" s="238">
        <f t="shared" ref="G161:G168" si="13">F161-E161</f>
        <v>0</v>
      </c>
      <c r="H161" s="99">
        <f>G161+'3'!H161</f>
        <v>0.40000000002328306</v>
      </c>
      <c r="I161" s="236"/>
      <c r="J161" s="239">
        <f>H161/DAY(B2)</f>
        <v>0.10000000000582077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'3'!F162</f>
        <v>87635.6</v>
      </c>
      <c r="F162" s="235">
        <v>87661.2</v>
      </c>
      <c r="G162" s="238">
        <f t="shared" si="13"/>
        <v>25.599999999991269</v>
      </c>
      <c r="H162" s="99">
        <f>G162+'3'!H162</f>
        <v>91.19999999999709</v>
      </c>
      <c r="I162" s="236"/>
      <c r="J162" s="239">
        <f>H162/DAY(B2)</f>
        <v>22.799999999999272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'3'!F163</f>
        <v>77946.5</v>
      </c>
      <c r="F163" s="235">
        <v>77995.100000000006</v>
      </c>
      <c r="G163" s="238">
        <f t="shared" si="13"/>
        <v>48.600000000005821</v>
      </c>
      <c r="H163" s="99">
        <f>G163+'3'!H163</f>
        <v>170.10000000000582</v>
      </c>
      <c r="I163" s="236"/>
      <c r="J163" s="239">
        <f>H163/DAY(B2)</f>
        <v>42.525000000001455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'3'!F164</f>
        <v>4245.8999999999996</v>
      </c>
      <c r="F164" s="235">
        <v>4247.3</v>
      </c>
      <c r="G164" s="238">
        <f t="shared" si="13"/>
        <v>1.4000000000005457</v>
      </c>
      <c r="H164" s="99">
        <f>G164+'3'!H164</f>
        <v>5.3000000000001819</v>
      </c>
      <c r="I164" s="236"/>
      <c r="J164" s="239">
        <f>H164/DAY(B2)</f>
        <v>1.3250000000000455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'3'!F165</f>
        <v>29660.5</v>
      </c>
      <c r="F165" s="235">
        <v>29670.03</v>
      </c>
      <c r="G165" s="238">
        <f t="shared" si="13"/>
        <v>9.5299999999988358</v>
      </c>
      <c r="H165" s="99">
        <f>G165+'3'!H165</f>
        <v>24.029999999998836</v>
      </c>
      <c r="I165" s="236"/>
      <c r="J165" s="239">
        <f>H165/DAY(B2)</f>
        <v>6.007499999999709</v>
      </c>
    </row>
    <row r="166" spans="1:10" ht="29.25">
      <c r="A166" s="832"/>
      <c r="B166" s="832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>
      <c r="A167" s="832"/>
      <c r="B167" s="832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>
      <c r="A168" s="832"/>
      <c r="B168" s="832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'3'!F174</f>
        <v>38308</v>
      </c>
      <c r="F174" s="157">
        <v>38322</v>
      </c>
      <c r="G174" s="155">
        <f t="shared" ref="G174:G175" si="14">F174-E174</f>
        <v>14</v>
      </c>
      <c r="H174" s="99">
        <f>G174+'3'!H174</f>
        <v>29</v>
      </c>
      <c r="I174" s="155"/>
      <c r="J174" s="178">
        <f>H174/DAY(B2)</f>
        <v>7.25</v>
      </c>
    </row>
    <row r="175" spans="1:10" ht="25.5" customHeight="1">
      <c r="A175" s="836" t="s">
        <v>76</v>
      </c>
      <c r="B175" s="876"/>
      <c r="C175" s="837"/>
      <c r="D175" s="228" t="s">
        <v>142</v>
      </c>
      <c r="E175" s="95">
        <f>'3'!F175</f>
        <v>21539</v>
      </c>
      <c r="F175" s="155">
        <v>21556</v>
      </c>
      <c r="G175" s="155">
        <f t="shared" si="14"/>
        <v>17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>
      <c r="A176" s="873" t="s">
        <v>196</v>
      </c>
      <c r="B176" s="874"/>
      <c r="C176" s="875"/>
      <c r="D176" s="228"/>
      <c r="E176" s="95"/>
      <c r="F176" s="155"/>
      <c r="G176" s="155">
        <f>SUM(G173:G175)</f>
        <v>31</v>
      </c>
      <c r="H176" s="99">
        <f>G176+'3'!H176</f>
        <v>67</v>
      </c>
      <c r="I176" s="155"/>
      <c r="J176" s="178">
        <f>H176/DAY(B2)</f>
        <v>16.75</v>
      </c>
    </row>
    <row r="177" spans="1:10" ht="28.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36" t="s">
        <v>210</v>
      </c>
      <c r="B178" s="837"/>
      <c r="C178" s="333"/>
      <c r="D178" s="228" t="s">
        <v>142</v>
      </c>
      <c r="E178" s="95">
        <f>'3'!F178</f>
        <v>79798</v>
      </c>
      <c r="F178" s="157">
        <v>79877</v>
      </c>
      <c r="G178" s="155">
        <f>F178-E178</f>
        <v>79</v>
      </c>
      <c r="H178" s="99">
        <f>G178+'3'!H178</f>
        <v>263</v>
      </c>
      <c r="I178" s="155"/>
      <c r="J178" s="178">
        <f>H178/DAY(B2)</f>
        <v>65.75</v>
      </c>
    </row>
    <row r="179" spans="1:10" ht="24" customHeight="1">
      <c r="A179" s="836" t="s">
        <v>211</v>
      </c>
      <c r="B179" s="837"/>
      <c r="C179" s="333"/>
      <c r="D179" s="228" t="s">
        <v>142</v>
      </c>
      <c r="E179" s="95">
        <f>'3'!F179</f>
        <v>33973</v>
      </c>
      <c r="F179" s="155">
        <v>34008</v>
      </c>
      <c r="G179" s="155">
        <f t="shared" ref="G179:G180" si="15">F179-E179</f>
        <v>35</v>
      </c>
      <c r="H179" s="99">
        <f>G179+'3'!H179</f>
        <v>93</v>
      </c>
      <c r="I179" s="155"/>
      <c r="J179" s="178">
        <f>H179/DAY(B2)</f>
        <v>23.25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'3'!F180</f>
        <v>5488</v>
      </c>
      <c r="F180" s="155">
        <v>5504</v>
      </c>
      <c r="G180" s="155">
        <f t="shared" si="15"/>
        <v>16</v>
      </c>
      <c r="H180" s="99">
        <f>G180+'3'!H180</f>
        <v>27</v>
      </c>
      <c r="I180" s="155"/>
      <c r="J180" s="178">
        <f>H180/DAY(B2)</f>
        <v>6.75</v>
      </c>
    </row>
    <row r="181" spans="1:10" ht="21.95" customHeight="1">
      <c r="A181" s="873" t="s">
        <v>196</v>
      </c>
      <c r="B181" s="874"/>
      <c r="C181" s="875"/>
      <c r="D181" s="228"/>
      <c r="E181" s="95"/>
      <c r="F181" s="155"/>
      <c r="G181" s="155">
        <f>SUM(G178:G180)</f>
        <v>130</v>
      </c>
      <c r="H181" s="99">
        <f>G181+'3'!H181</f>
        <v>383</v>
      </c>
      <c r="I181" s="155"/>
      <c r="J181" s="178">
        <f>H181/DAY(B2)</f>
        <v>95.75</v>
      </c>
    </row>
    <row r="182" spans="1:10" ht="21.95" customHeight="1">
      <c r="A182" s="836" t="s">
        <v>213</v>
      </c>
      <c r="B182" s="837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'3'!F183</f>
        <v>15014</v>
      </c>
      <c r="F183" s="157">
        <v>15024</v>
      </c>
      <c r="G183" s="157">
        <f>F183-E183</f>
        <v>10</v>
      </c>
      <c r="H183" s="99">
        <f>G183+'3'!H183</f>
        <v>77</v>
      </c>
      <c r="I183" s="155"/>
      <c r="J183" s="178">
        <f>H183/DAY(B2)</f>
        <v>19.25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'3'!F184</f>
        <v>10326</v>
      </c>
      <c r="F184" s="157">
        <v>10332</v>
      </c>
      <c r="G184" s="157">
        <f t="shared" ref="G184:G185" si="16">F184-E184</f>
        <v>6</v>
      </c>
      <c r="H184" s="99">
        <f>G184+'3'!H184</f>
        <v>31</v>
      </c>
      <c r="I184" s="155"/>
      <c r="J184" s="178">
        <f>H184/DAY(B2)</f>
        <v>7.75</v>
      </c>
    </row>
    <row r="185" spans="1:10" ht="27.75">
      <c r="A185" s="836" t="s">
        <v>216</v>
      </c>
      <c r="B185" s="837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>
      <c r="A186" s="873" t="s">
        <v>196</v>
      </c>
      <c r="B186" s="874"/>
      <c r="C186" s="875"/>
      <c r="D186" s="229"/>
      <c r="E186" s="95"/>
      <c r="F186" s="157"/>
      <c r="G186" s="157">
        <f>SUM(G183:G185)</f>
        <v>16</v>
      </c>
      <c r="H186" s="99">
        <f>G186+'3'!H186</f>
        <v>108</v>
      </c>
      <c r="I186" s="157"/>
      <c r="J186" s="178">
        <f>H186/DAY(B2)</f>
        <v>27</v>
      </c>
    </row>
    <row r="187" spans="1:10" ht="25.5" customHeight="1">
      <c r="A187" s="829" t="s">
        <v>217</v>
      </c>
      <c r="B187" s="830"/>
      <c r="C187" s="333"/>
      <c r="D187" s="230" t="s">
        <v>142</v>
      </c>
      <c r="E187" s="95"/>
      <c r="F187" s="99"/>
      <c r="G187" s="462">
        <f>G62+G19</f>
        <v>149</v>
      </c>
      <c r="H187" s="99">
        <f>G187+'3'!H187</f>
        <v>345</v>
      </c>
      <c r="I187" s="158"/>
      <c r="J187" s="179">
        <f>H187/DAY(B2)</f>
        <v>86.25</v>
      </c>
    </row>
    <row r="188" spans="1:10" ht="27.75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142</v>
      </c>
      <c r="H188" s="99">
        <f>G188+'3'!H188</f>
        <v>602</v>
      </c>
      <c r="I188" s="158"/>
      <c r="J188" s="179">
        <f>H188/DAY(B2)</f>
        <v>150.5</v>
      </c>
    </row>
    <row r="189" spans="1:10" ht="27.75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130</v>
      </c>
      <c r="H189" s="99">
        <f>G189+'3'!H189</f>
        <v>383</v>
      </c>
      <c r="I189" s="158"/>
      <c r="J189" s="179">
        <f>H189/DAY(B2)</f>
        <v>95.75</v>
      </c>
    </row>
    <row r="190" spans="1:10" ht="27.75">
      <c r="A190" s="829"/>
      <c r="B190" s="83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/>
    <row r="192" spans="1:10" ht="29.25"/>
    <row r="193" ht="29.25"/>
    <row r="194" ht="29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3" zoomScaleNormal="48" zoomScaleSheetLayoutView="53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350</v>
      </c>
      <c r="B2" s="262">
        <v>44566</v>
      </c>
      <c r="C2" s="348" t="s">
        <v>67</v>
      </c>
      <c r="D2" s="218">
        <v>0.55940000000000001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29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'4'!F7</f>
        <v>173032.09</v>
      </c>
      <c r="F7" s="95">
        <v>192932</v>
      </c>
      <c r="G7" s="112">
        <f>F7-E7</f>
        <v>19899.910000000003</v>
      </c>
      <c r="H7" s="99">
        <f>G7+'4'!H7</f>
        <v>98371</v>
      </c>
      <c r="I7" s="113">
        <f>'1'!I7</f>
        <v>12000</v>
      </c>
      <c r="J7" s="175">
        <f>H7/DAY(B2)</f>
        <v>19674.2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'4'!F8</f>
        <v>220974.95</v>
      </c>
      <c r="F8" s="114">
        <v>241310</v>
      </c>
      <c r="G8" s="115">
        <f>F8-E8</f>
        <v>20335.049999999988</v>
      </c>
      <c r="H8" s="99">
        <f>G8+'4'!H8</f>
        <v>100425</v>
      </c>
      <c r="I8" s="116"/>
      <c r="J8" s="175">
        <f>H8/DAY(B2)</f>
        <v>20085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'4'!F9</f>
        <v>2308514.5</v>
      </c>
      <c r="F9" s="117">
        <v>2320792.5</v>
      </c>
      <c r="G9" s="112">
        <f>F9-E9</f>
        <v>12278</v>
      </c>
      <c r="H9" s="99">
        <f>G9+'4'!H9</f>
        <v>62016.5</v>
      </c>
      <c r="I9" s="124">
        <f>I7-J7</f>
        <v>-7674.2000000000007</v>
      </c>
      <c r="J9" s="175">
        <f>H9/DAY(B2)</f>
        <v>12403.3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'4'!F10</f>
        <v>567423.27</v>
      </c>
      <c r="F10" s="117">
        <v>574520.47</v>
      </c>
      <c r="G10" s="112">
        <f t="shared" ref="G10:G12" si="0">F10-E10</f>
        <v>7097.1999999999534</v>
      </c>
      <c r="H10" s="99">
        <f>G10+'4'!H10</f>
        <v>33694.469999999972</v>
      </c>
      <c r="I10" s="282"/>
      <c r="J10" s="175">
        <f>H10/DAY(B2)</f>
        <v>6738.8939999999948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19375.199999999953</v>
      </c>
      <c r="H13" s="99">
        <f>G13+'4'!H13</f>
        <v>76245.719999999856</v>
      </c>
      <c r="I13" s="120">
        <f>G7-G13</f>
        <v>524.71000000005006</v>
      </c>
      <c r="J13" s="175">
        <f>H13/DAY(B2)</f>
        <v>15249.143999999971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'4'!F15</f>
        <v>1881868.65</v>
      </c>
      <c r="F15" s="123">
        <v>1882870.7</v>
      </c>
      <c r="G15" s="112">
        <f>(F15-E15)</f>
        <v>1002.0500000000466</v>
      </c>
      <c r="H15" s="99">
        <f>G15+'4'!H15</f>
        <v>4440.6999999999534</v>
      </c>
      <c r="I15" s="113">
        <f>'1'!I15</f>
        <v>800</v>
      </c>
      <c r="J15" s="175">
        <f>H15/DAY(B2)</f>
        <v>888.13999999999066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-88.139999999990664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'4'!F18</f>
        <v>17</v>
      </c>
      <c r="F18" s="122">
        <v>12</v>
      </c>
      <c r="G18" s="119">
        <f>F18*10</f>
        <v>120</v>
      </c>
      <c r="H18" s="99">
        <f>G18+'4'!H18</f>
        <v>590</v>
      </c>
      <c r="I18" s="113">
        <f>'1'!I18</f>
        <v>65</v>
      </c>
      <c r="J18" s="175">
        <f>H18/DAY(B2)</f>
        <v>118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'4'!F19</f>
        <v>152440</v>
      </c>
      <c r="F19" s="122">
        <v>152491</v>
      </c>
      <c r="G19" s="112">
        <f t="shared" ref="G19" si="1">F19-E19</f>
        <v>51</v>
      </c>
      <c r="H19" s="99">
        <f>G19+'4'!H19</f>
        <v>266</v>
      </c>
      <c r="I19" s="335"/>
      <c r="J19" s="175">
        <f>H19/DAY(B2)</f>
        <v>53.2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171</v>
      </c>
      <c r="H20" s="99">
        <f>G20+'4'!H20</f>
        <v>856</v>
      </c>
      <c r="I20" s="336">
        <f>I18-J20</f>
        <v>-106.19999999999999</v>
      </c>
      <c r="J20" s="175">
        <f>H20/DAY(B2)</f>
        <v>171.2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20335.049999999988</v>
      </c>
      <c r="F27" s="136">
        <v>9</v>
      </c>
      <c r="G27" s="137">
        <f>E27*F27</f>
        <v>183015.4499999999</v>
      </c>
      <c r="H27" s="99">
        <f>G27+'4'!H27</f>
        <v>903825</v>
      </c>
      <c r="I27" s="138"/>
      <c r="J27" s="175">
        <f>H27/DAY(B2)</f>
        <v>180765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1002.0500000000466</v>
      </c>
      <c r="F28" s="136">
        <v>52</v>
      </c>
      <c r="G28" s="137">
        <f>E28*F28</f>
        <v>52106.600000002421</v>
      </c>
      <c r="H28" s="99">
        <f>G28+'4'!H28</f>
        <v>230916.39999999758</v>
      </c>
      <c r="I28" s="140"/>
      <c r="J28" s="175">
        <f>H28/DAY(B2)</f>
        <v>46183.279999999519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G30+'4'!H30</f>
        <v>38836</v>
      </c>
      <c r="I30" s="140"/>
      <c r="J30" s="175">
        <f>H30/DAY(B2)</f>
        <v>7767.2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G31+'4'!H31</f>
        <v>47200</v>
      </c>
      <c r="I31" s="140"/>
      <c r="J31" s="175">
        <f>H31/DAY(B2)</f>
        <v>9440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252168.05000000232</v>
      </c>
      <c r="H32" s="99">
        <f>G32+'4'!H32</f>
        <v>1220777.3999999976</v>
      </c>
      <c r="I32" s="144"/>
      <c r="J32" s="175">
        <f>H32/DAY(B2)</f>
        <v>244155.47999999952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'4'!F35</f>
        <v>160674.78</v>
      </c>
      <c r="F35" s="145">
        <v>162553.63</v>
      </c>
      <c r="G35" s="112">
        <f t="shared" ref="G35:G46" si="3">F35-E35</f>
        <v>1878.8500000000058</v>
      </c>
      <c r="H35" s="99">
        <f>G35+'4'!H35</f>
        <v>9711.6300000000047</v>
      </c>
      <c r="I35" s="95"/>
      <c r="J35" s="175">
        <f>H35/DAY(B2)</f>
        <v>1942.3260000000009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'4'!F36</f>
        <v>24679.25</v>
      </c>
      <c r="F36" s="145">
        <v>25481.79</v>
      </c>
      <c r="G36" s="112">
        <f t="shared" si="3"/>
        <v>802.54000000000087</v>
      </c>
      <c r="H36" s="99">
        <f>G36+'4'!H36</f>
        <v>3954.7900000000009</v>
      </c>
      <c r="I36" s="95"/>
      <c r="J36" s="175">
        <f>H36/DAY(B2)</f>
        <v>790.9580000000002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'4'!F37</f>
        <v>201516.83</v>
      </c>
      <c r="F37" s="145">
        <v>203029.89</v>
      </c>
      <c r="G37" s="112">
        <f t="shared" si="3"/>
        <v>1513.0600000000268</v>
      </c>
      <c r="H37" s="99">
        <f>G37+'4'!H37</f>
        <v>7636.890000000014</v>
      </c>
      <c r="I37" s="95"/>
      <c r="J37" s="175">
        <f>H37/DAY(B2)</f>
        <v>1527.3780000000029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'4'!F38</f>
        <v>238939.49</v>
      </c>
      <c r="F38" s="108">
        <v>240611.89</v>
      </c>
      <c r="G38" s="112">
        <f t="shared" si="3"/>
        <v>1672.4000000000233</v>
      </c>
      <c r="H38" s="99">
        <f>G38+'4'!H38</f>
        <v>8129.890000000014</v>
      </c>
      <c r="I38" s="95"/>
      <c r="J38" s="175">
        <f>H38/DAY(B2)</f>
        <v>1625.9780000000028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'4'!F39</f>
        <v>422024.51</v>
      </c>
      <c r="F39" s="145">
        <v>424693.59</v>
      </c>
      <c r="G39" s="112">
        <f t="shared" si="3"/>
        <v>2669.0800000000163</v>
      </c>
      <c r="H39" s="99">
        <f>G39+'4'!H39</f>
        <v>13614.590000000026</v>
      </c>
      <c r="I39" s="95"/>
      <c r="J39" s="175">
        <f>H39/DAY(B2)</f>
        <v>2722.9180000000051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'4'!F40</f>
        <v>5609.98</v>
      </c>
      <c r="F40" s="145">
        <v>6027.74</v>
      </c>
      <c r="G40" s="112">
        <f t="shared" si="3"/>
        <v>417.76000000000022</v>
      </c>
      <c r="H40" s="99">
        <f>G40+'4'!H40</f>
        <v>417.73999999999978</v>
      </c>
      <c r="I40" s="95"/>
      <c r="J40" s="175">
        <f>H40/DAY(B2)</f>
        <v>83.547999999999959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'4'!F41</f>
        <v>0</v>
      </c>
      <c r="F41" s="145">
        <v>0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'4'!F42</f>
        <v>73808.600000000006</v>
      </c>
      <c r="F42" s="145">
        <v>73808.600000000006</v>
      </c>
      <c r="G42" s="112">
        <f t="shared" si="3"/>
        <v>0</v>
      </c>
      <c r="H42" s="99">
        <f>G42+'4'!H42</f>
        <v>-0.39999999999417923</v>
      </c>
      <c r="I42" s="95"/>
      <c r="J42" s="175">
        <f>H42/DAY(B2)</f>
        <v>-7.999999999883585E-2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'4'!F43</f>
        <v>57123.72</v>
      </c>
      <c r="F43" s="145">
        <v>59531.19</v>
      </c>
      <c r="G43" s="112">
        <f t="shared" si="3"/>
        <v>2407.4700000000012</v>
      </c>
      <c r="H43" s="99">
        <f>G43+'4'!H43</f>
        <v>12270.190000000002</v>
      </c>
      <c r="I43" s="95"/>
      <c r="J43" s="175">
        <f>H43/DAY(B2)</f>
        <v>2454.0380000000005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11361.160000000074</v>
      </c>
      <c r="H47" s="99">
        <f>G47+'4'!H47</f>
        <v>55735.320000000072</v>
      </c>
      <c r="I47" s="95"/>
      <c r="J47" s="175">
        <f>H47/DAY(B2)</f>
        <v>11147.064000000015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'4'!F49</f>
        <v>278816.03000000003</v>
      </c>
      <c r="F49" s="145">
        <v>280424.89</v>
      </c>
      <c r="G49" s="112">
        <f t="shared" ref="G49:G58" si="4">F49-E49</f>
        <v>1608.859999999986</v>
      </c>
      <c r="H49" s="99">
        <f>G49+'4'!H49</f>
        <v>8184.890000000014</v>
      </c>
      <c r="I49" s="95"/>
      <c r="J49" s="175">
        <f>H49/DAY(B2)</f>
        <v>1636.9780000000028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'4'!F50</f>
        <v>29038.62</v>
      </c>
      <c r="F50" s="145">
        <v>30028.26</v>
      </c>
      <c r="G50" s="112">
        <f t="shared" si="4"/>
        <v>989.63999999999942</v>
      </c>
      <c r="H50" s="99">
        <f>G50+'4'!H50</f>
        <v>5378.2599999999984</v>
      </c>
      <c r="I50" s="95"/>
      <c r="J50" s="175">
        <f>H50/DAY(B2)</f>
        <v>1075.6519999999996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'4'!F54</f>
        <v>198.08</v>
      </c>
      <c r="F54" s="145">
        <v>659.69</v>
      </c>
      <c r="G54" s="112">
        <f t="shared" si="4"/>
        <v>461.61</v>
      </c>
      <c r="H54" s="99">
        <f>G54+'4'!H54</f>
        <v>673.77</v>
      </c>
      <c r="I54" s="95"/>
      <c r="J54" s="175">
        <f>H54/DAY(B2)</f>
        <v>134.75399999999999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'4'!F55</f>
        <v>15284.25</v>
      </c>
      <c r="F55" s="145">
        <v>18598.919999999998</v>
      </c>
      <c r="G55" s="112">
        <f t="shared" si="4"/>
        <v>3314.6699999999983</v>
      </c>
      <c r="H55" s="99">
        <f>G55+'4'!H55</f>
        <v>15087.919999999998</v>
      </c>
      <c r="I55" s="95"/>
      <c r="J55" s="175">
        <f>H55/DAY(B2)</f>
        <v>3017.5839999999998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'4'!F56</f>
        <v>8610.5400000000009</v>
      </c>
      <c r="F56" s="145">
        <v>8610.5400000000009</v>
      </c>
      <c r="G56" s="112">
        <f t="shared" si="4"/>
        <v>0</v>
      </c>
      <c r="H56" s="99">
        <f>G56+'4'!H56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'4'!F58</f>
        <v>173.66</v>
      </c>
      <c r="F58" s="145">
        <v>250.47</v>
      </c>
      <c r="G58" s="112">
        <f t="shared" si="4"/>
        <v>76.81</v>
      </c>
      <c r="H58" s="99">
        <f>G58+'4'!H58</f>
        <v>591.10000000000468</v>
      </c>
      <c r="I58" s="95"/>
      <c r="J58" s="175">
        <f>H58/DAY(B2)</f>
        <v>118.22000000000094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6451.5899999999847</v>
      </c>
      <c r="H59" s="99">
        <f>G59+'4'!H59</f>
        <v>29915.940000000021</v>
      </c>
      <c r="I59" s="95">
        <f>G7-G60</f>
        <v>2087.1599999999453</v>
      </c>
      <c r="J59" s="175">
        <f>H59/DAY(B2)</f>
        <v>5983.1880000000037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17812.750000000058</v>
      </c>
      <c r="H60" s="99">
        <f>G60+'4'!H60</f>
        <v>85651.260000000082</v>
      </c>
      <c r="I60" s="95">
        <f>G13-G60</f>
        <v>1562.4499999998952</v>
      </c>
      <c r="J60" s="175">
        <f>H60/DAY(B2)</f>
        <v>17130.252000000015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'4'!F62</f>
        <v>267343</v>
      </c>
      <c r="F62" s="122">
        <v>267429</v>
      </c>
      <c r="G62" s="112">
        <f t="shared" ref="G62:G63" si="5">F62-E62</f>
        <v>86</v>
      </c>
      <c r="H62" s="99">
        <f>G62+'4'!H62</f>
        <v>216</v>
      </c>
      <c r="I62" s="118"/>
      <c r="J62" s="175">
        <f>H62/DAY(B2)</f>
        <v>43.2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'4'!F63</f>
        <v>212885</v>
      </c>
      <c r="F63" s="122">
        <v>213004</v>
      </c>
      <c r="G63" s="112">
        <f t="shared" si="5"/>
        <v>119</v>
      </c>
      <c r="H63" s="99">
        <f>G63+'4'!H63</f>
        <v>579</v>
      </c>
      <c r="I63" s="118"/>
      <c r="J63" s="175">
        <f>H63/DAY(B2)</f>
        <v>115.8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'4'!F64</f>
        <v>0</v>
      </c>
      <c r="F64" s="122"/>
      <c r="G64" s="112">
        <f>G62+G63</f>
        <v>205</v>
      </c>
      <c r="H64" s="99">
        <f>G64+'4'!H64</f>
        <v>795</v>
      </c>
      <c r="I64" s="118"/>
      <c r="J64" s="175">
        <f>H64/DAY(B2)</f>
        <v>159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'4'!F65</f>
        <v>432893</v>
      </c>
      <c r="F65" s="122">
        <v>432967</v>
      </c>
      <c r="G65" s="112">
        <f t="shared" ref="G65:G70" si="6">F65-E65</f>
        <v>74</v>
      </c>
      <c r="H65" s="99">
        <f>G65+'4'!H65</f>
        <v>353</v>
      </c>
      <c r="I65" s="118"/>
      <c r="J65" s="175">
        <f>H65/DAY(B2)</f>
        <v>70.599999999999994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'4'!F66</f>
        <v>107308</v>
      </c>
      <c r="F66" s="122">
        <v>107327</v>
      </c>
      <c r="G66" s="112">
        <f t="shared" si="6"/>
        <v>19</v>
      </c>
      <c r="H66" s="99">
        <f>G66+'4'!H66</f>
        <v>113</v>
      </c>
      <c r="I66" s="118"/>
      <c r="J66" s="175">
        <f>H66/DAY(B2)</f>
        <v>22.6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'4'!F67</f>
        <v>104054</v>
      </c>
      <c r="F67" s="122">
        <v>104076</v>
      </c>
      <c r="G67" s="112">
        <f t="shared" si="6"/>
        <v>22</v>
      </c>
      <c r="H67" s="99">
        <f>G67+'4'!H67</f>
        <v>148</v>
      </c>
      <c r="I67" s="118"/>
      <c r="J67" s="175">
        <f>H67/DAY(B2)</f>
        <v>29.6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'4'!F68</f>
        <v>156680</v>
      </c>
      <c r="F68" s="122">
        <v>156707</v>
      </c>
      <c r="G68" s="112">
        <f t="shared" si="6"/>
        <v>27</v>
      </c>
      <c r="H68" s="99">
        <f>G68+'4'!H68</f>
        <v>87</v>
      </c>
      <c r="I68" s="118"/>
      <c r="J68" s="175">
        <f>H68/DAY(B2)</f>
        <v>17.399999999999999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'4'!F69</f>
        <v>10279</v>
      </c>
      <c r="F69" s="122">
        <v>10290</v>
      </c>
      <c r="G69" s="112">
        <f t="shared" si="6"/>
        <v>11</v>
      </c>
      <c r="H69" s="99">
        <f>G69+'4'!H69</f>
        <v>76</v>
      </c>
      <c r="I69" s="118"/>
      <c r="J69" s="175">
        <f>H69/DAY(B2)</f>
        <v>15.2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'4'!F70</f>
        <v>7900</v>
      </c>
      <c r="F70" s="122">
        <v>7906</v>
      </c>
      <c r="G70" s="112">
        <f t="shared" si="6"/>
        <v>6</v>
      </c>
      <c r="H70" s="99">
        <f>G70+'4'!H70</f>
        <v>44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159</v>
      </c>
      <c r="H71" s="99">
        <f>G71+'4'!H71</f>
        <v>821</v>
      </c>
      <c r="I71" s="154"/>
      <c r="J71" s="175">
        <f>H71/DAY(B2)</f>
        <v>164.2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'4'!F74</f>
        <v>893116.23</v>
      </c>
      <c r="F74" s="123">
        <v>893398.49</v>
      </c>
      <c r="G74" s="112">
        <f t="shared" ref="G74:G78" si="7">F74-E74</f>
        <v>282.26000000000931</v>
      </c>
      <c r="H74" s="99">
        <f>G74+'4'!H74</f>
        <v>1366.4899999999907</v>
      </c>
      <c r="I74" s="154"/>
      <c r="J74" s="175">
        <f>H74/DAY(B2)</f>
        <v>273.29799999999813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'4'!F76</f>
        <v>167593.32</v>
      </c>
      <c r="F76" s="123">
        <v>167689</v>
      </c>
      <c r="G76" s="112">
        <f t="shared" si="7"/>
        <v>95.679999999993015</v>
      </c>
      <c r="H76" s="99">
        <f>G76+'4'!H76</f>
        <v>482</v>
      </c>
      <c r="I76" s="154"/>
      <c r="J76" s="175">
        <f>H76/DAY(B2)</f>
        <v>96.4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'4'!F77</f>
        <v>40441</v>
      </c>
      <c r="F77" s="123">
        <v>40493.300000000003</v>
      </c>
      <c r="G77" s="112">
        <f t="shared" si="7"/>
        <v>52.30000000000291</v>
      </c>
      <c r="H77" s="99">
        <f>G77+'4'!H77</f>
        <v>177.30000000000291</v>
      </c>
      <c r="I77" s="154"/>
      <c r="J77" s="175">
        <f>H77/DAY(B2)</f>
        <v>35.460000000000583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'4'!F78</f>
        <v>9490</v>
      </c>
      <c r="F78" s="123">
        <v>9491</v>
      </c>
      <c r="G78" s="112">
        <f t="shared" si="7"/>
        <v>1</v>
      </c>
      <c r="H78" s="99">
        <f>G78+'4'!H78</f>
        <v>5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117"/>
      <c r="F79" s="117"/>
      <c r="G79" s="112">
        <f>G15-SUM(G74:G78)</f>
        <v>570.81000000004133</v>
      </c>
      <c r="H79" s="99">
        <f>G79+'4'!H79</f>
        <v>2409.9099999999598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1002.0500000000466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'4'!F85</f>
        <v>2096.56</v>
      </c>
      <c r="F85" s="164">
        <v>2096.56</v>
      </c>
      <c r="G85" s="112">
        <f t="shared" si="8"/>
        <v>0</v>
      </c>
      <c r="H85" s="99">
        <f>G85+'4'!H85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'4'!F86</f>
        <v>42959.57</v>
      </c>
      <c r="F86" s="164">
        <v>42983.32</v>
      </c>
      <c r="G86" s="112">
        <f t="shared" si="8"/>
        <v>23.75</v>
      </c>
      <c r="H86" s="99">
        <f>G86+'4'!H86</f>
        <v>120.31999999999971</v>
      </c>
      <c r="I86" s="118"/>
      <c r="J86" s="175">
        <f>H86/DAY(B2)</f>
        <v>24.063999999999943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'4'!F87</f>
        <v>34598.550000000003</v>
      </c>
      <c r="F87" s="164">
        <v>34598.550000000003</v>
      </c>
      <c r="G87" s="112">
        <f t="shared" si="8"/>
        <v>0</v>
      </c>
      <c r="H87" s="99">
        <f>G87+'4'!H87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'4'!F88</f>
        <v>24058.06</v>
      </c>
      <c r="F88" s="164">
        <v>24058.06</v>
      </c>
      <c r="G88" s="112">
        <f t="shared" si="8"/>
        <v>0</v>
      </c>
      <c r="H88" s="99">
        <f>G88+'4'!H88</f>
        <v>11.06000000000131</v>
      </c>
      <c r="I88" s="118">
        <f>G86+G87+G88</f>
        <v>23.75</v>
      </c>
      <c r="J88" s="175">
        <f>H88/DAY(B2)</f>
        <v>2.2120000000002618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'4'!F89</f>
        <v>25676.28</v>
      </c>
      <c r="F89" s="164">
        <v>25685.9</v>
      </c>
      <c r="G89" s="112">
        <f t="shared" si="8"/>
        <v>9.6200000000026193</v>
      </c>
      <c r="H89" s="99">
        <f>G89+'4'!H89</f>
        <v>22.900000000001455</v>
      </c>
      <c r="I89" s="118"/>
      <c r="J89" s="175">
        <f>H89/DAY(B2)</f>
        <v>4.5800000000002914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'4'!F90</f>
        <v>71056.14</v>
      </c>
      <c r="F90" s="164">
        <v>71060.179999999993</v>
      </c>
      <c r="G90" s="112">
        <f t="shared" si="8"/>
        <v>4.0399999999935972</v>
      </c>
      <c r="H90" s="99">
        <f>G90+'4'!H90</f>
        <v>26.179999999993015</v>
      </c>
      <c r="I90" s="118">
        <f>G89+G90</f>
        <v>13.659999999996217</v>
      </c>
      <c r="J90" s="175">
        <f>H90/DAY(B2)</f>
        <v>5.2359999999986027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'4'!F92</f>
        <v>5476.3</v>
      </c>
      <c r="F92" s="122">
        <v>5486.16</v>
      </c>
      <c r="G92" s="112">
        <f t="shared" si="8"/>
        <v>9.8599999999996726</v>
      </c>
      <c r="H92" s="99">
        <f>G92+'4'!H92</f>
        <v>48.159999999999854</v>
      </c>
      <c r="I92" s="165"/>
      <c r="J92" s="175">
        <f>H92/DAY(B2)</f>
        <v>9.6319999999999713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5895.179999999993</v>
      </c>
      <c r="H94" s="99">
        <f>G94+'4'!H94</f>
        <v>30166.710000000021</v>
      </c>
      <c r="I94" s="118"/>
      <c r="J94" s="175">
        <f>H94/DAY(B2)</f>
        <v>6033.3420000000042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0.2962415407908876</v>
      </c>
      <c r="H95" s="99">
        <f>G95+'4'!H95</f>
        <v>1.5338764540543695</v>
      </c>
      <c r="I95" s="167"/>
      <c r="J95" s="175">
        <f>H95/DAY(B2)</f>
        <v>0.3067752908108739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3314.6699999999983</v>
      </c>
      <c r="H96" s="99">
        <f>G96+'4'!H96</f>
        <v>15087.520000000004</v>
      </c>
      <c r="I96" s="118"/>
      <c r="J96" s="175">
        <f>H96/DAY(B2)</f>
        <v>3017.5040000000008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0.16656708497676612</v>
      </c>
      <c r="H97" s="99">
        <f>G97+'4'!H97</f>
        <v>0.767469620630301</v>
      </c>
      <c r="I97" s="167"/>
      <c r="J97" s="175">
        <f>H97/DAY(B2)</f>
        <v>0.15349392412606019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2669.0800000000163</v>
      </c>
      <c r="H98" s="99">
        <f>G98+'4'!H98</f>
        <v>13614.590000000026</v>
      </c>
      <c r="I98" s="168"/>
      <c r="J98" s="175">
        <f>H98/DAY(B2)</f>
        <v>2722.9180000000051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0.13412522971209498</v>
      </c>
      <c r="H99" s="99">
        <f>G99+'4'!H99</f>
        <v>0.69223094158196652</v>
      </c>
      <c r="I99" s="168"/>
      <c r="J99" s="175">
        <f>H99/DAY(B2)</f>
        <v>0.1384461883163933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1672.4000000000233</v>
      </c>
      <c r="H100" s="99">
        <f>G100+'4'!H100</f>
        <v>8129.890000000014</v>
      </c>
      <c r="I100" s="118"/>
      <c r="J100" s="175">
        <f>H100/DAY(B2)</f>
        <v>1625.9780000000028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8.4040581088056329E-2</v>
      </c>
      <c r="H101" s="99">
        <f>G101+'4'!H101</f>
        <v>0.41300421553519151</v>
      </c>
      <c r="I101" s="168"/>
      <c r="J101" s="175">
        <f>H101/DAY(B2)</f>
        <v>8.2600843107038302E-2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1792.1800000000003</v>
      </c>
      <c r="H102" s="99">
        <f>G102+'4'!H102</f>
        <v>9333.0499999999993</v>
      </c>
      <c r="I102" s="168"/>
      <c r="J102" s="175">
        <f>H102/DAY(B2)</f>
        <v>1866.61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9.0059703787605069E-2</v>
      </c>
      <c r="H103" s="99">
        <f>G103+'4'!H103</f>
        <v>0.47421475848500927</v>
      </c>
      <c r="I103" s="118"/>
      <c r="J103" s="175">
        <f>H103/DAY(B2)</f>
        <v>9.4842951697001854E-2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1513.0600000000268</v>
      </c>
      <c r="H104" s="99">
        <f>G104+'4'!H104</f>
        <v>7636.890000000014</v>
      </c>
      <c r="I104" s="118"/>
      <c r="J104" s="175">
        <f>H104/DAY(B2)</f>
        <v>1527.3780000000029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7.6033509699291429E-2</v>
      </c>
      <c r="H105" s="99">
        <f>G105+'4'!H105</f>
        <v>0.38820058131313628</v>
      </c>
      <c r="I105" s="187"/>
      <c r="J105" s="188">
        <f>H105/DAY(B2)</f>
        <v>7.7640116262627262E-2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'4'!F112</f>
        <v>55960.22</v>
      </c>
      <c r="F112" s="237">
        <v>56038.400000000001</v>
      </c>
      <c r="G112" s="112">
        <f t="shared" ref="G112:G123" si="9">F112-E112</f>
        <v>78.180000000000291</v>
      </c>
      <c r="H112" s="99">
        <f>G112+'4'!H112</f>
        <v>357.40000000000146</v>
      </c>
      <c r="I112" s="165"/>
      <c r="J112" s="328">
        <f>H112/DAY(B2)</f>
        <v>71.480000000000288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'4'!F113</f>
        <v>34018.86</v>
      </c>
      <c r="F113" s="237">
        <v>34460.199999999997</v>
      </c>
      <c r="G113" s="112">
        <f t="shared" si="9"/>
        <v>441.33999999999651</v>
      </c>
      <c r="H113" s="99">
        <f>G113+'4'!H113</f>
        <v>2265.1999999999971</v>
      </c>
      <c r="I113" s="165"/>
      <c r="J113" s="328">
        <f>H113/DAY(B2)</f>
        <v>453.0399999999994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'4'!F114</f>
        <v>25950.21</v>
      </c>
      <c r="F114" s="237">
        <v>26212.2</v>
      </c>
      <c r="G114" s="112">
        <f t="shared" si="9"/>
        <v>261.9900000000016</v>
      </c>
      <c r="H114" s="99">
        <f>G114+'4'!H114</f>
        <v>1341.2000000000007</v>
      </c>
      <c r="I114" s="165"/>
      <c r="J114" s="328">
        <f>H114/DAY(B2)</f>
        <v>268.24000000000012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'4'!F115</f>
        <v>8822.5300000000007</v>
      </c>
      <c r="F115" s="237">
        <v>8837.7999999999993</v>
      </c>
      <c r="G115" s="112">
        <f t="shared" si="9"/>
        <v>15.269999999998618</v>
      </c>
      <c r="H115" s="99">
        <f>G115+'4'!H115</f>
        <v>52.799999999999272</v>
      </c>
      <c r="I115" s="165"/>
      <c r="J115" s="328">
        <f>H115/DAY(B2)</f>
        <v>10.559999999999855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28">
        <f>H116/DAY(B2)</f>
        <v>0</v>
      </c>
      <c r="Q116" s="916"/>
      <c r="R116" s="916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'4'!F117</f>
        <v>2684.43</v>
      </c>
      <c r="F117" s="237">
        <v>2718.79</v>
      </c>
      <c r="G117" s="112">
        <f t="shared" si="9"/>
        <v>34.360000000000127</v>
      </c>
      <c r="H117" s="99">
        <f>G117+'4'!H117</f>
        <v>128.78999999999996</v>
      </c>
      <c r="I117" s="165"/>
      <c r="J117" s="328">
        <f>H117/DAY(B2)</f>
        <v>25.757999999999992</v>
      </c>
      <c r="Q117" s="916"/>
      <c r="R117" s="916"/>
    </row>
    <row r="118" spans="1:18" ht="27.75">
      <c r="A118" s="842" t="s">
        <v>97</v>
      </c>
      <c r="B118" s="842"/>
      <c r="C118" s="842"/>
      <c r="D118" s="151" t="s">
        <v>183</v>
      </c>
      <c r="E118" s="95">
        <f>'4'!F118</f>
        <v>243150.55</v>
      </c>
      <c r="F118" s="237">
        <v>243529.53</v>
      </c>
      <c r="G118" s="112">
        <f t="shared" si="9"/>
        <v>378.98000000001048</v>
      </c>
      <c r="H118" s="99">
        <f>G118+'4'!H118</f>
        <v>1882.5299999999988</v>
      </c>
      <c r="I118" s="165"/>
      <c r="J118" s="328">
        <f>H118/DAY(B2)</f>
        <v>376.50599999999974</v>
      </c>
      <c r="Q118" s="916"/>
      <c r="R118" s="916"/>
    </row>
    <row r="119" spans="1:18" ht="27.75">
      <c r="A119" s="842" t="s">
        <v>98</v>
      </c>
      <c r="B119" s="842"/>
      <c r="C119" s="842"/>
      <c r="D119" s="151" t="s">
        <v>183</v>
      </c>
      <c r="E119" s="95">
        <f>'4'!F119</f>
        <v>246869.31</v>
      </c>
      <c r="F119" s="237">
        <v>247290.93</v>
      </c>
      <c r="G119" s="112">
        <f t="shared" si="9"/>
        <v>421.61999999999534</v>
      </c>
      <c r="H119" s="99">
        <f>G119+'4'!H119</f>
        <v>2164.929999999993</v>
      </c>
      <c r="I119" s="165"/>
      <c r="J119" s="328">
        <f>H119/DAY(B2)</f>
        <v>432.98599999999863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'4'!F120</f>
        <v>31775.45</v>
      </c>
      <c r="F120" s="600">
        <v>32187</v>
      </c>
      <c r="G120" s="112">
        <f t="shared" si="9"/>
        <v>411.54999999999927</v>
      </c>
      <c r="H120" s="99">
        <f>G120+'4'!H120</f>
        <v>2109</v>
      </c>
      <c r="I120" s="165"/>
      <c r="J120" s="328">
        <f>H120/DAY(B2)</f>
        <v>421.8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'4'!F121</f>
        <v>379626.59</v>
      </c>
      <c r="F121" s="237">
        <v>380353</v>
      </c>
      <c r="G121" s="112">
        <f t="shared" si="9"/>
        <v>726.40999999997439</v>
      </c>
      <c r="H121" s="99">
        <f>G121+'4'!H121</f>
        <v>3824</v>
      </c>
      <c r="I121" s="165"/>
      <c r="J121" s="328">
        <f>H121/DAY(B2)</f>
        <v>764.8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'4'!F122</f>
        <v>120962.1</v>
      </c>
      <c r="F122" s="237">
        <v>121203.38</v>
      </c>
      <c r="G122" s="112">
        <f t="shared" si="9"/>
        <v>241.27999999999884</v>
      </c>
      <c r="H122" s="99">
        <f>G122+'4'!H122</f>
        <v>1153.3800000000047</v>
      </c>
      <c r="I122" s="165"/>
      <c r="J122" s="328">
        <f>H122/DAY(B2)</f>
        <v>230.67600000000093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'4'!F123</f>
        <v>146478.67000000001</v>
      </c>
      <c r="F123" s="237">
        <v>146792.75</v>
      </c>
      <c r="G123" s="112">
        <f t="shared" si="9"/>
        <v>314.07999999998719</v>
      </c>
      <c r="H123" s="99">
        <f>G123+'4'!H123</f>
        <v>1667.75</v>
      </c>
      <c r="I123" s="165"/>
      <c r="J123" s="328">
        <f>H123/DAY(B2)</f>
        <v>333.55</v>
      </c>
    </row>
    <row r="124" spans="1:18" ht="29.25" customHeight="1">
      <c r="A124" s="847"/>
      <c r="B124" s="848"/>
      <c r="C124" s="849"/>
      <c r="D124" s="165"/>
      <c r="E124" s="165"/>
      <c r="F124" s="165"/>
      <c r="G124" s="327"/>
      <c r="H124" s="156"/>
      <c r="I124" s="165"/>
      <c r="J124" s="327"/>
    </row>
    <row r="125" spans="1:18" ht="27.75">
      <c r="A125" s="911" t="s">
        <v>196</v>
      </c>
      <c r="B125" s="911"/>
      <c r="C125" s="245"/>
      <c r="D125" s="307"/>
      <c r="E125" s="308"/>
      <c r="F125" s="308"/>
      <c r="G125" s="309">
        <f>SUM(G112:G124)</f>
        <v>3325.0599999999627</v>
      </c>
      <c r="H125" s="156"/>
      <c r="I125" s="327">
        <f>G125-(G39+G53)</f>
        <v>655.97999999994636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471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'4'!F128</f>
        <v>39388.42</v>
      </c>
      <c r="F128" s="472">
        <v>39721.089999999997</v>
      </c>
      <c r="G128" s="112">
        <f t="shared" ref="G128:G134" si="10">F128-E128</f>
        <v>332.66999999999825</v>
      </c>
      <c r="H128" s="99">
        <f>G128+'4'!H128</f>
        <v>1717.0899999999965</v>
      </c>
      <c r="I128" s="165"/>
      <c r="J128" s="328">
        <f>H128/DAY(B2)</f>
        <v>343.41799999999932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'4'!F129</f>
        <v>21201.37</v>
      </c>
      <c r="F129" s="472">
        <v>21399.47</v>
      </c>
      <c r="G129" s="112">
        <f t="shared" si="10"/>
        <v>198.10000000000218</v>
      </c>
      <c r="H129" s="99">
        <f>G129+'4'!H129</f>
        <v>1078.4700000000012</v>
      </c>
      <c r="I129" s="165"/>
      <c r="J129" s="328">
        <f>H129/DAY(B2)</f>
        <v>215.69400000000024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'4'!F130</f>
        <v>21202.17</v>
      </c>
      <c r="F130" s="472">
        <v>21852.17</v>
      </c>
      <c r="G130" s="112">
        <f t="shared" si="10"/>
        <v>650</v>
      </c>
      <c r="H130" s="99">
        <f>G130+'4'!H130</f>
        <v>3470.1699999999983</v>
      </c>
      <c r="I130" s="165"/>
      <c r="J130" s="328">
        <f>H130/DAY(B2)</f>
        <v>694.03399999999965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'4'!F131</f>
        <v>13484.52</v>
      </c>
      <c r="F131" s="472">
        <v>13561.44</v>
      </c>
      <c r="G131" s="112">
        <f t="shared" si="10"/>
        <v>76.920000000000073</v>
      </c>
      <c r="H131" s="99">
        <f>G131+'4'!H131</f>
        <v>408.44000000000051</v>
      </c>
      <c r="I131" s="165"/>
      <c r="J131" s="328">
        <f>H131/DAY(B2)</f>
        <v>81.688000000000102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'4'!F132</f>
        <v>42815.69</v>
      </c>
      <c r="F132" s="472">
        <v>43251.08</v>
      </c>
      <c r="G132" s="112">
        <f t="shared" si="10"/>
        <v>435.38999999999942</v>
      </c>
      <c r="H132" s="99">
        <f>G132+'4'!H132</f>
        <v>2228.0800000000017</v>
      </c>
      <c r="I132" s="165"/>
      <c r="J132" s="328">
        <f>H132/DAY(B2)</f>
        <v>445.61600000000033</v>
      </c>
    </row>
    <row r="133" spans="1:15" ht="27.75">
      <c r="A133" s="843" t="s">
        <v>323</v>
      </c>
      <c r="B133" s="844"/>
      <c r="C133" s="845"/>
      <c r="D133" s="151" t="s">
        <v>183</v>
      </c>
      <c r="E133" s="95">
        <f>'4'!F133</f>
        <v>91046.62</v>
      </c>
      <c r="F133" s="472">
        <v>91892.87</v>
      </c>
      <c r="G133" s="112">
        <f t="shared" si="10"/>
        <v>846.25</v>
      </c>
      <c r="H133" s="99">
        <f>G133+'4'!H133</f>
        <v>4189.8699999999953</v>
      </c>
      <c r="I133" s="165"/>
      <c r="J133" s="328">
        <f>H133/DAY(B2)</f>
        <v>837.97399999999902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'4'!F134</f>
        <v>671437</v>
      </c>
      <c r="F134" s="472">
        <v>672078</v>
      </c>
      <c r="G134" s="112">
        <f t="shared" si="10"/>
        <v>641</v>
      </c>
      <c r="H134" s="99">
        <f>G134+'4'!H134</f>
        <v>3198</v>
      </c>
      <c r="I134" s="165"/>
      <c r="J134" s="328">
        <f>H134/DAY(B2)</f>
        <v>639.6</v>
      </c>
    </row>
    <row r="135" spans="1:15" ht="27.75">
      <c r="A135" s="911" t="s">
        <v>196</v>
      </c>
      <c r="B135" s="911"/>
      <c r="C135" s="331"/>
      <c r="D135" s="151"/>
      <c r="E135" s="95"/>
      <c r="F135" s="165"/>
      <c r="G135" s="112">
        <f>SUM(G128:G134)</f>
        <v>3180.33</v>
      </c>
      <c r="H135" s="99">
        <f>G135+'4'!H135</f>
        <v>16290.119999999994</v>
      </c>
      <c r="I135" s="327">
        <f>G135-(G35+G49)</f>
        <v>-307.37999999999192</v>
      </c>
      <c r="J135" s="328">
        <f>H135/DAY(B2)</f>
        <v>3258.0239999999985</v>
      </c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'4'!F138</f>
        <v>864477</v>
      </c>
      <c r="F138" s="147">
        <v>864536</v>
      </c>
      <c r="G138" s="112">
        <f t="shared" ref="G138:G152" si="11">F138-E138</f>
        <v>59</v>
      </c>
      <c r="H138" s="99">
        <f>G138+'4'!H138</f>
        <v>365</v>
      </c>
      <c r="I138" s="118"/>
      <c r="J138" s="328">
        <f>H138/DAY(B2)</f>
        <v>73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'4'!F139</f>
        <v>886547</v>
      </c>
      <c r="F139" s="148">
        <v>886547</v>
      </c>
      <c r="G139" s="112">
        <f t="shared" si="11"/>
        <v>0</v>
      </c>
      <c r="H139" s="99">
        <f>G139+'4'!H139</f>
        <v>1</v>
      </c>
      <c r="I139" s="118"/>
      <c r="J139" s="328">
        <f>H139/DAY(B2)</f>
        <v>0.2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'4'!F140</f>
        <v>88898.3</v>
      </c>
      <c r="F140" s="149">
        <v>88898.3</v>
      </c>
      <c r="G140" s="112">
        <f t="shared" si="11"/>
        <v>0</v>
      </c>
      <c r="H140" s="99">
        <f>G140+'4'!H140</f>
        <v>16.30000000000291</v>
      </c>
      <c r="I140" s="118"/>
      <c r="J140" s="328">
        <f>H140/DAY(B2)</f>
        <v>3.260000000000582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'4'!F141</f>
        <v>50035.040000000001</v>
      </c>
      <c r="F141" s="149">
        <v>50206.1</v>
      </c>
      <c r="G141" s="112">
        <f t="shared" si="11"/>
        <v>171.05999999999767</v>
      </c>
      <c r="H141" s="99">
        <f>G141+'4'!H141</f>
        <v>900.09999999999854</v>
      </c>
      <c r="I141" s="118"/>
      <c r="J141" s="328">
        <f>H141/DAY(B2)</f>
        <v>180.0199999999997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'4'!F142</f>
        <v>19291.75</v>
      </c>
      <c r="F142" s="148">
        <v>19368.75</v>
      </c>
      <c r="G142" s="112">
        <f t="shared" si="11"/>
        <v>77</v>
      </c>
      <c r="H142" s="99">
        <f>G142+'4'!H142</f>
        <v>359.75</v>
      </c>
      <c r="I142" s="140"/>
      <c r="J142" s="328">
        <f>H142/DAY(B2)</f>
        <v>71.95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'4'!F143</f>
        <v>3152.36</v>
      </c>
      <c r="F143" s="149">
        <v>3172.7</v>
      </c>
      <c r="G143" s="112">
        <f t="shared" si="11"/>
        <v>20.339999999999691</v>
      </c>
      <c r="H143" s="99">
        <f>G143+'4'!H143</f>
        <v>111.69999999999982</v>
      </c>
      <c r="I143" s="140"/>
      <c r="J143" s="328">
        <f>H143/DAY(B2)</f>
        <v>22.339999999999964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'4'!F144</f>
        <v>870569</v>
      </c>
      <c r="F144" s="149">
        <v>870794</v>
      </c>
      <c r="G144" s="112">
        <f t="shared" si="11"/>
        <v>225</v>
      </c>
      <c r="H144" s="99">
        <f>G144+'4'!H144</f>
        <v>1124</v>
      </c>
      <c r="I144" s="140"/>
      <c r="J144" s="328">
        <f>H144/DAY(B2)</f>
        <v>224.8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'4'!F145</f>
        <v>4624.2299999999996</v>
      </c>
      <c r="F145" s="149">
        <v>4641</v>
      </c>
      <c r="G145" s="112">
        <f t="shared" si="11"/>
        <v>16.770000000000437</v>
      </c>
      <c r="H145" s="99">
        <f>G145+'4'!H145</f>
        <v>83</v>
      </c>
      <c r="I145" s="140"/>
      <c r="J145" s="328">
        <f>H145/DAY(B2)</f>
        <v>16.600000000000001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'4'!F146</f>
        <v>726728</v>
      </c>
      <c r="F146" s="148">
        <v>727178</v>
      </c>
      <c r="G146" s="112">
        <f t="shared" si="11"/>
        <v>450</v>
      </c>
      <c r="H146" s="99">
        <f>G146+'4'!H146</f>
        <v>2320</v>
      </c>
      <c r="I146" s="140"/>
      <c r="J146" s="328">
        <f>H146/DAY(B2)</f>
        <v>464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'4'!F147</f>
        <v>616959.84</v>
      </c>
      <c r="F147" s="148">
        <v>617341</v>
      </c>
      <c r="G147" s="112">
        <f t="shared" si="11"/>
        <v>381.1600000000326</v>
      </c>
      <c r="H147" s="99">
        <f>G147+'4'!H147</f>
        <v>2059</v>
      </c>
      <c r="I147" s="140"/>
      <c r="J147" s="328">
        <f>H147/DAY(B2)</f>
        <v>411.8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'4'!F148</f>
        <v>684170.8</v>
      </c>
      <c r="F148" s="150">
        <f>684170+232</f>
        <v>684402</v>
      </c>
      <c r="G148" s="112">
        <f t="shared" si="11"/>
        <v>231.19999999995343</v>
      </c>
      <c r="H148" s="99">
        <f>G148+'4'!H148</f>
        <v>1368.8800000000047</v>
      </c>
      <c r="I148" s="124"/>
      <c r="J148" s="328">
        <f>H148/DAY(B2)</f>
        <v>273.77600000000092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'4'!F149</f>
        <v>12179.96</v>
      </c>
      <c r="F149" s="146">
        <v>12661.14</v>
      </c>
      <c r="G149" s="112">
        <f t="shared" si="11"/>
        <v>481.18000000000029</v>
      </c>
      <c r="H149" s="99">
        <f>G149+'4'!H149</f>
        <v>1912.1399999999994</v>
      </c>
      <c r="I149" s="119"/>
      <c r="J149" s="328">
        <f>H149/DAY(B2)</f>
        <v>382.42799999999988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'4'!F150</f>
        <v>4925.78</v>
      </c>
      <c r="F150" s="233">
        <v>5143.54</v>
      </c>
      <c r="G150" s="112">
        <f t="shared" si="11"/>
        <v>217.76000000000022</v>
      </c>
      <c r="H150" s="99">
        <f>G150+'4'!H150</f>
        <v>1091.54</v>
      </c>
      <c r="I150" s="119"/>
      <c r="J150" s="328">
        <f>H150/DAY(B2)</f>
        <v>218.30799999999999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'4'!F151</f>
        <v>79257</v>
      </c>
      <c r="F151" s="233">
        <v>79503</v>
      </c>
      <c r="G151" s="112">
        <f t="shared" si="11"/>
        <v>246</v>
      </c>
      <c r="H151" s="99">
        <f>G151+'4'!H151</f>
        <v>1286</v>
      </c>
      <c r="I151" s="119"/>
      <c r="J151" s="328">
        <f>H151/DAY(B2)</f>
        <v>257.2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'4'!F152</f>
        <v>1224.04</v>
      </c>
      <c r="F152" s="233">
        <v>1238.56</v>
      </c>
      <c r="G152" s="112">
        <f t="shared" si="11"/>
        <v>14.519999999999982</v>
      </c>
      <c r="H152" s="99">
        <f>G152+'4'!H152</f>
        <v>111.55999999999995</v>
      </c>
      <c r="I152" s="119"/>
      <c r="J152" s="328">
        <f>H152/DAY(B2)</f>
        <v>22.311999999999991</v>
      </c>
    </row>
    <row r="153" spans="1:10" ht="27.75">
      <c r="A153" s="911" t="s">
        <v>196</v>
      </c>
      <c r="B153" s="911"/>
      <c r="C153" s="365"/>
      <c r="D153" s="358"/>
      <c r="E153" s="360"/>
      <c r="F153" s="361"/>
      <c r="G153" s="362">
        <f>SUM(G138:G152)</f>
        <v>2590.9899999999843</v>
      </c>
      <c r="H153" s="363"/>
      <c r="I153" s="119">
        <f>G153-(G38+G52)</f>
        <v>918.58999999996104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'4'!F155</f>
        <v>15390.56</v>
      </c>
      <c r="F155" s="473">
        <v>16004.02</v>
      </c>
      <c r="G155" s="112">
        <f t="shared" ref="G155:G158" si="12">F155-E155</f>
        <v>613.46000000000095</v>
      </c>
      <c r="H155" s="99">
        <f>G155+'4'!H155</f>
        <v>2532.0200000000004</v>
      </c>
      <c r="I155" s="364"/>
      <c r="J155" s="328">
        <f>H155/DAY(B2)</f>
        <v>506.40400000000011</v>
      </c>
    </row>
    <row r="156" spans="1:10" ht="27.75">
      <c r="A156" s="823" t="s">
        <v>346</v>
      </c>
      <c r="B156" s="823"/>
      <c r="C156" s="823"/>
      <c r="D156" s="117" t="s">
        <v>130</v>
      </c>
      <c r="E156" s="95">
        <f>'4'!F156</f>
        <v>1255.8699999999999</v>
      </c>
      <c r="F156" s="165">
        <v>1308.71</v>
      </c>
      <c r="G156" s="112">
        <f t="shared" si="12"/>
        <v>52.840000000000146</v>
      </c>
      <c r="H156" s="99">
        <f>G156+'4'!H156</f>
        <v>220.71000000000004</v>
      </c>
      <c r="I156" s="165"/>
      <c r="J156" s="328">
        <f>H156/DAY(B2)</f>
        <v>44.14200000000001</v>
      </c>
    </row>
    <row r="157" spans="1:10" ht="27.75">
      <c r="A157" s="824" t="s">
        <v>364</v>
      </c>
      <c r="B157" s="825"/>
      <c r="C157" s="826"/>
      <c r="D157" s="117" t="s">
        <v>130</v>
      </c>
      <c r="E157" s="95">
        <f>'4'!F157</f>
        <v>1498.22</v>
      </c>
      <c r="F157" s="165">
        <v>1560</v>
      </c>
      <c r="G157" s="112">
        <f t="shared" si="12"/>
        <v>61.779999999999973</v>
      </c>
      <c r="H157" s="99">
        <f>G157+'4'!H157</f>
        <v>124.40000000000009</v>
      </c>
      <c r="I157" s="165"/>
      <c r="J157" s="328">
        <f>H157/DAY(B2)</f>
        <v>24.880000000000017</v>
      </c>
    </row>
    <row r="158" spans="1:10" ht="27.75">
      <c r="A158" s="824" t="s">
        <v>365</v>
      </c>
      <c r="B158" s="825"/>
      <c r="C158" s="826"/>
      <c r="D158" s="117" t="s">
        <v>130</v>
      </c>
      <c r="E158" s="95">
        <f>'4'!F158</f>
        <v>8.5299999999999994</v>
      </c>
      <c r="F158" s="165">
        <v>14.34</v>
      </c>
      <c r="G158" s="112">
        <f t="shared" si="12"/>
        <v>5.8100000000000005</v>
      </c>
      <c r="H158" s="99">
        <f>G158+'4'!H158</f>
        <v>6.4399999999999995</v>
      </c>
      <c r="I158" s="165"/>
      <c r="J158" s="328">
        <f>H158/DAY(B2)</f>
        <v>1.2879999999999998</v>
      </c>
    </row>
    <row r="159" spans="1:10" ht="27.75">
      <c r="A159" s="907"/>
      <c r="B159" s="908"/>
      <c r="C159" s="909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'4'!F161</f>
        <v>471153.56</v>
      </c>
      <c r="F161" s="235">
        <v>471153.56</v>
      </c>
      <c r="G161" s="238">
        <f t="shared" ref="G161:G165" si="13">F161-E161</f>
        <v>0</v>
      </c>
      <c r="H161" s="99">
        <f>G161+'4'!H161</f>
        <v>0.40000000002328306</v>
      </c>
      <c r="I161" s="236"/>
      <c r="J161" s="239">
        <f>H161/DAY(B2)</f>
        <v>8.000000000465661E-2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'4'!F162</f>
        <v>87661.2</v>
      </c>
      <c r="F162" s="235">
        <v>87687</v>
      </c>
      <c r="G162" s="238">
        <f t="shared" si="13"/>
        <v>25.80000000000291</v>
      </c>
      <c r="H162" s="99">
        <f>G162+'4'!H162</f>
        <v>117</v>
      </c>
      <c r="I162" s="236"/>
      <c r="J162" s="239">
        <f>H162/DAY(B2)</f>
        <v>23.4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'4'!F163</f>
        <v>77995.100000000006</v>
      </c>
      <c r="F163" s="235">
        <v>78048.2</v>
      </c>
      <c r="G163" s="238">
        <f t="shared" si="13"/>
        <v>53.099999999991269</v>
      </c>
      <c r="H163" s="99">
        <f>G163+'4'!H163</f>
        <v>223.19999999999709</v>
      </c>
      <c r="I163" s="236"/>
      <c r="J163" s="239">
        <f>H163/DAY(B2)</f>
        <v>44.639999999999418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'4'!F164</f>
        <v>4247.3</v>
      </c>
      <c r="F164" s="235">
        <v>4248.6000000000004</v>
      </c>
      <c r="G164" s="238">
        <f t="shared" si="13"/>
        <v>1.3000000000001819</v>
      </c>
      <c r="H164" s="99">
        <f>G164+'4'!H164</f>
        <v>6.6000000000003638</v>
      </c>
      <c r="I164" s="236"/>
      <c r="J164" s="239">
        <f>H164/DAY(B2)</f>
        <v>1.3200000000000727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'4'!F165</f>
        <v>29670.03</v>
      </c>
      <c r="F165" s="235">
        <v>29679.3</v>
      </c>
      <c r="G165" s="238">
        <f t="shared" si="13"/>
        <v>9.2700000000004366</v>
      </c>
      <c r="H165" s="99">
        <f>G165+'4'!H165</f>
        <v>33.299999999999272</v>
      </c>
      <c r="I165" s="236"/>
      <c r="J165" s="239">
        <f>H165/DAY(B2)</f>
        <v>6.6599999999998545</v>
      </c>
    </row>
    <row r="166" spans="1:10" ht="29.25">
      <c r="A166" s="832"/>
      <c r="B166" s="832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>
      <c r="A167" s="832"/>
      <c r="B167" s="832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>
      <c r="A168" s="832"/>
      <c r="B168" s="832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912"/>
      <c r="B172" s="912"/>
      <c r="C172" s="474"/>
      <c r="D172" s="155"/>
      <c r="E172" s="155"/>
      <c r="F172" s="155"/>
      <c r="G172" s="155"/>
      <c r="H172" s="156"/>
      <c r="I172" s="155"/>
      <c r="J172" s="156"/>
    </row>
    <row r="173" spans="1:10" ht="27.75">
      <c r="A173" s="910" t="s">
        <v>209</v>
      </c>
      <c r="B173" s="910"/>
      <c r="C173" s="333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>
      <c r="A174" s="910" t="s">
        <v>75</v>
      </c>
      <c r="B174" s="910"/>
      <c r="C174" s="333"/>
      <c r="D174" s="155" t="s">
        <v>142</v>
      </c>
      <c r="E174" s="95">
        <f>'4'!F174</f>
        <v>38322</v>
      </c>
      <c r="F174" s="157">
        <v>38336</v>
      </c>
      <c r="G174" s="155">
        <f t="shared" ref="G174:G175" si="14">F174-E174</f>
        <v>14</v>
      </c>
      <c r="H174" s="99">
        <f>G174+'4'!H174</f>
        <v>43</v>
      </c>
      <c r="I174" s="155"/>
      <c r="J174" s="156">
        <f>H174/DAY(B2)</f>
        <v>8.6</v>
      </c>
    </row>
    <row r="175" spans="1:10" ht="27.75">
      <c r="A175" s="910" t="s">
        <v>76</v>
      </c>
      <c r="B175" s="910"/>
      <c r="C175" s="910"/>
      <c r="D175" s="155" t="s">
        <v>142</v>
      </c>
      <c r="E175" s="95">
        <f>'4'!F175</f>
        <v>21556</v>
      </c>
      <c r="F175" s="157">
        <v>21567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>
      <c r="A176" s="911" t="s">
        <v>196</v>
      </c>
      <c r="B176" s="911"/>
      <c r="C176" s="333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92</v>
      </c>
      <c r="I176" s="155"/>
      <c r="J176" s="156">
        <f>H176/DAY(B2)</f>
        <v>18.399999999999999</v>
      </c>
    </row>
    <row r="177" spans="1:10" ht="27.75">
      <c r="A177" s="910" t="s">
        <v>77</v>
      </c>
      <c r="B177" s="910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>
      <c r="A178" s="910" t="s">
        <v>210</v>
      </c>
      <c r="B178" s="910"/>
      <c r="C178" s="333"/>
      <c r="D178" s="155" t="s">
        <v>142</v>
      </c>
      <c r="E178" s="95">
        <f>'4'!F178</f>
        <v>79877</v>
      </c>
      <c r="F178" s="155">
        <v>79974</v>
      </c>
      <c r="G178" s="155">
        <f>F178-E178</f>
        <v>97</v>
      </c>
      <c r="H178" s="99">
        <f>G178+'4'!H178</f>
        <v>360</v>
      </c>
      <c r="I178" s="155"/>
      <c r="J178" s="156">
        <f>H178/DAY(B2)</f>
        <v>72</v>
      </c>
    </row>
    <row r="179" spans="1:10" ht="27.75">
      <c r="A179" s="910" t="s">
        <v>211</v>
      </c>
      <c r="B179" s="910"/>
      <c r="C179" s="333"/>
      <c r="D179" s="155" t="s">
        <v>142</v>
      </c>
      <c r="E179" s="95">
        <f>'4'!F179</f>
        <v>34008</v>
      </c>
      <c r="F179" s="155">
        <v>34024</v>
      </c>
      <c r="G179" s="155">
        <f t="shared" ref="G179:G180" si="15">F179-E179</f>
        <v>16</v>
      </c>
      <c r="H179" s="99">
        <f>G179+'4'!H179</f>
        <v>109</v>
      </c>
      <c r="I179" s="155"/>
      <c r="J179" s="156">
        <f>H179/DAY(B2)</f>
        <v>21.8</v>
      </c>
    </row>
    <row r="180" spans="1:10" ht="27.75">
      <c r="A180" s="910" t="s">
        <v>212</v>
      </c>
      <c r="B180" s="910"/>
      <c r="C180" s="333"/>
      <c r="D180" s="155" t="s">
        <v>142</v>
      </c>
      <c r="E180" s="95">
        <f>'4'!F180</f>
        <v>5504</v>
      </c>
      <c r="F180" s="155">
        <v>5505</v>
      </c>
      <c r="G180" s="155">
        <f t="shared" si="15"/>
        <v>1</v>
      </c>
      <c r="H180" s="99">
        <f>G180+'4'!H180</f>
        <v>28</v>
      </c>
      <c r="I180" s="155"/>
      <c r="J180" s="156">
        <f>H180/DAY(B2)</f>
        <v>5.6</v>
      </c>
    </row>
    <row r="181" spans="1:10" ht="27.75">
      <c r="A181" s="915" t="s">
        <v>108</v>
      </c>
      <c r="B181" s="915"/>
      <c r="C181" s="333"/>
      <c r="D181" s="155"/>
      <c r="E181" s="95">
        <f>'4'!F181</f>
        <v>0</v>
      </c>
      <c r="F181" s="155"/>
      <c r="G181" s="155">
        <f>SUM(G178:G180)</f>
        <v>114</v>
      </c>
      <c r="H181" s="99">
        <f>G181+'4'!H181</f>
        <v>497</v>
      </c>
      <c r="I181" s="155"/>
      <c r="J181" s="156">
        <f>H181/DAY(B2)</f>
        <v>99.4</v>
      </c>
    </row>
    <row r="182" spans="1:10" ht="27.75">
      <c r="A182" s="910" t="s">
        <v>213</v>
      </c>
      <c r="B182" s="910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>
      <c r="A183" s="910" t="s">
        <v>214</v>
      </c>
      <c r="B183" s="910"/>
      <c r="C183" s="334"/>
      <c r="D183" s="155" t="s">
        <v>142</v>
      </c>
      <c r="E183" s="95">
        <f>'4'!F183</f>
        <v>15024</v>
      </c>
      <c r="F183" s="157">
        <v>15037</v>
      </c>
      <c r="G183" s="157">
        <f>F183-E183</f>
        <v>13</v>
      </c>
      <c r="H183" s="99">
        <f>G183+'4'!H183</f>
        <v>90</v>
      </c>
      <c r="I183" s="155"/>
      <c r="J183" s="156">
        <f>H183/DAY(B2)</f>
        <v>18</v>
      </c>
    </row>
    <row r="184" spans="1:10" ht="27.75">
      <c r="A184" s="910" t="s">
        <v>215</v>
      </c>
      <c r="B184" s="910"/>
      <c r="C184" s="334"/>
      <c r="D184" s="155" t="s">
        <v>142</v>
      </c>
      <c r="E184" s="95">
        <f>'4'!F184</f>
        <v>10332</v>
      </c>
      <c r="F184" s="157">
        <v>10338</v>
      </c>
      <c r="G184" s="157">
        <f t="shared" ref="G184:G185" si="16">F184-E184</f>
        <v>6</v>
      </c>
      <c r="H184" s="99">
        <f>G184+'4'!H184</f>
        <v>37</v>
      </c>
      <c r="I184" s="155"/>
      <c r="J184" s="156">
        <f>H184/DAY(B2)</f>
        <v>7.4</v>
      </c>
    </row>
    <row r="185" spans="1:10" ht="29.25" customHeight="1">
      <c r="A185" s="910" t="s">
        <v>216</v>
      </c>
      <c r="B185" s="910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>
      <c r="A186" s="911" t="s">
        <v>196</v>
      </c>
      <c r="B186" s="911"/>
      <c r="C186" s="334"/>
      <c r="D186" s="463"/>
      <c r="E186" s="95"/>
      <c r="F186" s="157"/>
      <c r="G186" s="157">
        <f>SUM(G183:G185)</f>
        <v>19</v>
      </c>
      <c r="H186" s="99">
        <f>G186+'4'!H186</f>
        <v>127</v>
      </c>
      <c r="I186" s="157"/>
      <c r="J186" s="156">
        <f>H186/DAY(B2)</f>
        <v>25.4</v>
      </c>
    </row>
    <row r="187" spans="1:10" ht="27.75">
      <c r="A187" s="914" t="s">
        <v>217</v>
      </c>
      <c r="B187" s="914"/>
      <c r="C187" s="333"/>
      <c r="D187" s="157" t="s">
        <v>142</v>
      </c>
      <c r="E187" s="95"/>
      <c r="F187" s="159"/>
      <c r="G187" s="462">
        <f>G62+G19</f>
        <v>137</v>
      </c>
      <c r="H187" s="99">
        <f>G187+'4'!H187</f>
        <v>482</v>
      </c>
      <c r="I187" s="158"/>
      <c r="J187" s="159">
        <f>H187/DAY(B2)</f>
        <v>96.4</v>
      </c>
    </row>
    <row r="188" spans="1:10" ht="27.75">
      <c r="A188" s="914" t="s">
        <v>218</v>
      </c>
      <c r="B188" s="914"/>
      <c r="C188" s="333"/>
      <c r="D188" s="157" t="s">
        <v>142</v>
      </c>
      <c r="E188" s="95"/>
      <c r="F188" s="159"/>
      <c r="G188" s="462">
        <f>G65+G66+G67+G69+G70</f>
        <v>132</v>
      </c>
      <c r="H188" s="99">
        <f>G188+'4'!H188</f>
        <v>734</v>
      </c>
      <c r="I188" s="158"/>
      <c r="J188" s="159">
        <f>H188/DAY(B2)</f>
        <v>146.80000000000001</v>
      </c>
    </row>
    <row r="189" spans="1:10" ht="27.75">
      <c r="A189" s="914" t="s">
        <v>219</v>
      </c>
      <c r="B189" s="914"/>
      <c r="C189" s="333"/>
      <c r="D189" s="157" t="s">
        <v>142</v>
      </c>
      <c r="E189" s="95"/>
      <c r="F189" s="157"/>
      <c r="G189" s="459">
        <f>G181</f>
        <v>114</v>
      </c>
      <c r="H189" s="99">
        <f>G189+'4'!H189</f>
        <v>497</v>
      </c>
      <c r="I189" s="158"/>
      <c r="J189" s="159">
        <f>H189/DAY(B2)</f>
        <v>99.4</v>
      </c>
    </row>
    <row r="190" spans="1:10" ht="27.75">
      <c r="A190" s="913"/>
      <c r="B190" s="913"/>
      <c r="C190" s="475"/>
      <c r="D190" s="476"/>
      <c r="E190" s="477"/>
      <c r="F190" s="476"/>
      <c r="G190" s="476"/>
      <c r="H190" s="478"/>
      <c r="I190" s="476"/>
      <c r="J190" s="479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SheetLayoutView="55" workbookViewId="0">
      <selection activeCell="F18" sqref="F1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363</v>
      </c>
      <c r="B2" s="262">
        <v>44567</v>
      </c>
      <c r="C2" s="34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25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'5'!F7</f>
        <v>192932</v>
      </c>
      <c r="F7" s="95">
        <v>213204</v>
      </c>
      <c r="G7" s="112">
        <f>F7-E7</f>
        <v>20272</v>
      </c>
      <c r="H7" s="99">
        <f>G7+'5'!H7</f>
        <v>118643</v>
      </c>
      <c r="I7" s="113">
        <f>'1'!I7</f>
        <v>12000</v>
      </c>
      <c r="J7" s="175">
        <f>H7/DAY(B2)</f>
        <v>19773.833333333332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'5'!F8</f>
        <v>241310</v>
      </c>
      <c r="F8" s="114">
        <v>262018</v>
      </c>
      <c r="G8" s="115">
        <f>F8-E8</f>
        <v>20708</v>
      </c>
      <c r="H8" s="99">
        <f>G8+'5'!H8</f>
        <v>121133</v>
      </c>
      <c r="I8" s="116"/>
      <c r="J8" s="175">
        <f>H8/DAY(B2)</f>
        <v>20188.833333333332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'5'!F9</f>
        <v>2320792.5</v>
      </c>
      <c r="F9" s="117">
        <v>2333339</v>
      </c>
      <c r="G9" s="112">
        <f>F9-E9</f>
        <v>12546.5</v>
      </c>
      <c r="H9" s="99">
        <f>G9+'5'!H9</f>
        <v>74563</v>
      </c>
      <c r="I9" s="124">
        <f>I7-J7</f>
        <v>-7773.8333333333321</v>
      </c>
      <c r="J9" s="175">
        <f>H9/DAY(B2)</f>
        <v>12427.166666666666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'5'!F10</f>
        <v>574520.47</v>
      </c>
      <c r="F10" s="117">
        <v>581680</v>
      </c>
      <c r="G10" s="112">
        <f t="shared" ref="G10:G12" si="0">F10-E10</f>
        <v>7159.5300000000279</v>
      </c>
      <c r="H10" s="99">
        <f>G10+'5'!H10</f>
        <v>40854</v>
      </c>
      <c r="I10" s="282"/>
      <c r="J10" s="175">
        <f>H10/DAY(B2)</f>
        <v>6809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19706.030000000028</v>
      </c>
      <c r="H13" s="99">
        <f>G13+'5'!H13</f>
        <v>95951.749999999884</v>
      </c>
      <c r="I13" s="120">
        <f>G7-G13</f>
        <v>565.96999999997206</v>
      </c>
      <c r="J13" s="175">
        <f>H13/DAY(B2)</f>
        <v>15991.958333333314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'5'!F15</f>
        <v>1882870.7</v>
      </c>
      <c r="F15" s="123">
        <v>1883804</v>
      </c>
      <c r="G15" s="112">
        <f>(F15-E15)</f>
        <v>933.30000000004657</v>
      </c>
      <c r="H15" s="99">
        <f>G15+'5'!H15</f>
        <v>5374</v>
      </c>
      <c r="I15" s="113">
        <f>'1'!I15</f>
        <v>800</v>
      </c>
      <c r="J15" s="175">
        <f>H15/DAY(B2)</f>
        <v>895.66666666666663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-95.666666666666629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'5'!F18</f>
        <v>12</v>
      </c>
      <c r="F18" s="122">
        <v>12</v>
      </c>
      <c r="G18" s="119">
        <f>F18*10</f>
        <v>120</v>
      </c>
      <c r="H18" s="99">
        <f>G18+'5'!H18</f>
        <v>710</v>
      </c>
      <c r="I18" s="113">
        <f>'1'!I18</f>
        <v>65</v>
      </c>
      <c r="J18" s="175">
        <f>H18/DAY(B2)</f>
        <v>118.33333333333333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'5'!F19</f>
        <v>152491</v>
      </c>
      <c r="F19" s="122">
        <v>152535</v>
      </c>
      <c r="G19" s="112">
        <f t="shared" ref="G19" si="1">F19-E19</f>
        <v>44</v>
      </c>
      <c r="H19" s="99">
        <f>G19+'5'!H19</f>
        <v>310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164</v>
      </c>
      <c r="H20" s="99">
        <f>G20+'5'!H20</f>
        <v>1020</v>
      </c>
      <c r="I20" s="336">
        <f>I18-J20</f>
        <v>-105</v>
      </c>
      <c r="J20" s="175">
        <f>H20/DAY(B2)</f>
        <v>170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20708</v>
      </c>
      <c r="F27" s="136">
        <v>9</v>
      </c>
      <c r="G27" s="137">
        <f>E27*F27</f>
        <v>186372</v>
      </c>
      <c r="H27" s="99">
        <f>G27+'5'!H27</f>
        <v>1090197</v>
      </c>
      <c r="I27" s="138"/>
      <c r="J27" s="175">
        <f>H27/DAY(B2)</f>
        <v>181699.5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933.30000000004657</v>
      </c>
      <c r="F28" s="136">
        <v>52</v>
      </c>
      <c r="G28" s="137">
        <f>E28*F28</f>
        <v>48531.600000002421</v>
      </c>
      <c r="H28" s="99">
        <f>G28+'5'!H28</f>
        <v>279448</v>
      </c>
      <c r="I28" s="140"/>
      <c r="J28" s="175">
        <f>H28/DAY(B2)</f>
        <v>46574.666666666664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44</v>
      </c>
      <c r="F30" s="136">
        <v>146</v>
      </c>
      <c r="G30" s="137">
        <f>E30*F30</f>
        <v>6424</v>
      </c>
      <c r="H30" s="99">
        <f>G30+'5'!H30</f>
        <v>45260</v>
      </c>
      <c r="I30" s="140"/>
      <c r="J30" s="175">
        <f>H30/DAY(B2)</f>
        <v>7543.333333333333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G31+'5'!H31</f>
        <v>56800</v>
      </c>
      <c r="I31" s="140"/>
      <c r="J31" s="175">
        <f>H31/DAY(B2)</f>
        <v>9466.6666666666661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250927.60000000242</v>
      </c>
      <c r="H32" s="99">
        <f>G32+'5'!H32</f>
        <v>1471705</v>
      </c>
      <c r="I32" s="144"/>
      <c r="J32" s="175">
        <f>H32/DAY(B2)</f>
        <v>245284.16666666666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'5'!F35</f>
        <v>162553.63</v>
      </c>
      <c r="F35" s="145">
        <v>164358</v>
      </c>
      <c r="G35" s="112">
        <f t="shared" ref="G35:G46" si="3">F35-E35</f>
        <v>1804.3699999999953</v>
      </c>
      <c r="H35" s="99">
        <f>G35+'5'!H35</f>
        <v>11516</v>
      </c>
      <c r="I35" s="95"/>
      <c r="J35" s="175">
        <f>H35/DAY(B2)</f>
        <v>1919.3333333333333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'5'!F36</f>
        <v>25481.79</v>
      </c>
      <c r="F36" s="145">
        <v>26531</v>
      </c>
      <c r="G36" s="112">
        <f t="shared" si="3"/>
        <v>1049.2099999999991</v>
      </c>
      <c r="H36" s="99">
        <f>G36+'5'!H36</f>
        <v>5004</v>
      </c>
      <c r="I36" s="95"/>
      <c r="J36" s="175">
        <f>H36/DAY(B2)</f>
        <v>834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'5'!F37</f>
        <v>203029.89</v>
      </c>
      <c r="F37" s="145">
        <v>204547</v>
      </c>
      <c r="G37" s="112">
        <f t="shared" si="3"/>
        <v>1517.109999999986</v>
      </c>
      <c r="H37" s="99">
        <f>G37+'5'!H37</f>
        <v>9154</v>
      </c>
      <c r="I37" s="95"/>
      <c r="J37" s="175">
        <f>H37/DAY(B2)</f>
        <v>1525.6666666666667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'5'!F38</f>
        <v>240611.89</v>
      </c>
      <c r="F38" s="108">
        <v>242299</v>
      </c>
      <c r="G38" s="112">
        <f t="shared" si="3"/>
        <v>1687.109999999986</v>
      </c>
      <c r="H38" s="99">
        <f>G38+'5'!H38</f>
        <v>9817</v>
      </c>
      <c r="I38" s="95"/>
      <c r="J38" s="175">
        <f>H38/DAY(B2)</f>
        <v>1636.1666666666667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'5'!F39</f>
        <v>424693.59</v>
      </c>
      <c r="F39" s="145">
        <v>427401</v>
      </c>
      <c r="G39" s="112">
        <f t="shared" si="3"/>
        <v>2707.4099999999744</v>
      </c>
      <c r="H39" s="99">
        <f>G39+'5'!H39</f>
        <v>16322</v>
      </c>
      <c r="I39" s="95"/>
      <c r="J39" s="175">
        <f>H39/DAY(B2)</f>
        <v>2720.3333333333335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'5'!F40</f>
        <v>6027.74</v>
      </c>
      <c r="F40" s="145">
        <v>6693</v>
      </c>
      <c r="G40" s="112">
        <f t="shared" si="3"/>
        <v>665.26000000000022</v>
      </c>
      <c r="H40" s="99">
        <f>G40+'5'!H40</f>
        <v>1083</v>
      </c>
      <c r="I40" s="95"/>
      <c r="J40" s="175">
        <f>H40/DAY(B2)</f>
        <v>180.5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'5'!F41</f>
        <v>0</v>
      </c>
      <c r="F41" s="145">
        <v>0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'5'!F42</f>
        <v>73808.600000000006</v>
      </c>
      <c r="F42" s="145">
        <v>73808.600000000006</v>
      </c>
      <c r="G42" s="112">
        <f t="shared" si="3"/>
        <v>0</v>
      </c>
      <c r="H42" s="99">
        <f>G42+'5'!H42</f>
        <v>-0.39999999999417923</v>
      </c>
      <c r="I42" s="95"/>
      <c r="J42" s="175">
        <f>H42/DAY(B2)</f>
        <v>-6.6666666665696539E-2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'5'!F43</f>
        <v>59531.19</v>
      </c>
      <c r="F43" s="145">
        <v>61966</v>
      </c>
      <c r="G43" s="112">
        <f t="shared" si="3"/>
        <v>2434.8099999999977</v>
      </c>
      <c r="H43" s="99">
        <f>G43+'5'!H43</f>
        <v>14705</v>
      </c>
      <c r="I43" s="95"/>
      <c r="J43" s="175">
        <f>H43/DAY(B2)</f>
        <v>2450.8333333333335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11865.279999999939</v>
      </c>
      <c r="H47" s="99">
        <f>G47+'5'!H47</f>
        <v>67600.600000000006</v>
      </c>
      <c r="I47" s="95"/>
      <c r="J47" s="175">
        <f>H47/DAY(B2)</f>
        <v>11266.766666666668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'5'!F49</f>
        <v>280424.89</v>
      </c>
      <c r="F49" s="145">
        <v>282102</v>
      </c>
      <c r="G49" s="112">
        <f t="shared" ref="G49:G58" si="4">F49-E49</f>
        <v>1677.109999999986</v>
      </c>
      <c r="H49" s="99">
        <f>G49+'5'!H49</f>
        <v>9862</v>
      </c>
      <c r="I49" s="95"/>
      <c r="J49" s="175">
        <f>H49/DAY(B2)</f>
        <v>1643.6666666666667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'5'!F50</f>
        <v>30028.26</v>
      </c>
      <c r="F50" s="145">
        <v>31059</v>
      </c>
      <c r="G50" s="112">
        <f t="shared" si="4"/>
        <v>1030.7400000000016</v>
      </c>
      <c r="H50" s="99">
        <f>G50+'5'!H50</f>
        <v>6409</v>
      </c>
      <c r="I50" s="95"/>
      <c r="J50" s="175">
        <f>H50/DAY(B2)</f>
        <v>1068.1666666666667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'5'!F54</f>
        <v>659.69</v>
      </c>
      <c r="F54" s="145">
        <v>1131</v>
      </c>
      <c r="G54" s="112">
        <f t="shared" si="4"/>
        <v>471.30999999999995</v>
      </c>
      <c r="H54" s="99">
        <f>G54+'5'!H54</f>
        <v>1145.08</v>
      </c>
      <c r="I54" s="95"/>
      <c r="J54" s="175">
        <f>H54/DAY(B2)</f>
        <v>190.84666666666666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'5'!F55</f>
        <v>18598.919999999998</v>
      </c>
      <c r="F55" s="145">
        <v>21910</v>
      </c>
      <c r="G55" s="112">
        <f t="shared" si="4"/>
        <v>3311.0800000000017</v>
      </c>
      <c r="H55" s="99">
        <f>G55+'5'!H55</f>
        <v>18399</v>
      </c>
      <c r="I55" s="95"/>
      <c r="J55" s="175">
        <f>H55/DAY(B2)</f>
        <v>3066.5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'5'!F56</f>
        <v>8610.5400000000009</v>
      </c>
      <c r="F56" s="145">
        <v>8610.5400000000009</v>
      </c>
      <c r="G56" s="112">
        <f t="shared" si="4"/>
        <v>0</v>
      </c>
      <c r="H56" s="99">
        <f>G56+'5'!H56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'5'!F58</f>
        <v>250.47</v>
      </c>
      <c r="F58" s="145">
        <v>454</v>
      </c>
      <c r="G58" s="112">
        <f t="shared" si="4"/>
        <v>203.53</v>
      </c>
      <c r="H58" s="99">
        <f>G58+'5'!H58</f>
        <v>794.63000000000466</v>
      </c>
      <c r="I58" s="95"/>
      <c r="J58" s="175">
        <f>H58/DAY(B2)</f>
        <v>132.4383333333341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6693.7699999999886</v>
      </c>
      <c r="H59" s="99">
        <f>G59+'5'!H59</f>
        <v>36609.710000000006</v>
      </c>
      <c r="I59" s="95">
        <f>G7-G60</f>
        <v>1712.9500000000735</v>
      </c>
      <c r="J59" s="175">
        <f>H59/DAY(B2)</f>
        <v>6101.6183333333347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18559.049999999927</v>
      </c>
      <c r="H60" s="99">
        <f>G60+'5'!H60</f>
        <v>104210.31000000001</v>
      </c>
      <c r="I60" s="95">
        <f>G13-G60</f>
        <v>1146.9800000001014</v>
      </c>
      <c r="J60" s="175">
        <f>H60/DAY(B2)</f>
        <v>17368.385000000002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'5'!F62</f>
        <v>267429</v>
      </c>
      <c r="F62" s="122">
        <v>267510</v>
      </c>
      <c r="G62" s="112">
        <f t="shared" ref="G62:G63" si="5">F62-E62</f>
        <v>81</v>
      </c>
      <c r="H62" s="99">
        <f>G62+'5'!H62</f>
        <v>297</v>
      </c>
      <c r="I62" s="118"/>
      <c r="J62" s="175">
        <f>H62/DAY(B2)</f>
        <v>49.5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'5'!F63</f>
        <v>213004</v>
      </c>
      <c r="F63" s="122">
        <v>213123</v>
      </c>
      <c r="G63" s="112">
        <f t="shared" si="5"/>
        <v>119</v>
      </c>
      <c r="H63" s="99">
        <f>G63+'5'!H63</f>
        <v>698</v>
      </c>
      <c r="I63" s="118"/>
      <c r="J63" s="175">
        <f>H63/DAY(B2)</f>
        <v>116.33333333333333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'5'!F64</f>
        <v>0</v>
      </c>
      <c r="F64" s="122"/>
      <c r="G64" s="112">
        <f>G62+G63</f>
        <v>200</v>
      </c>
      <c r="H64" s="99">
        <f>G64+'5'!H64</f>
        <v>995</v>
      </c>
      <c r="I64" s="118"/>
      <c r="J64" s="175">
        <f>H64/DAY(B2)</f>
        <v>165.83333333333334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'5'!F65</f>
        <v>432967</v>
      </c>
      <c r="F65" s="122">
        <v>433036</v>
      </c>
      <c r="G65" s="112">
        <f t="shared" ref="G65:G70" si="6">F65-E65</f>
        <v>69</v>
      </c>
      <c r="H65" s="99">
        <f>G65+'5'!H65</f>
        <v>422</v>
      </c>
      <c r="I65" s="118"/>
      <c r="J65" s="175">
        <f>H65/DAY(B2)</f>
        <v>70.333333333333329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'5'!F66</f>
        <v>107327</v>
      </c>
      <c r="F66" s="122">
        <v>107342</v>
      </c>
      <c r="G66" s="112">
        <f t="shared" si="6"/>
        <v>15</v>
      </c>
      <c r="H66" s="99">
        <f>G66+'5'!H66</f>
        <v>128</v>
      </c>
      <c r="I66" s="118"/>
      <c r="J66" s="175">
        <f>H66/DAY(B2)</f>
        <v>21.333333333333332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'5'!F67</f>
        <v>104076</v>
      </c>
      <c r="F67" s="122">
        <v>104097</v>
      </c>
      <c r="G67" s="112">
        <f t="shared" si="6"/>
        <v>21</v>
      </c>
      <c r="H67" s="99">
        <f>G67+'5'!H67</f>
        <v>169</v>
      </c>
      <c r="I67" s="118"/>
      <c r="J67" s="175">
        <f>H67/DAY(B2)</f>
        <v>28.166666666666668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'5'!F68</f>
        <v>156707</v>
      </c>
      <c r="F68" s="122">
        <v>156754</v>
      </c>
      <c r="G68" s="112">
        <f t="shared" si="6"/>
        <v>47</v>
      </c>
      <c r="H68" s="99">
        <f>G68+'5'!H68</f>
        <v>134</v>
      </c>
      <c r="I68" s="118"/>
      <c r="J68" s="175">
        <f>H68/DAY(B2)</f>
        <v>22.333333333333332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'5'!F69</f>
        <v>10290</v>
      </c>
      <c r="F69" s="122">
        <v>10298</v>
      </c>
      <c r="G69" s="112">
        <f t="shared" si="6"/>
        <v>8</v>
      </c>
      <c r="H69" s="99">
        <f>G69+'5'!H69</f>
        <v>84</v>
      </c>
      <c r="I69" s="118"/>
      <c r="J69" s="175">
        <f>H69/DAY(B2)</f>
        <v>14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'5'!F70</f>
        <v>7906</v>
      </c>
      <c r="F70" s="122">
        <v>7912</v>
      </c>
      <c r="G70" s="112">
        <f t="shared" si="6"/>
        <v>6</v>
      </c>
      <c r="H70" s="99">
        <f>G70+'5'!H70</f>
        <v>50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166</v>
      </c>
      <c r="H71" s="99">
        <f>G71+'5'!H71</f>
        <v>987</v>
      </c>
      <c r="I71" s="154"/>
      <c r="J71" s="175">
        <f>H71/DAY(B2)</f>
        <v>164.5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'5'!F74</f>
        <v>893398.49</v>
      </c>
      <c r="F74" s="123">
        <v>893703</v>
      </c>
      <c r="G74" s="112">
        <f t="shared" ref="G74:G78" si="7">F74-E74</f>
        <v>304.51000000000931</v>
      </c>
      <c r="H74" s="99">
        <f>G74+'5'!H74</f>
        <v>1671</v>
      </c>
      <c r="I74" s="154"/>
      <c r="J74" s="175">
        <f>H74/DAY(B2)</f>
        <v>278.5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'5'!F76</f>
        <v>167689</v>
      </c>
      <c r="F76" s="123">
        <v>167769</v>
      </c>
      <c r="G76" s="112">
        <f t="shared" si="7"/>
        <v>80</v>
      </c>
      <c r="H76" s="99">
        <f>G76+'5'!H76</f>
        <v>562</v>
      </c>
      <c r="I76" s="154"/>
      <c r="J76" s="175">
        <f>H76/DAY(B2)</f>
        <v>93.666666666666671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'5'!F77</f>
        <v>40493.300000000003</v>
      </c>
      <c r="F77" s="123">
        <v>40531</v>
      </c>
      <c r="G77" s="112">
        <f t="shared" si="7"/>
        <v>37.69999999999709</v>
      </c>
      <c r="H77" s="99">
        <f>G77+'5'!H77</f>
        <v>215</v>
      </c>
      <c r="I77" s="154"/>
      <c r="J77" s="175">
        <f>H77/DAY(B2)</f>
        <v>35.833333333333336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'5'!F78</f>
        <v>9491</v>
      </c>
      <c r="F78" s="123">
        <v>9492</v>
      </c>
      <c r="G78" s="112">
        <f t="shared" si="7"/>
        <v>1</v>
      </c>
      <c r="H78" s="99">
        <f>G78+'5'!H78</f>
        <v>6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117"/>
      <c r="F79" s="117"/>
      <c r="G79" s="112">
        <f>G15-SUM(G74:G78)</f>
        <v>510.09000000004016</v>
      </c>
      <c r="H79" s="99">
        <f>G79+'5'!H79</f>
        <v>2920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933.30000000004657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'5'!F85</f>
        <v>2096.56</v>
      </c>
      <c r="F85" s="164">
        <v>2096.56</v>
      </c>
      <c r="G85" s="112">
        <f t="shared" si="8"/>
        <v>0</v>
      </c>
      <c r="H85" s="99">
        <f>G85+'5'!H85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'5'!F86</f>
        <v>42983.32</v>
      </c>
      <c r="F86" s="164">
        <v>43007.48</v>
      </c>
      <c r="G86" s="112">
        <f t="shared" si="8"/>
        <v>24.160000000003492</v>
      </c>
      <c r="H86" s="99">
        <f>G86+'5'!H86</f>
        <v>144.4800000000032</v>
      </c>
      <c r="I86" s="118"/>
      <c r="J86" s="175">
        <f>H86/DAY(B2)</f>
        <v>24.080000000000535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'5'!F87</f>
        <v>34598.550000000003</v>
      </c>
      <c r="F87" s="164">
        <v>34598.550000000003</v>
      </c>
      <c r="G87" s="112">
        <f t="shared" si="8"/>
        <v>0</v>
      </c>
      <c r="H87" s="99">
        <f>G87+'5'!H87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'5'!F88</f>
        <v>24058.06</v>
      </c>
      <c r="F88" s="164">
        <v>24058</v>
      </c>
      <c r="G88" s="112">
        <f t="shared" si="8"/>
        <v>-6.0000000001309672E-2</v>
      </c>
      <c r="H88" s="99">
        <f>G88+'5'!H88</f>
        <v>11</v>
      </c>
      <c r="I88" s="118">
        <f>G86+G87+G88</f>
        <v>24.100000000002183</v>
      </c>
      <c r="J88" s="175">
        <f>H88/DAY(B2)</f>
        <v>1.8333333333333333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'5'!F89</f>
        <v>25685.9</v>
      </c>
      <c r="F89" s="164">
        <v>25695</v>
      </c>
      <c r="G89" s="112">
        <f t="shared" si="8"/>
        <v>9.0999999999985448</v>
      </c>
      <c r="H89" s="99">
        <f>G89+'5'!H89</f>
        <v>32</v>
      </c>
      <c r="I89" s="118"/>
      <c r="J89" s="175">
        <f>H89/DAY(B2)</f>
        <v>5.333333333333333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'5'!F90</f>
        <v>71060.179999999993</v>
      </c>
      <c r="F90" s="164">
        <v>71063</v>
      </c>
      <c r="G90" s="112">
        <f t="shared" si="8"/>
        <v>2.8200000000069849</v>
      </c>
      <c r="H90" s="99">
        <f>G90+'5'!H90</f>
        <v>29</v>
      </c>
      <c r="I90" s="118">
        <f>G89+G90</f>
        <v>11.92000000000553</v>
      </c>
      <c r="J90" s="175">
        <f>H90/DAY(B2)</f>
        <v>4.833333333333333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'5'!F92</f>
        <v>5486.16</v>
      </c>
      <c r="F92" s="122">
        <v>5496.81</v>
      </c>
      <c r="G92" s="112">
        <f t="shared" si="8"/>
        <v>10.650000000000546</v>
      </c>
      <c r="H92" s="99">
        <f>G92+'5'!H92</f>
        <v>58.8100000000004</v>
      </c>
      <c r="I92" s="165"/>
      <c r="J92" s="175">
        <f>H92/DAY(B2)</f>
        <v>9.8016666666667334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5916.289999999979</v>
      </c>
      <c r="H94" s="99">
        <f>G94+'5'!H94</f>
        <v>36083</v>
      </c>
      <c r="I94" s="118"/>
      <c r="J94" s="175">
        <f>H94/DAY(B2)</f>
        <v>6013.833333333333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0.29184540252565011</v>
      </c>
      <c r="H95" s="99">
        <f>G95+'5'!H95</f>
        <v>1.8257218565800195</v>
      </c>
      <c r="I95" s="167"/>
      <c r="J95" s="175">
        <f>H95/DAY(B2)</f>
        <v>0.30428697609666994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3311.0800000000017</v>
      </c>
      <c r="H96" s="99">
        <f>G96+'5'!H96</f>
        <v>18398.600000000006</v>
      </c>
      <c r="I96" s="118"/>
      <c r="J96" s="175">
        <f>H96/DAY(B2)</f>
        <v>3066.4333333333343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0.16333267561168122</v>
      </c>
      <c r="H97" s="99">
        <f>G97+'5'!H97</f>
        <v>0.93080229624198219</v>
      </c>
      <c r="I97" s="167"/>
      <c r="J97" s="175">
        <f>H97/DAY(B2)</f>
        <v>0.15513371604033036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2707.4099999999744</v>
      </c>
      <c r="H98" s="99">
        <f>G98+'5'!H98</f>
        <v>16322</v>
      </c>
      <c r="I98" s="168"/>
      <c r="J98" s="175">
        <f>H98/DAY(B2)</f>
        <v>2720.3333333333335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0.13355416337805714</v>
      </c>
      <c r="H99" s="99">
        <f>G99+'5'!H99</f>
        <v>0.82578510496002366</v>
      </c>
      <c r="I99" s="168"/>
      <c r="J99" s="175">
        <f>H99/DAY(B2)</f>
        <v>0.13763085082667062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1687.109999999986</v>
      </c>
      <c r="H100" s="99">
        <f>G100+'5'!H100</f>
        <v>9817</v>
      </c>
      <c r="I100" s="118"/>
      <c r="J100" s="175">
        <f>H100/DAY(B2)</f>
        <v>1636.1666666666667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8.3223658247828833E-2</v>
      </c>
      <c r="H101" s="99">
        <f>G101+'5'!H101</f>
        <v>0.49622787378302036</v>
      </c>
      <c r="I101" s="168"/>
      <c r="J101" s="175">
        <f>H101/DAY(B2)</f>
        <v>8.2704645630503393E-2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2079.9500000000007</v>
      </c>
      <c r="H102" s="99">
        <f>G102+'5'!H102</f>
        <v>11413</v>
      </c>
      <c r="I102" s="168"/>
      <c r="J102" s="175">
        <f>H102/DAY(B2)</f>
        <v>1902.1666666666667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0.10260211128650359</v>
      </c>
      <c r="H103" s="99">
        <f>G103+'5'!H103</f>
        <v>0.57681686977151281</v>
      </c>
      <c r="I103" s="118"/>
      <c r="J103" s="175">
        <f>H103/DAY(B2)</f>
        <v>9.6136144961918801E-2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1517.109999999986</v>
      </c>
      <c r="H104" s="99">
        <f>G104+'5'!H104</f>
        <v>9154</v>
      </c>
      <c r="I104" s="118"/>
      <c r="J104" s="175">
        <f>H104/DAY(B2)</f>
        <v>1525.6666666666667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7.4837707182319746E-2</v>
      </c>
      <c r="H105" s="99">
        <f>G105+'5'!H105</f>
        <v>0.46303828849545603</v>
      </c>
      <c r="I105" s="187"/>
      <c r="J105" s="188">
        <f>H105/DAY(B2)</f>
        <v>7.717304808257601E-2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'5'!F112</f>
        <v>56038.400000000001</v>
      </c>
      <c r="F112" s="237">
        <v>56116</v>
      </c>
      <c r="G112" s="112">
        <f t="shared" ref="G112:G123" si="9">F112-E112</f>
        <v>77.599999999998545</v>
      </c>
      <c r="H112" s="99">
        <f>G112+'5'!H112</f>
        <v>435</v>
      </c>
      <c r="I112" s="165"/>
      <c r="J112" s="328">
        <f>H112/DAY(B2)</f>
        <v>72.5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'5'!F113</f>
        <v>34460.199999999997</v>
      </c>
      <c r="F113" s="237">
        <v>34902</v>
      </c>
      <c r="G113" s="112">
        <f t="shared" si="9"/>
        <v>441.80000000000291</v>
      </c>
      <c r="H113" s="99">
        <f>G113+'5'!H113</f>
        <v>2707</v>
      </c>
      <c r="I113" s="165"/>
      <c r="J113" s="328">
        <f>H113/DAY(B2)</f>
        <v>451.16666666666669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'5'!F114</f>
        <v>26212.2</v>
      </c>
      <c r="F114" s="237">
        <v>26475</v>
      </c>
      <c r="G114" s="112">
        <f t="shared" si="9"/>
        <v>262.79999999999927</v>
      </c>
      <c r="H114" s="99">
        <f>G114+'5'!H114</f>
        <v>1604</v>
      </c>
      <c r="I114" s="165"/>
      <c r="J114" s="328">
        <f>H114/DAY(B2)</f>
        <v>267.33333333333331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'5'!F115</f>
        <v>8837.7999999999993</v>
      </c>
      <c r="F115" s="237">
        <v>8850</v>
      </c>
      <c r="G115" s="112">
        <f t="shared" si="9"/>
        <v>12.200000000000728</v>
      </c>
      <c r="H115" s="99">
        <f>G115+'5'!H115</f>
        <v>65</v>
      </c>
      <c r="I115" s="165"/>
      <c r="J115" s="328">
        <f>H115/DAY(B2)</f>
        <v>10.833333333333334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28">
        <f>H116/DAY(B2)</f>
        <v>0</v>
      </c>
      <c r="Q116" s="843"/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'5'!F117</f>
        <v>2718.79</v>
      </c>
      <c r="F117" s="237">
        <v>2749</v>
      </c>
      <c r="G117" s="112">
        <f t="shared" si="9"/>
        <v>30.210000000000036</v>
      </c>
      <c r="H117" s="99">
        <f>G117+'5'!H117</f>
        <v>159</v>
      </c>
      <c r="I117" s="165"/>
      <c r="J117" s="328">
        <f>H117/DAY(B2)</f>
        <v>26.5</v>
      </c>
      <c r="Q117" s="843"/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'5'!F118</f>
        <v>243529.53</v>
      </c>
      <c r="F118" s="237">
        <v>243886</v>
      </c>
      <c r="G118" s="112">
        <f t="shared" si="9"/>
        <v>356.47000000000116</v>
      </c>
      <c r="H118" s="99">
        <f>G118+'5'!H118</f>
        <v>2239</v>
      </c>
      <c r="I118" s="165"/>
      <c r="J118" s="328">
        <f>H118/DAY(B2)</f>
        <v>373.16666666666669</v>
      </c>
      <c r="Q118" s="843"/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'5'!F119</f>
        <v>247290.93</v>
      </c>
      <c r="F119" s="237">
        <v>247716</v>
      </c>
      <c r="G119" s="112">
        <f t="shared" si="9"/>
        <v>425.07000000000698</v>
      </c>
      <c r="H119" s="99">
        <f>G119+'5'!H119</f>
        <v>2590</v>
      </c>
      <c r="I119" s="165"/>
      <c r="J119" s="328">
        <f>H119/DAY(B2)</f>
        <v>431.66666666666669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'5'!F120</f>
        <v>32187</v>
      </c>
      <c r="F120" s="237">
        <v>32603</v>
      </c>
      <c r="G120" s="112">
        <f t="shared" si="9"/>
        <v>416</v>
      </c>
      <c r="H120" s="99">
        <f>G120+'5'!H120</f>
        <v>2525</v>
      </c>
      <c r="I120" s="165"/>
      <c r="J120" s="328">
        <f>H120/DAY(B2)</f>
        <v>420.83333333333331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'5'!F121</f>
        <v>380353</v>
      </c>
      <c r="F121" s="237">
        <v>381098</v>
      </c>
      <c r="G121" s="112">
        <f t="shared" si="9"/>
        <v>745</v>
      </c>
      <c r="H121" s="99">
        <f>G121+'5'!H121</f>
        <v>4569</v>
      </c>
      <c r="I121" s="165"/>
      <c r="J121" s="328">
        <f>H121/DAY(B2)</f>
        <v>761.5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'5'!F122</f>
        <v>121203.38</v>
      </c>
      <c r="F122" s="237">
        <v>121442</v>
      </c>
      <c r="G122" s="112">
        <f t="shared" si="9"/>
        <v>238.61999999999534</v>
      </c>
      <c r="H122" s="99">
        <f>G122+'5'!H122</f>
        <v>1392</v>
      </c>
      <c r="I122" s="165"/>
      <c r="J122" s="328">
        <f>H122/DAY(B2)</f>
        <v>232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'5'!F123</f>
        <v>146792.75</v>
      </c>
      <c r="F123" s="237">
        <v>147100</v>
      </c>
      <c r="G123" s="112">
        <f t="shared" si="9"/>
        <v>307.25</v>
      </c>
      <c r="H123" s="99">
        <f>G123+'5'!H123</f>
        <v>1975</v>
      </c>
      <c r="I123" s="165"/>
      <c r="J123" s="328">
        <f>H123/DAY(B2)</f>
        <v>329.16666666666669</v>
      </c>
    </row>
    <row r="124" spans="1:18" ht="29.25" customHeight="1">
      <c r="A124" s="847"/>
      <c r="B124" s="848"/>
      <c r="C124" s="849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3313.020000000005</v>
      </c>
      <c r="H125" s="156"/>
      <c r="I125" s="327">
        <f>G125-(G39+G53)</f>
        <v>605.6100000000306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'5'!F128</f>
        <v>39721.089999999997</v>
      </c>
      <c r="F128" s="165">
        <v>40028</v>
      </c>
      <c r="G128" s="112">
        <f t="shared" ref="G128:G134" si="10">F128-E128</f>
        <v>306.91000000000349</v>
      </c>
      <c r="H128" s="99">
        <f>G128+'5'!H128</f>
        <v>2024</v>
      </c>
      <c r="I128" s="165"/>
      <c r="J128" s="328">
        <f>H128/DAY(B2)</f>
        <v>337.33333333333331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'5'!F129</f>
        <v>21399.47</v>
      </c>
      <c r="F129" s="165">
        <v>21610</v>
      </c>
      <c r="G129" s="112">
        <f t="shared" si="10"/>
        <v>210.52999999999884</v>
      </c>
      <c r="H129" s="99">
        <f>G129+'5'!H129</f>
        <v>1289</v>
      </c>
      <c r="I129" s="165"/>
      <c r="J129" s="328">
        <f>H129/DAY(B2)</f>
        <v>214.83333333333334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'5'!F130</f>
        <v>21852.17</v>
      </c>
      <c r="F130" s="165">
        <v>22476</v>
      </c>
      <c r="G130" s="112">
        <f t="shared" si="10"/>
        <v>623.83000000000175</v>
      </c>
      <c r="H130" s="99">
        <f>G130+'5'!H130</f>
        <v>4094</v>
      </c>
      <c r="I130" s="165"/>
      <c r="J130" s="328">
        <f>H130/DAY(B2)</f>
        <v>682.33333333333337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'5'!F131</f>
        <v>13561.44</v>
      </c>
      <c r="F131" s="165">
        <v>13628</v>
      </c>
      <c r="G131" s="112">
        <f t="shared" si="10"/>
        <v>66.559999999999491</v>
      </c>
      <c r="H131" s="99">
        <f>G131+'5'!H131</f>
        <v>475</v>
      </c>
      <c r="I131" s="165"/>
      <c r="J131" s="328">
        <f>H131/DAY(B2)</f>
        <v>79.166666666666671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'5'!F132</f>
        <v>43251.08</v>
      </c>
      <c r="F132" s="165">
        <v>43714</v>
      </c>
      <c r="G132" s="112">
        <f t="shared" si="10"/>
        <v>462.91999999999825</v>
      </c>
      <c r="H132" s="99">
        <f>G132+'5'!H132</f>
        <v>2691</v>
      </c>
      <c r="I132" s="165"/>
      <c r="J132" s="328">
        <f>H132/DAY(B2)</f>
        <v>448.5</v>
      </c>
    </row>
    <row r="133" spans="1:15" ht="27.75">
      <c r="A133" s="843" t="s">
        <v>323</v>
      </c>
      <c r="B133" s="844"/>
      <c r="C133" s="845"/>
      <c r="D133" s="151" t="s">
        <v>183</v>
      </c>
      <c r="E133" s="95">
        <f>'5'!F133</f>
        <v>91892.87</v>
      </c>
      <c r="F133" s="165">
        <v>92706</v>
      </c>
      <c r="G133" s="112">
        <f t="shared" si="10"/>
        <v>813.13000000000466</v>
      </c>
      <c r="H133" s="99">
        <f>G133+'5'!H133</f>
        <v>5003</v>
      </c>
      <c r="I133" s="165"/>
      <c r="J133" s="328">
        <f>H133/DAY(B2)</f>
        <v>833.83333333333337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'5'!F134</f>
        <v>672078</v>
      </c>
      <c r="F134" s="165">
        <v>672722</v>
      </c>
      <c r="G134" s="112">
        <f t="shared" si="10"/>
        <v>644</v>
      </c>
      <c r="H134" s="99">
        <f>G134+'5'!H134</f>
        <v>3842</v>
      </c>
      <c r="I134" s="165"/>
      <c r="J134" s="328">
        <f>H134/DAY(B2)</f>
        <v>640.33333333333337</v>
      </c>
    </row>
    <row r="135" spans="1:15" ht="27.75">
      <c r="A135" s="827" t="s">
        <v>196</v>
      </c>
      <c r="B135" s="828"/>
      <c r="C135" s="331"/>
      <c r="D135" s="151"/>
      <c r="E135" s="95"/>
      <c r="F135" s="112"/>
      <c r="G135" s="112">
        <f>SUM(G128:G134)</f>
        <v>3127.8800000000065</v>
      </c>
      <c r="H135" s="99">
        <f>G135+'5'!H135</f>
        <v>19418</v>
      </c>
      <c r="I135" s="327">
        <f>G135-(G35+G49)</f>
        <v>-353.5999999999749</v>
      </c>
      <c r="J135" s="328">
        <f>H135/DAY(B2)</f>
        <v>3236.3333333333335</v>
      </c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'5'!F138</f>
        <v>864536</v>
      </c>
      <c r="F138" s="147">
        <v>864599</v>
      </c>
      <c r="G138" s="112">
        <f t="shared" ref="G138:G152" si="11">F138-E138</f>
        <v>63</v>
      </c>
      <c r="H138" s="99">
        <f>G138+'5'!H138</f>
        <v>428</v>
      </c>
      <c r="I138" s="118"/>
      <c r="J138" s="328">
        <f>H138/DAY(B2)</f>
        <v>71.333333333333329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'5'!F139</f>
        <v>886547</v>
      </c>
      <c r="F139" s="148">
        <v>886549</v>
      </c>
      <c r="G139" s="112">
        <f t="shared" si="11"/>
        <v>2</v>
      </c>
      <c r="H139" s="99">
        <f>G139+'5'!H139</f>
        <v>3</v>
      </c>
      <c r="I139" s="118"/>
      <c r="J139" s="328">
        <f>H139/DAY(B2)</f>
        <v>0.5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'5'!F140</f>
        <v>88898.3</v>
      </c>
      <c r="F140" s="149">
        <v>88898.3</v>
      </c>
      <c r="G140" s="112">
        <f t="shared" si="11"/>
        <v>0</v>
      </c>
      <c r="H140" s="99">
        <f>G140+'5'!H140</f>
        <v>16.30000000000291</v>
      </c>
      <c r="I140" s="118"/>
      <c r="J140" s="328">
        <f>H140/DAY(B2)</f>
        <v>2.7166666666671517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'5'!F141</f>
        <v>50206.1</v>
      </c>
      <c r="F141" s="149">
        <v>50370</v>
      </c>
      <c r="G141" s="112">
        <f t="shared" si="11"/>
        <v>163.90000000000146</v>
      </c>
      <c r="H141" s="99">
        <f>G141+'5'!H141</f>
        <v>1064</v>
      </c>
      <c r="I141" s="118"/>
      <c r="J141" s="328">
        <f>H141/DAY(B2)</f>
        <v>177.33333333333334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'5'!F142</f>
        <v>19368.75</v>
      </c>
      <c r="F142" s="148">
        <v>19437</v>
      </c>
      <c r="G142" s="112">
        <f t="shared" si="11"/>
        <v>68.25</v>
      </c>
      <c r="H142" s="99">
        <f>G142+'5'!H142</f>
        <v>428</v>
      </c>
      <c r="I142" s="140"/>
      <c r="J142" s="328">
        <f>H142/DAY(B2)</f>
        <v>71.333333333333329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'5'!F143</f>
        <v>3172.7</v>
      </c>
      <c r="F143" s="149">
        <v>3195</v>
      </c>
      <c r="G143" s="112">
        <f t="shared" si="11"/>
        <v>22.300000000000182</v>
      </c>
      <c r="H143" s="99">
        <f>G143+'5'!H143</f>
        <v>134</v>
      </c>
      <c r="I143" s="140"/>
      <c r="J143" s="328">
        <f>H143/DAY(B2)</f>
        <v>22.333333333333332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'5'!F144</f>
        <v>870794</v>
      </c>
      <c r="F144" s="149">
        <v>871014</v>
      </c>
      <c r="G144" s="112">
        <f t="shared" si="11"/>
        <v>220</v>
      </c>
      <c r="H144" s="99">
        <f>G144+'5'!H144</f>
        <v>1344</v>
      </c>
      <c r="I144" s="140"/>
      <c r="J144" s="328">
        <f>H144/DAY(B2)</f>
        <v>224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'5'!F145</f>
        <v>4641</v>
      </c>
      <c r="F145" s="149">
        <v>4659</v>
      </c>
      <c r="G145" s="112">
        <f t="shared" si="11"/>
        <v>18</v>
      </c>
      <c r="H145" s="99">
        <f>G145+'5'!H145</f>
        <v>101</v>
      </c>
      <c r="I145" s="140"/>
      <c r="J145" s="328">
        <f>H145/DAY(B2)</f>
        <v>16.833333333333332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'5'!F146</f>
        <v>727178</v>
      </c>
      <c r="F146" s="148">
        <v>727616</v>
      </c>
      <c r="G146" s="112">
        <f t="shared" si="11"/>
        <v>438</v>
      </c>
      <c r="H146" s="99">
        <f>G146+'5'!H146</f>
        <v>2758</v>
      </c>
      <c r="I146" s="140"/>
      <c r="J146" s="328">
        <f>H146/DAY(B2)</f>
        <v>459.66666666666669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'5'!F147</f>
        <v>617341</v>
      </c>
      <c r="F147" s="148">
        <v>617718</v>
      </c>
      <c r="G147" s="112">
        <f t="shared" si="11"/>
        <v>377</v>
      </c>
      <c r="H147" s="99">
        <f>G147+'5'!H147</f>
        <v>2436</v>
      </c>
      <c r="I147" s="140"/>
      <c r="J147" s="328">
        <f>H147/DAY(B2)</f>
        <v>406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'5'!F148</f>
        <v>684402</v>
      </c>
      <c r="F148" s="150">
        <v>684690</v>
      </c>
      <c r="G148" s="112">
        <f t="shared" si="11"/>
        <v>288</v>
      </c>
      <c r="H148" s="99">
        <f>G148+'5'!H148</f>
        <v>1656.8800000000047</v>
      </c>
      <c r="I148" s="124"/>
      <c r="J148" s="328">
        <f>H148/DAY(B2)</f>
        <v>276.14666666666744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'5'!F149</f>
        <v>12661.14</v>
      </c>
      <c r="F149" s="146">
        <v>13147</v>
      </c>
      <c r="G149" s="112">
        <f t="shared" si="11"/>
        <v>485.86000000000058</v>
      </c>
      <c r="H149" s="99">
        <f>G149+'5'!H149</f>
        <v>2398</v>
      </c>
      <c r="I149" s="119"/>
      <c r="J149" s="328">
        <f>H149/DAY(B2)</f>
        <v>399.66666666666669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'5'!F150</f>
        <v>5143.54</v>
      </c>
      <c r="F150" s="233">
        <v>5359</v>
      </c>
      <c r="G150" s="112">
        <f t="shared" si="11"/>
        <v>215.46000000000004</v>
      </c>
      <c r="H150" s="99">
        <f>G150+'5'!H150</f>
        <v>1307</v>
      </c>
      <c r="I150" s="119"/>
      <c r="J150" s="328">
        <f>H150/DAY(B2)</f>
        <v>217.83333333333334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'5'!F151</f>
        <v>79503</v>
      </c>
      <c r="F151" s="233">
        <v>79746</v>
      </c>
      <c r="G151" s="112">
        <f t="shared" si="11"/>
        <v>243</v>
      </c>
      <c r="H151" s="99">
        <f>G151+'5'!H151</f>
        <v>1529</v>
      </c>
      <c r="I151" s="119"/>
      <c r="J151" s="328">
        <f>H151/DAY(B2)</f>
        <v>254.83333333333334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'5'!F152</f>
        <v>1238.56</v>
      </c>
      <c r="F152" s="233">
        <v>1253</v>
      </c>
      <c r="G152" s="112">
        <f t="shared" si="11"/>
        <v>14.440000000000055</v>
      </c>
      <c r="H152" s="99">
        <f>G152+'5'!H152</f>
        <v>126</v>
      </c>
      <c r="I152" s="119"/>
      <c r="J152" s="328">
        <f>H152/DAY(B2)</f>
        <v>21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2619.2100000000023</v>
      </c>
      <c r="H153" s="363"/>
      <c r="I153" s="119">
        <f>G153-(G38+G52)</f>
        <v>932.10000000001628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'5'!F155</f>
        <v>16004.02</v>
      </c>
      <c r="F155" s="374">
        <v>16648</v>
      </c>
      <c r="G155" s="112">
        <f t="shared" ref="G155:G156" si="12">F155-E155</f>
        <v>643.97999999999956</v>
      </c>
      <c r="H155" s="99">
        <f>G155+'5'!H155</f>
        <v>3176</v>
      </c>
      <c r="I155" s="364"/>
      <c r="J155" s="328">
        <f>H155/DAY(B2)</f>
        <v>529.33333333333337</v>
      </c>
    </row>
    <row r="156" spans="1:10" ht="27.75">
      <c r="A156" s="823" t="s">
        <v>346</v>
      </c>
      <c r="B156" s="823"/>
      <c r="C156" s="823"/>
      <c r="D156" s="117" t="s">
        <v>130</v>
      </c>
      <c r="E156" s="95">
        <f>'5'!F156</f>
        <v>1308.71</v>
      </c>
      <c r="F156" s="155">
        <v>1363</v>
      </c>
      <c r="G156" s="112">
        <f t="shared" si="12"/>
        <v>54.289999999999964</v>
      </c>
      <c r="H156" s="99">
        <f>G156+'5'!H156</f>
        <v>275</v>
      </c>
      <c r="I156" s="165"/>
      <c r="J156" s="328">
        <f>H156/DAY(B2)</f>
        <v>45.833333333333336</v>
      </c>
    </row>
    <row r="157" spans="1:10" ht="27.75">
      <c r="A157" s="824" t="s">
        <v>364</v>
      </c>
      <c r="B157" s="825"/>
      <c r="C157" s="82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>
      <c r="A158" s="824" t="s">
        <v>365</v>
      </c>
      <c r="B158" s="825"/>
      <c r="C158" s="82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>
      <c r="A159" s="907"/>
      <c r="B159" s="908"/>
      <c r="C159" s="909"/>
      <c r="D159" s="117"/>
      <c r="E159" s="95"/>
      <c r="F159" s="15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'5'!F161</f>
        <v>471153.56</v>
      </c>
      <c r="F161" s="235">
        <v>471153.56</v>
      </c>
      <c r="G161" s="238">
        <f t="shared" ref="G161:G165" si="13">F161-E161</f>
        <v>0</v>
      </c>
      <c r="H161" s="99">
        <f>G161+'5'!H161</f>
        <v>0.40000000002328306</v>
      </c>
      <c r="I161" s="236"/>
      <c r="J161" s="239">
        <f>H161/DAY(B2)</f>
        <v>6.6666666670547173E-2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'5'!F162</f>
        <v>87687</v>
      </c>
      <c r="F162" s="235">
        <v>87718</v>
      </c>
      <c r="G162" s="238">
        <f t="shared" si="13"/>
        <v>31</v>
      </c>
      <c r="H162" s="99">
        <f>G162+'5'!H162</f>
        <v>148</v>
      </c>
      <c r="I162" s="236"/>
      <c r="J162" s="239">
        <f>H162/DAY(B2)</f>
        <v>24.666666666666668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'5'!F163</f>
        <v>78048.2</v>
      </c>
      <c r="F163" s="235">
        <v>78084</v>
      </c>
      <c r="G163" s="238">
        <f t="shared" si="13"/>
        <v>35.80000000000291</v>
      </c>
      <c r="H163" s="99">
        <f>G163+'5'!H163</f>
        <v>259</v>
      </c>
      <c r="I163" s="236"/>
      <c r="J163" s="239">
        <f>H163/DAY(B2)</f>
        <v>43.166666666666664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'5'!F164</f>
        <v>4248.6000000000004</v>
      </c>
      <c r="F164" s="235">
        <v>4250</v>
      </c>
      <c r="G164" s="238">
        <f t="shared" si="13"/>
        <v>1.3999999999996362</v>
      </c>
      <c r="H164" s="99">
        <f>G164+'5'!H164</f>
        <v>8</v>
      </c>
      <c r="I164" s="236"/>
      <c r="J164" s="239">
        <f>H164/DAY(B2)</f>
        <v>1.3333333333333333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'5'!F165</f>
        <v>29679.3</v>
      </c>
      <c r="F165" s="235">
        <v>29685</v>
      </c>
      <c r="G165" s="238">
        <f t="shared" si="13"/>
        <v>5.7000000000007276</v>
      </c>
      <c r="H165" s="99">
        <f>G165+'5'!H165</f>
        <v>39</v>
      </c>
      <c r="I165" s="236"/>
      <c r="J165" s="239">
        <f>H165/DAY(B2)</f>
        <v>6.5</v>
      </c>
    </row>
    <row r="166" spans="1:10" ht="29.25">
      <c r="A166" s="832"/>
      <c r="B166" s="832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'5'!F174</f>
        <v>38336</v>
      </c>
      <c r="F174" s="157">
        <v>38347</v>
      </c>
      <c r="G174" s="155">
        <f t="shared" ref="G174:G175" si="14">F174-E174</f>
        <v>11</v>
      </c>
      <c r="H174" s="99">
        <f>G174+'5'!H174</f>
        <v>54</v>
      </c>
      <c r="I174" s="155"/>
      <c r="J174" s="178">
        <f>H174/DAY(B2)</f>
        <v>9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'5'!F175</f>
        <v>21567</v>
      </c>
      <c r="F175" s="155">
        <v>21576</v>
      </c>
      <c r="G175" s="155">
        <f t="shared" si="14"/>
        <v>9</v>
      </c>
      <c r="H175" s="99">
        <f>G175+'5'!H175</f>
        <v>58</v>
      </c>
      <c r="I175" s="155"/>
      <c r="J175" s="178">
        <f>H175/DAY(B2)</f>
        <v>9.6666666666666661</v>
      </c>
    </row>
    <row r="176" spans="1:10" ht="27.75">
      <c r="A176" s="592" t="s">
        <v>196</v>
      </c>
      <c r="B176" s="593"/>
      <c r="C176" s="333"/>
      <c r="D176" s="228"/>
      <c r="E176" s="95">
        <f>'5'!F176</f>
        <v>0</v>
      </c>
      <c r="F176" s="155"/>
      <c r="G176" s="155">
        <f>SUM(G173:G175)</f>
        <v>20</v>
      </c>
      <c r="H176" s="99">
        <f>G176+'5'!H176</f>
        <v>112</v>
      </c>
      <c r="I176" s="155"/>
      <c r="J176" s="178">
        <f>H176/DAY(B2)</f>
        <v>18.666666666666668</v>
      </c>
    </row>
    <row r="177" spans="1:10" ht="27.75">
      <c r="A177" s="836" t="s">
        <v>77</v>
      </c>
      <c r="B177" s="837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'5'!F178</f>
        <v>79974</v>
      </c>
      <c r="F178" s="155">
        <v>80046</v>
      </c>
      <c r="G178" s="155">
        <f>F178-E178</f>
        <v>72</v>
      </c>
      <c r="H178" s="99">
        <f>G178+'5'!H178</f>
        <v>432</v>
      </c>
      <c r="I178" s="155"/>
      <c r="J178" s="178">
        <f>H178/DAY(B2)</f>
        <v>72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'5'!F179</f>
        <v>34024</v>
      </c>
      <c r="F179" s="155">
        <v>34029</v>
      </c>
      <c r="G179" s="155">
        <f t="shared" ref="G179:G180" si="15">F179-E179</f>
        <v>5</v>
      </c>
      <c r="H179" s="99">
        <f>G179+'5'!H179</f>
        <v>114</v>
      </c>
      <c r="I179" s="155"/>
      <c r="J179" s="178">
        <f>H179/DAY(B2)</f>
        <v>19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'5'!F180</f>
        <v>5505</v>
      </c>
      <c r="F180" s="155">
        <v>5525</v>
      </c>
      <c r="G180" s="155">
        <f t="shared" si="15"/>
        <v>20</v>
      </c>
      <c r="H180" s="99">
        <f>G180+'5'!H180</f>
        <v>48</v>
      </c>
      <c r="I180" s="155"/>
      <c r="J180" s="178">
        <f>H180/DAY(B2)</f>
        <v>8</v>
      </c>
    </row>
    <row r="181" spans="1:10" ht="27.75">
      <c r="A181" s="838" t="s">
        <v>108</v>
      </c>
      <c r="B181" s="839"/>
      <c r="C181" s="333"/>
      <c r="D181" s="228"/>
      <c r="E181" s="95">
        <f>'5'!F181</f>
        <v>0</v>
      </c>
      <c r="F181" s="155"/>
      <c r="G181" s="155">
        <f>SUM(G178:G180)</f>
        <v>97</v>
      </c>
      <c r="H181" s="99">
        <f>G181+'5'!H181</f>
        <v>594</v>
      </c>
      <c r="I181" s="155"/>
      <c r="J181" s="178">
        <f>H181/DAY(B2)</f>
        <v>99</v>
      </c>
    </row>
    <row r="182" spans="1:10" ht="27.75">
      <c r="A182" s="836" t="s">
        <v>213</v>
      </c>
      <c r="B182" s="837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'5'!F183</f>
        <v>15037</v>
      </c>
      <c r="F183" s="157">
        <v>15047</v>
      </c>
      <c r="G183" s="157">
        <f>F183-E183</f>
        <v>10</v>
      </c>
      <c r="H183" s="99">
        <f>G183+'5'!H183</f>
        <v>100</v>
      </c>
      <c r="I183" s="155"/>
      <c r="J183" s="178">
        <f>H183/DAY(B2)</f>
        <v>16.666666666666668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'5'!F184</f>
        <v>10338</v>
      </c>
      <c r="F184" s="157">
        <v>10345</v>
      </c>
      <c r="G184" s="157">
        <f t="shared" ref="G184:G185" si="16">F184-E184</f>
        <v>7</v>
      </c>
      <c r="H184" s="99">
        <f>G184+'5'!H184</f>
        <v>44</v>
      </c>
      <c r="I184" s="155"/>
      <c r="J184" s="178">
        <f>H184/DAY(B2)</f>
        <v>7.333333333333333</v>
      </c>
    </row>
    <row r="185" spans="1:10" ht="27.75">
      <c r="A185" s="836" t="s">
        <v>216</v>
      </c>
      <c r="B185" s="837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334"/>
      <c r="D186" s="229"/>
      <c r="E186" s="95"/>
      <c r="F186" s="157"/>
      <c r="G186" s="157">
        <f>SUM(G183:G185)</f>
        <v>17</v>
      </c>
      <c r="H186" s="99">
        <f>G186+'5'!H186</f>
        <v>144</v>
      </c>
      <c r="I186" s="157"/>
      <c r="J186" s="178">
        <f>H186/DAY(B2)</f>
        <v>24</v>
      </c>
    </row>
    <row r="187" spans="1:10" ht="27.75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125</v>
      </c>
      <c r="H187" s="99">
        <f>G187+'5'!H187</f>
        <v>607</v>
      </c>
      <c r="I187" s="158"/>
      <c r="J187" s="179">
        <f>H187/DAY(B2)</f>
        <v>101.16666666666667</v>
      </c>
    </row>
    <row r="188" spans="1:10" ht="27.75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119</v>
      </c>
      <c r="H188" s="99">
        <f>G188+'5'!H188</f>
        <v>853</v>
      </c>
      <c r="I188" s="158"/>
      <c r="J188" s="179">
        <f>H188/DAY(B2)</f>
        <v>142.16666666666666</v>
      </c>
    </row>
    <row r="189" spans="1:10" ht="27.75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97</v>
      </c>
      <c r="H189" s="99">
        <f>G189+'5'!H189</f>
        <v>594</v>
      </c>
      <c r="I189" s="158"/>
      <c r="J189" s="179">
        <f>H189/DAY(B2)</f>
        <v>99</v>
      </c>
    </row>
    <row r="190" spans="1:10" ht="27.75">
      <c r="A190" s="750"/>
      <c r="B190" s="751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R270"/>
  <sheetViews>
    <sheetView view="pageBreakPreview" topLeftCell="A4" zoomScale="60" zoomScaleNormal="77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357</v>
      </c>
      <c r="B2" s="262">
        <v>44568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25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'6'!F7</f>
        <v>213204</v>
      </c>
      <c r="F7" s="95">
        <v>233035</v>
      </c>
      <c r="G7" s="112">
        <f>F7-E7</f>
        <v>19831</v>
      </c>
      <c r="H7" s="99">
        <f>G7+'6'!H7</f>
        <v>138474</v>
      </c>
      <c r="I7" s="113">
        <f>'1'!I7</f>
        <v>12000</v>
      </c>
      <c r="J7" s="175">
        <f>H7/DAY(B2)</f>
        <v>19782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'6'!F8</f>
        <v>262018</v>
      </c>
      <c r="F8" s="114">
        <v>282279</v>
      </c>
      <c r="G8" s="115">
        <f>F8-E8</f>
        <v>20261</v>
      </c>
      <c r="H8" s="99">
        <f>G8+'6'!H8</f>
        <v>141394</v>
      </c>
      <c r="I8" s="116"/>
      <c r="J8" s="175">
        <f>H8/DAY(B2)</f>
        <v>20199.142857142859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'6'!F9</f>
        <v>2333339</v>
      </c>
      <c r="F9" s="117">
        <v>2345355</v>
      </c>
      <c r="G9" s="112">
        <f>F9-E9</f>
        <v>12016</v>
      </c>
      <c r="H9" s="99">
        <f>G9+'6'!H9</f>
        <v>86579</v>
      </c>
      <c r="I9" s="124">
        <f>I7-J7</f>
        <v>-7782</v>
      </c>
      <c r="J9" s="175">
        <f>H9/DAY(B2)</f>
        <v>12368.428571428571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'6'!F10</f>
        <v>581680</v>
      </c>
      <c r="F10" s="117">
        <v>588953</v>
      </c>
      <c r="G10" s="112">
        <f t="shared" ref="G10:G12" si="0">F10-E10</f>
        <v>7273</v>
      </c>
      <c r="H10" s="99">
        <f>G10+'6'!H10</f>
        <v>48127</v>
      </c>
      <c r="I10" s="282"/>
      <c r="J10" s="175">
        <f>H10/DAY(B2)</f>
        <v>6875.2857142857147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19289</v>
      </c>
      <c r="H13" s="99">
        <f>G13+'6'!H13</f>
        <v>115240.74999999988</v>
      </c>
      <c r="I13" s="120">
        <f>G7-G13</f>
        <v>542</v>
      </c>
      <c r="J13" s="175">
        <f>H13/DAY(B2)</f>
        <v>16462.964285714268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'6'!F15</f>
        <v>1883804</v>
      </c>
      <c r="F15" s="123">
        <v>1884767</v>
      </c>
      <c r="G15" s="112">
        <f>(F15-E15)</f>
        <v>963</v>
      </c>
      <c r="H15" s="99">
        <f>G15+'6'!H15</f>
        <v>6337</v>
      </c>
      <c r="I15" s="113">
        <f>'1'!I15</f>
        <v>800</v>
      </c>
      <c r="J15" s="175">
        <f>H15/DAY(B2)</f>
        <v>905.28571428571433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-105.28571428571433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'6'!F18</f>
        <v>12</v>
      </c>
      <c r="F18" s="122">
        <v>16</v>
      </c>
      <c r="G18" s="119">
        <f>F18*10</f>
        <v>160</v>
      </c>
      <c r="H18" s="99">
        <f>G18+'6'!H18</f>
        <v>870</v>
      </c>
      <c r="I18" s="113">
        <f>'1'!I18</f>
        <v>65</v>
      </c>
      <c r="J18" s="175">
        <f>H18/DAY(B2)</f>
        <v>124.28571428571429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'6'!F19</f>
        <v>152535</v>
      </c>
      <c r="F19" s="122">
        <v>152589</v>
      </c>
      <c r="G19" s="112">
        <f t="shared" ref="G19" si="1">F19-E19</f>
        <v>54</v>
      </c>
      <c r="H19" s="99">
        <f>G19+'6'!H19</f>
        <v>364</v>
      </c>
      <c r="I19" s="335"/>
      <c r="J19" s="175">
        <f>H19/DAY(B2)</f>
        <v>52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214</v>
      </c>
      <c r="H20" s="99">
        <f>G20+'6'!H20</f>
        <v>1234</v>
      </c>
      <c r="I20" s="336">
        <f>I18-J20</f>
        <v>-111.28571428571428</v>
      </c>
      <c r="J20" s="175">
        <f>H20/DAY(B2)</f>
        <v>176.28571428571428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20261</v>
      </c>
      <c r="F27" s="136">
        <v>9</v>
      </c>
      <c r="G27" s="137">
        <f>E27*F27</f>
        <v>182349</v>
      </c>
      <c r="H27" s="99">
        <f>G27+'6'!H27</f>
        <v>1272546</v>
      </c>
      <c r="I27" s="138"/>
      <c r="J27" s="175">
        <f>H27/DAY(B2)</f>
        <v>181792.28571428571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963</v>
      </c>
      <c r="F28" s="136">
        <v>52</v>
      </c>
      <c r="G28" s="137">
        <f>E28*F28</f>
        <v>50076</v>
      </c>
      <c r="H28" s="99">
        <f>G28+'6'!H28</f>
        <v>329524</v>
      </c>
      <c r="I28" s="140"/>
      <c r="J28" s="175">
        <f>H28/DAY(B2)</f>
        <v>47074.857142857145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G30+'6'!H30</f>
        <v>53144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G31+'6'!H31</f>
        <v>69600</v>
      </c>
      <c r="I31" s="140"/>
      <c r="J31" s="175">
        <f>H31/DAY(B2)</f>
        <v>9942.8571428571431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253109</v>
      </c>
      <c r="H32" s="99">
        <f>G32+'6'!H32</f>
        <v>1724814</v>
      </c>
      <c r="I32" s="144"/>
      <c r="J32" s="175">
        <f>H32/DAY(B2)</f>
        <v>246402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'6'!F35</f>
        <v>164358</v>
      </c>
      <c r="F35" s="145">
        <v>166246</v>
      </c>
      <c r="G35" s="112">
        <f t="shared" ref="G35:G46" si="3">F35-E35</f>
        <v>1888</v>
      </c>
      <c r="H35" s="99">
        <f>G35+'6'!H35</f>
        <v>13404</v>
      </c>
      <c r="I35" s="95"/>
      <c r="J35" s="175">
        <f>H35/DAY(B2)</f>
        <v>1914.8571428571429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'6'!F36</f>
        <v>26531</v>
      </c>
      <c r="F36" s="145">
        <v>27229</v>
      </c>
      <c r="G36" s="112">
        <f t="shared" si="3"/>
        <v>698</v>
      </c>
      <c r="H36" s="99">
        <f>G36+'6'!H36</f>
        <v>5702</v>
      </c>
      <c r="I36" s="95"/>
      <c r="J36" s="175">
        <f>H36/DAY(B2)</f>
        <v>814.57142857142856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'6'!F37</f>
        <v>204547</v>
      </c>
      <c r="F37" s="145">
        <v>206071</v>
      </c>
      <c r="G37" s="112">
        <f t="shared" si="3"/>
        <v>1524</v>
      </c>
      <c r="H37" s="99">
        <f>G37+'6'!H37</f>
        <v>10678</v>
      </c>
      <c r="I37" s="95"/>
      <c r="J37" s="175">
        <f>H37/DAY(B2)</f>
        <v>1525.4285714285713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'6'!F38</f>
        <v>242299</v>
      </c>
      <c r="F38" s="108">
        <v>243967</v>
      </c>
      <c r="G38" s="112">
        <f t="shared" si="3"/>
        <v>1668</v>
      </c>
      <c r="H38" s="99">
        <f>G38+'6'!H38</f>
        <v>11485</v>
      </c>
      <c r="I38" s="95"/>
      <c r="J38" s="175">
        <f>H38/DAY(B2)</f>
        <v>1640.7142857142858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'6'!F39</f>
        <v>427401</v>
      </c>
      <c r="F39" s="145">
        <v>430076</v>
      </c>
      <c r="G39" s="112">
        <f t="shared" si="3"/>
        <v>2675</v>
      </c>
      <c r="H39" s="99">
        <f>G39+'6'!H39</f>
        <v>18997</v>
      </c>
      <c r="I39" s="95"/>
      <c r="J39" s="175">
        <f>H39/DAY(B2)</f>
        <v>2713.8571428571427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'6'!F40</f>
        <v>6693</v>
      </c>
      <c r="F40" s="145">
        <v>7301</v>
      </c>
      <c r="G40" s="112">
        <f t="shared" si="3"/>
        <v>608</v>
      </c>
      <c r="H40" s="99">
        <f>G40+'6'!H40</f>
        <v>1691</v>
      </c>
      <c r="I40" s="95"/>
      <c r="J40" s="175">
        <f>H40/DAY(B2)</f>
        <v>241.57142857142858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'6'!F41</f>
        <v>0</v>
      </c>
      <c r="F41" s="145">
        <v>0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'6'!F42</f>
        <v>73808.600000000006</v>
      </c>
      <c r="F42" s="145">
        <v>73808.600000000006</v>
      </c>
      <c r="G42" s="112">
        <f t="shared" si="3"/>
        <v>0</v>
      </c>
      <c r="H42" s="99">
        <f>G42+'6'!H42</f>
        <v>-0.39999999999417923</v>
      </c>
      <c r="I42" s="95"/>
      <c r="J42" s="175">
        <f>H42/DAY(B2)</f>
        <v>-5.7142857142025605E-2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'6'!F43</f>
        <v>61966</v>
      </c>
      <c r="F43" s="145">
        <v>64212</v>
      </c>
      <c r="G43" s="112">
        <f t="shared" si="3"/>
        <v>2246</v>
      </c>
      <c r="H43" s="99">
        <f>G43+'6'!H43</f>
        <v>16951</v>
      </c>
      <c r="I43" s="95"/>
      <c r="J43" s="175">
        <f>H43/DAY(B2)</f>
        <v>2421.5714285714284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11307</v>
      </c>
      <c r="H47" s="99">
        <f>G47+'6'!H47</f>
        <v>78907.600000000006</v>
      </c>
      <c r="I47" s="95"/>
      <c r="J47" s="175">
        <f>H47/DAY(B2)</f>
        <v>11272.514285714287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'6'!F49</f>
        <v>282102</v>
      </c>
      <c r="F49" s="145">
        <v>283741</v>
      </c>
      <c r="G49" s="112">
        <f t="shared" ref="G49:G58" si="4">F49-E49</f>
        <v>1639</v>
      </c>
      <c r="H49" s="99">
        <f>G49+'6'!H49</f>
        <v>11501</v>
      </c>
      <c r="I49" s="95"/>
      <c r="J49" s="175">
        <f>H49/DAY(B2)</f>
        <v>1643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'6'!F50</f>
        <v>31059</v>
      </c>
      <c r="F50" s="145">
        <v>32102</v>
      </c>
      <c r="G50" s="112">
        <f t="shared" si="4"/>
        <v>1043</v>
      </c>
      <c r="H50" s="99">
        <f>G50+'6'!H50</f>
        <v>7452</v>
      </c>
      <c r="I50" s="95"/>
      <c r="J50" s="175">
        <f>H50/DAY(B2)</f>
        <v>1064.5714285714287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'6'!F54</f>
        <v>1131</v>
      </c>
      <c r="F54" s="145">
        <v>1599</v>
      </c>
      <c r="G54" s="112">
        <f t="shared" si="4"/>
        <v>468</v>
      </c>
      <c r="H54" s="99">
        <f>G54+'6'!H54</f>
        <v>1613.08</v>
      </c>
      <c r="I54" s="95"/>
      <c r="J54" s="175">
        <f>H54/DAY(B2)</f>
        <v>230.44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'6'!F55</f>
        <v>21910</v>
      </c>
      <c r="F55" s="145">
        <v>25279</v>
      </c>
      <c r="G55" s="112">
        <f t="shared" si="4"/>
        <v>3369</v>
      </c>
      <c r="H55" s="99">
        <f>G55+'6'!H55</f>
        <v>21768</v>
      </c>
      <c r="I55" s="95"/>
      <c r="J55" s="175">
        <f>H55/DAY(B2)</f>
        <v>3109.7142857142858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'6'!F56</f>
        <v>8610.5400000000009</v>
      </c>
      <c r="F56" s="145">
        <v>8610.5400000000009</v>
      </c>
      <c r="G56" s="112">
        <f t="shared" si="4"/>
        <v>0</v>
      </c>
      <c r="H56" s="99">
        <f>G56+'6'!H56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'6'!F58</f>
        <v>454</v>
      </c>
      <c r="F58" s="145">
        <v>653</v>
      </c>
      <c r="G58" s="112">
        <f t="shared" si="4"/>
        <v>199</v>
      </c>
      <c r="H58" s="99">
        <f>G58+'6'!H58</f>
        <v>993.63000000000466</v>
      </c>
      <c r="I58" s="95"/>
      <c r="J58" s="175">
        <f>H58/DAY(B2)</f>
        <v>141.94714285714352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6718</v>
      </c>
      <c r="H59" s="99">
        <f>G59+'6'!H59</f>
        <v>43327.710000000006</v>
      </c>
      <c r="I59" s="95">
        <f>G7-G60</f>
        <v>1806</v>
      </c>
      <c r="J59" s="175">
        <f>H59/DAY(B2)</f>
        <v>6189.6728571428584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18025</v>
      </c>
      <c r="H60" s="99">
        <f>G60+'6'!H60</f>
        <v>122235.31000000001</v>
      </c>
      <c r="I60" s="95">
        <f>G13-G60</f>
        <v>1264</v>
      </c>
      <c r="J60" s="175">
        <f>H60/DAY(B2)</f>
        <v>17462.187142857143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'6'!F62</f>
        <v>267510</v>
      </c>
      <c r="F62" s="122">
        <v>267567</v>
      </c>
      <c r="G62" s="112">
        <f t="shared" ref="G62:G63" si="5">F62-E62</f>
        <v>57</v>
      </c>
      <c r="H62" s="99">
        <f>G62+'6'!H62</f>
        <v>354</v>
      </c>
      <c r="I62" s="118"/>
      <c r="J62" s="175">
        <f>H62/DAY(B2)</f>
        <v>50.571428571428569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'6'!F63</f>
        <v>213123</v>
      </c>
      <c r="F63" s="122">
        <v>213218</v>
      </c>
      <c r="G63" s="112">
        <f t="shared" si="5"/>
        <v>95</v>
      </c>
      <c r="H63" s="99">
        <f>G63+'6'!H63</f>
        <v>793</v>
      </c>
      <c r="I63" s="118"/>
      <c r="J63" s="175">
        <f>H63/DAY(B2)</f>
        <v>113.28571428571429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'6'!F64</f>
        <v>0</v>
      </c>
      <c r="F64" s="122"/>
      <c r="G64" s="112">
        <f>G62+G63</f>
        <v>152</v>
      </c>
      <c r="H64" s="99">
        <f>G64+'6'!H64</f>
        <v>1147</v>
      </c>
      <c r="I64" s="118"/>
      <c r="J64" s="175">
        <f>H64/DAY(B2)</f>
        <v>163.85714285714286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'6'!F65</f>
        <v>433036</v>
      </c>
      <c r="F65" s="122">
        <v>433115</v>
      </c>
      <c r="G65" s="112">
        <f t="shared" ref="G65:G70" si="6">F65-E65</f>
        <v>79</v>
      </c>
      <c r="H65" s="99">
        <f>G65+'6'!H65</f>
        <v>501</v>
      </c>
      <c r="I65" s="118"/>
      <c r="J65" s="175">
        <f>H65/DAY(B2)</f>
        <v>71.571428571428569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'6'!F66</f>
        <v>107342</v>
      </c>
      <c r="F66" s="122">
        <v>107359</v>
      </c>
      <c r="G66" s="112">
        <f t="shared" si="6"/>
        <v>17</v>
      </c>
      <c r="H66" s="99">
        <f>G66+'6'!H66</f>
        <v>145</v>
      </c>
      <c r="I66" s="118"/>
      <c r="J66" s="175">
        <f>H66/DAY(B2)</f>
        <v>20.714285714285715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'6'!F67</f>
        <v>104097</v>
      </c>
      <c r="F67" s="150">
        <v>104120</v>
      </c>
      <c r="G67" s="112">
        <f t="shared" si="6"/>
        <v>23</v>
      </c>
      <c r="H67" s="99">
        <f>G67+'6'!H67</f>
        <v>192</v>
      </c>
      <c r="I67" s="118"/>
      <c r="J67" s="175">
        <f>H67/DAY(B2)</f>
        <v>27.428571428571427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'6'!F68</f>
        <v>156754</v>
      </c>
      <c r="F68" s="122">
        <v>156796</v>
      </c>
      <c r="G68" s="112">
        <f t="shared" si="6"/>
        <v>42</v>
      </c>
      <c r="H68" s="99">
        <f>G68+'6'!H68</f>
        <v>176</v>
      </c>
      <c r="I68" s="118"/>
      <c r="J68" s="175">
        <f>H68/DAY(B2)</f>
        <v>25.142857142857142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'6'!F69</f>
        <v>10298</v>
      </c>
      <c r="F69" s="122">
        <v>10305</v>
      </c>
      <c r="G69" s="112">
        <f t="shared" si="6"/>
        <v>7</v>
      </c>
      <c r="H69" s="99">
        <f>G69+'6'!H69</f>
        <v>91</v>
      </c>
      <c r="I69" s="118"/>
      <c r="J69" s="175">
        <f>H69/DAY(B2)</f>
        <v>13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'6'!F70</f>
        <v>7912</v>
      </c>
      <c r="F70" s="150">
        <v>7921</v>
      </c>
      <c r="G70" s="112">
        <f t="shared" si="6"/>
        <v>9</v>
      </c>
      <c r="H70" s="99">
        <f>G70+'6'!H70</f>
        <v>59</v>
      </c>
      <c r="I70" s="118"/>
      <c r="J70" s="175">
        <f>H70/DAY(B2)</f>
        <v>8.4285714285714288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177</v>
      </c>
      <c r="H71" s="99">
        <f>G71+'6'!H71</f>
        <v>1164</v>
      </c>
      <c r="I71" s="154"/>
      <c r="J71" s="175">
        <f>H71/DAY(B2)</f>
        <v>166.28571428571428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'6'!F74</f>
        <v>893703</v>
      </c>
      <c r="F74" s="123">
        <v>894004</v>
      </c>
      <c r="G74" s="112">
        <f t="shared" ref="G74:G78" si="7">F74-E74</f>
        <v>301</v>
      </c>
      <c r="H74" s="99">
        <f>G74+'6'!H74</f>
        <v>1972</v>
      </c>
      <c r="I74" s="154"/>
      <c r="J74" s="175">
        <f>H74/DAY(B2)</f>
        <v>281.71428571428572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'6'!F76</f>
        <v>167769</v>
      </c>
      <c r="F76" s="123">
        <v>167841</v>
      </c>
      <c r="G76" s="112">
        <f t="shared" si="7"/>
        <v>72</v>
      </c>
      <c r="H76" s="99">
        <f>G76+'6'!H76</f>
        <v>634</v>
      </c>
      <c r="I76" s="154"/>
      <c r="J76" s="175">
        <f>H76/DAY(B2)</f>
        <v>90.571428571428569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'6'!F77</f>
        <v>40531</v>
      </c>
      <c r="F77" s="123">
        <v>40570</v>
      </c>
      <c r="G77" s="112">
        <f t="shared" si="7"/>
        <v>39</v>
      </c>
      <c r="H77" s="99">
        <f>G77+'6'!H77</f>
        <v>254</v>
      </c>
      <c r="I77" s="154"/>
      <c r="J77" s="175">
        <f>H77/DAY(B2)</f>
        <v>36.285714285714285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'6'!F78</f>
        <v>9492</v>
      </c>
      <c r="F78" s="123">
        <v>9493</v>
      </c>
      <c r="G78" s="112">
        <f t="shared" si="7"/>
        <v>1</v>
      </c>
      <c r="H78" s="99">
        <f>G78+'6'!H78</f>
        <v>7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'6'!F79</f>
        <v>0</v>
      </c>
      <c r="F79" s="123"/>
      <c r="G79" s="112">
        <f>G15-SUM(G74:G78)</f>
        <v>550</v>
      </c>
      <c r="H79" s="99">
        <f>G79+'6'!H79</f>
        <v>3470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963</v>
      </c>
      <c r="H80" s="99">
        <f>G80+'6'!H80</f>
        <v>963</v>
      </c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'6'!F85</f>
        <v>2096.56</v>
      </c>
      <c r="F85" s="164">
        <v>2096.56</v>
      </c>
      <c r="G85" s="112">
        <f t="shared" si="8"/>
        <v>0</v>
      </c>
      <c r="H85" s="99">
        <f>G85+'6'!H85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'6'!F86</f>
        <v>43007.48</v>
      </c>
      <c r="F86" s="164">
        <v>43031.92</v>
      </c>
      <c r="G86" s="112">
        <f t="shared" si="8"/>
        <v>24.439999999995052</v>
      </c>
      <c r="H86" s="99">
        <f>G86+'6'!H86</f>
        <v>168.91999999999825</v>
      </c>
      <c r="I86" s="118"/>
      <c r="J86" s="175">
        <f>H86/DAY(B2)</f>
        <v>24.131428571428323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'6'!F87</f>
        <v>34598.550000000003</v>
      </c>
      <c r="F87" s="164">
        <v>34598.550000000003</v>
      </c>
      <c r="G87" s="112">
        <f t="shared" si="8"/>
        <v>0</v>
      </c>
      <c r="H87" s="99">
        <f>G87+'6'!H87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'6'!F88</f>
        <v>24058</v>
      </c>
      <c r="F88" s="164">
        <v>24058</v>
      </c>
      <c r="G88" s="112">
        <f t="shared" si="8"/>
        <v>0</v>
      </c>
      <c r="H88" s="99">
        <f>G88+'6'!H88</f>
        <v>11</v>
      </c>
      <c r="I88" s="118">
        <f>G86+G87+G88</f>
        <v>24.439999999995052</v>
      </c>
      <c r="J88" s="175">
        <f>H88/DAY(B2)</f>
        <v>1.5714285714285714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'6'!F89</f>
        <v>25695</v>
      </c>
      <c r="F89" s="164">
        <v>25705</v>
      </c>
      <c r="G89" s="112">
        <f t="shared" si="8"/>
        <v>10</v>
      </c>
      <c r="H89" s="99">
        <f>G89+'6'!H89</f>
        <v>42</v>
      </c>
      <c r="I89" s="118"/>
      <c r="J89" s="175">
        <f>H89/DAY(B2)</f>
        <v>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'6'!F90</f>
        <v>71063</v>
      </c>
      <c r="F90" s="164">
        <v>71068</v>
      </c>
      <c r="G90" s="112">
        <f t="shared" si="8"/>
        <v>5</v>
      </c>
      <c r="H90" s="99">
        <f>G90+'6'!H90</f>
        <v>34</v>
      </c>
      <c r="I90" s="118">
        <f>G89+G90</f>
        <v>15</v>
      </c>
      <c r="J90" s="175">
        <f>H90/DAY(B2)</f>
        <v>4.8571428571428568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'6'!F92</f>
        <v>5496.81</v>
      </c>
      <c r="F92" s="122">
        <v>5507.34</v>
      </c>
      <c r="G92" s="112">
        <f t="shared" si="8"/>
        <v>10.529999999999745</v>
      </c>
      <c r="H92" s="99">
        <f>G92+'6'!H92</f>
        <v>69.340000000000146</v>
      </c>
      <c r="I92" s="165"/>
      <c r="J92" s="175">
        <f>H92/DAY(B2)</f>
        <v>9.905714285714307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5773</v>
      </c>
      <c r="H94" s="99">
        <f>G94+'6'!H94</f>
        <v>41856</v>
      </c>
      <c r="I94" s="118"/>
      <c r="J94" s="175">
        <f>H94/DAY(B2)</f>
        <v>5979.4285714285716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0.29110987847309766</v>
      </c>
      <c r="H95" s="99">
        <f>G95+'6'!H95</f>
        <v>2.1168317350531174</v>
      </c>
      <c r="I95" s="167"/>
      <c r="J95" s="175">
        <f>H95/DAY(B2)</f>
        <v>0.30240453357901675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3369</v>
      </c>
      <c r="H96" s="99">
        <f>G96+'6'!H96</f>
        <v>21767.600000000006</v>
      </c>
      <c r="I96" s="118"/>
      <c r="J96" s="175">
        <f>H96/DAY(B2)</f>
        <v>3109.6571428571438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0.16988553275175231</v>
      </c>
      <c r="H97" s="99">
        <f>G97+'6'!H97</f>
        <v>1.1006878289937345</v>
      </c>
      <c r="I97" s="167"/>
      <c r="J97" s="175">
        <f>H97/DAY(B2)</f>
        <v>0.15724111842767635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2675</v>
      </c>
      <c r="H98" s="99">
        <f>G98+'6'!H98</f>
        <v>18997</v>
      </c>
      <c r="I98" s="168"/>
      <c r="J98" s="175">
        <f>H98/DAY(B2)</f>
        <v>2713.8571428571427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0.13488981897029903</v>
      </c>
      <c r="H99" s="99">
        <f>G99+'6'!H99</f>
        <v>0.96067492393032272</v>
      </c>
      <c r="I99" s="168"/>
      <c r="J99" s="175">
        <f>H99/DAY(B2)</f>
        <v>0.13723927484718895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1668</v>
      </c>
      <c r="H100" s="99">
        <f>G100+'6'!H100</f>
        <v>11485</v>
      </c>
      <c r="I100" s="118"/>
      <c r="J100" s="175">
        <f>H100/DAY(B2)</f>
        <v>1640.7142857142858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8.4110735716807022E-2</v>
      </c>
      <c r="H101" s="99">
        <f>G101+'6'!H101</f>
        <v>0.58033860949982741</v>
      </c>
      <c r="I101" s="168"/>
      <c r="J101" s="175">
        <f>H101/DAY(B2)</f>
        <v>8.2905515642832481E-2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1741</v>
      </c>
      <c r="H102" s="99">
        <f>G102+'6'!H102</f>
        <v>13154</v>
      </c>
      <c r="I102" s="168"/>
      <c r="J102" s="175">
        <f>H102/DAY(B2)</f>
        <v>1879.1428571428571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8.7791841056931066E-2</v>
      </c>
      <c r="H103" s="99">
        <f>G103+'6'!H103</f>
        <v>0.66460871082844386</v>
      </c>
      <c r="I103" s="118"/>
      <c r="J103" s="175">
        <f>H103/DAY(B2)</f>
        <v>9.4944101546920553E-2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1524</v>
      </c>
      <c r="H104" s="99">
        <f>G104+'6'!H104</f>
        <v>10678</v>
      </c>
      <c r="I104" s="118"/>
      <c r="J104" s="175">
        <f>H104/DAY(B2)</f>
        <v>1525.4285714285713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7.6849377237658209E-2</v>
      </c>
      <c r="H105" s="99">
        <f>G105+'6'!H105</f>
        <v>0.5398876657331142</v>
      </c>
      <c r="I105" s="187"/>
      <c r="J105" s="188">
        <f>H105/DAY(B2)</f>
        <v>7.7126809390444889E-2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'6'!F112</f>
        <v>56116</v>
      </c>
      <c r="F112" s="237">
        <v>56196</v>
      </c>
      <c r="G112" s="112">
        <f t="shared" ref="G112:G123" si="9">F112-E112</f>
        <v>80</v>
      </c>
      <c r="H112" s="99">
        <f>G112+'6'!H112</f>
        <v>515</v>
      </c>
      <c r="I112" s="165"/>
      <c r="J112" s="328">
        <f>H112/DAY(B2)</f>
        <v>73.571428571428569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'6'!F113</f>
        <v>34902</v>
      </c>
      <c r="F113" s="237">
        <v>35351</v>
      </c>
      <c r="G113" s="112">
        <f t="shared" si="9"/>
        <v>449</v>
      </c>
      <c r="H113" s="99">
        <f>G113+'6'!H113</f>
        <v>3156</v>
      </c>
      <c r="I113" s="165"/>
      <c r="J113" s="328">
        <f>H113/DAY(B2)</f>
        <v>450.85714285714283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'6'!F114</f>
        <v>26475</v>
      </c>
      <c r="F114" s="237">
        <v>26732</v>
      </c>
      <c r="G114" s="112">
        <f t="shared" si="9"/>
        <v>257</v>
      </c>
      <c r="H114" s="99">
        <f>G114+'6'!H114</f>
        <v>1861</v>
      </c>
      <c r="I114" s="165"/>
      <c r="J114" s="328">
        <f>H114/DAY(B2)</f>
        <v>265.85714285714283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'6'!F115</f>
        <v>8850</v>
      </c>
      <c r="F115" s="237">
        <v>8860</v>
      </c>
      <c r="G115" s="112">
        <f t="shared" si="9"/>
        <v>10</v>
      </c>
      <c r="H115" s="99">
        <f>G115+'6'!H115</f>
        <v>75</v>
      </c>
      <c r="I115" s="165"/>
      <c r="J115" s="328">
        <f>H115/DAY(B2)</f>
        <v>10.714285714285714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'6'!F117</f>
        <v>2749</v>
      </c>
      <c r="F117" s="237">
        <v>2778</v>
      </c>
      <c r="G117" s="112">
        <f t="shared" si="9"/>
        <v>29</v>
      </c>
      <c r="H117" s="99">
        <f>G117+'6'!H117</f>
        <v>188</v>
      </c>
      <c r="I117" s="165"/>
      <c r="J117" s="328">
        <f>H117/DAY(B2)</f>
        <v>26.857142857142858</v>
      </c>
      <c r="Q117" s="843" t="s">
        <v>312</v>
      </c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'6'!F118</f>
        <v>243886</v>
      </c>
      <c r="F118" s="237">
        <v>244525</v>
      </c>
      <c r="G118" s="112">
        <f t="shared" si="9"/>
        <v>639</v>
      </c>
      <c r="H118" s="99">
        <f>G118+'6'!H118</f>
        <v>2878</v>
      </c>
      <c r="I118" s="165"/>
      <c r="J118" s="328">
        <f>H118/DAY(B2)</f>
        <v>411.14285714285717</v>
      </c>
      <c r="Q118" s="843" t="s">
        <v>311</v>
      </c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'6'!F119</f>
        <v>247716</v>
      </c>
      <c r="F119" s="237">
        <v>248153</v>
      </c>
      <c r="G119" s="112">
        <f t="shared" si="9"/>
        <v>437</v>
      </c>
      <c r="H119" s="99">
        <f>G119+'6'!H119</f>
        <v>3027</v>
      </c>
      <c r="I119" s="165"/>
      <c r="J119" s="328">
        <f>H119/DAY(B2)</f>
        <v>432.42857142857144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'6'!F120</f>
        <v>32603</v>
      </c>
      <c r="F120" s="237">
        <v>33031</v>
      </c>
      <c r="G120" s="112">
        <f t="shared" si="9"/>
        <v>428</v>
      </c>
      <c r="H120" s="99">
        <f>G120+'6'!H120</f>
        <v>2953</v>
      </c>
      <c r="I120" s="165"/>
      <c r="J120" s="328">
        <f>H120/DAY(B2)</f>
        <v>421.85714285714283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'6'!F121</f>
        <v>381098</v>
      </c>
      <c r="F121" s="237">
        <v>381818</v>
      </c>
      <c r="G121" s="112">
        <f t="shared" si="9"/>
        <v>720</v>
      </c>
      <c r="H121" s="99">
        <f>G121+'6'!H121</f>
        <v>5289</v>
      </c>
      <c r="I121" s="165"/>
      <c r="J121" s="328">
        <f>H121/DAY(B2)</f>
        <v>755.57142857142856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'6'!F122</f>
        <v>121442</v>
      </c>
      <c r="F122" s="237">
        <v>121682</v>
      </c>
      <c r="G122" s="112">
        <f t="shared" si="9"/>
        <v>240</v>
      </c>
      <c r="H122" s="99">
        <f>G122+'6'!H122</f>
        <v>1632</v>
      </c>
      <c r="I122" s="165"/>
      <c r="J122" s="328">
        <f>H122/DAY(B2)</f>
        <v>233.14285714285714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'6'!F123</f>
        <v>147100</v>
      </c>
      <c r="F123" s="237">
        <v>147418</v>
      </c>
      <c r="G123" s="112">
        <f t="shared" si="9"/>
        <v>318</v>
      </c>
      <c r="H123" s="99">
        <f>G123+'6'!H123</f>
        <v>2293</v>
      </c>
      <c r="I123" s="165"/>
      <c r="J123" s="328">
        <f>H123/DAY(B2)</f>
        <v>327.57142857142856</v>
      </c>
    </row>
    <row r="124" spans="1:18" ht="29.25" customHeight="1">
      <c r="A124" s="847"/>
      <c r="B124" s="848"/>
      <c r="C124" s="849"/>
      <c r="D124" s="165"/>
      <c r="E124" s="165"/>
      <c r="F124" s="165"/>
      <c r="G124" s="327"/>
      <c r="H124" s="156"/>
      <c r="I124" s="165"/>
      <c r="J124" s="328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3607</v>
      </c>
      <c r="H125" s="156"/>
      <c r="I125" s="327">
        <f>G125-(G39+G53)</f>
        <v>932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'6'!F128</f>
        <v>40028</v>
      </c>
      <c r="F128" s="165">
        <v>40344</v>
      </c>
      <c r="G128" s="112">
        <f t="shared" ref="G128:G134" si="10">F128-E128</f>
        <v>316</v>
      </c>
      <c r="H128" s="99">
        <f>G128+'6'!H128</f>
        <v>2340</v>
      </c>
      <c r="I128" s="165"/>
      <c r="J128" s="328">
        <f>H128/DAY(B2)</f>
        <v>334.28571428571428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'6'!F129</f>
        <v>21610</v>
      </c>
      <c r="F129" s="165">
        <v>21860</v>
      </c>
      <c r="G129" s="112">
        <f t="shared" si="10"/>
        <v>250</v>
      </c>
      <c r="H129" s="99">
        <f>G129+'6'!H129</f>
        <v>1539</v>
      </c>
      <c r="I129" s="165"/>
      <c r="J129" s="328">
        <f>H129/DAY(B2)</f>
        <v>219.85714285714286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'6'!F130</f>
        <v>22476</v>
      </c>
      <c r="F130" s="165">
        <v>23167</v>
      </c>
      <c r="G130" s="112">
        <f t="shared" si="10"/>
        <v>691</v>
      </c>
      <c r="H130" s="99">
        <f>G130+'6'!H130</f>
        <v>4785</v>
      </c>
      <c r="I130" s="165"/>
      <c r="J130" s="328">
        <f>H130/DAY(B2)</f>
        <v>683.57142857142856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'6'!F131</f>
        <v>13628</v>
      </c>
      <c r="F131" s="165">
        <v>13703</v>
      </c>
      <c r="G131" s="112">
        <f t="shared" si="10"/>
        <v>75</v>
      </c>
      <c r="H131" s="99">
        <f>G131+'6'!H131</f>
        <v>550</v>
      </c>
      <c r="I131" s="165"/>
      <c r="J131" s="328">
        <f>H131/DAY(B2)</f>
        <v>78.571428571428569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'6'!F132</f>
        <v>43714</v>
      </c>
      <c r="F132" s="165">
        <v>44223</v>
      </c>
      <c r="G132" s="112">
        <f t="shared" si="10"/>
        <v>509</v>
      </c>
      <c r="H132" s="99">
        <f>G132+'6'!H132</f>
        <v>3200</v>
      </c>
      <c r="I132" s="165"/>
      <c r="J132" s="328">
        <f>H132/DAY(B2)</f>
        <v>457.14285714285717</v>
      </c>
    </row>
    <row r="133" spans="1:15" ht="27.75">
      <c r="A133" s="843" t="s">
        <v>323</v>
      </c>
      <c r="B133" s="844"/>
      <c r="C133" s="845"/>
      <c r="D133" s="151" t="s">
        <v>183</v>
      </c>
      <c r="E133" s="95">
        <f>'6'!F133</f>
        <v>92706</v>
      </c>
      <c r="F133" s="165">
        <v>93462</v>
      </c>
      <c r="G133" s="112">
        <f t="shared" si="10"/>
        <v>756</v>
      </c>
      <c r="H133" s="99">
        <f>G133+'6'!H133</f>
        <v>5759</v>
      </c>
      <c r="I133" s="165"/>
      <c r="J133" s="328">
        <f>H133/DAY(B2)</f>
        <v>822.71428571428567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'6'!F134</f>
        <v>672722</v>
      </c>
      <c r="F134" s="165">
        <v>673370</v>
      </c>
      <c r="G134" s="112">
        <f t="shared" si="10"/>
        <v>648</v>
      </c>
      <c r="H134" s="99">
        <f>G134+'6'!H134</f>
        <v>4490</v>
      </c>
      <c r="I134" s="165"/>
      <c r="J134" s="328">
        <f>H134/DAY(B2)</f>
        <v>641.42857142857144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3245</v>
      </c>
      <c r="H135" s="99">
        <f>G135+'6'!H135</f>
        <v>22663</v>
      </c>
      <c r="I135" s="327">
        <f>G135-(G35+G49)</f>
        <v>-282</v>
      </c>
      <c r="J135" s="328" t="e">
        <f t="shared" ref="J135" si="11">H135/DAY(B54)</f>
        <v>#DIV/0!</v>
      </c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'6'!F138</f>
        <v>864599</v>
      </c>
      <c r="F138" s="147">
        <v>864673</v>
      </c>
      <c r="G138" s="112">
        <f t="shared" ref="G138:G152" si="12">F138-E138</f>
        <v>74</v>
      </c>
      <c r="H138" s="99">
        <f>G138+'6'!H138</f>
        <v>502</v>
      </c>
      <c r="I138" s="118"/>
      <c r="J138" s="328">
        <f>H138/DAY(B2)</f>
        <v>71.714285714285708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'6'!F139</f>
        <v>886549</v>
      </c>
      <c r="F139" s="148">
        <v>886549</v>
      </c>
      <c r="G139" s="112">
        <f t="shared" si="12"/>
        <v>0</v>
      </c>
      <c r="H139" s="99">
        <f>G139+'6'!H139</f>
        <v>3</v>
      </c>
      <c r="I139" s="118"/>
      <c r="J139" s="328">
        <f>H139/DAY(B2)</f>
        <v>0.42857142857142855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'6'!F140</f>
        <v>88898.3</v>
      </c>
      <c r="F140" s="149">
        <v>88898</v>
      </c>
      <c r="G140" s="112">
        <f t="shared" si="12"/>
        <v>-0.30000000000291038</v>
      </c>
      <c r="H140" s="99">
        <f>G140+'6'!H140</f>
        <v>16</v>
      </c>
      <c r="I140" s="118"/>
      <c r="J140" s="328">
        <f>H140/DAY(B2)</f>
        <v>2.2857142857142856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'6'!F141</f>
        <v>50370</v>
      </c>
      <c r="F141" s="149">
        <v>50542</v>
      </c>
      <c r="G141" s="112">
        <f t="shared" si="12"/>
        <v>172</v>
      </c>
      <c r="H141" s="99">
        <f>G141+'6'!H141</f>
        <v>1236</v>
      </c>
      <c r="I141" s="118"/>
      <c r="J141" s="328">
        <f>H141/DAY(B2)</f>
        <v>176.57142857142858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'6'!F142</f>
        <v>19437</v>
      </c>
      <c r="F142" s="148">
        <v>19503</v>
      </c>
      <c r="G142" s="112">
        <f t="shared" si="12"/>
        <v>66</v>
      </c>
      <c r="H142" s="99">
        <f>G142+'6'!H142</f>
        <v>494</v>
      </c>
      <c r="I142" s="140"/>
      <c r="J142" s="328">
        <f>H142/DAY(B2)</f>
        <v>70.571428571428569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'6'!F143</f>
        <v>3195</v>
      </c>
      <c r="F143" s="149">
        <v>3220</v>
      </c>
      <c r="G143" s="112">
        <f t="shared" si="12"/>
        <v>25</v>
      </c>
      <c r="H143" s="99">
        <f>G143+'6'!H143</f>
        <v>159</v>
      </c>
      <c r="I143" s="140"/>
      <c r="J143" s="328">
        <f>H143/DAY(B2)</f>
        <v>22.714285714285715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'6'!F144</f>
        <v>871014</v>
      </c>
      <c r="F144" s="149">
        <v>871244</v>
      </c>
      <c r="G144" s="112">
        <f t="shared" si="12"/>
        <v>230</v>
      </c>
      <c r="H144" s="99">
        <f>G144+'6'!H144</f>
        <v>1574</v>
      </c>
      <c r="I144" s="140"/>
      <c r="J144" s="328">
        <f>H144/DAY(B2)</f>
        <v>224.85714285714286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'6'!F145</f>
        <v>4659</v>
      </c>
      <c r="F145" s="149">
        <v>4676</v>
      </c>
      <c r="G145" s="112">
        <f t="shared" si="12"/>
        <v>17</v>
      </c>
      <c r="H145" s="99">
        <f>G145+'6'!H145</f>
        <v>118</v>
      </c>
      <c r="I145" s="140"/>
      <c r="J145" s="328">
        <f>H145/DAY(B2)</f>
        <v>16.857142857142858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'6'!F146</f>
        <v>727616</v>
      </c>
      <c r="F146" s="148">
        <v>728026</v>
      </c>
      <c r="G146" s="112">
        <f t="shared" si="12"/>
        <v>410</v>
      </c>
      <c r="H146" s="99">
        <f>G146+'6'!H146</f>
        <v>3168</v>
      </c>
      <c r="I146" s="140"/>
      <c r="J146" s="328">
        <f>H146/DAY(B2)</f>
        <v>452.57142857142856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'6'!F147</f>
        <v>617718</v>
      </c>
      <c r="F147" s="148">
        <v>618086</v>
      </c>
      <c r="G147" s="112">
        <f t="shared" si="12"/>
        <v>368</v>
      </c>
      <c r="H147" s="99">
        <f>G147+'6'!H147</f>
        <v>2804</v>
      </c>
      <c r="I147" s="140"/>
      <c r="J147" s="328">
        <f>H147/DAY(B2)</f>
        <v>400.57142857142856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'6'!F148</f>
        <v>684690</v>
      </c>
      <c r="F148" s="150">
        <v>684937</v>
      </c>
      <c r="G148" s="112">
        <f t="shared" si="12"/>
        <v>247</v>
      </c>
      <c r="H148" s="99">
        <f>G148+'6'!H148</f>
        <v>1903.8800000000047</v>
      </c>
      <c r="I148" s="124"/>
      <c r="J148" s="328">
        <f>H148/DAY(B2)</f>
        <v>271.98285714285782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'6'!F149</f>
        <v>13147</v>
      </c>
      <c r="F149" s="146">
        <v>13601</v>
      </c>
      <c r="G149" s="112">
        <f t="shared" si="12"/>
        <v>454</v>
      </c>
      <c r="H149" s="99">
        <f>G149+'6'!H149</f>
        <v>2852</v>
      </c>
      <c r="I149" s="119"/>
      <c r="J149" s="328">
        <f>H149/DAY(B2)</f>
        <v>407.42857142857144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'6'!F150</f>
        <v>5359</v>
      </c>
      <c r="F150" s="233">
        <v>5593</v>
      </c>
      <c r="G150" s="112">
        <f t="shared" si="12"/>
        <v>234</v>
      </c>
      <c r="H150" s="99">
        <f>G150+'6'!H150</f>
        <v>1541</v>
      </c>
      <c r="I150" s="119"/>
      <c r="J150" s="328">
        <f>H150/DAY(B2)</f>
        <v>220.14285714285714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'6'!F151</f>
        <v>79746</v>
      </c>
      <c r="F151" s="233">
        <v>79961</v>
      </c>
      <c r="G151" s="112">
        <f t="shared" si="12"/>
        <v>215</v>
      </c>
      <c r="H151" s="99">
        <f>G151+'6'!H151</f>
        <v>1744</v>
      </c>
      <c r="I151" s="119"/>
      <c r="J151" s="328">
        <f>H151/DAY(B2)</f>
        <v>249.14285714285714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'6'!F152</f>
        <v>1253</v>
      </c>
      <c r="F152" s="233">
        <v>1269</v>
      </c>
      <c r="G152" s="112">
        <f t="shared" si="12"/>
        <v>16</v>
      </c>
      <c r="H152" s="99">
        <f>G152+'6'!H152</f>
        <v>142</v>
      </c>
      <c r="I152" s="119"/>
      <c r="J152" s="328">
        <f>H152/DAY(B2)</f>
        <v>20.285714285714285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2527.6999999999971</v>
      </c>
      <c r="H153" s="363"/>
      <c r="I153" s="119" t="s">
        <v>207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'6'!F155</f>
        <v>16648</v>
      </c>
      <c r="F155" s="374">
        <v>17300</v>
      </c>
      <c r="G155" s="112">
        <f t="shared" ref="G155:G156" si="13">F155-E155</f>
        <v>652</v>
      </c>
      <c r="H155" s="99">
        <f>G155+'6'!H155</f>
        <v>3828</v>
      </c>
      <c r="I155" s="364"/>
      <c r="J155" s="328">
        <f>H155/DAY(B2)</f>
        <v>546.85714285714289</v>
      </c>
    </row>
    <row r="156" spans="1:10" ht="27.75">
      <c r="A156" s="823" t="s">
        <v>346</v>
      </c>
      <c r="B156" s="823"/>
      <c r="C156" s="823"/>
      <c r="D156" s="117" t="s">
        <v>130</v>
      </c>
      <c r="E156" s="95">
        <f>'6'!F156</f>
        <v>1363</v>
      </c>
      <c r="F156" s="165">
        <v>1410</v>
      </c>
      <c r="G156" s="112">
        <f t="shared" si="13"/>
        <v>47</v>
      </c>
      <c r="H156" s="99">
        <f>G156+'6'!H156</f>
        <v>322</v>
      </c>
      <c r="I156" s="165"/>
      <c r="J156" s="328">
        <f>H156/DAY(B2)</f>
        <v>46</v>
      </c>
    </row>
    <row r="157" spans="1:10" ht="27.75">
      <c r="A157" s="824" t="s">
        <v>364</v>
      </c>
      <c r="B157" s="825"/>
      <c r="C157" s="826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>
      <c r="A158" s="824" t="s">
        <v>365</v>
      </c>
      <c r="B158" s="825"/>
      <c r="C158" s="826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>
      <c r="A159" s="907"/>
      <c r="B159" s="908"/>
      <c r="C159" s="909"/>
      <c r="D159" s="117"/>
      <c r="E159" s="95"/>
      <c r="F159" s="16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'6'!F161</f>
        <v>471153.56</v>
      </c>
      <c r="F161" s="235">
        <v>471219</v>
      </c>
      <c r="G161" s="238">
        <f t="shared" ref="G161:G165" si="14">F161-E161</f>
        <v>65.440000000002328</v>
      </c>
      <c r="H161" s="99">
        <f>G161+'6'!H161</f>
        <v>65.840000000025611</v>
      </c>
      <c r="I161" s="236"/>
      <c r="J161" s="239">
        <f>H161/DAY(B2)</f>
        <v>9.405714285717945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'6'!F162</f>
        <v>87718</v>
      </c>
      <c r="F162" s="235">
        <v>87752</v>
      </c>
      <c r="G162" s="238">
        <f t="shared" si="14"/>
        <v>34</v>
      </c>
      <c r="H162" s="99">
        <f>G162+'6'!H162</f>
        <v>182</v>
      </c>
      <c r="I162" s="236"/>
      <c r="J162" s="239">
        <f>H162/DAY(B2)</f>
        <v>26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'6'!F163</f>
        <v>78084</v>
      </c>
      <c r="F163" s="235">
        <v>78129</v>
      </c>
      <c r="G163" s="238">
        <f t="shared" si="14"/>
        <v>45</v>
      </c>
      <c r="H163" s="99">
        <f>G163+'6'!H163</f>
        <v>304</v>
      </c>
      <c r="I163" s="236"/>
      <c r="J163" s="239">
        <f>H163/DAY(B2)</f>
        <v>43.428571428571431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4250</v>
      </c>
      <c r="F164" s="235">
        <v>4253</v>
      </c>
      <c r="G164" s="238">
        <f t="shared" si="14"/>
        <v>3</v>
      </c>
      <c r="H164" s="99">
        <f>G164+'6'!H164</f>
        <v>11</v>
      </c>
      <c r="I164" s="236"/>
      <c r="J164" s="239">
        <f>H164/DAY(B2)</f>
        <v>1.5714285714285714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29685</v>
      </c>
      <c r="F165" s="235">
        <v>29691</v>
      </c>
      <c r="G165" s="238">
        <f t="shared" si="14"/>
        <v>6</v>
      </c>
      <c r="H165" s="99">
        <f>G165+'6'!H165</f>
        <v>45</v>
      </c>
      <c r="I165" s="236"/>
      <c r="J165" s="239">
        <f>H165/DAY(B2)</f>
        <v>6.4285714285714288</v>
      </c>
    </row>
    <row r="166" spans="1:10" ht="25.5" customHeight="1">
      <c r="A166" s="832"/>
      <c r="B166" s="832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'6'!F174</f>
        <v>38347</v>
      </c>
      <c r="F174" s="157">
        <v>38358</v>
      </c>
      <c r="G174" s="155">
        <f t="shared" ref="G174:G175" si="15">F174-E174</f>
        <v>11</v>
      </c>
      <c r="H174" s="99">
        <f>G174+'6'!H174</f>
        <v>65</v>
      </c>
      <c r="I174" s="155"/>
      <c r="J174" s="178">
        <f>H174/DAY(B2)</f>
        <v>9.2857142857142865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'6'!F175</f>
        <v>21576</v>
      </c>
      <c r="F175" s="155">
        <v>21587</v>
      </c>
      <c r="G175" s="155">
        <f t="shared" si="15"/>
        <v>11</v>
      </c>
      <c r="H175" s="99">
        <f>G175+'6'!H175</f>
        <v>69</v>
      </c>
      <c r="I175" s="155"/>
      <c r="J175" s="178">
        <f>H175/DAY(B2)</f>
        <v>9.8571428571428577</v>
      </c>
    </row>
    <row r="176" spans="1:10" ht="27.75">
      <c r="A176" s="592" t="s">
        <v>196</v>
      </c>
      <c r="B176" s="593"/>
      <c r="C176" s="333"/>
      <c r="D176" s="228" t="s">
        <v>142</v>
      </c>
      <c r="E176" s="95"/>
      <c r="F176" s="155"/>
      <c r="G176" s="155">
        <f>SUM(G173:G175)</f>
        <v>22</v>
      </c>
      <c r="H176" s="99">
        <f>G176+'6'!H176</f>
        <v>134</v>
      </c>
      <c r="I176" s="155"/>
      <c r="J176" s="178">
        <f>H176/DAY(B2)</f>
        <v>19.142857142857142</v>
      </c>
    </row>
    <row r="177" spans="1:10" ht="27.75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'6'!F178</f>
        <v>80046</v>
      </c>
      <c r="F178" s="155">
        <v>80108</v>
      </c>
      <c r="G178" s="155">
        <f>F178-E178</f>
        <v>62</v>
      </c>
      <c r="H178" s="99">
        <f>G178+'6'!H178</f>
        <v>494</v>
      </c>
      <c r="I178" s="155"/>
      <c r="J178" s="178">
        <f>H178/DAY(B2)</f>
        <v>70.571428571428569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'6'!F179</f>
        <v>34029</v>
      </c>
      <c r="F179" s="155">
        <v>34038</v>
      </c>
      <c r="G179" s="155">
        <f t="shared" ref="G179:G180" si="16">F179-E179</f>
        <v>9</v>
      </c>
      <c r="H179" s="99">
        <f>G179+'6'!H179</f>
        <v>123</v>
      </c>
      <c r="I179" s="155"/>
      <c r="J179" s="178">
        <f>H179/DAY(B2)</f>
        <v>17.571428571428573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'6'!F180</f>
        <v>5525</v>
      </c>
      <c r="F180" s="155">
        <v>5528</v>
      </c>
      <c r="G180" s="155">
        <f t="shared" si="16"/>
        <v>3</v>
      </c>
      <c r="H180" s="99">
        <f>G180+'6'!H180</f>
        <v>51</v>
      </c>
      <c r="I180" s="155"/>
      <c r="J180" s="178">
        <f>H180/DAY(B2)</f>
        <v>7.2857142857142856</v>
      </c>
    </row>
    <row r="181" spans="1:10" ht="27.75">
      <c r="A181" s="838" t="s">
        <v>108</v>
      </c>
      <c r="B181" s="839"/>
      <c r="C181" s="333"/>
      <c r="D181" s="228" t="s">
        <v>142</v>
      </c>
      <c r="E181" s="95"/>
      <c r="F181" s="155"/>
      <c r="G181" s="155">
        <f>SUM(G178:G180)</f>
        <v>74</v>
      </c>
      <c r="H181" s="99">
        <f>G181+'6'!H181</f>
        <v>668</v>
      </c>
      <c r="I181" s="155"/>
      <c r="J181" s="178">
        <f>H181/DAY(B2)</f>
        <v>95.428571428571431</v>
      </c>
    </row>
    <row r="182" spans="1:10" ht="27.75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'6'!F183</f>
        <v>15047</v>
      </c>
      <c r="F183" s="157">
        <v>15055</v>
      </c>
      <c r="G183" s="157">
        <f>F183-E183</f>
        <v>8</v>
      </c>
      <c r="H183" s="99">
        <f>G183+'6'!H183</f>
        <v>108</v>
      </c>
      <c r="I183" s="155"/>
      <c r="J183" s="178">
        <f>H183/DAY(B2)</f>
        <v>15.428571428571429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'6'!F184</f>
        <v>10345</v>
      </c>
      <c r="F184" s="157">
        <v>10349</v>
      </c>
      <c r="G184" s="157">
        <f t="shared" ref="G184:G185" si="17">F184-E184</f>
        <v>4</v>
      </c>
      <c r="H184" s="99">
        <f>G184+'6'!H184</f>
        <v>48</v>
      </c>
      <c r="I184" s="155"/>
      <c r="J184" s="178">
        <f>H184/DAY(B2)</f>
        <v>6.8571428571428568</v>
      </c>
    </row>
    <row r="185" spans="1:10" ht="27.75">
      <c r="A185" s="836" t="s">
        <v>216</v>
      </c>
      <c r="B185" s="837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334"/>
      <c r="D186" s="228" t="s">
        <v>142</v>
      </c>
      <c r="E186" s="95"/>
      <c r="F186" s="157"/>
      <c r="G186" s="157">
        <f>SUM(G183:G185)</f>
        <v>12</v>
      </c>
      <c r="H186" s="99">
        <f>G186+'6'!H186</f>
        <v>156</v>
      </c>
      <c r="I186" s="157"/>
      <c r="J186" s="178">
        <f>H186/DAY(B2)</f>
        <v>22.285714285714285</v>
      </c>
    </row>
    <row r="187" spans="1:10" ht="27.75">
      <c r="A187" s="829" t="s">
        <v>217</v>
      </c>
      <c r="B187" s="830"/>
      <c r="C187" s="333"/>
      <c r="D187" s="228" t="s">
        <v>142</v>
      </c>
      <c r="E187" s="95"/>
      <c r="F187" s="159"/>
      <c r="G187" s="462">
        <f>G62+G19</f>
        <v>111</v>
      </c>
      <c r="H187" s="99">
        <f>G187+'6'!H187</f>
        <v>718</v>
      </c>
      <c r="I187" s="158"/>
      <c r="J187" s="179">
        <f>H187/DAY(B2)</f>
        <v>102.57142857142857</v>
      </c>
    </row>
    <row r="188" spans="1:10" ht="27.75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135</v>
      </c>
      <c r="H188" s="99">
        <f>G188+'6'!H188</f>
        <v>988</v>
      </c>
      <c r="I188" s="158"/>
      <c r="J188" s="179">
        <f>H188/DAY(B2)</f>
        <v>141.14285714285714</v>
      </c>
    </row>
    <row r="189" spans="1:10" ht="27.75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74</v>
      </c>
      <c r="H189" s="99">
        <f>G189+'6'!H189</f>
        <v>668</v>
      </c>
      <c r="I189" s="158"/>
      <c r="J189" s="179">
        <f>H189/DAY(B2)</f>
        <v>95.428571428571431</v>
      </c>
    </row>
    <row r="190" spans="1:10" ht="27.75">
      <c r="A190" s="750"/>
      <c r="B190" s="751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357</v>
      </c>
      <c r="B2" s="262">
        <v>44569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25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'7'!F7</f>
        <v>233035</v>
      </c>
      <c r="F7" s="95">
        <v>252267</v>
      </c>
      <c r="G7" s="112">
        <f>F7-E7</f>
        <v>19232</v>
      </c>
      <c r="H7" s="99">
        <f>G7+'7'!H7</f>
        <v>157706</v>
      </c>
      <c r="I7" s="113">
        <f>'1'!I7</f>
        <v>12000</v>
      </c>
      <c r="J7" s="175">
        <f>H7/DAY(B2)</f>
        <v>19713.25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'7'!F8</f>
        <v>282279</v>
      </c>
      <c r="F8" s="114">
        <v>301926</v>
      </c>
      <c r="G8" s="115">
        <f>F8-E8</f>
        <v>19647</v>
      </c>
      <c r="H8" s="99">
        <f>G8+'7'!H8</f>
        <v>161041</v>
      </c>
      <c r="I8" s="116"/>
      <c r="J8" s="175">
        <f>H8/DAY(B2)</f>
        <v>20130.125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'7'!F9</f>
        <v>2345355</v>
      </c>
      <c r="F9" s="117">
        <v>2357281</v>
      </c>
      <c r="G9" s="112">
        <f>F9-E9</f>
        <v>11926</v>
      </c>
      <c r="H9" s="99">
        <f>G9+'7'!H9</f>
        <v>98505</v>
      </c>
      <c r="I9" s="124">
        <f>I7-J7</f>
        <v>-7713.25</v>
      </c>
      <c r="J9" s="175">
        <f>H9/DAY(B2)</f>
        <v>12313.125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'7'!F10</f>
        <v>588953</v>
      </c>
      <c r="F10" s="117">
        <v>595732</v>
      </c>
      <c r="G10" s="112">
        <f t="shared" ref="G10:G12" si="0">F10-E10</f>
        <v>6779</v>
      </c>
      <c r="H10" s="99">
        <f>G10+'7'!H10</f>
        <v>54906</v>
      </c>
      <c r="I10" s="282"/>
      <c r="J10" s="175">
        <f>H10/DAY(B2)</f>
        <v>6863.25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18705</v>
      </c>
      <c r="H13" s="99">
        <f>G13+'7'!H13</f>
        <v>133945.74999999988</v>
      </c>
      <c r="I13" s="120">
        <f>G7-G13</f>
        <v>527</v>
      </c>
      <c r="J13" s="175">
        <f>H13/DAY(B2)</f>
        <v>16743.218749999985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'7'!F15</f>
        <v>1884767</v>
      </c>
      <c r="F15" s="123">
        <v>1885692</v>
      </c>
      <c r="G15" s="112">
        <f>(F15-E15)</f>
        <v>925</v>
      </c>
      <c r="H15" s="99">
        <f>G15+'7'!H15</f>
        <v>7262</v>
      </c>
      <c r="I15" s="113">
        <f>'1'!I15</f>
        <v>800</v>
      </c>
      <c r="J15" s="175">
        <f>H15/DAY(B2)</f>
        <v>907.75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-107.75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'7'!F18</f>
        <v>16</v>
      </c>
      <c r="F18" s="122">
        <v>16</v>
      </c>
      <c r="G18" s="119">
        <f>F18*10</f>
        <v>160</v>
      </c>
      <c r="H18" s="99">
        <f>G18+'7'!H18</f>
        <v>1030</v>
      </c>
      <c r="I18" s="113">
        <f>'1'!I18</f>
        <v>65</v>
      </c>
      <c r="J18" s="175">
        <f>H18/DAY(B2)</f>
        <v>128.75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'7'!F19</f>
        <v>152589</v>
      </c>
      <c r="F19" s="122">
        <v>152640</v>
      </c>
      <c r="G19" s="112">
        <f t="shared" ref="G19" si="1">F19-E19</f>
        <v>51</v>
      </c>
      <c r="H19" s="99">
        <f>G19+'7'!H19</f>
        <v>415</v>
      </c>
      <c r="I19" s="335"/>
      <c r="J19" s="175">
        <f>H19/DAY(B2)</f>
        <v>51.875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211</v>
      </c>
      <c r="H20" s="99">
        <f>G20+'7'!H20</f>
        <v>1445</v>
      </c>
      <c r="I20" s="336">
        <f>I18-J20</f>
        <v>-115.625</v>
      </c>
      <c r="J20" s="175">
        <f>H20/DAY(B2)</f>
        <v>180.625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19647</v>
      </c>
      <c r="F27" s="136">
        <v>9</v>
      </c>
      <c r="G27" s="137">
        <f>E27*F27</f>
        <v>176823</v>
      </c>
      <c r="H27" s="99">
        <f>G27+'7'!H27</f>
        <v>1449369</v>
      </c>
      <c r="I27" s="138"/>
      <c r="J27" s="175">
        <f>H27/DAY(B2)</f>
        <v>181171.125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925</v>
      </c>
      <c r="F28" s="136">
        <v>52</v>
      </c>
      <c r="G28" s="137">
        <f>E28*F28</f>
        <v>48100</v>
      </c>
      <c r="H28" s="99">
        <f>G28+'7'!H28</f>
        <v>377624</v>
      </c>
      <c r="I28" s="140"/>
      <c r="J28" s="175">
        <f>H28/DAY(B2)</f>
        <v>47203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G30+'7'!H30</f>
        <v>60590</v>
      </c>
      <c r="I30" s="140"/>
      <c r="J30" s="175">
        <f>H30/DAY(B2)</f>
        <v>7573.75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G31+'7'!H31</f>
        <v>82400</v>
      </c>
      <c r="I31" s="140"/>
      <c r="J31" s="175">
        <f>H31/DAY(B2)</f>
        <v>10300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245169</v>
      </c>
      <c r="H32" s="99">
        <f>G32+'7'!H32</f>
        <v>1969983</v>
      </c>
      <c r="I32" s="144"/>
      <c r="J32" s="175">
        <f>H32/DAY(B2)</f>
        <v>246247.875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'7'!F35</f>
        <v>166246</v>
      </c>
      <c r="F35" s="145">
        <v>168042</v>
      </c>
      <c r="G35" s="112">
        <f t="shared" ref="G35:G46" si="3">F35-E35</f>
        <v>1796</v>
      </c>
      <c r="H35" s="99">
        <f>G35+'7'!H35</f>
        <v>15200</v>
      </c>
      <c r="I35" s="95"/>
      <c r="J35" s="175">
        <f>H35/DAY(B2)</f>
        <v>1900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'7'!F36</f>
        <v>27229</v>
      </c>
      <c r="F36" s="145">
        <v>27971</v>
      </c>
      <c r="G36" s="112">
        <f t="shared" si="3"/>
        <v>742</v>
      </c>
      <c r="H36" s="99">
        <f>G36+'7'!H36</f>
        <v>6444</v>
      </c>
      <c r="I36" s="95"/>
      <c r="J36" s="175">
        <f>H36/DAY(B2)</f>
        <v>805.5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'7'!F37</f>
        <v>206071</v>
      </c>
      <c r="F37" s="145">
        <v>207605</v>
      </c>
      <c r="G37" s="112">
        <f t="shared" si="3"/>
        <v>1534</v>
      </c>
      <c r="H37" s="99">
        <f>G37+'7'!H37</f>
        <v>12212</v>
      </c>
      <c r="I37" s="95"/>
      <c r="J37" s="175">
        <f>H37/DAY(B2)</f>
        <v>1526.5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'7'!F38</f>
        <v>243967</v>
      </c>
      <c r="F38" s="108">
        <v>245682</v>
      </c>
      <c r="G38" s="112">
        <f t="shared" si="3"/>
        <v>1715</v>
      </c>
      <c r="H38" s="99">
        <f>G38+'7'!H38</f>
        <v>13200</v>
      </c>
      <c r="I38" s="95"/>
      <c r="J38" s="175">
        <f>H38/DAY(B2)</f>
        <v>1650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'7'!F39</f>
        <v>430076</v>
      </c>
      <c r="F39" s="145">
        <v>432761</v>
      </c>
      <c r="G39" s="112">
        <f t="shared" si="3"/>
        <v>2685</v>
      </c>
      <c r="H39" s="99">
        <f>G39+'7'!H39</f>
        <v>21682</v>
      </c>
      <c r="I39" s="95"/>
      <c r="J39" s="175">
        <f>H39/DAY(B2)</f>
        <v>2710.25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'7'!F40</f>
        <v>7301</v>
      </c>
      <c r="F40" s="145">
        <v>7863</v>
      </c>
      <c r="G40" s="112">
        <f t="shared" si="3"/>
        <v>562</v>
      </c>
      <c r="H40" s="99">
        <f>G40+'7'!H40</f>
        <v>2253</v>
      </c>
      <c r="I40" s="95"/>
      <c r="J40" s="175">
        <f>H40/DAY(B2)</f>
        <v>281.625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'7'!F41</f>
        <v>0</v>
      </c>
      <c r="F41" s="145">
        <v>0</v>
      </c>
      <c r="G41" s="112">
        <f t="shared" si="3"/>
        <v>0</v>
      </c>
      <c r="H41" s="99">
        <f>G41+'7'!H41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'7'!F42</f>
        <v>73808.600000000006</v>
      </c>
      <c r="F42" s="145">
        <v>73808.600000000006</v>
      </c>
      <c r="G42" s="112">
        <f t="shared" si="3"/>
        <v>0</v>
      </c>
      <c r="H42" s="99">
        <f>G42+'7'!H42</f>
        <v>-0.39999999999417923</v>
      </c>
      <c r="I42" s="95"/>
      <c r="J42" s="175">
        <f>H42/DAY(B2)</f>
        <v>-4.9999999999272404E-2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'7'!F43</f>
        <v>64212</v>
      </c>
      <c r="F43" s="145">
        <v>66382</v>
      </c>
      <c r="G43" s="112">
        <f t="shared" si="3"/>
        <v>2170</v>
      </c>
      <c r="H43" s="99">
        <f>G43+'7'!H43</f>
        <v>19121</v>
      </c>
      <c r="I43" s="95"/>
      <c r="J43" s="175">
        <f>H43/DAY(B2)</f>
        <v>2390.125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11204</v>
      </c>
      <c r="H47" s="99">
        <f>G47+'7'!H47</f>
        <v>90111.6</v>
      </c>
      <c r="I47" s="95"/>
      <c r="J47" s="175">
        <f>H47/DAY(B2)</f>
        <v>11263.95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'7'!F49</f>
        <v>283741</v>
      </c>
      <c r="F49" s="145">
        <v>285361</v>
      </c>
      <c r="G49" s="112">
        <f t="shared" ref="G49:G58" si="4">F49-E49</f>
        <v>1620</v>
      </c>
      <c r="H49" s="99">
        <f>G49+'7'!H49</f>
        <v>13121</v>
      </c>
      <c r="I49" s="95"/>
      <c r="J49" s="175">
        <f>H49/DAY(B2)</f>
        <v>1640.125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'7'!F50</f>
        <v>32102</v>
      </c>
      <c r="F50" s="145">
        <v>33076</v>
      </c>
      <c r="G50" s="112">
        <f t="shared" si="4"/>
        <v>974</v>
      </c>
      <c r="H50" s="99">
        <f>G50+'7'!H50</f>
        <v>8426</v>
      </c>
      <c r="I50" s="95"/>
      <c r="J50" s="175">
        <f>H50/DAY(B2)</f>
        <v>1053.25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'7'!F54</f>
        <v>1599</v>
      </c>
      <c r="F54" s="145">
        <v>2065</v>
      </c>
      <c r="G54" s="112">
        <f t="shared" si="4"/>
        <v>466</v>
      </c>
      <c r="H54" s="99">
        <f>G54+'7'!H54</f>
        <v>2079.08</v>
      </c>
      <c r="I54" s="95"/>
      <c r="J54" s="175">
        <f>H54/DAY(B2)</f>
        <v>259.88499999999999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'7'!F55</f>
        <v>25279</v>
      </c>
      <c r="F55" s="145">
        <v>28469</v>
      </c>
      <c r="G55" s="112">
        <f t="shared" si="4"/>
        <v>3190</v>
      </c>
      <c r="H55" s="99">
        <f>G55+'7'!H55</f>
        <v>24958</v>
      </c>
      <c r="I55" s="95"/>
      <c r="J55" s="175">
        <f>H55/DAY(B2)</f>
        <v>3119.75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'7'!F56</f>
        <v>8610.5400000000009</v>
      </c>
      <c r="F56" s="145">
        <v>8610.5400000000009</v>
      </c>
      <c r="G56" s="112">
        <f t="shared" si="4"/>
        <v>0</v>
      </c>
      <c r="H56" s="99">
        <f>G56+'7'!H56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'7'!F58</f>
        <v>653</v>
      </c>
      <c r="F58" s="145">
        <v>834</v>
      </c>
      <c r="G58" s="112">
        <f t="shared" si="4"/>
        <v>181</v>
      </c>
      <c r="H58" s="99">
        <f>G58+'7'!H58</f>
        <v>1174.6300000000047</v>
      </c>
      <c r="I58" s="95"/>
      <c r="J58" s="175">
        <f>H58/DAY(B2)</f>
        <v>146.82875000000058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6431</v>
      </c>
      <c r="H59" s="99">
        <f>G59+'7'!H59</f>
        <v>49758.710000000006</v>
      </c>
      <c r="I59" s="95">
        <f>G7-G60</f>
        <v>1597</v>
      </c>
      <c r="J59" s="175">
        <f>H59/DAY(B2)</f>
        <v>6219.8387500000008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17635</v>
      </c>
      <c r="H60" s="99">
        <f>G60+'7'!H60</f>
        <v>139870.31</v>
      </c>
      <c r="I60" s="95">
        <f>G13-G60</f>
        <v>1070</v>
      </c>
      <c r="J60" s="175">
        <f>H60/DAY(B2)</f>
        <v>17483.78875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'7'!F62</f>
        <v>267567</v>
      </c>
      <c r="F62" s="122">
        <v>267670</v>
      </c>
      <c r="G62" s="112">
        <f t="shared" ref="G62:G63" si="5">F62-E62</f>
        <v>103</v>
      </c>
      <c r="H62" s="99">
        <f>G62+'7'!H62</f>
        <v>457</v>
      </c>
      <c r="I62" s="118"/>
      <c r="J62" s="175">
        <f>H62/DAY(B2)</f>
        <v>57.125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'7'!F63</f>
        <v>213218</v>
      </c>
      <c r="F63" s="122">
        <v>213330</v>
      </c>
      <c r="G63" s="112">
        <f t="shared" si="5"/>
        <v>112</v>
      </c>
      <c r="H63" s="99">
        <f>G63+'7'!H63</f>
        <v>905</v>
      </c>
      <c r="I63" s="118"/>
      <c r="J63" s="175">
        <f>H63/DAY(B2)</f>
        <v>113.125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'7'!F64</f>
        <v>0</v>
      </c>
      <c r="F64" s="122"/>
      <c r="G64" s="112">
        <f>G62+G63</f>
        <v>215</v>
      </c>
      <c r="H64" s="99">
        <f>G64+'7'!H64</f>
        <v>1362</v>
      </c>
      <c r="I64" s="118"/>
      <c r="J64" s="175">
        <f>H64/DAY(B2)</f>
        <v>170.25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'7'!F65</f>
        <v>433115</v>
      </c>
      <c r="F65" s="122">
        <v>433207</v>
      </c>
      <c r="G65" s="112">
        <f t="shared" ref="G65:G70" si="6">F65-E65</f>
        <v>92</v>
      </c>
      <c r="H65" s="99">
        <f>G65+'7'!H65</f>
        <v>593</v>
      </c>
      <c r="I65" s="118"/>
      <c r="J65" s="175">
        <f>H65/DAY(B2)</f>
        <v>74.125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'7'!F66</f>
        <v>107359</v>
      </c>
      <c r="F66" s="122">
        <v>107379</v>
      </c>
      <c r="G66" s="112">
        <f t="shared" si="6"/>
        <v>20</v>
      </c>
      <c r="H66" s="99">
        <f>G66+'7'!H66</f>
        <v>165</v>
      </c>
      <c r="I66" s="118"/>
      <c r="J66" s="175">
        <f>H66/DAY(B2)</f>
        <v>20.625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'7'!F67</f>
        <v>104120</v>
      </c>
      <c r="F67" s="122">
        <v>104141</v>
      </c>
      <c r="G67" s="112">
        <f t="shared" si="6"/>
        <v>21</v>
      </c>
      <c r="H67" s="99">
        <f>G67+'7'!H67</f>
        <v>213</v>
      </c>
      <c r="I67" s="118"/>
      <c r="J67" s="175">
        <f>H67/DAY(B2)</f>
        <v>26.625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'7'!F68</f>
        <v>156796</v>
      </c>
      <c r="F68" s="122">
        <v>156826</v>
      </c>
      <c r="G68" s="112">
        <f t="shared" si="6"/>
        <v>30</v>
      </c>
      <c r="H68" s="99">
        <f>G68+'7'!H68</f>
        <v>206</v>
      </c>
      <c r="I68" s="118"/>
      <c r="J68" s="175">
        <f>H68/DAY(B2)</f>
        <v>25.75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'7'!F69</f>
        <v>10305</v>
      </c>
      <c r="F69" s="122">
        <v>10311</v>
      </c>
      <c r="G69" s="112">
        <f t="shared" si="6"/>
        <v>6</v>
      </c>
      <c r="H69" s="99">
        <f>G69+'7'!H69</f>
        <v>97</v>
      </c>
      <c r="I69" s="118"/>
      <c r="J69" s="175">
        <f>H69/DAY(B2)</f>
        <v>12.125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'7'!F70</f>
        <v>7921</v>
      </c>
      <c r="F70" s="122">
        <v>7929</v>
      </c>
      <c r="G70" s="112">
        <f t="shared" si="6"/>
        <v>8</v>
      </c>
      <c r="H70" s="99">
        <f>G70+'7'!H70</f>
        <v>67</v>
      </c>
      <c r="I70" s="118"/>
      <c r="J70" s="175">
        <f>H70/DAY(B2)</f>
        <v>8.375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177</v>
      </c>
      <c r="H71" s="99">
        <f>G71+'7'!H71</f>
        <v>1341</v>
      </c>
      <c r="I71" s="154"/>
      <c r="J71" s="175">
        <f>H71/DAY(B2)</f>
        <v>167.625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'7'!F74</f>
        <v>894004</v>
      </c>
      <c r="F74" s="123">
        <v>894310</v>
      </c>
      <c r="G74" s="112">
        <f t="shared" ref="G74:G78" si="7">F74-E74</f>
        <v>306</v>
      </c>
      <c r="H74" s="99">
        <f>G74+'7'!H74</f>
        <v>2278</v>
      </c>
      <c r="I74" s="154"/>
      <c r="J74" s="175">
        <f>H74/DAY(B2)</f>
        <v>284.75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'7'!F76</f>
        <v>167841</v>
      </c>
      <c r="F76" s="123">
        <v>167928</v>
      </c>
      <c r="G76" s="112">
        <f t="shared" si="7"/>
        <v>87</v>
      </c>
      <c r="H76" s="99">
        <f>G76+'7'!H76</f>
        <v>721</v>
      </c>
      <c r="I76" s="154"/>
      <c r="J76" s="175">
        <f>H76/DAY(B2)</f>
        <v>90.125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'7'!F77</f>
        <v>40570</v>
      </c>
      <c r="F77" s="123">
        <v>40594</v>
      </c>
      <c r="G77" s="112">
        <f t="shared" si="7"/>
        <v>24</v>
      </c>
      <c r="H77" s="99">
        <f>G77+'7'!H77</f>
        <v>278</v>
      </c>
      <c r="I77" s="154"/>
      <c r="J77" s="175">
        <f>H77/DAY(B2)</f>
        <v>34.75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'7'!F78</f>
        <v>9493</v>
      </c>
      <c r="F78" s="123">
        <v>9493</v>
      </c>
      <c r="G78" s="112">
        <f t="shared" si="7"/>
        <v>0</v>
      </c>
      <c r="H78" s="99">
        <f>G78+'7'!H78</f>
        <v>7</v>
      </c>
      <c r="I78" s="118"/>
      <c r="J78" s="175">
        <f>H78/DAY(B2)</f>
        <v>0.875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'7'!F79</f>
        <v>0</v>
      </c>
      <c r="F79" s="117"/>
      <c r="G79" s="112">
        <f>G15-SUM(G74:G78)</f>
        <v>508</v>
      </c>
      <c r="H79" s="99">
        <f>G79+'7'!H79</f>
        <v>3978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925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'7'!F85</f>
        <v>2096.56</v>
      </c>
      <c r="F85" s="164">
        <v>2096.56</v>
      </c>
      <c r="G85" s="112">
        <f t="shared" si="8"/>
        <v>0</v>
      </c>
      <c r="H85" s="99">
        <f>G85+'7'!H85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'7'!F86</f>
        <v>43031.92</v>
      </c>
      <c r="F86" s="164">
        <v>43056</v>
      </c>
      <c r="G86" s="112">
        <f t="shared" si="8"/>
        <v>24.080000000001746</v>
      </c>
      <c r="H86" s="99">
        <f>G86+'7'!H86</f>
        <v>193</v>
      </c>
      <c r="I86" s="118"/>
      <c r="J86" s="175">
        <f>H86/DAY(B2)</f>
        <v>24.125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'7'!F87</f>
        <v>34598.550000000003</v>
      </c>
      <c r="F87" s="164">
        <v>34598.550000000003</v>
      </c>
      <c r="G87" s="112">
        <f t="shared" si="8"/>
        <v>0</v>
      </c>
      <c r="H87" s="99">
        <f>G87+'7'!H87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'7'!F88</f>
        <v>24058</v>
      </c>
      <c r="F88" s="164">
        <v>24058</v>
      </c>
      <c r="G88" s="112">
        <f t="shared" si="8"/>
        <v>0</v>
      </c>
      <c r="H88" s="99">
        <f>G88+'7'!H88</f>
        <v>11</v>
      </c>
      <c r="I88" s="118">
        <f>G86+G87+G88</f>
        <v>24.080000000001746</v>
      </c>
      <c r="J88" s="175">
        <f>H88/DAY(B2)</f>
        <v>1.375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'7'!F89</f>
        <v>25705</v>
      </c>
      <c r="F89" s="164">
        <v>25714</v>
      </c>
      <c r="G89" s="112">
        <f t="shared" si="8"/>
        <v>9</v>
      </c>
      <c r="H89" s="99">
        <f>G89+'7'!H89</f>
        <v>51</v>
      </c>
      <c r="I89" s="118"/>
      <c r="J89" s="175">
        <f>H89/DAY(B2)</f>
        <v>6.375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'7'!F90</f>
        <v>71068</v>
      </c>
      <c r="F90" s="164">
        <v>71072</v>
      </c>
      <c r="G90" s="112">
        <f t="shared" si="8"/>
        <v>4</v>
      </c>
      <c r="H90" s="99">
        <f>G90+'7'!H90</f>
        <v>38</v>
      </c>
      <c r="I90" s="118">
        <f>G89+G90</f>
        <v>13</v>
      </c>
      <c r="J90" s="175">
        <f>H90/DAY(B2)</f>
        <v>4.75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'7'!F92</f>
        <v>5507.34</v>
      </c>
      <c r="F92" s="122">
        <v>5518</v>
      </c>
      <c r="G92" s="112">
        <f t="shared" si="8"/>
        <v>10.659999999999854</v>
      </c>
      <c r="H92" s="99">
        <f>G92+'7'!H92</f>
        <v>80</v>
      </c>
      <c r="I92" s="165"/>
      <c r="J92" s="175">
        <f>H92/DAY(B2)</f>
        <v>10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5586</v>
      </c>
      <c r="H94" s="99">
        <f>G94+'7'!H94</f>
        <v>47442</v>
      </c>
      <c r="I94" s="118"/>
      <c r="J94" s="175">
        <f>H94/DAY(B2)</f>
        <v>5930.25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0.29045341098169719</v>
      </c>
      <c r="H95" s="99">
        <f>G95+'7'!H95</f>
        <v>2.4072851460348144</v>
      </c>
      <c r="I95" s="167"/>
      <c r="J95" s="175">
        <f>H95/DAY(B2)</f>
        <v>0.3009106432543518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3190</v>
      </c>
      <c r="H96" s="99">
        <f>G96+'7'!H96</f>
        <v>24957.600000000006</v>
      </c>
      <c r="I96" s="118"/>
      <c r="J96" s="175">
        <f>H96/DAY(B2)</f>
        <v>3119.7000000000007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0.16586938435940099</v>
      </c>
      <c r="H97" s="99">
        <f>G97+'7'!H97</f>
        <v>1.2665572133531355</v>
      </c>
      <c r="I97" s="167"/>
      <c r="J97" s="175">
        <f>H97/DAY(B2)</f>
        <v>0.15831965166914194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2685</v>
      </c>
      <c r="H98" s="99">
        <f>G98+'7'!H98</f>
        <v>21682</v>
      </c>
      <c r="I98" s="168"/>
      <c r="J98" s="175">
        <f>H98/DAY(B2)</f>
        <v>2710.25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0.13961106489184691</v>
      </c>
      <c r="H99" s="99">
        <f>G99+'7'!H99</f>
        <v>1.1002859888221697</v>
      </c>
      <c r="I99" s="168"/>
      <c r="J99" s="175">
        <f>H99/DAY(B2)</f>
        <v>0.13753574860277121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1715</v>
      </c>
      <c r="H100" s="99">
        <f>G100+'7'!H100</f>
        <v>13200</v>
      </c>
      <c r="I100" s="118"/>
      <c r="J100" s="175">
        <f>H100/DAY(B2)</f>
        <v>1650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8.9174292845257908E-2</v>
      </c>
      <c r="H101" s="99">
        <f>G101+'7'!H101</f>
        <v>0.66951290234508531</v>
      </c>
      <c r="I101" s="168"/>
      <c r="J101" s="175">
        <f>H101/DAY(B2)</f>
        <v>8.3689112793135664E-2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1716</v>
      </c>
      <c r="H102" s="99">
        <f>G102+'7'!H102</f>
        <v>14870</v>
      </c>
      <c r="I102" s="168"/>
      <c r="J102" s="175">
        <f>H102/DAY(B2)</f>
        <v>1858.75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8.9226289517470886E-2</v>
      </c>
      <c r="H103" s="99">
        <f>G103+'7'!H103</f>
        <v>0.75383500034591477</v>
      </c>
      <c r="I103" s="118"/>
      <c r="J103" s="175">
        <f>H103/DAY(B2)</f>
        <v>9.4229375043239347E-2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1534</v>
      </c>
      <c r="H104" s="99">
        <f>G104+'7'!H104</f>
        <v>12212</v>
      </c>
      <c r="I104" s="118"/>
      <c r="J104" s="175">
        <f>H104/DAY(B2)</f>
        <v>1526.5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7.9762895174708817E-2</v>
      </c>
      <c r="H105" s="99">
        <f>G105+'7'!H105</f>
        <v>0.619650560907823</v>
      </c>
      <c r="I105" s="187"/>
      <c r="J105" s="188">
        <f>H105/DAY(B2)</f>
        <v>7.7456320113477875E-2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'7'!F112</f>
        <v>56196</v>
      </c>
      <c r="F112" s="237">
        <v>56274</v>
      </c>
      <c r="G112" s="112">
        <f t="shared" ref="G112:G123" si="9">F112-E112</f>
        <v>78</v>
      </c>
      <c r="H112" s="99">
        <f>G112+'7'!H112</f>
        <v>593</v>
      </c>
      <c r="I112" s="165"/>
      <c r="J112" s="328">
        <f>H112/DAY(B2)</f>
        <v>74.125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'7'!F113</f>
        <v>35351</v>
      </c>
      <c r="F113" s="237">
        <v>35802</v>
      </c>
      <c r="G113" s="112">
        <f t="shared" si="9"/>
        <v>451</v>
      </c>
      <c r="H113" s="99">
        <f>G113+'7'!H113</f>
        <v>3607</v>
      </c>
      <c r="I113" s="165"/>
      <c r="J113" s="328">
        <f>H113/DAY(B2)</f>
        <v>450.875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'7'!F114</f>
        <v>26732</v>
      </c>
      <c r="F114" s="237">
        <v>26995</v>
      </c>
      <c r="G114" s="112">
        <f t="shared" si="9"/>
        <v>263</v>
      </c>
      <c r="H114" s="99">
        <f>G114+'7'!H114</f>
        <v>2124</v>
      </c>
      <c r="I114" s="165"/>
      <c r="J114" s="328">
        <f>H114/DAY(B2)</f>
        <v>265.5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'7'!F115</f>
        <v>8860</v>
      </c>
      <c r="F115" s="237">
        <v>8871</v>
      </c>
      <c r="G115" s="112">
        <f t="shared" si="9"/>
        <v>11</v>
      </c>
      <c r="H115" s="99">
        <f>G115+'7'!H115</f>
        <v>86</v>
      </c>
      <c r="I115" s="165"/>
      <c r="J115" s="328">
        <f>H115/DAY(B2)</f>
        <v>10.75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'7'!F117</f>
        <v>2778</v>
      </c>
      <c r="F117" s="237">
        <v>2800</v>
      </c>
      <c r="G117" s="112">
        <f t="shared" si="9"/>
        <v>22</v>
      </c>
      <c r="H117" s="99">
        <f>G117+'7'!H117</f>
        <v>210</v>
      </c>
      <c r="I117" s="165"/>
      <c r="J117" s="328">
        <f>H117/DAY(B2)</f>
        <v>26.25</v>
      </c>
      <c r="Q117" s="843" t="s">
        <v>312</v>
      </c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'7'!F118</f>
        <v>244525</v>
      </c>
      <c r="F118" s="237">
        <v>244610</v>
      </c>
      <c r="G118" s="112">
        <f t="shared" si="9"/>
        <v>85</v>
      </c>
      <c r="H118" s="99">
        <f>G118+'7'!H118</f>
        <v>2963</v>
      </c>
      <c r="I118" s="165"/>
      <c r="J118" s="328">
        <f>H118/DAY(B2)</f>
        <v>370.375</v>
      </c>
      <c r="Q118" s="843" t="s">
        <v>311</v>
      </c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'7'!F119</f>
        <v>248153</v>
      </c>
      <c r="F119" s="237">
        <v>248606</v>
      </c>
      <c r="G119" s="112">
        <f t="shared" si="9"/>
        <v>453</v>
      </c>
      <c r="H119" s="99">
        <f>G119+'7'!H119</f>
        <v>3480</v>
      </c>
      <c r="I119" s="165"/>
      <c r="J119" s="328">
        <f>H119/DAY(B2)</f>
        <v>435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'7'!F120</f>
        <v>33031</v>
      </c>
      <c r="F120" s="237">
        <v>33445</v>
      </c>
      <c r="G120" s="112">
        <f t="shared" si="9"/>
        <v>414</v>
      </c>
      <c r="H120" s="99">
        <f>G120+'7'!H120</f>
        <v>3367</v>
      </c>
      <c r="I120" s="165"/>
      <c r="J120" s="328">
        <f>H120/DAY(B2)</f>
        <v>420.875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'7'!F121</f>
        <v>381818</v>
      </c>
      <c r="F121" s="237">
        <v>382527</v>
      </c>
      <c r="G121" s="112">
        <f t="shared" si="9"/>
        <v>709</v>
      </c>
      <c r="H121" s="99">
        <f>G121+'7'!H121</f>
        <v>5998</v>
      </c>
      <c r="I121" s="165"/>
      <c r="J121" s="328">
        <f>H121/DAY(B2)</f>
        <v>749.75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'7'!F122</f>
        <v>121682</v>
      </c>
      <c r="F122" s="237">
        <v>121898</v>
      </c>
      <c r="G122" s="112">
        <f t="shared" si="9"/>
        <v>216</v>
      </c>
      <c r="H122" s="99">
        <f>G122+'7'!H122</f>
        <v>1848</v>
      </c>
      <c r="I122" s="165"/>
      <c r="J122" s="328">
        <f>H122/DAY(B2)</f>
        <v>231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'7'!F123</f>
        <v>147418</v>
      </c>
      <c r="F123" s="237">
        <v>147737</v>
      </c>
      <c r="G123" s="112">
        <f t="shared" si="9"/>
        <v>319</v>
      </c>
      <c r="H123" s="99">
        <f>G123+'7'!H123</f>
        <v>2612</v>
      </c>
      <c r="I123" s="165"/>
      <c r="J123" s="328">
        <f>H123/DAY(B2)</f>
        <v>326.5</v>
      </c>
    </row>
    <row r="124" spans="1:18" ht="29.25" customHeight="1">
      <c r="A124" s="847"/>
      <c r="B124" s="848"/>
      <c r="C124" s="849"/>
      <c r="D124" s="165"/>
      <c r="E124" s="165"/>
      <c r="F124" s="165"/>
      <c r="G124" s="327"/>
      <c r="H124" s="156"/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3021</v>
      </c>
      <c r="H125" s="156"/>
      <c r="I125" s="327">
        <f>G125-(G39+G53)</f>
        <v>336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'7'!F128</f>
        <v>40344</v>
      </c>
      <c r="F128" s="165">
        <v>40658</v>
      </c>
      <c r="G128" s="112">
        <f t="shared" ref="G128:G134" si="10">F128-E128</f>
        <v>314</v>
      </c>
      <c r="H128" s="99">
        <f>G128+'7'!H128</f>
        <v>2654</v>
      </c>
      <c r="I128" s="165"/>
      <c r="J128" s="328">
        <f>H128/DAY(B2)</f>
        <v>331.75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'7'!F129</f>
        <v>21860</v>
      </c>
      <c r="F129" s="165">
        <v>22071</v>
      </c>
      <c r="G129" s="112">
        <f t="shared" si="10"/>
        <v>211</v>
      </c>
      <c r="H129" s="99">
        <f>G129+'7'!H129</f>
        <v>1750</v>
      </c>
      <c r="I129" s="165"/>
      <c r="J129" s="328">
        <f>H129/DAY(B2)</f>
        <v>218.75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'7'!F130</f>
        <v>23167</v>
      </c>
      <c r="F130" s="165">
        <v>23805</v>
      </c>
      <c r="G130" s="112">
        <f t="shared" si="10"/>
        <v>638</v>
      </c>
      <c r="H130" s="99">
        <f>G130+'7'!H130</f>
        <v>5423</v>
      </c>
      <c r="I130" s="165"/>
      <c r="J130" s="328">
        <f>H130/DAY(B2)</f>
        <v>677.875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'7'!F131</f>
        <v>13703</v>
      </c>
      <c r="F131" s="165">
        <v>13770</v>
      </c>
      <c r="G131" s="112">
        <f t="shared" si="10"/>
        <v>67</v>
      </c>
      <c r="H131" s="99">
        <f>G131+'7'!H131</f>
        <v>617</v>
      </c>
      <c r="I131" s="165"/>
      <c r="J131" s="328">
        <f>H131/DAY(B2)</f>
        <v>77.125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'7'!F132</f>
        <v>44223</v>
      </c>
      <c r="F132" s="165">
        <v>44731</v>
      </c>
      <c r="G132" s="112">
        <f t="shared" si="10"/>
        <v>508</v>
      </c>
      <c r="H132" s="99">
        <f>G132+'7'!H132</f>
        <v>3708</v>
      </c>
      <c r="I132" s="165"/>
      <c r="J132" s="328">
        <f>H132/DAY(B2)</f>
        <v>463.5</v>
      </c>
    </row>
    <row r="133" spans="1:15" ht="27.75">
      <c r="A133" s="843" t="s">
        <v>323</v>
      </c>
      <c r="B133" s="844"/>
      <c r="C133" s="845"/>
      <c r="D133" s="151" t="s">
        <v>183</v>
      </c>
      <c r="E133" s="95">
        <f>'7'!F133</f>
        <v>93462</v>
      </c>
      <c r="F133" s="165">
        <v>94229</v>
      </c>
      <c r="G133" s="112">
        <f t="shared" si="10"/>
        <v>767</v>
      </c>
      <c r="H133" s="99">
        <f>G133+'7'!H133</f>
        <v>6526</v>
      </c>
      <c r="I133" s="165"/>
      <c r="J133" s="328">
        <f>H133/DAY(B2)</f>
        <v>815.75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'7'!F134</f>
        <v>673370</v>
      </c>
      <c r="F134" s="165">
        <v>673983</v>
      </c>
      <c r="G134" s="112">
        <f t="shared" si="10"/>
        <v>613</v>
      </c>
      <c r="H134" s="99">
        <f>G134+'7'!H134</f>
        <v>5103</v>
      </c>
      <c r="I134" s="165"/>
      <c r="J134" s="328">
        <f>H134/DAY(B2)</f>
        <v>637.875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3118</v>
      </c>
      <c r="H135" s="99">
        <f>G135+'7'!H135</f>
        <v>25781</v>
      </c>
      <c r="I135" s="327">
        <f>G135-(G35+G49)</f>
        <v>-298</v>
      </c>
      <c r="J135" s="328" t="e">
        <f t="shared" ref="J135" si="11">H135/DAY(B54)</f>
        <v>#DIV/0!</v>
      </c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'7'!F138</f>
        <v>864673</v>
      </c>
      <c r="F138" s="147">
        <v>864737</v>
      </c>
      <c r="G138" s="112">
        <f t="shared" ref="G138:G152" si="12">F138-E138</f>
        <v>64</v>
      </c>
      <c r="H138" s="99">
        <f>G138+'7'!H138</f>
        <v>566</v>
      </c>
      <c r="I138" s="118"/>
      <c r="J138" s="328">
        <f>H138/DAY(B2)</f>
        <v>70.75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'7'!F139</f>
        <v>886549</v>
      </c>
      <c r="F139" s="148">
        <v>886549</v>
      </c>
      <c r="G139" s="112">
        <f t="shared" si="12"/>
        <v>0</v>
      </c>
      <c r="H139" s="99">
        <f>G139+'7'!H139</f>
        <v>3</v>
      </c>
      <c r="I139" s="118"/>
      <c r="J139" s="328">
        <f>H139/DAY(B2)</f>
        <v>0.375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'7'!F140</f>
        <v>88898</v>
      </c>
      <c r="F140" s="149">
        <v>88898</v>
      </c>
      <c r="G140" s="112">
        <f t="shared" si="12"/>
        <v>0</v>
      </c>
      <c r="H140" s="99">
        <f>G140+'7'!H140</f>
        <v>16</v>
      </c>
      <c r="I140" s="118"/>
      <c r="J140" s="328">
        <f>H140/DAY(B2)</f>
        <v>2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'7'!F141</f>
        <v>50542</v>
      </c>
      <c r="F141" s="149">
        <v>50714</v>
      </c>
      <c r="G141" s="112">
        <f t="shared" si="12"/>
        <v>172</v>
      </c>
      <c r="H141" s="99">
        <f>G141+'7'!H141</f>
        <v>1408</v>
      </c>
      <c r="I141" s="118"/>
      <c r="J141" s="328">
        <f>H141/DAY(B2)</f>
        <v>176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'7'!F142</f>
        <v>19503</v>
      </c>
      <c r="F142" s="700">
        <v>19567</v>
      </c>
      <c r="G142" s="112">
        <f t="shared" si="12"/>
        <v>64</v>
      </c>
      <c r="H142" s="99">
        <f>G142+'7'!H142</f>
        <v>558</v>
      </c>
      <c r="I142" s="140"/>
      <c r="J142" s="328">
        <f>H142/DAY(B2)</f>
        <v>69.75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'7'!F143</f>
        <v>3220</v>
      </c>
      <c r="F143" s="149">
        <v>3248</v>
      </c>
      <c r="G143" s="112">
        <f t="shared" si="12"/>
        <v>28</v>
      </c>
      <c r="H143" s="99">
        <f>G143+'7'!H143</f>
        <v>187</v>
      </c>
      <c r="I143" s="140"/>
      <c r="J143" s="328">
        <f>H143/DAY(B2)</f>
        <v>23.375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'7'!F144</f>
        <v>871244</v>
      </c>
      <c r="F144" s="149">
        <v>871484</v>
      </c>
      <c r="G144" s="112">
        <f t="shared" si="12"/>
        <v>240</v>
      </c>
      <c r="H144" s="99">
        <f>G144+'7'!H144</f>
        <v>1814</v>
      </c>
      <c r="I144" s="140"/>
      <c r="J144" s="328">
        <f>H144/DAY(B2)</f>
        <v>226.75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'7'!F145</f>
        <v>4676</v>
      </c>
      <c r="F145" s="149">
        <v>4694</v>
      </c>
      <c r="G145" s="112">
        <f t="shared" si="12"/>
        <v>18</v>
      </c>
      <c r="H145" s="99">
        <f>G145+'7'!H145</f>
        <v>136</v>
      </c>
      <c r="I145" s="140"/>
      <c r="J145" s="328">
        <f>H145/DAY(B2)</f>
        <v>17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'7'!F146</f>
        <v>728026</v>
      </c>
      <c r="F146" s="148">
        <v>728434</v>
      </c>
      <c r="G146" s="112">
        <f t="shared" si="12"/>
        <v>408</v>
      </c>
      <c r="H146" s="99">
        <f>G146+'7'!H146</f>
        <v>3576</v>
      </c>
      <c r="I146" s="140"/>
      <c r="J146" s="328">
        <f>H146/DAY(B2)</f>
        <v>447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'7'!F147</f>
        <v>618086</v>
      </c>
      <c r="F147" s="148">
        <v>618444</v>
      </c>
      <c r="G147" s="112">
        <f t="shared" si="12"/>
        <v>358</v>
      </c>
      <c r="H147" s="99">
        <f>G147+'7'!H147</f>
        <v>3162</v>
      </c>
      <c r="I147" s="140"/>
      <c r="J147" s="328">
        <f>H147/DAY(B2)</f>
        <v>395.25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'7'!F148</f>
        <v>684937</v>
      </c>
      <c r="F148" s="150">
        <v>685202</v>
      </c>
      <c r="G148" s="112">
        <f t="shared" si="12"/>
        <v>265</v>
      </c>
      <c r="H148" s="99">
        <f>G148+'7'!H148</f>
        <v>2168.8800000000047</v>
      </c>
      <c r="I148" s="124"/>
      <c r="J148" s="328">
        <f>H148/DAY(B2)</f>
        <v>271.11000000000058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'7'!F149</f>
        <v>13601</v>
      </c>
      <c r="F149" s="146">
        <v>14107</v>
      </c>
      <c r="G149" s="112">
        <f t="shared" si="12"/>
        <v>506</v>
      </c>
      <c r="H149" s="99">
        <f>G149+'7'!H149</f>
        <v>3358</v>
      </c>
      <c r="I149" s="119"/>
      <c r="J149" s="328">
        <f>H149/DAY(B2)</f>
        <v>419.75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'7'!F150</f>
        <v>5593</v>
      </c>
      <c r="F150" s="233">
        <v>5811</v>
      </c>
      <c r="G150" s="112">
        <f t="shared" si="12"/>
        <v>218</v>
      </c>
      <c r="H150" s="99">
        <f>G150+'7'!H150</f>
        <v>1759</v>
      </c>
      <c r="I150" s="119"/>
      <c r="J150" s="328">
        <f>H150/DAY(B2)</f>
        <v>219.875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'7'!F151</f>
        <v>79961</v>
      </c>
      <c r="F151" s="233">
        <v>80192</v>
      </c>
      <c r="G151" s="112">
        <f t="shared" si="12"/>
        <v>231</v>
      </c>
      <c r="H151" s="99">
        <f>G151+'7'!H151</f>
        <v>1975</v>
      </c>
      <c r="I151" s="119"/>
      <c r="J151" s="328">
        <f>H151/DAY(B2)</f>
        <v>246.875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'7'!F152</f>
        <v>1269</v>
      </c>
      <c r="F152" s="233">
        <v>1289</v>
      </c>
      <c r="G152" s="112">
        <f t="shared" si="12"/>
        <v>20</v>
      </c>
      <c r="H152" s="99">
        <f>G152+'7'!H152</f>
        <v>162</v>
      </c>
      <c r="I152" s="119"/>
      <c r="J152" s="328">
        <f>H152/DAY(B2)</f>
        <v>20.25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2592</v>
      </c>
      <c r="H153" s="363"/>
      <c r="I153" s="119">
        <f>G153-(G38+G52)</f>
        <v>877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'7'!F155</f>
        <v>17300</v>
      </c>
      <c r="F155" s="374">
        <v>17939</v>
      </c>
      <c r="G155" s="112">
        <f t="shared" ref="G155:G156" si="13">F155-E155</f>
        <v>639</v>
      </c>
      <c r="H155" s="99">
        <f>G155+'7'!H155</f>
        <v>4467</v>
      </c>
      <c r="I155" s="364"/>
      <c r="J155" s="328">
        <f>H155/DAY(B2)</f>
        <v>558.375</v>
      </c>
    </row>
    <row r="156" spans="1:10" ht="27.75">
      <c r="A156" s="823" t="s">
        <v>346</v>
      </c>
      <c r="B156" s="823"/>
      <c r="C156" s="823"/>
      <c r="D156" s="117" t="s">
        <v>130</v>
      </c>
      <c r="E156" s="95">
        <f>'7'!F156</f>
        <v>1410</v>
      </c>
      <c r="F156" s="155">
        <v>1459</v>
      </c>
      <c r="G156" s="112">
        <f t="shared" si="13"/>
        <v>49</v>
      </c>
      <c r="H156" s="99">
        <f>G156+'7'!H156</f>
        <v>371</v>
      </c>
      <c r="I156" s="165"/>
      <c r="J156" s="328">
        <f>H156/DAY(B2)</f>
        <v>46.375</v>
      </c>
    </row>
    <row r="157" spans="1:10" ht="27.75">
      <c r="A157" s="824" t="s">
        <v>364</v>
      </c>
      <c r="B157" s="825"/>
      <c r="C157" s="82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>
      <c r="A158" s="824" t="s">
        <v>365</v>
      </c>
      <c r="B158" s="825"/>
      <c r="C158" s="82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>
      <c r="A159" s="907"/>
      <c r="B159" s="908"/>
      <c r="C159" s="909"/>
      <c r="D159" s="117"/>
      <c r="E159" s="95"/>
      <c r="F159" s="15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'7'!F161</f>
        <v>471219</v>
      </c>
      <c r="F161" s="235">
        <v>471225</v>
      </c>
      <c r="G161" s="238">
        <f t="shared" ref="G161:G165" si="14">F161-E161</f>
        <v>6</v>
      </c>
      <c r="H161" s="99">
        <f>G161+'7'!H161</f>
        <v>71.840000000025611</v>
      </c>
      <c r="I161" s="236"/>
      <c r="J161" s="239">
        <f>H161/DAY(B2)</f>
        <v>8.9800000000032014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'7'!F162</f>
        <v>87752</v>
      </c>
      <c r="F162" s="235">
        <v>87773</v>
      </c>
      <c r="G162" s="238">
        <f t="shared" si="14"/>
        <v>21</v>
      </c>
      <c r="H162" s="99">
        <f>G162+'7'!H162</f>
        <v>203</v>
      </c>
      <c r="I162" s="236"/>
      <c r="J162" s="239">
        <f>H162/DAY(B2)</f>
        <v>25.375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'7'!F163</f>
        <v>78129</v>
      </c>
      <c r="F163" s="235">
        <v>78155</v>
      </c>
      <c r="G163" s="238">
        <f t="shared" si="14"/>
        <v>26</v>
      </c>
      <c r="H163" s="99">
        <f>G163+'7'!H163</f>
        <v>330</v>
      </c>
      <c r="I163" s="236"/>
      <c r="J163" s="239">
        <f>H163/DAY(B2)</f>
        <v>41.25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'7'!F164</f>
        <v>4253</v>
      </c>
      <c r="F164" s="235">
        <v>4255</v>
      </c>
      <c r="G164" s="238">
        <f t="shared" si="14"/>
        <v>2</v>
      </c>
      <c r="H164" s="99">
        <f>G164+'7'!H164</f>
        <v>13</v>
      </c>
      <c r="I164" s="236"/>
      <c r="J164" s="239">
        <f>H164/DAY(B2)</f>
        <v>1.625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'7'!F165</f>
        <v>29691</v>
      </c>
      <c r="F165" s="503">
        <v>29697</v>
      </c>
      <c r="G165" s="238">
        <f t="shared" si="14"/>
        <v>6</v>
      </c>
      <c r="H165" s="99">
        <f>G165+'7'!H165</f>
        <v>51</v>
      </c>
      <c r="I165" s="236"/>
      <c r="J165" s="239">
        <f>H165/DAY(B2)</f>
        <v>6.375</v>
      </c>
    </row>
    <row r="166" spans="1:10" ht="29.25">
      <c r="A166" s="832"/>
      <c r="B166" s="832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'7'!F174</f>
        <v>38358</v>
      </c>
      <c r="F174" s="157">
        <v>38370</v>
      </c>
      <c r="G174" s="155">
        <f t="shared" ref="G174:G175" si="15">F174-E174</f>
        <v>12</v>
      </c>
      <c r="H174" s="99">
        <f>G174+'7'!H174</f>
        <v>77</v>
      </c>
      <c r="I174" s="155"/>
      <c r="J174" s="178">
        <f>H174/DAY(B2)</f>
        <v>9.625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'7'!F175</f>
        <v>21587</v>
      </c>
      <c r="F175" s="155">
        <v>21596</v>
      </c>
      <c r="G175" s="155">
        <f t="shared" si="15"/>
        <v>9</v>
      </c>
      <c r="H175" s="99">
        <f>G175+'7'!H175</f>
        <v>78</v>
      </c>
      <c r="I175" s="155"/>
      <c r="J175" s="178">
        <f>H175/DAY(B2)</f>
        <v>9.75</v>
      </c>
    </row>
    <row r="176" spans="1:10" ht="27.75">
      <c r="A176" s="827" t="s">
        <v>196</v>
      </c>
      <c r="B176" s="828"/>
      <c r="C176" s="333"/>
      <c r="D176" s="228" t="s">
        <v>142</v>
      </c>
      <c r="E176" s="95"/>
      <c r="F176" s="155"/>
      <c r="G176" s="155">
        <f>SUM(G173:G175)</f>
        <v>21</v>
      </c>
      <c r="H176" s="99">
        <f>G176+'7'!H176</f>
        <v>155</v>
      </c>
      <c r="I176" s="155"/>
      <c r="J176" s="178">
        <f>H176/DAY(B2)</f>
        <v>19.375</v>
      </c>
    </row>
    <row r="177" spans="1:10" ht="27.75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'7'!F178</f>
        <v>80108</v>
      </c>
      <c r="F178" s="155">
        <v>80168</v>
      </c>
      <c r="G178" s="155">
        <f>F178-E178</f>
        <v>60</v>
      </c>
      <c r="H178" s="99">
        <f>G178+'7'!H178</f>
        <v>554</v>
      </c>
      <c r="I178" s="155"/>
      <c r="J178" s="178">
        <f>H178/DAY(B2)</f>
        <v>69.25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'7'!F179</f>
        <v>34038</v>
      </c>
      <c r="F179" s="155">
        <v>34052</v>
      </c>
      <c r="G179" s="155">
        <f t="shared" ref="G179:G180" si="16">F179-E179</f>
        <v>14</v>
      </c>
      <c r="H179" s="99">
        <f>G179+'7'!H179</f>
        <v>137</v>
      </c>
      <c r="I179" s="155"/>
      <c r="J179" s="178">
        <f>H179/DAY(B2)</f>
        <v>17.125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'7'!F180</f>
        <v>5528</v>
      </c>
      <c r="F180" s="155">
        <v>5543</v>
      </c>
      <c r="G180" s="155">
        <f t="shared" si="16"/>
        <v>15</v>
      </c>
      <c r="H180" s="99">
        <f>G180+'7'!H180</f>
        <v>66</v>
      </c>
      <c r="I180" s="155"/>
      <c r="J180" s="178">
        <f>H180/DAY(B2)</f>
        <v>8.25</v>
      </c>
    </row>
    <row r="181" spans="1:10" ht="27.75">
      <c r="A181" s="838" t="s">
        <v>108</v>
      </c>
      <c r="B181" s="839"/>
      <c r="C181" s="333"/>
      <c r="D181" s="228" t="s">
        <v>142</v>
      </c>
      <c r="E181" s="95"/>
      <c r="F181" s="155"/>
      <c r="G181" s="155">
        <f>SUM(G178:G180)</f>
        <v>89</v>
      </c>
      <c r="H181" s="99">
        <f>G181+'7'!H181</f>
        <v>757</v>
      </c>
      <c r="I181" s="155"/>
      <c r="J181" s="178">
        <f>H181/DAY(B2)</f>
        <v>94.625</v>
      </c>
    </row>
    <row r="182" spans="1:10" ht="27.75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'7'!F183</f>
        <v>15055</v>
      </c>
      <c r="F183" s="157">
        <v>15064</v>
      </c>
      <c r="G183" s="157">
        <f>F183-E183</f>
        <v>9</v>
      </c>
      <c r="H183" s="99">
        <f>G183+'7'!H183</f>
        <v>117</v>
      </c>
      <c r="I183" s="155"/>
      <c r="J183" s="178">
        <f>H183/DAY(B2)</f>
        <v>14.625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'7'!F184</f>
        <v>10349</v>
      </c>
      <c r="F184" s="157">
        <v>10356</v>
      </c>
      <c r="G184" s="157">
        <f t="shared" ref="G184:G185" si="17">F184-E184</f>
        <v>7</v>
      </c>
      <c r="H184" s="99">
        <f>G184+'7'!H184</f>
        <v>55</v>
      </c>
      <c r="I184" s="155"/>
      <c r="J184" s="178">
        <f>H184/DAY(B2)</f>
        <v>6.875</v>
      </c>
    </row>
    <row r="185" spans="1:10" ht="27.75">
      <c r="A185" s="836" t="s">
        <v>216</v>
      </c>
      <c r="B185" s="837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827" t="s">
        <v>196</v>
      </c>
      <c r="B186" s="828"/>
      <c r="C186" s="334"/>
      <c r="D186" s="228" t="s">
        <v>142</v>
      </c>
      <c r="E186" s="95"/>
      <c r="F186" s="157"/>
      <c r="G186" s="157">
        <f>SUM(G183:G185)</f>
        <v>16</v>
      </c>
      <c r="H186" s="99">
        <f>G186+'7'!H186</f>
        <v>172</v>
      </c>
      <c r="I186" s="157"/>
      <c r="J186" s="178">
        <f>H186/DAY(B2)</f>
        <v>21.5</v>
      </c>
    </row>
    <row r="187" spans="1:10" ht="27.75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154</v>
      </c>
      <c r="H187" s="99">
        <f>G187+'7'!H187</f>
        <v>872</v>
      </c>
      <c r="I187" s="158"/>
      <c r="J187" s="179">
        <f>H187/DAY(B2)</f>
        <v>109</v>
      </c>
    </row>
    <row r="188" spans="1:10" ht="27.75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147</v>
      </c>
      <c r="H188" s="99">
        <f>G188+'7'!H188</f>
        <v>1135</v>
      </c>
      <c r="I188" s="158"/>
      <c r="J188" s="179">
        <f>H188/DAY(B2)</f>
        <v>141.875</v>
      </c>
    </row>
    <row r="189" spans="1:10" ht="27.75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89</v>
      </c>
      <c r="H189" s="99">
        <f>G189+'7'!H189</f>
        <v>757</v>
      </c>
      <c r="I189" s="158"/>
      <c r="J189" s="179">
        <f>H189/DAY(B2)</f>
        <v>94.625</v>
      </c>
    </row>
    <row r="190" spans="1:10" ht="27.75">
      <c r="A190" s="750"/>
      <c r="B190" s="751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29.25"/>
    <row r="194" ht="20.25" customHeight="1"/>
    <row r="195" ht="20.25" customHeight="1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10" zoomScale="55" zoomScaleNormal="80" zoomScaleSheetLayoutView="55" workbookViewId="0">
      <selection activeCell="F23" sqref="F2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361</v>
      </c>
      <c r="B2" s="262">
        <v>44570</v>
      </c>
      <c r="C2" s="34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23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'8'!F7</f>
        <v>252267</v>
      </c>
      <c r="F7" s="95">
        <v>269978</v>
      </c>
      <c r="G7" s="112">
        <f>F7-E7</f>
        <v>17711</v>
      </c>
      <c r="H7" s="99">
        <f>G7+'8'!H7</f>
        <v>175417</v>
      </c>
      <c r="I7" s="113">
        <f>'1'!I7</f>
        <v>12000</v>
      </c>
      <c r="J7" s="175">
        <f>H7/DAY(B2)</f>
        <v>19490.777777777777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'8'!F8</f>
        <v>301926</v>
      </c>
      <c r="F8" s="95">
        <v>319937</v>
      </c>
      <c r="G8" s="115">
        <f>F8-E8</f>
        <v>18011</v>
      </c>
      <c r="H8" s="99">
        <f>G8+'8'!H8</f>
        <v>179052</v>
      </c>
      <c r="I8" s="116"/>
      <c r="J8" s="175">
        <f>H8/DAY(B2)</f>
        <v>19894.666666666668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v>0</v>
      </c>
      <c r="F9" s="353">
        <v>11657</v>
      </c>
      <c r="G9" s="112">
        <f>F9-E9</f>
        <v>11657</v>
      </c>
      <c r="H9" s="99">
        <f>G9+'8'!H9</f>
        <v>110162</v>
      </c>
      <c r="I9" s="124">
        <f>I7-J7</f>
        <v>-7490.7777777777774</v>
      </c>
      <c r="J9" s="175">
        <f>H9/DAY(B2)</f>
        <v>12240.222222222223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v>0</v>
      </c>
      <c r="F10" s="117">
        <v>5534</v>
      </c>
      <c r="G10" s="112">
        <f t="shared" ref="G10:G12" si="0">F10-E10</f>
        <v>5534</v>
      </c>
      <c r="H10" s="99">
        <f>G10+'8'!H10</f>
        <v>60440</v>
      </c>
      <c r="I10" s="282"/>
      <c r="J10" s="175">
        <f>H10/DAY(B2)</f>
        <v>6715.5555555555557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17191</v>
      </c>
      <c r="H13" s="99">
        <f>G13+'8'!H13</f>
        <v>151136.74999999988</v>
      </c>
      <c r="I13" s="120">
        <f>G7-G13</f>
        <v>520</v>
      </c>
      <c r="J13" s="175">
        <f>H13/DAY(B2)</f>
        <v>16792.972222222208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'8'!F15</f>
        <v>1885692</v>
      </c>
      <c r="F15" s="601">
        <v>1886599</v>
      </c>
      <c r="G15" s="112">
        <f>(F15-E15)</f>
        <v>907</v>
      </c>
      <c r="H15" s="99">
        <f>G15+'8'!H15</f>
        <v>8169</v>
      </c>
      <c r="I15" s="113">
        <f>'1'!I15</f>
        <v>800</v>
      </c>
      <c r="J15" s="175">
        <f>H15/DAY(B2)</f>
        <v>907.66666666666663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-107.66666666666663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'8'!F18</f>
        <v>16</v>
      </c>
      <c r="F18" s="122">
        <v>15</v>
      </c>
      <c r="G18" s="119">
        <f>F18*10</f>
        <v>150</v>
      </c>
      <c r="H18" s="99">
        <f>G18+'8'!H18</f>
        <v>1180</v>
      </c>
      <c r="I18" s="113">
        <f>'1'!I18</f>
        <v>65</v>
      </c>
      <c r="J18" s="175">
        <f>H18/DAY(B2)</f>
        <v>131.11111111111111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'8'!F19</f>
        <v>152640</v>
      </c>
      <c r="F19" s="122">
        <v>152695</v>
      </c>
      <c r="G19" s="112">
        <f t="shared" ref="G19" si="1">F19-E19</f>
        <v>55</v>
      </c>
      <c r="H19" s="99">
        <f>G19+'8'!H19</f>
        <v>470</v>
      </c>
      <c r="I19" s="335"/>
      <c r="J19" s="175">
        <f>H19/DAY(B2)</f>
        <v>52.222222222222221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205</v>
      </c>
      <c r="H20" s="99">
        <f>G20+'8'!H20</f>
        <v>1650</v>
      </c>
      <c r="I20" s="336">
        <f>I18-J20</f>
        <v>-118.33333333333334</v>
      </c>
      <c r="J20" s="175">
        <f>H20/DAY(B2)</f>
        <v>183.33333333333334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18011</v>
      </c>
      <c r="F27" s="136">
        <v>9</v>
      </c>
      <c r="G27" s="137">
        <f>E27*F27</f>
        <v>162099</v>
      </c>
      <c r="H27" s="99">
        <f>G27+'8'!H27</f>
        <v>1611468</v>
      </c>
      <c r="I27" s="138"/>
      <c r="J27" s="175">
        <f>H27/DAY(B2)</f>
        <v>179052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907</v>
      </c>
      <c r="F28" s="136">
        <v>52</v>
      </c>
      <c r="G28" s="137">
        <f>E28*F28</f>
        <v>47164</v>
      </c>
      <c r="H28" s="99">
        <f>G28+'8'!H28</f>
        <v>424788</v>
      </c>
      <c r="I28" s="140"/>
      <c r="J28" s="175">
        <f>H28/DAY(B2)</f>
        <v>47198.666666666664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G30+'8'!H30</f>
        <v>68620</v>
      </c>
      <c r="I30" s="140"/>
      <c r="J30" s="175">
        <f>H30/DAY(B2)</f>
        <v>7624.4444444444443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G31+'8'!H31</f>
        <v>94400</v>
      </c>
      <c r="I31" s="140"/>
      <c r="J31" s="175">
        <f>H31/DAY(B2)</f>
        <v>10488.888888888889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229293</v>
      </c>
      <c r="H32" s="99">
        <f>G32+'8'!H32</f>
        <v>2199276</v>
      </c>
      <c r="I32" s="144"/>
      <c r="J32" s="175">
        <f>H32/DAY(B2)</f>
        <v>244364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v>0</v>
      </c>
      <c r="F35" s="145">
        <v>1783</v>
      </c>
      <c r="G35" s="112">
        <f t="shared" ref="G35:G46" si="3">F35-E35</f>
        <v>1783</v>
      </c>
      <c r="H35" s="99">
        <f>G35+'8'!H35</f>
        <v>16983</v>
      </c>
      <c r="I35" s="95"/>
      <c r="J35" s="175">
        <f>H35/DAY(B2)</f>
        <v>1887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'8'!F36</f>
        <v>27971</v>
      </c>
      <c r="F36" s="145">
        <v>28675</v>
      </c>
      <c r="G36" s="112">
        <f t="shared" si="3"/>
        <v>704</v>
      </c>
      <c r="H36" s="99">
        <f>G36+'8'!H36</f>
        <v>7148</v>
      </c>
      <c r="I36" s="95"/>
      <c r="J36" s="175">
        <f>H36/DAY(B2)</f>
        <v>794.22222222222217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v>0</v>
      </c>
      <c r="F37" s="145">
        <v>1472</v>
      </c>
      <c r="G37" s="112">
        <f t="shared" si="3"/>
        <v>1472</v>
      </c>
      <c r="H37" s="99">
        <f>G37+'8'!H37</f>
        <v>13684</v>
      </c>
      <c r="I37" s="95"/>
      <c r="J37" s="175">
        <f>H37/DAY(B2)</f>
        <v>1520.4444444444443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v>0</v>
      </c>
      <c r="F38" s="108">
        <v>1658</v>
      </c>
      <c r="G38" s="112">
        <f t="shared" si="3"/>
        <v>1658</v>
      </c>
      <c r="H38" s="99">
        <f>G38+'8'!H38</f>
        <v>14858</v>
      </c>
      <c r="I38" s="95"/>
      <c r="J38" s="175">
        <f>H38/DAY(B2)</f>
        <v>1650.8888888888889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v>0</v>
      </c>
      <c r="F39" s="145">
        <v>2610</v>
      </c>
      <c r="G39" s="112">
        <f t="shared" si="3"/>
        <v>2610</v>
      </c>
      <c r="H39" s="99">
        <f>G39+'8'!H39</f>
        <v>24292</v>
      </c>
      <c r="I39" s="95"/>
      <c r="J39" s="175">
        <f>H39/DAY(B2)</f>
        <v>2699.1111111111113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'8'!F40</f>
        <v>7863</v>
      </c>
      <c r="F40" s="145">
        <v>8483</v>
      </c>
      <c r="G40" s="112">
        <f t="shared" si="3"/>
        <v>620</v>
      </c>
      <c r="H40" s="99">
        <f>G40+'8'!H40</f>
        <v>2873</v>
      </c>
      <c r="I40" s="95"/>
      <c r="J40" s="175">
        <f>H40/DAY(B2)</f>
        <v>319.22222222222223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'8'!F41</f>
        <v>0</v>
      </c>
      <c r="F41" s="145">
        <v>0</v>
      </c>
      <c r="G41" s="112">
        <f t="shared" si="3"/>
        <v>0</v>
      </c>
      <c r="H41" s="99">
        <f>G41+'8'!H41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'8'!F42</f>
        <v>73808.600000000006</v>
      </c>
      <c r="F42" s="145">
        <v>73808.600000000006</v>
      </c>
      <c r="G42" s="112">
        <f t="shared" si="3"/>
        <v>0</v>
      </c>
      <c r="H42" s="99">
        <f>G42+'8'!H42</f>
        <v>-0.39999999999417923</v>
      </c>
      <c r="I42" s="95"/>
      <c r="J42" s="175">
        <f>H42/DAY(B2)</f>
        <v>-4.4444444443797693E-2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'8'!F43</f>
        <v>66382</v>
      </c>
      <c r="F43" s="145">
        <v>68533</v>
      </c>
      <c r="G43" s="112">
        <f t="shared" si="3"/>
        <v>2151</v>
      </c>
      <c r="H43" s="99">
        <f>G43+'8'!H43</f>
        <v>21272</v>
      </c>
      <c r="I43" s="95"/>
      <c r="J43" s="175">
        <f>H43/DAY(B2)</f>
        <v>2363.5555555555557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10998</v>
      </c>
      <c r="H47" s="99">
        <f>G47+'8'!H47</f>
        <v>101109.6</v>
      </c>
      <c r="I47" s="95"/>
      <c r="J47" s="175">
        <f>H47/DAY(B2)</f>
        <v>11234.400000000001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v>0</v>
      </c>
      <c r="F49" s="145">
        <v>1306</v>
      </c>
      <c r="G49" s="112">
        <f t="shared" ref="G49:G58" si="4">F49-E49</f>
        <v>1306</v>
      </c>
      <c r="H49" s="99">
        <f>G49+'8'!H49</f>
        <v>14427</v>
      </c>
      <c r="I49" s="95"/>
      <c r="J49" s="175">
        <f>H49/DAY(B2)</f>
        <v>1603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'8'!F50</f>
        <v>33076</v>
      </c>
      <c r="F50" s="145">
        <v>34045</v>
      </c>
      <c r="G50" s="112">
        <f t="shared" si="4"/>
        <v>969</v>
      </c>
      <c r="H50" s="99">
        <f>G50+'8'!H50</f>
        <v>9395</v>
      </c>
      <c r="I50" s="95"/>
      <c r="J50" s="175">
        <f>H50/DAY(B2)</f>
        <v>1043.8888888888889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v>312</v>
      </c>
      <c r="F54" s="145">
        <v>783</v>
      </c>
      <c r="G54" s="112">
        <f t="shared" si="4"/>
        <v>471</v>
      </c>
      <c r="H54" s="99">
        <f>G54+'8'!H54</f>
        <v>2550.08</v>
      </c>
      <c r="I54" s="95"/>
      <c r="J54" s="175">
        <f>H54/DAY(B2)</f>
        <v>283.34222222222223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'8'!F55</f>
        <v>28469</v>
      </c>
      <c r="F55" s="145">
        <v>31231</v>
      </c>
      <c r="G55" s="112">
        <f t="shared" si="4"/>
        <v>2762</v>
      </c>
      <c r="H55" s="99">
        <f>G55+'8'!H55</f>
        <v>27720</v>
      </c>
      <c r="I55" s="95"/>
      <c r="J55" s="175">
        <f>H55/DAY(B2)</f>
        <v>3080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'8'!F56</f>
        <v>8610.5400000000009</v>
      </c>
      <c r="F56" s="145">
        <v>8611</v>
      </c>
      <c r="G56" s="112">
        <f t="shared" si="4"/>
        <v>0.45999999999912689</v>
      </c>
      <c r="H56" s="99">
        <f>G56+'8'!H56</f>
        <v>0.45999999999912689</v>
      </c>
      <c r="I56" s="95"/>
      <c r="J56" s="175">
        <f>H56/DAY(B2)</f>
        <v>5.1111111111014101E-2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'8'!F58</f>
        <v>834</v>
      </c>
      <c r="F58" s="145">
        <v>1018</v>
      </c>
      <c r="G58" s="112">
        <f t="shared" si="4"/>
        <v>184</v>
      </c>
      <c r="H58" s="99">
        <f>G58+'8'!H58</f>
        <v>1358.6300000000047</v>
      </c>
      <c r="I58" s="95"/>
      <c r="J58" s="175">
        <f>H58/DAY(B2)</f>
        <v>150.95888888888942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5692.4599999999991</v>
      </c>
      <c r="H59" s="99">
        <f>G59+'8'!H59</f>
        <v>55451.170000000006</v>
      </c>
      <c r="I59" s="95">
        <f>G7-G60</f>
        <v>1020.5400000000009</v>
      </c>
      <c r="J59" s="175">
        <f>H59/DAY(B2)</f>
        <v>6161.2411111111114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16690.46</v>
      </c>
      <c r="H60" s="99">
        <f>G60+'8'!H60</f>
        <v>156560.76999999999</v>
      </c>
      <c r="I60" s="95">
        <f>G13-G60</f>
        <v>500.54000000000087</v>
      </c>
      <c r="J60" s="175">
        <f>H60/DAY(B2)</f>
        <v>17395.641111111108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'8'!F62</f>
        <v>267670</v>
      </c>
      <c r="F62" s="122">
        <v>267750</v>
      </c>
      <c r="G62" s="112">
        <f t="shared" ref="G62:G63" si="5">F62-E62</f>
        <v>80</v>
      </c>
      <c r="H62" s="99">
        <f>G62+'8'!H62</f>
        <v>537</v>
      </c>
      <c r="I62" s="118"/>
      <c r="J62" s="175">
        <f>H62/DAY(B2)</f>
        <v>59.666666666666664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'8'!F63</f>
        <v>213330</v>
      </c>
      <c r="F63" s="122">
        <v>213397</v>
      </c>
      <c r="G63" s="112">
        <f t="shared" si="5"/>
        <v>67</v>
      </c>
      <c r="H63" s="99">
        <f>G63+'8'!H63</f>
        <v>972</v>
      </c>
      <c r="I63" s="118"/>
      <c r="J63" s="175">
        <f>H63/DAY(B2)</f>
        <v>108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'8'!F64</f>
        <v>0</v>
      </c>
      <c r="F64" s="122"/>
      <c r="G64" s="112">
        <f>G62+G63</f>
        <v>147</v>
      </c>
      <c r="H64" s="99">
        <f>G64+'8'!H64</f>
        <v>1509</v>
      </c>
      <c r="I64" s="118"/>
      <c r="J64" s="175">
        <f>H64/DAY(B2)</f>
        <v>167.66666666666666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'8'!F65</f>
        <v>433207</v>
      </c>
      <c r="F65" s="122">
        <v>433285</v>
      </c>
      <c r="G65" s="112">
        <f t="shared" ref="G65:G70" si="6">F65-E65</f>
        <v>78</v>
      </c>
      <c r="H65" s="99">
        <f>G65+'8'!H65</f>
        <v>671</v>
      </c>
      <c r="I65" s="118"/>
      <c r="J65" s="175">
        <f>H65/DAY(B2)</f>
        <v>74.555555555555557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'8'!F66</f>
        <v>107379</v>
      </c>
      <c r="F66" s="122">
        <v>107396</v>
      </c>
      <c r="G66" s="112">
        <f t="shared" si="6"/>
        <v>17</v>
      </c>
      <c r="H66" s="99">
        <f>G66+'8'!H66</f>
        <v>182</v>
      </c>
      <c r="I66" s="118"/>
      <c r="J66" s="175">
        <f>H66/DAY(B2)</f>
        <v>20.222222222222221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'8'!F67</f>
        <v>104141</v>
      </c>
      <c r="F67" s="122">
        <v>104165</v>
      </c>
      <c r="G67" s="112">
        <f t="shared" si="6"/>
        <v>24</v>
      </c>
      <c r="H67" s="99">
        <f>G67+'8'!H67</f>
        <v>237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'8'!F68</f>
        <v>156826</v>
      </c>
      <c r="F68" s="122">
        <v>156853</v>
      </c>
      <c r="G68" s="112">
        <f t="shared" si="6"/>
        <v>27</v>
      </c>
      <c r="H68" s="99">
        <f>G68+'8'!H68</f>
        <v>233</v>
      </c>
      <c r="I68" s="118"/>
      <c r="J68" s="175">
        <f>H68/DAY(B2)</f>
        <v>25.888888888888889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'8'!F69</f>
        <v>10311</v>
      </c>
      <c r="F69" s="122">
        <v>10318</v>
      </c>
      <c r="G69" s="112">
        <f t="shared" si="6"/>
        <v>7</v>
      </c>
      <c r="H69" s="99">
        <f>G69+'8'!H69</f>
        <v>104</v>
      </c>
      <c r="I69" s="118"/>
      <c r="J69" s="175">
        <f>H69/DAY(B2)</f>
        <v>11.555555555555555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'8'!F70</f>
        <v>7929</v>
      </c>
      <c r="F70" s="122">
        <v>7943</v>
      </c>
      <c r="G70" s="112">
        <f t="shared" si="6"/>
        <v>14</v>
      </c>
      <c r="H70" s="99">
        <f>G70+'8'!H70</f>
        <v>81</v>
      </c>
      <c r="I70" s="118"/>
      <c r="J70" s="175">
        <f>H70/DAY(B2)</f>
        <v>9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167</v>
      </c>
      <c r="H71" s="99">
        <f>G71+'8'!H71</f>
        <v>1508</v>
      </c>
      <c r="I71" s="154"/>
      <c r="J71" s="175">
        <f>H71/DAY(B2)</f>
        <v>167.55555555555554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'8'!F74</f>
        <v>894310</v>
      </c>
      <c r="F74" s="117">
        <v>894615</v>
      </c>
      <c r="G74" s="112">
        <f t="shared" ref="G74:G78" si="7">F74-E74</f>
        <v>305</v>
      </c>
      <c r="H74" s="99">
        <f>G74+'8'!H74</f>
        <v>2583</v>
      </c>
      <c r="I74" s="154"/>
      <c r="J74" s="175">
        <f>H74/DAY(B2)</f>
        <v>287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'8'!F76</f>
        <v>167928</v>
      </c>
      <c r="F76" s="123">
        <v>168004</v>
      </c>
      <c r="G76" s="112">
        <f t="shared" si="7"/>
        <v>76</v>
      </c>
      <c r="H76" s="99">
        <f>G76+'8'!H76</f>
        <v>797</v>
      </c>
      <c r="I76" s="154"/>
      <c r="J76" s="175">
        <f>H76/DAY(B2)</f>
        <v>88.555555555555557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'8'!F77</f>
        <v>40594</v>
      </c>
      <c r="F77" s="123">
        <v>40618</v>
      </c>
      <c r="G77" s="112">
        <f t="shared" si="7"/>
        <v>24</v>
      </c>
      <c r="H77" s="99">
        <f>G77+'8'!H77</f>
        <v>302</v>
      </c>
      <c r="I77" s="154"/>
      <c r="J77" s="175">
        <f>H77/DAY(B2)</f>
        <v>33.555555555555557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'8'!F78</f>
        <v>9493</v>
      </c>
      <c r="F78" s="123">
        <v>9493</v>
      </c>
      <c r="G78" s="112">
        <f t="shared" si="7"/>
        <v>0</v>
      </c>
      <c r="H78" s="99">
        <f>G78+'8'!H78</f>
        <v>7</v>
      </c>
      <c r="I78" s="118"/>
      <c r="J78" s="175">
        <f>H78/DAY(B2)</f>
        <v>0.77777777777777779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'8'!F79</f>
        <v>0</v>
      </c>
      <c r="F79" s="117"/>
      <c r="G79" s="112">
        <f>G15-SUM(G74:G78)</f>
        <v>501.80000000000291</v>
      </c>
      <c r="H79" s="99">
        <f>G79+'8'!H79</f>
        <v>4479.8000000000029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907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'8'!F85</f>
        <v>2096.56</v>
      </c>
      <c r="F85" s="164">
        <v>2096.56</v>
      </c>
      <c r="G85" s="112">
        <f t="shared" si="8"/>
        <v>0</v>
      </c>
      <c r="H85" s="99">
        <f>G85+'8'!H85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'8'!F86</f>
        <v>43056</v>
      </c>
      <c r="F86" s="164">
        <v>43080</v>
      </c>
      <c r="G86" s="112">
        <f t="shared" si="8"/>
        <v>24</v>
      </c>
      <c r="H86" s="99">
        <f>G86+'8'!H86</f>
        <v>217</v>
      </c>
      <c r="I86" s="118"/>
      <c r="J86" s="175">
        <f>H86/DAY(B2)</f>
        <v>24.111111111111111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'8'!F87</f>
        <v>34598.550000000003</v>
      </c>
      <c r="F87" s="164">
        <v>34598.550000000003</v>
      </c>
      <c r="G87" s="112">
        <f t="shared" si="8"/>
        <v>0</v>
      </c>
      <c r="H87" s="99">
        <f>G87+'8'!H87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'8'!F88</f>
        <v>24058</v>
      </c>
      <c r="F88" s="164">
        <v>24058</v>
      </c>
      <c r="G88" s="112">
        <f t="shared" si="8"/>
        <v>0</v>
      </c>
      <c r="H88" s="99">
        <f>G88+'8'!H88</f>
        <v>11</v>
      </c>
      <c r="I88" s="118">
        <f>G86+G87+G88</f>
        <v>24</v>
      </c>
      <c r="J88" s="175">
        <f>H88/DAY(B2)</f>
        <v>1.2222222222222223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'8'!F89</f>
        <v>25714</v>
      </c>
      <c r="F89" s="164">
        <v>25723</v>
      </c>
      <c r="G89" s="112">
        <f t="shared" si="8"/>
        <v>9</v>
      </c>
      <c r="H89" s="99">
        <f>G89+'8'!H89</f>
        <v>60</v>
      </c>
      <c r="I89" s="118"/>
      <c r="J89" s="175">
        <f>H89/DAY(B2)</f>
        <v>6.666666666666667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'8'!F90</f>
        <v>71072</v>
      </c>
      <c r="F90" s="164">
        <v>71074</v>
      </c>
      <c r="G90" s="112">
        <f t="shared" si="8"/>
        <v>2</v>
      </c>
      <c r="H90" s="99">
        <f>G90+'8'!H90</f>
        <v>40</v>
      </c>
      <c r="I90" s="118">
        <f>G89+G90</f>
        <v>11</v>
      </c>
      <c r="J90" s="175">
        <f>H90/DAY(B2)</f>
        <v>4.4444444444444446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'8'!F92</f>
        <v>5518</v>
      </c>
      <c r="F92" s="122">
        <v>5529</v>
      </c>
      <c r="G92" s="112">
        <f t="shared" si="8"/>
        <v>11</v>
      </c>
      <c r="H92" s="99">
        <f>G92+'8'!H92</f>
        <v>91</v>
      </c>
      <c r="I92" s="165"/>
      <c r="J92" s="175">
        <f>H92/DAY(B2)</f>
        <v>10.111111111111111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5240</v>
      </c>
      <c r="H94" s="99">
        <f>G94+'8'!H94</f>
        <v>52682</v>
      </c>
      <c r="I94" s="118"/>
      <c r="J94" s="175">
        <f>H94/DAY(B2)</f>
        <v>5853.5555555555557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0.29586132911749757</v>
      </c>
      <c r="H95" s="99">
        <f>G95+'8'!H95</f>
        <v>2.703146475152312</v>
      </c>
      <c r="I95" s="167"/>
      <c r="J95" s="175">
        <f>H95/DAY(B2)</f>
        <v>0.30034960835025687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2762.4599999999991</v>
      </c>
      <c r="H96" s="99">
        <f>G96+'8'!H96</f>
        <v>27720.060000000005</v>
      </c>
      <c r="I96" s="118"/>
      <c r="J96" s="175">
        <f>H96/DAY(B2)</f>
        <v>3080.0066666666671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0.15597425328891645</v>
      </c>
      <c r="H97" s="99">
        <f>G97+'8'!H97</f>
        <v>1.4225314666420519</v>
      </c>
      <c r="I97" s="167"/>
      <c r="J97" s="175">
        <f>H97/DAY(B2)</f>
        <v>0.15805905184911687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2610</v>
      </c>
      <c r="H98" s="99">
        <f>G98+'8'!H98</f>
        <v>24292</v>
      </c>
      <c r="I98" s="168"/>
      <c r="J98" s="175">
        <f>H98/DAY(B2)</f>
        <v>2699.1111111111113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0.14736604370165435</v>
      </c>
      <c r="H99" s="99">
        <f>G99+'8'!H99</f>
        <v>1.2476520325238241</v>
      </c>
      <c r="I99" s="168"/>
      <c r="J99" s="175">
        <f>H99/DAY(B2)</f>
        <v>0.13862800361375824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1658</v>
      </c>
      <c r="H100" s="99">
        <f>G100+'8'!H100</f>
        <v>14858</v>
      </c>
      <c r="I100" s="118"/>
      <c r="J100" s="175">
        <f>H100/DAY(B2)</f>
        <v>1650.8888888888889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9.3614138106261652E-2</v>
      </c>
      <c r="H101" s="99">
        <f>G101+'8'!H101</f>
        <v>0.76312704045134694</v>
      </c>
      <c r="I101" s="168"/>
      <c r="J101" s="175">
        <f>H101/DAY(B2)</f>
        <v>8.4791893383482989E-2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1673</v>
      </c>
      <c r="H102" s="99">
        <f>G102+'8'!H102</f>
        <v>16543</v>
      </c>
      <c r="I102" s="168"/>
      <c r="J102" s="175">
        <f>H102/DAY(B2)</f>
        <v>1838.1111111111111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9.4461069391903338E-2</v>
      </c>
      <c r="H103" s="99">
        <f>G103+'8'!H103</f>
        <v>0.84829606973781813</v>
      </c>
      <c r="I103" s="118"/>
      <c r="J103" s="175">
        <f>H103/DAY(B2)</f>
        <v>9.425511885975757E-2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1472</v>
      </c>
      <c r="H104" s="99">
        <f>G104+'8'!H104</f>
        <v>13684</v>
      </c>
      <c r="I104" s="118"/>
      <c r="J104" s="175">
        <f>H104/DAY(B2)</f>
        <v>1520.4444444444443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8.311219016430467E-2</v>
      </c>
      <c r="H105" s="99">
        <f>G105+'8'!H105</f>
        <v>0.70276275107212771</v>
      </c>
      <c r="I105" s="187"/>
      <c r="J105" s="188">
        <f>H105/DAY(B2)</f>
        <v>7.8084750119125301E-2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'8'!F112</f>
        <v>56274</v>
      </c>
      <c r="F112" s="237">
        <v>56351</v>
      </c>
      <c r="G112" s="112">
        <f t="shared" ref="G112:G123" si="9">F112-E112</f>
        <v>77</v>
      </c>
      <c r="H112" s="99">
        <f>G112+'8'!H112</f>
        <v>670</v>
      </c>
      <c r="I112" s="165"/>
      <c r="J112" s="328">
        <f>H112/DAY(B2)</f>
        <v>74.444444444444443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'8'!F113</f>
        <v>35802</v>
      </c>
      <c r="F113" s="237">
        <v>36226</v>
      </c>
      <c r="G113" s="112">
        <f t="shared" si="9"/>
        <v>424</v>
      </c>
      <c r="H113" s="99">
        <f>G113+'8'!H113</f>
        <v>4031</v>
      </c>
      <c r="I113" s="165"/>
      <c r="J113" s="328">
        <f>H113/DAY(B2)</f>
        <v>447.88888888888891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'8'!F114</f>
        <v>26995</v>
      </c>
      <c r="F114" s="237">
        <v>27257</v>
      </c>
      <c r="G114" s="112">
        <f t="shared" si="9"/>
        <v>262</v>
      </c>
      <c r="H114" s="99">
        <f>G114+'8'!H114</f>
        <v>2386</v>
      </c>
      <c r="I114" s="165"/>
      <c r="J114" s="328">
        <f>H114/DAY(B2)</f>
        <v>265.11111111111109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'8'!F115</f>
        <v>8871</v>
      </c>
      <c r="F115" s="237">
        <v>8878</v>
      </c>
      <c r="G115" s="112">
        <f t="shared" si="9"/>
        <v>7</v>
      </c>
      <c r="H115" s="99">
        <f>G115+'8'!H115</f>
        <v>93</v>
      </c>
      <c r="I115" s="165"/>
      <c r="J115" s="328">
        <f>H115/DAY(B2)</f>
        <v>10.333333333333334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28">
        <f>H116/DAY(B2)</f>
        <v>0</v>
      </c>
      <c r="Q116" s="843"/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'8'!F117</f>
        <v>2800</v>
      </c>
      <c r="F117" s="237">
        <v>2823</v>
      </c>
      <c r="G117" s="112">
        <f t="shared" si="9"/>
        <v>23</v>
      </c>
      <c r="H117" s="99">
        <f>G117+'8'!H117</f>
        <v>233</v>
      </c>
      <c r="I117" s="165"/>
      <c r="J117" s="328">
        <f>H117/DAY(B2)</f>
        <v>25.888888888888889</v>
      </c>
      <c r="Q117" s="843"/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'8'!F118</f>
        <v>244610</v>
      </c>
      <c r="F118" s="237">
        <v>244956</v>
      </c>
      <c r="G118" s="112">
        <f t="shared" si="9"/>
        <v>346</v>
      </c>
      <c r="H118" s="99">
        <f>G118+'8'!H118</f>
        <v>3309</v>
      </c>
      <c r="I118" s="165"/>
      <c r="J118" s="328">
        <f>H118/DAY(B2)</f>
        <v>367.66666666666669</v>
      </c>
      <c r="Q118" s="843"/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'8'!F119</f>
        <v>248606</v>
      </c>
      <c r="F119" s="237">
        <v>249048</v>
      </c>
      <c r="G119" s="112">
        <f t="shared" si="9"/>
        <v>442</v>
      </c>
      <c r="H119" s="99">
        <f>G119+'8'!H119</f>
        <v>3922</v>
      </c>
      <c r="I119" s="165"/>
      <c r="J119" s="328">
        <f>H119/DAY(B2)</f>
        <v>435.77777777777777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'8'!F120</f>
        <v>33445</v>
      </c>
      <c r="F120" s="237">
        <v>33867</v>
      </c>
      <c r="G120" s="112">
        <f t="shared" si="9"/>
        <v>422</v>
      </c>
      <c r="H120" s="99">
        <f>G120+'8'!H120</f>
        <v>3789</v>
      </c>
      <c r="I120" s="165"/>
      <c r="J120" s="328">
        <f>H120/DAY(B2)</f>
        <v>421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'8'!F121</f>
        <v>382527</v>
      </c>
      <c r="F121" s="237">
        <v>383229</v>
      </c>
      <c r="G121" s="112">
        <f t="shared" si="9"/>
        <v>702</v>
      </c>
      <c r="H121" s="99">
        <f>G121+'8'!H121</f>
        <v>6700</v>
      </c>
      <c r="I121" s="165"/>
      <c r="J121" s="328">
        <f>H121/DAY(B2)</f>
        <v>744.44444444444446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'8'!F122</f>
        <v>121898</v>
      </c>
      <c r="F122" s="237">
        <v>122083</v>
      </c>
      <c r="G122" s="112">
        <f t="shared" si="9"/>
        <v>185</v>
      </c>
      <c r="H122" s="99">
        <f>G122+'8'!H122</f>
        <v>2033</v>
      </c>
      <c r="I122" s="165"/>
      <c r="J122" s="328">
        <f>H122/DAY(B2)</f>
        <v>225.88888888888889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'8'!F123</f>
        <v>147737</v>
      </c>
      <c r="F123" s="237">
        <v>148043</v>
      </c>
      <c r="G123" s="112">
        <f t="shared" si="9"/>
        <v>306</v>
      </c>
      <c r="H123" s="99">
        <f>G123+'8'!H123</f>
        <v>2918</v>
      </c>
      <c r="I123" s="165"/>
      <c r="J123" s="328">
        <f>H123/DAY(B2)</f>
        <v>324.22222222222223</v>
      </c>
    </row>
    <row r="124" spans="1:18" ht="29.25" customHeight="1">
      <c r="A124" s="847"/>
      <c r="B124" s="848"/>
      <c r="C124" s="849"/>
      <c r="D124" s="165"/>
      <c r="E124" s="165"/>
      <c r="F124" s="165"/>
      <c r="G124" s="327"/>
      <c r="H124" s="156"/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586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'8'!F128</f>
        <v>40658</v>
      </c>
      <c r="F128" s="155">
        <v>40976</v>
      </c>
      <c r="G128" s="112">
        <f t="shared" ref="G128:G134" si="10">F128-E128</f>
        <v>318</v>
      </c>
      <c r="H128" s="99">
        <f>G128+'8'!H128</f>
        <v>2972</v>
      </c>
      <c r="I128" s="165"/>
      <c r="J128" s="328">
        <f>H128/DAY(B2)</f>
        <v>330.22222222222223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'8'!F129</f>
        <v>22071</v>
      </c>
      <c r="F129" s="155">
        <v>22281</v>
      </c>
      <c r="G129" s="112">
        <f t="shared" si="10"/>
        <v>210</v>
      </c>
      <c r="H129" s="99">
        <f>G129+'8'!H129</f>
        <v>1960</v>
      </c>
      <c r="I129" s="165"/>
      <c r="J129" s="328">
        <f>H129/DAY(B2)</f>
        <v>217.77777777777777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'8'!F130</f>
        <v>23805</v>
      </c>
      <c r="F130" s="155">
        <v>24387</v>
      </c>
      <c r="G130" s="112">
        <f t="shared" si="10"/>
        <v>582</v>
      </c>
      <c r="H130" s="99">
        <f>G130+'8'!H130</f>
        <v>6005</v>
      </c>
      <c r="I130" s="165"/>
      <c r="J130" s="328">
        <f>H130/DAY(B2)</f>
        <v>667.22222222222217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'8'!F131</f>
        <v>13770</v>
      </c>
      <c r="F131" s="155">
        <v>13825</v>
      </c>
      <c r="G131" s="112">
        <f t="shared" si="10"/>
        <v>55</v>
      </c>
      <c r="H131" s="99">
        <f>G131+'8'!H131</f>
        <v>672</v>
      </c>
      <c r="I131" s="165"/>
      <c r="J131" s="328">
        <f>H131/DAY(B2)</f>
        <v>74.666666666666671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'8'!F132</f>
        <v>44731</v>
      </c>
      <c r="F132" s="155">
        <v>45241</v>
      </c>
      <c r="G132" s="112">
        <f t="shared" si="10"/>
        <v>510</v>
      </c>
      <c r="H132" s="99">
        <f>G132+'8'!H132</f>
        <v>4218</v>
      </c>
      <c r="I132" s="165"/>
      <c r="J132" s="328">
        <f>H132/DAY(B2)</f>
        <v>468.66666666666669</v>
      </c>
    </row>
    <row r="133" spans="1:15" ht="27.75">
      <c r="A133" s="843" t="s">
        <v>323</v>
      </c>
      <c r="B133" s="844"/>
      <c r="C133" s="845"/>
      <c r="D133" s="151" t="s">
        <v>183</v>
      </c>
      <c r="E133" s="95">
        <f>'8'!F133</f>
        <v>94229</v>
      </c>
      <c r="F133" s="155">
        <v>94753</v>
      </c>
      <c r="G133" s="112">
        <f t="shared" si="10"/>
        <v>524</v>
      </c>
      <c r="H133" s="99">
        <f>G133+'8'!H133</f>
        <v>7050</v>
      </c>
      <c r="I133" s="165"/>
      <c r="J133" s="328">
        <f>H133/DAY(B2)</f>
        <v>783.33333333333337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'8'!F134</f>
        <v>673983</v>
      </c>
      <c r="F134" s="155">
        <v>674585</v>
      </c>
      <c r="G134" s="112">
        <f t="shared" si="10"/>
        <v>602</v>
      </c>
      <c r="H134" s="99">
        <f>G134+'8'!H134</f>
        <v>5705</v>
      </c>
      <c r="I134" s="165"/>
      <c r="J134" s="328">
        <f>H134/DAY(B2)</f>
        <v>633.88888888888891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2801</v>
      </c>
      <c r="H135" s="99">
        <f>G135+'8'!H135</f>
        <v>28582</v>
      </c>
      <c r="I135" s="327">
        <f>G135-(G35+G49)</f>
        <v>-288</v>
      </c>
      <c r="J135" s="328">
        <f>H135/DAY(B2)</f>
        <v>3175.7777777777778</v>
      </c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'8'!F138</f>
        <v>864737</v>
      </c>
      <c r="F138" s="147">
        <v>864791</v>
      </c>
      <c r="G138" s="112">
        <f t="shared" ref="G138:G152" si="11">F138-E138</f>
        <v>54</v>
      </c>
      <c r="H138" s="99">
        <f>G138+'8'!H138</f>
        <v>620</v>
      </c>
      <c r="I138" s="118"/>
      <c r="J138" s="328">
        <f>H138/DAY(B2)</f>
        <v>68.888888888888886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'8'!F139</f>
        <v>886549</v>
      </c>
      <c r="F139" s="148">
        <v>886549</v>
      </c>
      <c r="G139" s="112">
        <f t="shared" si="11"/>
        <v>0</v>
      </c>
      <c r="H139" s="99">
        <f>G139+'8'!H139</f>
        <v>3</v>
      </c>
      <c r="I139" s="118"/>
      <c r="J139" s="328">
        <f>H139/DAY(B2)</f>
        <v>0.33333333333333331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'8'!F140</f>
        <v>88898</v>
      </c>
      <c r="F140" s="149">
        <v>88898</v>
      </c>
      <c r="G140" s="112">
        <f t="shared" si="11"/>
        <v>0</v>
      </c>
      <c r="H140" s="99">
        <f>G140+'8'!H140</f>
        <v>16</v>
      </c>
      <c r="I140" s="118"/>
      <c r="J140" s="328">
        <f>H140/DAY(B2)</f>
        <v>1.7777777777777777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'8'!F141</f>
        <v>50714</v>
      </c>
      <c r="F141" s="149">
        <v>50890</v>
      </c>
      <c r="G141" s="112">
        <f t="shared" si="11"/>
        <v>176</v>
      </c>
      <c r="H141" s="99">
        <f>G141+'8'!H141</f>
        <v>1584</v>
      </c>
      <c r="I141" s="118"/>
      <c r="J141" s="328">
        <f>H141/DAY(B2)</f>
        <v>176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'8'!F142</f>
        <v>19567</v>
      </c>
      <c r="F142" s="148">
        <v>19639</v>
      </c>
      <c r="G142" s="112">
        <f t="shared" si="11"/>
        <v>72</v>
      </c>
      <c r="H142" s="99">
        <f>G142+'8'!H142</f>
        <v>630</v>
      </c>
      <c r="I142" s="140"/>
      <c r="J142" s="328">
        <f>H142/DAY(B2)</f>
        <v>70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'8'!F143</f>
        <v>3248</v>
      </c>
      <c r="F143" s="149">
        <v>3273</v>
      </c>
      <c r="G143" s="112">
        <f t="shared" si="11"/>
        <v>25</v>
      </c>
      <c r="H143" s="99">
        <f>G143+'8'!H143</f>
        <v>212</v>
      </c>
      <c r="I143" s="140"/>
      <c r="J143" s="328">
        <f>H143/DAY(B2)</f>
        <v>23.555555555555557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'8'!F144</f>
        <v>871484</v>
      </c>
      <c r="F144" s="149">
        <v>871704</v>
      </c>
      <c r="G144" s="112">
        <f t="shared" si="11"/>
        <v>220</v>
      </c>
      <c r="H144" s="99">
        <f>G144+'8'!H144</f>
        <v>2034</v>
      </c>
      <c r="I144" s="140"/>
      <c r="J144" s="328">
        <f>H144/DAY(B2)</f>
        <v>226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'8'!F145</f>
        <v>4694</v>
      </c>
      <c r="F145" s="149">
        <v>4712</v>
      </c>
      <c r="G145" s="112">
        <f t="shared" si="11"/>
        <v>18</v>
      </c>
      <c r="H145" s="99">
        <f>G145+'8'!H145</f>
        <v>154</v>
      </c>
      <c r="I145" s="140"/>
      <c r="J145" s="328">
        <f>H145/DAY(B2)</f>
        <v>17.111111111111111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'8'!F146</f>
        <v>728434</v>
      </c>
      <c r="F146" s="148">
        <v>728816</v>
      </c>
      <c r="G146" s="112">
        <f t="shared" si="11"/>
        <v>382</v>
      </c>
      <c r="H146" s="99">
        <f>G146+'8'!H146</f>
        <v>3958</v>
      </c>
      <c r="I146" s="140"/>
      <c r="J146" s="328">
        <f>H146/DAY(B2)</f>
        <v>439.77777777777777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'8'!F147</f>
        <v>618444</v>
      </c>
      <c r="F147" s="148">
        <v>618802</v>
      </c>
      <c r="G147" s="112">
        <f t="shared" si="11"/>
        <v>358</v>
      </c>
      <c r="H147" s="99">
        <f>G147+'8'!H147</f>
        <v>3520</v>
      </c>
      <c r="I147" s="140"/>
      <c r="J147" s="328">
        <f>H147/DAY(B2)</f>
        <v>391.11111111111109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'8'!F148</f>
        <v>685202</v>
      </c>
      <c r="F148" s="488">
        <v>685430</v>
      </c>
      <c r="G148" s="112">
        <f t="shared" si="11"/>
        <v>228</v>
      </c>
      <c r="H148" s="99">
        <f>G148+'8'!H148</f>
        <v>2396.8800000000047</v>
      </c>
      <c r="I148" s="124"/>
      <c r="J148" s="328">
        <f>H148/DAY(B2)</f>
        <v>266.3200000000005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'8'!F149</f>
        <v>14107</v>
      </c>
      <c r="F149" s="146">
        <v>14582</v>
      </c>
      <c r="G149" s="112">
        <f t="shared" si="11"/>
        <v>475</v>
      </c>
      <c r="H149" s="99">
        <f>G149+'8'!H149</f>
        <v>3833</v>
      </c>
      <c r="I149" s="119"/>
      <c r="J149" s="328">
        <f>H149/DAY(B2)</f>
        <v>425.88888888888891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'8'!F150</f>
        <v>5811</v>
      </c>
      <c r="F150" s="233">
        <v>6042</v>
      </c>
      <c r="G150" s="112">
        <f t="shared" si="11"/>
        <v>231</v>
      </c>
      <c r="H150" s="99">
        <f>G150+'8'!H150</f>
        <v>1990</v>
      </c>
      <c r="I150" s="119"/>
      <c r="J150" s="328">
        <f>H150/DAY(B2)</f>
        <v>221.11111111111111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'8'!F151</f>
        <v>80192</v>
      </c>
      <c r="F151" s="233">
        <v>80408</v>
      </c>
      <c r="G151" s="112">
        <f t="shared" si="11"/>
        <v>216</v>
      </c>
      <c r="H151" s="99">
        <f>G151+'8'!H151</f>
        <v>2191</v>
      </c>
      <c r="I151" s="119"/>
      <c r="J151" s="328">
        <f>H151/DAY(B2)</f>
        <v>243.44444444444446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'8'!F152</f>
        <v>1289</v>
      </c>
      <c r="F152" s="233">
        <v>1305</v>
      </c>
      <c r="G152" s="112">
        <f t="shared" si="11"/>
        <v>16</v>
      </c>
      <c r="H152" s="99">
        <f>G152+'8'!H152</f>
        <v>178</v>
      </c>
      <c r="I152" s="119"/>
      <c r="J152" s="328">
        <f>H152/DAY(B2)</f>
        <v>19.777777777777779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2471</v>
      </c>
      <c r="H153" s="363"/>
      <c r="I153" s="119">
        <f>G153-(G38+G52)</f>
        <v>813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'8'!F155</f>
        <v>17939</v>
      </c>
      <c r="F155" s="374">
        <v>18559</v>
      </c>
      <c r="G155" s="112">
        <f t="shared" ref="G155:G156" si="12">F155-E155</f>
        <v>620</v>
      </c>
      <c r="H155" s="99">
        <f>G155+'8'!H155</f>
        <v>5087</v>
      </c>
      <c r="I155" s="364"/>
      <c r="J155" s="328">
        <f>H155/DAY(B2)</f>
        <v>565.22222222222217</v>
      </c>
    </row>
    <row r="156" spans="1:10" ht="27.75">
      <c r="A156" s="823" t="s">
        <v>346</v>
      </c>
      <c r="B156" s="823"/>
      <c r="C156" s="823"/>
      <c r="D156" s="117" t="s">
        <v>130</v>
      </c>
      <c r="E156" s="95">
        <f>'8'!F156</f>
        <v>1459</v>
      </c>
      <c r="F156" s="155">
        <v>1508</v>
      </c>
      <c r="G156" s="112">
        <f t="shared" si="12"/>
        <v>49</v>
      </c>
      <c r="H156" s="99">
        <f>G156+'8'!H156</f>
        <v>420</v>
      </c>
      <c r="I156" s="165"/>
      <c r="J156" s="328">
        <f>H156/DAY(B2)</f>
        <v>46.666666666666664</v>
      </c>
    </row>
    <row r="157" spans="1:10" ht="27.75">
      <c r="A157" s="824" t="s">
        <v>364</v>
      </c>
      <c r="B157" s="825"/>
      <c r="C157" s="82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>
      <c r="A158" s="824" t="s">
        <v>365</v>
      </c>
      <c r="B158" s="825"/>
      <c r="C158" s="82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>
      <c r="A159" s="907"/>
      <c r="B159" s="908"/>
      <c r="C159" s="909"/>
      <c r="D159" s="117"/>
      <c r="E159" s="95"/>
      <c r="F159" s="15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'8'!F161</f>
        <v>471225</v>
      </c>
      <c r="F161" s="503">
        <v>471231</v>
      </c>
      <c r="G161" s="238">
        <f t="shared" ref="G161:G166" si="13">F161-E161</f>
        <v>6</v>
      </c>
      <c r="H161" s="99">
        <f>G161+'8'!H161</f>
        <v>77.840000000025611</v>
      </c>
      <c r="I161" s="236"/>
      <c r="J161" s="239">
        <f>H161/DAY(B2)</f>
        <v>8.6488888888917348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87773</v>
      </c>
      <c r="F162" s="235">
        <v>87796</v>
      </c>
      <c r="G162" s="238">
        <f t="shared" si="13"/>
        <v>23</v>
      </c>
      <c r="H162" s="99">
        <f>G162+'8'!H162</f>
        <v>226</v>
      </c>
      <c r="I162" s="236"/>
      <c r="J162" s="239">
        <f>H162/DAY(B2)</f>
        <v>25.111111111111111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'8'!F163</f>
        <v>78155</v>
      </c>
      <c r="F163" s="235">
        <v>78188</v>
      </c>
      <c r="G163" s="238">
        <f t="shared" si="13"/>
        <v>33</v>
      </c>
      <c r="H163" s="99">
        <f>G163+'8'!H163</f>
        <v>363</v>
      </c>
      <c r="I163" s="236"/>
      <c r="J163" s="239">
        <f>H163/DAY(B2)</f>
        <v>40.333333333333336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'8'!F164</f>
        <v>4255</v>
      </c>
      <c r="F164" s="235">
        <v>4255</v>
      </c>
      <c r="G164" s="238">
        <f t="shared" si="13"/>
        <v>0</v>
      </c>
      <c r="H164" s="99">
        <f>G164+'8'!H164</f>
        <v>13</v>
      </c>
      <c r="I164" s="236"/>
      <c r="J164" s="239">
        <f>H164/DAY(B2)</f>
        <v>1.4444444444444444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'8'!F165</f>
        <v>29697</v>
      </c>
      <c r="F165" s="235">
        <v>29697</v>
      </c>
      <c r="G165" s="238">
        <f t="shared" si="13"/>
        <v>0</v>
      </c>
      <c r="H165" s="99">
        <f>G165+'8'!H165</f>
        <v>51</v>
      </c>
      <c r="I165" s="236"/>
      <c r="J165" s="239">
        <f>H165/DAY(B2)</f>
        <v>5.666666666666667</v>
      </c>
    </row>
    <row r="166" spans="1:10" ht="29.25">
      <c r="A166" s="832"/>
      <c r="B166" s="832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'8'!F173</f>
        <v>8126</v>
      </c>
      <c r="F173" s="155">
        <v>8126</v>
      </c>
      <c r="G173" s="155">
        <f>F173-E173</f>
        <v>0</v>
      </c>
      <c r="H173" s="99">
        <f>G173+'8'!H173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'8'!F174</f>
        <v>38370</v>
      </c>
      <c r="F174" s="157">
        <v>38388</v>
      </c>
      <c r="G174" s="155">
        <f t="shared" ref="G174:G175" si="14">F174-E174</f>
        <v>18</v>
      </c>
      <c r="H174" s="99">
        <f>G174+'8'!H174</f>
        <v>95</v>
      </c>
      <c r="I174" s="155"/>
      <c r="J174" s="178">
        <f>H174/DAY(B2)</f>
        <v>10.555555555555555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'8'!F175</f>
        <v>21596</v>
      </c>
      <c r="F175" s="155">
        <v>21606</v>
      </c>
      <c r="G175" s="155">
        <f t="shared" si="14"/>
        <v>10</v>
      </c>
      <c r="H175" s="99">
        <f>G175+'8'!H175</f>
        <v>88</v>
      </c>
      <c r="I175" s="155"/>
      <c r="J175" s="178">
        <f>H175/DAY(B2)</f>
        <v>9.7777777777777786</v>
      </c>
    </row>
    <row r="176" spans="1:10" ht="27.75">
      <c r="A176" s="827" t="s">
        <v>196</v>
      </c>
      <c r="B176" s="828"/>
      <c r="C176" s="333"/>
      <c r="D176" s="228" t="s">
        <v>142</v>
      </c>
      <c r="E176" s="95"/>
      <c r="F176" s="155"/>
      <c r="G176" s="155">
        <f>SUM(G173:G175)</f>
        <v>28</v>
      </c>
      <c r="H176" s="99">
        <f>G176+'8'!H176</f>
        <v>183</v>
      </c>
      <c r="I176" s="155"/>
      <c r="J176" s="178">
        <f>H176/DAY(B2)</f>
        <v>20.333333333333332</v>
      </c>
    </row>
    <row r="177" spans="1:10" ht="27.75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'8'!F178</f>
        <v>80168</v>
      </c>
      <c r="F178" s="155">
        <v>80229</v>
      </c>
      <c r="G178" s="155">
        <f>F178-E178</f>
        <v>61</v>
      </c>
      <c r="H178" s="99">
        <f>G178+'8'!H178</f>
        <v>615</v>
      </c>
      <c r="I178" s="155"/>
      <c r="J178" s="178">
        <f>H178/DAY(B2)</f>
        <v>68.333333333333329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'8'!F179</f>
        <v>34052</v>
      </c>
      <c r="F179" s="155">
        <v>34070</v>
      </c>
      <c r="G179" s="155">
        <f t="shared" ref="G179:G180" si="15">F179-E179</f>
        <v>18</v>
      </c>
      <c r="H179" s="99">
        <f>G179+'8'!H179</f>
        <v>155</v>
      </c>
      <c r="I179" s="155"/>
      <c r="J179" s="178">
        <f>H179/DAY(B2)</f>
        <v>17.222222222222221</v>
      </c>
    </row>
    <row r="180" spans="1:10" ht="31.5" customHeight="1">
      <c r="A180" s="836" t="s">
        <v>212</v>
      </c>
      <c r="B180" s="837"/>
      <c r="C180" s="333"/>
      <c r="D180" s="228" t="s">
        <v>142</v>
      </c>
      <c r="E180" s="95">
        <f>'8'!F180</f>
        <v>5543</v>
      </c>
      <c r="F180" s="155">
        <v>5544</v>
      </c>
      <c r="G180" s="155">
        <f t="shared" si="15"/>
        <v>1</v>
      </c>
      <c r="H180" s="99">
        <f>G180+'8'!H180</f>
        <v>67</v>
      </c>
      <c r="I180" s="155"/>
      <c r="J180" s="178">
        <f>H180/DAY(B2)</f>
        <v>7.4444444444444446</v>
      </c>
    </row>
    <row r="181" spans="1:10" ht="27.75">
      <c r="A181" s="838" t="s">
        <v>108</v>
      </c>
      <c r="B181" s="839"/>
      <c r="C181" s="333"/>
      <c r="D181" s="228" t="s">
        <v>142</v>
      </c>
      <c r="E181" s="95"/>
      <c r="F181" s="155"/>
      <c r="G181" s="155">
        <f>SUM(G178:G180)</f>
        <v>80</v>
      </c>
      <c r="H181" s="99">
        <f>G181+'8'!H181</f>
        <v>837</v>
      </c>
      <c r="I181" s="155"/>
      <c r="J181" s="178">
        <f>H181/DAY(B2)</f>
        <v>93</v>
      </c>
    </row>
    <row r="182" spans="1:10" ht="27.75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'8'!F183</f>
        <v>15064</v>
      </c>
      <c r="F183" s="157">
        <v>15073</v>
      </c>
      <c r="G183" s="157">
        <f>F183-E183</f>
        <v>9</v>
      </c>
      <c r="H183" s="99">
        <f>G183+'8'!H183</f>
        <v>126</v>
      </c>
      <c r="I183" s="155"/>
      <c r="J183" s="178">
        <f>H183/DAY(B2)</f>
        <v>14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'8'!F184</f>
        <v>10356</v>
      </c>
      <c r="F184" s="157">
        <v>10369</v>
      </c>
      <c r="G184" s="157">
        <f t="shared" ref="G184:G185" si="16">F184-E184</f>
        <v>13</v>
      </c>
      <c r="H184" s="99">
        <f>G184+'8'!H184</f>
        <v>68</v>
      </c>
      <c r="I184" s="155"/>
      <c r="J184" s="178">
        <f>H184/DAY(B2)</f>
        <v>7.5555555555555554</v>
      </c>
    </row>
    <row r="185" spans="1:10" ht="35.25" customHeight="1">
      <c r="A185" s="836" t="s">
        <v>216</v>
      </c>
      <c r="B185" s="837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827" t="s">
        <v>196</v>
      </c>
      <c r="B186" s="828"/>
      <c r="C186" s="334"/>
      <c r="D186" s="228" t="s">
        <v>142</v>
      </c>
      <c r="E186" s="95"/>
      <c r="F186" s="157"/>
      <c r="G186" s="157">
        <f>SUM(G183:G185)</f>
        <v>22</v>
      </c>
      <c r="H186" s="99">
        <f>G186+'8'!H186</f>
        <v>194</v>
      </c>
      <c r="I186" s="157"/>
      <c r="J186" s="178">
        <f>H186/DAY(B2)</f>
        <v>21.555555555555557</v>
      </c>
    </row>
    <row r="187" spans="1:10" ht="27.75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135</v>
      </c>
      <c r="H187" s="99">
        <f>G187+'8'!H187</f>
        <v>1007</v>
      </c>
      <c r="I187" s="158"/>
      <c r="J187" s="179">
        <f>H187/DAY(B2)</f>
        <v>111.88888888888889</v>
      </c>
    </row>
    <row r="188" spans="1:10" ht="27.75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140</v>
      </c>
      <c r="H188" s="99">
        <f>G188+'8'!H188</f>
        <v>1275</v>
      </c>
      <c r="I188" s="158"/>
      <c r="J188" s="179">
        <f>H188/DAY(B2)</f>
        <v>141.66666666666666</v>
      </c>
    </row>
    <row r="189" spans="1:10" ht="27.75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80</v>
      </c>
      <c r="H189" s="99">
        <f>G189+'8'!H189</f>
        <v>837</v>
      </c>
      <c r="I189" s="158"/>
      <c r="J189" s="179">
        <f>H189/DAY(B2)</f>
        <v>93</v>
      </c>
    </row>
    <row r="190" spans="1:10" ht="29.25" customHeight="1">
      <c r="A190" s="750"/>
      <c r="B190" s="751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10" zoomScale="50" zoomScaleNormal="55" zoomScaleSheetLayoutView="50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357</v>
      </c>
      <c r="B2" s="262">
        <v>44571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22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'9'!F7</f>
        <v>269978</v>
      </c>
      <c r="F7" s="95">
        <v>286839</v>
      </c>
      <c r="G7" s="112">
        <f>F7-E7</f>
        <v>16861</v>
      </c>
      <c r="H7" s="99">
        <f>G7+'9'!H7</f>
        <v>192278</v>
      </c>
      <c r="I7" s="113">
        <f>'1'!I7</f>
        <v>12000</v>
      </c>
      <c r="J7" s="175">
        <f>H7/DAY(B2)</f>
        <v>19227.8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'9'!F8</f>
        <v>319937</v>
      </c>
      <c r="F8" s="95">
        <v>337000</v>
      </c>
      <c r="G8" s="115">
        <f>F8-E8</f>
        <v>17063</v>
      </c>
      <c r="H8" s="99">
        <f>G8+'9'!H8</f>
        <v>196115</v>
      </c>
      <c r="I8" s="116"/>
      <c r="J8" s="175">
        <f>H8/DAY(B2)</f>
        <v>19611.5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'9'!F9</f>
        <v>11657</v>
      </c>
      <c r="F9" s="601">
        <v>22761</v>
      </c>
      <c r="G9" s="112">
        <f>F9-E9</f>
        <v>11104</v>
      </c>
      <c r="H9" s="99">
        <f>G9+'9'!H9</f>
        <v>121266</v>
      </c>
      <c r="I9" s="124">
        <f>I7-J7</f>
        <v>-7227.7999999999993</v>
      </c>
      <c r="J9" s="175">
        <f>H9/DAY(B2)</f>
        <v>12126.6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'9'!F10</f>
        <v>5534</v>
      </c>
      <c r="F10" s="117">
        <v>10806</v>
      </c>
      <c r="G10" s="112">
        <f t="shared" ref="G10:G12" si="0">F10-E10</f>
        <v>5272</v>
      </c>
      <c r="H10" s="99">
        <f>G10+'9'!H10</f>
        <v>65712</v>
      </c>
      <c r="I10" s="282"/>
      <c r="J10" s="175">
        <f>H10/DAY(B2)</f>
        <v>6571.2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16376</v>
      </c>
      <c r="H13" s="99">
        <f>G13+'9'!H13</f>
        <v>167512.74999999988</v>
      </c>
      <c r="I13" s="120">
        <f>G7-G13</f>
        <v>485</v>
      </c>
      <c r="J13" s="175">
        <f>H13/DAY(B2)</f>
        <v>16751.274999999987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'9'!F15</f>
        <v>1886599</v>
      </c>
      <c r="F15" s="232">
        <v>1887358</v>
      </c>
      <c r="G15" s="112">
        <f>(F15-E15)</f>
        <v>759</v>
      </c>
      <c r="H15" s="99">
        <f>G15+'9'!H15</f>
        <v>8928</v>
      </c>
      <c r="I15" s="113">
        <f>'1'!I15</f>
        <v>800</v>
      </c>
      <c r="J15" s="175">
        <f>H15/DAY(B2)</f>
        <v>892.8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-92.799999999999955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'9'!F18</f>
        <v>15</v>
      </c>
      <c r="F18" s="122">
        <v>7</v>
      </c>
      <c r="G18" s="119">
        <f>F18*10</f>
        <v>70</v>
      </c>
      <c r="H18" s="99">
        <f>G18+'9'!H18</f>
        <v>1250</v>
      </c>
      <c r="I18" s="113">
        <f>'1'!I18</f>
        <v>65</v>
      </c>
      <c r="J18" s="175">
        <f>H18/DAY(B2)</f>
        <v>125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'9'!F19</f>
        <v>152695</v>
      </c>
      <c r="F19" s="122">
        <v>152749</v>
      </c>
      <c r="G19" s="112">
        <f t="shared" ref="G19" si="1">F19-E19</f>
        <v>54</v>
      </c>
      <c r="H19" s="99">
        <f>G19+'9'!H19</f>
        <v>524</v>
      </c>
      <c r="I19" s="335"/>
      <c r="J19" s="175">
        <f>H19/DAY(B2)</f>
        <v>52.4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124</v>
      </c>
      <c r="H20" s="99">
        <f>G20+'9'!H20</f>
        <v>1774</v>
      </c>
      <c r="I20" s="336">
        <f>I18-J20</f>
        <v>-112.4</v>
      </c>
      <c r="J20" s="175">
        <f>H20/DAY(B2)</f>
        <v>177.4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17063</v>
      </c>
      <c r="F27" s="136">
        <v>9</v>
      </c>
      <c r="G27" s="137">
        <f>E27*F27</f>
        <v>153567</v>
      </c>
      <c r="H27" s="99">
        <f>G27+'9'!H27</f>
        <v>1765035</v>
      </c>
      <c r="I27" s="138"/>
      <c r="J27" s="175">
        <f>H27/DAY(B2)</f>
        <v>176503.5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759</v>
      </c>
      <c r="F28" s="136">
        <v>52</v>
      </c>
      <c r="G28" s="137">
        <f>E28*F28</f>
        <v>39468</v>
      </c>
      <c r="H28" s="99">
        <f>G28+'9'!H28</f>
        <v>464256</v>
      </c>
      <c r="I28" s="140"/>
      <c r="J28" s="175">
        <f>H28/DAY(B2)</f>
        <v>46425.599999999999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G30+'9'!H30</f>
        <v>76504</v>
      </c>
      <c r="I30" s="140"/>
      <c r="J30" s="175">
        <f>H30/DAY(B2)</f>
        <v>7650.4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70</v>
      </c>
      <c r="F31" s="136">
        <v>80</v>
      </c>
      <c r="G31" s="137">
        <f>E31*F31</f>
        <v>5600</v>
      </c>
      <c r="H31" s="99">
        <f>G31+'9'!H31</f>
        <v>100000</v>
      </c>
      <c r="I31" s="140"/>
      <c r="J31" s="175">
        <f>H31/DAY(B2)</f>
        <v>10000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206519</v>
      </c>
      <c r="H32" s="99">
        <f>G32+'9'!H32</f>
        <v>2405795</v>
      </c>
      <c r="I32" s="144"/>
      <c r="J32" s="175">
        <f>H32/DAY(B2)</f>
        <v>240579.5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'9'!F35</f>
        <v>1783</v>
      </c>
      <c r="F35" s="145">
        <v>3397</v>
      </c>
      <c r="G35" s="112">
        <f t="shared" ref="G35:G46" si="3">F35-E35</f>
        <v>1614</v>
      </c>
      <c r="H35" s="99">
        <f>G35+'9'!H35</f>
        <v>18597</v>
      </c>
      <c r="I35" s="95"/>
      <c r="J35" s="175">
        <f>H35/DAY(B2)</f>
        <v>1859.7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'9'!F36</f>
        <v>28675</v>
      </c>
      <c r="F36" s="145">
        <v>29309</v>
      </c>
      <c r="G36" s="112">
        <f t="shared" si="3"/>
        <v>634</v>
      </c>
      <c r="H36" s="99">
        <f>G36+'9'!H36</f>
        <v>7782</v>
      </c>
      <c r="I36" s="95"/>
      <c r="J36" s="175">
        <f>H36/DAY(B2)</f>
        <v>778.2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'9'!F37</f>
        <v>1472</v>
      </c>
      <c r="F37" s="145">
        <v>2924</v>
      </c>
      <c r="G37" s="112">
        <f t="shared" si="3"/>
        <v>1452</v>
      </c>
      <c r="H37" s="99">
        <f>G37+'9'!H37</f>
        <v>15136</v>
      </c>
      <c r="I37" s="95"/>
      <c r="J37" s="175">
        <f>H37/DAY(B2)</f>
        <v>1513.6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'9'!F38</f>
        <v>1658</v>
      </c>
      <c r="F38" s="108">
        <v>3199</v>
      </c>
      <c r="G38" s="112">
        <f t="shared" si="3"/>
        <v>1541</v>
      </c>
      <c r="H38" s="99">
        <f>G38+'9'!H38</f>
        <v>16399</v>
      </c>
      <c r="I38" s="95"/>
      <c r="J38" s="175">
        <f>H38/DAY(B2)</f>
        <v>1639.9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'9'!F39</f>
        <v>2610</v>
      </c>
      <c r="F39" s="145">
        <v>5184</v>
      </c>
      <c r="G39" s="112">
        <f t="shared" si="3"/>
        <v>2574</v>
      </c>
      <c r="H39" s="99">
        <f>G39+'9'!H39</f>
        <v>26866</v>
      </c>
      <c r="I39" s="95"/>
      <c r="J39" s="175">
        <f>H39/DAY(B2)</f>
        <v>2686.6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'9'!F40</f>
        <v>8483</v>
      </c>
      <c r="F40" s="145">
        <v>9242</v>
      </c>
      <c r="G40" s="112">
        <f t="shared" si="3"/>
        <v>759</v>
      </c>
      <c r="H40" s="99">
        <f>G40+'9'!H40</f>
        <v>3632</v>
      </c>
      <c r="I40" s="95"/>
      <c r="J40" s="175">
        <f>H40/DAY(B2)</f>
        <v>363.2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'9'!F41</f>
        <v>0</v>
      </c>
      <c r="F41" s="145">
        <v>0</v>
      </c>
      <c r="G41" s="112">
        <f t="shared" si="3"/>
        <v>0</v>
      </c>
      <c r="H41" s="99">
        <f>G41+'9'!H41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'9'!F42</f>
        <v>73808.600000000006</v>
      </c>
      <c r="F42" s="145">
        <v>73808.600000000006</v>
      </c>
      <c r="G42" s="112">
        <f t="shared" si="3"/>
        <v>0</v>
      </c>
      <c r="H42" s="99">
        <f>G42+'9'!H42</f>
        <v>-0.39999999999417923</v>
      </c>
      <c r="I42" s="95"/>
      <c r="J42" s="175">
        <f>H42/DAY(B2)</f>
        <v>-3.9999999999417925E-2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'9'!F43</f>
        <v>68533</v>
      </c>
      <c r="F43" s="145">
        <v>70656</v>
      </c>
      <c r="G43" s="112">
        <f t="shared" si="3"/>
        <v>2123</v>
      </c>
      <c r="H43" s="99">
        <f>G43+'9'!H43</f>
        <v>23395</v>
      </c>
      <c r="I43" s="95"/>
      <c r="J43" s="175">
        <f>H43/DAY(B2)</f>
        <v>2339.5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10697</v>
      </c>
      <c r="H47" s="99">
        <f>G47+'9'!H47</f>
        <v>111806.6</v>
      </c>
      <c r="I47" s="95"/>
      <c r="J47" s="175">
        <f>H47/DAY(B2)</f>
        <v>11180.66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'9'!F49</f>
        <v>1306</v>
      </c>
      <c r="F49" s="145">
        <v>2444</v>
      </c>
      <c r="G49" s="112">
        <f t="shared" ref="G49:G58" si="4">F49-E49</f>
        <v>1138</v>
      </c>
      <c r="H49" s="99">
        <f>G49+'9'!H49</f>
        <v>15565</v>
      </c>
      <c r="I49" s="95"/>
      <c r="J49" s="175">
        <f>H49/DAY(B2)</f>
        <v>1556.5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'9'!F50</f>
        <v>34045</v>
      </c>
      <c r="F50" s="145">
        <v>34985</v>
      </c>
      <c r="G50" s="112">
        <f t="shared" si="4"/>
        <v>940</v>
      </c>
      <c r="H50" s="99">
        <f>G50+'9'!H50</f>
        <v>10335</v>
      </c>
      <c r="I50" s="95"/>
      <c r="J50" s="175">
        <f>H50/DAY(B2)</f>
        <v>1033.5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'9'!F54</f>
        <v>783</v>
      </c>
      <c r="F54" s="145">
        <v>1255</v>
      </c>
      <c r="G54" s="112">
        <f t="shared" si="4"/>
        <v>472</v>
      </c>
      <c r="H54" s="99">
        <f>G54+'9'!H54</f>
        <v>3022.08</v>
      </c>
      <c r="I54" s="95"/>
      <c r="J54" s="175">
        <f>H54/DAY(B2)</f>
        <v>302.20799999999997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'9'!F55</f>
        <v>31231</v>
      </c>
      <c r="F55" s="145">
        <v>33991</v>
      </c>
      <c r="G55" s="112">
        <f t="shared" si="4"/>
        <v>2760</v>
      </c>
      <c r="H55" s="99">
        <f>G55+'9'!H55</f>
        <v>30480</v>
      </c>
      <c r="I55" s="95"/>
      <c r="J55" s="175">
        <f>H55/DAY(B2)</f>
        <v>3048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'9'!F56</f>
        <v>8611</v>
      </c>
      <c r="F56" s="376">
        <v>8611</v>
      </c>
      <c r="G56" s="112">
        <f t="shared" si="4"/>
        <v>0</v>
      </c>
      <c r="H56" s="99">
        <f>G56+'9'!H56</f>
        <v>0.45999999999912689</v>
      </c>
      <c r="I56" s="95"/>
      <c r="J56" s="175">
        <f>H56/DAY(B2)</f>
        <v>4.5999999999912687E-2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'9'!F58</f>
        <v>1018</v>
      </c>
      <c r="F58" s="376">
        <v>1098</v>
      </c>
      <c r="G58" s="112">
        <f t="shared" si="4"/>
        <v>80</v>
      </c>
      <c r="H58" s="99">
        <f>G58+'9'!H58</f>
        <v>1438.6300000000047</v>
      </c>
      <c r="I58" s="95"/>
      <c r="J58" s="175">
        <f>H58/DAY(B2)</f>
        <v>143.86300000000045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5390</v>
      </c>
      <c r="H59" s="99">
        <f>G59+'9'!H59</f>
        <v>60841.170000000006</v>
      </c>
      <c r="I59" s="95">
        <f>G7-G60</f>
        <v>774</v>
      </c>
      <c r="J59" s="175">
        <f>H59/DAY(B2)</f>
        <v>6084.1170000000002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16087</v>
      </c>
      <c r="H60" s="99">
        <f>G60+'9'!H60</f>
        <v>172647.77</v>
      </c>
      <c r="I60" s="95">
        <f>G13-G60</f>
        <v>289</v>
      </c>
      <c r="J60" s="175">
        <f>H60/DAY(B2)</f>
        <v>17264.776999999998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'9'!F62</f>
        <v>267750</v>
      </c>
      <c r="F62" s="122">
        <v>267811</v>
      </c>
      <c r="G62" s="112">
        <f t="shared" ref="G62:G63" si="5">F62-E62</f>
        <v>61</v>
      </c>
      <c r="H62" s="99">
        <f>G62+'9'!H62</f>
        <v>598</v>
      </c>
      <c r="I62" s="118"/>
      <c r="J62" s="175">
        <f>H62/DAY(B2)</f>
        <v>59.8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'9'!F63</f>
        <v>213397</v>
      </c>
      <c r="F63" s="122">
        <v>213501</v>
      </c>
      <c r="G63" s="112">
        <f t="shared" si="5"/>
        <v>104</v>
      </c>
      <c r="H63" s="99">
        <f>G63+'9'!H63</f>
        <v>1076</v>
      </c>
      <c r="I63" s="118"/>
      <c r="J63" s="175">
        <f>H63/DAY(B2)</f>
        <v>107.6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'9'!F64</f>
        <v>0</v>
      </c>
      <c r="F64" s="122"/>
      <c r="G64" s="112">
        <f>G62+G63</f>
        <v>165</v>
      </c>
      <c r="H64" s="99">
        <f>G64+'9'!H64</f>
        <v>1674</v>
      </c>
      <c r="I64" s="118"/>
      <c r="J64" s="175">
        <f>H64/DAY(B2)</f>
        <v>167.4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'9'!F65</f>
        <v>433285</v>
      </c>
      <c r="F65" s="122">
        <v>433343</v>
      </c>
      <c r="G65" s="112">
        <f t="shared" ref="G65:G70" si="6">F65-E65</f>
        <v>58</v>
      </c>
      <c r="H65" s="99">
        <f>G65+'9'!H65</f>
        <v>729</v>
      </c>
      <c r="I65" s="118"/>
      <c r="J65" s="175">
        <f>H65/DAY(B2)</f>
        <v>72.900000000000006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'9'!F66</f>
        <v>107396</v>
      </c>
      <c r="F66" s="122">
        <v>107410</v>
      </c>
      <c r="G66" s="112">
        <f t="shared" si="6"/>
        <v>14</v>
      </c>
      <c r="H66" s="99">
        <f>G66+'9'!H66</f>
        <v>196</v>
      </c>
      <c r="I66" s="118"/>
      <c r="J66" s="175">
        <f>H66/DAY(B2)</f>
        <v>19.600000000000001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'9'!F67</f>
        <v>104165</v>
      </c>
      <c r="F67" s="122">
        <v>104186</v>
      </c>
      <c r="G67" s="112">
        <f t="shared" si="6"/>
        <v>21</v>
      </c>
      <c r="H67" s="99">
        <f>G67+'9'!H67</f>
        <v>258</v>
      </c>
      <c r="I67" s="118"/>
      <c r="J67" s="175">
        <f>H67/DAY(B2)</f>
        <v>25.8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'9'!F68</f>
        <v>156853</v>
      </c>
      <c r="F68" s="122">
        <v>156879</v>
      </c>
      <c r="G68" s="112">
        <f t="shared" si="6"/>
        <v>26</v>
      </c>
      <c r="H68" s="99">
        <f>G68+'9'!H68</f>
        <v>259</v>
      </c>
      <c r="I68" s="118"/>
      <c r="J68" s="175">
        <f>H68/DAY(B2)</f>
        <v>25.9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'9'!F69</f>
        <v>10318</v>
      </c>
      <c r="F69" s="122">
        <v>10327</v>
      </c>
      <c r="G69" s="112">
        <f t="shared" si="6"/>
        <v>9</v>
      </c>
      <c r="H69" s="99">
        <f>G69+'9'!H69</f>
        <v>113</v>
      </c>
      <c r="I69" s="118"/>
      <c r="J69" s="175">
        <f>H69/DAY(B2)</f>
        <v>11.3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'9'!F70</f>
        <v>7943</v>
      </c>
      <c r="F70" s="122">
        <v>7947</v>
      </c>
      <c r="G70" s="112">
        <f t="shared" si="6"/>
        <v>4</v>
      </c>
      <c r="H70" s="99">
        <f>G70+'9'!H70</f>
        <v>85</v>
      </c>
      <c r="I70" s="118"/>
      <c r="J70" s="175">
        <f>H70/DAY(B2)</f>
        <v>8.5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132</v>
      </c>
      <c r="H71" s="99">
        <f>G71+'9'!H71</f>
        <v>1640</v>
      </c>
      <c r="I71" s="154"/>
      <c r="J71" s="175">
        <f>H71/DAY(B2)</f>
        <v>164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'9'!F74</f>
        <v>894615</v>
      </c>
      <c r="F74" s="117">
        <v>894928</v>
      </c>
      <c r="G74" s="112">
        <f t="shared" ref="G74:G78" si="7">F74-E74</f>
        <v>313</v>
      </c>
      <c r="H74" s="99">
        <f>G74+'9'!H74</f>
        <v>2896</v>
      </c>
      <c r="I74" s="154"/>
      <c r="J74" s="175">
        <f>H74/DAY(B2)</f>
        <v>289.60000000000002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'9'!F76</f>
        <v>168004</v>
      </c>
      <c r="F76" s="123">
        <v>168095</v>
      </c>
      <c r="G76" s="112">
        <f t="shared" si="7"/>
        <v>91</v>
      </c>
      <c r="H76" s="99">
        <f>G76+'9'!H76</f>
        <v>888</v>
      </c>
      <c r="I76" s="154"/>
      <c r="J76" s="175">
        <f>H76/DAY(B2)</f>
        <v>88.8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'9'!F77</f>
        <v>40618</v>
      </c>
      <c r="F77" s="123">
        <v>40652</v>
      </c>
      <c r="G77" s="112">
        <f t="shared" si="7"/>
        <v>34</v>
      </c>
      <c r="H77" s="99">
        <f>G77+'9'!H77</f>
        <v>336</v>
      </c>
      <c r="I77" s="154"/>
      <c r="J77" s="175">
        <f>H77/DAY(B2)</f>
        <v>33.6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'9'!F78</f>
        <v>9493</v>
      </c>
      <c r="F78" s="123">
        <v>9494.2999999999993</v>
      </c>
      <c r="G78" s="112">
        <f t="shared" si="7"/>
        <v>1.2999999999992724</v>
      </c>
      <c r="H78" s="99">
        <f>G78+'9'!H78</f>
        <v>8.2999999999992724</v>
      </c>
      <c r="I78" s="118"/>
      <c r="J78" s="175">
        <f>H78/DAY(B2)</f>
        <v>0.82999999999992724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'9'!F79</f>
        <v>0</v>
      </c>
      <c r="F79" s="117"/>
      <c r="G79" s="112">
        <f>G15-SUM(G74:G78)</f>
        <v>319.70000000000073</v>
      </c>
      <c r="H79" s="99">
        <f>G79+'9'!H79</f>
        <v>4799.5000000000036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759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'9'!F85</f>
        <v>2096.56</v>
      </c>
      <c r="F85" s="164">
        <v>2096.5500000000002</v>
      </c>
      <c r="G85" s="112">
        <f t="shared" si="8"/>
        <v>-9.9999999997635314E-3</v>
      </c>
      <c r="H85" s="99">
        <f>G85+'9'!H85</f>
        <v>-9.9999999997635314E-3</v>
      </c>
      <c r="I85" s="118">
        <f>G82+G83+G84+G85</f>
        <v>-9.9999999997635314E-3</v>
      </c>
      <c r="J85" s="175">
        <f>H85/DAY(B2)</f>
        <v>-9.9999999997635314E-4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'9'!F86</f>
        <v>43080</v>
      </c>
      <c r="F86" s="164">
        <v>43104</v>
      </c>
      <c r="G86" s="112">
        <f t="shared" si="8"/>
        <v>24</v>
      </c>
      <c r="H86" s="99">
        <f>G86+'9'!H86</f>
        <v>241</v>
      </c>
      <c r="I86" s="118"/>
      <c r="J86" s="175">
        <f>H86/DAY(B2)</f>
        <v>24.1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'9'!F87</f>
        <v>34598.550000000003</v>
      </c>
      <c r="F87" s="164">
        <v>34598.550000000003</v>
      </c>
      <c r="G87" s="112">
        <f t="shared" si="8"/>
        <v>0</v>
      </c>
      <c r="H87" s="99">
        <f>G87+'9'!H87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'9'!F88</f>
        <v>24058</v>
      </c>
      <c r="F88" s="164">
        <v>24058</v>
      </c>
      <c r="G88" s="112">
        <f t="shared" si="8"/>
        <v>0</v>
      </c>
      <c r="H88" s="99">
        <f>G88+'9'!H88</f>
        <v>11</v>
      </c>
      <c r="I88" s="118">
        <f>G86+G87+G88</f>
        <v>24</v>
      </c>
      <c r="J88" s="175">
        <f>H88/DAY(B2)</f>
        <v>1.1000000000000001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'9'!F89</f>
        <v>25723</v>
      </c>
      <c r="F89" s="164">
        <v>25723</v>
      </c>
      <c r="G89" s="112">
        <f t="shared" si="8"/>
        <v>0</v>
      </c>
      <c r="H89" s="99">
        <f>G89+'9'!H89</f>
        <v>60</v>
      </c>
      <c r="I89" s="118"/>
      <c r="J89" s="175">
        <f>H89/DAY(B2)</f>
        <v>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'9'!F90</f>
        <v>71074</v>
      </c>
      <c r="F90" s="164">
        <v>71087</v>
      </c>
      <c r="G90" s="112">
        <f t="shared" si="8"/>
        <v>13</v>
      </c>
      <c r="H90" s="99">
        <f>G90+'9'!H90</f>
        <v>53</v>
      </c>
      <c r="I90" s="118">
        <f>G89+G90</f>
        <v>13</v>
      </c>
      <c r="J90" s="175">
        <f>H90/DAY(B2)</f>
        <v>5.3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'9'!F92</f>
        <v>5529</v>
      </c>
      <c r="F92" s="122">
        <v>5540</v>
      </c>
      <c r="G92" s="112">
        <f t="shared" si="8"/>
        <v>11</v>
      </c>
      <c r="H92" s="99">
        <f>G92+'9'!H92</f>
        <v>102</v>
      </c>
      <c r="I92" s="165"/>
      <c r="J92" s="175">
        <f>H92/DAY(B2)</f>
        <v>10.199999999999999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4875</v>
      </c>
      <c r="H94" s="99">
        <f>G94+'9'!H94</f>
        <v>57557</v>
      </c>
      <c r="I94" s="118"/>
      <c r="J94" s="175">
        <f>H94/DAY(B2)</f>
        <v>5755.7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0.28912875867386278</v>
      </c>
      <c r="H95" s="99">
        <f>G95+'9'!H95</f>
        <v>2.9922752338261747</v>
      </c>
      <c r="I95" s="167"/>
      <c r="J95" s="175">
        <f>H95/DAY(B2)</f>
        <v>0.29922752338261749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2760</v>
      </c>
      <c r="H96" s="99">
        <f>G96+'9'!H96</f>
        <v>30480.060000000005</v>
      </c>
      <c r="I96" s="118"/>
      <c r="J96" s="175">
        <f>H96/DAY(B2)</f>
        <v>3048.0060000000003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0.16369135875689461</v>
      </c>
      <c r="H97" s="99">
        <f>G97+'9'!H97</f>
        <v>1.5862228253989465</v>
      </c>
      <c r="I97" s="167"/>
      <c r="J97" s="175">
        <f>H97/DAY(B2)</f>
        <v>0.15862228253989466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2574</v>
      </c>
      <c r="H98" s="99">
        <f>G98+'9'!H98</f>
        <v>26866</v>
      </c>
      <c r="I98" s="168"/>
      <c r="J98" s="175">
        <f>H98/DAY(B2)</f>
        <v>2686.6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0.15265998457979954</v>
      </c>
      <c r="H99" s="99">
        <f>G99+'9'!H99</f>
        <v>1.4003120171036236</v>
      </c>
      <c r="I99" s="168"/>
      <c r="J99" s="175">
        <f>H99/DAY(B2)</f>
        <v>0.14003120171036237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1541</v>
      </c>
      <c r="H100" s="99">
        <f>G100+'9'!H100</f>
        <v>16399</v>
      </c>
      <c r="I100" s="118"/>
      <c r="J100" s="175">
        <f>H100/DAY(B2)</f>
        <v>1639.9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9.1394341972599491E-2</v>
      </c>
      <c r="H101" s="99">
        <f>G101+'9'!H101</f>
        <v>0.85452138242394637</v>
      </c>
      <c r="I101" s="168"/>
      <c r="J101" s="175">
        <f>H101/DAY(B2)</f>
        <v>8.5452138242394643E-2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1574</v>
      </c>
      <c r="H102" s="99">
        <f>G102+'9'!H102</f>
        <v>18117</v>
      </c>
      <c r="I102" s="168"/>
      <c r="J102" s="175">
        <f>H102/DAY(B2)</f>
        <v>1811.7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9.3351521262084097E-2</v>
      </c>
      <c r="H103" s="99">
        <f>G103+'9'!H103</f>
        <v>0.94164759099990225</v>
      </c>
      <c r="I103" s="118"/>
      <c r="J103" s="175">
        <f>H103/DAY(B2)</f>
        <v>9.4164759099990225E-2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1452</v>
      </c>
      <c r="H104" s="99">
        <f>G104+'9'!H104</f>
        <v>15136</v>
      </c>
      <c r="I104" s="118"/>
      <c r="J104" s="175">
        <f>H104/DAY(B2)</f>
        <v>1513.6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8.6115888737322815E-2</v>
      </c>
      <c r="H105" s="99">
        <f>G105+'9'!H105</f>
        <v>0.7888786398094505</v>
      </c>
      <c r="I105" s="187"/>
      <c r="J105" s="188">
        <f>H105/DAY(B2)</f>
        <v>7.888786398094505E-2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'9'!F112</f>
        <v>56351</v>
      </c>
      <c r="F112" s="237">
        <v>56428</v>
      </c>
      <c r="G112" s="112">
        <f t="shared" ref="G112:G123" si="9">F112-E112</f>
        <v>77</v>
      </c>
      <c r="H112" s="99">
        <f>G112+'9'!H112</f>
        <v>747</v>
      </c>
      <c r="I112" s="165"/>
      <c r="J112" s="328">
        <f>H112/DAY(B2)</f>
        <v>74.7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'9'!F113</f>
        <v>36226</v>
      </c>
      <c r="F113" s="237">
        <v>36678</v>
      </c>
      <c r="G113" s="112">
        <f t="shared" si="9"/>
        <v>452</v>
      </c>
      <c r="H113" s="99">
        <f>G113+'9'!H113</f>
        <v>4483</v>
      </c>
      <c r="I113" s="165"/>
      <c r="J113" s="328">
        <f>H113/DAY(B2)</f>
        <v>448.3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'9'!F114</f>
        <v>27257</v>
      </c>
      <c r="F114" s="237">
        <v>27526</v>
      </c>
      <c r="G114" s="112">
        <f t="shared" si="9"/>
        <v>269</v>
      </c>
      <c r="H114" s="99">
        <f>G114+'9'!H114</f>
        <v>2655</v>
      </c>
      <c r="I114" s="165"/>
      <c r="J114" s="328">
        <f>H114/DAY(B2)</f>
        <v>265.5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'9'!F115</f>
        <v>8878</v>
      </c>
      <c r="F115" s="237">
        <v>8888</v>
      </c>
      <c r="G115" s="112">
        <f t="shared" si="9"/>
        <v>10</v>
      </c>
      <c r="H115" s="99">
        <f>G115+'9'!H115</f>
        <v>103</v>
      </c>
      <c r="I115" s="165"/>
      <c r="J115" s="328">
        <f>H115/DAY(B2)</f>
        <v>10.3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'9'!F117</f>
        <v>2823</v>
      </c>
      <c r="F117" s="237">
        <v>2846</v>
      </c>
      <c r="G117" s="112">
        <f t="shared" si="9"/>
        <v>23</v>
      </c>
      <c r="H117" s="99">
        <f>G117+'9'!H117</f>
        <v>256</v>
      </c>
      <c r="I117" s="165"/>
      <c r="J117" s="328">
        <f>H117/DAY(B2)</f>
        <v>25.6</v>
      </c>
      <c r="Q117" s="843" t="s">
        <v>312</v>
      </c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'9'!F118</f>
        <v>244956</v>
      </c>
      <c r="F118" s="237">
        <v>245318</v>
      </c>
      <c r="G118" s="112">
        <f t="shared" si="9"/>
        <v>362</v>
      </c>
      <c r="H118" s="99">
        <f>G118+'9'!H118</f>
        <v>3671</v>
      </c>
      <c r="I118" s="165"/>
      <c r="J118" s="328">
        <f>H118/DAY(B2)</f>
        <v>367.1</v>
      </c>
      <c r="Q118" s="843" t="s">
        <v>311</v>
      </c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'9'!F119</f>
        <v>249048</v>
      </c>
      <c r="F119" s="237">
        <v>249459</v>
      </c>
      <c r="G119" s="112">
        <f t="shared" si="9"/>
        <v>411</v>
      </c>
      <c r="H119" s="99">
        <f>G119+'9'!H119</f>
        <v>4333</v>
      </c>
      <c r="I119" s="165"/>
      <c r="J119" s="328">
        <f>H119/DAY(B2)</f>
        <v>433.3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'9'!F120</f>
        <v>33867</v>
      </c>
      <c r="F120" s="237">
        <v>34277</v>
      </c>
      <c r="G120" s="112">
        <f t="shared" si="9"/>
        <v>410</v>
      </c>
      <c r="H120" s="99">
        <f>G120+'9'!H120</f>
        <v>4199</v>
      </c>
      <c r="I120" s="165"/>
      <c r="J120" s="328">
        <f>H120/DAY(B2)</f>
        <v>419.9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'9'!F121</f>
        <v>383229</v>
      </c>
      <c r="F121" s="237">
        <v>383891</v>
      </c>
      <c r="G121" s="112">
        <f t="shared" si="9"/>
        <v>662</v>
      </c>
      <c r="H121" s="99">
        <f>G121+'9'!H121</f>
        <v>7362</v>
      </c>
      <c r="I121" s="165"/>
      <c r="J121" s="328">
        <f>H121/DAY(B2)</f>
        <v>736.2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'9'!F122</f>
        <v>122083</v>
      </c>
      <c r="F122" s="237">
        <v>122258</v>
      </c>
      <c r="G122" s="112">
        <f t="shared" si="9"/>
        <v>175</v>
      </c>
      <c r="H122" s="99">
        <f>G122+'9'!H122</f>
        <v>2208</v>
      </c>
      <c r="I122" s="165"/>
      <c r="J122" s="328">
        <f>H122/DAY(B2)</f>
        <v>220.8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'9'!F123</f>
        <v>148043</v>
      </c>
      <c r="F123" s="237">
        <v>148345</v>
      </c>
      <c r="G123" s="112">
        <f t="shared" si="9"/>
        <v>302</v>
      </c>
      <c r="H123" s="99">
        <f>G123+'9'!H123</f>
        <v>3220</v>
      </c>
      <c r="I123" s="165"/>
      <c r="J123" s="328">
        <f>H123/DAY(B2)</f>
        <v>322</v>
      </c>
    </row>
    <row r="124" spans="1:18" ht="29.25" customHeight="1">
      <c r="A124" s="847"/>
      <c r="B124" s="848"/>
      <c r="C124" s="849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3153</v>
      </c>
      <c r="H125" s="156"/>
      <c r="I125" s="327">
        <f>G125-(G39+G53)</f>
        <v>579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'9'!F128</f>
        <v>40976</v>
      </c>
      <c r="F128" s="155">
        <v>41286</v>
      </c>
      <c r="G128" s="112">
        <f t="shared" ref="G128:G134" si="10">F128-E128</f>
        <v>310</v>
      </c>
      <c r="H128" s="99">
        <f>G128+'9'!H128</f>
        <v>3282</v>
      </c>
      <c r="I128" s="165"/>
      <c r="J128" s="328">
        <f>H128/DAY(B2)</f>
        <v>328.2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'9'!F129</f>
        <v>22281</v>
      </c>
      <c r="F129" s="155">
        <v>22490</v>
      </c>
      <c r="G129" s="112">
        <f t="shared" si="10"/>
        <v>209</v>
      </c>
      <c r="H129" s="99">
        <f>G129+'9'!H129</f>
        <v>2169</v>
      </c>
      <c r="I129" s="165"/>
      <c r="J129" s="328">
        <f>H129/DAY(B2)</f>
        <v>216.9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'9'!F130</f>
        <v>24387</v>
      </c>
      <c r="F130" s="155">
        <v>24896</v>
      </c>
      <c r="G130" s="112">
        <f t="shared" si="10"/>
        <v>509</v>
      </c>
      <c r="H130" s="99">
        <f>G130+'9'!H130</f>
        <v>6514</v>
      </c>
      <c r="I130" s="165"/>
      <c r="J130" s="328">
        <f>H130/DAY(B2)</f>
        <v>651.4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'9'!F131</f>
        <v>13825</v>
      </c>
      <c r="F131" s="155">
        <v>13906</v>
      </c>
      <c r="G131" s="112">
        <f t="shared" si="10"/>
        <v>81</v>
      </c>
      <c r="H131" s="99">
        <f>G131+'9'!H131</f>
        <v>753</v>
      </c>
      <c r="I131" s="165"/>
      <c r="J131" s="328">
        <f>H131/DAY(B2)</f>
        <v>75.3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'9'!F132</f>
        <v>45241</v>
      </c>
      <c r="F132" s="155">
        <v>45753</v>
      </c>
      <c r="G132" s="112">
        <f t="shared" si="10"/>
        <v>512</v>
      </c>
      <c r="H132" s="99">
        <f>G132+'9'!H132</f>
        <v>4730</v>
      </c>
      <c r="I132" s="165"/>
      <c r="J132" s="328">
        <f>H132/DAY(B2)</f>
        <v>473</v>
      </c>
    </row>
    <row r="133" spans="1:15" ht="27.75">
      <c r="A133" s="843" t="s">
        <v>323</v>
      </c>
      <c r="B133" s="844"/>
      <c r="C133" s="845"/>
      <c r="D133" s="151" t="s">
        <v>183</v>
      </c>
      <c r="E133" s="95">
        <f>'9'!F133</f>
        <v>94753</v>
      </c>
      <c r="F133" s="155">
        <v>95119</v>
      </c>
      <c r="G133" s="112">
        <f t="shared" si="10"/>
        <v>366</v>
      </c>
      <c r="H133" s="99">
        <f>G133+'9'!H133</f>
        <v>7416</v>
      </c>
      <c r="I133" s="165"/>
      <c r="J133" s="328">
        <f>H133/DAY(B2)</f>
        <v>741.6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v>674585</v>
      </c>
      <c r="F134" s="554">
        <v>675240</v>
      </c>
      <c r="G134" s="112">
        <f t="shared" si="10"/>
        <v>655</v>
      </c>
      <c r="H134" s="99">
        <f>G134+'9'!H134</f>
        <v>6360</v>
      </c>
      <c r="I134" s="165"/>
      <c r="J134" s="328">
        <f>H134/DAY(B2)</f>
        <v>636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2642</v>
      </c>
      <c r="H135" s="99">
        <f>G135+'9'!H135</f>
        <v>31224</v>
      </c>
      <c r="I135" s="327">
        <f>G135-(G35+G49)</f>
        <v>-110</v>
      </c>
      <c r="J135" s="328">
        <f>H135/DAY(B2)</f>
        <v>3122.4</v>
      </c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'9'!F138</f>
        <v>864791</v>
      </c>
      <c r="F138" s="147">
        <v>864833</v>
      </c>
      <c r="G138" s="112">
        <f t="shared" ref="G138:G152" si="11">F138-E138</f>
        <v>42</v>
      </c>
      <c r="H138" s="99">
        <f>G138+'9'!H138</f>
        <v>662</v>
      </c>
      <c r="I138" s="118"/>
      <c r="J138" s="328">
        <f>H138/DAY(B2)</f>
        <v>66.2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'9'!F139</f>
        <v>886549</v>
      </c>
      <c r="F139" s="148">
        <v>886549</v>
      </c>
      <c r="G139" s="112">
        <f t="shared" si="11"/>
        <v>0</v>
      </c>
      <c r="H139" s="99">
        <f>G139+'9'!H139</f>
        <v>3</v>
      </c>
      <c r="I139" s="118"/>
      <c r="J139" s="328">
        <f>H139/DAY(B2)</f>
        <v>0.3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'9'!F140</f>
        <v>88898</v>
      </c>
      <c r="F140" s="149">
        <v>88898</v>
      </c>
      <c r="G140" s="112">
        <f t="shared" si="11"/>
        <v>0</v>
      </c>
      <c r="H140" s="99">
        <f>G140+'9'!H140</f>
        <v>16</v>
      </c>
      <c r="I140" s="118"/>
      <c r="J140" s="328">
        <f>H140/DAY(B2)</f>
        <v>1.6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'9'!F141</f>
        <v>50890</v>
      </c>
      <c r="F141" s="149">
        <v>51065</v>
      </c>
      <c r="G141" s="112">
        <f t="shared" si="11"/>
        <v>175</v>
      </c>
      <c r="H141" s="99">
        <f>G141+'9'!H141</f>
        <v>1759</v>
      </c>
      <c r="I141" s="118"/>
      <c r="J141" s="328">
        <f>H141/DAY(B2)</f>
        <v>175.9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'9'!F142</f>
        <v>19639</v>
      </c>
      <c r="F142" s="148">
        <v>19705</v>
      </c>
      <c r="G142" s="112">
        <f t="shared" si="11"/>
        <v>66</v>
      </c>
      <c r="H142" s="99">
        <f>G142+'9'!H142</f>
        <v>696</v>
      </c>
      <c r="I142" s="140"/>
      <c r="J142" s="328">
        <f>H142/DAY(B2)</f>
        <v>69.599999999999994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'9'!F143</f>
        <v>3273</v>
      </c>
      <c r="F143" s="149">
        <v>3295</v>
      </c>
      <c r="G143" s="112">
        <f t="shared" si="11"/>
        <v>22</v>
      </c>
      <c r="H143" s="99">
        <f>G143+'9'!H143</f>
        <v>234</v>
      </c>
      <c r="I143" s="140"/>
      <c r="J143" s="328">
        <f>H143/DAY(B2)</f>
        <v>23.4</v>
      </c>
      <c r="O143" s="148">
        <v>582206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'9'!F144</f>
        <v>871704</v>
      </c>
      <c r="F144" s="149">
        <v>871932</v>
      </c>
      <c r="G144" s="112">
        <f t="shared" si="11"/>
        <v>228</v>
      </c>
      <c r="H144" s="99">
        <f>G144+'9'!H144</f>
        <v>2262</v>
      </c>
      <c r="I144" s="140"/>
      <c r="J144" s="328">
        <f>H144/DAY(B2)</f>
        <v>226.2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'9'!F145</f>
        <v>4712</v>
      </c>
      <c r="F145" s="149">
        <v>4723</v>
      </c>
      <c r="G145" s="112">
        <f t="shared" si="11"/>
        <v>11</v>
      </c>
      <c r="H145" s="99">
        <f>G145+'9'!H145</f>
        <v>165</v>
      </c>
      <c r="I145" s="140"/>
      <c r="J145" s="328">
        <f>H145/DAY(B2)</f>
        <v>16.5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'9'!F146</f>
        <v>728816</v>
      </c>
      <c r="F146" s="148">
        <v>729178</v>
      </c>
      <c r="G146" s="112">
        <f t="shared" si="11"/>
        <v>362</v>
      </c>
      <c r="H146" s="99">
        <f>G146+'9'!H146</f>
        <v>4320</v>
      </c>
      <c r="I146" s="140"/>
      <c r="J146" s="328">
        <f>H146/DAY(B2)</f>
        <v>432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'9'!F147</f>
        <v>618802</v>
      </c>
      <c r="F147" s="148">
        <v>619176</v>
      </c>
      <c r="G147" s="112">
        <f t="shared" si="11"/>
        <v>374</v>
      </c>
      <c r="H147" s="99">
        <f>G147+'9'!H147</f>
        <v>3894</v>
      </c>
      <c r="I147" s="140"/>
      <c r="J147" s="328">
        <f>H147/DAY(B2)</f>
        <v>389.4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'9'!F148</f>
        <v>685430</v>
      </c>
      <c r="F148" s="150">
        <v>685651</v>
      </c>
      <c r="G148" s="112">
        <f t="shared" si="11"/>
        <v>221</v>
      </c>
      <c r="H148" s="99">
        <f>G148+'9'!H148</f>
        <v>2617.8800000000047</v>
      </c>
      <c r="I148" s="124"/>
      <c r="J148" s="328">
        <f>H148/DAY(B2)</f>
        <v>261.78800000000047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'9'!F149</f>
        <v>14582</v>
      </c>
      <c r="F149" s="146">
        <v>15006</v>
      </c>
      <c r="G149" s="112">
        <f t="shared" si="11"/>
        <v>424</v>
      </c>
      <c r="H149" s="99">
        <f>G149+'9'!H149</f>
        <v>4257</v>
      </c>
      <c r="I149" s="119"/>
      <c r="J149" s="328">
        <f>H149/DAY(B2)</f>
        <v>425.7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'9'!F150</f>
        <v>6042</v>
      </c>
      <c r="F150" s="233">
        <v>6256</v>
      </c>
      <c r="G150" s="112">
        <f t="shared" si="11"/>
        <v>214</v>
      </c>
      <c r="H150" s="99">
        <f>G150+'9'!H150</f>
        <v>2204</v>
      </c>
      <c r="I150" s="119"/>
      <c r="J150" s="328">
        <f>H150/DAY(B2)</f>
        <v>220.4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'9'!F151</f>
        <v>80408</v>
      </c>
      <c r="F151" s="233">
        <v>80626</v>
      </c>
      <c r="G151" s="112">
        <f t="shared" si="11"/>
        <v>218</v>
      </c>
      <c r="H151" s="99">
        <f>G151+'9'!H151</f>
        <v>2409</v>
      </c>
      <c r="I151" s="119"/>
      <c r="J151" s="328">
        <f>H151/DAY(B2)</f>
        <v>240.9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'9'!F152</f>
        <v>1305</v>
      </c>
      <c r="F152" s="233">
        <v>1320</v>
      </c>
      <c r="G152" s="112">
        <f t="shared" si="11"/>
        <v>15</v>
      </c>
      <c r="H152" s="99">
        <f>G152+'9'!H152</f>
        <v>193</v>
      </c>
      <c r="I152" s="119"/>
      <c r="J152" s="328">
        <f>H152/DAY(B2)</f>
        <v>19.3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2372</v>
      </c>
      <c r="H153" s="363"/>
      <c r="I153" s="119">
        <f>G153-(G38+G52)</f>
        <v>831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'9'!F155</f>
        <v>18559</v>
      </c>
      <c r="F155" s="374">
        <v>19161</v>
      </c>
      <c r="G155" s="112">
        <f t="shared" ref="G155:G156" si="12">F155-E155</f>
        <v>602</v>
      </c>
      <c r="H155" s="99">
        <f>G155+'9'!H155</f>
        <v>5689</v>
      </c>
      <c r="I155" s="364"/>
      <c r="J155" s="328">
        <f>H155/DAY(B2)</f>
        <v>568.9</v>
      </c>
    </row>
    <row r="156" spans="1:10" ht="27.75">
      <c r="A156" s="823" t="s">
        <v>346</v>
      </c>
      <c r="B156" s="823"/>
      <c r="C156" s="823"/>
      <c r="D156" s="117" t="s">
        <v>130</v>
      </c>
      <c r="E156" s="95">
        <f>'9'!F156</f>
        <v>1508</v>
      </c>
      <c r="F156" s="155">
        <v>1560</v>
      </c>
      <c r="G156" s="112">
        <f t="shared" si="12"/>
        <v>52</v>
      </c>
      <c r="H156" s="99">
        <f>G156+'9'!H156</f>
        <v>472</v>
      </c>
      <c r="I156" s="165"/>
      <c r="J156" s="328">
        <f>H156/DAY(B2)</f>
        <v>47.2</v>
      </c>
    </row>
    <row r="157" spans="1:10" ht="27.75">
      <c r="A157" s="824" t="s">
        <v>364</v>
      </c>
      <c r="B157" s="825"/>
      <c r="C157" s="82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>
      <c r="A158" s="824" t="s">
        <v>365</v>
      </c>
      <c r="B158" s="825"/>
      <c r="C158" s="82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>
      <c r="A159" s="907"/>
      <c r="B159" s="908"/>
      <c r="C159" s="909"/>
      <c r="D159" s="117"/>
      <c r="E159" s="95"/>
      <c r="F159" s="15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'9'!F161</f>
        <v>471231</v>
      </c>
      <c r="F161" s="235">
        <v>471296</v>
      </c>
      <c r="G161" s="238">
        <f t="shared" ref="G161:G165" si="13">F161-E161</f>
        <v>65</v>
      </c>
      <c r="H161" s="99">
        <f>G161+'9'!H161</f>
        <v>142.84000000002561</v>
      </c>
      <c r="I161" s="236"/>
      <c r="J161" s="239">
        <f>H161/DAY(B2)</f>
        <v>14.28400000000256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'9'!F162</f>
        <v>87796</v>
      </c>
      <c r="F162" s="235">
        <v>87824</v>
      </c>
      <c r="G162" s="238">
        <f t="shared" si="13"/>
        <v>28</v>
      </c>
      <c r="H162" s="99">
        <f>G162+'9'!H162</f>
        <v>254</v>
      </c>
      <c r="I162" s="236"/>
      <c r="J162" s="239">
        <f>H162/DAY(B2)</f>
        <v>25.4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'9'!F163</f>
        <v>78188</v>
      </c>
      <c r="F163" s="235">
        <v>78249</v>
      </c>
      <c r="G163" s="238">
        <f t="shared" si="13"/>
        <v>61</v>
      </c>
      <c r="H163" s="99">
        <f>G163+'9'!H163</f>
        <v>424</v>
      </c>
      <c r="I163" s="236"/>
      <c r="J163" s="239">
        <f>H163/DAY(B2)</f>
        <v>42.4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'9'!F164</f>
        <v>4255</v>
      </c>
      <c r="F164" s="235">
        <v>4257</v>
      </c>
      <c r="G164" s="238">
        <f t="shared" si="13"/>
        <v>2</v>
      </c>
      <c r="H164" s="99">
        <f>G164+'9'!H164</f>
        <v>15</v>
      </c>
      <c r="I164" s="236"/>
      <c r="J164" s="239">
        <f>H164/DAY(B2)</f>
        <v>1.5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'9'!F165</f>
        <v>29697</v>
      </c>
      <c r="F165" s="235">
        <v>29708</v>
      </c>
      <c r="G165" s="238">
        <f t="shared" si="13"/>
        <v>11</v>
      </c>
      <c r="H165" s="99">
        <f>G165+'9'!H165</f>
        <v>62</v>
      </c>
      <c r="I165" s="236"/>
      <c r="J165" s="239">
        <f>H165/DAY(B2)</f>
        <v>6.2</v>
      </c>
    </row>
    <row r="166" spans="1:10" ht="29.25">
      <c r="A166" s="832"/>
      <c r="B166" s="832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'9'!F173</f>
        <v>8126</v>
      </c>
      <c r="F173" s="155">
        <v>8126</v>
      </c>
      <c r="G173" s="155">
        <f>F173-E173</f>
        <v>0</v>
      </c>
      <c r="H173" s="99">
        <f>G173+'9'!H173</f>
        <v>0</v>
      </c>
      <c r="I173" s="155"/>
      <c r="J173" s="178">
        <f>H173/DAY(B2)</f>
        <v>0</v>
      </c>
    </row>
    <row r="174" spans="1:10" ht="34.5" customHeight="1">
      <c r="A174" s="836" t="s">
        <v>75</v>
      </c>
      <c r="B174" s="837"/>
      <c r="C174" s="333"/>
      <c r="D174" s="228" t="s">
        <v>142</v>
      </c>
      <c r="E174" s="95">
        <f>'9'!F174</f>
        <v>38388</v>
      </c>
      <c r="F174" s="157">
        <v>38389</v>
      </c>
      <c r="G174" s="155">
        <f t="shared" ref="G174:G175" si="14">F174-E174</f>
        <v>1</v>
      </c>
      <c r="H174" s="99">
        <f>G174+'9'!H174</f>
        <v>96</v>
      </c>
      <c r="I174" s="155"/>
      <c r="J174" s="178">
        <f>H174/DAY(B2)</f>
        <v>9.6</v>
      </c>
    </row>
    <row r="175" spans="1:10" ht="31.5" customHeight="1">
      <c r="A175" s="836" t="s">
        <v>76</v>
      </c>
      <c r="B175" s="876"/>
      <c r="C175" s="837"/>
      <c r="D175" s="228" t="s">
        <v>142</v>
      </c>
      <c r="E175" s="95">
        <f>'9'!F175</f>
        <v>21606</v>
      </c>
      <c r="F175" s="155">
        <v>21610</v>
      </c>
      <c r="G175" s="155">
        <f t="shared" si="14"/>
        <v>4</v>
      </c>
      <c r="H175" s="99">
        <f>G175+'9'!H175</f>
        <v>92</v>
      </c>
      <c r="I175" s="155"/>
      <c r="J175" s="178">
        <f>H175/DAY(B2)</f>
        <v>9.1999999999999993</v>
      </c>
    </row>
    <row r="176" spans="1:10" ht="21.75" customHeight="1">
      <c r="A176" s="827" t="s">
        <v>196</v>
      </c>
      <c r="B176" s="828"/>
      <c r="C176" s="333"/>
      <c r="D176" s="228"/>
      <c r="E176" s="95"/>
      <c r="F176" s="155"/>
      <c r="G176" s="155">
        <f>SUM(G173:G175)</f>
        <v>5</v>
      </c>
      <c r="H176" s="99">
        <f>G176+'9'!H176</f>
        <v>188</v>
      </c>
      <c r="I176" s="155"/>
      <c r="J176" s="178">
        <f>H176/DAY(B2)</f>
        <v>18.8</v>
      </c>
    </row>
    <row r="177" spans="1:10" ht="27.7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36" t="s">
        <v>210</v>
      </c>
      <c r="B178" s="837"/>
      <c r="C178" s="333"/>
      <c r="D178" s="228" t="s">
        <v>142</v>
      </c>
      <c r="E178" s="95">
        <f>'9'!F178</f>
        <v>80229</v>
      </c>
      <c r="F178" s="155">
        <v>80270</v>
      </c>
      <c r="G178" s="155">
        <f>F178-E178</f>
        <v>41</v>
      </c>
      <c r="H178" s="99">
        <f>G178+'9'!H178</f>
        <v>656</v>
      </c>
      <c r="I178" s="155"/>
      <c r="J178" s="178">
        <f>H178/DAY(B2)</f>
        <v>65.599999999999994</v>
      </c>
    </row>
    <row r="179" spans="1:10" ht="27.75" customHeight="1">
      <c r="A179" s="836" t="s">
        <v>211</v>
      </c>
      <c r="B179" s="837"/>
      <c r="C179" s="333"/>
      <c r="D179" s="228" t="s">
        <v>142</v>
      </c>
      <c r="E179" s="95">
        <f>'9'!F179</f>
        <v>34070</v>
      </c>
      <c r="F179" s="155">
        <v>34093</v>
      </c>
      <c r="G179" s="155">
        <f t="shared" ref="G179:G180" si="15">F179-E179</f>
        <v>23</v>
      </c>
      <c r="H179" s="99">
        <f>G179+'9'!H179</f>
        <v>178</v>
      </c>
      <c r="I179" s="155"/>
      <c r="J179" s="178">
        <f>H179/DAY(B2)</f>
        <v>17.8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'9'!F180</f>
        <v>5544</v>
      </c>
      <c r="F180" s="155">
        <v>5544</v>
      </c>
      <c r="G180" s="155">
        <f t="shared" si="15"/>
        <v>0</v>
      </c>
      <c r="H180" s="99">
        <f>G180+'9'!H180</f>
        <v>67</v>
      </c>
      <c r="I180" s="155"/>
      <c r="J180" s="178">
        <f>H180/DAY(B2)</f>
        <v>6.7</v>
      </c>
    </row>
    <row r="181" spans="1:10" ht="27.75">
      <c r="A181" s="838" t="s">
        <v>108</v>
      </c>
      <c r="B181" s="839"/>
      <c r="C181" s="333"/>
      <c r="D181" s="228"/>
      <c r="E181" s="95"/>
      <c r="F181" s="155"/>
      <c r="G181" s="155">
        <f>SUM(G178:G180)</f>
        <v>64</v>
      </c>
      <c r="H181" s="99">
        <f>G181+'9'!H181</f>
        <v>901</v>
      </c>
      <c r="I181" s="155"/>
      <c r="J181" s="178">
        <f>H181/DAY(B2)</f>
        <v>90.1</v>
      </c>
    </row>
    <row r="182" spans="1:10" ht="27.75">
      <c r="A182" s="836" t="s">
        <v>213</v>
      </c>
      <c r="B182" s="837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'9'!F183</f>
        <v>15073</v>
      </c>
      <c r="F183" s="157">
        <v>15084</v>
      </c>
      <c r="G183" s="157">
        <f>F183-E183</f>
        <v>11</v>
      </c>
      <c r="H183" s="99">
        <f>G183+'9'!H183</f>
        <v>137</v>
      </c>
      <c r="I183" s="155"/>
      <c r="J183" s="178">
        <f>H183/DAY(B2)</f>
        <v>13.7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'9'!F184</f>
        <v>10369</v>
      </c>
      <c r="F184" s="157">
        <v>10373</v>
      </c>
      <c r="G184" s="157">
        <f t="shared" ref="G184:G185" si="16">F184-E184</f>
        <v>4</v>
      </c>
      <c r="H184" s="99">
        <f>G184+'9'!H184</f>
        <v>72</v>
      </c>
      <c r="I184" s="155"/>
      <c r="J184" s="178">
        <f>H184/DAY(B2)</f>
        <v>7.2</v>
      </c>
    </row>
    <row r="185" spans="1:10" ht="37.5" customHeight="1">
      <c r="A185" s="836" t="s">
        <v>216</v>
      </c>
      <c r="B185" s="837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827" t="s">
        <v>196</v>
      </c>
      <c r="B186" s="828"/>
      <c r="C186" s="334"/>
      <c r="D186" s="229"/>
      <c r="E186" s="95"/>
      <c r="F186" s="157"/>
      <c r="G186" s="157">
        <f>SUM(G183:G185)</f>
        <v>15</v>
      </c>
      <c r="H186" s="99">
        <f>G186+'9'!H186</f>
        <v>209</v>
      </c>
      <c r="I186" s="157"/>
      <c r="J186" s="178">
        <f>H186/DAY(B2)</f>
        <v>20.9</v>
      </c>
    </row>
    <row r="187" spans="1:10" ht="21.75" customHeight="1">
      <c r="A187" s="829" t="s">
        <v>217</v>
      </c>
      <c r="B187" s="830"/>
      <c r="C187" s="333"/>
      <c r="D187" s="230" t="s">
        <v>142</v>
      </c>
      <c r="E187" s="95"/>
      <c r="F187" s="159"/>
      <c r="G187" s="553">
        <f>G62+G19</f>
        <v>115</v>
      </c>
      <c r="H187" s="99">
        <f>G187+'9'!H187</f>
        <v>1122</v>
      </c>
      <c r="I187" s="158"/>
      <c r="J187" s="179">
        <f>H187/DAY(B2)</f>
        <v>112.2</v>
      </c>
    </row>
    <row r="188" spans="1:10" ht="21.75" customHeight="1">
      <c r="A188" s="829" t="s">
        <v>218</v>
      </c>
      <c r="B188" s="830"/>
      <c r="C188" s="333"/>
      <c r="D188" s="230" t="s">
        <v>142</v>
      </c>
      <c r="E188" s="95"/>
      <c r="F188" s="159"/>
      <c r="G188" s="553">
        <f>G65+G66+G67+G69+G70</f>
        <v>106</v>
      </c>
      <c r="H188" s="99">
        <f>G188+'9'!H188</f>
        <v>1381</v>
      </c>
      <c r="I188" s="158"/>
      <c r="J188" s="179">
        <f>H188/DAY(B2)</f>
        <v>138.1</v>
      </c>
    </row>
    <row r="189" spans="1:10" ht="21.75" customHeight="1">
      <c r="A189" s="829" t="s">
        <v>219</v>
      </c>
      <c r="B189" s="830"/>
      <c r="C189" s="333"/>
      <c r="D189" s="230" t="s">
        <v>142</v>
      </c>
      <c r="E189" s="95"/>
      <c r="F189" s="157"/>
      <c r="G189" s="532">
        <f>G181</f>
        <v>64</v>
      </c>
      <c r="H189" s="99">
        <f>G189+'9'!H189</f>
        <v>901</v>
      </c>
      <c r="I189" s="158"/>
      <c r="J189" s="179">
        <f>H189/DAY(B2)</f>
        <v>90.1</v>
      </c>
    </row>
    <row r="190" spans="1:10" ht="27" customHeight="1">
      <c r="A190" s="750"/>
      <c r="B190" s="751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9.25"/>
    <row r="204" ht="29.25"/>
    <row r="205" ht="29.25"/>
    <row r="206" ht="29.25"/>
    <row r="207" ht="29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topLeftCell="A10" zoomScale="55" zoomScaleNormal="55" workbookViewId="0">
      <selection activeCell="F24" sqref="F24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30.75" customHeight="1">
      <c r="A2" s="191" t="s">
        <v>357</v>
      </c>
      <c r="B2" s="262">
        <v>44572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23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'10'!F7</f>
        <v>286839</v>
      </c>
      <c r="F7" s="95">
        <v>303864</v>
      </c>
      <c r="G7" s="112">
        <f>F7-E7</f>
        <v>17025</v>
      </c>
      <c r="H7" s="99">
        <f>G7+'10'!H7</f>
        <v>209303</v>
      </c>
      <c r="I7" s="113">
        <f>'1'!I7</f>
        <v>12000</v>
      </c>
      <c r="J7" s="175">
        <f>H7/DAY(B2)</f>
        <v>19027.545454545456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'10'!F8</f>
        <v>337000</v>
      </c>
      <c r="F8" s="95">
        <v>354262</v>
      </c>
      <c r="G8" s="115">
        <f>F8-E8</f>
        <v>17262</v>
      </c>
      <c r="H8" s="99">
        <f>G8+'10'!H8</f>
        <v>213377</v>
      </c>
      <c r="I8" s="116"/>
      <c r="J8" s="175">
        <f>H8/DAY(B2)</f>
        <v>19397.909090909092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'10'!F9</f>
        <v>22761</v>
      </c>
      <c r="F9" s="601">
        <v>33440</v>
      </c>
      <c r="G9" s="112">
        <f>F9-E9</f>
        <v>10679</v>
      </c>
      <c r="H9" s="99">
        <f>G9+'10'!H9</f>
        <v>131945</v>
      </c>
      <c r="I9" s="124">
        <f>I7-J7</f>
        <v>-7027.5454545454559</v>
      </c>
      <c r="J9" s="175">
        <f>H9/DAY(B2)</f>
        <v>11995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'10'!F10</f>
        <v>10806</v>
      </c>
      <c r="F10" s="353">
        <v>16672</v>
      </c>
      <c r="G10" s="112">
        <f t="shared" ref="G10:G12" si="0">F10-E10</f>
        <v>5866</v>
      </c>
      <c r="H10" s="99">
        <f>G10+'10'!H10</f>
        <v>71578</v>
      </c>
      <c r="I10" s="282"/>
      <c r="J10" s="175">
        <f>H10/DAY(B2)</f>
        <v>6507.090909090909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16545</v>
      </c>
      <c r="H13" s="99">
        <f>G13+'10'!H13</f>
        <v>184057.74999999988</v>
      </c>
      <c r="I13" s="120">
        <f>G7-G13</f>
        <v>480</v>
      </c>
      <c r="J13" s="175">
        <f>H13/DAY(B2)</f>
        <v>16732.522727272717</v>
      </c>
      <c r="K13" s="79"/>
      <c r="L13" s="66"/>
      <c r="N13" s="87"/>
      <c r="O13" s="71"/>
    </row>
    <row r="14" spans="1:15" ht="30.7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'10'!F15</f>
        <v>1887358</v>
      </c>
      <c r="F15" s="601">
        <v>1888289</v>
      </c>
      <c r="G15" s="112">
        <f>(F15-E15)</f>
        <v>931</v>
      </c>
      <c r="H15" s="99">
        <f>G15+'10'!H15</f>
        <v>9859</v>
      </c>
      <c r="I15" s="113">
        <f>'1'!I15</f>
        <v>800</v>
      </c>
      <c r="J15" s="175">
        <f>H15/DAY(B2)</f>
        <v>896.27272727272725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-96.272727272727252</v>
      </c>
      <c r="J16" s="176"/>
      <c r="K16" s="79"/>
      <c r="L16" s="66"/>
      <c r="N16" s="87"/>
      <c r="O16" s="71"/>
    </row>
    <row r="17" spans="1:15" ht="30.7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4" t="s">
        <v>141</v>
      </c>
      <c r="B18" s="865"/>
      <c r="C18" s="866"/>
      <c r="D18" s="151" t="s">
        <v>142</v>
      </c>
      <c r="E18" s="95">
        <f>'10'!F18</f>
        <v>7</v>
      </c>
      <c r="F18" s="122">
        <v>8</v>
      </c>
      <c r="G18" s="119">
        <f>F18*10</f>
        <v>80</v>
      </c>
      <c r="H18" s="99">
        <f>G18+'10'!H18</f>
        <v>1330</v>
      </c>
      <c r="I18" s="113">
        <f>'1'!I18</f>
        <v>65</v>
      </c>
      <c r="J18" s="175">
        <f>H18/DAY(B2)</f>
        <v>120.90909090909091</v>
      </c>
      <c r="K18" s="79"/>
      <c r="L18" s="66"/>
      <c r="N18" s="87"/>
      <c r="O18" s="71"/>
    </row>
    <row r="19" spans="1:15" ht="30.75" customHeight="1">
      <c r="A19" s="864" t="s">
        <v>69</v>
      </c>
      <c r="B19" s="865"/>
      <c r="C19" s="866"/>
      <c r="D19" s="151" t="s">
        <v>142</v>
      </c>
      <c r="E19" s="95">
        <f>'10'!F19</f>
        <v>152749</v>
      </c>
      <c r="F19" s="122">
        <v>152799</v>
      </c>
      <c r="G19" s="112">
        <f t="shared" ref="G19" si="1">F19-E19</f>
        <v>50</v>
      </c>
      <c r="H19" s="99">
        <f>G19+'10'!H19</f>
        <v>574</v>
      </c>
      <c r="I19" s="335"/>
      <c r="J19" s="175">
        <f>H19/DAY(B2)</f>
        <v>52.18181818181818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130</v>
      </c>
      <c r="H20" s="99">
        <f>G20+'10'!H20</f>
        <v>1904</v>
      </c>
      <c r="I20" s="336">
        <f>I18-J20</f>
        <v>-108.09090909090909</v>
      </c>
      <c r="J20" s="175">
        <f>H20/DAY(B2)</f>
        <v>173.09090909090909</v>
      </c>
      <c r="K20" s="79"/>
      <c r="L20" s="66"/>
      <c r="N20" s="87"/>
      <c r="O20" s="71"/>
    </row>
    <row r="21" spans="1:15" ht="30.7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17262</v>
      </c>
      <c r="F27" s="136">
        <v>9</v>
      </c>
      <c r="G27" s="137">
        <f>E27*F27</f>
        <v>155358</v>
      </c>
      <c r="H27" s="99">
        <f>G27+'10'!H27</f>
        <v>1920393</v>
      </c>
      <c r="I27" s="138"/>
      <c r="J27" s="175">
        <f>H27/DAY(B2)</f>
        <v>174581.18181818182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931</v>
      </c>
      <c r="F28" s="136">
        <v>52</v>
      </c>
      <c r="G28" s="137">
        <f>E28*F28</f>
        <v>48412</v>
      </c>
      <c r="H28" s="99">
        <f>G28+'10'!H28</f>
        <v>512668</v>
      </c>
      <c r="I28" s="140"/>
      <c r="J28" s="175">
        <f>H28/DAY(B2)</f>
        <v>46606.181818181816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G30+'10'!H30</f>
        <v>83804</v>
      </c>
      <c r="I30" s="140"/>
      <c r="J30" s="175">
        <f>H30/DAY(B2)</f>
        <v>7618.545454545455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G31+'10'!H31</f>
        <v>106400</v>
      </c>
      <c r="I31" s="140"/>
      <c r="J31" s="175">
        <f>H31/DAY(B2)</f>
        <v>9672.7272727272721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217470</v>
      </c>
      <c r="H32" s="99">
        <f>G32+'10'!H32</f>
        <v>2623265</v>
      </c>
      <c r="I32" s="144"/>
      <c r="J32" s="175">
        <f>H32/DAY(B2)</f>
        <v>238478.63636363635</v>
      </c>
      <c r="K32" s="63"/>
      <c r="L32" s="89"/>
      <c r="N32" s="87"/>
      <c r="O32" s="71"/>
    </row>
    <row r="33" spans="1:15" ht="30.7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3397</v>
      </c>
      <c r="F35" s="145">
        <v>4860</v>
      </c>
      <c r="G35" s="112">
        <f t="shared" ref="G35:G46" si="3">F35-E35</f>
        <v>1463</v>
      </c>
      <c r="H35" s="99">
        <f>G35+'10'!H35</f>
        <v>20060</v>
      </c>
      <c r="I35" s="95"/>
      <c r="J35" s="175">
        <f>H35/DAY(B2)</f>
        <v>1823.6363636363637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29309</v>
      </c>
      <c r="F36" s="145">
        <v>29899</v>
      </c>
      <c r="G36" s="112">
        <f t="shared" si="3"/>
        <v>590</v>
      </c>
      <c r="H36" s="99">
        <f>G36+'10'!H36</f>
        <v>8372</v>
      </c>
      <c r="I36" s="95"/>
      <c r="J36" s="175">
        <f>H36/DAY(B2)</f>
        <v>761.09090909090912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2924</v>
      </c>
      <c r="F37" s="145">
        <v>4369</v>
      </c>
      <c r="G37" s="112">
        <f t="shared" si="3"/>
        <v>1445</v>
      </c>
      <c r="H37" s="99">
        <f>G37+'10'!H37</f>
        <v>16581</v>
      </c>
      <c r="I37" s="95"/>
      <c r="J37" s="175">
        <f>H37/DAY(B2)</f>
        <v>1507.3636363636363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3199</v>
      </c>
      <c r="F38" s="108">
        <v>4693</v>
      </c>
      <c r="G38" s="112">
        <f t="shared" si="3"/>
        <v>1494</v>
      </c>
      <c r="H38" s="99">
        <f>G38+'10'!H38</f>
        <v>17893</v>
      </c>
      <c r="I38" s="95"/>
      <c r="J38" s="175">
        <f>H38/DAY(B2)</f>
        <v>1626.6363636363637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5184</v>
      </c>
      <c r="F39" s="145">
        <v>7655</v>
      </c>
      <c r="G39" s="112">
        <f t="shared" si="3"/>
        <v>2471</v>
      </c>
      <c r="H39" s="99">
        <f>G39+'10'!H39</f>
        <v>29337</v>
      </c>
      <c r="I39" s="95"/>
      <c r="J39" s="175">
        <f>H39/DAY(B2)</f>
        <v>2667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9242</v>
      </c>
      <c r="F40" s="145">
        <v>9994</v>
      </c>
      <c r="G40" s="112">
        <f t="shared" si="3"/>
        <v>752</v>
      </c>
      <c r="H40" s="99">
        <f>G40+'10'!H40</f>
        <v>4384</v>
      </c>
      <c r="I40" s="95"/>
      <c r="J40" s="175">
        <f>H40/DAY(B2)</f>
        <v>398.54545454545456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0</v>
      </c>
      <c r="F41" s="145">
        <v>0</v>
      </c>
      <c r="G41" s="112">
        <f t="shared" si="3"/>
        <v>0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73808.600000000006</v>
      </c>
      <c r="F42" s="145">
        <v>73809</v>
      </c>
      <c r="G42" s="112">
        <f t="shared" si="3"/>
        <v>0.39999999999417923</v>
      </c>
      <c r="H42" s="99">
        <f>G42+'10'!H42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70656</v>
      </c>
      <c r="F43" s="376">
        <v>72696</v>
      </c>
      <c r="G43" s="112">
        <f t="shared" si="3"/>
        <v>2040</v>
      </c>
      <c r="H43" s="99">
        <f>G43+'10'!H43</f>
        <v>25435</v>
      </c>
      <c r="I43" s="95"/>
      <c r="J43" s="175">
        <f>H43/DAY(B2)</f>
        <v>2312.2727272727275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10255.399999999994</v>
      </c>
      <c r="H47" s="99">
        <f>G47+'10'!H47</f>
        <v>122062</v>
      </c>
      <c r="I47" s="95"/>
      <c r="J47" s="175">
        <f>H47/DAY(B2)</f>
        <v>11096.545454545454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2444</v>
      </c>
      <c r="F49" s="145">
        <v>3680</v>
      </c>
      <c r="G49" s="112">
        <f t="shared" ref="G49:G58" si="4">F49-E49</f>
        <v>1236</v>
      </c>
      <c r="H49" s="99">
        <f>G49+'10'!H49</f>
        <v>16801</v>
      </c>
      <c r="I49" s="95"/>
      <c r="J49" s="175">
        <f>H49/DAY(B2)</f>
        <v>1527.3636363636363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34985</v>
      </c>
      <c r="F50" s="145">
        <v>35964</v>
      </c>
      <c r="G50" s="112">
        <f t="shared" si="4"/>
        <v>979</v>
      </c>
      <c r="H50" s="99">
        <f>G50+'10'!H50</f>
        <v>11314</v>
      </c>
      <c r="I50" s="95"/>
      <c r="J50" s="175">
        <f>H50/DAY(B2)</f>
        <v>1028.5454545454545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1255</v>
      </c>
      <c r="F54" s="145">
        <v>1724</v>
      </c>
      <c r="G54" s="112">
        <f t="shared" si="4"/>
        <v>469</v>
      </c>
      <c r="H54" s="99">
        <f>G54+'10'!H54</f>
        <v>3491.08</v>
      </c>
      <c r="I54" s="95"/>
      <c r="J54" s="175">
        <f>H54/DAY(B2)</f>
        <v>317.37090909090909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33991</v>
      </c>
      <c r="F55" s="145">
        <v>36897</v>
      </c>
      <c r="G55" s="112">
        <f t="shared" si="4"/>
        <v>2906</v>
      </c>
      <c r="H55" s="99">
        <f>G55+'10'!H55</f>
        <v>33386</v>
      </c>
      <c r="I55" s="95"/>
      <c r="J55" s="175">
        <f>H55/DAY(B2)</f>
        <v>3035.090909090909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8611</v>
      </c>
      <c r="F56" s="376">
        <v>8611</v>
      </c>
      <c r="G56" s="112">
        <f t="shared" si="4"/>
        <v>0</v>
      </c>
      <c r="H56" s="99">
        <f>G56+'10'!H56</f>
        <v>0.45999999999912689</v>
      </c>
      <c r="I56" s="95"/>
      <c r="J56" s="175">
        <f>H56/DAY(B2)</f>
        <v>4.1818181818102443E-2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1098</v>
      </c>
      <c r="F58" s="145">
        <v>1329</v>
      </c>
      <c r="G58" s="112">
        <f t="shared" si="4"/>
        <v>231</v>
      </c>
      <c r="H58" s="99">
        <f>G58+'10'!H58</f>
        <v>1669.6300000000047</v>
      </c>
      <c r="I58" s="95"/>
      <c r="J58" s="175">
        <f>H58/DAY(B2)</f>
        <v>151.78454545454588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5821</v>
      </c>
      <c r="H59" s="99">
        <f>G59+'10'!H59</f>
        <v>66662.170000000013</v>
      </c>
      <c r="I59" s="95">
        <f>G7-G60</f>
        <v>948.60000000000582</v>
      </c>
      <c r="J59" s="175">
        <f>H59/DAY(B2)</f>
        <v>6060.1972727272741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16076.399999999994</v>
      </c>
      <c r="H60" s="99">
        <f>G60+'10'!H60</f>
        <v>188724.16999999998</v>
      </c>
      <c r="I60" s="95">
        <f>G13-G60</f>
        <v>468.60000000000582</v>
      </c>
      <c r="J60" s="175">
        <f>H60/DAY(B2)</f>
        <v>17156.742727272725</v>
      </c>
      <c r="K60" s="79"/>
      <c r="L60" s="66"/>
      <c r="N60" s="87"/>
      <c r="O60" s="71"/>
    </row>
    <row r="61" spans="1:15" s="68" customFormat="1" ht="30.75" customHeight="1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64" t="s">
        <v>198</v>
      </c>
      <c r="B62" s="865"/>
      <c r="C62" s="866"/>
      <c r="D62" s="151" t="s">
        <v>142</v>
      </c>
      <c r="E62" s="95">
        <f>'10'!F62</f>
        <v>267811</v>
      </c>
      <c r="F62" s="122">
        <v>267884</v>
      </c>
      <c r="G62" s="112">
        <f t="shared" ref="G62:G63" si="5">F62-E62</f>
        <v>73</v>
      </c>
      <c r="H62" s="99">
        <f>G62+'10'!H62</f>
        <v>671</v>
      </c>
      <c r="I62" s="118"/>
      <c r="J62" s="175">
        <f>H62/DAY(B2)</f>
        <v>61</v>
      </c>
      <c r="K62" s="80"/>
      <c r="L62" s="66"/>
      <c r="N62" s="87"/>
      <c r="O62" s="71"/>
    </row>
    <row r="63" spans="1:15" ht="30.75" customHeight="1">
      <c r="A63" s="864" t="s">
        <v>199</v>
      </c>
      <c r="B63" s="865"/>
      <c r="C63" s="866"/>
      <c r="D63" s="151" t="s">
        <v>142</v>
      </c>
      <c r="E63" s="95">
        <f>'10'!F63</f>
        <v>213501</v>
      </c>
      <c r="F63" s="150">
        <v>213609</v>
      </c>
      <c r="G63" s="112">
        <f t="shared" si="5"/>
        <v>108</v>
      </c>
      <c r="H63" s="99">
        <f>G63+'10'!H63</f>
        <v>1184</v>
      </c>
      <c r="I63" s="118"/>
      <c r="J63" s="175">
        <f>H63/DAY(B2)</f>
        <v>107.63636363636364</v>
      </c>
      <c r="K63" s="69"/>
      <c r="L63" s="66"/>
      <c r="N63" s="87"/>
      <c r="O63" s="71"/>
    </row>
    <row r="64" spans="1:15" ht="30.75" customHeight="1">
      <c r="A64" s="873" t="s">
        <v>200</v>
      </c>
      <c r="B64" s="874"/>
      <c r="C64" s="875"/>
      <c r="D64" s="151"/>
      <c r="E64" s="95">
        <f>'10'!F64</f>
        <v>0</v>
      </c>
      <c r="F64" s="122"/>
      <c r="G64" s="112">
        <f>G62+G63</f>
        <v>181</v>
      </c>
      <c r="H64" s="99">
        <f>G64+'10'!H64</f>
        <v>1855</v>
      </c>
      <c r="I64" s="118"/>
      <c r="J64" s="175">
        <f>H64/DAY(B2)</f>
        <v>168.63636363636363</v>
      </c>
      <c r="K64" s="69"/>
      <c r="L64" s="66"/>
      <c r="N64" s="87"/>
      <c r="O64" s="71"/>
    </row>
    <row r="65" spans="1:15" ht="30.75" customHeight="1">
      <c r="A65" s="864" t="s">
        <v>201</v>
      </c>
      <c r="B65" s="865"/>
      <c r="C65" s="866"/>
      <c r="D65" s="151" t="s">
        <v>142</v>
      </c>
      <c r="E65" s="95">
        <f>'10'!F65</f>
        <v>433343</v>
      </c>
      <c r="F65" s="122">
        <v>433422</v>
      </c>
      <c r="G65" s="112">
        <f t="shared" ref="G65:G70" si="6">F65-E65</f>
        <v>79</v>
      </c>
      <c r="H65" s="99">
        <f>G65+'10'!H65</f>
        <v>808</v>
      </c>
      <c r="I65" s="118"/>
      <c r="J65" s="175">
        <f>H65/DAY(B2)</f>
        <v>73.454545454545453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107410</v>
      </c>
      <c r="F66" s="122">
        <v>107424</v>
      </c>
      <c r="G66" s="112">
        <f t="shared" si="6"/>
        <v>14</v>
      </c>
      <c r="H66" s="99">
        <f>G66+'10'!H66</f>
        <v>210</v>
      </c>
      <c r="I66" s="118"/>
      <c r="J66" s="175">
        <f>H66/DAY(B2)</f>
        <v>19.09090909090909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104186</v>
      </c>
      <c r="F67" s="122">
        <v>104203</v>
      </c>
      <c r="G67" s="112">
        <f t="shared" si="6"/>
        <v>17</v>
      </c>
      <c r="H67" s="99">
        <f>G67+'10'!H67</f>
        <v>275</v>
      </c>
      <c r="I67" s="118"/>
      <c r="J67" s="175">
        <f>H67/DAY(B2)</f>
        <v>25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156879</v>
      </c>
      <c r="F68" s="122">
        <v>156905</v>
      </c>
      <c r="G68" s="112">
        <f t="shared" si="6"/>
        <v>26</v>
      </c>
      <c r="H68" s="99">
        <f>G68+'10'!H68</f>
        <v>285</v>
      </c>
      <c r="I68" s="118"/>
      <c r="J68" s="175">
        <f>H68/DAY(B2)</f>
        <v>25.90909090909091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10327</v>
      </c>
      <c r="F69" s="122">
        <v>10335</v>
      </c>
      <c r="G69" s="112">
        <f t="shared" si="6"/>
        <v>8</v>
      </c>
      <c r="H69" s="99">
        <f>G69+'10'!H69</f>
        <v>121</v>
      </c>
      <c r="I69" s="118"/>
      <c r="J69" s="175">
        <f>H69/DAY(B2)</f>
        <v>11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7947</v>
      </c>
      <c r="F70" s="122">
        <v>7953</v>
      </c>
      <c r="G70" s="112">
        <f t="shared" si="6"/>
        <v>6</v>
      </c>
      <c r="H70" s="99">
        <f>G70+'10'!H70</f>
        <v>91</v>
      </c>
      <c r="I70" s="118"/>
      <c r="J70" s="175">
        <f>H70/DAY(B2)</f>
        <v>8.2727272727272734</v>
      </c>
      <c r="K70" s="69"/>
      <c r="L70" s="66"/>
      <c r="N70" s="87"/>
      <c r="O70" s="71"/>
    </row>
    <row r="71" spans="1:15" ht="30.75" customHeight="1">
      <c r="A71" s="873" t="s">
        <v>208</v>
      </c>
      <c r="B71" s="874"/>
      <c r="C71" s="875"/>
      <c r="D71" s="152"/>
      <c r="E71" s="152"/>
      <c r="F71" s="152"/>
      <c r="G71" s="153">
        <f>SUM(G65:G70)</f>
        <v>150</v>
      </c>
      <c r="H71" s="99">
        <f>G71+'10'!H71</f>
        <v>1790</v>
      </c>
      <c r="I71" s="154"/>
      <c r="J71" s="175">
        <f>H71/DAY(B2)</f>
        <v>162.72727272727272</v>
      </c>
      <c r="K71" s="69"/>
      <c r="L71" s="66"/>
      <c r="N71" s="87"/>
      <c r="O71" s="71"/>
    </row>
    <row r="72" spans="1:15" s="88" customFormat="1" ht="30.75" customHeight="1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4" t="s">
        <v>220</v>
      </c>
      <c r="B74" s="865"/>
      <c r="C74" s="866"/>
      <c r="D74" s="151" t="s">
        <v>139</v>
      </c>
      <c r="E74" s="95">
        <f>'10'!F74</f>
        <v>894928</v>
      </c>
      <c r="F74" s="117">
        <v>895242</v>
      </c>
      <c r="G74" s="112">
        <f t="shared" ref="G74:G78" si="7">F74-E74</f>
        <v>314</v>
      </c>
      <c r="H74" s="99">
        <f>G74+'10'!H74</f>
        <v>3210</v>
      </c>
      <c r="I74" s="154"/>
      <c r="J74" s="175">
        <f>H74/DAY(B2)</f>
        <v>291.81818181818181</v>
      </c>
      <c r="K74" s="69"/>
      <c r="L74" s="66"/>
      <c r="N74" s="87"/>
      <c r="O74" s="71"/>
    </row>
    <row r="75" spans="1:15" ht="30.75" customHeight="1">
      <c r="A75" s="864" t="s">
        <v>221</v>
      </c>
      <c r="B75" s="865"/>
      <c r="C75" s="866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>
      <c r="A76" s="861" t="s">
        <v>222</v>
      </c>
      <c r="B76" s="862"/>
      <c r="C76" s="863"/>
      <c r="D76" s="151" t="s">
        <v>139</v>
      </c>
      <c r="E76" s="95">
        <f>'10'!F76</f>
        <v>168095</v>
      </c>
      <c r="F76" s="123">
        <v>168158</v>
      </c>
      <c r="G76" s="112">
        <f t="shared" si="7"/>
        <v>63</v>
      </c>
      <c r="H76" s="99">
        <f>G76+'10'!H76</f>
        <v>951</v>
      </c>
      <c r="I76" s="154"/>
      <c r="J76" s="175">
        <f>H76/DAY(B2)</f>
        <v>86.454545454545453</v>
      </c>
      <c r="K76" s="69"/>
      <c r="L76" s="66"/>
      <c r="N76" s="87"/>
      <c r="O76" s="71"/>
    </row>
    <row r="77" spans="1:15" ht="30.75" customHeight="1">
      <c r="A77" s="861" t="s">
        <v>223</v>
      </c>
      <c r="B77" s="862"/>
      <c r="C77" s="863"/>
      <c r="D77" s="151" t="s">
        <v>139</v>
      </c>
      <c r="E77" s="95">
        <f>'10'!F77</f>
        <v>40652</v>
      </c>
      <c r="F77" s="123">
        <v>40671</v>
      </c>
      <c r="G77" s="112">
        <f t="shared" si="7"/>
        <v>19</v>
      </c>
      <c r="H77" s="99">
        <f>G77+'10'!H77</f>
        <v>355</v>
      </c>
      <c r="I77" s="154"/>
      <c r="J77" s="175">
        <f>H77/DAY(B2)</f>
        <v>32.272727272727273</v>
      </c>
      <c r="K77" s="69"/>
      <c r="L77" s="66"/>
      <c r="N77" s="87"/>
      <c r="O77" s="71"/>
    </row>
    <row r="78" spans="1:15" ht="30.75" customHeight="1">
      <c r="A78" s="861" t="s">
        <v>224</v>
      </c>
      <c r="B78" s="862"/>
      <c r="C78" s="863"/>
      <c r="D78" s="151" t="s">
        <v>139</v>
      </c>
      <c r="E78" s="95">
        <f>'10'!F78</f>
        <v>9494.2999999999993</v>
      </c>
      <c r="F78" s="123">
        <v>9496</v>
      </c>
      <c r="G78" s="112">
        <f t="shared" si="7"/>
        <v>1.7000000000007276</v>
      </c>
      <c r="H78" s="99">
        <f>G78+'10'!H78</f>
        <v>10</v>
      </c>
      <c r="I78" s="118"/>
      <c r="J78" s="175">
        <f>H78/DAY(B2)</f>
        <v>0.90909090909090906</v>
      </c>
      <c r="K78" s="69"/>
      <c r="L78" s="66"/>
      <c r="N78" s="87"/>
      <c r="O78" s="71"/>
    </row>
    <row r="79" spans="1:15" s="57" customFormat="1" ht="30.75" customHeight="1">
      <c r="A79" s="861" t="s">
        <v>225</v>
      </c>
      <c r="B79" s="862"/>
      <c r="C79" s="863"/>
      <c r="D79" s="151"/>
      <c r="E79" s="95">
        <f>'10'!F79</f>
        <v>0</v>
      </c>
      <c r="F79" s="117"/>
      <c r="G79" s="112">
        <f>G15-SUM(G74:G78)</f>
        <v>533.29999999999927</v>
      </c>
      <c r="H79" s="99">
        <f>G79+'10'!H79</f>
        <v>5332.8000000000029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73" t="s">
        <v>329</v>
      </c>
      <c r="B80" s="874"/>
      <c r="C80" s="875"/>
      <c r="D80" s="151"/>
      <c r="E80" s="117"/>
      <c r="F80" s="117"/>
      <c r="G80" s="112">
        <f>SUM(G74:G79)</f>
        <v>931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118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2096.5500000000002</v>
      </c>
      <c r="F85" s="164">
        <v>2096.5500000000002</v>
      </c>
      <c r="G85" s="112">
        <f t="shared" si="8"/>
        <v>0</v>
      </c>
      <c r="H85" s="99">
        <f>G85+'10'!H85</f>
        <v>-9.9999999997635314E-3</v>
      </c>
      <c r="I85" s="118">
        <f>G82+G83+G84+G85</f>
        <v>0</v>
      </c>
      <c r="J85" s="175">
        <f>H85/DAY(B2)</f>
        <v>-9.0909090906941196E-4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43104</v>
      </c>
      <c r="F86" s="164">
        <v>43128</v>
      </c>
      <c r="G86" s="112">
        <f t="shared" si="8"/>
        <v>24</v>
      </c>
      <c r="H86" s="99">
        <f>G86+'10'!H86</f>
        <v>265</v>
      </c>
      <c r="I86" s="118"/>
      <c r="J86" s="175">
        <f>H86/DAY(B2)</f>
        <v>24.09090909090909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34598.550000000003</v>
      </c>
      <c r="F87" s="164">
        <v>34598.550000000003</v>
      </c>
      <c r="G87" s="112">
        <f t="shared" si="8"/>
        <v>0</v>
      </c>
      <c r="H87" s="99">
        <f>G87+'10'!H87</f>
        <v>0</v>
      </c>
      <c r="I87" s="118"/>
      <c r="J87" s="175">
        <f>H87/DAY(B2)</f>
        <v>0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24058</v>
      </c>
      <c r="F88" s="164">
        <v>24058</v>
      </c>
      <c r="G88" s="112">
        <f t="shared" si="8"/>
        <v>0</v>
      </c>
      <c r="H88" s="99">
        <f>G88+'10'!H88</f>
        <v>11</v>
      </c>
      <c r="I88" s="118">
        <f>G86+G87+G88</f>
        <v>24</v>
      </c>
      <c r="J88" s="175">
        <f>H88/DAY(B2)</f>
        <v>1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25723</v>
      </c>
      <c r="F89" s="164">
        <v>25734</v>
      </c>
      <c r="G89" s="112">
        <f t="shared" si="8"/>
        <v>11</v>
      </c>
      <c r="H89" s="99">
        <f>G89+'10'!H89</f>
        <v>71</v>
      </c>
      <c r="I89" s="118"/>
      <c r="J89" s="175">
        <f>H89/DAY(B2)</f>
        <v>6.4545454545454541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71087</v>
      </c>
      <c r="F90" s="164">
        <v>71088</v>
      </c>
      <c r="G90" s="112">
        <f t="shared" si="8"/>
        <v>1</v>
      </c>
      <c r="H90" s="99">
        <f>G90+'10'!H90</f>
        <v>54</v>
      </c>
      <c r="I90" s="118">
        <f>G89+G90</f>
        <v>12</v>
      </c>
      <c r="J90" s="175">
        <f>H90/DAY(B2)</f>
        <v>4.9090909090909092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0</v>
      </c>
      <c r="I91" s="165"/>
      <c r="J91" s="175">
        <f>H91/DAY(B2)</f>
        <v>0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5540</v>
      </c>
      <c r="F92" s="122">
        <v>5551</v>
      </c>
      <c r="G92" s="112">
        <f t="shared" si="8"/>
        <v>11</v>
      </c>
      <c r="H92" s="99">
        <f>G92+'10'!H92</f>
        <v>113</v>
      </c>
      <c r="I92" s="165"/>
      <c r="J92" s="175">
        <f>H92/DAY(B2)</f>
        <v>10.272727272727273</v>
      </c>
      <c r="O92" s="71"/>
    </row>
    <row r="93" spans="1:15" ht="30.75" customHeight="1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4739</v>
      </c>
      <c r="H94" s="99">
        <f>G94+'10'!H94</f>
        <v>62296</v>
      </c>
      <c r="I94" s="118"/>
      <c r="J94" s="175">
        <f>H94/DAY(B2)</f>
        <v>5663.272727272727</v>
      </c>
      <c r="K94" s="69"/>
      <c r="L94" s="66"/>
      <c r="O94" s="71"/>
    </row>
    <row r="95" spans="1:15" ht="30.7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0.27835535976505138</v>
      </c>
      <c r="H95" s="99">
        <f>G95+'10'!H95</f>
        <v>3.2706305935912261</v>
      </c>
      <c r="I95" s="167"/>
      <c r="J95" s="175">
        <f>H95/DAY(B2)</f>
        <v>0.29733005396283874</v>
      </c>
      <c r="K95" s="69"/>
      <c r="L95" s="66"/>
      <c r="O95" s="71"/>
    </row>
    <row r="96" spans="1:15" ht="30.7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2906.3999999999942</v>
      </c>
      <c r="H96" s="99">
        <f>G96+'10'!H96</f>
        <v>33386.46</v>
      </c>
      <c r="I96" s="118"/>
      <c r="J96" s="175">
        <f>H96/DAY(B2)</f>
        <v>3035.1327272727272</v>
      </c>
      <c r="K96" s="69"/>
      <c r="L96" s="66"/>
      <c r="O96" s="71"/>
    </row>
    <row r="97" spans="1:15" ht="30.7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0.17071365638766486</v>
      </c>
      <c r="H97" s="99">
        <f>G97+'10'!H97</f>
        <v>1.7569364817866113</v>
      </c>
      <c r="I97" s="167"/>
      <c r="J97" s="175">
        <f>H97/DAY(B2)</f>
        <v>0.15972149834423741</v>
      </c>
      <c r="K97" s="69"/>
      <c r="L97" s="66"/>
      <c r="O97" s="71"/>
    </row>
    <row r="98" spans="1:15" ht="30.7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2471</v>
      </c>
      <c r="H98" s="99">
        <f>G98+'10'!H98</f>
        <v>29337</v>
      </c>
      <c r="I98" s="168"/>
      <c r="J98" s="175">
        <f>H98/DAY(B2)</f>
        <v>2667</v>
      </c>
      <c r="K98" s="69"/>
      <c r="L98" s="66"/>
      <c r="O98" s="71"/>
    </row>
    <row r="99" spans="1:15" ht="30.7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0.14513950073421439</v>
      </c>
      <c r="H99" s="99">
        <f>G99+'10'!H99</f>
        <v>1.5454515178378381</v>
      </c>
      <c r="I99" s="168"/>
      <c r="J99" s="175">
        <f>H99/DAY(B2)</f>
        <v>0.14049559253071256</v>
      </c>
      <c r="O99" s="71"/>
    </row>
    <row r="100" spans="1:15" ht="30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1494</v>
      </c>
      <c r="H100" s="99">
        <f>G100+'10'!H100</f>
        <v>17893</v>
      </c>
      <c r="I100" s="118"/>
      <c r="J100" s="175">
        <f>H100/DAY(B2)</f>
        <v>1626.6363636363637</v>
      </c>
      <c r="K100" s="70"/>
      <c r="O100" s="71"/>
    </row>
    <row r="101" spans="1:15" ht="30.7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8.7753303964757709E-2</v>
      </c>
      <c r="H101" s="99">
        <f>G101+'10'!H101</f>
        <v>0.94227468638870404</v>
      </c>
      <c r="I101" s="168"/>
      <c r="J101" s="175">
        <f>H101/DAY(B2)</f>
        <v>8.5661335126245824E-2</v>
      </c>
      <c r="O101" s="71"/>
    </row>
    <row r="102" spans="1:15" ht="30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1569</v>
      </c>
      <c r="H102" s="99">
        <f>G102+'10'!H102</f>
        <v>19686</v>
      </c>
      <c r="I102" s="168"/>
      <c r="J102" s="175">
        <f>H102/DAY(B2)</f>
        <v>1789.6363636363637</v>
      </c>
      <c r="O102" s="71"/>
    </row>
    <row r="103" spans="1:15" ht="30.7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9.215859030837005E-2</v>
      </c>
      <c r="H103" s="99">
        <f>G103+'10'!H103</f>
        <v>1.0338061813082724</v>
      </c>
      <c r="I103" s="118"/>
      <c r="J103" s="175">
        <f>H103/DAY(B2)</f>
        <v>9.3982380118933853E-2</v>
      </c>
      <c r="O103" s="71"/>
    </row>
    <row r="104" spans="1:15" ht="30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1445</v>
      </c>
      <c r="H104" s="99">
        <f>G104+'10'!H104</f>
        <v>16581</v>
      </c>
      <c r="I104" s="118"/>
      <c r="J104" s="175">
        <f>H104/DAY(B2)</f>
        <v>1507.3636363636363</v>
      </c>
      <c r="O104" s="71"/>
    </row>
    <row r="105" spans="1:15" ht="30.75" customHeight="1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8.4875183553597647E-2</v>
      </c>
      <c r="H105" s="99">
        <f>G105+'10'!H105</f>
        <v>0.87375382336304819</v>
      </c>
      <c r="I105" s="187"/>
      <c r="J105" s="188">
        <f>H105/DAY(B2)</f>
        <v>7.9432165760277104E-2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30.75" customHeight="1">
      <c r="A109" s="881"/>
      <c r="B109" s="881"/>
    </row>
    <row r="110" spans="1:15" ht="30.75" customHeight="1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30.75" customHeight="1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43" t="s">
        <v>252</v>
      </c>
      <c r="B112" s="844"/>
      <c r="C112" s="845"/>
      <c r="D112" s="146" t="s">
        <v>183</v>
      </c>
      <c r="E112" s="95">
        <f>'10'!F112</f>
        <v>56428</v>
      </c>
      <c r="F112" s="237">
        <v>56505</v>
      </c>
      <c r="G112" s="112">
        <f t="shared" ref="G112:G123" si="9">F112-E112</f>
        <v>77</v>
      </c>
      <c r="H112" s="99">
        <f>G112+'10'!H112</f>
        <v>824</v>
      </c>
      <c r="I112" s="165"/>
      <c r="J112" s="328">
        <f>H112/DAY(B2)</f>
        <v>74.909090909090907</v>
      </c>
    </row>
    <row r="113" spans="1:18" ht="30.75" customHeight="1">
      <c r="A113" s="843" t="s">
        <v>253</v>
      </c>
      <c r="B113" s="844"/>
      <c r="C113" s="845"/>
      <c r="D113" s="146" t="s">
        <v>183</v>
      </c>
      <c r="E113" s="95">
        <f>'10'!F113</f>
        <v>36678</v>
      </c>
      <c r="F113" s="237">
        <v>37140</v>
      </c>
      <c r="G113" s="112">
        <f t="shared" si="9"/>
        <v>462</v>
      </c>
      <c r="H113" s="99">
        <f>G113+'10'!H113</f>
        <v>4945</v>
      </c>
      <c r="I113" s="165"/>
      <c r="J113" s="328">
        <f>H113/DAY(B2)</f>
        <v>449.54545454545456</v>
      </c>
    </row>
    <row r="114" spans="1:18" ht="30.75" customHeight="1">
      <c r="A114" s="843" t="s">
        <v>254</v>
      </c>
      <c r="B114" s="844"/>
      <c r="C114" s="845"/>
      <c r="D114" s="146" t="s">
        <v>183</v>
      </c>
      <c r="E114" s="95">
        <f>'10'!F114</f>
        <v>27526</v>
      </c>
      <c r="F114" s="237">
        <v>27789</v>
      </c>
      <c r="G114" s="112">
        <f t="shared" si="9"/>
        <v>263</v>
      </c>
      <c r="H114" s="99">
        <f>G114+'10'!H114</f>
        <v>2918</v>
      </c>
      <c r="I114" s="165"/>
      <c r="J114" s="328">
        <f>H114/DAY(B2)</f>
        <v>265.27272727272725</v>
      </c>
    </row>
    <row r="115" spans="1:18" ht="30.75" customHeight="1">
      <c r="A115" s="843" t="s">
        <v>255</v>
      </c>
      <c r="B115" s="844"/>
      <c r="C115" s="845"/>
      <c r="D115" s="146" t="s">
        <v>183</v>
      </c>
      <c r="E115" s="95">
        <f>'10'!F115</f>
        <v>8888</v>
      </c>
      <c r="F115" s="237">
        <v>8900</v>
      </c>
      <c r="G115" s="112">
        <f t="shared" si="9"/>
        <v>12</v>
      </c>
      <c r="H115" s="99">
        <f>G115+'10'!H115</f>
        <v>115</v>
      </c>
      <c r="I115" s="165"/>
      <c r="J115" s="328">
        <f>H115/DAY(B2)</f>
        <v>10.454545454545455</v>
      </c>
    </row>
    <row r="116" spans="1:18" ht="30.75" customHeight="1">
      <c r="A116" s="850" t="s">
        <v>96</v>
      </c>
      <c r="B116" s="851"/>
      <c r="C116" s="852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30.75" customHeight="1">
      <c r="A117" s="850" t="s">
        <v>184</v>
      </c>
      <c r="B117" s="851"/>
      <c r="C117" s="852"/>
      <c r="D117" s="146" t="s">
        <v>183</v>
      </c>
      <c r="E117" s="95">
        <f>'10'!F117</f>
        <v>2846</v>
      </c>
      <c r="F117" s="237">
        <v>2871</v>
      </c>
      <c r="G117" s="112">
        <f t="shared" si="9"/>
        <v>25</v>
      </c>
      <c r="H117" s="99">
        <f>G117+'10'!H117</f>
        <v>281</v>
      </c>
      <c r="I117" s="165"/>
      <c r="J117" s="328">
        <f>H117/DAY(B2)</f>
        <v>25.545454545454547</v>
      </c>
      <c r="Q117" s="843" t="s">
        <v>312</v>
      </c>
      <c r="R117" s="845"/>
    </row>
    <row r="118" spans="1:18" ht="30.75" customHeight="1">
      <c r="A118" s="842" t="s">
        <v>97</v>
      </c>
      <c r="B118" s="842"/>
      <c r="C118" s="842"/>
      <c r="D118" s="151" t="s">
        <v>183</v>
      </c>
      <c r="E118" s="95">
        <f>'10'!F118</f>
        <v>245318</v>
      </c>
      <c r="F118" s="237">
        <v>245656</v>
      </c>
      <c r="G118" s="112">
        <f t="shared" si="9"/>
        <v>338</v>
      </c>
      <c r="H118" s="99">
        <f>G118+'10'!H118</f>
        <v>4009</v>
      </c>
      <c r="I118" s="165"/>
      <c r="J118" s="328">
        <f>H118/DAY(B2)</f>
        <v>364.45454545454544</v>
      </c>
      <c r="Q118" s="843" t="s">
        <v>311</v>
      </c>
      <c r="R118" s="845"/>
    </row>
    <row r="119" spans="1:18" ht="30.75" customHeight="1">
      <c r="A119" s="842" t="s">
        <v>98</v>
      </c>
      <c r="B119" s="842"/>
      <c r="C119" s="842"/>
      <c r="D119" s="151" t="s">
        <v>183</v>
      </c>
      <c r="E119" s="95">
        <f>'10'!F119</f>
        <v>249459</v>
      </c>
      <c r="F119" s="237">
        <v>249859</v>
      </c>
      <c r="G119" s="112">
        <f t="shared" si="9"/>
        <v>400</v>
      </c>
      <c r="H119" s="99">
        <f>G119+'10'!H119</f>
        <v>4733</v>
      </c>
      <c r="I119" s="165"/>
      <c r="J119" s="328">
        <f>H119/DAY(B2)</f>
        <v>430.27272727272725</v>
      </c>
    </row>
    <row r="120" spans="1:18" ht="30.75" customHeight="1">
      <c r="A120" s="842" t="s">
        <v>99</v>
      </c>
      <c r="B120" s="842"/>
      <c r="C120" s="842"/>
      <c r="D120" s="151" t="s">
        <v>183</v>
      </c>
      <c r="E120" s="95">
        <f>'10'!F120</f>
        <v>34277</v>
      </c>
      <c r="F120" s="237">
        <v>34656</v>
      </c>
      <c r="G120" s="112">
        <f t="shared" si="9"/>
        <v>379</v>
      </c>
      <c r="H120" s="99">
        <f>G120+'10'!H120</f>
        <v>4578</v>
      </c>
      <c r="I120" s="165"/>
      <c r="J120" s="328">
        <f>H120/DAY(B2)</f>
        <v>416.18181818181819</v>
      </c>
    </row>
    <row r="121" spans="1:18" ht="30.75" customHeight="1">
      <c r="A121" s="842" t="s">
        <v>100</v>
      </c>
      <c r="B121" s="842"/>
      <c r="C121" s="842"/>
      <c r="D121" s="151" t="s">
        <v>183</v>
      </c>
      <c r="E121" s="95">
        <f>'10'!F121</f>
        <v>383891</v>
      </c>
      <c r="F121" s="237">
        <v>384510</v>
      </c>
      <c r="G121" s="112">
        <f t="shared" si="9"/>
        <v>619</v>
      </c>
      <c r="H121" s="99">
        <f>G121+'10'!H121</f>
        <v>7981</v>
      </c>
      <c r="I121" s="165"/>
      <c r="J121" s="328">
        <f>H121/DAY(B2)</f>
        <v>725.5454545454545</v>
      </c>
    </row>
    <row r="122" spans="1:18" ht="30.75" customHeight="1">
      <c r="A122" s="842" t="s">
        <v>101</v>
      </c>
      <c r="B122" s="842"/>
      <c r="C122" s="842"/>
      <c r="D122" s="151" t="s">
        <v>183</v>
      </c>
      <c r="E122" s="95">
        <f>'10'!F122</f>
        <v>122258</v>
      </c>
      <c r="F122" s="237">
        <v>122431</v>
      </c>
      <c r="G122" s="112">
        <f t="shared" si="9"/>
        <v>173</v>
      </c>
      <c r="H122" s="99">
        <f>G122+'10'!H122</f>
        <v>2381</v>
      </c>
      <c r="I122" s="165"/>
      <c r="J122" s="328">
        <f>H122/DAY(B2)</f>
        <v>216.45454545454547</v>
      </c>
    </row>
    <row r="123" spans="1:18" ht="30.75" customHeight="1">
      <c r="A123" s="842" t="s">
        <v>102</v>
      </c>
      <c r="B123" s="842"/>
      <c r="C123" s="842"/>
      <c r="D123" s="151" t="s">
        <v>183</v>
      </c>
      <c r="E123" s="95">
        <f>'10'!F123</f>
        <v>148345</v>
      </c>
      <c r="F123" s="237">
        <v>148628</v>
      </c>
      <c r="G123" s="112">
        <f t="shared" si="9"/>
        <v>283</v>
      </c>
      <c r="H123" s="99">
        <f>G123+'10'!H123</f>
        <v>3503</v>
      </c>
      <c r="I123" s="165"/>
      <c r="J123" s="328">
        <f>H123/DAY(B2)</f>
        <v>318.45454545454544</v>
      </c>
    </row>
    <row r="124" spans="1:18" ht="30.75" customHeight="1">
      <c r="A124" s="847"/>
      <c r="B124" s="848"/>
      <c r="C124" s="849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827" t="s">
        <v>196</v>
      </c>
      <c r="B125" s="828"/>
      <c r="C125" s="245"/>
      <c r="D125" s="307"/>
      <c r="E125" s="308"/>
      <c r="F125" s="308"/>
      <c r="G125" s="309">
        <f>SUM(G112:G124)</f>
        <v>3031</v>
      </c>
      <c r="H125" s="156"/>
      <c r="I125" s="327">
        <f>G125-(G39+G53)</f>
        <v>560</v>
      </c>
      <c r="J125" s="327"/>
    </row>
    <row r="126" spans="1:18" ht="30.75" customHeight="1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30.75" customHeight="1">
      <c r="A127" s="832"/>
      <c r="B127" s="832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843" t="s">
        <v>318</v>
      </c>
      <c r="B128" s="844"/>
      <c r="C128" s="845"/>
      <c r="D128" s="151" t="s">
        <v>183</v>
      </c>
      <c r="E128" s="95">
        <f>'10'!F128</f>
        <v>41286</v>
      </c>
      <c r="F128" s="155">
        <v>41583</v>
      </c>
      <c r="G128" s="112">
        <f t="shared" ref="G128:G134" si="10">F128-E128</f>
        <v>297</v>
      </c>
      <c r="H128" s="99">
        <f>G128+'10'!H128</f>
        <v>3579</v>
      </c>
      <c r="I128" s="165"/>
      <c r="J128" s="328">
        <f>H128/DAY(B2)</f>
        <v>325.36363636363637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22490</v>
      </c>
      <c r="F129" s="155">
        <v>22697</v>
      </c>
      <c r="G129" s="112">
        <f t="shared" si="10"/>
        <v>207</v>
      </c>
      <c r="H129" s="99">
        <f>G129+'10'!H129</f>
        <v>2376</v>
      </c>
      <c r="I129" s="165"/>
      <c r="J129" s="328">
        <f>H129/DAY(B2)</f>
        <v>216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24896</v>
      </c>
      <c r="F130" s="155">
        <v>25353</v>
      </c>
      <c r="G130" s="112">
        <f t="shared" si="10"/>
        <v>457</v>
      </c>
      <c r="H130" s="99">
        <f>G130+'10'!H130</f>
        <v>6971</v>
      </c>
      <c r="I130" s="165"/>
      <c r="J130" s="328">
        <f>H130/DAY(B2)</f>
        <v>633.72727272727275</v>
      </c>
      <c r="N130" s="240"/>
      <c r="O130" s="241"/>
    </row>
    <row r="131" spans="1:15" ht="30.75" customHeight="1">
      <c r="A131" s="843" t="s">
        <v>321</v>
      </c>
      <c r="B131" s="844"/>
      <c r="C131" s="845"/>
      <c r="D131" s="151" t="s">
        <v>183</v>
      </c>
      <c r="E131" s="95">
        <f>'10'!F131</f>
        <v>13906</v>
      </c>
      <c r="F131" s="155">
        <v>13966</v>
      </c>
      <c r="G131" s="112">
        <f t="shared" si="10"/>
        <v>60</v>
      </c>
      <c r="H131" s="99">
        <f>G131+'10'!H131</f>
        <v>813</v>
      </c>
      <c r="I131" s="165"/>
      <c r="J131" s="328">
        <f>H131/DAY(B2)</f>
        <v>73.909090909090907</v>
      </c>
      <c r="N131" s="240"/>
      <c r="O131" s="241"/>
    </row>
    <row r="132" spans="1:15" ht="30.75" customHeight="1">
      <c r="A132" s="843" t="s">
        <v>322</v>
      </c>
      <c r="B132" s="844"/>
      <c r="C132" s="845"/>
      <c r="D132" s="151" t="s">
        <v>183</v>
      </c>
      <c r="E132" s="95">
        <f>'10'!F132</f>
        <v>45753</v>
      </c>
      <c r="F132" s="155">
        <v>46263</v>
      </c>
      <c r="G132" s="112">
        <f t="shared" si="10"/>
        <v>510</v>
      </c>
      <c r="H132" s="99">
        <f>G132+'10'!H132</f>
        <v>5240</v>
      </c>
      <c r="I132" s="165"/>
      <c r="J132" s="328">
        <f>H132/DAY(B2)</f>
        <v>476.36363636363637</v>
      </c>
    </row>
    <row r="133" spans="1:15" ht="30.75" customHeight="1">
      <c r="A133" s="843" t="s">
        <v>362</v>
      </c>
      <c r="B133" s="844"/>
      <c r="C133" s="845"/>
      <c r="D133" s="151" t="s">
        <v>183</v>
      </c>
      <c r="E133" s="95">
        <f>'10'!F133</f>
        <v>95119</v>
      </c>
      <c r="F133" s="155">
        <v>95505</v>
      </c>
      <c r="G133" s="112">
        <f t="shared" si="10"/>
        <v>386</v>
      </c>
      <c r="H133" s="99">
        <f>G133+'10'!H133</f>
        <v>7802</v>
      </c>
      <c r="I133" s="165"/>
      <c r="J133" s="328">
        <f>H133/DAY(B2)</f>
        <v>709.27272727272725</v>
      </c>
    </row>
    <row r="134" spans="1:15" ht="30.75" customHeight="1">
      <c r="A134" s="843" t="s">
        <v>340</v>
      </c>
      <c r="B134" s="844"/>
      <c r="C134" s="845"/>
      <c r="D134" s="151" t="s">
        <v>183</v>
      </c>
      <c r="E134" s="95">
        <f>'10'!F134</f>
        <v>675240</v>
      </c>
      <c r="F134" s="554">
        <v>675870</v>
      </c>
      <c r="G134" s="112">
        <f t="shared" si="10"/>
        <v>630</v>
      </c>
      <c r="H134" s="99">
        <f>G134+'10'!H134</f>
        <v>6990</v>
      </c>
      <c r="I134" s="165"/>
      <c r="J134" s="328">
        <f>H134/DAY(B2)</f>
        <v>635.4545454545455</v>
      </c>
    </row>
    <row r="135" spans="1:15" ht="30.75" customHeight="1">
      <c r="A135" s="827" t="s">
        <v>196</v>
      </c>
      <c r="B135" s="828"/>
      <c r="C135" s="331"/>
      <c r="D135" s="151"/>
      <c r="E135" s="95"/>
      <c r="F135" s="165"/>
      <c r="G135" s="112">
        <f>SUM(G128:G134)</f>
        <v>2547</v>
      </c>
      <c r="H135" s="99">
        <f>G135+'10'!H135</f>
        <v>33771</v>
      </c>
      <c r="I135" s="327">
        <f>G135-(G35+G49)</f>
        <v>-152</v>
      </c>
      <c r="J135" s="328">
        <f>H135/DAY(B2)</f>
        <v>3070.090909090909</v>
      </c>
    </row>
    <row r="136" spans="1:15" ht="30.75" customHeight="1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30.75" customHeight="1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>
      <c r="A138" s="842" t="s">
        <v>185</v>
      </c>
      <c r="B138" s="842"/>
      <c r="C138" s="842"/>
      <c r="D138" s="151" t="s">
        <v>183</v>
      </c>
      <c r="E138" s="95">
        <f>'10'!F138</f>
        <v>864833</v>
      </c>
      <c r="F138" s="147">
        <v>864881</v>
      </c>
      <c r="G138" s="112">
        <f t="shared" ref="G138:G152" si="11">F138-E138</f>
        <v>48</v>
      </c>
      <c r="H138" s="99">
        <f>G138+'10'!H138</f>
        <v>710</v>
      </c>
      <c r="I138" s="118"/>
      <c r="J138" s="328">
        <f>H138/DAY(B2)</f>
        <v>64.545454545454547</v>
      </c>
    </row>
    <row r="139" spans="1:15" ht="30.75" customHeight="1">
      <c r="A139" s="842" t="s">
        <v>186</v>
      </c>
      <c r="B139" s="842"/>
      <c r="C139" s="842"/>
      <c r="D139" s="151" t="s">
        <v>183</v>
      </c>
      <c r="E139" s="95">
        <f>'10'!F139</f>
        <v>886549</v>
      </c>
      <c r="F139" s="148">
        <v>886549</v>
      </c>
      <c r="G139" s="112">
        <f t="shared" si="11"/>
        <v>0</v>
      </c>
      <c r="H139" s="99">
        <f>G139+'10'!H139</f>
        <v>3</v>
      </c>
      <c r="I139" s="118"/>
      <c r="J139" s="328">
        <f>H139/DAY(B2)</f>
        <v>0.27272727272727271</v>
      </c>
    </row>
    <row r="140" spans="1:15" ht="30.75" customHeight="1">
      <c r="A140" s="842" t="s">
        <v>187</v>
      </c>
      <c r="B140" s="842"/>
      <c r="C140" s="842"/>
      <c r="D140" s="151" t="s">
        <v>183</v>
      </c>
      <c r="E140" s="95">
        <f>'10'!F140</f>
        <v>88898</v>
      </c>
      <c r="F140" s="149">
        <v>88898</v>
      </c>
      <c r="G140" s="112">
        <f t="shared" si="11"/>
        <v>0</v>
      </c>
      <c r="H140" s="99">
        <f>G140+'10'!H140</f>
        <v>16</v>
      </c>
      <c r="I140" s="118"/>
      <c r="J140" s="328">
        <f>H140/DAY(B2)</f>
        <v>1.4545454545454546</v>
      </c>
    </row>
    <row r="141" spans="1:15" ht="30.75" customHeight="1">
      <c r="A141" s="823" t="s">
        <v>188</v>
      </c>
      <c r="B141" s="823"/>
      <c r="C141" s="823"/>
      <c r="D141" s="151" t="s">
        <v>183</v>
      </c>
      <c r="E141" s="95">
        <f>'10'!F141</f>
        <v>51065</v>
      </c>
      <c r="F141" s="149">
        <v>51232</v>
      </c>
      <c r="G141" s="112">
        <f t="shared" si="11"/>
        <v>167</v>
      </c>
      <c r="H141" s="99">
        <f>G141+'10'!H141</f>
        <v>1926</v>
      </c>
      <c r="I141" s="118"/>
      <c r="J141" s="328">
        <f>H141/DAY(B2)</f>
        <v>175.09090909090909</v>
      </c>
    </row>
    <row r="142" spans="1:15" ht="30.75" customHeight="1">
      <c r="A142" s="823" t="s">
        <v>189</v>
      </c>
      <c r="B142" s="823"/>
      <c r="C142" s="823"/>
      <c r="D142" s="151" t="s">
        <v>183</v>
      </c>
      <c r="E142" s="95">
        <f>'10'!F142</f>
        <v>19705</v>
      </c>
      <c r="F142" s="148">
        <v>19770</v>
      </c>
      <c r="G142" s="112">
        <f t="shared" si="11"/>
        <v>65</v>
      </c>
      <c r="H142" s="99">
        <f>G142+'10'!H142</f>
        <v>761</v>
      </c>
      <c r="I142" s="140"/>
      <c r="J142" s="328">
        <f>H142/DAY(B2)</f>
        <v>69.181818181818187</v>
      </c>
    </row>
    <row r="143" spans="1:15" ht="30.75" customHeight="1">
      <c r="A143" s="842" t="s">
        <v>91</v>
      </c>
      <c r="B143" s="842"/>
      <c r="C143" s="842"/>
      <c r="D143" s="151" t="s">
        <v>183</v>
      </c>
      <c r="E143" s="95">
        <f>'10'!F143</f>
        <v>3295</v>
      </c>
      <c r="F143" s="149">
        <v>3319</v>
      </c>
      <c r="G143" s="112">
        <f t="shared" si="11"/>
        <v>24</v>
      </c>
      <c r="H143" s="99">
        <f>G143+'10'!H143</f>
        <v>258</v>
      </c>
      <c r="I143" s="140"/>
      <c r="J143" s="328">
        <f>H143/DAY(B2)</f>
        <v>23.454545454545453</v>
      </c>
    </row>
    <row r="144" spans="1:15" ht="30.75" customHeight="1">
      <c r="A144" s="823" t="s">
        <v>90</v>
      </c>
      <c r="B144" s="823"/>
      <c r="C144" s="823"/>
      <c r="D144" s="151" t="s">
        <v>183</v>
      </c>
      <c r="E144" s="95">
        <f>'10'!F144</f>
        <v>871932</v>
      </c>
      <c r="F144" s="149">
        <v>872146</v>
      </c>
      <c r="G144" s="112">
        <f t="shared" si="11"/>
        <v>214</v>
      </c>
      <c r="H144" s="99">
        <f>G144+'10'!H144</f>
        <v>2476</v>
      </c>
      <c r="I144" s="140"/>
      <c r="J144" s="328">
        <f>H144/DAY(B2)</f>
        <v>225.09090909090909</v>
      </c>
    </row>
    <row r="145" spans="1:10" ht="30.75" customHeight="1">
      <c r="A145" s="842" t="s">
        <v>190</v>
      </c>
      <c r="B145" s="842"/>
      <c r="C145" s="842"/>
      <c r="D145" s="152" t="s">
        <v>183</v>
      </c>
      <c r="E145" s="95">
        <f>'10'!F145</f>
        <v>4723</v>
      </c>
      <c r="F145" s="149">
        <v>4733</v>
      </c>
      <c r="G145" s="112">
        <f t="shared" si="11"/>
        <v>10</v>
      </c>
      <c r="H145" s="99">
        <f>G145+'10'!H145</f>
        <v>175</v>
      </c>
      <c r="I145" s="140"/>
      <c r="J145" s="328">
        <f>H145/DAY(B2)</f>
        <v>15.909090909090908</v>
      </c>
    </row>
    <row r="146" spans="1:10" ht="30.75" customHeight="1">
      <c r="A146" s="877" t="s">
        <v>191</v>
      </c>
      <c r="B146" s="862"/>
      <c r="C146" s="863"/>
      <c r="D146" s="152" t="s">
        <v>183</v>
      </c>
      <c r="E146" s="95">
        <f>'10'!F146</f>
        <v>729178</v>
      </c>
      <c r="F146" s="148">
        <v>729465</v>
      </c>
      <c r="G146" s="112">
        <f t="shared" si="11"/>
        <v>287</v>
      </c>
      <c r="H146" s="99">
        <f>G146+'10'!H146</f>
        <v>4607</v>
      </c>
      <c r="I146" s="140"/>
      <c r="J146" s="328">
        <f>H146/DAY(B2)</f>
        <v>418.81818181818181</v>
      </c>
    </row>
    <row r="147" spans="1:10" ht="30.75" customHeight="1">
      <c r="A147" s="823" t="s">
        <v>192</v>
      </c>
      <c r="B147" s="823"/>
      <c r="C147" s="823"/>
      <c r="D147" s="152" t="s">
        <v>183</v>
      </c>
      <c r="E147" s="95">
        <f>'10'!F147</f>
        <v>619176</v>
      </c>
      <c r="F147" s="148">
        <v>619529</v>
      </c>
      <c r="G147" s="112">
        <f t="shared" si="11"/>
        <v>353</v>
      </c>
      <c r="H147" s="99">
        <f>G147+'10'!H147</f>
        <v>4247</v>
      </c>
      <c r="I147" s="140"/>
      <c r="J147" s="328">
        <f>H147/DAY(B2)</f>
        <v>386.09090909090907</v>
      </c>
    </row>
    <row r="148" spans="1:10" ht="30.75" customHeight="1">
      <c r="A148" s="824" t="s">
        <v>193</v>
      </c>
      <c r="B148" s="825"/>
      <c r="C148" s="826"/>
      <c r="D148" s="123" t="s">
        <v>130</v>
      </c>
      <c r="E148" s="95">
        <f>'10'!F148</f>
        <v>685651</v>
      </c>
      <c r="F148" s="150">
        <v>685839</v>
      </c>
      <c r="G148" s="112">
        <f t="shared" si="11"/>
        <v>188</v>
      </c>
      <c r="H148" s="99">
        <f>G148+'10'!H148</f>
        <v>2805.8800000000047</v>
      </c>
      <c r="I148" s="124"/>
      <c r="J148" s="328">
        <f>H148/DAY(B2)</f>
        <v>255.08000000000041</v>
      </c>
    </row>
    <row r="149" spans="1:10" ht="30.75" customHeight="1">
      <c r="A149" s="824" t="s">
        <v>336</v>
      </c>
      <c r="B149" s="825"/>
      <c r="C149" s="826"/>
      <c r="D149" s="227" t="s">
        <v>130</v>
      </c>
      <c r="E149" s="95">
        <f>'10'!F149</f>
        <v>15006</v>
      </c>
      <c r="F149" s="146">
        <v>15359</v>
      </c>
      <c r="G149" s="112">
        <f t="shared" si="11"/>
        <v>353</v>
      </c>
      <c r="H149" s="99">
        <f>G149+'10'!H149</f>
        <v>4610</v>
      </c>
      <c r="I149" s="119"/>
      <c r="J149" s="328">
        <f>H149/DAY(B2)</f>
        <v>419.09090909090907</v>
      </c>
    </row>
    <row r="150" spans="1:10" ht="30.75" customHeight="1">
      <c r="A150" s="824" t="s">
        <v>337</v>
      </c>
      <c r="B150" s="825"/>
      <c r="C150" s="826"/>
      <c r="D150" s="117" t="s">
        <v>130</v>
      </c>
      <c r="E150" s="95">
        <f>'10'!F150</f>
        <v>6256</v>
      </c>
      <c r="F150" s="233">
        <v>6471</v>
      </c>
      <c r="G150" s="112">
        <f t="shared" si="11"/>
        <v>215</v>
      </c>
      <c r="H150" s="99">
        <f>G150+'10'!H150</f>
        <v>2419</v>
      </c>
      <c r="I150" s="119"/>
      <c r="J150" s="328">
        <f>H150/DAY(B2)</f>
        <v>219.90909090909091</v>
      </c>
    </row>
    <row r="151" spans="1:10" ht="30.75" customHeight="1">
      <c r="A151" s="824" t="s">
        <v>338</v>
      </c>
      <c r="B151" s="825"/>
      <c r="C151" s="826"/>
      <c r="D151" s="117" t="s">
        <v>130</v>
      </c>
      <c r="E151" s="95">
        <f>'10'!F151</f>
        <v>80626</v>
      </c>
      <c r="F151" s="233">
        <v>80839</v>
      </c>
      <c r="G151" s="112">
        <f t="shared" si="11"/>
        <v>213</v>
      </c>
      <c r="H151" s="99">
        <f>G151+'10'!H151</f>
        <v>2622</v>
      </c>
      <c r="I151" s="119"/>
      <c r="J151" s="328">
        <f>H151/DAY(B2)</f>
        <v>238.36363636363637</v>
      </c>
    </row>
    <row r="152" spans="1:10" ht="30.75" customHeight="1">
      <c r="A152" s="824" t="s">
        <v>339</v>
      </c>
      <c r="B152" s="825"/>
      <c r="C152" s="826"/>
      <c r="D152" s="117" t="s">
        <v>130</v>
      </c>
      <c r="E152" s="95">
        <f>'10'!F152</f>
        <v>1320</v>
      </c>
      <c r="F152" s="233">
        <v>1334</v>
      </c>
      <c r="G152" s="112">
        <f t="shared" si="11"/>
        <v>14</v>
      </c>
      <c r="H152" s="99">
        <f>G152+'10'!H152</f>
        <v>207</v>
      </c>
      <c r="I152" s="119"/>
      <c r="J152" s="328">
        <f>H152/DAY(B2)</f>
        <v>18.818181818181817</v>
      </c>
    </row>
    <row r="153" spans="1:10" ht="30.75" customHeight="1">
      <c r="A153" s="827" t="s">
        <v>196</v>
      </c>
      <c r="B153" s="828"/>
      <c r="C153" s="365"/>
      <c r="D153" s="358"/>
      <c r="E153" s="360"/>
      <c r="F153" s="361"/>
      <c r="G153" s="362">
        <f>SUM(G138:G152)</f>
        <v>2151</v>
      </c>
      <c r="H153" s="363"/>
      <c r="I153" s="119">
        <f>G153-(G38+G52)</f>
        <v>657</v>
      </c>
      <c r="J153" s="366"/>
    </row>
    <row r="154" spans="1:10" ht="30.75" customHeight="1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0.75" customHeight="1">
      <c r="A155" s="823" t="s">
        <v>345</v>
      </c>
      <c r="B155" s="823"/>
      <c r="C155" s="823"/>
      <c r="D155" s="117" t="s">
        <v>130</v>
      </c>
      <c r="E155" s="95">
        <f>'10'!F155</f>
        <v>19161</v>
      </c>
      <c r="F155" s="554">
        <v>19716</v>
      </c>
      <c r="G155" s="112">
        <f t="shared" ref="G155:G156" si="12">F155-E155</f>
        <v>555</v>
      </c>
      <c r="H155" s="99">
        <f>G155+'10'!H155</f>
        <v>6244</v>
      </c>
      <c r="I155" s="364"/>
      <c r="J155" s="328">
        <f>H155/DAY(B2)</f>
        <v>567.63636363636363</v>
      </c>
    </row>
    <row r="156" spans="1:10" ht="30.75" customHeight="1">
      <c r="A156" s="823" t="s">
        <v>347</v>
      </c>
      <c r="B156" s="823"/>
      <c r="C156" s="823"/>
      <c r="D156" s="117" t="s">
        <v>130</v>
      </c>
      <c r="E156" s="95">
        <f>'10'!F156</f>
        <v>1560</v>
      </c>
      <c r="F156" s="155">
        <v>1611</v>
      </c>
      <c r="G156" s="112">
        <f t="shared" si="12"/>
        <v>51</v>
      </c>
      <c r="H156" s="99">
        <f>G156+'10'!H156</f>
        <v>523</v>
      </c>
      <c r="I156" s="165"/>
      <c r="J156" s="328">
        <f>H156/DAY(B2)</f>
        <v>47.545454545454547</v>
      </c>
    </row>
    <row r="157" spans="1:10" ht="30.75" customHeight="1">
      <c r="A157" s="824" t="s">
        <v>364</v>
      </c>
      <c r="B157" s="825"/>
      <c r="C157" s="826"/>
      <c r="D157" s="117" t="s">
        <v>130</v>
      </c>
      <c r="E157" s="95"/>
      <c r="F157" s="155"/>
      <c r="G157" s="112"/>
      <c r="H157" s="99"/>
      <c r="I157" s="165"/>
      <c r="J157" s="328"/>
    </row>
    <row r="158" spans="1:10" ht="30.75" customHeight="1">
      <c r="A158" s="824" t="s">
        <v>365</v>
      </c>
      <c r="B158" s="825"/>
      <c r="C158" s="826"/>
      <c r="D158" s="117" t="s">
        <v>130</v>
      </c>
      <c r="E158" s="95"/>
      <c r="F158" s="155"/>
      <c r="G158" s="112"/>
      <c r="H158" s="99"/>
      <c r="I158" s="165"/>
      <c r="J158" s="328"/>
    </row>
    <row r="159" spans="1:10" ht="30.75" customHeight="1">
      <c r="A159" s="907"/>
      <c r="B159" s="908"/>
      <c r="C159" s="909"/>
      <c r="D159" s="117"/>
      <c r="E159" s="95"/>
      <c r="F159" s="155"/>
      <c r="G159" s="112"/>
      <c r="H159" s="99"/>
      <c r="I159" s="165"/>
      <c r="J159" s="328"/>
    </row>
    <row r="160" spans="1:10" ht="30.75" customHeight="1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471296</v>
      </c>
      <c r="F161" s="235">
        <v>471403</v>
      </c>
      <c r="G161" s="238">
        <f t="shared" ref="G161:G165" si="13">F161-E161</f>
        <v>107</v>
      </c>
      <c r="H161" s="99">
        <f>G161+'10'!H161</f>
        <v>249.84000000002561</v>
      </c>
      <c r="I161" s="236"/>
      <c r="J161" s="239">
        <f>H161/DAY(B2)</f>
        <v>22.712727272729602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87824</v>
      </c>
      <c r="F162" s="235">
        <v>87860</v>
      </c>
      <c r="G162" s="238">
        <f t="shared" si="13"/>
        <v>36</v>
      </c>
      <c r="H162" s="99">
        <f>G162+'10'!H162</f>
        <v>290</v>
      </c>
      <c r="I162" s="236"/>
      <c r="J162" s="239">
        <f>H162/DAY(B2)</f>
        <v>26.363636363636363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78249</v>
      </c>
      <c r="F163" s="235">
        <v>78283</v>
      </c>
      <c r="G163" s="238">
        <f t="shared" si="13"/>
        <v>34</v>
      </c>
      <c r="H163" s="99">
        <f>G163+'10'!H163</f>
        <v>458</v>
      </c>
      <c r="I163" s="236"/>
      <c r="J163" s="239">
        <f>H163/DAY(B2)</f>
        <v>41.636363636363633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4257</v>
      </c>
      <c r="F164" s="235">
        <v>4258</v>
      </c>
      <c r="G164" s="238">
        <f t="shared" si="13"/>
        <v>1</v>
      </c>
      <c r="H164" s="99">
        <f>G164+'10'!H164</f>
        <v>16</v>
      </c>
      <c r="I164" s="236"/>
      <c r="J164" s="239">
        <f>H164/DAY(B2)</f>
        <v>1.4545454545454546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29708</v>
      </c>
      <c r="F165" s="235">
        <v>29715</v>
      </c>
      <c r="G165" s="238">
        <f t="shared" si="13"/>
        <v>7</v>
      </c>
      <c r="H165" s="99">
        <f>G165+'10'!H165</f>
        <v>69</v>
      </c>
      <c r="I165" s="236"/>
      <c r="J165" s="239">
        <f>H165/DAY(B2)</f>
        <v>6.2727272727272725</v>
      </c>
    </row>
    <row r="166" spans="1:10" ht="30.75" customHeight="1">
      <c r="A166" s="832"/>
      <c r="B166" s="832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832"/>
      <c r="B167" s="832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832"/>
      <c r="B168" s="832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30.75" customHeight="1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36" t="s">
        <v>209</v>
      </c>
      <c r="B173" s="837"/>
      <c r="C173" s="333"/>
      <c r="D173" s="228" t="s">
        <v>142</v>
      </c>
      <c r="E173" s="95">
        <f>'10'!F173</f>
        <v>8126</v>
      </c>
      <c r="F173" s="554">
        <v>8126</v>
      </c>
      <c r="G173" s="155">
        <f>F173-E173</f>
        <v>0</v>
      </c>
      <c r="H173" s="99">
        <f>G173+'10'!H173</f>
        <v>0</v>
      </c>
      <c r="I173" s="155"/>
      <c r="J173" s="178">
        <f>H173/DAY(B2)</f>
        <v>0</v>
      </c>
    </row>
    <row r="174" spans="1:10" ht="30.75" customHeight="1">
      <c r="A174" s="836" t="s">
        <v>75</v>
      </c>
      <c r="B174" s="837"/>
      <c r="C174" s="333"/>
      <c r="D174" s="228" t="s">
        <v>142</v>
      </c>
      <c r="E174" s="95">
        <f>'10'!F174</f>
        <v>38389</v>
      </c>
      <c r="F174" s="157">
        <v>38403</v>
      </c>
      <c r="G174" s="155">
        <f t="shared" ref="G174:G175" si="14">F174-E174</f>
        <v>14</v>
      </c>
      <c r="H174" s="99">
        <f>G174+'10'!H174</f>
        <v>110</v>
      </c>
      <c r="I174" s="155"/>
      <c r="J174" s="178">
        <f>H174/DAY(B2)</f>
        <v>10</v>
      </c>
    </row>
    <row r="175" spans="1:10" ht="30.75" customHeight="1">
      <c r="A175" s="836" t="s">
        <v>76</v>
      </c>
      <c r="B175" s="876"/>
      <c r="C175" s="837"/>
      <c r="D175" s="228" t="s">
        <v>142</v>
      </c>
      <c r="E175" s="95">
        <f>'10'!F175</f>
        <v>21610</v>
      </c>
      <c r="F175" s="155">
        <v>21621</v>
      </c>
      <c r="G175" s="155">
        <f t="shared" si="14"/>
        <v>11</v>
      </c>
      <c r="H175" s="99">
        <f>G175+'10'!H175</f>
        <v>103</v>
      </c>
      <c r="I175" s="155"/>
      <c r="J175" s="178">
        <f>H175/DAY(B2)</f>
        <v>9.3636363636363633</v>
      </c>
    </row>
    <row r="176" spans="1:10" ht="30.75" customHeight="1">
      <c r="A176" s="827" t="s">
        <v>196</v>
      </c>
      <c r="B176" s="828"/>
      <c r="C176" s="485"/>
      <c r="D176" s="228" t="s">
        <v>142</v>
      </c>
      <c r="E176" s="95"/>
      <c r="F176" s="155"/>
      <c r="G176" s="155">
        <f>SUM(G173:G175)</f>
        <v>25</v>
      </c>
      <c r="H176" s="99">
        <f>G176+'10'!H176</f>
        <v>213</v>
      </c>
      <c r="I176" s="155"/>
      <c r="J176" s="178">
        <f>H176/DAY(B2)</f>
        <v>19.363636363636363</v>
      </c>
    </row>
    <row r="177" spans="1:10" ht="30.7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36" t="s">
        <v>210</v>
      </c>
      <c r="B178" s="837"/>
      <c r="C178" s="333"/>
      <c r="D178" s="228" t="s">
        <v>142</v>
      </c>
      <c r="E178" s="95">
        <f>'10'!F178</f>
        <v>80270</v>
      </c>
      <c r="F178" s="155">
        <v>80312</v>
      </c>
      <c r="G178" s="155">
        <f>F178-E178</f>
        <v>42</v>
      </c>
      <c r="H178" s="99">
        <f>G178+'10'!H178</f>
        <v>698</v>
      </c>
      <c r="I178" s="155"/>
      <c r="J178" s="178">
        <f>H178/DAY(B2)</f>
        <v>63.454545454545453</v>
      </c>
    </row>
    <row r="179" spans="1:10" ht="30.75" customHeight="1">
      <c r="A179" s="836" t="s">
        <v>211</v>
      </c>
      <c r="B179" s="837"/>
      <c r="C179" s="333"/>
      <c r="D179" s="228" t="s">
        <v>142</v>
      </c>
      <c r="E179" s="95">
        <f>'10'!F179</f>
        <v>34093</v>
      </c>
      <c r="F179" s="155">
        <v>34127</v>
      </c>
      <c r="G179" s="155">
        <f t="shared" ref="G179:G180" si="15">F179-E179</f>
        <v>34</v>
      </c>
      <c r="H179" s="99">
        <f>G179+'10'!H179</f>
        <v>212</v>
      </c>
      <c r="I179" s="155"/>
      <c r="J179" s="178">
        <f>H179/DAY(B2)</f>
        <v>19.272727272727273</v>
      </c>
    </row>
    <row r="180" spans="1:10" ht="30.75" customHeight="1">
      <c r="A180" s="836" t="s">
        <v>212</v>
      </c>
      <c r="B180" s="837"/>
      <c r="C180" s="333"/>
      <c r="D180" s="228" t="s">
        <v>142</v>
      </c>
      <c r="E180" s="95">
        <f>'10'!F180</f>
        <v>5544</v>
      </c>
      <c r="F180" s="155">
        <v>5546</v>
      </c>
      <c r="G180" s="155">
        <f t="shared" si="15"/>
        <v>2</v>
      </c>
      <c r="H180" s="99">
        <f>G180+'10'!H180</f>
        <v>69</v>
      </c>
      <c r="I180" s="155"/>
      <c r="J180" s="178">
        <f>H180/DAY(B2)</f>
        <v>6.2727272727272725</v>
      </c>
    </row>
    <row r="181" spans="1:10" ht="30.75" customHeight="1">
      <c r="A181" s="838" t="s">
        <v>108</v>
      </c>
      <c r="B181" s="839"/>
      <c r="C181" s="485"/>
      <c r="D181" s="228" t="s">
        <v>142</v>
      </c>
      <c r="E181" s="95"/>
      <c r="F181" s="155"/>
      <c r="G181" s="155">
        <f>SUM(G178:G180)</f>
        <v>78</v>
      </c>
      <c r="H181" s="99">
        <f>G181+'10'!H181</f>
        <v>979</v>
      </c>
      <c r="I181" s="155"/>
      <c r="J181" s="178">
        <f>H181/DAY(B2)</f>
        <v>89</v>
      </c>
    </row>
    <row r="182" spans="1:10" ht="30.75" customHeight="1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36" t="s">
        <v>214</v>
      </c>
      <c r="B183" s="837"/>
      <c r="C183" s="334"/>
      <c r="D183" s="228" t="s">
        <v>142</v>
      </c>
      <c r="E183" s="95">
        <f>'10'!F183</f>
        <v>15084</v>
      </c>
      <c r="F183" s="157">
        <v>15094</v>
      </c>
      <c r="G183" s="157">
        <f>F183-E183</f>
        <v>10</v>
      </c>
      <c r="H183" s="99">
        <f>G183+'10'!H183</f>
        <v>147</v>
      </c>
      <c r="I183" s="155"/>
      <c r="J183" s="178">
        <f>H183/DAY(B2)</f>
        <v>13.363636363636363</v>
      </c>
    </row>
    <row r="184" spans="1:10" ht="30.75" customHeight="1">
      <c r="A184" s="836" t="s">
        <v>215</v>
      </c>
      <c r="B184" s="837"/>
      <c r="C184" s="334"/>
      <c r="D184" s="228" t="s">
        <v>142</v>
      </c>
      <c r="E184" s="95">
        <f>'10'!F184</f>
        <v>10373</v>
      </c>
      <c r="F184" s="157">
        <v>10380</v>
      </c>
      <c r="G184" s="157">
        <f t="shared" ref="G184:G185" si="16">F184-E184</f>
        <v>7</v>
      </c>
      <c r="H184" s="99">
        <f>G184+'10'!H184</f>
        <v>79</v>
      </c>
      <c r="I184" s="155"/>
      <c r="J184" s="178">
        <f>H184/DAY(B2)</f>
        <v>7.1818181818181817</v>
      </c>
    </row>
    <row r="185" spans="1:10" ht="30.75" customHeight="1">
      <c r="A185" s="836" t="s">
        <v>216</v>
      </c>
      <c r="B185" s="837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17</v>
      </c>
      <c r="H186" s="99">
        <f>G186+'10'!H186</f>
        <v>226</v>
      </c>
      <c r="I186" s="157"/>
      <c r="J186" s="178">
        <f>H186/DAY(B2)</f>
        <v>20.545454545454547</v>
      </c>
    </row>
    <row r="187" spans="1:10" ht="30.75" customHeight="1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123</v>
      </c>
      <c r="H187" s="99">
        <f>G187+'10'!H187</f>
        <v>1245</v>
      </c>
      <c r="I187" s="158"/>
      <c r="J187" s="179">
        <f>H187/DAY(B2)</f>
        <v>113.18181818181819</v>
      </c>
    </row>
    <row r="188" spans="1:10" ht="30.75" customHeight="1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124</v>
      </c>
      <c r="H188" s="99">
        <f>G188+'10'!H188</f>
        <v>1505</v>
      </c>
      <c r="I188" s="158"/>
      <c r="J188" s="179">
        <f>H188/DAY(B2)</f>
        <v>136.81818181818181</v>
      </c>
    </row>
    <row r="189" spans="1:10" ht="30.75" customHeight="1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78</v>
      </c>
      <c r="H189" s="99">
        <f>G189+'10'!H189</f>
        <v>979</v>
      </c>
      <c r="I189" s="158"/>
      <c r="J189" s="179">
        <f>H189/DAY(B2)</f>
        <v>89</v>
      </c>
    </row>
    <row r="190" spans="1:10" ht="30.75" customHeight="1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0" zoomScaleNormal="75" zoomScaleSheetLayoutView="50" workbookViewId="0">
      <selection activeCell="F24" sqref="F24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32.25" customHeight="1">
      <c r="A2" s="191" t="s">
        <v>303</v>
      </c>
      <c r="B2" s="262">
        <v>44573</v>
      </c>
      <c r="C2" s="348" t="s">
        <v>67</v>
      </c>
      <c r="D2" s="218">
        <v>0.3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22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0.59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303864</v>
      </c>
      <c r="F7" s="95">
        <v>320395</v>
      </c>
      <c r="G7" s="112">
        <f>F7-E7</f>
        <v>16531</v>
      </c>
      <c r="H7" s="99">
        <f>G7+'11'!H7</f>
        <v>225834</v>
      </c>
      <c r="I7" s="113">
        <f>'1'!I7</f>
        <v>12000</v>
      </c>
      <c r="J7" s="175">
        <f>H7/DAY(B2)</f>
        <v>18819.5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354262</v>
      </c>
      <c r="F8" s="95">
        <v>370975</v>
      </c>
      <c r="G8" s="115">
        <f>F8-E8</f>
        <v>16713</v>
      </c>
      <c r="H8" s="99">
        <f>G8+'11'!H8</f>
        <v>230090</v>
      </c>
      <c r="I8" s="116"/>
      <c r="J8" s="175">
        <f>H8/DAY(B2)</f>
        <v>19174.166666666668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33440</v>
      </c>
      <c r="F9" s="601">
        <v>44230</v>
      </c>
      <c r="G9" s="112">
        <f>F9-E9</f>
        <v>10790</v>
      </c>
      <c r="H9" s="99">
        <f>G9+'11'!H9</f>
        <v>142735</v>
      </c>
      <c r="I9" s="124">
        <f>I7-J7</f>
        <v>-6819.5</v>
      </c>
      <c r="J9" s="175">
        <f>H9/DAY(B2)</f>
        <v>11894.583333333334</v>
      </c>
      <c r="K9" s="79">
        <f>K8-100</f>
        <v>1715817</v>
      </c>
      <c r="L9" s="66"/>
      <c r="N9" s="87"/>
      <c r="O9" s="71"/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16672</v>
      </c>
      <c r="F10" s="353">
        <v>21941</v>
      </c>
      <c r="G10" s="112">
        <f t="shared" ref="G10:G12" si="0">F10-E10</f>
        <v>5269</v>
      </c>
      <c r="H10" s="99">
        <f>G10+'11'!H10</f>
        <v>76847</v>
      </c>
      <c r="I10" s="282"/>
      <c r="J10" s="175">
        <f>H10/DAY(B2)</f>
        <v>6403.916666666667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16059</v>
      </c>
      <c r="H13" s="99">
        <f>G13+'11'!H13</f>
        <v>200116.74999999988</v>
      </c>
      <c r="I13" s="120">
        <f>G7-G13</f>
        <v>472</v>
      </c>
      <c r="J13" s="175">
        <f>H13/DAY(B2)</f>
        <v>16676.395833333325</v>
      </c>
      <c r="K13" s="79"/>
      <c r="L13" s="66"/>
      <c r="N13" s="87"/>
      <c r="O13" s="71"/>
    </row>
    <row r="14" spans="1:15" ht="32.2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1888289</v>
      </c>
      <c r="F15" s="123">
        <v>1888933</v>
      </c>
      <c r="G15" s="112">
        <f>(F15-E15)</f>
        <v>644</v>
      </c>
      <c r="H15" s="99">
        <f>G15+'11'!H15</f>
        <v>10503</v>
      </c>
      <c r="I15" s="113">
        <f>'1'!I15</f>
        <v>800</v>
      </c>
      <c r="J15" s="175">
        <f>H15/DAY(B2)</f>
        <v>875.25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-75.25</v>
      </c>
      <c r="J16" s="176"/>
      <c r="K16" s="79"/>
      <c r="L16" s="66"/>
      <c r="N16" s="87"/>
      <c r="O16" s="71"/>
    </row>
    <row r="17" spans="1:15" ht="32.2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64" t="s">
        <v>141</v>
      </c>
      <c r="B18" s="865"/>
      <c r="C18" s="866"/>
      <c r="D18" s="151" t="s">
        <v>142</v>
      </c>
      <c r="E18" s="95">
        <f>'11'!F18</f>
        <v>8</v>
      </c>
      <c r="F18" s="122">
        <v>8</v>
      </c>
      <c r="G18" s="119">
        <f>F18*10</f>
        <v>80</v>
      </c>
      <c r="H18" s="99">
        <f>G18+'11'!H18</f>
        <v>1410</v>
      </c>
      <c r="I18" s="113">
        <f>'1'!I18</f>
        <v>65</v>
      </c>
      <c r="J18" s="175">
        <f>H18/DAY(B2)</f>
        <v>117.5</v>
      </c>
      <c r="K18" s="79"/>
      <c r="L18" s="66"/>
      <c r="N18" s="87"/>
      <c r="O18" s="71"/>
    </row>
    <row r="19" spans="1:15" ht="32.25" customHeight="1">
      <c r="A19" s="864" t="s">
        <v>69</v>
      </c>
      <c r="B19" s="865"/>
      <c r="C19" s="866"/>
      <c r="D19" s="151" t="s">
        <v>142</v>
      </c>
      <c r="E19" s="95">
        <f>'11'!F19</f>
        <v>152799</v>
      </c>
      <c r="F19" s="122">
        <v>152855</v>
      </c>
      <c r="G19" s="112">
        <f t="shared" ref="G19" si="1">F19-E19</f>
        <v>56</v>
      </c>
      <c r="H19" s="99">
        <f>G19+'11'!H19</f>
        <v>630</v>
      </c>
      <c r="I19" s="335"/>
      <c r="J19" s="175">
        <f>H19/DAY(B2)</f>
        <v>52.5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136</v>
      </c>
      <c r="H20" s="99">
        <f>G20+'11'!H20</f>
        <v>2040</v>
      </c>
      <c r="I20" s="336">
        <f>I18-J20</f>
        <v>-105</v>
      </c>
      <c r="J20" s="175">
        <f>H20/DAY(B2)</f>
        <v>170</v>
      </c>
      <c r="K20" s="79"/>
      <c r="L20" s="66"/>
      <c r="N20" s="87"/>
      <c r="O20" s="71"/>
    </row>
    <row r="21" spans="1:15" ht="32.2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16713</v>
      </c>
      <c r="F27" s="136">
        <v>9</v>
      </c>
      <c r="G27" s="137">
        <f>E27*F27</f>
        <v>150417</v>
      </c>
      <c r="H27" s="99">
        <f>G27+'11'!H27</f>
        <v>2070810</v>
      </c>
      <c r="I27" s="138"/>
      <c r="J27" s="175">
        <f>H27/DAY(B2)</f>
        <v>172567.5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644</v>
      </c>
      <c r="F28" s="136">
        <v>52</v>
      </c>
      <c r="G28" s="137">
        <f>E28*F28</f>
        <v>33488</v>
      </c>
      <c r="H28" s="99">
        <f>G28+'11'!H28</f>
        <v>546156</v>
      </c>
      <c r="I28" s="140"/>
      <c r="J28" s="175">
        <f>H28/DAY(B2)</f>
        <v>45513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G30+'11'!H30</f>
        <v>91980</v>
      </c>
      <c r="I30" s="140"/>
      <c r="J30" s="175">
        <f>H30/DAY(B2)</f>
        <v>7665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G31+'11'!H31</f>
        <v>112800</v>
      </c>
      <c r="I31" s="140"/>
      <c r="J31" s="175">
        <f>H31/DAY(B2)</f>
        <v>9400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198481</v>
      </c>
      <c r="H32" s="99">
        <f>G32+'11'!H32</f>
        <v>2821746</v>
      </c>
      <c r="I32" s="144"/>
      <c r="J32" s="175">
        <f>H32/DAY(B2)</f>
        <v>235145.5</v>
      </c>
      <c r="K32" s="63"/>
      <c r="L32" s="89"/>
      <c r="N32" s="87"/>
      <c r="O32" s="71"/>
    </row>
    <row r="33" spans="1:15" ht="32.2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4860</v>
      </c>
      <c r="F35" s="145">
        <v>6382</v>
      </c>
      <c r="G35" s="112">
        <f t="shared" ref="G35:G46" si="3">F35-E35</f>
        <v>1522</v>
      </c>
      <c r="H35" s="99">
        <f>G35+'11'!H35</f>
        <v>21582</v>
      </c>
      <c r="I35" s="95"/>
      <c r="J35" s="175">
        <f>H35/DAY(B2)</f>
        <v>1798.5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29899</v>
      </c>
      <c r="F36" s="145">
        <v>30512</v>
      </c>
      <c r="G36" s="112">
        <f t="shared" si="3"/>
        <v>613</v>
      </c>
      <c r="H36" s="99">
        <f>G36+'11'!H36</f>
        <v>8985</v>
      </c>
      <c r="I36" s="95"/>
      <c r="J36" s="175">
        <f>H36/DAY(B2)</f>
        <v>748.75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4369</v>
      </c>
      <c r="F37" s="376">
        <v>5850</v>
      </c>
      <c r="G37" s="112">
        <f t="shared" si="3"/>
        <v>1481</v>
      </c>
      <c r="H37" s="99">
        <f>G37+'11'!H37</f>
        <v>18062</v>
      </c>
      <c r="I37" s="95"/>
      <c r="J37" s="175">
        <f>H37/DAY(B2)</f>
        <v>1505.1666666666667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4693</v>
      </c>
      <c r="F38" s="108">
        <v>6177</v>
      </c>
      <c r="G38" s="112">
        <f t="shared" si="3"/>
        <v>1484</v>
      </c>
      <c r="H38" s="99">
        <f>G38+'11'!H38</f>
        <v>19377</v>
      </c>
      <c r="I38" s="95"/>
      <c r="J38" s="175">
        <f>H38/DAY(B2)</f>
        <v>1614.75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7655</v>
      </c>
      <c r="F39" s="145">
        <v>10116</v>
      </c>
      <c r="G39" s="112">
        <f t="shared" si="3"/>
        <v>2461</v>
      </c>
      <c r="H39" s="99">
        <f>G39+'11'!H39</f>
        <v>31798</v>
      </c>
      <c r="I39" s="95"/>
      <c r="J39" s="175">
        <f>H39/DAY(B2)</f>
        <v>2649.8333333333335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9994</v>
      </c>
      <c r="F40" s="145">
        <v>10732</v>
      </c>
      <c r="G40" s="112">
        <f t="shared" si="3"/>
        <v>738</v>
      </c>
      <c r="H40" s="99">
        <f>G40+'11'!H40</f>
        <v>5122</v>
      </c>
      <c r="I40" s="95"/>
      <c r="J40" s="175">
        <f>H40/DAY(B2)</f>
        <v>426.83333333333331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0</v>
      </c>
      <c r="F41" s="145">
        <v>0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73809</v>
      </c>
      <c r="F42" s="145">
        <v>73809</v>
      </c>
      <c r="G42" s="112">
        <f t="shared" si="3"/>
        <v>0</v>
      </c>
      <c r="H42" s="99">
        <f>G42+'11'!H42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376">
        <v>72696</v>
      </c>
      <c r="F43" s="376">
        <v>74718</v>
      </c>
      <c r="G43" s="112">
        <f t="shared" si="3"/>
        <v>2022</v>
      </c>
      <c r="H43" s="99">
        <f>G43+'11'!H43</f>
        <v>27457</v>
      </c>
      <c r="I43" s="95"/>
      <c r="J43" s="175">
        <f>H43/DAY(B2)</f>
        <v>2288.0833333333335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10321</v>
      </c>
      <c r="H47" s="99">
        <f>G47+'11'!H47</f>
        <v>132383</v>
      </c>
      <c r="I47" s="95"/>
      <c r="J47" s="175">
        <f>H47/DAY(B2)</f>
        <v>11031.916666666666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3680</v>
      </c>
      <c r="F49" s="145">
        <v>4914</v>
      </c>
      <c r="G49" s="112">
        <f t="shared" ref="G49:G58" si="4">F49-E49</f>
        <v>1234</v>
      </c>
      <c r="H49" s="99">
        <f>G49+'11'!H49</f>
        <v>18035</v>
      </c>
      <c r="I49" s="95"/>
      <c r="J49" s="175">
        <f>H49/DAY(B2)</f>
        <v>1502.9166666666667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145">
        <v>35964</v>
      </c>
      <c r="F50" s="145">
        <v>36812</v>
      </c>
      <c r="G50" s="112">
        <f t="shared" si="4"/>
        <v>848</v>
      </c>
      <c r="H50" s="99">
        <f>G50+'11'!H50</f>
        <v>12162</v>
      </c>
      <c r="I50" s="95"/>
      <c r="J50" s="175">
        <f>H50/DAY(B2)</f>
        <v>1013.5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1724</v>
      </c>
      <c r="F54" s="145">
        <v>2198</v>
      </c>
      <c r="G54" s="112">
        <f t="shared" si="4"/>
        <v>474</v>
      </c>
      <c r="H54" s="99">
        <f>G54+'11'!H54</f>
        <v>3965.08</v>
      </c>
      <c r="I54" s="95"/>
      <c r="J54" s="175">
        <f>H54/DAY(B2)</f>
        <v>330.42333333333335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36897</v>
      </c>
      <c r="F55" s="145">
        <v>39709</v>
      </c>
      <c r="G55" s="112">
        <f t="shared" si="4"/>
        <v>2812</v>
      </c>
      <c r="H55" s="99">
        <f>G55+'11'!H55</f>
        <v>36198</v>
      </c>
      <c r="I55" s="95"/>
      <c r="J55" s="175">
        <f>H55/DAY(B2)</f>
        <v>3016.5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8611</v>
      </c>
      <c r="F56" s="145">
        <v>8611</v>
      </c>
      <c r="G56" s="112">
        <f t="shared" si="4"/>
        <v>0</v>
      </c>
      <c r="H56" s="99">
        <f>G56+'11'!H56</f>
        <v>0.45999999999912689</v>
      </c>
      <c r="I56" s="95"/>
      <c r="J56" s="175">
        <f>H56/DAY(B2)</f>
        <v>3.8333333333260576E-2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1329</v>
      </c>
      <c r="F58" s="145">
        <v>1342</v>
      </c>
      <c r="G58" s="112">
        <f t="shared" si="4"/>
        <v>13</v>
      </c>
      <c r="H58" s="99">
        <f>G58+'11'!H58</f>
        <v>1682.6300000000047</v>
      </c>
      <c r="I58" s="95"/>
      <c r="J58" s="175">
        <f>H58/DAY(B2)</f>
        <v>140.21916666666706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5381</v>
      </c>
      <c r="H59" s="99">
        <f>G59+'11'!H59</f>
        <v>72043.170000000013</v>
      </c>
      <c r="I59" s="95">
        <f>G7-G60</f>
        <v>829</v>
      </c>
      <c r="J59" s="175">
        <f>H59/DAY(B2)</f>
        <v>6003.5975000000008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15702</v>
      </c>
      <c r="H60" s="99">
        <f>G60+'11'!H60</f>
        <v>204426.16999999998</v>
      </c>
      <c r="I60" s="95">
        <f>G13-G60</f>
        <v>357</v>
      </c>
      <c r="J60" s="175">
        <f>H60/DAY(B2)</f>
        <v>17035.514166666664</v>
      </c>
      <c r="K60" s="79"/>
      <c r="L60" s="66"/>
      <c r="N60" s="87"/>
      <c r="O60" s="71"/>
    </row>
    <row r="61" spans="1:15" s="68" customFormat="1" ht="32.25" customHeight="1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64" t="s">
        <v>198</v>
      </c>
      <c r="B62" s="865"/>
      <c r="C62" s="866"/>
      <c r="D62" s="151" t="s">
        <v>142</v>
      </c>
      <c r="E62" s="95">
        <f>'11'!F62</f>
        <v>267884</v>
      </c>
      <c r="F62" s="122">
        <v>267928</v>
      </c>
      <c r="G62" s="112">
        <f t="shared" ref="G62:G63" si="5">F62-E62</f>
        <v>44</v>
      </c>
      <c r="H62" s="99">
        <f>G62+'11'!H62</f>
        <v>715</v>
      </c>
      <c r="I62" s="118"/>
      <c r="J62" s="175">
        <f>H62/DAY(B2)</f>
        <v>59.583333333333336</v>
      </c>
      <c r="K62" s="80"/>
      <c r="L62" s="66"/>
      <c r="N62" s="87"/>
      <c r="O62" s="71"/>
    </row>
    <row r="63" spans="1:15" ht="32.25" customHeight="1">
      <c r="A63" s="864" t="s">
        <v>199</v>
      </c>
      <c r="B63" s="865"/>
      <c r="C63" s="866"/>
      <c r="D63" s="151" t="s">
        <v>142</v>
      </c>
      <c r="E63" s="95">
        <f>'11'!F63</f>
        <v>213609</v>
      </c>
      <c r="F63" s="122">
        <v>213706</v>
      </c>
      <c r="G63" s="112">
        <f t="shared" si="5"/>
        <v>97</v>
      </c>
      <c r="H63" s="99">
        <f>G63+'11'!H63</f>
        <v>1281</v>
      </c>
      <c r="I63" s="118"/>
      <c r="J63" s="175">
        <f>H63/DAY(B2)</f>
        <v>106.75</v>
      </c>
      <c r="K63" s="69"/>
      <c r="L63" s="66"/>
      <c r="N63" s="87"/>
      <c r="O63" s="71"/>
    </row>
    <row r="64" spans="1:15" ht="32.25" customHeight="1">
      <c r="A64" s="873" t="s">
        <v>200</v>
      </c>
      <c r="B64" s="874"/>
      <c r="C64" s="875"/>
      <c r="D64" s="151"/>
      <c r="E64" s="95">
        <f>'11'!F64</f>
        <v>0</v>
      </c>
      <c r="F64" s="122"/>
      <c r="G64" s="112">
        <f>G62+G63</f>
        <v>141</v>
      </c>
      <c r="H64" s="99">
        <f>G64+'11'!H64</f>
        <v>1996</v>
      </c>
      <c r="I64" s="118"/>
      <c r="J64" s="175">
        <f>H64/DAY(B2)</f>
        <v>166.33333333333334</v>
      </c>
      <c r="K64" s="69"/>
      <c r="L64" s="66"/>
      <c r="N64" s="87"/>
      <c r="O64" s="71"/>
    </row>
    <row r="65" spans="1:15" ht="32.25" customHeight="1">
      <c r="A65" s="864" t="s">
        <v>201</v>
      </c>
      <c r="B65" s="865"/>
      <c r="C65" s="866"/>
      <c r="D65" s="151" t="s">
        <v>142</v>
      </c>
      <c r="E65" s="95">
        <f>'11'!F65</f>
        <v>433422</v>
      </c>
      <c r="F65" s="122">
        <v>433470</v>
      </c>
      <c r="G65" s="112">
        <f t="shared" ref="G65:G70" si="6">F65-E65</f>
        <v>48</v>
      </c>
      <c r="H65" s="99">
        <f>G65+'11'!H65</f>
        <v>856</v>
      </c>
      <c r="I65" s="118"/>
      <c r="J65" s="175">
        <f>H65/DAY(B2)</f>
        <v>71.333333333333329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107424</v>
      </c>
      <c r="F66" s="122">
        <v>107430</v>
      </c>
      <c r="G66" s="112">
        <f t="shared" si="6"/>
        <v>6</v>
      </c>
      <c r="H66" s="99">
        <f>G66+'11'!H66</f>
        <v>216</v>
      </c>
      <c r="I66" s="118"/>
      <c r="J66" s="175">
        <f>H66/DAY(B2)</f>
        <v>18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104203</v>
      </c>
      <c r="F67" s="122">
        <v>104218</v>
      </c>
      <c r="G67" s="112">
        <f t="shared" si="6"/>
        <v>15</v>
      </c>
      <c r="H67" s="99">
        <f>G67+'11'!H67</f>
        <v>290</v>
      </c>
      <c r="I67" s="118"/>
      <c r="J67" s="175">
        <f>H67/DAY(B2)</f>
        <v>24.166666666666668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156905</v>
      </c>
      <c r="F68" s="122">
        <v>156928</v>
      </c>
      <c r="G68" s="112">
        <f t="shared" si="6"/>
        <v>23</v>
      </c>
      <c r="H68" s="99">
        <f>G68+'11'!H68</f>
        <v>308</v>
      </c>
      <c r="I68" s="118"/>
      <c r="J68" s="175">
        <f>H68/DAY(B2)</f>
        <v>25.666666666666668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10335</v>
      </c>
      <c r="F69" s="122">
        <v>10341</v>
      </c>
      <c r="G69" s="112">
        <f t="shared" si="6"/>
        <v>6</v>
      </c>
      <c r="H69" s="99">
        <f>G69+'11'!H69</f>
        <v>127</v>
      </c>
      <c r="I69" s="118"/>
      <c r="J69" s="175">
        <f>H69/DAY(B2)</f>
        <v>10.583333333333334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7953</v>
      </c>
      <c r="F70" s="122">
        <v>7957</v>
      </c>
      <c r="G70" s="112">
        <f t="shared" si="6"/>
        <v>4</v>
      </c>
      <c r="H70" s="99">
        <f>G70+'11'!H70</f>
        <v>95</v>
      </c>
      <c r="I70" s="118"/>
      <c r="J70" s="175">
        <f>H70/DAY(B2)</f>
        <v>7.916666666666667</v>
      </c>
      <c r="K70" s="69"/>
      <c r="L70" s="66"/>
      <c r="N70" s="87"/>
      <c r="O70" s="71"/>
    </row>
    <row r="71" spans="1:15" ht="32.25" customHeight="1">
      <c r="A71" s="873" t="s">
        <v>208</v>
      </c>
      <c r="B71" s="874"/>
      <c r="C71" s="875"/>
      <c r="D71" s="152"/>
      <c r="E71" s="152"/>
      <c r="F71" s="152"/>
      <c r="G71" s="153">
        <f>SUM(G65:G70)</f>
        <v>102</v>
      </c>
      <c r="H71" s="99">
        <f>G71+'11'!H71</f>
        <v>1892</v>
      </c>
      <c r="I71" s="154"/>
      <c r="J71" s="175">
        <f>H71/DAY(B2)</f>
        <v>157.66666666666666</v>
      </c>
      <c r="K71" s="69"/>
      <c r="L71" s="66"/>
      <c r="N71" s="87"/>
      <c r="O71" s="71"/>
    </row>
    <row r="72" spans="1:15" s="88" customFormat="1" ht="32.25" customHeight="1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64" t="s">
        <v>220</v>
      </c>
      <c r="B74" s="865"/>
      <c r="C74" s="866"/>
      <c r="D74" s="151" t="s">
        <v>139</v>
      </c>
      <c r="E74" s="95">
        <f>'11'!F74</f>
        <v>895242</v>
      </c>
      <c r="F74" s="117">
        <v>895621</v>
      </c>
      <c r="G74" s="112">
        <f t="shared" ref="G74:G78" si="7">F74-E74</f>
        <v>379</v>
      </c>
      <c r="H74" s="99">
        <f>G74+'11'!H74</f>
        <v>3589</v>
      </c>
      <c r="I74" s="154"/>
      <c r="J74" s="175">
        <f>H74/DAY(B2)</f>
        <v>299.08333333333331</v>
      </c>
      <c r="K74" s="69"/>
      <c r="L74" s="66"/>
      <c r="N74" s="87"/>
      <c r="O74" s="71"/>
    </row>
    <row r="75" spans="1:15" ht="32.25" customHeight="1">
      <c r="A75" s="864" t="s">
        <v>221</v>
      </c>
      <c r="B75" s="865"/>
      <c r="C75" s="866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>
      <c r="A76" s="861" t="s">
        <v>222</v>
      </c>
      <c r="B76" s="862"/>
      <c r="C76" s="863"/>
      <c r="D76" s="151" t="s">
        <v>139</v>
      </c>
      <c r="E76" s="95">
        <f>'11'!F76</f>
        <v>168158</v>
      </c>
      <c r="F76" s="123">
        <v>168236</v>
      </c>
      <c r="G76" s="112">
        <f t="shared" si="7"/>
        <v>78</v>
      </c>
      <c r="H76" s="99">
        <f>G76+'11'!H76</f>
        <v>1029</v>
      </c>
      <c r="I76" s="154"/>
      <c r="J76" s="175">
        <f>H76/DAY(B2)</f>
        <v>85.75</v>
      </c>
      <c r="K76" s="69"/>
      <c r="L76" s="66"/>
      <c r="N76" s="87"/>
      <c r="O76" s="71"/>
    </row>
    <row r="77" spans="1:15" ht="32.25" customHeight="1">
      <c r="A77" s="861" t="s">
        <v>223</v>
      </c>
      <c r="B77" s="862"/>
      <c r="C77" s="863"/>
      <c r="D77" s="151" t="s">
        <v>139</v>
      </c>
      <c r="E77" s="95">
        <f>'11'!F77</f>
        <v>40671</v>
      </c>
      <c r="F77" s="123">
        <v>40694</v>
      </c>
      <c r="G77" s="112">
        <f t="shared" si="7"/>
        <v>23</v>
      </c>
      <c r="H77" s="99">
        <f>G77+'11'!H77</f>
        <v>378</v>
      </c>
      <c r="I77" s="154"/>
      <c r="J77" s="175">
        <f>H77/DAY(B2)</f>
        <v>31.5</v>
      </c>
      <c r="K77" s="69"/>
      <c r="L77" s="66"/>
      <c r="N77" s="87"/>
      <c r="O77" s="71"/>
    </row>
    <row r="78" spans="1:15" ht="32.25" customHeight="1">
      <c r="A78" s="861" t="s">
        <v>224</v>
      </c>
      <c r="B78" s="862"/>
      <c r="C78" s="863"/>
      <c r="D78" s="151" t="s">
        <v>139</v>
      </c>
      <c r="E78" s="95">
        <f>'11'!F78</f>
        <v>9496</v>
      </c>
      <c r="F78" s="123">
        <v>9496</v>
      </c>
      <c r="G78" s="112">
        <f t="shared" si="7"/>
        <v>0</v>
      </c>
      <c r="H78" s="99">
        <f>G78+'11'!H78</f>
        <v>10</v>
      </c>
      <c r="I78" s="118"/>
      <c r="J78" s="175">
        <f>H78/DAY(B2)</f>
        <v>0.83333333333333337</v>
      </c>
      <c r="K78" s="69"/>
      <c r="L78" s="66"/>
      <c r="N78" s="87"/>
      <c r="O78" s="71"/>
    </row>
    <row r="79" spans="1:15" s="57" customFormat="1" ht="32.25" customHeight="1">
      <c r="A79" s="861" t="s">
        <v>225</v>
      </c>
      <c r="B79" s="862"/>
      <c r="C79" s="863"/>
      <c r="D79" s="151"/>
      <c r="E79" s="95">
        <f>'11'!F79</f>
        <v>0</v>
      </c>
      <c r="F79" s="117"/>
      <c r="G79" s="112">
        <f>G15-SUM(G74:G78)</f>
        <v>164</v>
      </c>
      <c r="H79" s="99">
        <f>G79+'11'!H79</f>
        <v>5496.8000000000029</v>
      </c>
      <c r="I79" s="118"/>
      <c r="J79" s="175">
        <f>H79/DAY(B2)</f>
        <v>458.06666666666689</v>
      </c>
      <c r="K79" s="59"/>
      <c r="L79" s="58"/>
      <c r="N79" s="87"/>
      <c r="O79" s="71"/>
    </row>
    <row r="80" spans="1:15" s="57" customFormat="1" ht="32.25" customHeight="1">
      <c r="A80" s="873" t="s">
        <v>329</v>
      </c>
      <c r="B80" s="874"/>
      <c r="C80" s="875"/>
      <c r="D80" s="151"/>
      <c r="E80" s="117"/>
      <c r="F80" s="117"/>
      <c r="G80" s="112">
        <f>SUM(G74:G79)</f>
        <v>644</v>
      </c>
      <c r="H80" s="99">
        <f>G80+'11'!H80</f>
        <v>644</v>
      </c>
      <c r="I80" s="118"/>
      <c r="J80" s="175">
        <f>H80/DAY(B2)</f>
        <v>53.666666666666664</v>
      </c>
      <c r="K80" s="59"/>
      <c r="L80" s="58"/>
      <c r="N80" s="87"/>
      <c r="O80" s="71"/>
    </row>
    <row r="81" spans="1:15" ht="32.25" customHeight="1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118"/>
      <c r="J84" s="175">
        <f>H84/DAY(B2)</f>
        <v>0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2096.5500000000002</v>
      </c>
      <c r="F85" s="164">
        <v>2096.5500000000002</v>
      </c>
      <c r="G85" s="112">
        <f t="shared" si="8"/>
        <v>0</v>
      </c>
      <c r="H85" s="99">
        <f>G85+'11'!H85</f>
        <v>-9.9999999997635314E-3</v>
      </c>
      <c r="I85" s="118">
        <f>G82+G83+G84+G85</f>
        <v>0</v>
      </c>
      <c r="J85" s="175">
        <f>H85/DAY(B2)</f>
        <v>-8.3333333331362758E-4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43128</v>
      </c>
      <c r="F86" s="164">
        <v>43152</v>
      </c>
      <c r="G86" s="112">
        <f t="shared" si="8"/>
        <v>24</v>
      </c>
      <c r="H86" s="99">
        <f>G86+'11'!H86</f>
        <v>289</v>
      </c>
      <c r="I86" s="118"/>
      <c r="J86" s="175">
        <f>H86/DAY(B2)</f>
        <v>24.083333333333332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34598.550000000003</v>
      </c>
      <c r="F87" s="164">
        <v>34598.550000000003</v>
      </c>
      <c r="G87" s="112">
        <f t="shared" si="8"/>
        <v>0</v>
      </c>
      <c r="H87" s="99">
        <f>G87+'11'!H87</f>
        <v>0</v>
      </c>
      <c r="I87" s="118"/>
      <c r="J87" s="175">
        <f>H87/DAY(B2)</f>
        <v>0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24058</v>
      </c>
      <c r="F88" s="164">
        <v>24058</v>
      </c>
      <c r="G88" s="112">
        <f t="shared" si="8"/>
        <v>0</v>
      </c>
      <c r="H88" s="99">
        <f>G88+'11'!H88</f>
        <v>11</v>
      </c>
      <c r="I88" s="118">
        <f>G86+G87+G88</f>
        <v>24</v>
      </c>
      <c r="J88" s="175">
        <f>H88/DAY(B2)</f>
        <v>0.91666666666666663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25734</v>
      </c>
      <c r="F89" s="164">
        <v>25733.8</v>
      </c>
      <c r="G89" s="112">
        <f t="shared" si="8"/>
        <v>-0.2000000000007276</v>
      </c>
      <c r="H89" s="99">
        <f>G89+'11'!H89</f>
        <v>70.799999999999272</v>
      </c>
      <c r="I89" s="118"/>
      <c r="J89" s="175">
        <f>H89/DAY(B2)</f>
        <v>5.8999999999999391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71088</v>
      </c>
      <c r="F90" s="164">
        <v>71097.37</v>
      </c>
      <c r="G90" s="112">
        <f t="shared" si="8"/>
        <v>9.3699999999953434</v>
      </c>
      <c r="H90" s="99">
        <f>G90+'11'!H90</f>
        <v>63.369999999995343</v>
      </c>
      <c r="I90" s="118">
        <f>G89+G90</f>
        <v>9.1699999999946158</v>
      </c>
      <c r="J90" s="175">
        <f>H90/DAY(B2)</f>
        <v>5.2808333333329456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0</v>
      </c>
      <c r="I91" s="165"/>
      <c r="J91" s="175">
        <f>H91/DAY(B2)</f>
        <v>0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5551</v>
      </c>
      <c r="F92" s="122">
        <v>5560.42</v>
      </c>
      <c r="G92" s="112">
        <f t="shared" si="8"/>
        <v>9.4200000000000728</v>
      </c>
      <c r="H92" s="99">
        <f>G92+'11'!H92</f>
        <v>122.42000000000007</v>
      </c>
      <c r="I92" s="165"/>
      <c r="J92" s="175">
        <f>H92/DAY(B2)</f>
        <v>10.201666666666673</v>
      </c>
      <c r="O92" s="71"/>
    </row>
    <row r="93" spans="1:15" ht="32.25" customHeight="1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4778</v>
      </c>
      <c r="H94" s="99">
        <f>G94+'11'!H94</f>
        <v>67074</v>
      </c>
      <c r="I94" s="118"/>
      <c r="J94" s="175">
        <f>H94/DAY(B2)</f>
        <v>5589.5</v>
      </c>
      <c r="K94" s="69"/>
      <c r="L94" s="66"/>
      <c r="O94" s="71"/>
    </row>
    <row r="95" spans="1:15" ht="32.2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0.28903272639283772</v>
      </c>
      <c r="H95" s="99">
        <f>G95+'11'!H95</f>
        <v>3.5596633199840637</v>
      </c>
      <c r="I95" s="167"/>
      <c r="J95" s="175">
        <f>H95/DAY(B2)</f>
        <v>0.29663860999867198</v>
      </c>
      <c r="K95" s="69"/>
      <c r="L95" s="66"/>
      <c r="O95" s="71"/>
    </row>
    <row r="96" spans="1:15" ht="32.2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2812</v>
      </c>
      <c r="H96" s="99">
        <f>G96+'11'!H96</f>
        <v>36198.46</v>
      </c>
      <c r="I96" s="118"/>
      <c r="J96" s="175">
        <f>H96/DAY(B2)</f>
        <v>3016.5383333333334</v>
      </c>
      <c r="K96" s="69"/>
      <c r="L96" s="66"/>
      <c r="O96" s="71"/>
    </row>
    <row r="97" spans="1:15" ht="32.2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0.17010465186619078</v>
      </c>
      <c r="H97" s="99">
        <f>G97+'11'!H97</f>
        <v>1.9270411336528022</v>
      </c>
      <c r="I97" s="167"/>
      <c r="J97" s="175">
        <f>H97/DAY(B2)</f>
        <v>0.16058676113773351</v>
      </c>
      <c r="K97" s="69"/>
      <c r="L97" s="66"/>
      <c r="O97" s="71"/>
    </row>
    <row r="98" spans="1:15" ht="32.2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2461</v>
      </c>
      <c r="H98" s="99">
        <f>G98+'11'!H98</f>
        <v>31798</v>
      </c>
      <c r="I98" s="168"/>
      <c r="J98" s="175">
        <f>H98/DAY(B2)</f>
        <v>2649.8333333333335</v>
      </c>
      <c r="K98" s="69"/>
      <c r="L98" s="66"/>
      <c r="O98" s="71"/>
    </row>
    <row r="99" spans="1:15" ht="32.2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0.14887181658701834</v>
      </c>
      <c r="H99" s="99">
        <f>G99+'11'!H99</f>
        <v>1.6943233344248565</v>
      </c>
      <c r="I99" s="168"/>
      <c r="J99" s="175">
        <f>H99/DAY(B2)</f>
        <v>0.14119361120207138</v>
      </c>
      <c r="O99" s="71"/>
    </row>
    <row r="100" spans="1:15" ht="32.2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1484</v>
      </c>
      <c r="H100" s="99">
        <f>G100+'11'!H100</f>
        <v>19377</v>
      </c>
      <c r="I100" s="118"/>
      <c r="J100" s="175">
        <f>H100/DAY(B2)</f>
        <v>1614.75</v>
      </c>
      <c r="K100" s="70"/>
      <c r="O100" s="71"/>
    </row>
    <row r="101" spans="1:15" ht="32.2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8.9770733772911504E-2</v>
      </c>
      <c r="H101" s="99">
        <f>G101+'11'!H101</f>
        <v>1.0320454201616156</v>
      </c>
      <c r="I101" s="168"/>
      <c r="J101" s="175">
        <f>H101/DAY(B2)</f>
        <v>8.6003785013467962E-2</v>
      </c>
      <c r="O101" s="71"/>
    </row>
    <row r="102" spans="1:15" ht="32.2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1461</v>
      </c>
      <c r="H102" s="99">
        <f>G102+'11'!H102</f>
        <v>21147</v>
      </c>
      <c r="I102" s="168"/>
      <c r="J102" s="175">
        <f>H102/DAY(B2)</f>
        <v>1762.25</v>
      </c>
      <c r="O102" s="71"/>
    </row>
    <row r="103" spans="1:15" ht="32.2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8.8379408384247779E-2</v>
      </c>
      <c r="H103" s="99">
        <f>G103+'11'!H103</f>
        <v>1.1221855896925201</v>
      </c>
      <c r="I103" s="118"/>
      <c r="J103" s="175">
        <f>H103/DAY(B2)</f>
        <v>9.3515465807710016E-2</v>
      </c>
      <c r="O103" s="71"/>
    </row>
    <row r="104" spans="1:15" ht="32.2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1481</v>
      </c>
      <c r="H104" s="99">
        <f>G104+'11'!H104</f>
        <v>18062</v>
      </c>
      <c r="I104" s="118"/>
      <c r="J104" s="175">
        <f>H104/DAY(B2)</f>
        <v>1505.1666666666667</v>
      </c>
      <c r="O104" s="71"/>
    </row>
    <row r="105" spans="1:15" ht="32.25" customHeight="1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8.9589256548303187E-2</v>
      </c>
      <c r="H105" s="99">
        <f>G105+'11'!H105</f>
        <v>0.96334307991135137</v>
      </c>
      <c r="I105" s="187"/>
      <c r="J105" s="188">
        <f>H105/DAY(B2)</f>
        <v>8.0278589992612615E-2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32.25" customHeight="1">
      <c r="A109" s="881"/>
      <c r="B109" s="881"/>
    </row>
    <row r="110" spans="1:15" ht="32.25" customHeight="1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32.25" customHeight="1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843" t="s">
        <v>252</v>
      </c>
      <c r="B112" s="844"/>
      <c r="C112" s="845"/>
      <c r="D112" s="146" t="s">
        <v>183</v>
      </c>
      <c r="E112" s="95">
        <f>'11'!F112</f>
        <v>56505</v>
      </c>
      <c r="F112" s="237">
        <v>56581</v>
      </c>
      <c r="G112" s="112">
        <f t="shared" ref="G112:G123" si="9">F112-E112</f>
        <v>76</v>
      </c>
      <c r="H112" s="99">
        <f>G112+'11'!H112</f>
        <v>900</v>
      </c>
      <c r="I112" s="165"/>
      <c r="J112" s="328">
        <f>H112/DAY(B2)</f>
        <v>75</v>
      </c>
    </row>
    <row r="113" spans="1:18" ht="32.25" customHeight="1">
      <c r="A113" s="843" t="s">
        <v>253</v>
      </c>
      <c r="B113" s="844"/>
      <c r="C113" s="845"/>
      <c r="D113" s="146" t="s">
        <v>183</v>
      </c>
      <c r="E113" s="95">
        <f>'11'!F113</f>
        <v>37140</v>
      </c>
      <c r="F113" s="237">
        <v>37600</v>
      </c>
      <c r="G113" s="112">
        <f t="shared" si="9"/>
        <v>460</v>
      </c>
      <c r="H113" s="99">
        <f>G113+'11'!H113</f>
        <v>5405</v>
      </c>
      <c r="I113" s="165"/>
      <c r="J113" s="328">
        <f>H113/DAY(B2)</f>
        <v>450.41666666666669</v>
      </c>
    </row>
    <row r="114" spans="1:18" ht="32.25" customHeight="1">
      <c r="A114" s="843" t="s">
        <v>254</v>
      </c>
      <c r="B114" s="844"/>
      <c r="C114" s="845"/>
      <c r="D114" s="146" t="s">
        <v>183</v>
      </c>
      <c r="E114" s="95">
        <f>'11'!F114</f>
        <v>27789</v>
      </c>
      <c r="F114" s="237">
        <v>28057</v>
      </c>
      <c r="G114" s="112">
        <f t="shared" si="9"/>
        <v>268</v>
      </c>
      <c r="H114" s="99">
        <f>G114+'11'!H114</f>
        <v>3186</v>
      </c>
      <c r="I114" s="165"/>
      <c r="J114" s="328">
        <f>H114/DAY(B2)</f>
        <v>265.5</v>
      </c>
    </row>
    <row r="115" spans="1:18" ht="32.25" customHeight="1">
      <c r="A115" s="843" t="s">
        <v>255</v>
      </c>
      <c r="B115" s="844"/>
      <c r="C115" s="845"/>
      <c r="D115" s="146" t="s">
        <v>183</v>
      </c>
      <c r="E115" s="95">
        <f>'11'!F115</f>
        <v>8900</v>
      </c>
      <c r="F115" s="237">
        <v>8909</v>
      </c>
      <c r="G115" s="112">
        <f t="shared" si="9"/>
        <v>9</v>
      </c>
      <c r="H115" s="99">
        <f>G115+'11'!H115</f>
        <v>124</v>
      </c>
      <c r="I115" s="165"/>
      <c r="J115" s="328">
        <f>H115/DAY(B2)</f>
        <v>10.333333333333334</v>
      </c>
    </row>
    <row r="116" spans="1:18" ht="32.25" customHeight="1">
      <c r="A116" s="850" t="s">
        <v>96</v>
      </c>
      <c r="B116" s="851"/>
      <c r="C116" s="852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32.25" customHeight="1">
      <c r="A117" s="850" t="s">
        <v>184</v>
      </c>
      <c r="B117" s="851"/>
      <c r="C117" s="852"/>
      <c r="D117" s="146" t="s">
        <v>183</v>
      </c>
      <c r="E117" s="95">
        <f>'11'!F117</f>
        <v>2871</v>
      </c>
      <c r="F117" s="237">
        <v>2888</v>
      </c>
      <c r="G117" s="112">
        <f t="shared" si="9"/>
        <v>17</v>
      </c>
      <c r="H117" s="99">
        <f>G117+'11'!H117</f>
        <v>298</v>
      </c>
      <c r="I117" s="165"/>
      <c r="J117" s="328">
        <f>H117/DAY(B2)</f>
        <v>24.833333333333332</v>
      </c>
      <c r="Q117" s="843" t="s">
        <v>312</v>
      </c>
      <c r="R117" s="845"/>
    </row>
    <row r="118" spans="1:18" ht="32.25" customHeight="1">
      <c r="A118" s="842" t="s">
        <v>97</v>
      </c>
      <c r="B118" s="842"/>
      <c r="C118" s="842"/>
      <c r="D118" s="151" t="s">
        <v>183</v>
      </c>
      <c r="E118" s="95">
        <f>'11'!F118</f>
        <v>245656</v>
      </c>
      <c r="F118" s="237">
        <v>245995</v>
      </c>
      <c r="G118" s="112">
        <f t="shared" si="9"/>
        <v>339</v>
      </c>
      <c r="H118" s="99">
        <f>G118+'11'!H118</f>
        <v>4348</v>
      </c>
      <c r="I118" s="165"/>
      <c r="J118" s="328">
        <f>H118/DAY(B2)</f>
        <v>362.33333333333331</v>
      </c>
      <c r="Q118" s="843" t="s">
        <v>311</v>
      </c>
      <c r="R118" s="845"/>
    </row>
    <row r="119" spans="1:18" ht="32.25" customHeight="1">
      <c r="A119" s="842" t="s">
        <v>98</v>
      </c>
      <c r="B119" s="842"/>
      <c r="C119" s="842"/>
      <c r="D119" s="151" t="s">
        <v>183</v>
      </c>
      <c r="E119" s="95">
        <f>'11'!F119</f>
        <v>249859</v>
      </c>
      <c r="F119" s="237">
        <v>250260</v>
      </c>
      <c r="G119" s="112">
        <f t="shared" si="9"/>
        <v>401</v>
      </c>
      <c r="H119" s="99">
        <f>G119+'11'!H119</f>
        <v>5134</v>
      </c>
      <c r="I119" s="165"/>
      <c r="J119" s="328">
        <f>H119/DAY(B2)</f>
        <v>427.83333333333331</v>
      </c>
    </row>
    <row r="120" spans="1:18" ht="32.25" customHeight="1">
      <c r="A120" s="842" t="s">
        <v>99</v>
      </c>
      <c r="B120" s="842"/>
      <c r="C120" s="842"/>
      <c r="D120" s="151" t="s">
        <v>183</v>
      </c>
      <c r="E120" s="95">
        <f>'11'!F120</f>
        <v>34656</v>
      </c>
      <c r="F120" s="237">
        <v>35053</v>
      </c>
      <c r="G120" s="112">
        <f t="shared" si="9"/>
        <v>397</v>
      </c>
      <c r="H120" s="99">
        <f>G120+'11'!H120</f>
        <v>4975</v>
      </c>
      <c r="I120" s="165"/>
      <c r="J120" s="328">
        <f>H120/DAY(B2)</f>
        <v>414.58333333333331</v>
      </c>
    </row>
    <row r="121" spans="1:18" ht="32.25" customHeight="1">
      <c r="A121" s="842" t="s">
        <v>100</v>
      </c>
      <c r="B121" s="842"/>
      <c r="C121" s="842"/>
      <c r="D121" s="151" t="s">
        <v>183</v>
      </c>
      <c r="E121" s="95">
        <f>'11'!F121</f>
        <v>384510</v>
      </c>
      <c r="F121" s="237">
        <v>385151</v>
      </c>
      <c r="G121" s="112">
        <f t="shared" si="9"/>
        <v>641</v>
      </c>
      <c r="H121" s="99">
        <f>G121+'11'!H121</f>
        <v>8622</v>
      </c>
      <c r="I121" s="165"/>
      <c r="J121" s="328">
        <f>H121/DAY(B2)</f>
        <v>718.5</v>
      </c>
    </row>
    <row r="122" spans="1:18" ht="32.25" customHeight="1">
      <c r="A122" s="842" t="s">
        <v>101</v>
      </c>
      <c r="B122" s="842"/>
      <c r="C122" s="842"/>
      <c r="D122" s="151" t="s">
        <v>183</v>
      </c>
      <c r="E122" s="95">
        <f>'11'!F122</f>
        <v>122431</v>
      </c>
      <c r="F122" s="237">
        <v>122620</v>
      </c>
      <c r="G122" s="112">
        <f t="shared" si="9"/>
        <v>189</v>
      </c>
      <c r="H122" s="99">
        <f>G122+'11'!H122</f>
        <v>2570</v>
      </c>
      <c r="I122" s="165"/>
      <c r="J122" s="328">
        <f>H122/DAY(B2)</f>
        <v>214.16666666666666</v>
      </c>
    </row>
    <row r="123" spans="1:18" ht="32.25" customHeight="1">
      <c r="A123" s="842" t="s">
        <v>102</v>
      </c>
      <c r="B123" s="842"/>
      <c r="C123" s="842"/>
      <c r="D123" s="151" t="s">
        <v>183</v>
      </c>
      <c r="E123" s="95">
        <f>'11'!F123</f>
        <v>148628</v>
      </c>
      <c r="F123" s="237">
        <v>148909</v>
      </c>
      <c r="G123" s="112">
        <f t="shared" si="9"/>
        <v>281</v>
      </c>
      <c r="H123" s="99">
        <f>G123+'11'!H123</f>
        <v>3784</v>
      </c>
      <c r="I123" s="165"/>
      <c r="J123" s="328">
        <f>H123/DAY(B2)</f>
        <v>315.33333333333331</v>
      </c>
    </row>
    <row r="124" spans="1:18" ht="32.25" customHeight="1">
      <c r="A124" s="847"/>
      <c r="B124" s="848"/>
      <c r="C124" s="849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827" t="s">
        <v>196</v>
      </c>
      <c r="B125" s="828"/>
      <c r="C125" s="245"/>
      <c r="D125" s="307"/>
      <c r="E125" s="308"/>
      <c r="F125" s="308"/>
      <c r="G125" s="309">
        <f>SUM(G112:G124)</f>
        <v>3078</v>
      </c>
      <c r="H125" s="156"/>
      <c r="I125" s="327" t="s">
        <v>370</v>
      </c>
      <c r="J125" s="327"/>
    </row>
    <row r="126" spans="1:18" ht="32.25" customHeight="1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32.25" customHeight="1">
      <c r="A127" s="832"/>
      <c r="B127" s="832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843" t="s">
        <v>318</v>
      </c>
      <c r="B128" s="844"/>
      <c r="C128" s="845"/>
      <c r="D128" s="151" t="s">
        <v>183</v>
      </c>
      <c r="E128" s="95">
        <f>'11'!F128</f>
        <v>41583</v>
      </c>
      <c r="F128" s="165">
        <v>41882</v>
      </c>
      <c r="G128" s="112">
        <f t="shared" ref="G128:G134" si="10">F128-E128</f>
        <v>299</v>
      </c>
      <c r="H128" s="99">
        <f>G128+'11'!H128</f>
        <v>3878</v>
      </c>
      <c r="I128" s="165"/>
      <c r="J128" s="328">
        <f>H128/DAY(B2)</f>
        <v>323.16666666666669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22697</v>
      </c>
      <c r="F129" s="165">
        <v>22906</v>
      </c>
      <c r="G129" s="112">
        <f t="shared" si="10"/>
        <v>209</v>
      </c>
      <c r="H129" s="99">
        <f>G129+'11'!H129</f>
        <v>2585</v>
      </c>
      <c r="I129" s="165"/>
      <c r="J129" s="328">
        <f>H129/DAY(B2)</f>
        <v>215.41666666666666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25353</v>
      </c>
      <c r="F130" s="165">
        <v>25877</v>
      </c>
      <c r="G130" s="112">
        <f t="shared" si="10"/>
        <v>524</v>
      </c>
      <c r="H130" s="99">
        <f>G130+'11'!H130</f>
        <v>7495</v>
      </c>
      <c r="I130" s="165"/>
      <c r="J130" s="328">
        <f>H130/DAY(B2)</f>
        <v>624.58333333333337</v>
      </c>
      <c r="N130" s="240"/>
      <c r="O130" s="241"/>
    </row>
    <row r="131" spans="1:15" ht="32.25" customHeight="1">
      <c r="A131" s="843" t="s">
        <v>321</v>
      </c>
      <c r="B131" s="844"/>
      <c r="C131" s="845"/>
      <c r="D131" s="151" t="s">
        <v>183</v>
      </c>
      <c r="E131" s="95">
        <f>'11'!F131</f>
        <v>13966</v>
      </c>
      <c r="F131" s="165">
        <v>14020</v>
      </c>
      <c r="G131" s="112">
        <f t="shared" si="10"/>
        <v>54</v>
      </c>
      <c r="H131" s="99">
        <f>G131+'11'!H131</f>
        <v>867</v>
      </c>
      <c r="I131" s="165"/>
      <c r="J131" s="328">
        <f>H131/DAY(B2)</f>
        <v>72.25</v>
      </c>
      <c r="N131" s="240"/>
      <c r="O131" s="241"/>
    </row>
    <row r="132" spans="1:15" ht="32.25" customHeight="1">
      <c r="A132" s="843" t="s">
        <v>322</v>
      </c>
      <c r="B132" s="844"/>
      <c r="C132" s="845"/>
      <c r="D132" s="151" t="s">
        <v>183</v>
      </c>
      <c r="E132" s="95">
        <f>'11'!F132</f>
        <v>46263</v>
      </c>
      <c r="F132" s="165">
        <v>46778</v>
      </c>
      <c r="G132" s="112">
        <f t="shared" si="10"/>
        <v>515</v>
      </c>
      <c r="H132" s="99">
        <f>G132+'11'!H132</f>
        <v>5755</v>
      </c>
      <c r="I132" s="165"/>
      <c r="J132" s="328">
        <f>H132/DAY(B2)</f>
        <v>479.58333333333331</v>
      </c>
    </row>
    <row r="133" spans="1:15" ht="32.25" customHeight="1">
      <c r="A133" s="843" t="s">
        <v>362</v>
      </c>
      <c r="B133" s="844"/>
      <c r="C133" s="845"/>
      <c r="D133" s="151" t="s">
        <v>183</v>
      </c>
      <c r="E133" s="95">
        <f>'11'!F133</f>
        <v>95505</v>
      </c>
      <c r="F133" s="165">
        <v>95918</v>
      </c>
      <c r="G133" s="112">
        <f t="shared" si="10"/>
        <v>413</v>
      </c>
      <c r="H133" s="99">
        <f>G133+'11'!H133</f>
        <v>8215</v>
      </c>
      <c r="I133" s="165"/>
      <c r="J133" s="328">
        <f>H133/DAY(B2)</f>
        <v>684.58333333333337</v>
      </c>
    </row>
    <row r="134" spans="1:15" ht="32.25" customHeight="1">
      <c r="A134" s="843" t="s">
        <v>340</v>
      </c>
      <c r="B134" s="844"/>
      <c r="C134" s="845"/>
      <c r="D134" s="151" t="s">
        <v>183</v>
      </c>
      <c r="E134" s="554">
        <v>675870</v>
      </c>
      <c r="F134" s="165">
        <v>676505</v>
      </c>
      <c r="G134" s="112">
        <f t="shared" si="10"/>
        <v>635</v>
      </c>
      <c r="H134" s="99">
        <f>G134+'11'!H134</f>
        <v>7625</v>
      </c>
      <c r="I134" s="165"/>
      <c r="J134" s="328">
        <f>H134/DAY(B2)</f>
        <v>635.41666666666663</v>
      </c>
    </row>
    <row r="135" spans="1:15" ht="32.25" customHeight="1">
      <c r="A135" s="827" t="s">
        <v>196</v>
      </c>
      <c r="B135" s="828"/>
      <c r="C135" s="331"/>
      <c r="D135" s="151"/>
      <c r="E135" s="95"/>
      <c r="F135" s="165"/>
      <c r="G135" s="112">
        <f>SUM(G128:G134)</f>
        <v>2649</v>
      </c>
      <c r="H135" s="99">
        <f>G135+'10'!H135</f>
        <v>33873</v>
      </c>
      <c r="I135" s="327">
        <f>G135-(G35+G49)</f>
        <v>-107</v>
      </c>
      <c r="J135" s="328"/>
    </row>
    <row r="136" spans="1:15" ht="32.25" customHeight="1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42" t="s">
        <v>185</v>
      </c>
      <c r="B138" s="842"/>
      <c r="C138" s="842"/>
      <c r="D138" s="151" t="s">
        <v>183</v>
      </c>
      <c r="E138" s="95">
        <f>'11'!F138</f>
        <v>864881</v>
      </c>
      <c r="F138" s="147">
        <v>864936</v>
      </c>
      <c r="G138" s="112">
        <f t="shared" ref="G138:G152" si="11">F138-E138</f>
        <v>55</v>
      </c>
      <c r="H138" s="99">
        <f>G138+'11'!H138</f>
        <v>765</v>
      </c>
      <c r="I138" s="118"/>
      <c r="J138" s="328">
        <f>H138/DAY(B2)</f>
        <v>63.75</v>
      </c>
    </row>
    <row r="139" spans="1:15" ht="32.25" customHeight="1">
      <c r="A139" s="842" t="s">
        <v>186</v>
      </c>
      <c r="B139" s="842"/>
      <c r="C139" s="842"/>
      <c r="D139" s="151" t="s">
        <v>183</v>
      </c>
      <c r="E139" s="95">
        <f>'11'!F139</f>
        <v>886549</v>
      </c>
      <c r="F139" s="148">
        <v>886549</v>
      </c>
      <c r="G139" s="112">
        <f t="shared" si="11"/>
        <v>0</v>
      </c>
      <c r="H139" s="99">
        <f>G139+'11'!H139</f>
        <v>3</v>
      </c>
      <c r="I139" s="118"/>
      <c r="J139" s="328">
        <f>H139/DAY(B2)</f>
        <v>0.25</v>
      </c>
    </row>
    <row r="140" spans="1:15" ht="32.25" customHeight="1">
      <c r="A140" s="842" t="s">
        <v>187</v>
      </c>
      <c r="B140" s="842"/>
      <c r="C140" s="842"/>
      <c r="D140" s="151" t="s">
        <v>183</v>
      </c>
      <c r="E140" s="95">
        <f>'11'!F140</f>
        <v>88898</v>
      </c>
      <c r="F140" s="149">
        <v>88898</v>
      </c>
      <c r="G140" s="112">
        <f t="shared" si="11"/>
        <v>0</v>
      </c>
      <c r="H140" s="99">
        <f>G140+'11'!H140</f>
        <v>16</v>
      </c>
      <c r="I140" s="118"/>
      <c r="J140" s="328">
        <f>H140/DAY(B2)</f>
        <v>1.3333333333333333</v>
      </c>
    </row>
    <row r="141" spans="1:15" ht="32.25" customHeight="1">
      <c r="A141" s="823" t="s">
        <v>188</v>
      </c>
      <c r="B141" s="823"/>
      <c r="C141" s="823"/>
      <c r="D141" s="151" t="s">
        <v>183</v>
      </c>
      <c r="E141" s="95">
        <f>'11'!F141</f>
        <v>51232</v>
      </c>
      <c r="F141" s="149">
        <v>51406</v>
      </c>
      <c r="G141" s="112">
        <f t="shared" si="11"/>
        <v>174</v>
      </c>
      <c r="H141" s="99">
        <f>G141+'11'!H141</f>
        <v>2100</v>
      </c>
      <c r="I141" s="118"/>
      <c r="J141" s="328">
        <f>H141/DAY(B2)</f>
        <v>175</v>
      </c>
    </row>
    <row r="142" spans="1:15" ht="32.25" customHeight="1">
      <c r="A142" s="823" t="s">
        <v>189</v>
      </c>
      <c r="B142" s="823"/>
      <c r="C142" s="823"/>
      <c r="D142" s="151" t="s">
        <v>183</v>
      </c>
      <c r="E142" s="95">
        <f>'11'!F142</f>
        <v>19770</v>
      </c>
      <c r="F142" s="148">
        <v>19839</v>
      </c>
      <c r="G142" s="112">
        <f t="shared" si="11"/>
        <v>69</v>
      </c>
      <c r="H142" s="99">
        <f>G142+'11'!H142</f>
        <v>830</v>
      </c>
      <c r="I142" s="140"/>
      <c r="J142" s="328">
        <f>H142/DAY(B2)</f>
        <v>69.166666666666671</v>
      </c>
    </row>
    <row r="143" spans="1:15" ht="32.25" customHeight="1">
      <c r="A143" s="842" t="s">
        <v>91</v>
      </c>
      <c r="B143" s="842"/>
      <c r="C143" s="842"/>
      <c r="D143" s="151" t="s">
        <v>183</v>
      </c>
      <c r="E143" s="95">
        <f>'11'!F143</f>
        <v>3319</v>
      </c>
      <c r="F143" s="149">
        <v>3344</v>
      </c>
      <c r="G143" s="112">
        <f t="shared" si="11"/>
        <v>25</v>
      </c>
      <c r="H143" s="99">
        <f>G143+'11'!H143</f>
        <v>283</v>
      </c>
      <c r="I143" s="140"/>
      <c r="J143" s="328">
        <f>H143/DAY(B2)</f>
        <v>23.583333333333332</v>
      </c>
    </row>
    <row r="144" spans="1:15" ht="32.25" customHeight="1">
      <c r="A144" s="823" t="s">
        <v>90</v>
      </c>
      <c r="B144" s="823"/>
      <c r="C144" s="823"/>
      <c r="D144" s="151" t="s">
        <v>183</v>
      </c>
      <c r="E144" s="95">
        <f>'11'!F144</f>
        <v>872146</v>
      </c>
      <c r="F144" s="149">
        <v>872377</v>
      </c>
      <c r="G144" s="112">
        <f t="shared" si="11"/>
        <v>231</v>
      </c>
      <c r="H144" s="99">
        <f>G144+'11'!H144</f>
        <v>2707</v>
      </c>
      <c r="I144" s="140"/>
      <c r="J144" s="328">
        <f>H144/DAY(B2)</f>
        <v>225.58333333333334</v>
      </c>
    </row>
    <row r="145" spans="1:10" ht="32.25" customHeight="1">
      <c r="A145" s="842" t="s">
        <v>190</v>
      </c>
      <c r="B145" s="842"/>
      <c r="C145" s="842"/>
      <c r="D145" s="152" t="s">
        <v>183</v>
      </c>
      <c r="E145" s="95">
        <f>'11'!F145</f>
        <v>4733</v>
      </c>
      <c r="F145" s="149">
        <v>4743</v>
      </c>
      <c r="G145" s="112">
        <f t="shared" si="11"/>
        <v>10</v>
      </c>
      <c r="H145" s="99">
        <f>G145+'11'!H145</f>
        <v>185</v>
      </c>
      <c r="I145" s="140"/>
      <c r="J145" s="328">
        <f>H145/DAY(B2)</f>
        <v>15.416666666666666</v>
      </c>
    </row>
    <row r="146" spans="1:10" ht="32.25" customHeight="1">
      <c r="A146" s="877" t="s">
        <v>191</v>
      </c>
      <c r="B146" s="862"/>
      <c r="C146" s="863"/>
      <c r="D146" s="152" t="s">
        <v>183</v>
      </c>
      <c r="E146" s="95">
        <f>'11'!F146</f>
        <v>729465</v>
      </c>
      <c r="F146" s="148">
        <v>729786</v>
      </c>
      <c r="G146" s="112">
        <f t="shared" si="11"/>
        <v>321</v>
      </c>
      <c r="H146" s="99">
        <f>G146+'11'!H146</f>
        <v>4928</v>
      </c>
      <c r="I146" s="140"/>
      <c r="J146" s="328">
        <f>H146/DAY(B2)</f>
        <v>410.66666666666669</v>
      </c>
    </row>
    <row r="147" spans="1:10" ht="32.25" customHeight="1">
      <c r="A147" s="823" t="s">
        <v>192</v>
      </c>
      <c r="B147" s="823"/>
      <c r="C147" s="823"/>
      <c r="D147" s="152" t="s">
        <v>183</v>
      </c>
      <c r="E147" s="95">
        <f>'11'!F147</f>
        <v>619529</v>
      </c>
      <c r="F147" s="148">
        <v>619835</v>
      </c>
      <c r="G147" s="112">
        <f t="shared" si="11"/>
        <v>306</v>
      </c>
      <c r="H147" s="99">
        <f>G147+'11'!H147</f>
        <v>4553</v>
      </c>
      <c r="I147" s="140"/>
      <c r="J147" s="328">
        <f>H147/DAY(B2)</f>
        <v>379.41666666666669</v>
      </c>
    </row>
    <row r="148" spans="1:10" ht="32.25" customHeight="1">
      <c r="A148" s="824" t="s">
        <v>193</v>
      </c>
      <c r="B148" s="825"/>
      <c r="C148" s="826"/>
      <c r="D148" s="123" t="s">
        <v>130</v>
      </c>
      <c r="E148" s="95">
        <f>'11'!F148</f>
        <v>685839</v>
      </c>
      <c r="F148" s="150">
        <v>686035</v>
      </c>
      <c r="G148" s="112">
        <f t="shared" si="11"/>
        <v>196</v>
      </c>
      <c r="H148" s="99">
        <f>G148+'11'!H148</f>
        <v>3001.8800000000047</v>
      </c>
      <c r="I148" s="124"/>
      <c r="J148" s="328">
        <f>H148/DAY(B2)</f>
        <v>250.15666666666706</v>
      </c>
    </row>
    <row r="149" spans="1:10" ht="32.25" customHeight="1">
      <c r="A149" s="824" t="s">
        <v>336</v>
      </c>
      <c r="B149" s="825"/>
      <c r="C149" s="826"/>
      <c r="D149" s="227" t="s">
        <v>130</v>
      </c>
      <c r="E149" s="95">
        <f>'11'!F149</f>
        <v>15359</v>
      </c>
      <c r="F149" s="146">
        <v>15693</v>
      </c>
      <c r="G149" s="112">
        <f t="shared" si="11"/>
        <v>334</v>
      </c>
      <c r="H149" s="99">
        <f>G149+'11'!H149</f>
        <v>4944</v>
      </c>
      <c r="I149" s="119"/>
      <c r="J149" s="328">
        <f>H149/DAY(B2)</f>
        <v>412</v>
      </c>
    </row>
    <row r="150" spans="1:10" ht="32.25" customHeight="1">
      <c r="A150" s="824" t="s">
        <v>337</v>
      </c>
      <c r="B150" s="825"/>
      <c r="C150" s="826"/>
      <c r="D150" s="117" t="s">
        <v>130</v>
      </c>
      <c r="E150" s="95">
        <f>'11'!F150</f>
        <v>6471</v>
      </c>
      <c r="F150" s="233">
        <v>6681</v>
      </c>
      <c r="G150" s="112">
        <f t="shared" si="11"/>
        <v>210</v>
      </c>
      <c r="H150" s="99">
        <f>G150+'11'!H150</f>
        <v>2629</v>
      </c>
      <c r="I150" s="119"/>
      <c r="J150" s="328">
        <f>H150/DAY(B2)</f>
        <v>219.08333333333334</v>
      </c>
    </row>
    <row r="151" spans="1:10" ht="32.25" customHeight="1">
      <c r="A151" s="824" t="s">
        <v>338</v>
      </c>
      <c r="B151" s="825"/>
      <c r="C151" s="826"/>
      <c r="D151" s="117" t="s">
        <v>130</v>
      </c>
      <c r="E151" s="95">
        <f>'11'!F151</f>
        <v>80839</v>
      </c>
      <c r="F151" s="233">
        <v>81071</v>
      </c>
      <c r="G151" s="112">
        <f t="shared" si="11"/>
        <v>232</v>
      </c>
      <c r="H151" s="99">
        <f>G151+'11'!H151</f>
        <v>2854</v>
      </c>
      <c r="I151" s="119"/>
      <c r="J151" s="328">
        <f>H151/DAY(B2)</f>
        <v>237.83333333333334</v>
      </c>
    </row>
    <row r="152" spans="1:10" ht="32.25" customHeight="1">
      <c r="A152" s="824" t="s">
        <v>339</v>
      </c>
      <c r="B152" s="825"/>
      <c r="C152" s="826"/>
      <c r="D152" s="117" t="s">
        <v>130</v>
      </c>
      <c r="E152" s="95">
        <f>'11'!F152</f>
        <v>1334</v>
      </c>
      <c r="F152" s="233">
        <v>1348</v>
      </c>
      <c r="G152" s="112">
        <f t="shared" si="11"/>
        <v>14</v>
      </c>
      <c r="H152" s="99">
        <f>G152+'11'!H152</f>
        <v>221</v>
      </c>
      <c r="I152" s="119"/>
      <c r="J152" s="328">
        <f>H152/DAY(B2)</f>
        <v>18.416666666666668</v>
      </c>
    </row>
    <row r="153" spans="1:10" ht="32.25" customHeight="1">
      <c r="A153" s="827" t="s">
        <v>196</v>
      </c>
      <c r="B153" s="828"/>
      <c r="C153" s="365"/>
      <c r="D153" s="358"/>
      <c r="E153" s="360"/>
      <c r="F153" s="361"/>
      <c r="G153" s="362">
        <f>SUM(G138:G152)</f>
        <v>2177</v>
      </c>
      <c r="H153" s="363"/>
      <c r="I153" s="119">
        <f>G153-(G38+G52)</f>
        <v>693</v>
      </c>
      <c r="J153" s="366"/>
    </row>
    <row r="154" spans="1:10" ht="32.25" customHeight="1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2.25" customHeight="1">
      <c r="A155" s="823" t="s">
        <v>345</v>
      </c>
      <c r="B155" s="823"/>
      <c r="C155" s="823"/>
      <c r="D155" s="117" t="s">
        <v>130</v>
      </c>
      <c r="E155" s="95">
        <f>'11'!F155</f>
        <v>19716</v>
      </c>
      <c r="F155" s="374">
        <v>20303</v>
      </c>
      <c r="G155" s="112">
        <f t="shared" ref="G155:G158" si="12">F155-E155</f>
        <v>587</v>
      </c>
      <c r="H155" s="99">
        <f>G155+'11'!H155</f>
        <v>6831</v>
      </c>
      <c r="I155" s="364"/>
      <c r="J155" s="328">
        <f>H155/DAY(B2)</f>
        <v>569.25</v>
      </c>
    </row>
    <row r="156" spans="1:10" ht="32.25" customHeight="1">
      <c r="A156" s="823" t="s">
        <v>347</v>
      </c>
      <c r="B156" s="823"/>
      <c r="C156" s="823"/>
      <c r="D156" s="117" t="s">
        <v>130</v>
      </c>
      <c r="E156" s="95">
        <f>'11'!F156</f>
        <v>1611</v>
      </c>
      <c r="F156" s="155">
        <v>1667</v>
      </c>
      <c r="G156" s="112">
        <f t="shared" si="12"/>
        <v>56</v>
      </c>
      <c r="H156" s="99">
        <f>G156+'11'!H156</f>
        <v>579</v>
      </c>
      <c r="I156" s="165"/>
      <c r="J156" s="328">
        <f>H156/DAY(B2)</f>
        <v>48.25</v>
      </c>
    </row>
    <row r="157" spans="1:10" ht="32.25" customHeight="1">
      <c r="A157" s="824" t="s">
        <v>364</v>
      </c>
      <c r="B157" s="825"/>
      <c r="C157" s="826"/>
      <c r="D157" s="117" t="s">
        <v>130</v>
      </c>
      <c r="E157" s="95">
        <v>1931</v>
      </c>
      <c r="F157" s="155">
        <v>2096</v>
      </c>
      <c r="G157" s="112">
        <f t="shared" si="12"/>
        <v>165</v>
      </c>
      <c r="H157" s="99">
        <f>G157+'11'!H157</f>
        <v>165</v>
      </c>
      <c r="I157" s="165"/>
      <c r="J157" s="328">
        <f>H157/DAY(B2)</f>
        <v>13.75</v>
      </c>
    </row>
    <row r="158" spans="1:10" ht="32.25" customHeight="1">
      <c r="A158" s="824" t="s">
        <v>365</v>
      </c>
      <c r="B158" s="825"/>
      <c r="C158" s="826"/>
      <c r="D158" s="117" t="s">
        <v>130</v>
      </c>
      <c r="E158" s="95">
        <v>0</v>
      </c>
      <c r="F158" s="155">
        <v>19</v>
      </c>
      <c r="G158" s="112">
        <f t="shared" si="12"/>
        <v>19</v>
      </c>
      <c r="H158" s="99">
        <f>G158+'11'!H158</f>
        <v>19</v>
      </c>
      <c r="I158" s="165"/>
      <c r="J158" s="328">
        <f>H158/DAY(B2)</f>
        <v>1.5833333333333333</v>
      </c>
    </row>
    <row r="159" spans="1:10" ht="32.25" customHeight="1">
      <c r="A159" s="907"/>
      <c r="B159" s="908"/>
      <c r="C159" s="909"/>
      <c r="D159" s="117"/>
      <c r="E159" s="95"/>
      <c r="F159" s="165"/>
      <c r="G159" s="362">
        <f>SUM(G155:G158)</f>
        <v>827</v>
      </c>
      <c r="H159" s="99"/>
      <c r="I159" s="165"/>
      <c r="J159" s="328"/>
    </row>
    <row r="160" spans="1:10" ht="32.25" customHeight="1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471403</v>
      </c>
      <c r="F161" s="235">
        <v>471411</v>
      </c>
      <c r="G161" s="238">
        <f t="shared" ref="G161:G165" si="13">F161-E161</f>
        <v>8</v>
      </c>
      <c r="H161" s="99">
        <f>G161+'11'!H161</f>
        <v>257.84000000002561</v>
      </c>
      <c r="I161" s="236"/>
      <c r="J161" s="239">
        <f>H161/DAY(B2)</f>
        <v>21.4866666666688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87860</v>
      </c>
      <c r="F162" s="235">
        <v>87890</v>
      </c>
      <c r="G162" s="238">
        <f t="shared" si="13"/>
        <v>30</v>
      </c>
      <c r="H162" s="99">
        <f>G162+'11'!H162</f>
        <v>320</v>
      </c>
      <c r="I162" s="236"/>
      <c r="J162" s="239">
        <f>H162/DAY(B2)</f>
        <v>26.666666666666668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78283</v>
      </c>
      <c r="F163" s="235">
        <v>78317</v>
      </c>
      <c r="G163" s="238">
        <f t="shared" si="13"/>
        <v>34</v>
      </c>
      <c r="H163" s="99">
        <f>G163+'11'!H163</f>
        <v>492</v>
      </c>
      <c r="I163" s="236"/>
      <c r="J163" s="239">
        <f>H163/DAY(B2)</f>
        <v>41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4258</v>
      </c>
      <c r="F164" s="235">
        <v>4259</v>
      </c>
      <c r="G164" s="238">
        <f t="shared" si="13"/>
        <v>1</v>
      </c>
      <c r="H164" s="99">
        <f>G164+'11'!H164</f>
        <v>17</v>
      </c>
      <c r="I164" s="236"/>
      <c r="J164" s="239">
        <f>H164/DAY(B2)</f>
        <v>1.4166666666666667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29715</v>
      </c>
      <c r="F165" s="235">
        <v>29722</v>
      </c>
      <c r="G165" s="238">
        <f t="shared" si="13"/>
        <v>7</v>
      </c>
      <c r="H165" s="99">
        <f>G165+'11'!H165</f>
        <v>76</v>
      </c>
      <c r="I165" s="236"/>
      <c r="J165" s="239">
        <f>H165/DAY(B2)</f>
        <v>6.333333333333333</v>
      </c>
    </row>
    <row r="166" spans="1:10" ht="32.25" customHeight="1">
      <c r="A166" s="832"/>
      <c r="B166" s="832"/>
      <c r="C166" s="246"/>
      <c r="D166" s="244" t="s">
        <v>180</v>
      </c>
      <c r="E166" s="95" t="str">
        <f>'11'!F166</f>
        <v/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832"/>
      <c r="B167" s="832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832"/>
      <c r="B168" s="832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32.25" customHeight="1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36" t="s">
        <v>209</v>
      </c>
      <c r="B173" s="837"/>
      <c r="C173" s="333"/>
      <c r="D173" s="228" t="s">
        <v>142</v>
      </c>
      <c r="E173" s="95">
        <f>'11'!F173</f>
        <v>8126</v>
      </c>
      <c r="F173" s="155">
        <v>8126</v>
      </c>
      <c r="G173" s="155">
        <f>F173-E173</f>
        <v>0</v>
      </c>
      <c r="H173" s="99">
        <f>G173+'11'!H173</f>
        <v>0</v>
      </c>
      <c r="I173" s="155"/>
      <c r="J173" s="178">
        <f>H173/DAY(B2)</f>
        <v>0</v>
      </c>
    </row>
    <row r="174" spans="1:10" ht="32.25" customHeight="1">
      <c r="A174" s="836" t="s">
        <v>75</v>
      </c>
      <c r="B174" s="837"/>
      <c r="C174" s="333"/>
      <c r="D174" s="228" t="s">
        <v>142</v>
      </c>
      <c r="E174" s="157">
        <v>38403</v>
      </c>
      <c r="F174" s="157">
        <v>38403</v>
      </c>
      <c r="G174" s="155">
        <f t="shared" ref="G174:G175" si="14">F174-E174</f>
        <v>0</v>
      </c>
      <c r="H174" s="99">
        <f>G174+'11'!H174</f>
        <v>110</v>
      </c>
      <c r="I174" s="155"/>
      <c r="J174" s="178">
        <f>H174/DAY(B2)</f>
        <v>9.1666666666666661</v>
      </c>
    </row>
    <row r="175" spans="1:10" ht="32.25" customHeight="1">
      <c r="A175" s="836" t="s">
        <v>76</v>
      </c>
      <c r="B175" s="876"/>
      <c r="C175" s="837"/>
      <c r="D175" s="228" t="s">
        <v>142</v>
      </c>
      <c r="E175" s="95">
        <f>'11'!F175</f>
        <v>21621</v>
      </c>
      <c r="F175" s="155">
        <v>21626</v>
      </c>
      <c r="G175" s="155">
        <f t="shared" si="14"/>
        <v>5</v>
      </c>
      <c r="H175" s="99">
        <f>G175+'11'!H175</f>
        <v>108</v>
      </c>
      <c r="I175" s="155"/>
      <c r="J175" s="178">
        <f>H175/DAY(B2)</f>
        <v>9</v>
      </c>
    </row>
    <row r="176" spans="1:10" ht="32.25" customHeight="1">
      <c r="A176" s="592" t="s">
        <v>196</v>
      </c>
      <c r="B176" s="593"/>
      <c r="C176" s="485"/>
      <c r="D176" s="228" t="s">
        <v>142</v>
      </c>
      <c r="E176" s="95"/>
      <c r="F176" s="155"/>
      <c r="G176" s="155">
        <f>SUM(G173:G175)</f>
        <v>5</v>
      </c>
      <c r="H176" s="99">
        <f>G176+'11'!H176</f>
        <v>218</v>
      </c>
      <c r="I176" s="155"/>
      <c r="J176" s="178">
        <f>H176/DAY(B2)</f>
        <v>18.166666666666668</v>
      </c>
    </row>
    <row r="177" spans="1:10" ht="32.2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36" t="s">
        <v>210</v>
      </c>
      <c r="B178" s="837"/>
      <c r="C178" s="333"/>
      <c r="D178" s="228" t="s">
        <v>142</v>
      </c>
      <c r="E178" s="95">
        <f>'11'!F178</f>
        <v>80312</v>
      </c>
      <c r="F178" s="155">
        <v>80355</v>
      </c>
      <c r="G178" s="155">
        <f>F178-E178</f>
        <v>43</v>
      </c>
      <c r="H178" s="99">
        <f>G178+'11'!H178</f>
        <v>741</v>
      </c>
      <c r="I178" s="155"/>
      <c r="J178" s="178">
        <f>H178/DAY(B2)</f>
        <v>61.75</v>
      </c>
    </row>
    <row r="179" spans="1:10" ht="32.25" customHeight="1">
      <c r="A179" s="836" t="s">
        <v>211</v>
      </c>
      <c r="B179" s="837"/>
      <c r="C179" s="333"/>
      <c r="D179" s="228" t="s">
        <v>142</v>
      </c>
      <c r="E179" s="95">
        <f>'11'!F179</f>
        <v>34127</v>
      </c>
      <c r="F179" s="155">
        <v>34146</v>
      </c>
      <c r="G179" s="155">
        <f t="shared" ref="G179:G180" si="15">F179-E179</f>
        <v>19</v>
      </c>
      <c r="H179" s="99">
        <f>G179+'11'!H179</f>
        <v>231</v>
      </c>
      <c r="I179" s="155"/>
      <c r="J179" s="178">
        <f>H179/DAY(B2)</f>
        <v>19.25</v>
      </c>
    </row>
    <row r="180" spans="1:10" ht="32.25" customHeight="1">
      <c r="A180" s="836" t="s">
        <v>212</v>
      </c>
      <c r="B180" s="837"/>
      <c r="C180" s="333"/>
      <c r="D180" s="228" t="s">
        <v>142</v>
      </c>
      <c r="E180" s="95">
        <f>'11'!F180</f>
        <v>5546</v>
      </c>
      <c r="F180" s="155">
        <v>5563</v>
      </c>
      <c r="G180" s="155">
        <f t="shared" si="15"/>
        <v>17</v>
      </c>
      <c r="H180" s="99">
        <f>G180+'11'!H180</f>
        <v>86</v>
      </c>
      <c r="I180" s="155"/>
      <c r="J180" s="178">
        <f>H180/DAY(B2)</f>
        <v>7.166666666666667</v>
      </c>
    </row>
    <row r="181" spans="1:10" ht="32.25" customHeight="1">
      <c r="A181" s="838" t="s">
        <v>108</v>
      </c>
      <c r="B181" s="839"/>
      <c r="C181" s="485"/>
      <c r="D181" s="228" t="s">
        <v>142</v>
      </c>
      <c r="E181" s="95"/>
      <c r="F181" s="155"/>
      <c r="G181" s="155">
        <f>SUM(G178:G180)</f>
        <v>79</v>
      </c>
      <c r="H181" s="99">
        <f>G181+'11'!H181</f>
        <v>1058</v>
      </c>
      <c r="I181" s="155"/>
      <c r="J181" s="178">
        <f>H181/DAY(B2)</f>
        <v>88.166666666666671</v>
      </c>
    </row>
    <row r="182" spans="1:10" ht="32.25" customHeight="1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36" t="s">
        <v>214</v>
      </c>
      <c r="B183" s="837"/>
      <c r="C183" s="334"/>
      <c r="D183" s="228" t="s">
        <v>142</v>
      </c>
      <c r="E183" s="95">
        <f>'11'!F183</f>
        <v>15094</v>
      </c>
      <c r="F183" s="157">
        <v>15101</v>
      </c>
      <c r="G183" s="157">
        <f>F183-E183</f>
        <v>7</v>
      </c>
      <c r="H183" s="99">
        <f>G183+'11'!H183</f>
        <v>154</v>
      </c>
      <c r="I183" s="155"/>
      <c r="J183" s="178">
        <f>H183/DAY(B2)</f>
        <v>12.833333333333334</v>
      </c>
    </row>
    <row r="184" spans="1:10" ht="32.25" customHeight="1">
      <c r="A184" s="836" t="s">
        <v>215</v>
      </c>
      <c r="B184" s="837"/>
      <c r="C184" s="334"/>
      <c r="D184" s="228" t="s">
        <v>142</v>
      </c>
      <c r="E184" s="95">
        <f>'11'!F184</f>
        <v>10380</v>
      </c>
      <c r="F184" s="157">
        <v>10383</v>
      </c>
      <c r="G184" s="157">
        <f t="shared" ref="G184:G185" si="16">F184-E184</f>
        <v>3</v>
      </c>
      <c r="H184" s="99">
        <f>G184+'11'!H184</f>
        <v>82</v>
      </c>
      <c r="I184" s="155"/>
      <c r="J184" s="178">
        <f>H184/DAY(B2)</f>
        <v>6.833333333333333</v>
      </c>
    </row>
    <row r="185" spans="1:10" ht="32.25" customHeight="1">
      <c r="A185" s="836" t="s">
        <v>216</v>
      </c>
      <c r="B185" s="837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10</v>
      </c>
      <c r="H186" s="99">
        <f>G186+'11'!H186</f>
        <v>236</v>
      </c>
      <c r="I186" s="157"/>
      <c r="J186" s="178">
        <f>H186/DAY(B2)</f>
        <v>19.666666666666668</v>
      </c>
    </row>
    <row r="187" spans="1:10" ht="32.25" customHeight="1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100</v>
      </c>
      <c r="H187" s="99">
        <f>G187+'11'!H187</f>
        <v>1345</v>
      </c>
      <c r="I187" s="158"/>
      <c r="J187" s="179">
        <f>H187/DAY(B2)</f>
        <v>112.08333333333333</v>
      </c>
    </row>
    <row r="188" spans="1:10" ht="32.25" customHeight="1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79</v>
      </c>
      <c r="H188" s="99">
        <f>G188+'11'!H188</f>
        <v>1584</v>
      </c>
      <c r="I188" s="158"/>
      <c r="J188" s="179">
        <f>H188/DAY(B2)</f>
        <v>132</v>
      </c>
    </row>
    <row r="189" spans="1:10" ht="32.25" customHeight="1">
      <c r="A189" s="829" t="s">
        <v>219</v>
      </c>
      <c r="B189" s="830"/>
      <c r="C189" s="333"/>
      <c r="D189" s="230" t="s">
        <v>142</v>
      </c>
      <c r="E189" s="95"/>
      <c r="F189" s="157"/>
      <c r="G189" s="701">
        <f>G181</f>
        <v>79</v>
      </c>
      <c r="H189" s="99">
        <f>G189+'11'!H189</f>
        <v>1058</v>
      </c>
      <c r="I189" s="158"/>
      <c r="J189" s="179">
        <f>H189/DAY(B2)</f>
        <v>88.166666666666671</v>
      </c>
    </row>
    <row r="190" spans="1:10" ht="32.25" customHeight="1">
      <c r="A190" s="750"/>
      <c r="B190" s="751"/>
      <c r="C190" s="483"/>
      <c r="D190" s="480"/>
      <c r="E190" s="477"/>
      <c r="F190" s="480"/>
      <c r="G190" s="480"/>
      <c r="H190" s="486"/>
      <c r="I190" s="480"/>
      <c r="J190" s="482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0" zoomScaleSheetLayoutView="50" workbookViewId="0">
      <selection activeCell="F24" sqref="F24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.75" customHeight="1">
      <c r="A2" s="191" t="s">
        <v>303</v>
      </c>
      <c r="B2" s="262">
        <v>44574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21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320395</v>
      </c>
      <c r="F7" s="95">
        <v>337195</v>
      </c>
      <c r="G7" s="112">
        <f>F7-E7</f>
        <v>16800</v>
      </c>
      <c r="H7" s="99">
        <f>G7+'12'!H7</f>
        <v>242634</v>
      </c>
      <c r="I7" s="113">
        <f>'1'!I7</f>
        <v>12000</v>
      </c>
      <c r="J7" s="175">
        <f>H7/DAY(B2)</f>
        <v>18664.153846153848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370975</v>
      </c>
      <c r="F8" s="95">
        <v>388025</v>
      </c>
      <c r="G8" s="115">
        <f>F8-E8</f>
        <v>17050</v>
      </c>
      <c r="H8" s="99">
        <f>G8+'12'!H8</f>
        <v>247140</v>
      </c>
      <c r="I8" s="116"/>
      <c r="J8" s="175">
        <f>H8/DAY(B2)</f>
        <v>19010.76923076923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44230</v>
      </c>
      <c r="F9" s="601">
        <v>54881</v>
      </c>
      <c r="G9" s="112">
        <f>F9-E9</f>
        <v>10651</v>
      </c>
      <c r="H9" s="99">
        <f>G9+'12'!H9</f>
        <v>153386</v>
      </c>
      <c r="I9" s="124">
        <f>I7-J7</f>
        <v>-6664.1538461538476</v>
      </c>
      <c r="J9" s="175">
        <f>H9/DAY(B2)</f>
        <v>11798.923076923076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353">
        <v>21941</v>
      </c>
      <c r="F10" s="353">
        <v>27618</v>
      </c>
      <c r="G10" s="112">
        <f t="shared" ref="G10:G12" si="0">F10-E10</f>
        <v>5677</v>
      </c>
      <c r="H10" s="99">
        <f>G10+'12'!H10</f>
        <v>82524</v>
      </c>
      <c r="I10" s="282"/>
      <c r="J10" s="175">
        <f>H10/DAY(B2)</f>
        <v>6348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16328</v>
      </c>
      <c r="H13" s="99">
        <f>G13+'12'!H13</f>
        <v>216444.74999999988</v>
      </c>
      <c r="I13" s="120">
        <f>G7-G13</f>
        <v>472</v>
      </c>
      <c r="J13" s="175">
        <f>H13/DAY(B2)</f>
        <v>16649.596153846145</v>
      </c>
      <c r="K13" s="79"/>
      <c r="L13" s="66"/>
      <c r="N13" s="87"/>
      <c r="O13" s="71"/>
    </row>
    <row r="14" spans="1:15" ht="27.7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95">
        <f>'12'!F15</f>
        <v>1888933</v>
      </c>
      <c r="F15" s="123">
        <v>1889890</v>
      </c>
      <c r="G15" s="112">
        <f>(F15-E15)</f>
        <v>957</v>
      </c>
      <c r="H15" s="99">
        <f>G15+'12'!H15</f>
        <v>11460</v>
      </c>
      <c r="I15" s="113">
        <f>'1'!I15</f>
        <v>800</v>
      </c>
      <c r="J15" s="175">
        <f>H15/DAY(B2)</f>
        <v>881.53846153846155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-81.538461538461547</v>
      </c>
      <c r="J16" s="176"/>
      <c r="K16" s="79"/>
      <c r="L16" s="66"/>
      <c r="N16" s="87"/>
      <c r="O16" s="71"/>
    </row>
    <row r="17" spans="1:15" ht="27.7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4" t="s">
        <v>141</v>
      </c>
      <c r="B18" s="865"/>
      <c r="C18" s="866"/>
      <c r="D18" s="151" t="s">
        <v>142</v>
      </c>
      <c r="E18" s="95">
        <f>'12'!F18</f>
        <v>8</v>
      </c>
      <c r="F18" s="122">
        <v>5</v>
      </c>
      <c r="G18" s="119">
        <f>F18*10</f>
        <v>50</v>
      </c>
      <c r="H18" s="99">
        <f>G18+'12'!H18</f>
        <v>1460</v>
      </c>
      <c r="I18" s="113">
        <f>'1'!I18</f>
        <v>65</v>
      </c>
      <c r="J18" s="175">
        <f>H18/DAY(B2)</f>
        <v>112.30769230769231</v>
      </c>
      <c r="K18" s="79"/>
      <c r="L18" s="66"/>
      <c r="N18" s="87"/>
      <c r="O18" s="71"/>
    </row>
    <row r="19" spans="1:15" ht="27.75" customHeight="1">
      <c r="A19" s="864" t="s">
        <v>69</v>
      </c>
      <c r="B19" s="865"/>
      <c r="C19" s="866"/>
      <c r="D19" s="151" t="s">
        <v>142</v>
      </c>
      <c r="E19" s="95">
        <f>'12'!F19</f>
        <v>152855</v>
      </c>
      <c r="F19" s="122">
        <v>152908</v>
      </c>
      <c r="G19" s="112">
        <f t="shared" ref="G19" si="1">F19-E19</f>
        <v>53</v>
      </c>
      <c r="H19" s="99">
        <f>G19+'12'!H19</f>
        <v>683</v>
      </c>
      <c r="I19" s="335"/>
      <c r="J19" s="175">
        <f>H19/DAY(B2)</f>
        <v>52.53846153846154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103</v>
      </c>
      <c r="H20" s="99">
        <f>G20+'12'!H20</f>
        <v>2143</v>
      </c>
      <c r="I20" s="336">
        <f>I18-J20</f>
        <v>-99.84615384615384</v>
      </c>
      <c r="J20" s="175">
        <f>H20/DAY(B2)</f>
        <v>164.84615384615384</v>
      </c>
      <c r="K20" s="79"/>
      <c r="L20" s="66"/>
      <c r="N20" s="87"/>
      <c r="O20" s="71"/>
    </row>
    <row r="21" spans="1:15" ht="27.7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17050</v>
      </c>
      <c r="F27" s="136">
        <v>9</v>
      </c>
      <c r="G27" s="137">
        <f>E27*F27</f>
        <v>153450</v>
      </c>
      <c r="H27" s="99">
        <f>G27+'12'!H27</f>
        <v>2224260</v>
      </c>
      <c r="I27" s="138"/>
      <c r="J27" s="175">
        <f>H27/DAY(B2)</f>
        <v>171096.92307692306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957</v>
      </c>
      <c r="F28" s="136">
        <v>52</v>
      </c>
      <c r="G28" s="137">
        <f>E28*F28</f>
        <v>49764</v>
      </c>
      <c r="H28" s="99">
        <f>G28+'12'!H28</f>
        <v>595920</v>
      </c>
      <c r="I28" s="140"/>
      <c r="J28" s="175">
        <f>H28/DAY(B2)</f>
        <v>45840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G30+'12'!H30</f>
        <v>99718</v>
      </c>
      <c r="I30" s="140"/>
      <c r="J30" s="175">
        <f>H30/DAY(B2)</f>
        <v>7670.6153846153848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50</v>
      </c>
      <c r="F31" s="136">
        <v>80</v>
      </c>
      <c r="G31" s="137">
        <f>E31*F31</f>
        <v>4000</v>
      </c>
      <c r="H31" s="99">
        <f>G31+'12'!H31</f>
        <v>116800</v>
      </c>
      <c r="I31" s="140"/>
      <c r="J31" s="175">
        <f>H31/DAY(B2)</f>
        <v>8984.6153846153848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214952</v>
      </c>
      <c r="H32" s="99">
        <f>G32+'12'!H32</f>
        <v>3036698</v>
      </c>
      <c r="I32" s="144"/>
      <c r="J32" s="175">
        <f>H32/DAY(B2)</f>
        <v>233592.15384615384</v>
      </c>
      <c r="K32" s="63"/>
      <c r="L32" s="89"/>
      <c r="N32" s="87"/>
      <c r="O32" s="71"/>
    </row>
    <row r="33" spans="1:15" ht="27.7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6382</v>
      </c>
      <c r="F35" s="145">
        <v>7841</v>
      </c>
      <c r="G35" s="112">
        <f t="shared" ref="G35:G46" si="3">F35-E35</f>
        <v>1459</v>
      </c>
      <c r="H35" s="99">
        <f>G35+'12'!H35</f>
        <v>23041</v>
      </c>
      <c r="I35" s="95"/>
      <c r="J35" s="175">
        <f>H35/DAY(B2)</f>
        <v>1772.3846153846155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30512</v>
      </c>
      <c r="F36" s="145">
        <v>31094</v>
      </c>
      <c r="G36" s="112">
        <f t="shared" si="3"/>
        <v>582</v>
      </c>
      <c r="H36" s="99">
        <f>G36+'12'!H36</f>
        <v>9567</v>
      </c>
      <c r="I36" s="95"/>
      <c r="J36" s="175">
        <f>H36/DAY(B2)</f>
        <v>735.92307692307691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5850</v>
      </c>
      <c r="F37" s="145">
        <v>7321</v>
      </c>
      <c r="G37" s="112">
        <f t="shared" si="3"/>
        <v>1471</v>
      </c>
      <c r="H37" s="99">
        <f>G37+'12'!H37</f>
        <v>19533</v>
      </c>
      <c r="I37" s="95"/>
      <c r="J37" s="175">
        <f>H37/DAY(B2)</f>
        <v>1502.5384615384614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6177</v>
      </c>
      <c r="F38" s="108">
        <v>7720</v>
      </c>
      <c r="G38" s="112">
        <f t="shared" si="3"/>
        <v>1543</v>
      </c>
      <c r="H38" s="99">
        <f>G38+'12'!H38</f>
        <v>20920</v>
      </c>
      <c r="I38" s="95"/>
      <c r="J38" s="175">
        <f>H38/DAY(B2)</f>
        <v>1609.2307692307693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10116</v>
      </c>
      <c r="F39" s="145">
        <v>12520</v>
      </c>
      <c r="G39" s="112">
        <f t="shared" si="3"/>
        <v>2404</v>
      </c>
      <c r="H39" s="99">
        <f>G39+'12'!H39</f>
        <v>34202</v>
      </c>
      <c r="I39" s="95"/>
      <c r="J39" s="175">
        <f>H39/DAY(B2)</f>
        <v>2630.9230769230771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10732</v>
      </c>
      <c r="F40" s="145">
        <v>11405</v>
      </c>
      <c r="G40" s="112">
        <f t="shared" si="3"/>
        <v>673</v>
      </c>
      <c r="H40" s="99">
        <f>G40+'12'!H40</f>
        <v>5795</v>
      </c>
      <c r="I40" s="95"/>
      <c r="J40" s="175">
        <f>H40/DAY(B2)</f>
        <v>445.76923076923077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0</v>
      </c>
      <c r="F41" s="145">
        <v>0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73809</v>
      </c>
      <c r="F42" s="145">
        <v>73809</v>
      </c>
      <c r="G42" s="112">
        <f t="shared" si="3"/>
        <v>0</v>
      </c>
      <c r="H42" s="99">
        <f>G42+'12'!H42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74718</v>
      </c>
      <c r="F43" s="145">
        <v>76729</v>
      </c>
      <c r="G43" s="112">
        <f t="shared" si="3"/>
        <v>2011</v>
      </c>
      <c r="H43" s="99">
        <f>G43+'12'!H43</f>
        <v>29468</v>
      </c>
      <c r="I43" s="95"/>
      <c r="J43" s="175">
        <f>H43/DAY(B2)</f>
        <v>2266.7692307692309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10143</v>
      </c>
      <c r="H47" s="99">
        <f>G47+'12'!H47</f>
        <v>142526</v>
      </c>
      <c r="I47" s="95"/>
      <c r="J47" s="175">
        <f>H47/DAY(B2)</f>
        <v>10963.538461538461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4914</v>
      </c>
      <c r="F49" s="145">
        <v>6205</v>
      </c>
      <c r="G49" s="112">
        <f t="shared" ref="G49:G58" si="4">F49-E49</f>
        <v>1291</v>
      </c>
      <c r="H49" s="99">
        <f>G49+'12'!H49</f>
        <v>19326</v>
      </c>
      <c r="I49" s="95"/>
      <c r="J49" s="175">
        <f>H49/DAY(B2)</f>
        <v>1486.6153846153845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36812</v>
      </c>
      <c r="F50" s="145">
        <v>37654</v>
      </c>
      <c r="G50" s="112">
        <f t="shared" si="4"/>
        <v>842</v>
      </c>
      <c r="H50" s="99">
        <f>G50+'12'!H50</f>
        <v>13004</v>
      </c>
      <c r="I50" s="95"/>
      <c r="J50" s="175">
        <f>H50/DAY(B2)</f>
        <v>1000.3076923076923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2198</v>
      </c>
      <c r="F54" s="145">
        <v>2668</v>
      </c>
      <c r="G54" s="112">
        <f t="shared" si="4"/>
        <v>470</v>
      </c>
      <c r="H54" s="99">
        <f>G54+'12'!H54</f>
        <v>4435.08</v>
      </c>
      <c r="I54" s="95"/>
      <c r="J54" s="175">
        <f>H54/DAY(B2)</f>
        <v>341.15999999999997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39709</v>
      </c>
      <c r="F55" s="145">
        <v>42570</v>
      </c>
      <c r="G55" s="112">
        <f t="shared" si="4"/>
        <v>2861</v>
      </c>
      <c r="H55" s="99">
        <f>G55+'12'!H55</f>
        <v>39059</v>
      </c>
      <c r="I55" s="95"/>
      <c r="J55" s="175">
        <f>H55/DAY(B2)</f>
        <v>3004.5384615384614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8611</v>
      </c>
      <c r="F56" s="145">
        <v>8611</v>
      </c>
      <c r="G56" s="112">
        <f t="shared" si="4"/>
        <v>0</v>
      </c>
      <c r="H56" s="99">
        <f>G56+'12'!H56</f>
        <v>0.45999999999912689</v>
      </c>
      <c r="I56" s="95"/>
      <c r="J56" s="175">
        <f>H56/DAY(B2)</f>
        <v>3.5384615384548221E-2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1342</v>
      </c>
      <c r="F58" s="145">
        <v>1556</v>
      </c>
      <c r="G58" s="112">
        <f t="shared" si="4"/>
        <v>214</v>
      </c>
      <c r="H58" s="99">
        <f>G58+'12'!H58</f>
        <v>1896.6300000000047</v>
      </c>
      <c r="I58" s="95"/>
      <c r="J58" s="175">
        <f>H58/DAY(B2)</f>
        <v>145.89461538461575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5678</v>
      </c>
      <c r="H59" s="99">
        <f>G59+'12'!H59</f>
        <v>77721.170000000013</v>
      </c>
      <c r="I59" s="95">
        <f>G7-G60</f>
        <v>979</v>
      </c>
      <c r="J59" s="175">
        <f>H59/DAY(B2)</f>
        <v>5978.5515384615392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15821</v>
      </c>
      <c r="H60" s="99">
        <f>G60+'12'!H60</f>
        <v>220247.16999999998</v>
      </c>
      <c r="I60" s="95">
        <f>G13-G60</f>
        <v>507</v>
      </c>
      <c r="J60" s="175">
        <f>H60/DAY(B2)</f>
        <v>16942.09</v>
      </c>
      <c r="K60" s="79"/>
      <c r="L60" s="66"/>
      <c r="N60" s="87"/>
      <c r="O60" s="71"/>
    </row>
    <row r="61" spans="1:15" s="68" customFormat="1" ht="27.75" customHeight="1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4" t="s">
        <v>198</v>
      </c>
      <c r="B62" s="865"/>
      <c r="C62" s="866"/>
      <c r="D62" s="151" t="s">
        <v>142</v>
      </c>
      <c r="E62" s="95">
        <f>'12'!F62</f>
        <v>267928</v>
      </c>
      <c r="F62" s="122">
        <v>267982</v>
      </c>
      <c r="G62" s="112">
        <f t="shared" ref="G62:G63" si="5">F62-E62</f>
        <v>54</v>
      </c>
      <c r="H62" s="99">
        <f>G62+'12'!H62</f>
        <v>769</v>
      </c>
      <c r="I62" s="118"/>
      <c r="J62" s="175">
        <f>H62/DAY(B2)</f>
        <v>59.153846153846153</v>
      </c>
      <c r="K62" s="80"/>
      <c r="L62" s="66"/>
      <c r="N62" s="87"/>
      <c r="O62" s="71"/>
    </row>
    <row r="63" spans="1:15" ht="27.75" customHeight="1">
      <c r="A63" s="864" t="s">
        <v>199</v>
      </c>
      <c r="B63" s="865"/>
      <c r="C63" s="866"/>
      <c r="D63" s="151" t="s">
        <v>142</v>
      </c>
      <c r="E63" s="95">
        <f>'12'!F63</f>
        <v>213706</v>
      </c>
      <c r="F63" s="122">
        <v>213799</v>
      </c>
      <c r="G63" s="112">
        <f t="shared" si="5"/>
        <v>93</v>
      </c>
      <c r="H63" s="99">
        <f>G63+'12'!H63</f>
        <v>1374</v>
      </c>
      <c r="I63" s="118"/>
      <c r="J63" s="175">
        <f>H63/DAY(B2)</f>
        <v>105.69230769230769</v>
      </c>
      <c r="K63" s="69"/>
      <c r="L63" s="66"/>
      <c r="N63" s="87"/>
      <c r="O63" s="71"/>
    </row>
    <row r="64" spans="1:15" ht="27.75" customHeight="1">
      <c r="A64" s="873" t="s">
        <v>200</v>
      </c>
      <c r="B64" s="874"/>
      <c r="C64" s="875"/>
      <c r="D64" s="151"/>
      <c r="E64" s="95">
        <f>'12'!F64</f>
        <v>0</v>
      </c>
      <c r="F64" s="122"/>
      <c r="G64" s="112">
        <f>G62+G63</f>
        <v>147</v>
      </c>
      <c r="H64" s="99">
        <f>G64+'12'!H64</f>
        <v>2143</v>
      </c>
      <c r="I64" s="118"/>
      <c r="J64" s="175">
        <f>H64/DAY(B2)</f>
        <v>164.84615384615384</v>
      </c>
      <c r="K64" s="69"/>
      <c r="L64" s="66"/>
      <c r="N64" s="87"/>
      <c r="O64" s="71"/>
    </row>
    <row r="65" spans="1:15" ht="27.75" customHeight="1">
      <c r="A65" s="864" t="s">
        <v>201</v>
      </c>
      <c r="B65" s="865"/>
      <c r="C65" s="866"/>
      <c r="D65" s="151" t="s">
        <v>142</v>
      </c>
      <c r="E65" s="95">
        <f>'12'!F65</f>
        <v>433470</v>
      </c>
      <c r="F65" s="122">
        <v>433539</v>
      </c>
      <c r="G65" s="112">
        <f t="shared" ref="G65:G70" si="6">F65-E65</f>
        <v>69</v>
      </c>
      <c r="H65" s="99">
        <f>G65+'12'!H65</f>
        <v>925</v>
      </c>
      <c r="I65" s="118"/>
      <c r="J65" s="175">
        <f>H65/DAY(B2)</f>
        <v>71.15384615384616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107430</v>
      </c>
      <c r="F66" s="122">
        <v>107442</v>
      </c>
      <c r="G66" s="112">
        <f t="shared" si="6"/>
        <v>12</v>
      </c>
      <c r="H66" s="99">
        <f>G66+'12'!H66</f>
        <v>228</v>
      </c>
      <c r="I66" s="118"/>
      <c r="J66" s="175">
        <f>H66/DAY(B2)</f>
        <v>17.53846153846154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104218</v>
      </c>
      <c r="F67" s="122">
        <v>104236</v>
      </c>
      <c r="G67" s="112">
        <f t="shared" si="6"/>
        <v>18</v>
      </c>
      <c r="H67" s="99">
        <f>G67+'12'!H67</f>
        <v>308</v>
      </c>
      <c r="I67" s="118"/>
      <c r="J67" s="175">
        <f>H67/DAY(B2)</f>
        <v>23.692307692307693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156928</v>
      </c>
      <c r="F68" s="122">
        <v>156948</v>
      </c>
      <c r="G68" s="112">
        <f t="shared" si="6"/>
        <v>20</v>
      </c>
      <c r="H68" s="99">
        <f>G68+'12'!H68</f>
        <v>328</v>
      </c>
      <c r="I68" s="118"/>
      <c r="J68" s="175">
        <f>H68/DAY(B2)</f>
        <v>25.23076923076923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10341</v>
      </c>
      <c r="F69" s="122">
        <v>10346</v>
      </c>
      <c r="G69" s="112">
        <f t="shared" si="6"/>
        <v>5</v>
      </c>
      <c r="H69" s="99">
        <f>G69+'12'!H69</f>
        <v>132</v>
      </c>
      <c r="I69" s="118"/>
      <c r="J69" s="175">
        <f>H69/DAY(B2)</f>
        <v>10.153846153846153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7957</v>
      </c>
      <c r="F70" s="122">
        <v>7964</v>
      </c>
      <c r="G70" s="112">
        <f t="shared" si="6"/>
        <v>7</v>
      </c>
      <c r="H70" s="99">
        <f>G70+'12'!H70</f>
        <v>102</v>
      </c>
      <c r="I70" s="118"/>
      <c r="J70" s="175">
        <f>H70/DAY(B2)</f>
        <v>7.8461538461538458</v>
      </c>
      <c r="K70" s="69"/>
      <c r="L70" s="66"/>
      <c r="N70" s="87"/>
      <c r="O70" s="71"/>
    </row>
    <row r="71" spans="1:15" ht="27.75" customHeight="1">
      <c r="A71" s="873" t="s">
        <v>208</v>
      </c>
      <c r="B71" s="874"/>
      <c r="C71" s="875"/>
      <c r="D71" s="152"/>
      <c r="E71" s="152"/>
      <c r="F71" s="152"/>
      <c r="G71" s="153">
        <f>SUM(G65:G70)</f>
        <v>131</v>
      </c>
      <c r="H71" s="99">
        <f>G71+'12'!H71</f>
        <v>2023</v>
      </c>
      <c r="I71" s="154"/>
      <c r="J71" s="175">
        <f>H71/DAY(B2)</f>
        <v>155.61538461538461</v>
      </c>
      <c r="K71" s="69"/>
      <c r="L71" s="66"/>
      <c r="N71" s="87"/>
      <c r="O71" s="71"/>
    </row>
    <row r="72" spans="1:15" s="88" customFormat="1" ht="27.75" customHeight="1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4" t="s">
        <v>220</v>
      </c>
      <c r="B74" s="865"/>
      <c r="C74" s="866"/>
      <c r="D74" s="151" t="s">
        <v>139</v>
      </c>
      <c r="E74" s="95">
        <f>'12'!F74</f>
        <v>895621</v>
      </c>
      <c r="F74" s="117">
        <v>895830</v>
      </c>
      <c r="G74" s="112">
        <f t="shared" ref="G74:G78" si="7">F74-E74</f>
        <v>209</v>
      </c>
      <c r="H74" s="99">
        <f>G74+'12'!H74</f>
        <v>3798</v>
      </c>
      <c r="I74" s="154"/>
      <c r="J74" s="175">
        <f>H74/DAY(B2)</f>
        <v>292.15384615384613</v>
      </c>
      <c r="K74" s="69"/>
      <c r="L74" s="66"/>
      <c r="N74" s="87"/>
      <c r="O74" s="71"/>
    </row>
    <row r="75" spans="1:15" ht="27.75" customHeight="1">
      <c r="A75" s="864" t="s">
        <v>221</v>
      </c>
      <c r="B75" s="865"/>
      <c r="C75" s="866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>
      <c r="A76" s="861" t="s">
        <v>222</v>
      </c>
      <c r="B76" s="862"/>
      <c r="C76" s="863"/>
      <c r="D76" s="151" t="s">
        <v>139</v>
      </c>
      <c r="E76" s="95">
        <f>'12'!F76</f>
        <v>168236</v>
      </c>
      <c r="F76" s="123">
        <v>168317</v>
      </c>
      <c r="G76" s="112">
        <f t="shared" si="7"/>
        <v>81</v>
      </c>
      <c r="H76" s="99">
        <f>G76+'12'!H76</f>
        <v>1110</v>
      </c>
      <c r="I76" s="154"/>
      <c r="J76" s="175">
        <f>H76/DAY(B2)</f>
        <v>85.384615384615387</v>
      </c>
      <c r="K76" s="69"/>
      <c r="L76" s="66"/>
      <c r="N76" s="87"/>
      <c r="O76" s="71"/>
    </row>
    <row r="77" spans="1:15" ht="27.75" customHeight="1">
      <c r="A77" s="861" t="s">
        <v>223</v>
      </c>
      <c r="B77" s="862"/>
      <c r="C77" s="863"/>
      <c r="D77" s="151" t="s">
        <v>139</v>
      </c>
      <c r="E77" s="95">
        <f>'12'!F77</f>
        <v>40694</v>
      </c>
      <c r="F77" s="123">
        <v>40718</v>
      </c>
      <c r="G77" s="112">
        <f t="shared" si="7"/>
        <v>24</v>
      </c>
      <c r="H77" s="99">
        <f>G77+'12'!H77</f>
        <v>402</v>
      </c>
      <c r="I77" s="154"/>
      <c r="J77" s="175">
        <f>H77/DAY(B2)</f>
        <v>30.923076923076923</v>
      </c>
      <c r="K77" s="69"/>
      <c r="L77" s="66"/>
      <c r="N77" s="87"/>
      <c r="O77" s="71"/>
    </row>
    <row r="78" spans="1:15" ht="27.75" customHeight="1">
      <c r="A78" s="861" t="s">
        <v>224</v>
      </c>
      <c r="B78" s="862"/>
      <c r="C78" s="863"/>
      <c r="D78" s="151" t="s">
        <v>139</v>
      </c>
      <c r="E78" s="95">
        <f>'12'!F78</f>
        <v>9496</v>
      </c>
      <c r="F78" s="123">
        <v>9496</v>
      </c>
      <c r="G78" s="112">
        <f t="shared" si="7"/>
        <v>0</v>
      </c>
      <c r="H78" s="99">
        <f>G78+'12'!H78</f>
        <v>10</v>
      </c>
      <c r="I78" s="118"/>
      <c r="J78" s="175">
        <f>H78/DAY(B2)</f>
        <v>0.76923076923076927</v>
      </c>
      <c r="K78" s="69"/>
      <c r="L78" s="66"/>
      <c r="N78" s="87"/>
      <c r="O78" s="71"/>
    </row>
    <row r="79" spans="1:15" s="57" customFormat="1" ht="27.75" customHeight="1">
      <c r="A79" s="861" t="s">
        <v>225</v>
      </c>
      <c r="B79" s="862"/>
      <c r="C79" s="863"/>
      <c r="D79" s="151"/>
      <c r="E79" s="95">
        <f>'12'!F79</f>
        <v>0</v>
      </c>
      <c r="F79" s="117"/>
      <c r="G79" s="112">
        <f>G15-SUM(G74:G78)</f>
        <v>643</v>
      </c>
      <c r="H79" s="99">
        <f>G79+'12'!H79</f>
        <v>6139.8000000000029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73" t="s">
        <v>329</v>
      </c>
      <c r="B80" s="874"/>
      <c r="C80" s="875"/>
      <c r="D80" s="151"/>
      <c r="E80" s="117"/>
      <c r="F80" s="117"/>
      <c r="G80" s="112">
        <f>SUM(G74:G79)</f>
        <v>957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118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2096.5500000000002</v>
      </c>
      <c r="F85" s="164">
        <v>2096.5500000000002</v>
      </c>
      <c r="G85" s="112">
        <f t="shared" si="8"/>
        <v>0</v>
      </c>
      <c r="H85" s="99">
        <f>G85+'12'!H85</f>
        <v>-9.9999999997635314E-3</v>
      </c>
      <c r="I85" s="118">
        <f>G82+G83+G84+G85</f>
        <v>0</v>
      </c>
      <c r="J85" s="175">
        <f>H85/DAY(B2)</f>
        <v>-7.6923076921257935E-4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43152</v>
      </c>
      <c r="F86" s="164">
        <v>43176</v>
      </c>
      <c r="G86" s="112">
        <f t="shared" si="8"/>
        <v>24</v>
      </c>
      <c r="H86" s="99">
        <f>G86+'12'!H86</f>
        <v>313</v>
      </c>
      <c r="I86" s="118"/>
      <c r="J86" s="175">
        <f>H86/DAY(B2)</f>
        <v>24.076923076923077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34598.550000000003</v>
      </c>
      <c r="F87" s="164">
        <v>34598.550000000003</v>
      </c>
      <c r="G87" s="112">
        <f t="shared" si="8"/>
        <v>0</v>
      </c>
      <c r="H87" s="99">
        <f>G87+'12'!H87</f>
        <v>0</v>
      </c>
      <c r="I87" s="118"/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24058</v>
      </c>
      <c r="F88" s="164">
        <v>24059.27</v>
      </c>
      <c r="G88" s="112">
        <f t="shared" si="8"/>
        <v>1.2700000000004366</v>
      </c>
      <c r="H88" s="99">
        <f>G88+'12'!H88</f>
        <v>12.270000000000437</v>
      </c>
      <c r="I88" s="118">
        <f>G86+G87+G88</f>
        <v>25.270000000000437</v>
      </c>
      <c r="J88" s="175">
        <f>H88/DAY(B2)</f>
        <v>0.94384615384618742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25733.8</v>
      </c>
      <c r="F89" s="164">
        <v>25741.18</v>
      </c>
      <c r="G89" s="112">
        <f t="shared" si="8"/>
        <v>7.3800000000010186</v>
      </c>
      <c r="H89" s="99">
        <f>G89+'12'!H89</f>
        <v>78.180000000000291</v>
      </c>
      <c r="I89" s="118"/>
      <c r="J89" s="175">
        <f>H89/DAY(B2)</f>
        <v>6.0138461538461758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71097.37</v>
      </c>
      <c r="F90" s="164">
        <v>71104.3</v>
      </c>
      <c r="G90" s="112">
        <f t="shared" si="8"/>
        <v>6.930000000007567</v>
      </c>
      <c r="H90" s="99">
        <f>G90+'12'!H90</f>
        <v>70.30000000000291</v>
      </c>
      <c r="I90" s="118">
        <f>G89+G90</f>
        <v>14.310000000008586</v>
      </c>
      <c r="J90" s="175">
        <f>H90/DAY(B2)</f>
        <v>5.4076923076925318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0</v>
      </c>
      <c r="I91" s="165"/>
      <c r="J91" s="175">
        <f>H91/DAY(B2)</f>
        <v>0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5560.42</v>
      </c>
      <c r="F92" s="122">
        <v>5571.32</v>
      </c>
      <c r="G92" s="112">
        <f t="shared" si="8"/>
        <v>10.899999999999636</v>
      </c>
      <c r="H92" s="99">
        <f>G92+'12'!H92</f>
        <v>133.31999999999971</v>
      </c>
      <c r="I92" s="165"/>
      <c r="J92" s="175">
        <f>H92/DAY(B2)</f>
        <v>10.255384615384592</v>
      </c>
      <c r="O92" s="71"/>
    </row>
    <row r="93" spans="1:15" ht="27.75" customHeight="1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4761</v>
      </c>
      <c r="H94" s="99">
        <f>G94+'12'!H94</f>
        <v>71835</v>
      </c>
      <c r="I94" s="118"/>
      <c r="J94" s="175">
        <f>H94/DAY(B2)</f>
        <v>5525.7692307692305</v>
      </c>
      <c r="K94" s="69"/>
      <c r="L94" s="66"/>
      <c r="O94" s="71"/>
    </row>
    <row r="95" spans="1:15" ht="27.7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0.28339285714285717</v>
      </c>
      <c r="H95" s="99">
        <f>G95+'12'!H95</f>
        <v>3.8430561771269209</v>
      </c>
      <c r="I95" s="167"/>
      <c r="J95" s="175">
        <f>H95/DAY(B2)</f>
        <v>0.29561970593284009</v>
      </c>
      <c r="K95" s="69"/>
      <c r="L95" s="66"/>
      <c r="O95" s="71"/>
    </row>
    <row r="96" spans="1:15" ht="27.7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2861</v>
      </c>
      <c r="H96" s="99">
        <f>G96+'12'!H96</f>
        <v>39059.46</v>
      </c>
      <c r="I96" s="118"/>
      <c r="J96" s="175">
        <f>H96/DAY(B2)</f>
        <v>3004.5738461538463</v>
      </c>
      <c r="K96" s="69"/>
      <c r="L96" s="66"/>
      <c r="O96" s="71"/>
    </row>
    <row r="97" spans="1:15" ht="27.7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0.17029761904761906</v>
      </c>
      <c r="H97" s="99">
        <f>G97+'12'!H97</f>
        <v>2.0973387527004212</v>
      </c>
      <c r="I97" s="167"/>
      <c r="J97" s="175">
        <f>H97/DAY(B2)</f>
        <v>0.16133375020772472</v>
      </c>
      <c r="K97" s="69"/>
      <c r="L97" s="66"/>
      <c r="O97" s="71"/>
    </row>
    <row r="98" spans="1:15" ht="27.7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2404</v>
      </c>
      <c r="H98" s="99">
        <f>G98+'12'!H98</f>
        <v>34202</v>
      </c>
      <c r="I98" s="168"/>
      <c r="J98" s="175">
        <f>H98/DAY(B2)</f>
        <v>2630.9230769230771</v>
      </c>
      <c r="K98" s="69"/>
      <c r="L98" s="66"/>
      <c r="O98" s="71"/>
    </row>
    <row r="99" spans="1:15" ht="27.7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0.14309523809523811</v>
      </c>
      <c r="H99" s="99">
        <f>G99+'12'!H99</f>
        <v>1.8374185725200947</v>
      </c>
      <c r="I99" s="168"/>
      <c r="J99" s="175">
        <f>H99/DAY(B2)</f>
        <v>0.14133989019385343</v>
      </c>
      <c r="O99" s="71"/>
    </row>
    <row r="100" spans="1:15" ht="27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1543</v>
      </c>
      <c r="H100" s="99">
        <f>G100+'12'!H100</f>
        <v>20920</v>
      </c>
      <c r="I100" s="118"/>
      <c r="J100" s="175">
        <f>H100/DAY(B2)</f>
        <v>1609.2307692307693</v>
      </c>
      <c r="K100" s="70"/>
      <c r="O100" s="71"/>
    </row>
    <row r="101" spans="1:15" ht="27.7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9.1845238095238091E-2</v>
      </c>
      <c r="H101" s="99">
        <f>G101+'12'!H101</f>
        <v>1.1238906582568537</v>
      </c>
      <c r="I101" s="168"/>
      <c r="J101" s="175">
        <f>H101/DAY(B2)</f>
        <v>8.6453127558219517E-2</v>
      </c>
      <c r="O101" s="71"/>
    </row>
    <row r="102" spans="1:15" ht="27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1424</v>
      </c>
      <c r="H102" s="99">
        <f>G102+'12'!H102</f>
        <v>22571</v>
      </c>
      <c r="I102" s="168"/>
      <c r="J102" s="175">
        <f>H102/DAY(B2)</f>
        <v>1736.2307692307693</v>
      </c>
      <c r="O102" s="71"/>
    </row>
    <row r="103" spans="1:15" ht="27.7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8.4761904761904761E-2</v>
      </c>
      <c r="H103" s="99">
        <f>G103+'12'!H103</f>
        <v>1.206947494454425</v>
      </c>
      <c r="I103" s="118"/>
      <c r="J103" s="175">
        <f>H103/DAY(B2)</f>
        <v>9.2842114958032684E-2</v>
      </c>
      <c r="O103" s="71"/>
    </row>
    <row r="104" spans="1:15" ht="27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1471</v>
      </c>
      <c r="H104" s="99">
        <f>G104+'12'!H104</f>
        <v>19533</v>
      </c>
      <c r="I104" s="118"/>
      <c r="J104" s="175">
        <f>H104/DAY(B2)</f>
        <v>1502.5384615384614</v>
      </c>
      <c r="O104" s="71"/>
    </row>
    <row r="105" spans="1:15" ht="27.75" customHeight="1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8.7559523809523809E-2</v>
      </c>
      <c r="H105" s="99">
        <f>G105+'12'!H105</f>
        <v>1.0509026037208753</v>
      </c>
      <c r="I105" s="187"/>
      <c r="J105" s="188">
        <f>H105/DAY(B2)</f>
        <v>8.0838661824682717E-2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7.75" customHeight="1">
      <c r="A109" s="881"/>
      <c r="B109" s="881"/>
    </row>
    <row r="110" spans="1:15" ht="27.75" customHeight="1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 customHeight="1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43" t="s">
        <v>252</v>
      </c>
      <c r="B112" s="844"/>
      <c r="C112" s="845"/>
      <c r="D112" s="146" t="s">
        <v>183</v>
      </c>
      <c r="E112" s="95">
        <f>'12'!F112</f>
        <v>56581</v>
      </c>
      <c r="F112" s="237">
        <v>56651</v>
      </c>
      <c r="G112" s="112">
        <f t="shared" ref="G112:G123" si="9">F112-E112</f>
        <v>70</v>
      </c>
      <c r="H112" s="99">
        <f>G112+'12'!H112</f>
        <v>970</v>
      </c>
      <c r="I112" s="165"/>
      <c r="J112" s="328">
        <f>H112/DAY(B2)</f>
        <v>74.615384615384613</v>
      </c>
    </row>
    <row r="113" spans="1:18" ht="27.75" customHeight="1">
      <c r="A113" s="843" t="s">
        <v>253</v>
      </c>
      <c r="B113" s="844"/>
      <c r="C113" s="845"/>
      <c r="D113" s="146" t="s">
        <v>183</v>
      </c>
      <c r="E113" s="95">
        <f>'12'!F113</f>
        <v>37600</v>
      </c>
      <c r="F113" s="237">
        <v>38050</v>
      </c>
      <c r="G113" s="112">
        <f t="shared" si="9"/>
        <v>450</v>
      </c>
      <c r="H113" s="99">
        <f>G113+'12'!H113</f>
        <v>5855</v>
      </c>
      <c r="I113" s="165"/>
      <c r="J113" s="328">
        <f>H113/DAY(B2)</f>
        <v>450.38461538461536</v>
      </c>
    </row>
    <row r="114" spans="1:18" ht="27.75" customHeight="1">
      <c r="A114" s="843" t="s">
        <v>254</v>
      </c>
      <c r="B114" s="844"/>
      <c r="C114" s="845"/>
      <c r="D114" s="146" t="s">
        <v>183</v>
      </c>
      <c r="E114" s="95">
        <f>'12'!F114</f>
        <v>28057</v>
      </c>
      <c r="F114" s="237">
        <v>28321</v>
      </c>
      <c r="G114" s="112">
        <f t="shared" si="9"/>
        <v>264</v>
      </c>
      <c r="H114" s="99">
        <f>G114+'12'!H114</f>
        <v>3450</v>
      </c>
      <c r="I114" s="165"/>
      <c r="J114" s="328">
        <f>H114/DAY(B2)</f>
        <v>265.38461538461536</v>
      </c>
    </row>
    <row r="115" spans="1:18" ht="27.75" customHeight="1">
      <c r="A115" s="843" t="s">
        <v>255</v>
      </c>
      <c r="B115" s="844"/>
      <c r="C115" s="845"/>
      <c r="D115" s="146" t="s">
        <v>183</v>
      </c>
      <c r="E115" s="95">
        <f>'12'!F115</f>
        <v>8909</v>
      </c>
      <c r="F115" s="237">
        <v>8917</v>
      </c>
      <c r="G115" s="112">
        <f t="shared" si="9"/>
        <v>8</v>
      </c>
      <c r="H115" s="99">
        <f>G115+'12'!H115</f>
        <v>132</v>
      </c>
      <c r="I115" s="165"/>
      <c r="J115" s="328">
        <f>H115/DAY(B2)</f>
        <v>10.153846153846153</v>
      </c>
    </row>
    <row r="116" spans="1:18" ht="27.75" customHeight="1">
      <c r="A116" s="850" t="s">
        <v>96</v>
      </c>
      <c r="B116" s="851"/>
      <c r="C116" s="852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28">
        <f>H116/DAY(B2)</f>
        <v>0</v>
      </c>
      <c r="Q116" s="843"/>
      <c r="R116" s="845"/>
    </row>
    <row r="117" spans="1:18" ht="27.75" customHeight="1">
      <c r="A117" s="850" t="s">
        <v>184</v>
      </c>
      <c r="B117" s="851"/>
      <c r="C117" s="852"/>
      <c r="D117" s="146" t="s">
        <v>183</v>
      </c>
      <c r="E117" s="95">
        <f>'12'!F117</f>
        <v>2888</v>
      </c>
      <c r="F117" s="237">
        <v>2909</v>
      </c>
      <c r="G117" s="112">
        <f t="shared" si="9"/>
        <v>21</v>
      </c>
      <c r="H117" s="99">
        <f>G117+'12'!H117</f>
        <v>319</v>
      </c>
      <c r="I117" s="165"/>
      <c r="J117" s="328">
        <f>H117/DAY(B2)</f>
        <v>24.53846153846154</v>
      </c>
      <c r="Q117" s="843"/>
      <c r="R117" s="845"/>
    </row>
    <row r="118" spans="1:18" ht="27.75" customHeight="1">
      <c r="A118" s="842" t="s">
        <v>97</v>
      </c>
      <c r="B118" s="842"/>
      <c r="C118" s="842"/>
      <c r="D118" s="151" t="s">
        <v>183</v>
      </c>
      <c r="E118" s="95">
        <f>'12'!F118</f>
        <v>245995</v>
      </c>
      <c r="F118" s="237">
        <v>246339</v>
      </c>
      <c r="G118" s="112">
        <f t="shared" si="9"/>
        <v>344</v>
      </c>
      <c r="H118" s="99">
        <f>G118+'12'!H118</f>
        <v>4692</v>
      </c>
      <c r="I118" s="165"/>
      <c r="J118" s="328">
        <f>H118/DAY(B2)</f>
        <v>360.92307692307691</v>
      </c>
      <c r="Q118" s="843"/>
      <c r="R118" s="845"/>
    </row>
    <row r="119" spans="1:18" ht="27.75" customHeight="1">
      <c r="A119" s="842" t="s">
        <v>98</v>
      </c>
      <c r="B119" s="842"/>
      <c r="C119" s="842"/>
      <c r="D119" s="151" t="s">
        <v>183</v>
      </c>
      <c r="E119" s="95">
        <f>'12'!F119</f>
        <v>250260</v>
      </c>
      <c r="F119" s="237">
        <v>250604</v>
      </c>
      <c r="G119" s="112">
        <f t="shared" si="9"/>
        <v>344</v>
      </c>
      <c r="H119" s="99">
        <f>G119+'12'!H119</f>
        <v>5478</v>
      </c>
      <c r="I119" s="165"/>
      <c r="J119" s="328">
        <f>H119/DAY(B2)</f>
        <v>421.38461538461536</v>
      </c>
    </row>
    <row r="120" spans="1:18" ht="27.75" customHeight="1">
      <c r="A120" s="842" t="s">
        <v>99</v>
      </c>
      <c r="B120" s="842"/>
      <c r="C120" s="842"/>
      <c r="D120" s="151" t="s">
        <v>183</v>
      </c>
      <c r="E120" s="95">
        <f>'12'!F120</f>
        <v>35053</v>
      </c>
      <c r="F120" s="237">
        <v>35447</v>
      </c>
      <c r="G120" s="112">
        <f t="shared" si="9"/>
        <v>394</v>
      </c>
      <c r="H120" s="99">
        <f>G120+'12'!H120</f>
        <v>5369</v>
      </c>
      <c r="I120" s="165"/>
      <c r="J120" s="328">
        <f>H120/DAY(B2)</f>
        <v>413</v>
      </c>
    </row>
    <row r="121" spans="1:18" ht="27.75" customHeight="1">
      <c r="A121" s="842" t="s">
        <v>100</v>
      </c>
      <c r="B121" s="842"/>
      <c r="C121" s="842"/>
      <c r="D121" s="151" t="s">
        <v>183</v>
      </c>
      <c r="E121" s="95">
        <f>'12'!F121</f>
        <v>385151</v>
      </c>
      <c r="F121" s="237">
        <v>385767</v>
      </c>
      <c r="G121" s="112">
        <f t="shared" si="9"/>
        <v>616</v>
      </c>
      <c r="H121" s="99">
        <f>G121+'12'!H121</f>
        <v>9238</v>
      </c>
      <c r="I121" s="165"/>
      <c r="J121" s="328">
        <f>H121/DAY(B2)</f>
        <v>710.61538461538464</v>
      </c>
    </row>
    <row r="122" spans="1:18" ht="27.75" customHeight="1">
      <c r="A122" s="842" t="s">
        <v>101</v>
      </c>
      <c r="B122" s="842"/>
      <c r="C122" s="842"/>
      <c r="D122" s="151" t="s">
        <v>183</v>
      </c>
      <c r="E122" s="95">
        <f>'12'!F122</f>
        <v>122620</v>
      </c>
      <c r="F122" s="237">
        <v>122808</v>
      </c>
      <c r="G122" s="112">
        <f t="shared" si="9"/>
        <v>188</v>
      </c>
      <c r="H122" s="99">
        <f>G122+'12'!H122</f>
        <v>2758</v>
      </c>
      <c r="I122" s="165"/>
      <c r="J122" s="328">
        <f>H122/DAY(B2)</f>
        <v>212.15384615384616</v>
      </c>
    </row>
    <row r="123" spans="1:18" ht="27.75" customHeight="1">
      <c r="A123" s="842" t="s">
        <v>102</v>
      </c>
      <c r="B123" s="842"/>
      <c r="C123" s="842"/>
      <c r="D123" s="151" t="s">
        <v>183</v>
      </c>
      <c r="E123" s="95">
        <f>'12'!F123</f>
        <v>148909</v>
      </c>
      <c r="F123" s="237">
        <v>149183</v>
      </c>
      <c r="G123" s="112">
        <f t="shared" si="9"/>
        <v>274</v>
      </c>
      <c r="H123" s="99">
        <f>G123+'12'!H123</f>
        <v>4058</v>
      </c>
      <c r="I123" s="165"/>
      <c r="J123" s="328">
        <f>H123/DAY(B2)</f>
        <v>312.15384615384613</v>
      </c>
    </row>
    <row r="124" spans="1:18" ht="27.75" customHeight="1">
      <c r="A124" s="847"/>
      <c r="B124" s="848"/>
      <c r="C124" s="849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27" t="s">
        <v>196</v>
      </c>
      <c r="B125" s="828"/>
      <c r="C125" s="245"/>
      <c r="D125" s="307"/>
      <c r="E125" s="308"/>
      <c r="F125" s="308"/>
      <c r="G125" s="309">
        <f>SUM(G112:G124)</f>
        <v>2973</v>
      </c>
      <c r="H125" s="156"/>
      <c r="I125" s="327">
        <f>G125-(G39+G53)</f>
        <v>569</v>
      </c>
      <c r="J125" s="327"/>
    </row>
    <row r="126" spans="1:18" ht="27.75" customHeight="1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 customHeight="1">
      <c r="A127" s="832"/>
      <c r="B127" s="832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843" t="s">
        <v>318</v>
      </c>
      <c r="B128" s="844"/>
      <c r="C128" s="845"/>
      <c r="D128" s="151" t="s">
        <v>183</v>
      </c>
      <c r="E128" s="95">
        <f>'12'!F128</f>
        <v>41882</v>
      </c>
      <c r="F128" s="165">
        <v>42186</v>
      </c>
      <c r="G128" s="112">
        <f t="shared" ref="G128:G134" si="10">F128-E128</f>
        <v>304</v>
      </c>
      <c r="H128" s="99">
        <f>G128+'12'!H128</f>
        <v>4182</v>
      </c>
      <c r="I128" s="165"/>
      <c r="J128" s="328">
        <f>H128/DAY(B2)</f>
        <v>321.69230769230768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22906</v>
      </c>
      <c r="F129" s="165">
        <v>23174</v>
      </c>
      <c r="G129" s="112">
        <f t="shared" si="10"/>
        <v>268</v>
      </c>
      <c r="H129" s="99">
        <f>G129+'12'!H129</f>
        <v>2853</v>
      </c>
      <c r="I129" s="165"/>
      <c r="J129" s="328">
        <f>H129/DAY(B2)</f>
        <v>219.46153846153845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25877</v>
      </c>
      <c r="F130" s="165">
        <v>26322</v>
      </c>
      <c r="G130" s="112">
        <f t="shared" si="10"/>
        <v>445</v>
      </c>
      <c r="H130" s="99">
        <f>G130+'12'!H130</f>
        <v>7940</v>
      </c>
      <c r="I130" s="165"/>
      <c r="J130" s="328">
        <f>H130/DAY(B2)</f>
        <v>610.76923076923072</v>
      </c>
      <c r="N130" s="240"/>
      <c r="O130" s="241"/>
    </row>
    <row r="131" spans="1:15" ht="27.75" customHeight="1">
      <c r="A131" s="843" t="s">
        <v>321</v>
      </c>
      <c r="B131" s="844"/>
      <c r="C131" s="845"/>
      <c r="D131" s="151" t="s">
        <v>183</v>
      </c>
      <c r="E131" s="95">
        <f>'12'!F131</f>
        <v>14020</v>
      </c>
      <c r="F131" s="165">
        <v>14077</v>
      </c>
      <c r="G131" s="112">
        <f t="shared" si="10"/>
        <v>57</v>
      </c>
      <c r="H131" s="99">
        <f>G131+'12'!H131</f>
        <v>924</v>
      </c>
      <c r="I131" s="165"/>
      <c r="J131" s="328">
        <f>H131/DAY(B2)</f>
        <v>71.07692307692308</v>
      </c>
      <c r="N131" s="240"/>
      <c r="O131" s="241"/>
    </row>
    <row r="132" spans="1:15" ht="27.75" customHeight="1">
      <c r="A132" s="843" t="s">
        <v>322</v>
      </c>
      <c r="B132" s="844"/>
      <c r="C132" s="845"/>
      <c r="D132" s="151" t="s">
        <v>183</v>
      </c>
      <c r="E132" s="95">
        <f>'12'!F132</f>
        <v>46778</v>
      </c>
      <c r="F132" s="165">
        <v>47285</v>
      </c>
      <c r="G132" s="112">
        <f t="shared" si="10"/>
        <v>507</v>
      </c>
      <c r="H132" s="99">
        <f>G132+'12'!H132</f>
        <v>6262</v>
      </c>
      <c r="I132" s="165"/>
      <c r="J132" s="328">
        <f>H132/DAY(B2)</f>
        <v>481.69230769230768</v>
      </c>
    </row>
    <row r="133" spans="1:15" ht="27.75" customHeight="1">
      <c r="A133" s="843" t="s">
        <v>362</v>
      </c>
      <c r="B133" s="844"/>
      <c r="C133" s="845"/>
      <c r="D133" s="151" t="s">
        <v>183</v>
      </c>
      <c r="E133" s="95">
        <f>'12'!F133</f>
        <v>95918</v>
      </c>
      <c r="F133" s="165">
        <v>96324</v>
      </c>
      <c r="G133" s="112">
        <f t="shared" si="10"/>
        <v>406</v>
      </c>
      <c r="H133" s="99">
        <f>G133+'12'!H133</f>
        <v>8621</v>
      </c>
      <c r="I133" s="165"/>
      <c r="J133" s="328">
        <f>H133/DAY(B2)</f>
        <v>663.15384615384619</v>
      </c>
    </row>
    <row r="134" spans="1:15" ht="27.75" customHeight="1">
      <c r="A134" s="843" t="s">
        <v>340</v>
      </c>
      <c r="B134" s="844"/>
      <c r="C134" s="845"/>
      <c r="D134" s="151" t="s">
        <v>183</v>
      </c>
      <c r="E134" s="95">
        <v>5331</v>
      </c>
      <c r="F134" s="165">
        <v>5565</v>
      </c>
      <c r="G134" s="112">
        <f t="shared" si="10"/>
        <v>234</v>
      </c>
      <c r="H134" s="99">
        <f>G134+'12'!H134</f>
        <v>7859</v>
      </c>
      <c r="I134" s="165"/>
      <c r="J134" s="328">
        <f>H134/DAY(B2)</f>
        <v>604.53846153846155</v>
      </c>
    </row>
    <row r="135" spans="1:15" ht="27.75" customHeight="1">
      <c r="A135" s="827" t="s">
        <v>196</v>
      </c>
      <c r="B135" s="828"/>
      <c r="C135" s="331"/>
      <c r="D135" s="151"/>
      <c r="E135" s="95"/>
      <c r="F135" s="165"/>
      <c r="G135" s="112">
        <f>SUM(G128:G134)</f>
        <v>2221</v>
      </c>
      <c r="H135" s="99">
        <f>G135+'12'!H135</f>
        <v>36094</v>
      </c>
      <c r="I135" s="327">
        <f>G135-(G35+G49)</f>
        <v>-529</v>
      </c>
      <c r="J135" s="328">
        <f>H135/DAY(B2)</f>
        <v>2776.4615384615386</v>
      </c>
    </row>
    <row r="136" spans="1:15" ht="27.75" customHeight="1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42" t="s">
        <v>185</v>
      </c>
      <c r="B138" s="842"/>
      <c r="C138" s="842"/>
      <c r="D138" s="151" t="s">
        <v>183</v>
      </c>
      <c r="E138" s="95">
        <f>'12'!F138</f>
        <v>864936</v>
      </c>
      <c r="F138" s="147">
        <v>864989</v>
      </c>
      <c r="G138" s="112">
        <f t="shared" ref="G138:G152" si="11">F138-E138</f>
        <v>53</v>
      </c>
      <c r="H138" s="99">
        <f>G138+'12'!H138</f>
        <v>818</v>
      </c>
      <c r="I138" s="118"/>
      <c r="J138" s="328">
        <f>H138/DAY(B2)</f>
        <v>62.92307692307692</v>
      </c>
    </row>
    <row r="139" spans="1:15" ht="27.75" customHeight="1">
      <c r="A139" s="842" t="s">
        <v>186</v>
      </c>
      <c r="B139" s="842"/>
      <c r="C139" s="842"/>
      <c r="D139" s="151" t="s">
        <v>183</v>
      </c>
      <c r="E139" s="95">
        <f>'12'!F139</f>
        <v>886549</v>
      </c>
      <c r="F139" s="148">
        <v>886549</v>
      </c>
      <c r="G139" s="112">
        <f t="shared" si="11"/>
        <v>0</v>
      </c>
      <c r="H139" s="99">
        <f>G139+'12'!H139</f>
        <v>3</v>
      </c>
      <c r="I139" s="118"/>
      <c r="J139" s="328">
        <f>H139/DAY(B2)</f>
        <v>0.23076923076923078</v>
      </c>
    </row>
    <row r="140" spans="1:15" ht="27.75" customHeight="1">
      <c r="A140" s="842" t="s">
        <v>187</v>
      </c>
      <c r="B140" s="842"/>
      <c r="C140" s="842"/>
      <c r="D140" s="151" t="s">
        <v>183</v>
      </c>
      <c r="E140" s="95">
        <f>'12'!F140</f>
        <v>88898</v>
      </c>
      <c r="F140" s="149">
        <v>88898</v>
      </c>
      <c r="G140" s="112">
        <f t="shared" si="11"/>
        <v>0</v>
      </c>
      <c r="H140" s="99">
        <f>G140+'12'!H140</f>
        <v>16</v>
      </c>
      <c r="I140" s="118"/>
      <c r="J140" s="328">
        <f>H140/DAY(B2)</f>
        <v>1.2307692307692308</v>
      </c>
    </row>
    <row r="141" spans="1:15" ht="27.75" customHeight="1">
      <c r="A141" s="823" t="s">
        <v>188</v>
      </c>
      <c r="B141" s="823"/>
      <c r="C141" s="823"/>
      <c r="D141" s="151" t="s">
        <v>183</v>
      </c>
      <c r="E141" s="95">
        <f>'12'!F141</f>
        <v>51406</v>
      </c>
      <c r="F141" s="149">
        <v>51571</v>
      </c>
      <c r="G141" s="112">
        <f t="shared" si="11"/>
        <v>165</v>
      </c>
      <c r="H141" s="99">
        <f>G141+'12'!H141</f>
        <v>2265</v>
      </c>
      <c r="I141" s="118"/>
      <c r="J141" s="328">
        <f>H141/DAY(B2)</f>
        <v>174.23076923076923</v>
      </c>
    </row>
    <row r="142" spans="1:15" ht="27.75" customHeight="1">
      <c r="A142" s="823" t="s">
        <v>189</v>
      </c>
      <c r="B142" s="823"/>
      <c r="C142" s="823"/>
      <c r="D142" s="151" t="s">
        <v>183</v>
      </c>
      <c r="E142" s="95">
        <f>'12'!F142</f>
        <v>19839</v>
      </c>
      <c r="F142" s="148">
        <v>19908</v>
      </c>
      <c r="G142" s="112">
        <f t="shared" si="11"/>
        <v>69</v>
      </c>
      <c r="H142" s="99">
        <f>G142+'12'!H142</f>
        <v>899</v>
      </c>
      <c r="I142" s="140"/>
      <c r="J142" s="328">
        <f>H142/DAY(B2)</f>
        <v>69.15384615384616</v>
      </c>
    </row>
    <row r="143" spans="1:15" ht="27.75" customHeight="1">
      <c r="A143" s="842" t="s">
        <v>91</v>
      </c>
      <c r="B143" s="842"/>
      <c r="C143" s="842"/>
      <c r="D143" s="151" t="s">
        <v>183</v>
      </c>
      <c r="E143" s="95">
        <f>'12'!F143</f>
        <v>3344</v>
      </c>
      <c r="F143" s="149">
        <v>3370</v>
      </c>
      <c r="G143" s="112">
        <f t="shared" si="11"/>
        <v>26</v>
      </c>
      <c r="H143" s="99">
        <f>G143+'12'!H143</f>
        <v>309</v>
      </c>
      <c r="I143" s="140"/>
      <c r="J143" s="328">
        <f>H143/DAY(B2)</f>
        <v>23.76923076923077</v>
      </c>
    </row>
    <row r="144" spans="1:15" ht="27.75" customHeight="1">
      <c r="A144" s="823" t="s">
        <v>90</v>
      </c>
      <c r="B144" s="823"/>
      <c r="C144" s="823"/>
      <c r="D144" s="151" t="s">
        <v>183</v>
      </c>
      <c r="E144" s="95">
        <f>'12'!F144</f>
        <v>872377</v>
      </c>
      <c r="F144" s="149">
        <v>872597</v>
      </c>
      <c r="G144" s="112">
        <f t="shared" si="11"/>
        <v>220</v>
      </c>
      <c r="H144" s="99">
        <f>G144+'12'!H144</f>
        <v>2927</v>
      </c>
      <c r="I144" s="140"/>
      <c r="J144" s="328">
        <f>H144/DAY(B2)</f>
        <v>225.15384615384616</v>
      </c>
    </row>
    <row r="145" spans="1:10" ht="27.75" customHeight="1">
      <c r="A145" s="842" t="s">
        <v>190</v>
      </c>
      <c r="B145" s="842"/>
      <c r="C145" s="842"/>
      <c r="D145" s="152" t="s">
        <v>183</v>
      </c>
      <c r="E145" s="95">
        <f>'12'!F145</f>
        <v>4743</v>
      </c>
      <c r="F145" s="149">
        <v>4755</v>
      </c>
      <c r="G145" s="112">
        <f t="shared" si="11"/>
        <v>12</v>
      </c>
      <c r="H145" s="99">
        <f>G145+'12'!H145</f>
        <v>197</v>
      </c>
      <c r="I145" s="140"/>
      <c r="J145" s="328">
        <f>H145/DAY(B2)</f>
        <v>15.153846153846153</v>
      </c>
    </row>
    <row r="146" spans="1:10" ht="27.75" customHeight="1">
      <c r="A146" s="877" t="s">
        <v>191</v>
      </c>
      <c r="B146" s="862"/>
      <c r="C146" s="863"/>
      <c r="D146" s="152" t="s">
        <v>183</v>
      </c>
      <c r="E146" s="95">
        <f>'12'!F146</f>
        <v>729786</v>
      </c>
      <c r="F146" s="148">
        <v>730138</v>
      </c>
      <c r="G146" s="112">
        <f t="shared" si="11"/>
        <v>352</v>
      </c>
      <c r="H146" s="99">
        <f>G146+'12'!H146</f>
        <v>5280</v>
      </c>
      <c r="I146" s="140"/>
      <c r="J146" s="328">
        <f>H146/DAY(B2)</f>
        <v>406.15384615384613</v>
      </c>
    </row>
    <row r="147" spans="1:10" ht="27.75" customHeight="1">
      <c r="A147" s="823" t="s">
        <v>192</v>
      </c>
      <c r="B147" s="823"/>
      <c r="C147" s="823"/>
      <c r="D147" s="152" t="s">
        <v>183</v>
      </c>
      <c r="E147" s="95">
        <f>'12'!F147</f>
        <v>619835</v>
      </c>
      <c r="F147" s="148">
        <v>620127</v>
      </c>
      <c r="G147" s="112">
        <f t="shared" si="11"/>
        <v>292</v>
      </c>
      <c r="H147" s="99">
        <f>G147+'12'!H147</f>
        <v>4845</v>
      </c>
      <c r="I147" s="140"/>
      <c r="J147" s="328">
        <f>H147/DAY(B2)</f>
        <v>372.69230769230768</v>
      </c>
    </row>
    <row r="148" spans="1:10" ht="27.75" customHeight="1">
      <c r="A148" s="824" t="s">
        <v>193</v>
      </c>
      <c r="B148" s="825"/>
      <c r="C148" s="826"/>
      <c r="D148" s="123" t="s">
        <v>130</v>
      </c>
      <c r="E148" s="95">
        <f>'12'!F148</f>
        <v>686035</v>
      </c>
      <c r="F148" s="150">
        <v>686170</v>
      </c>
      <c r="G148" s="112">
        <f t="shared" si="11"/>
        <v>135</v>
      </c>
      <c r="H148" s="99">
        <f>G148+'12'!H148</f>
        <v>3136.8800000000047</v>
      </c>
      <c r="I148" s="124"/>
      <c r="J148" s="328">
        <f>H148/DAY(B2)</f>
        <v>241.29846153846191</v>
      </c>
    </row>
    <row r="149" spans="1:10" ht="27.75" customHeight="1">
      <c r="A149" s="824" t="s">
        <v>336</v>
      </c>
      <c r="B149" s="825"/>
      <c r="C149" s="826"/>
      <c r="D149" s="227" t="s">
        <v>130</v>
      </c>
      <c r="E149" s="146">
        <v>15693</v>
      </c>
      <c r="F149" s="146">
        <v>16081</v>
      </c>
      <c r="G149" s="112">
        <f t="shared" si="11"/>
        <v>388</v>
      </c>
      <c r="H149" s="99">
        <f>G149+'12'!H149</f>
        <v>5332</v>
      </c>
      <c r="I149" s="119"/>
      <c r="J149" s="328">
        <f>H149/DAY(B2)</f>
        <v>410.15384615384613</v>
      </c>
    </row>
    <row r="150" spans="1:10" ht="27.75" customHeight="1">
      <c r="A150" s="824" t="s">
        <v>337</v>
      </c>
      <c r="B150" s="825"/>
      <c r="C150" s="826"/>
      <c r="D150" s="117" t="s">
        <v>130</v>
      </c>
      <c r="E150" s="95">
        <f>'12'!F150</f>
        <v>6681</v>
      </c>
      <c r="F150" s="233">
        <v>6899</v>
      </c>
      <c r="G150" s="112">
        <f t="shared" si="11"/>
        <v>218</v>
      </c>
      <c r="H150" s="99">
        <f>G150+'12'!H150</f>
        <v>2847</v>
      </c>
      <c r="I150" s="119"/>
      <c r="J150" s="328">
        <f>H150/DAY(B2)</f>
        <v>219</v>
      </c>
    </row>
    <row r="151" spans="1:10" ht="27.75" customHeight="1">
      <c r="A151" s="824" t="s">
        <v>338</v>
      </c>
      <c r="B151" s="825"/>
      <c r="C151" s="826"/>
      <c r="D151" s="117" t="s">
        <v>130</v>
      </c>
      <c r="E151" s="95">
        <f>'12'!F151</f>
        <v>81071</v>
      </c>
      <c r="F151" s="233">
        <v>81285</v>
      </c>
      <c r="G151" s="112">
        <f t="shared" si="11"/>
        <v>214</v>
      </c>
      <c r="H151" s="99">
        <f>G151+'12'!H151</f>
        <v>3068</v>
      </c>
      <c r="I151" s="119"/>
      <c r="J151" s="328">
        <f>H151/DAY(B2)</f>
        <v>236</v>
      </c>
    </row>
    <row r="152" spans="1:10" ht="27.75" customHeight="1">
      <c r="A152" s="824" t="s">
        <v>339</v>
      </c>
      <c r="B152" s="825"/>
      <c r="C152" s="826"/>
      <c r="D152" s="117" t="s">
        <v>130</v>
      </c>
      <c r="E152" s="95">
        <f>'12'!F152</f>
        <v>1348</v>
      </c>
      <c r="F152" s="233">
        <v>1363</v>
      </c>
      <c r="G152" s="112">
        <f t="shared" si="11"/>
        <v>15</v>
      </c>
      <c r="H152" s="99">
        <f>G152+'12'!H152</f>
        <v>236</v>
      </c>
      <c r="I152" s="119"/>
      <c r="J152" s="328">
        <f>H152/DAY(B2)</f>
        <v>18.153846153846153</v>
      </c>
    </row>
    <row r="153" spans="1:10" ht="27.75" customHeight="1">
      <c r="A153" s="827" t="s">
        <v>196</v>
      </c>
      <c r="B153" s="828"/>
      <c r="C153" s="365"/>
      <c r="D153" s="358"/>
      <c r="E153" s="360"/>
      <c r="F153" s="361"/>
      <c r="G153" s="362">
        <f>SUM(G138:G152)</f>
        <v>2159</v>
      </c>
      <c r="H153" s="363"/>
      <c r="I153" s="119">
        <f>G153-(G38+G52)</f>
        <v>616</v>
      </c>
      <c r="J153" s="366"/>
    </row>
    <row r="154" spans="1:10" ht="27.75" customHeight="1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27.75" customHeight="1">
      <c r="A155" s="823" t="s">
        <v>345</v>
      </c>
      <c r="B155" s="823"/>
      <c r="C155" s="823"/>
      <c r="D155" s="117" t="s">
        <v>130</v>
      </c>
      <c r="E155" s="374">
        <v>20303</v>
      </c>
      <c r="F155" s="374">
        <v>20669</v>
      </c>
      <c r="G155" s="112">
        <f t="shared" ref="G155:G158" si="12">F155-E155</f>
        <v>366</v>
      </c>
      <c r="H155" s="99">
        <f>G155+'12'!H155</f>
        <v>7197</v>
      </c>
      <c r="I155" s="364"/>
      <c r="J155" s="328">
        <f>H155/DAY(B2)</f>
        <v>553.61538461538464</v>
      </c>
    </row>
    <row r="156" spans="1:10" ht="27.75" customHeight="1">
      <c r="A156" s="823" t="s">
        <v>347</v>
      </c>
      <c r="B156" s="823"/>
      <c r="C156" s="823"/>
      <c r="D156" s="117" t="s">
        <v>130</v>
      </c>
      <c r="E156" s="155">
        <v>1667</v>
      </c>
      <c r="F156" s="155">
        <v>1723</v>
      </c>
      <c r="G156" s="112">
        <f t="shared" si="12"/>
        <v>56</v>
      </c>
      <c r="H156" s="99">
        <f>G156+'12'!H156</f>
        <v>635</v>
      </c>
      <c r="I156" s="165"/>
      <c r="J156" s="328">
        <f>H156/DAY(B2)</f>
        <v>48.846153846153847</v>
      </c>
    </row>
    <row r="157" spans="1:10" ht="27.75" customHeight="1">
      <c r="A157" s="824" t="s">
        <v>364</v>
      </c>
      <c r="B157" s="825"/>
      <c r="C157" s="826"/>
      <c r="D157" s="117" t="s">
        <v>130</v>
      </c>
      <c r="E157" s="155">
        <v>2096</v>
      </c>
      <c r="F157" s="155">
        <v>2176</v>
      </c>
      <c r="G157" s="112">
        <f t="shared" si="12"/>
        <v>80</v>
      </c>
      <c r="H157" s="99">
        <f>G157+'12'!H157</f>
        <v>245</v>
      </c>
      <c r="I157" s="165"/>
      <c r="J157" s="328">
        <f>H157/DAY(B2)</f>
        <v>18.846153846153847</v>
      </c>
    </row>
    <row r="158" spans="1:10" ht="27.75" customHeight="1">
      <c r="A158" s="824" t="s">
        <v>365</v>
      </c>
      <c r="B158" s="825"/>
      <c r="C158" s="826"/>
      <c r="D158" s="117" t="s">
        <v>130</v>
      </c>
      <c r="E158" s="155">
        <v>19</v>
      </c>
      <c r="F158" s="155">
        <v>23</v>
      </c>
      <c r="G158" s="112">
        <f t="shared" si="12"/>
        <v>4</v>
      </c>
      <c r="H158" s="99">
        <f>G158+'12'!H158</f>
        <v>23</v>
      </c>
      <c r="I158" s="165"/>
      <c r="J158" s="328">
        <f>H158/DAY(B2)</f>
        <v>1.7692307692307692</v>
      </c>
    </row>
    <row r="159" spans="1:10" ht="27.75" customHeight="1">
      <c r="A159" s="907"/>
      <c r="B159" s="908"/>
      <c r="C159" s="909"/>
      <c r="D159" s="117"/>
      <c r="E159" s="95"/>
      <c r="F159" s="165"/>
      <c r="G159" s="362">
        <f>SUM(G155:G158)</f>
        <v>506</v>
      </c>
      <c r="H159" s="99"/>
      <c r="I159" s="165"/>
      <c r="J159" s="328"/>
    </row>
    <row r="160" spans="1:10" ht="27.75" customHeight="1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471411</v>
      </c>
      <c r="F161" s="235">
        <v>471418</v>
      </c>
      <c r="G161" s="238">
        <f t="shared" ref="G161:G165" si="13">F161-E161</f>
        <v>7</v>
      </c>
      <c r="H161" s="99">
        <f>G161+'12'!H161</f>
        <v>264.84000000002561</v>
      </c>
      <c r="I161" s="236"/>
      <c r="J161" s="239">
        <f>H161/DAY(B2)</f>
        <v>20.372307692309661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87890</v>
      </c>
      <c r="F162" s="235">
        <v>87924</v>
      </c>
      <c r="G162" s="238">
        <f t="shared" si="13"/>
        <v>34</v>
      </c>
      <c r="H162" s="99">
        <f>G162+'12'!H162</f>
        <v>354</v>
      </c>
      <c r="I162" s="236"/>
      <c r="J162" s="239">
        <f>H162/DAY(B2)</f>
        <v>27.23076923076923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78317</v>
      </c>
      <c r="F163" s="235">
        <v>78352</v>
      </c>
      <c r="G163" s="238">
        <f t="shared" si="13"/>
        <v>35</v>
      </c>
      <c r="H163" s="99">
        <f>G163+'12'!H163</f>
        <v>527</v>
      </c>
      <c r="I163" s="236"/>
      <c r="J163" s="239">
        <f>H163/DAY(B2)</f>
        <v>40.53846153846154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4259</v>
      </c>
      <c r="F164" s="235">
        <v>4260</v>
      </c>
      <c r="G164" s="238">
        <f t="shared" si="13"/>
        <v>1</v>
      </c>
      <c r="H164" s="99">
        <f>G164+'12'!H164</f>
        <v>18</v>
      </c>
      <c r="I164" s="236"/>
      <c r="J164" s="239">
        <f>H164/DAY(B2)</f>
        <v>1.3846153846153846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29722</v>
      </c>
      <c r="F165" s="235">
        <v>29730</v>
      </c>
      <c r="G165" s="238">
        <f t="shared" si="13"/>
        <v>8</v>
      </c>
      <c r="H165" s="99">
        <f>G165+'12'!H165</f>
        <v>84</v>
      </c>
      <c r="I165" s="236"/>
      <c r="J165" s="239">
        <f>H165/DAY(B2)</f>
        <v>6.4615384615384617</v>
      </c>
    </row>
    <row r="166" spans="1:10" ht="27.75" customHeight="1">
      <c r="A166" s="832"/>
      <c r="B166" s="832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832"/>
      <c r="B167" s="832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832"/>
      <c r="B168" s="832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 customHeight="1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36" t="s">
        <v>209</v>
      </c>
      <c r="B173" s="837"/>
      <c r="C173" s="333"/>
      <c r="D173" s="228" t="s">
        <v>142</v>
      </c>
      <c r="E173" s="95">
        <f>'12'!F173</f>
        <v>8126</v>
      </c>
      <c r="F173" s="155">
        <v>8126</v>
      </c>
      <c r="G173" s="155">
        <f>F173-E173</f>
        <v>0</v>
      </c>
      <c r="H173" s="99">
        <f>G173+'12'!H173</f>
        <v>0</v>
      </c>
      <c r="I173" s="155"/>
      <c r="J173" s="178">
        <f>H173/DAY(B2)</f>
        <v>0</v>
      </c>
    </row>
    <row r="174" spans="1:10" ht="27.75" customHeight="1">
      <c r="A174" s="836" t="s">
        <v>75</v>
      </c>
      <c r="B174" s="837"/>
      <c r="C174" s="333"/>
      <c r="D174" s="228" t="s">
        <v>142</v>
      </c>
      <c r="E174" s="95">
        <f>'12'!F174</f>
        <v>38403</v>
      </c>
      <c r="F174" s="157">
        <v>38416</v>
      </c>
      <c r="G174" s="155">
        <f t="shared" ref="G174:G175" si="14">F174-E174</f>
        <v>13</v>
      </c>
      <c r="H174" s="99">
        <f>G174+'12'!H174</f>
        <v>123</v>
      </c>
      <c r="I174" s="155"/>
      <c r="J174" s="178">
        <f>H174/DAY(B2)</f>
        <v>9.4615384615384617</v>
      </c>
    </row>
    <row r="175" spans="1:10" ht="27.75" customHeight="1">
      <c r="A175" s="836" t="s">
        <v>76</v>
      </c>
      <c r="B175" s="876"/>
      <c r="C175" s="837"/>
      <c r="D175" s="228" t="s">
        <v>142</v>
      </c>
      <c r="E175" s="95">
        <f>'12'!F175</f>
        <v>21626</v>
      </c>
      <c r="F175" s="155">
        <v>21637</v>
      </c>
      <c r="G175" s="155">
        <f t="shared" si="14"/>
        <v>11</v>
      </c>
      <c r="H175" s="99">
        <f>G175+'12'!H175</f>
        <v>119</v>
      </c>
      <c r="I175" s="155"/>
      <c r="J175" s="178">
        <f>H175/DAY(B2)</f>
        <v>9.1538461538461533</v>
      </c>
    </row>
    <row r="176" spans="1:10" ht="27.75" customHeight="1">
      <c r="A176" s="827" t="s">
        <v>196</v>
      </c>
      <c r="B176" s="828"/>
      <c r="C176" s="485"/>
      <c r="D176" s="228" t="s">
        <v>142</v>
      </c>
      <c r="E176" s="95"/>
      <c r="F176" s="155"/>
      <c r="G176" s="155">
        <f>SUM(G173:G175)</f>
        <v>24</v>
      </c>
      <c r="H176" s="99">
        <f>G176+'12'!H176</f>
        <v>242</v>
      </c>
      <c r="I176" s="155"/>
      <c r="J176" s="178">
        <f>H176/DAY(B2)</f>
        <v>18.615384615384617</v>
      </c>
    </row>
    <row r="177" spans="1:15" ht="27.7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36" t="s">
        <v>210</v>
      </c>
      <c r="B178" s="837"/>
      <c r="C178" s="333"/>
      <c r="D178" s="228" t="s">
        <v>142</v>
      </c>
      <c r="E178" s="95">
        <f>'12'!F178</f>
        <v>80355</v>
      </c>
      <c r="F178" s="155">
        <v>80376</v>
      </c>
      <c r="G178" s="155">
        <f>F178-E178</f>
        <v>21</v>
      </c>
      <c r="H178" s="99">
        <f>G178+'12'!H178</f>
        <v>762</v>
      </c>
      <c r="I178" s="155"/>
      <c r="J178" s="178">
        <f>H178/DAY(B2)</f>
        <v>58.615384615384613</v>
      </c>
    </row>
    <row r="179" spans="1:15" ht="27.75" customHeight="1">
      <c r="A179" s="836" t="s">
        <v>211</v>
      </c>
      <c r="B179" s="837"/>
      <c r="C179" s="333"/>
      <c r="D179" s="228" t="s">
        <v>142</v>
      </c>
      <c r="E179" s="95">
        <f>'12'!F179</f>
        <v>34146</v>
      </c>
      <c r="F179" s="155">
        <v>34200</v>
      </c>
      <c r="G179" s="155">
        <f t="shared" ref="G179:G180" si="15">F179-E179</f>
        <v>54</v>
      </c>
      <c r="H179" s="99">
        <f>G179+'12'!H179</f>
        <v>285</v>
      </c>
      <c r="I179" s="155"/>
      <c r="J179" s="178">
        <f>H179/DAY(B2)</f>
        <v>21.923076923076923</v>
      </c>
    </row>
    <row r="180" spans="1:15" ht="27.75" customHeight="1">
      <c r="A180" s="836" t="s">
        <v>212</v>
      </c>
      <c r="B180" s="837"/>
      <c r="C180" s="333"/>
      <c r="D180" s="228" t="s">
        <v>142</v>
      </c>
      <c r="E180" s="95">
        <f>'12'!F180</f>
        <v>5563</v>
      </c>
      <c r="F180" s="155">
        <v>5566</v>
      </c>
      <c r="G180" s="155">
        <f t="shared" si="15"/>
        <v>3</v>
      </c>
      <c r="H180" s="99">
        <f>G180+'12'!H180</f>
        <v>89</v>
      </c>
      <c r="I180" s="155"/>
      <c r="J180" s="178">
        <f>H180/DAY(B2)</f>
        <v>6.8461538461538458</v>
      </c>
    </row>
    <row r="181" spans="1:15" ht="27.75" customHeight="1">
      <c r="A181" s="838" t="s">
        <v>108</v>
      </c>
      <c r="B181" s="839"/>
      <c r="C181" s="485"/>
      <c r="D181" s="228" t="s">
        <v>142</v>
      </c>
      <c r="E181" s="95"/>
      <c r="F181" s="155"/>
      <c r="G181" s="155">
        <f>SUM(G178:G180)</f>
        <v>78</v>
      </c>
      <c r="H181" s="99">
        <f>G181+'12'!H181</f>
        <v>1136</v>
      </c>
      <c r="I181" s="155"/>
      <c r="J181" s="178">
        <f>H181/DAY(B2)</f>
        <v>87.384615384615387</v>
      </c>
    </row>
    <row r="182" spans="1:15" ht="27.75" customHeight="1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36" t="s">
        <v>214</v>
      </c>
      <c r="B183" s="837"/>
      <c r="C183" s="334"/>
      <c r="D183" s="228" t="s">
        <v>142</v>
      </c>
      <c r="E183" s="95">
        <f>'12'!F183</f>
        <v>15101</v>
      </c>
      <c r="F183" s="157">
        <v>15108</v>
      </c>
      <c r="G183" s="157">
        <f>F183-E183</f>
        <v>7</v>
      </c>
      <c r="H183" s="99">
        <f>G183+'12'!H183</f>
        <v>161</v>
      </c>
      <c r="I183" s="155"/>
      <c r="J183" s="178">
        <f>H183/DAY(B2)</f>
        <v>12.384615384615385</v>
      </c>
    </row>
    <row r="184" spans="1:15" ht="27.75" customHeight="1">
      <c r="A184" s="836" t="s">
        <v>215</v>
      </c>
      <c r="B184" s="837"/>
      <c r="C184" s="334"/>
      <c r="D184" s="228" t="s">
        <v>142</v>
      </c>
      <c r="E184" s="95">
        <f>'12'!F184</f>
        <v>10383</v>
      </c>
      <c r="F184" s="157">
        <v>10389</v>
      </c>
      <c r="G184" s="157">
        <f t="shared" ref="G184:G185" si="16">F184-E184</f>
        <v>6</v>
      </c>
      <c r="H184" s="99">
        <f>G184+'12'!H184</f>
        <v>88</v>
      </c>
      <c r="I184" s="155"/>
      <c r="J184" s="178">
        <f>H184/DAY(B2)</f>
        <v>6.7692307692307692</v>
      </c>
      <c r="O184" s="65" t="s">
        <v>366</v>
      </c>
    </row>
    <row r="185" spans="1:15" ht="27.75" customHeight="1">
      <c r="A185" s="836" t="s">
        <v>216</v>
      </c>
      <c r="B185" s="837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13</v>
      </c>
      <c r="H186" s="99">
        <f>G186+'12'!H186</f>
        <v>249</v>
      </c>
      <c r="I186" s="157"/>
      <c r="J186" s="178">
        <f>H186/DAY(B2)</f>
        <v>19.153846153846153</v>
      </c>
    </row>
    <row r="187" spans="1:15" ht="27.75" customHeight="1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107</v>
      </c>
      <c r="H187" s="99">
        <f>G187+'12'!H187</f>
        <v>1452</v>
      </c>
      <c r="I187" s="158"/>
      <c r="J187" s="179">
        <f>H187/DAY(B2)</f>
        <v>111.69230769230769</v>
      </c>
    </row>
    <row r="188" spans="1:15" ht="27.75" customHeight="1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111</v>
      </c>
      <c r="H188" s="99">
        <f>G188+'12'!H188</f>
        <v>1695</v>
      </c>
      <c r="I188" s="158"/>
      <c r="J188" s="179">
        <f>H188/DAY(B2)</f>
        <v>130.38461538461539</v>
      </c>
    </row>
    <row r="189" spans="1:15" ht="27.75" customHeight="1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78</v>
      </c>
      <c r="H189" s="99">
        <f>G189+'12'!H189</f>
        <v>1136</v>
      </c>
      <c r="I189" s="158"/>
      <c r="J189" s="179">
        <f>H189/DAY(B2)</f>
        <v>87.384615384615387</v>
      </c>
    </row>
    <row r="190" spans="1:15" ht="27.75" customHeight="1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5" zoomScaleSheetLayoutView="55" workbookViewId="0">
      <selection activeCell="F24" sqref="F24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.75" customHeight="1">
      <c r="A2" s="191" t="s">
        <v>303</v>
      </c>
      <c r="B2" s="262">
        <v>44575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21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337195</v>
      </c>
      <c r="F7" s="95">
        <v>354423</v>
      </c>
      <c r="G7" s="112">
        <f>F7-E7</f>
        <v>17228</v>
      </c>
      <c r="H7" s="99">
        <f>G7+'13'!H7</f>
        <v>259862</v>
      </c>
      <c r="I7" s="113">
        <f>'1'!I7</f>
        <v>12000</v>
      </c>
      <c r="J7" s="175">
        <f>H7/DAY(B2)</f>
        <v>18561.571428571428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388025</v>
      </c>
      <c r="F8" s="95">
        <v>405455</v>
      </c>
      <c r="G8" s="115">
        <f>F8-E8</f>
        <v>17430</v>
      </c>
      <c r="H8" s="99">
        <f>G8+'13'!H8</f>
        <v>264570</v>
      </c>
      <c r="I8" s="116"/>
      <c r="J8" s="175">
        <f>H8/DAY(B2)</f>
        <v>18897.857142857141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54881</v>
      </c>
      <c r="F9" s="601">
        <v>65618</v>
      </c>
      <c r="G9" s="112">
        <f>F9-E9</f>
        <v>10737</v>
      </c>
      <c r="H9" s="99">
        <f>G9+'13'!H9</f>
        <v>164123</v>
      </c>
      <c r="I9" s="124">
        <f>I7-J7</f>
        <v>-6561.5714285714275</v>
      </c>
      <c r="J9" s="175">
        <f>H9/DAY(B2)</f>
        <v>11723.071428571429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27618</v>
      </c>
      <c r="F10" s="353">
        <v>33645</v>
      </c>
      <c r="G10" s="112">
        <f t="shared" ref="G10:G12" si="0">F10-E10</f>
        <v>6027</v>
      </c>
      <c r="H10" s="99">
        <f>G10+'13'!H10</f>
        <v>88551</v>
      </c>
      <c r="I10" s="282"/>
      <c r="J10" s="175">
        <f>H10/DAY(B2)</f>
        <v>6325.0714285714284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16764</v>
      </c>
      <c r="H13" s="99">
        <f>G13+'13'!H13</f>
        <v>233208.74999999988</v>
      </c>
      <c r="I13" s="120">
        <f>G7-G13</f>
        <v>464</v>
      </c>
      <c r="J13" s="175">
        <f>H13/DAY(B2)</f>
        <v>16657.767857142848</v>
      </c>
      <c r="K13" s="79"/>
      <c r="L13" s="66"/>
      <c r="N13" s="87"/>
      <c r="O13" s="71"/>
    </row>
    <row r="14" spans="1:15" ht="27.7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123">
        <v>1889890</v>
      </c>
      <c r="F15" s="123">
        <v>1890635</v>
      </c>
      <c r="G15" s="112">
        <f>(F15-E15)</f>
        <v>745</v>
      </c>
      <c r="H15" s="99">
        <f>G15+'13'!H15</f>
        <v>12205</v>
      </c>
      <c r="I15" s="113">
        <f>'1'!I15</f>
        <v>800</v>
      </c>
      <c r="J15" s="175">
        <f>H15/DAY(B2)</f>
        <v>871.78571428571433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-71.785714285714334</v>
      </c>
      <c r="J16" s="176"/>
      <c r="K16" s="79"/>
      <c r="L16" s="66"/>
      <c r="N16" s="87"/>
      <c r="O16" s="71"/>
    </row>
    <row r="17" spans="1:15" ht="27.7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4" t="s">
        <v>141</v>
      </c>
      <c r="B18" s="865"/>
      <c r="C18" s="866"/>
      <c r="D18" s="151" t="s">
        <v>142</v>
      </c>
      <c r="E18" s="95">
        <f>'13'!F18</f>
        <v>5</v>
      </c>
      <c r="F18" s="122">
        <v>6</v>
      </c>
      <c r="G18" s="119">
        <f>F18*10</f>
        <v>60</v>
      </c>
      <c r="H18" s="99">
        <f>G18+'13'!H18</f>
        <v>1520</v>
      </c>
      <c r="I18" s="113">
        <f>'1'!I18</f>
        <v>65</v>
      </c>
      <c r="J18" s="175">
        <f>H18/DAY(B2)</f>
        <v>108.57142857142857</v>
      </c>
      <c r="K18" s="79"/>
      <c r="L18" s="66"/>
      <c r="N18" s="87"/>
      <c r="O18" s="71"/>
    </row>
    <row r="19" spans="1:15" ht="27.75" customHeight="1">
      <c r="A19" s="864" t="s">
        <v>69</v>
      </c>
      <c r="B19" s="865"/>
      <c r="C19" s="866"/>
      <c r="D19" s="151" t="s">
        <v>142</v>
      </c>
      <c r="E19" s="95">
        <f>'13'!F19</f>
        <v>152908</v>
      </c>
      <c r="F19" s="122">
        <v>152962</v>
      </c>
      <c r="G19" s="112">
        <f t="shared" ref="G19" si="1">F19-E19</f>
        <v>54</v>
      </c>
      <c r="H19" s="99">
        <f>G19+'13'!H19</f>
        <v>737</v>
      </c>
      <c r="I19" s="335"/>
      <c r="J19" s="175">
        <f>H19/DAY(B2)</f>
        <v>52.642857142857146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114</v>
      </c>
      <c r="H20" s="99">
        <f>G20+'13'!H20</f>
        <v>2257</v>
      </c>
      <c r="I20" s="336">
        <f>I18-J20</f>
        <v>-96.214285714285722</v>
      </c>
      <c r="J20" s="175">
        <f>H20/DAY(B2)</f>
        <v>161.21428571428572</v>
      </c>
      <c r="K20" s="79"/>
      <c r="L20" s="66"/>
      <c r="N20" s="87"/>
      <c r="O20" s="71"/>
    </row>
    <row r="21" spans="1:15" ht="27.7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17430</v>
      </c>
      <c r="F27" s="136">
        <v>9</v>
      </c>
      <c r="G27" s="137">
        <f>E27*F27</f>
        <v>156870</v>
      </c>
      <c r="H27" s="99">
        <f>G27+'13'!H27</f>
        <v>2381130</v>
      </c>
      <c r="I27" s="138"/>
      <c r="J27" s="175">
        <f>H27/DAY(B2)</f>
        <v>170080.71428571429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745</v>
      </c>
      <c r="F28" s="136">
        <v>52</v>
      </c>
      <c r="G28" s="137">
        <f>E28*F28</f>
        <v>38740</v>
      </c>
      <c r="H28" s="99">
        <f>G28+'13'!H28</f>
        <v>634660</v>
      </c>
      <c r="I28" s="140"/>
      <c r="J28" s="175">
        <f>H28/DAY(B2)</f>
        <v>45332.857142857145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G30+'13'!H30</f>
        <v>107602</v>
      </c>
      <c r="I30" s="140"/>
      <c r="J30" s="175">
        <f>H30/DAY(B2)</f>
        <v>7685.8571428571431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60</v>
      </c>
      <c r="F31" s="136">
        <v>80</v>
      </c>
      <c r="G31" s="137">
        <f>E31*F31</f>
        <v>4800</v>
      </c>
      <c r="H31" s="99">
        <f>G31+'13'!H31</f>
        <v>121600</v>
      </c>
      <c r="I31" s="140"/>
      <c r="J31" s="175">
        <f>H31/DAY(B2)</f>
        <v>8685.7142857142862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208294</v>
      </c>
      <c r="H32" s="99">
        <f>G32+'13'!H32</f>
        <v>3244992</v>
      </c>
      <c r="I32" s="144"/>
      <c r="J32" s="175">
        <f>H32/DAY(B2)</f>
        <v>231785.14285714287</v>
      </c>
      <c r="K32" s="63"/>
      <c r="L32" s="89"/>
      <c r="N32" s="87"/>
      <c r="O32" s="71"/>
    </row>
    <row r="33" spans="1:15" ht="27.7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7841</v>
      </c>
      <c r="F35" s="145">
        <v>9204</v>
      </c>
      <c r="G35" s="112">
        <f t="shared" ref="G35:G46" si="3">F35-E35</f>
        <v>1363</v>
      </c>
      <c r="H35" s="99">
        <f>G35+'13'!H35</f>
        <v>24404</v>
      </c>
      <c r="I35" s="95"/>
      <c r="J35" s="175">
        <f>H35/DAY(B2)</f>
        <v>1743.1428571428571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31094</v>
      </c>
      <c r="F36" s="145">
        <v>31721</v>
      </c>
      <c r="G36" s="112">
        <f t="shared" si="3"/>
        <v>627</v>
      </c>
      <c r="H36" s="99">
        <f>G36+'13'!H36</f>
        <v>10194</v>
      </c>
      <c r="I36" s="95"/>
      <c r="J36" s="175">
        <f>H36/DAY(B2)</f>
        <v>728.14285714285711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7321</v>
      </c>
      <c r="F37" s="145">
        <v>8830</v>
      </c>
      <c r="G37" s="112">
        <f t="shared" si="3"/>
        <v>1509</v>
      </c>
      <c r="H37" s="99">
        <f>G37+'13'!H37</f>
        <v>21042</v>
      </c>
      <c r="I37" s="95"/>
      <c r="J37" s="175">
        <f>H37/DAY(B2)</f>
        <v>1503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7720</v>
      </c>
      <c r="F38" s="108">
        <v>9552</v>
      </c>
      <c r="G38" s="112">
        <f t="shared" si="3"/>
        <v>1832</v>
      </c>
      <c r="H38" s="99">
        <f>G38+'13'!H38</f>
        <v>22752</v>
      </c>
      <c r="I38" s="95"/>
      <c r="J38" s="175">
        <f>H38/DAY(B2)</f>
        <v>1625.1428571428571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12520</v>
      </c>
      <c r="F39" s="145">
        <v>15015</v>
      </c>
      <c r="G39" s="112">
        <f t="shared" si="3"/>
        <v>2495</v>
      </c>
      <c r="H39" s="99">
        <f>G39+'13'!H39</f>
        <v>36697</v>
      </c>
      <c r="I39" s="95"/>
      <c r="J39" s="175">
        <f>H39/DAY(B2)</f>
        <v>2621.2142857142858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11405</v>
      </c>
      <c r="F40" s="145">
        <v>12011</v>
      </c>
      <c r="G40" s="112">
        <f t="shared" si="3"/>
        <v>606</v>
      </c>
      <c r="H40" s="99">
        <f>G40+'13'!H40</f>
        <v>6401</v>
      </c>
      <c r="I40" s="95"/>
      <c r="J40" s="175">
        <f>H40/DAY(B2)</f>
        <v>457.21428571428572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0</v>
      </c>
      <c r="F41" s="145">
        <v>0</v>
      </c>
      <c r="G41" s="112">
        <f t="shared" si="3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145">
        <v>73809</v>
      </c>
      <c r="F42" s="145">
        <v>73809</v>
      </c>
      <c r="G42" s="112">
        <f t="shared" si="3"/>
        <v>0</v>
      </c>
      <c r="H42" s="99">
        <f>G42+'13'!H42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145">
        <v>76729</v>
      </c>
      <c r="F43" s="145">
        <v>78740</v>
      </c>
      <c r="G43" s="112">
        <f t="shared" si="3"/>
        <v>2011</v>
      </c>
      <c r="H43" s="99">
        <f>G43+'13'!H43</f>
        <v>31479</v>
      </c>
      <c r="I43" s="95"/>
      <c r="J43" s="175">
        <f>H43/DAY(B2)</f>
        <v>2248.5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10443</v>
      </c>
      <c r="H47" s="99">
        <f>G47+'13'!H47</f>
        <v>152969</v>
      </c>
      <c r="I47" s="95"/>
      <c r="J47" s="175">
        <f>H47/DAY(B2)</f>
        <v>10926.357142857143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6205</v>
      </c>
      <c r="F49" s="145">
        <v>7406</v>
      </c>
      <c r="G49" s="112">
        <f t="shared" ref="G49:G58" si="4">F49-E49</f>
        <v>1201</v>
      </c>
      <c r="H49" s="99">
        <f>G49+'13'!H49</f>
        <v>20527</v>
      </c>
      <c r="I49" s="95"/>
      <c r="J49" s="175">
        <f>H49/DAY(B2)</f>
        <v>1466.2142857142858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37654</v>
      </c>
      <c r="F50" s="145">
        <v>38515</v>
      </c>
      <c r="G50" s="112">
        <f t="shared" si="4"/>
        <v>861</v>
      </c>
      <c r="H50" s="99">
        <f>G50+'13'!H50</f>
        <v>13865</v>
      </c>
      <c r="I50" s="95"/>
      <c r="J50" s="175">
        <f>H50/DAY(B2)</f>
        <v>990.35714285714289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2668</v>
      </c>
      <c r="F54" s="145">
        <v>3141</v>
      </c>
      <c r="G54" s="112">
        <f t="shared" si="4"/>
        <v>473</v>
      </c>
      <c r="H54" s="99">
        <f>G54+'13'!H54</f>
        <v>4908.08</v>
      </c>
      <c r="I54" s="95"/>
      <c r="J54" s="175">
        <f>H54/DAY(B2)</f>
        <v>350.57714285714286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42570</v>
      </c>
      <c r="F55" s="145">
        <v>45702</v>
      </c>
      <c r="G55" s="112">
        <f t="shared" si="4"/>
        <v>3132</v>
      </c>
      <c r="H55" s="99">
        <f>G55+'13'!H55</f>
        <v>42191</v>
      </c>
      <c r="I55" s="95"/>
      <c r="J55" s="175">
        <f>H55/DAY(B2)</f>
        <v>3013.6428571428573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8611</v>
      </c>
      <c r="F56" s="145">
        <v>8611</v>
      </c>
      <c r="G56" s="112">
        <f t="shared" si="4"/>
        <v>0</v>
      </c>
      <c r="H56" s="99">
        <f>G56+'13'!H56</f>
        <v>0.45999999999912689</v>
      </c>
      <c r="I56" s="95"/>
      <c r="J56" s="175">
        <f>H56/DAY(B2)</f>
        <v>3.2857142857080489E-2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1556</v>
      </c>
      <c r="F58" s="145">
        <v>1632</v>
      </c>
      <c r="G58" s="112">
        <f t="shared" si="4"/>
        <v>76</v>
      </c>
      <c r="H58" s="99">
        <f>G58+'13'!H58</f>
        <v>1972.6300000000047</v>
      </c>
      <c r="I58" s="95"/>
      <c r="J58" s="175">
        <f>H58/DAY(B2)</f>
        <v>140.90214285714319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5743</v>
      </c>
      <c r="H59" s="99">
        <f>G59+'13'!H59</f>
        <v>83464.170000000013</v>
      </c>
      <c r="I59" s="95">
        <f>G7-G60</f>
        <v>1042</v>
      </c>
      <c r="J59" s="175">
        <f>H59/DAY(B2)</f>
        <v>5961.7264285714291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16186</v>
      </c>
      <c r="H60" s="99">
        <f>G60+'13'!H60</f>
        <v>236433.16999999998</v>
      </c>
      <c r="I60" s="95">
        <f>G13-G60</f>
        <v>578</v>
      </c>
      <c r="J60" s="175">
        <f>H60/DAY(B2)</f>
        <v>16888.083571428571</v>
      </c>
      <c r="K60" s="79"/>
      <c r="L60" s="66"/>
      <c r="N60" s="87"/>
      <c r="O60" s="71"/>
    </row>
    <row r="61" spans="1:15" s="68" customFormat="1" ht="27.75" customHeight="1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4" t="s">
        <v>198</v>
      </c>
      <c r="B62" s="865"/>
      <c r="C62" s="866"/>
      <c r="D62" s="151" t="s">
        <v>142</v>
      </c>
      <c r="E62" s="95">
        <f>'13'!F62</f>
        <v>267982</v>
      </c>
      <c r="F62" s="122">
        <v>268028</v>
      </c>
      <c r="G62" s="112">
        <f t="shared" ref="G62:G63" si="5">F62-E62</f>
        <v>46</v>
      </c>
      <c r="H62" s="99">
        <f>G62+'13'!H62</f>
        <v>815</v>
      </c>
      <c r="I62" s="118"/>
      <c r="J62" s="175">
        <f>H62/DAY(B2)</f>
        <v>58.214285714285715</v>
      </c>
      <c r="K62" s="80"/>
      <c r="L62" s="66"/>
      <c r="N62" s="87"/>
      <c r="O62" s="71"/>
    </row>
    <row r="63" spans="1:15" ht="27.75" customHeight="1">
      <c r="A63" s="864" t="s">
        <v>199</v>
      </c>
      <c r="B63" s="865"/>
      <c r="C63" s="866"/>
      <c r="D63" s="151" t="s">
        <v>142</v>
      </c>
      <c r="E63" s="122">
        <v>213799</v>
      </c>
      <c r="F63" s="122">
        <v>213848</v>
      </c>
      <c r="G63" s="112">
        <f t="shared" si="5"/>
        <v>49</v>
      </c>
      <c r="H63" s="99">
        <f>G63+'13'!H63</f>
        <v>1423</v>
      </c>
      <c r="I63" s="118"/>
      <c r="J63" s="175">
        <f>H63/DAY(B2)</f>
        <v>101.64285714285714</v>
      </c>
      <c r="K63" s="69"/>
      <c r="L63" s="66"/>
      <c r="N63" s="87"/>
      <c r="O63" s="71"/>
    </row>
    <row r="64" spans="1:15" ht="27.75" customHeight="1">
      <c r="A64" s="873" t="s">
        <v>200</v>
      </c>
      <c r="B64" s="874"/>
      <c r="C64" s="875"/>
      <c r="D64" s="151"/>
      <c r="E64" s="95">
        <f>'13'!F64</f>
        <v>0</v>
      </c>
      <c r="F64" s="122"/>
      <c r="G64" s="112">
        <f>G62+G63</f>
        <v>95</v>
      </c>
      <c r="H64" s="99">
        <f>G64+'13'!H64</f>
        <v>2238</v>
      </c>
      <c r="I64" s="118"/>
      <c r="J64" s="175">
        <f>H64/DAY(B2)</f>
        <v>159.85714285714286</v>
      </c>
      <c r="K64" s="69"/>
      <c r="L64" s="66"/>
      <c r="N64" s="87"/>
      <c r="O64" s="71"/>
    </row>
    <row r="65" spans="1:15" ht="27.75" customHeight="1">
      <c r="A65" s="864" t="s">
        <v>201</v>
      </c>
      <c r="B65" s="865"/>
      <c r="C65" s="866"/>
      <c r="D65" s="151" t="s">
        <v>142</v>
      </c>
      <c r="E65" s="95">
        <f>'13'!F65</f>
        <v>433539</v>
      </c>
      <c r="F65" s="122">
        <v>433595</v>
      </c>
      <c r="G65" s="112">
        <f t="shared" ref="G65:G70" si="6">F65-E65</f>
        <v>56</v>
      </c>
      <c r="H65" s="99">
        <f>G65+'13'!H65</f>
        <v>981</v>
      </c>
      <c r="I65" s="118"/>
      <c r="J65" s="175">
        <f>H65/DAY(B2)</f>
        <v>70.071428571428569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107442</v>
      </c>
      <c r="F66" s="122">
        <v>107455</v>
      </c>
      <c r="G66" s="112">
        <f t="shared" si="6"/>
        <v>13</v>
      </c>
      <c r="H66" s="99">
        <f>G66+'13'!H66</f>
        <v>241</v>
      </c>
      <c r="I66" s="118"/>
      <c r="J66" s="175">
        <f>H66/DAY(B2)</f>
        <v>17.214285714285715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104236</v>
      </c>
      <c r="F67" s="122">
        <v>104254</v>
      </c>
      <c r="G67" s="112">
        <f t="shared" si="6"/>
        <v>18</v>
      </c>
      <c r="H67" s="99">
        <f>G67+'13'!H67</f>
        <v>326</v>
      </c>
      <c r="I67" s="118"/>
      <c r="J67" s="175">
        <f>H67/DAY(B2)</f>
        <v>23.285714285714285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156948</v>
      </c>
      <c r="F68" s="122">
        <v>156983</v>
      </c>
      <c r="G68" s="112">
        <f t="shared" si="6"/>
        <v>35</v>
      </c>
      <c r="H68" s="99">
        <f>G68+'13'!H68</f>
        <v>363</v>
      </c>
      <c r="I68" s="118"/>
      <c r="J68" s="175">
        <f>H68/DAY(B2)</f>
        <v>25.928571428571427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10346</v>
      </c>
      <c r="F69" s="122">
        <v>10352</v>
      </c>
      <c r="G69" s="112">
        <f t="shared" si="6"/>
        <v>6</v>
      </c>
      <c r="H69" s="99">
        <f>G69+'13'!H69</f>
        <v>138</v>
      </c>
      <c r="I69" s="118"/>
      <c r="J69" s="175">
        <f>H69/DAY(B2)</f>
        <v>9.8571428571428577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7964</v>
      </c>
      <c r="F70" s="122">
        <v>7970</v>
      </c>
      <c r="G70" s="112">
        <f t="shared" si="6"/>
        <v>6</v>
      </c>
      <c r="H70" s="99">
        <f>G70+'13'!H70</f>
        <v>108</v>
      </c>
      <c r="I70" s="118"/>
      <c r="J70" s="175">
        <f>H70/DAY(B2)</f>
        <v>7.7142857142857144</v>
      </c>
      <c r="K70" s="69"/>
      <c r="L70" s="66"/>
      <c r="N70" s="87"/>
      <c r="O70" s="71"/>
    </row>
    <row r="71" spans="1:15" ht="27.75" customHeight="1">
      <c r="A71" s="873" t="s">
        <v>208</v>
      </c>
      <c r="B71" s="874"/>
      <c r="C71" s="875"/>
      <c r="D71" s="152"/>
      <c r="E71" s="152"/>
      <c r="F71" s="152"/>
      <c r="G71" s="153">
        <f>SUM(G65:G70)</f>
        <v>134</v>
      </c>
      <c r="H71" s="99">
        <f>G71+'13'!H71</f>
        <v>2157</v>
      </c>
      <c r="I71" s="154"/>
      <c r="J71" s="175">
        <f>H71/DAY(B2)</f>
        <v>154.07142857142858</v>
      </c>
      <c r="K71" s="69"/>
      <c r="L71" s="66"/>
      <c r="N71" s="87"/>
      <c r="O71" s="71"/>
    </row>
    <row r="72" spans="1:15" s="88" customFormat="1" ht="27.75" customHeight="1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4" t="s">
        <v>220</v>
      </c>
      <c r="B74" s="865"/>
      <c r="C74" s="866"/>
      <c r="D74" s="151" t="s">
        <v>139</v>
      </c>
      <c r="E74" s="95">
        <f>'13'!F74</f>
        <v>895830</v>
      </c>
      <c r="F74" s="117">
        <v>896156</v>
      </c>
      <c r="G74" s="112">
        <f t="shared" ref="G74:G78" si="7">F74-E74</f>
        <v>326</v>
      </c>
      <c r="H74" s="99">
        <f>G74+'13'!H74</f>
        <v>4124</v>
      </c>
      <c r="I74" s="154"/>
      <c r="J74" s="175">
        <f>H74/DAY(B2)</f>
        <v>294.57142857142856</v>
      </c>
      <c r="K74" s="69"/>
      <c r="L74" s="66"/>
      <c r="N74" s="87"/>
      <c r="O74" s="71"/>
    </row>
    <row r="75" spans="1:15" ht="27.75" customHeight="1">
      <c r="A75" s="864" t="s">
        <v>221</v>
      </c>
      <c r="B75" s="865"/>
      <c r="C75" s="866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>
      <c r="A76" s="861" t="s">
        <v>222</v>
      </c>
      <c r="B76" s="862"/>
      <c r="C76" s="863"/>
      <c r="D76" s="151" t="s">
        <v>139</v>
      </c>
      <c r="E76" s="95">
        <f>'13'!F76</f>
        <v>168317</v>
      </c>
      <c r="F76" s="123">
        <v>168392</v>
      </c>
      <c r="G76" s="112">
        <f t="shared" si="7"/>
        <v>75</v>
      </c>
      <c r="H76" s="99">
        <f>G76+'13'!H76</f>
        <v>1185</v>
      </c>
      <c r="I76" s="154"/>
      <c r="J76" s="175">
        <f>H76/DAY(B2)</f>
        <v>84.642857142857139</v>
      </c>
      <c r="K76" s="69"/>
      <c r="L76" s="66"/>
      <c r="N76" s="87"/>
      <c r="O76" s="71"/>
    </row>
    <row r="77" spans="1:15" ht="27.75" customHeight="1">
      <c r="A77" s="861" t="s">
        <v>223</v>
      </c>
      <c r="B77" s="862"/>
      <c r="C77" s="863"/>
      <c r="D77" s="151" t="s">
        <v>139</v>
      </c>
      <c r="E77" s="95">
        <f>'13'!F77</f>
        <v>40718</v>
      </c>
      <c r="F77" s="123">
        <v>40745</v>
      </c>
      <c r="G77" s="112">
        <f t="shared" si="7"/>
        <v>27</v>
      </c>
      <c r="H77" s="99">
        <f>G77+'13'!H77</f>
        <v>429</v>
      </c>
      <c r="I77" s="154"/>
      <c r="J77" s="175">
        <f>H77/DAY(B2)</f>
        <v>30.642857142857142</v>
      </c>
      <c r="K77" s="69"/>
      <c r="L77" s="66"/>
      <c r="N77" s="87"/>
      <c r="O77" s="71"/>
    </row>
    <row r="78" spans="1:15" ht="27.75" customHeight="1">
      <c r="A78" s="861" t="s">
        <v>224</v>
      </c>
      <c r="B78" s="862"/>
      <c r="C78" s="863"/>
      <c r="D78" s="151" t="s">
        <v>139</v>
      </c>
      <c r="E78" s="95">
        <f>'13'!F78</f>
        <v>9496</v>
      </c>
      <c r="F78" s="123">
        <v>9497</v>
      </c>
      <c r="G78" s="112">
        <f t="shared" si="7"/>
        <v>1</v>
      </c>
      <c r="H78" s="99">
        <f>G78+'13'!H78</f>
        <v>11</v>
      </c>
      <c r="I78" s="118"/>
      <c r="J78" s="175">
        <f>H78/DAY(B2)</f>
        <v>0.7857142857142857</v>
      </c>
      <c r="K78" s="69"/>
      <c r="L78" s="66"/>
      <c r="N78" s="87"/>
      <c r="O78" s="71"/>
    </row>
    <row r="79" spans="1:15" s="57" customFormat="1" ht="27.75" customHeight="1">
      <c r="A79" s="861" t="s">
        <v>225</v>
      </c>
      <c r="B79" s="862"/>
      <c r="C79" s="863"/>
      <c r="D79" s="151"/>
      <c r="E79" s="95">
        <f>'13'!F79</f>
        <v>0</v>
      </c>
      <c r="F79" s="117"/>
      <c r="G79" s="112">
        <f>G15-SUM(G74:G78)</f>
        <v>316</v>
      </c>
      <c r="H79" s="99">
        <f>G79+'13'!H79</f>
        <v>6455.8000000000029</v>
      </c>
      <c r="I79" s="118"/>
      <c r="J79" s="175">
        <f>H79/DAY(B2)</f>
        <v>461.12857142857166</v>
      </c>
      <c r="K79" s="59"/>
      <c r="L79" s="58"/>
      <c r="N79" s="87"/>
      <c r="O79" s="71"/>
    </row>
    <row r="80" spans="1:15" s="57" customFormat="1" ht="27.75" customHeight="1">
      <c r="A80" s="873" t="s">
        <v>329</v>
      </c>
      <c r="B80" s="874"/>
      <c r="C80" s="875"/>
      <c r="D80" s="151"/>
      <c r="E80" s="117"/>
      <c r="F80" s="117"/>
      <c r="G80" s="112">
        <f>SUM(G74:G79)</f>
        <v>745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118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2096.5500000000002</v>
      </c>
      <c r="F85" s="164">
        <v>2096.5500000000002</v>
      </c>
      <c r="G85" s="112">
        <f t="shared" si="8"/>
        <v>0</v>
      </c>
      <c r="H85" s="99">
        <f>G85+'13'!H85</f>
        <v>-9.9999999997635314E-3</v>
      </c>
      <c r="I85" s="118">
        <f>G82+G83+G84+G85</f>
        <v>0</v>
      </c>
      <c r="J85" s="175">
        <f>H85/DAY(B2)</f>
        <v>-7.1428571426882372E-4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43176</v>
      </c>
      <c r="F86" s="164">
        <v>43200</v>
      </c>
      <c r="G86" s="112">
        <f t="shared" si="8"/>
        <v>24</v>
      </c>
      <c r="H86" s="99">
        <f>G86+'13'!H86</f>
        <v>337</v>
      </c>
      <c r="I86" s="118"/>
      <c r="J86" s="175">
        <f>H86/DAY(B2)</f>
        <v>24.071428571428573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34598.550000000003</v>
      </c>
      <c r="F87" s="164">
        <v>34598.550000000003</v>
      </c>
      <c r="G87" s="112">
        <f t="shared" si="8"/>
        <v>0</v>
      </c>
      <c r="H87" s="99">
        <f>G87+'13'!H87</f>
        <v>0</v>
      </c>
      <c r="I87" s="118"/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24059.27</v>
      </c>
      <c r="F88" s="164">
        <v>24059.27</v>
      </c>
      <c r="G88" s="112">
        <f t="shared" si="8"/>
        <v>0</v>
      </c>
      <c r="H88" s="99">
        <f>G88+'13'!H88</f>
        <v>12.270000000000437</v>
      </c>
      <c r="I88" s="118">
        <f>G86+G87+G88</f>
        <v>24</v>
      </c>
      <c r="J88" s="175">
        <f>H88/DAY(B2)</f>
        <v>0.87642857142860264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25741.18</v>
      </c>
      <c r="F89" s="164">
        <v>25742.99</v>
      </c>
      <c r="G89" s="112">
        <f t="shared" si="8"/>
        <v>1.8100000000013097</v>
      </c>
      <c r="H89" s="99">
        <f>G89+'13'!H89</f>
        <v>79.990000000001601</v>
      </c>
      <c r="I89" s="118"/>
      <c r="J89" s="175">
        <f>H89/DAY(B2)</f>
        <v>5.7135714285715427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71104.3</v>
      </c>
      <c r="F90" s="164">
        <v>71113.53</v>
      </c>
      <c r="G90" s="112">
        <f t="shared" si="8"/>
        <v>9.2299999999959255</v>
      </c>
      <c r="H90" s="99">
        <f>G90+'13'!H90</f>
        <v>79.529999999998836</v>
      </c>
      <c r="I90" s="118">
        <f>G89+G90</f>
        <v>11.039999999997235</v>
      </c>
      <c r="J90" s="175">
        <f>H90/DAY(B2)</f>
        <v>5.6807142857142026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0</v>
      </c>
      <c r="I91" s="165"/>
      <c r="J91" s="175">
        <f>H91/DAY(B2)</f>
        <v>0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5571.32</v>
      </c>
      <c r="F92" s="122">
        <v>5582.77</v>
      </c>
      <c r="G92" s="112">
        <f t="shared" si="8"/>
        <v>11.450000000000728</v>
      </c>
      <c r="H92" s="99">
        <f>G92+'13'!H92</f>
        <v>144.77000000000044</v>
      </c>
      <c r="I92" s="165"/>
      <c r="J92" s="175">
        <f>H92/DAY(B2)</f>
        <v>10.340714285714316</v>
      </c>
      <c r="O92" s="71"/>
    </row>
    <row r="93" spans="1:15" ht="27.75" customHeight="1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4575</v>
      </c>
      <c r="H94" s="99">
        <f>G94+'13'!H94</f>
        <v>76410</v>
      </c>
      <c r="I94" s="118"/>
      <c r="J94" s="175">
        <f>H94/DAY(B2)</f>
        <v>5457.8571428571431</v>
      </c>
      <c r="K94" s="69"/>
      <c r="L94" s="66"/>
      <c r="O94" s="71"/>
    </row>
    <row r="95" spans="1:15" ht="27.7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0.26555607151149291</v>
      </c>
      <c r="H95" s="99">
        <f>G95+'13'!H95</f>
        <v>4.1086122486384138</v>
      </c>
      <c r="I95" s="167"/>
      <c r="J95" s="175">
        <f>H95/DAY(B2)</f>
        <v>0.29347230347417241</v>
      </c>
      <c r="K95" s="69"/>
      <c r="L95" s="66"/>
      <c r="O95" s="71"/>
    </row>
    <row r="96" spans="1:15" ht="27.7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3132</v>
      </c>
      <c r="H96" s="99">
        <f>G96+'13'!H96</f>
        <v>42191.46</v>
      </c>
      <c r="I96" s="118"/>
      <c r="J96" s="175">
        <f>H96/DAY(B2)</f>
        <v>3013.6757142857141</v>
      </c>
      <c r="K96" s="69"/>
      <c r="L96" s="66"/>
      <c r="O96" s="71"/>
    </row>
    <row r="97" spans="1:15" ht="27.7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0.18179707452983515</v>
      </c>
      <c r="H97" s="99">
        <f>G97+'13'!H97</f>
        <v>2.2791358272302564</v>
      </c>
      <c r="I97" s="167"/>
      <c r="J97" s="175">
        <f>H97/DAY(B2)</f>
        <v>0.1627954162307326</v>
      </c>
      <c r="K97" s="69"/>
      <c r="L97" s="66"/>
      <c r="O97" s="71"/>
    </row>
    <row r="98" spans="1:15" ht="27.7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2495</v>
      </c>
      <c r="H98" s="99">
        <f>G98+'13'!H98</f>
        <v>36697</v>
      </c>
      <c r="I98" s="168"/>
      <c r="J98" s="175">
        <f>H98/DAY(B2)</f>
        <v>2621.2142857142858</v>
      </c>
      <c r="K98" s="69"/>
      <c r="L98" s="66"/>
      <c r="O98" s="71"/>
    </row>
    <row r="99" spans="1:15" ht="27.7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0.1448223821685628</v>
      </c>
      <c r="H99" s="99">
        <f>G99+'13'!H99</f>
        <v>1.9822409546886575</v>
      </c>
      <c r="I99" s="168"/>
      <c r="J99" s="175">
        <f>H99/DAY(B2)</f>
        <v>0.14158863962061838</v>
      </c>
      <c r="O99" s="71"/>
    </row>
    <row r="100" spans="1:15" ht="27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1832</v>
      </c>
      <c r="H100" s="99">
        <f>G100+'13'!H100</f>
        <v>22752</v>
      </c>
      <c r="I100" s="118"/>
      <c r="J100" s="175">
        <f>H100/DAY(B2)</f>
        <v>1625.1428571428571</v>
      </c>
      <c r="K100" s="70"/>
      <c r="O100" s="71"/>
    </row>
    <row r="101" spans="1:15" ht="27.7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0.10633851869050383</v>
      </c>
      <c r="H101" s="99">
        <f>G101+'13'!H101</f>
        <v>1.2302291769473577</v>
      </c>
      <c r="I101" s="168"/>
      <c r="J101" s="175">
        <f>H101/DAY(B2)</f>
        <v>8.7873512639096971E-2</v>
      </c>
      <c r="O101" s="71"/>
    </row>
    <row r="102" spans="1:15" ht="27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1488</v>
      </c>
      <c r="H102" s="99">
        <f>G102+'13'!H102</f>
        <v>24059</v>
      </c>
      <c r="I102" s="168"/>
      <c r="J102" s="175">
        <f>H102/DAY(B2)</f>
        <v>1718.5</v>
      </c>
      <c r="O102" s="71"/>
    </row>
    <row r="103" spans="1:15" ht="27.7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8.6371023914557699E-2</v>
      </c>
      <c r="H103" s="99">
        <f>G103+'13'!H103</f>
        <v>1.2933185183689826</v>
      </c>
      <c r="I103" s="118"/>
      <c r="J103" s="175">
        <f>H103/DAY(B2)</f>
        <v>9.2379894169213037E-2</v>
      </c>
      <c r="O103" s="71"/>
    </row>
    <row r="104" spans="1:15" ht="27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1509</v>
      </c>
      <c r="H104" s="99">
        <f>G104+'13'!H104</f>
        <v>21042</v>
      </c>
      <c r="I104" s="118"/>
      <c r="J104" s="175">
        <f>H104/DAY(B2)</f>
        <v>1503</v>
      </c>
      <c r="O104" s="71"/>
    </row>
    <row r="105" spans="1:15" ht="27.75" customHeight="1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8.758996981657767E-2</v>
      </c>
      <c r="H105" s="99">
        <f>G105+'13'!H105</f>
        <v>1.1384925735374529</v>
      </c>
      <c r="I105" s="187"/>
      <c r="J105" s="188">
        <f>H105/DAY(B2)</f>
        <v>8.132089810981806E-2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7.75" customHeight="1">
      <c r="A109" s="881"/>
      <c r="B109" s="881"/>
    </row>
    <row r="110" spans="1:15" ht="27.75" customHeight="1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 customHeight="1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43" t="s">
        <v>252</v>
      </c>
      <c r="B112" s="844"/>
      <c r="C112" s="845"/>
      <c r="D112" s="146" t="s">
        <v>183</v>
      </c>
      <c r="E112" s="95">
        <f>'13'!F112</f>
        <v>56651</v>
      </c>
      <c r="F112" s="237">
        <v>56733</v>
      </c>
      <c r="G112" s="112">
        <f t="shared" ref="G112:G123" si="9">F112-E112</f>
        <v>82</v>
      </c>
      <c r="H112" s="99">
        <f>G112+'13'!H112</f>
        <v>1052</v>
      </c>
      <c r="I112" s="165"/>
      <c r="J112" s="328">
        <f>H112/DAY(B2)</f>
        <v>75.142857142857139</v>
      </c>
    </row>
    <row r="113" spans="1:18" ht="27.75" customHeight="1">
      <c r="A113" s="843" t="s">
        <v>253</v>
      </c>
      <c r="B113" s="844"/>
      <c r="C113" s="845"/>
      <c r="D113" s="146" t="s">
        <v>183</v>
      </c>
      <c r="E113" s="95">
        <f>'13'!F113</f>
        <v>38050</v>
      </c>
      <c r="F113" s="237">
        <v>38500</v>
      </c>
      <c r="G113" s="112">
        <f t="shared" si="9"/>
        <v>450</v>
      </c>
      <c r="H113" s="99">
        <f>G113+'13'!H113</f>
        <v>6305</v>
      </c>
      <c r="I113" s="165"/>
      <c r="J113" s="328">
        <f>H113/DAY(B2)</f>
        <v>450.35714285714283</v>
      </c>
    </row>
    <row r="114" spans="1:18" ht="27.75" customHeight="1">
      <c r="A114" s="843" t="s">
        <v>254</v>
      </c>
      <c r="B114" s="844"/>
      <c r="C114" s="845"/>
      <c r="D114" s="146" t="s">
        <v>183</v>
      </c>
      <c r="E114" s="95">
        <f>'13'!F114</f>
        <v>28321</v>
      </c>
      <c r="F114" s="237">
        <v>28585</v>
      </c>
      <c r="G114" s="112">
        <f t="shared" si="9"/>
        <v>264</v>
      </c>
      <c r="H114" s="99">
        <f>G114+'13'!H114</f>
        <v>3714</v>
      </c>
      <c r="I114" s="165"/>
      <c r="J114" s="328">
        <f>H114/DAY(B2)</f>
        <v>265.28571428571428</v>
      </c>
    </row>
    <row r="115" spans="1:18" ht="27.75" customHeight="1">
      <c r="A115" s="843" t="s">
        <v>255</v>
      </c>
      <c r="B115" s="844"/>
      <c r="C115" s="845"/>
      <c r="D115" s="146" t="s">
        <v>183</v>
      </c>
      <c r="E115" s="95">
        <f>'13'!F115</f>
        <v>8917</v>
      </c>
      <c r="F115" s="237">
        <v>8926</v>
      </c>
      <c r="G115" s="112">
        <f t="shared" si="9"/>
        <v>9</v>
      </c>
      <c r="H115" s="99">
        <f>G115+'13'!H115</f>
        <v>141</v>
      </c>
      <c r="I115" s="165"/>
      <c r="J115" s="328">
        <f>H115/DAY(B2)</f>
        <v>10.071428571428571</v>
      </c>
    </row>
    <row r="116" spans="1:18" ht="27.75" customHeight="1">
      <c r="A116" s="850" t="s">
        <v>96</v>
      </c>
      <c r="B116" s="851"/>
      <c r="C116" s="852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27.75" customHeight="1">
      <c r="A117" s="850" t="s">
        <v>184</v>
      </c>
      <c r="B117" s="851"/>
      <c r="C117" s="852"/>
      <c r="D117" s="146" t="s">
        <v>183</v>
      </c>
      <c r="E117" s="95">
        <f>'13'!F117</f>
        <v>2909</v>
      </c>
      <c r="F117" s="237">
        <v>2930</v>
      </c>
      <c r="G117" s="112">
        <f t="shared" si="9"/>
        <v>21</v>
      </c>
      <c r="H117" s="99">
        <f>G117+'13'!H117</f>
        <v>340</v>
      </c>
      <c r="I117" s="165"/>
      <c r="J117" s="328">
        <f>H117/DAY(B2)</f>
        <v>24.285714285714285</v>
      </c>
      <c r="Q117" s="843" t="s">
        <v>312</v>
      </c>
      <c r="R117" s="845"/>
    </row>
    <row r="118" spans="1:18" ht="27.75" customHeight="1">
      <c r="A118" s="842" t="s">
        <v>97</v>
      </c>
      <c r="B118" s="842"/>
      <c r="C118" s="842"/>
      <c r="D118" s="151" t="s">
        <v>183</v>
      </c>
      <c r="E118" s="95">
        <f>'13'!F118</f>
        <v>246339</v>
      </c>
      <c r="F118" s="237">
        <v>246716</v>
      </c>
      <c r="G118" s="112">
        <f t="shared" si="9"/>
        <v>377</v>
      </c>
      <c r="H118" s="99">
        <f>G118+'13'!H118</f>
        <v>5069</v>
      </c>
      <c r="I118" s="165"/>
      <c r="J118" s="328">
        <f>H118/DAY(B2)</f>
        <v>362.07142857142856</v>
      </c>
      <c r="Q118" s="843" t="s">
        <v>311</v>
      </c>
      <c r="R118" s="845"/>
    </row>
    <row r="119" spans="1:18" ht="27.75" customHeight="1">
      <c r="A119" s="842" t="s">
        <v>98</v>
      </c>
      <c r="B119" s="842"/>
      <c r="C119" s="842"/>
      <c r="D119" s="151" t="s">
        <v>183</v>
      </c>
      <c r="E119" s="95">
        <f>'13'!F119</f>
        <v>250604</v>
      </c>
      <c r="F119" s="237">
        <v>250981</v>
      </c>
      <c r="G119" s="112">
        <f t="shared" si="9"/>
        <v>377</v>
      </c>
      <c r="H119" s="99">
        <f>G119+'13'!H119</f>
        <v>5855</v>
      </c>
      <c r="I119" s="165"/>
      <c r="J119" s="328">
        <f>H119/DAY(B2)</f>
        <v>418.21428571428572</v>
      </c>
    </row>
    <row r="120" spans="1:18" ht="27.75" customHeight="1">
      <c r="A120" s="842" t="s">
        <v>99</v>
      </c>
      <c r="B120" s="842"/>
      <c r="C120" s="842"/>
      <c r="D120" s="151" t="s">
        <v>183</v>
      </c>
      <c r="E120" s="95">
        <f>'13'!F120</f>
        <v>35447</v>
      </c>
      <c r="F120" s="237">
        <v>35858</v>
      </c>
      <c r="G120" s="112">
        <f t="shared" si="9"/>
        <v>411</v>
      </c>
      <c r="H120" s="99">
        <f>G120+'13'!H120</f>
        <v>5780</v>
      </c>
      <c r="I120" s="165"/>
      <c r="J120" s="328">
        <f>H120/DAY(B2)</f>
        <v>412.85714285714283</v>
      </c>
    </row>
    <row r="121" spans="1:18" ht="27.75" customHeight="1">
      <c r="A121" s="842" t="s">
        <v>100</v>
      </c>
      <c r="B121" s="842"/>
      <c r="C121" s="842"/>
      <c r="D121" s="151" t="s">
        <v>183</v>
      </c>
      <c r="E121" s="95">
        <f>'13'!F121</f>
        <v>385767</v>
      </c>
      <c r="F121" s="237">
        <v>386422</v>
      </c>
      <c r="G121" s="112">
        <f t="shared" si="9"/>
        <v>655</v>
      </c>
      <c r="H121" s="99">
        <f>G121+'13'!H121</f>
        <v>9893</v>
      </c>
      <c r="I121" s="165"/>
      <c r="J121" s="328">
        <f>H121/DAY(B2)</f>
        <v>706.64285714285711</v>
      </c>
    </row>
    <row r="122" spans="1:18" ht="27.75" customHeight="1">
      <c r="A122" s="842" t="s">
        <v>101</v>
      </c>
      <c r="B122" s="842"/>
      <c r="C122" s="842"/>
      <c r="D122" s="151" t="s">
        <v>183</v>
      </c>
      <c r="E122" s="95">
        <f>'13'!F122</f>
        <v>122808</v>
      </c>
      <c r="F122" s="237">
        <v>122996</v>
      </c>
      <c r="G122" s="112">
        <f t="shared" si="9"/>
        <v>188</v>
      </c>
      <c r="H122" s="99">
        <f>G122+'13'!H122</f>
        <v>2946</v>
      </c>
      <c r="I122" s="165"/>
      <c r="J122" s="328">
        <f>H122/DAY(B2)</f>
        <v>210.42857142857142</v>
      </c>
    </row>
    <row r="123" spans="1:18" ht="27.75" customHeight="1">
      <c r="A123" s="842" t="s">
        <v>102</v>
      </c>
      <c r="B123" s="842"/>
      <c r="C123" s="842"/>
      <c r="D123" s="151" t="s">
        <v>183</v>
      </c>
      <c r="E123" s="95">
        <f>'13'!F123</f>
        <v>149183</v>
      </c>
      <c r="F123" s="237">
        <v>149480</v>
      </c>
      <c r="G123" s="112">
        <f t="shared" si="9"/>
        <v>297</v>
      </c>
      <c r="H123" s="99">
        <f>G123+'13'!H123</f>
        <v>4355</v>
      </c>
      <c r="I123" s="165"/>
      <c r="J123" s="328">
        <f>H123/DAY(B2)</f>
        <v>311.07142857142856</v>
      </c>
    </row>
    <row r="124" spans="1:18" ht="27.75" customHeight="1">
      <c r="A124" s="847"/>
      <c r="B124" s="848"/>
      <c r="C124" s="849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27" t="s">
        <v>196</v>
      </c>
      <c r="B125" s="828"/>
      <c r="C125" s="245"/>
      <c r="D125" s="307"/>
      <c r="E125" s="308"/>
      <c r="F125" s="308"/>
      <c r="G125" s="309">
        <f>SUM(G112:G124)</f>
        <v>3131</v>
      </c>
      <c r="H125" s="156"/>
      <c r="I125" s="327">
        <f>G125-(G39+G53)</f>
        <v>636</v>
      </c>
      <c r="J125" s="327"/>
    </row>
    <row r="126" spans="1:18" ht="27.75" customHeight="1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 customHeight="1">
      <c r="A127" s="832"/>
      <c r="B127" s="832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843" t="s">
        <v>318</v>
      </c>
      <c r="B128" s="844"/>
      <c r="C128" s="845"/>
      <c r="D128" s="151" t="s">
        <v>183</v>
      </c>
      <c r="E128" s="95">
        <f>'13'!F128</f>
        <v>42186</v>
      </c>
      <c r="F128" s="165">
        <v>42485</v>
      </c>
      <c r="G128" s="112">
        <f t="shared" ref="G128:G134" si="10">F128-E128</f>
        <v>299</v>
      </c>
      <c r="H128" s="99">
        <f>G128+'13'!H128</f>
        <v>4481</v>
      </c>
      <c r="I128" s="165"/>
      <c r="J128" s="328">
        <f>H128/DAY(B2)</f>
        <v>320.07142857142856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23174</v>
      </c>
      <c r="F129" s="165">
        <v>23362</v>
      </c>
      <c r="G129" s="112">
        <f t="shared" si="10"/>
        <v>188</v>
      </c>
      <c r="H129" s="99">
        <f>G129+'13'!H129</f>
        <v>3041</v>
      </c>
      <c r="I129" s="165"/>
      <c r="J129" s="328">
        <f>H129/DAY(B2)</f>
        <v>217.21428571428572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26322</v>
      </c>
      <c r="F130" s="165">
        <v>26885</v>
      </c>
      <c r="G130" s="112">
        <f t="shared" si="10"/>
        <v>563</v>
      </c>
      <c r="H130" s="99">
        <f>G130+'13'!H130</f>
        <v>8503</v>
      </c>
      <c r="I130" s="165"/>
      <c r="J130" s="328">
        <f>H130/DAY(B2)</f>
        <v>607.35714285714289</v>
      </c>
      <c r="N130" s="240"/>
      <c r="O130" s="241"/>
    </row>
    <row r="131" spans="1:15" ht="27.75" customHeight="1">
      <c r="A131" s="843" t="s">
        <v>321</v>
      </c>
      <c r="B131" s="844"/>
      <c r="C131" s="845"/>
      <c r="D131" s="151" t="s">
        <v>183</v>
      </c>
      <c r="E131" s="95">
        <f>'13'!F131</f>
        <v>14077</v>
      </c>
      <c r="F131" s="165">
        <v>14167</v>
      </c>
      <c r="G131" s="112">
        <f t="shared" si="10"/>
        <v>90</v>
      </c>
      <c r="H131" s="99">
        <f>G131+'13'!H131</f>
        <v>1014</v>
      </c>
      <c r="I131" s="165"/>
      <c r="J131" s="328">
        <f>H131/DAY(B2)</f>
        <v>72.428571428571431</v>
      </c>
      <c r="N131" s="240"/>
      <c r="O131" s="241"/>
    </row>
    <row r="132" spans="1:15" ht="27.75" customHeight="1">
      <c r="A132" s="843" t="s">
        <v>322</v>
      </c>
      <c r="B132" s="844"/>
      <c r="C132" s="845"/>
      <c r="D132" s="151" t="s">
        <v>183</v>
      </c>
      <c r="E132" s="95">
        <f>'13'!F132</f>
        <v>47285</v>
      </c>
      <c r="F132" s="165">
        <v>47795</v>
      </c>
      <c r="G132" s="112">
        <f t="shared" si="10"/>
        <v>510</v>
      </c>
      <c r="H132" s="99">
        <f>G132+'13'!H132</f>
        <v>6772</v>
      </c>
      <c r="I132" s="165"/>
      <c r="J132" s="328">
        <f>H132/DAY(B2)</f>
        <v>483.71428571428572</v>
      </c>
    </row>
    <row r="133" spans="1:15" ht="27.75" customHeight="1">
      <c r="A133" s="843" t="s">
        <v>341</v>
      </c>
      <c r="B133" s="844"/>
      <c r="C133" s="845"/>
      <c r="D133" s="151" t="s">
        <v>183</v>
      </c>
      <c r="E133" s="95">
        <f>'13'!F133</f>
        <v>96324</v>
      </c>
      <c r="F133" s="165">
        <v>96727</v>
      </c>
      <c r="G133" s="112">
        <f t="shared" si="10"/>
        <v>403</v>
      </c>
      <c r="H133" s="99">
        <f>G133+'13'!H133</f>
        <v>9024</v>
      </c>
      <c r="I133" s="165"/>
      <c r="J133" s="328">
        <f>H133/DAY(B2)</f>
        <v>644.57142857142856</v>
      </c>
    </row>
    <row r="134" spans="1:15" ht="27.75" customHeight="1">
      <c r="A134" s="843" t="s">
        <v>340</v>
      </c>
      <c r="B134" s="844"/>
      <c r="C134" s="845"/>
      <c r="D134" s="151" t="s">
        <v>183</v>
      </c>
      <c r="E134" s="95">
        <f>'13'!F134</f>
        <v>5565</v>
      </c>
      <c r="F134" s="165">
        <v>5719</v>
      </c>
      <c r="G134" s="112">
        <f t="shared" si="10"/>
        <v>154</v>
      </c>
      <c r="H134" s="99">
        <f>G134+'13'!H134</f>
        <v>8013</v>
      </c>
      <c r="I134" s="165"/>
      <c r="J134" s="328">
        <f>H134/DAY(B2)</f>
        <v>572.35714285714289</v>
      </c>
    </row>
    <row r="135" spans="1:15" ht="27.75" customHeight="1">
      <c r="A135" s="827" t="s">
        <v>196</v>
      </c>
      <c r="B135" s="828"/>
      <c r="C135" s="331"/>
      <c r="D135" s="151"/>
      <c r="E135" s="95"/>
      <c r="F135" s="165"/>
      <c r="G135" s="112">
        <f>SUM(G128:G134)</f>
        <v>2207</v>
      </c>
      <c r="H135" s="119">
        <f>H128+H134</f>
        <v>12494</v>
      </c>
      <c r="I135" s="327">
        <f>G135-(G35+G49)</f>
        <v>-357</v>
      </c>
      <c r="J135" s="328">
        <f>H135/DAY(B2)</f>
        <v>892.42857142857144</v>
      </c>
    </row>
    <row r="136" spans="1:15" ht="27.75" customHeight="1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42" t="s">
        <v>185</v>
      </c>
      <c r="B138" s="842"/>
      <c r="C138" s="842"/>
      <c r="D138" s="151" t="s">
        <v>183</v>
      </c>
      <c r="E138" s="95">
        <f>'13'!F138</f>
        <v>864989</v>
      </c>
      <c r="F138" s="147">
        <v>865054</v>
      </c>
      <c r="G138" s="112">
        <f t="shared" ref="G138:G152" si="11">F138-E138</f>
        <v>65</v>
      </c>
      <c r="H138" s="99">
        <f>G138+'13'!H138</f>
        <v>883</v>
      </c>
      <c r="I138" s="118"/>
      <c r="J138" s="328">
        <f>H138/DAY(B2)</f>
        <v>63.071428571428569</v>
      </c>
    </row>
    <row r="139" spans="1:15" ht="27.75" customHeight="1">
      <c r="A139" s="842" t="s">
        <v>186</v>
      </c>
      <c r="B139" s="842"/>
      <c r="C139" s="842"/>
      <c r="D139" s="151" t="s">
        <v>183</v>
      </c>
      <c r="E139" s="95">
        <f>'13'!F139</f>
        <v>886549</v>
      </c>
      <c r="F139" s="148">
        <v>886549</v>
      </c>
      <c r="G139" s="112">
        <f t="shared" si="11"/>
        <v>0</v>
      </c>
      <c r="H139" s="99">
        <f>G139+'13'!H139</f>
        <v>3</v>
      </c>
      <c r="I139" s="118"/>
      <c r="J139" s="328">
        <f>H139/DAY(B2)</f>
        <v>0.21428571428571427</v>
      </c>
    </row>
    <row r="140" spans="1:15" ht="27.75" customHeight="1">
      <c r="A140" s="842" t="s">
        <v>187</v>
      </c>
      <c r="B140" s="842"/>
      <c r="C140" s="842"/>
      <c r="D140" s="151" t="s">
        <v>183</v>
      </c>
      <c r="E140" s="95">
        <f>'13'!F140</f>
        <v>88898</v>
      </c>
      <c r="F140" s="149">
        <v>88898</v>
      </c>
      <c r="G140" s="112">
        <f t="shared" si="11"/>
        <v>0</v>
      </c>
      <c r="H140" s="99">
        <f>G140+'13'!H140</f>
        <v>16</v>
      </c>
      <c r="I140" s="118"/>
      <c r="J140" s="328">
        <f>H140/DAY(B2)</f>
        <v>1.1428571428571428</v>
      </c>
    </row>
    <row r="141" spans="1:15" ht="27.75" customHeight="1">
      <c r="A141" s="823" t="s">
        <v>188</v>
      </c>
      <c r="B141" s="823"/>
      <c r="C141" s="823"/>
      <c r="D141" s="151" t="s">
        <v>183</v>
      </c>
      <c r="E141" s="95">
        <f>'13'!F141</f>
        <v>51571</v>
      </c>
      <c r="F141" s="149">
        <v>51735</v>
      </c>
      <c r="G141" s="112">
        <f t="shared" si="11"/>
        <v>164</v>
      </c>
      <c r="H141" s="99">
        <f>G141+'13'!H141</f>
        <v>2429</v>
      </c>
      <c r="I141" s="118"/>
      <c r="J141" s="328">
        <f>H141/DAY(B2)</f>
        <v>173.5</v>
      </c>
    </row>
    <row r="142" spans="1:15" ht="27.75" customHeight="1">
      <c r="A142" s="823" t="s">
        <v>189</v>
      </c>
      <c r="B142" s="823"/>
      <c r="C142" s="823"/>
      <c r="D142" s="151" t="s">
        <v>183</v>
      </c>
      <c r="E142" s="95">
        <f>'13'!F142</f>
        <v>19908</v>
      </c>
      <c r="F142" s="148">
        <v>19971</v>
      </c>
      <c r="G142" s="112">
        <f t="shared" si="11"/>
        <v>63</v>
      </c>
      <c r="H142" s="99">
        <f>G142+'13'!H142</f>
        <v>962</v>
      </c>
      <c r="I142" s="140"/>
      <c r="J142" s="328">
        <f>H142/DAY(B2)</f>
        <v>68.714285714285708</v>
      </c>
    </row>
    <row r="143" spans="1:15" ht="27.75" customHeight="1">
      <c r="A143" s="842" t="s">
        <v>91</v>
      </c>
      <c r="B143" s="842"/>
      <c r="C143" s="842"/>
      <c r="D143" s="151" t="s">
        <v>183</v>
      </c>
      <c r="E143" s="95">
        <f>'13'!F143</f>
        <v>3370</v>
      </c>
      <c r="F143" s="149">
        <v>3390</v>
      </c>
      <c r="G143" s="112">
        <f t="shared" si="11"/>
        <v>20</v>
      </c>
      <c r="H143" s="99">
        <f>G143+'13'!H143</f>
        <v>329</v>
      </c>
      <c r="I143" s="140"/>
      <c r="J143" s="328">
        <f>H143/DAY(B2)</f>
        <v>23.5</v>
      </c>
    </row>
    <row r="144" spans="1:15" ht="27.75" customHeight="1">
      <c r="A144" s="823" t="s">
        <v>90</v>
      </c>
      <c r="B144" s="823"/>
      <c r="C144" s="823"/>
      <c r="D144" s="151" t="s">
        <v>183</v>
      </c>
      <c r="E144" s="95">
        <f>'13'!F144</f>
        <v>872597</v>
      </c>
      <c r="F144" s="149">
        <v>872833</v>
      </c>
      <c r="G144" s="112">
        <f t="shared" si="11"/>
        <v>236</v>
      </c>
      <c r="H144" s="99">
        <f>G144+'13'!H144</f>
        <v>3163</v>
      </c>
      <c r="I144" s="140"/>
      <c r="J144" s="328">
        <f>H144/DAY(B2)</f>
        <v>225.92857142857142</v>
      </c>
    </row>
    <row r="145" spans="1:10" ht="27.75" customHeight="1">
      <c r="A145" s="842" t="s">
        <v>190</v>
      </c>
      <c r="B145" s="842"/>
      <c r="C145" s="842"/>
      <c r="D145" s="152" t="s">
        <v>183</v>
      </c>
      <c r="E145" s="95">
        <f>'13'!F145</f>
        <v>4755</v>
      </c>
      <c r="F145" s="149">
        <v>4768</v>
      </c>
      <c r="G145" s="112">
        <f t="shared" si="11"/>
        <v>13</v>
      </c>
      <c r="H145" s="99">
        <f>G145+'13'!H145</f>
        <v>210</v>
      </c>
      <c r="I145" s="140"/>
      <c r="J145" s="328">
        <f>H145/DAY(B2)</f>
        <v>15</v>
      </c>
    </row>
    <row r="146" spans="1:10" ht="27.75" customHeight="1">
      <c r="A146" s="877" t="s">
        <v>191</v>
      </c>
      <c r="B146" s="862"/>
      <c r="C146" s="863"/>
      <c r="D146" s="152" t="s">
        <v>183</v>
      </c>
      <c r="E146" s="95">
        <f>'13'!F146</f>
        <v>730138</v>
      </c>
      <c r="F146" s="148">
        <v>730506</v>
      </c>
      <c r="G146" s="112">
        <f t="shared" si="11"/>
        <v>368</v>
      </c>
      <c r="H146" s="99">
        <f>G146+'13'!H146</f>
        <v>5648</v>
      </c>
      <c r="I146" s="140"/>
      <c r="J146" s="328">
        <f>H146/DAY(B2)</f>
        <v>403.42857142857144</v>
      </c>
    </row>
    <row r="147" spans="1:10" ht="27.75" customHeight="1">
      <c r="A147" s="823" t="s">
        <v>192</v>
      </c>
      <c r="B147" s="823"/>
      <c r="C147" s="823"/>
      <c r="D147" s="152" t="s">
        <v>183</v>
      </c>
      <c r="E147" s="95">
        <f>'13'!F147</f>
        <v>620127</v>
      </c>
      <c r="F147" s="148">
        <v>620452</v>
      </c>
      <c r="G147" s="112">
        <f t="shared" si="11"/>
        <v>325</v>
      </c>
      <c r="H147" s="99">
        <f>G147+'13'!H147</f>
        <v>5170</v>
      </c>
      <c r="I147" s="140"/>
      <c r="J147" s="328">
        <f>H147/DAY(B2)</f>
        <v>369.28571428571428</v>
      </c>
    </row>
    <row r="148" spans="1:10" ht="27.75" customHeight="1">
      <c r="A148" s="824" t="s">
        <v>193</v>
      </c>
      <c r="B148" s="825"/>
      <c r="C148" s="826"/>
      <c r="D148" s="123" t="s">
        <v>130</v>
      </c>
      <c r="E148" s="95">
        <f>'13'!F148</f>
        <v>686170</v>
      </c>
      <c r="F148" s="150">
        <v>686351</v>
      </c>
      <c r="G148" s="112">
        <f t="shared" si="11"/>
        <v>181</v>
      </c>
      <c r="H148" s="99">
        <f>G148+'13'!H148</f>
        <v>3317.8800000000047</v>
      </c>
      <c r="I148" s="124"/>
      <c r="J148" s="328">
        <f>H148/DAY(B2)</f>
        <v>236.99142857142891</v>
      </c>
    </row>
    <row r="149" spans="1:10" ht="27.75" customHeight="1">
      <c r="A149" s="824" t="s">
        <v>336</v>
      </c>
      <c r="B149" s="825"/>
      <c r="C149" s="826"/>
      <c r="D149" s="227" t="s">
        <v>130</v>
      </c>
      <c r="E149" s="95">
        <f>'13'!F149</f>
        <v>16081</v>
      </c>
      <c r="F149" s="146">
        <v>16465</v>
      </c>
      <c r="G149" s="112">
        <f t="shared" si="11"/>
        <v>384</v>
      </c>
      <c r="H149" s="99">
        <f>G149+'13'!H149</f>
        <v>5716</v>
      </c>
      <c r="I149" s="119"/>
      <c r="J149" s="328">
        <f>H149/DAY(B2)</f>
        <v>408.28571428571428</v>
      </c>
    </row>
    <row r="150" spans="1:10" ht="27.75" customHeight="1">
      <c r="A150" s="824" t="s">
        <v>337</v>
      </c>
      <c r="B150" s="825"/>
      <c r="C150" s="826"/>
      <c r="D150" s="117" t="s">
        <v>130</v>
      </c>
      <c r="E150" s="95">
        <f>'13'!F150</f>
        <v>6899</v>
      </c>
      <c r="F150" s="233">
        <v>7104</v>
      </c>
      <c r="G150" s="112">
        <f t="shared" si="11"/>
        <v>205</v>
      </c>
      <c r="H150" s="99">
        <f>G150+'13'!H150</f>
        <v>3052</v>
      </c>
      <c r="I150" s="119"/>
      <c r="J150" s="328">
        <f>H150/DAY(B2)</f>
        <v>218</v>
      </c>
    </row>
    <row r="151" spans="1:10" ht="27.75" customHeight="1">
      <c r="A151" s="824" t="s">
        <v>338</v>
      </c>
      <c r="B151" s="825"/>
      <c r="C151" s="826"/>
      <c r="D151" s="117" t="s">
        <v>130</v>
      </c>
      <c r="E151" s="95">
        <f>'13'!F151</f>
        <v>81285</v>
      </c>
      <c r="F151" s="233">
        <v>81481</v>
      </c>
      <c r="G151" s="112">
        <f t="shared" si="11"/>
        <v>196</v>
      </c>
      <c r="H151" s="99">
        <f>G151+'13'!H151</f>
        <v>3264</v>
      </c>
      <c r="I151" s="119"/>
      <c r="J151" s="328">
        <f>H151/DAY(B2)</f>
        <v>233.14285714285714</v>
      </c>
    </row>
    <row r="152" spans="1:10" ht="27.75" customHeight="1">
      <c r="A152" s="824" t="s">
        <v>339</v>
      </c>
      <c r="B152" s="825"/>
      <c r="C152" s="826"/>
      <c r="D152" s="117" t="s">
        <v>130</v>
      </c>
      <c r="E152" s="95">
        <f>'13'!F152</f>
        <v>1363</v>
      </c>
      <c r="F152" s="233">
        <v>1376</v>
      </c>
      <c r="G152" s="112">
        <f t="shared" si="11"/>
        <v>13</v>
      </c>
      <c r="H152" s="99">
        <f>G152+'13'!H152</f>
        <v>249</v>
      </c>
      <c r="I152" s="119"/>
      <c r="J152" s="328">
        <f>H152/DAY(B2)</f>
        <v>17.785714285714285</v>
      </c>
    </row>
    <row r="153" spans="1:10" ht="27.75" customHeight="1">
      <c r="A153" s="827" t="s">
        <v>196</v>
      </c>
      <c r="B153" s="828"/>
      <c r="C153" s="365"/>
      <c r="D153" s="358"/>
      <c r="E153" s="360"/>
      <c r="F153" s="361"/>
      <c r="G153" s="362">
        <f>SUM(G138:G152)</f>
        <v>2233</v>
      </c>
      <c r="H153" s="363"/>
      <c r="I153" s="119">
        <f>G153-(G38+G52)</f>
        <v>401</v>
      </c>
      <c r="J153" s="366"/>
    </row>
    <row r="154" spans="1:10" ht="27.75" customHeight="1">
      <c r="A154" s="831"/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27.75" customHeight="1">
      <c r="A155" s="823" t="s">
        <v>345</v>
      </c>
      <c r="B155" s="823"/>
      <c r="C155" s="823"/>
      <c r="D155" s="117" t="s">
        <v>130</v>
      </c>
      <c r="E155" s="95">
        <f>'13'!F155</f>
        <v>20669</v>
      </c>
      <c r="F155" s="374">
        <v>21350</v>
      </c>
      <c r="G155" s="112">
        <f t="shared" ref="G155:G158" si="12">F155-E155</f>
        <v>681</v>
      </c>
      <c r="H155" s="99">
        <f>G155+'13'!H155</f>
        <v>7878</v>
      </c>
      <c r="I155" s="364"/>
      <c r="J155" s="328">
        <f>H155/DAY(B2)</f>
        <v>562.71428571428567</v>
      </c>
    </row>
    <row r="156" spans="1:10" ht="27.75" customHeight="1">
      <c r="A156" s="823" t="s">
        <v>347</v>
      </c>
      <c r="B156" s="823"/>
      <c r="C156" s="823"/>
      <c r="D156" s="117" t="s">
        <v>130</v>
      </c>
      <c r="E156" s="95">
        <f>'13'!F156</f>
        <v>1723</v>
      </c>
      <c r="F156" s="155">
        <v>1785</v>
      </c>
      <c r="G156" s="112">
        <f t="shared" si="12"/>
        <v>62</v>
      </c>
      <c r="H156" s="99">
        <f>G156+'13'!H156</f>
        <v>697</v>
      </c>
      <c r="I156" s="165"/>
      <c r="J156" s="328">
        <f>H156/DAY(B2)</f>
        <v>49.785714285714285</v>
      </c>
    </row>
    <row r="157" spans="1:10" ht="27.75" customHeight="1">
      <c r="A157" s="824" t="s">
        <v>364</v>
      </c>
      <c r="B157" s="825"/>
      <c r="C157" s="826"/>
      <c r="D157" s="117" t="s">
        <v>130</v>
      </c>
      <c r="E157" s="155">
        <v>2176</v>
      </c>
      <c r="F157" s="155">
        <v>2280</v>
      </c>
      <c r="G157" s="112">
        <f t="shared" si="12"/>
        <v>104</v>
      </c>
      <c r="H157" s="99">
        <f>G157+'13'!H157</f>
        <v>349</v>
      </c>
      <c r="I157" s="165"/>
      <c r="J157" s="328">
        <f>H157/DAY(B2)</f>
        <v>24.928571428571427</v>
      </c>
    </row>
    <row r="158" spans="1:10" ht="27.75" customHeight="1">
      <c r="A158" s="824" t="s">
        <v>365</v>
      </c>
      <c r="B158" s="825"/>
      <c r="C158" s="826"/>
      <c r="D158" s="117" t="s">
        <v>130</v>
      </c>
      <c r="E158" s="155">
        <v>23</v>
      </c>
      <c r="F158" s="155">
        <v>23</v>
      </c>
      <c r="G158" s="112">
        <f t="shared" si="12"/>
        <v>0</v>
      </c>
      <c r="H158" s="99">
        <f>G158+'13'!H158</f>
        <v>23</v>
      </c>
      <c r="I158" s="165"/>
      <c r="J158" s="328">
        <f>H158/DAY(B2)</f>
        <v>1.6428571428571428</v>
      </c>
    </row>
    <row r="159" spans="1:10" ht="27.75" customHeight="1">
      <c r="A159" s="907"/>
      <c r="B159" s="908"/>
      <c r="C159" s="909"/>
      <c r="D159" s="117"/>
      <c r="E159" s="95"/>
      <c r="F159" s="165"/>
      <c r="G159" s="362">
        <f>SUM(G155:G158)</f>
        <v>847</v>
      </c>
      <c r="H159" s="99"/>
      <c r="I159" s="165"/>
      <c r="J159" s="328"/>
    </row>
    <row r="160" spans="1:10" ht="27.75" customHeight="1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'13'!F161</f>
        <v>471418</v>
      </c>
      <c r="F161" s="235">
        <v>471424</v>
      </c>
      <c r="G161" s="238">
        <f t="shared" ref="G161:G165" si="13">F161-E161</f>
        <v>6</v>
      </c>
      <c r="H161" s="99">
        <f>G161+'13'!H161</f>
        <v>270.84000000002561</v>
      </c>
      <c r="I161" s="236"/>
      <c r="J161" s="239">
        <f>H161/DAY(B2)</f>
        <v>19.345714285716117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'13'!F162</f>
        <v>87924</v>
      </c>
      <c r="F162" s="235">
        <v>87964</v>
      </c>
      <c r="G162" s="238">
        <f t="shared" si="13"/>
        <v>40</v>
      </c>
      <c r="H162" s="99">
        <f>G162+'13'!H162</f>
        <v>394</v>
      </c>
      <c r="I162" s="236"/>
      <c r="J162" s="239">
        <f>H162/DAY(B2)</f>
        <v>28.142857142857142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'13'!F163</f>
        <v>78352</v>
      </c>
      <c r="F163" s="235">
        <v>78422</v>
      </c>
      <c r="G163" s="238">
        <f t="shared" si="13"/>
        <v>70</v>
      </c>
      <c r="H163" s="99">
        <f>G163+'13'!H163</f>
        <v>597</v>
      </c>
      <c r="I163" s="236"/>
      <c r="J163" s="239">
        <f>H163/DAY(B2)</f>
        <v>42.642857142857146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'13'!F164</f>
        <v>4260</v>
      </c>
      <c r="F164" s="235">
        <v>4263</v>
      </c>
      <c r="G164" s="238">
        <f t="shared" si="13"/>
        <v>3</v>
      </c>
      <c r="H164" s="99">
        <f>G164+'13'!H164</f>
        <v>21</v>
      </c>
      <c r="I164" s="236"/>
      <c r="J164" s="239">
        <f>H164/DAY(B2)</f>
        <v>1.5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'13'!F165</f>
        <v>29730</v>
      </c>
      <c r="F165" s="235">
        <v>29737</v>
      </c>
      <c r="G165" s="238">
        <f t="shared" si="13"/>
        <v>7</v>
      </c>
      <c r="H165" s="99">
        <f>G165+'13'!H165</f>
        <v>91</v>
      </c>
      <c r="I165" s="236"/>
      <c r="J165" s="239">
        <f>H165/DAY(B2)</f>
        <v>6.5</v>
      </c>
    </row>
    <row r="166" spans="1:10" ht="27.75" customHeight="1">
      <c r="A166" s="832"/>
      <c r="B166" s="832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832"/>
      <c r="B167" s="832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832"/>
      <c r="B168" s="832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 customHeight="1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36" t="s">
        <v>209</v>
      </c>
      <c r="B173" s="837"/>
      <c r="C173" s="333"/>
      <c r="D173" s="228" t="s">
        <v>142</v>
      </c>
      <c r="E173" s="95">
        <f>'13'!F173</f>
        <v>8126</v>
      </c>
      <c r="F173" s="155">
        <v>8126</v>
      </c>
      <c r="G173" s="155">
        <f>F173-E173</f>
        <v>0</v>
      </c>
      <c r="H173" s="99">
        <f>G173+'13'!H173</f>
        <v>0</v>
      </c>
      <c r="I173" s="155"/>
      <c r="J173" s="178">
        <f>H173/DAY(B2)</f>
        <v>0</v>
      </c>
    </row>
    <row r="174" spans="1:10" ht="27.75" customHeight="1">
      <c r="A174" s="836" t="s">
        <v>75</v>
      </c>
      <c r="B174" s="837"/>
      <c r="C174" s="333"/>
      <c r="D174" s="228" t="s">
        <v>142</v>
      </c>
      <c r="E174" s="157">
        <v>38416</v>
      </c>
      <c r="F174" s="157">
        <v>38421</v>
      </c>
      <c r="G174" s="155">
        <f t="shared" ref="G174:G175" si="14">F174-E174</f>
        <v>5</v>
      </c>
      <c r="H174" s="99">
        <f>G174+'13'!H174</f>
        <v>128</v>
      </c>
      <c r="I174" s="155"/>
      <c r="J174" s="178">
        <f>H174/DAY(B2)</f>
        <v>9.1428571428571423</v>
      </c>
    </row>
    <row r="175" spans="1:10" ht="27.75" customHeight="1">
      <c r="A175" s="836" t="s">
        <v>76</v>
      </c>
      <c r="B175" s="876"/>
      <c r="C175" s="837"/>
      <c r="D175" s="228" t="s">
        <v>142</v>
      </c>
      <c r="E175" s="95">
        <f>'13'!F175</f>
        <v>21637</v>
      </c>
      <c r="F175" s="155">
        <v>21643</v>
      </c>
      <c r="G175" s="155">
        <f t="shared" si="14"/>
        <v>6</v>
      </c>
      <c r="H175" s="99">
        <f>G175+'13'!H175</f>
        <v>125</v>
      </c>
      <c r="I175" s="155"/>
      <c r="J175" s="178">
        <f>H175/DAY(B2)</f>
        <v>8.9285714285714288</v>
      </c>
    </row>
    <row r="176" spans="1:10" ht="27.75" customHeight="1">
      <c r="A176" s="827" t="s">
        <v>196</v>
      </c>
      <c r="B176" s="828"/>
      <c r="C176" s="485"/>
      <c r="D176" s="228" t="s">
        <v>142</v>
      </c>
      <c r="E176" s="95"/>
      <c r="F176" s="155"/>
      <c r="G176" s="155">
        <f>SUM(G173:G175)</f>
        <v>11</v>
      </c>
      <c r="H176" s="99">
        <f>G176+'13'!H176</f>
        <v>253</v>
      </c>
      <c r="I176" s="155"/>
      <c r="J176" s="178">
        <f>H176/DAY(B2)</f>
        <v>18.071428571428573</v>
      </c>
    </row>
    <row r="177" spans="1:10" ht="27.7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36" t="s">
        <v>210</v>
      </c>
      <c r="B178" s="837"/>
      <c r="C178" s="333"/>
      <c r="D178" s="228" t="s">
        <v>142</v>
      </c>
      <c r="E178" s="95">
        <f>'13'!F178</f>
        <v>80376</v>
      </c>
      <c r="F178" s="155">
        <v>80397</v>
      </c>
      <c r="G178" s="155">
        <f>F178-E178</f>
        <v>21</v>
      </c>
      <c r="H178" s="99">
        <f>G178+'13'!H178</f>
        <v>783</v>
      </c>
      <c r="I178" s="155"/>
      <c r="J178" s="178">
        <f>H178/DAY(B2)</f>
        <v>55.928571428571431</v>
      </c>
    </row>
    <row r="179" spans="1:10" ht="27.75" customHeight="1">
      <c r="A179" s="836" t="s">
        <v>211</v>
      </c>
      <c r="B179" s="837"/>
      <c r="C179" s="333"/>
      <c r="D179" s="228" t="s">
        <v>142</v>
      </c>
      <c r="E179" s="95">
        <f>'13'!F179</f>
        <v>34200</v>
      </c>
      <c r="F179" s="155">
        <v>34203</v>
      </c>
      <c r="G179" s="155">
        <f t="shared" ref="G179:G180" si="15">F179-E179</f>
        <v>3</v>
      </c>
      <c r="H179" s="99">
        <f>G179+'13'!H179</f>
        <v>288</v>
      </c>
      <c r="I179" s="155"/>
      <c r="J179" s="178">
        <f>H179/DAY(B2)</f>
        <v>20.571428571428573</v>
      </c>
    </row>
    <row r="180" spans="1:10" ht="27.75" customHeight="1">
      <c r="A180" s="836" t="s">
        <v>212</v>
      </c>
      <c r="B180" s="837"/>
      <c r="C180" s="333"/>
      <c r="D180" s="228" t="s">
        <v>142</v>
      </c>
      <c r="E180" s="95">
        <f>'13'!F180</f>
        <v>5566</v>
      </c>
      <c r="F180" s="155">
        <v>5581</v>
      </c>
      <c r="G180" s="155">
        <f t="shared" si="15"/>
        <v>15</v>
      </c>
      <c r="H180" s="99">
        <f>G180+'13'!H180</f>
        <v>104</v>
      </c>
      <c r="I180" s="155"/>
      <c r="J180" s="178">
        <f>H180/DAY(B2)</f>
        <v>7.4285714285714288</v>
      </c>
    </row>
    <row r="181" spans="1:10" ht="27.75" customHeight="1">
      <c r="A181" s="838" t="s">
        <v>108</v>
      </c>
      <c r="B181" s="839"/>
      <c r="C181" s="485"/>
      <c r="D181" s="228" t="s">
        <v>142</v>
      </c>
      <c r="E181" s="95"/>
      <c r="F181" s="155" t="s">
        <v>207</v>
      </c>
      <c r="G181" s="155">
        <f>SUM(G178:G180)</f>
        <v>39</v>
      </c>
      <c r="H181" s="99">
        <f>G181+'13'!H181</f>
        <v>1175</v>
      </c>
      <c r="I181" s="155"/>
      <c r="J181" s="178">
        <f>H181/DAY(B2)</f>
        <v>83.928571428571431</v>
      </c>
    </row>
    <row r="182" spans="1:10" ht="27.75" customHeight="1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36" t="s">
        <v>214</v>
      </c>
      <c r="B183" s="837"/>
      <c r="C183" s="334"/>
      <c r="D183" s="228" t="s">
        <v>142</v>
      </c>
      <c r="E183" s="95">
        <f>'13'!F183</f>
        <v>15108</v>
      </c>
      <c r="F183" s="157">
        <v>15121</v>
      </c>
      <c r="G183" s="157">
        <f>F183-E183</f>
        <v>13</v>
      </c>
      <c r="H183" s="99">
        <f>G183+'13'!H183</f>
        <v>174</v>
      </c>
      <c r="I183" s="155"/>
      <c r="J183" s="178">
        <f>H183/DAY(B2)</f>
        <v>12.428571428571429</v>
      </c>
    </row>
    <row r="184" spans="1:10" ht="27.75" customHeight="1">
      <c r="A184" s="836" t="s">
        <v>215</v>
      </c>
      <c r="B184" s="837"/>
      <c r="C184" s="334"/>
      <c r="D184" s="228" t="s">
        <v>142</v>
      </c>
      <c r="E184" s="95">
        <f>'13'!F184</f>
        <v>10389</v>
      </c>
      <c r="F184" s="157">
        <v>10393</v>
      </c>
      <c r="G184" s="157">
        <f t="shared" ref="G184:G185" si="16">F184-E184</f>
        <v>4</v>
      </c>
      <c r="H184" s="99">
        <f>G184+'13'!H184</f>
        <v>92</v>
      </c>
      <c r="I184" s="155"/>
      <c r="J184" s="178">
        <f>H184/DAY(B2)</f>
        <v>6.5714285714285712</v>
      </c>
    </row>
    <row r="185" spans="1:10" ht="27.75" customHeight="1">
      <c r="A185" s="836" t="s">
        <v>216</v>
      </c>
      <c r="B185" s="837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17</v>
      </c>
      <c r="H186" s="99">
        <f>G186+'13'!H186</f>
        <v>266</v>
      </c>
      <c r="I186" s="157"/>
      <c r="J186" s="178">
        <f>H186/DAY(B2)</f>
        <v>19</v>
      </c>
    </row>
    <row r="187" spans="1:10" ht="27.75" customHeight="1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100</v>
      </c>
      <c r="H187" s="99">
        <f>G187+'13'!H187</f>
        <v>1552</v>
      </c>
      <c r="I187" s="158"/>
      <c r="J187" s="179">
        <f>H187/DAY(B2)</f>
        <v>110.85714285714286</v>
      </c>
    </row>
    <row r="188" spans="1:10" ht="27.75" customHeight="1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99</v>
      </c>
      <c r="H188" s="99"/>
      <c r="I188" s="158"/>
      <c r="J188" s="489">
        <f>H188/DAY(B2)</f>
        <v>0</v>
      </c>
    </row>
    <row r="189" spans="1:10" ht="27.75" customHeight="1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39</v>
      </c>
      <c r="H189" s="99">
        <f>G189+'13'!H189</f>
        <v>1175</v>
      </c>
      <c r="I189" s="158"/>
      <c r="J189" s="179">
        <f>H189/DAY(B2)</f>
        <v>83.928571428571431</v>
      </c>
    </row>
    <row r="190" spans="1:10" ht="27.75" customHeight="1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Normal="80" zoomScaleSheetLayoutView="55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350</v>
      </c>
      <c r="B2" s="262">
        <v>44576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26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'14'!F7</f>
        <v>354423</v>
      </c>
      <c r="F7" s="95">
        <v>371639.75</v>
      </c>
      <c r="G7" s="236">
        <f>F7-E7</f>
        <v>17216.75</v>
      </c>
      <c r="H7" s="99">
        <f>G7+'14'!H7</f>
        <v>277078.75</v>
      </c>
      <c r="I7" s="113">
        <f>'1'!I7</f>
        <v>12000</v>
      </c>
      <c r="J7" s="175">
        <f>H7/DAY(B2)</f>
        <v>18471.916666666668</v>
      </c>
      <c r="K7" s="172">
        <v>1375467</v>
      </c>
      <c r="L7" s="66"/>
      <c r="N7" s="87">
        <f>E7-1000000</f>
        <v>-645577</v>
      </c>
      <c r="O7" s="71">
        <f>6359+17763</f>
        <v>24122</v>
      </c>
    </row>
    <row r="8" spans="1:15" ht="27.75" thickBot="1">
      <c r="A8" s="196" t="s">
        <v>131</v>
      </c>
      <c r="B8" s="197"/>
      <c r="C8" s="198"/>
      <c r="D8" s="224" t="s">
        <v>24</v>
      </c>
      <c r="E8" s="95">
        <f>'14'!F8</f>
        <v>405455</v>
      </c>
      <c r="F8" s="95">
        <v>422783.71</v>
      </c>
      <c r="G8" s="702">
        <f>F8-E8</f>
        <v>17328.710000000021</v>
      </c>
      <c r="H8" s="99">
        <f>G8+'14'!H8</f>
        <v>281898.71000000002</v>
      </c>
      <c r="I8" s="116"/>
      <c r="J8" s="175">
        <f>H8/DAY(B2)</f>
        <v>18793.247333333336</v>
      </c>
      <c r="K8" s="172">
        <v>1715917</v>
      </c>
      <c r="L8" s="76">
        <v>1728480</v>
      </c>
      <c r="M8" s="87">
        <f>L8-K8</f>
        <v>12563</v>
      </c>
      <c r="N8" s="87">
        <f>E8-1100000</f>
        <v>-694545</v>
      </c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'14'!F9</f>
        <v>65618</v>
      </c>
      <c r="F9" s="601">
        <v>76355.41</v>
      </c>
      <c r="G9" s="112">
        <f>F9-E9</f>
        <v>10737.410000000003</v>
      </c>
      <c r="H9" s="99">
        <f>G9+'14'!H9</f>
        <v>174860.41</v>
      </c>
      <c r="I9" s="124">
        <f>I7-J7</f>
        <v>-6471.9166666666679</v>
      </c>
      <c r="J9" s="175">
        <f>H9/DAY(B2)</f>
        <v>11657.360666666667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'14'!F10</f>
        <v>33645</v>
      </c>
      <c r="F10" s="353">
        <v>39677.22</v>
      </c>
      <c r="G10" s="112">
        <f>F10-E10</f>
        <v>6032.2200000000012</v>
      </c>
      <c r="H10" s="99">
        <f>G10+'14'!H10</f>
        <v>94583.22</v>
      </c>
      <c r="I10" s="282"/>
      <c r="J10" s="175">
        <f>H10/DAY(B2)</f>
        <v>6305.5479999999998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16769.630000000005</v>
      </c>
      <c r="H13" s="99">
        <f>G13+'14'!H13</f>
        <v>249978.37999999989</v>
      </c>
      <c r="I13" s="120">
        <f>G7-G13</f>
        <v>447.11999999999534</v>
      </c>
      <c r="J13" s="175">
        <f>H13/DAY(B2)</f>
        <v>16665.225333333325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'14'!F15</f>
        <v>1890635</v>
      </c>
      <c r="F15" s="123">
        <v>1891600</v>
      </c>
      <c r="G15" s="112">
        <f>(F15-E15)</f>
        <v>965</v>
      </c>
      <c r="H15" s="99">
        <f>G15+'14'!H15</f>
        <v>13170</v>
      </c>
      <c r="I15" s="113">
        <f>'1'!I15</f>
        <v>800</v>
      </c>
      <c r="J15" s="175">
        <f>H15/DAY(B2)</f>
        <v>878</v>
      </c>
      <c r="K15" s="79"/>
      <c r="L15" s="66"/>
      <c r="N15" s="87">
        <v>720584</v>
      </c>
      <c r="O15" s="71">
        <f>N15-F15</f>
        <v>-1171016</v>
      </c>
    </row>
    <row r="16" spans="1:15" ht="29.25">
      <c r="A16" s="203"/>
      <c r="B16" s="204"/>
      <c r="C16" s="204"/>
      <c r="D16" s="152"/>
      <c r="E16" s="123"/>
      <c r="G16" s="112"/>
      <c r="H16" s="124"/>
      <c r="I16" s="120">
        <f>I15-J15</f>
        <v>-78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'14'!F18</f>
        <v>6</v>
      </c>
      <c r="F18" s="122">
        <v>10</v>
      </c>
      <c r="G18" s="119">
        <f>F18*10</f>
        <v>100</v>
      </c>
      <c r="H18" s="99">
        <f>G18+'14'!H18</f>
        <v>1620</v>
      </c>
      <c r="I18" s="113">
        <f>'1'!I18</f>
        <v>65</v>
      </c>
      <c r="J18" s="175">
        <f>H18/DAY(B2)</f>
        <v>108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'14'!F19</f>
        <v>152962</v>
      </c>
      <c r="F19" s="122">
        <f>E19+55</f>
        <v>153017</v>
      </c>
      <c r="G19" s="112">
        <f t="shared" ref="G19" si="1">F19-E19</f>
        <v>55</v>
      </c>
      <c r="H19" s="99">
        <f>G19+'14'!H19</f>
        <v>792</v>
      </c>
      <c r="I19" s="335"/>
      <c r="J19" s="175">
        <f>H19/DAY(B2)</f>
        <v>52.8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G20+'14'!H20</f>
        <v>2412</v>
      </c>
      <c r="I20" s="336">
        <f>I18-J20</f>
        <v>-95.800000000000011</v>
      </c>
      <c r="J20" s="175">
        <f>H20/DAY(B2)</f>
        <v>160.80000000000001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17328.710000000021</v>
      </c>
      <c r="F27" s="136">
        <v>9</v>
      </c>
      <c r="G27" s="137">
        <f>E27*F27</f>
        <v>155958.39000000019</v>
      </c>
      <c r="H27" s="99">
        <f>G27+'14'!H27</f>
        <v>2537088.39</v>
      </c>
      <c r="I27" s="138"/>
      <c r="J27" s="175">
        <f>H27/DAY(B2)</f>
        <v>169139.226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965</v>
      </c>
      <c r="F28" s="136">
        <v>52</v>
      </c>
      <c r="G28" s="137">
        <f>E28*F28</f>
        <v>50180</v>
      </c>
      <c r="H28" s="99">
        <f>G28+'14'!H28</f>
        <v>684840</v>
      </c>
      <c r="I28" s="140"/>
      <c r="J28" s="175">
        <f>H28/DAY(B2)</f>
        <v>45656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115632</v>
      </c>
      <c r="I30" s="140"/>
      <c r="J30" s="175">
        <f>H30/DAY(B2)</f>
        <v>7708.8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G31+'14'!H31</f>
        <v>129600</v>
      </c>
      <c r="I31" s="140"/>
      <c r="J31" s="175">
        <f>H31/DAY(B2)</f>
        <v>8640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222168.39000000019</v>
      </c>
      <c r="H32" s="99">
        <f>G32+'14'!H32</f>
        <v>3467160.39</v>
      </c>
      <c r="I32" s="144"/>
      <c r="J32" s="175">
        <f>H32/DAY(B2)</f>
        <v>231144.02600000001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'14'!F35</f>
        <v>9204</v>
      </c>
      <c r="F35" s="145">
        <v>10505.84</v>
      </c>
      <c r="G35" s="112">
        <f t="shared" ref="G35:G46" si="3">F35-E35</f>
        <v>1301.8400000000001</v>
      </c>
      <c r="H35" s="99">
        <f>G35+'14'!H35</f>
        <v>25705.84</v>
      </c>
      <c r="I35" s="95"/>
      <c r="J35" s="175">
        <f>H35/DAY(B2)</f>
        <v>1713.7226666666668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'14'!F36</f>
        <v>31721</v>
      </c>
      <c r="F36" s="145">
        <v>32294.69</v>
      </c>
      <c r="G36" s="112">
        <f t="shared" si="3"/>
        <v>573.68999999999869</v>
      </c>
      <c r="H36" s="99">
        <f>G36+'14'!H36</f>
        <v>10767.689999999999</v>
      </c>
      <c r="I36" s="95"/>
      <c r="J36" s="175">
        <f>H36/DAY(B2)</f>
        <v>717.84599999999989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'14'!F37</f>
        <v>8830</v>
      </c>
      <c r="F37" s="145">
        <v>10327.74</v>
      </c>
      <c r="G37" s="112">
        <f t="shared" si="3"/>
        <v>1497.7399999999998</v>
      </c>
      <c r="H37" s="99">
        <f>G37+'14'!H37</f>
        <v>22539.739999999998</v>
      </c>
      <c r="I37" s="95"/>
      <c r="J37" s="175">
        <f>H37/DAY(B2)</f>
        <v>1502.6493333333333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'14'!F38</f>
        <v>9552</v>
      </c>
      <c r="F38" s="108">
        <v>10938.95</v>
      </c>
      <c r="G38" s="112">
        <f t="shared" si="3"/>
        <v>1386.9500000000007</v>
      </c>
      <c r="H38" s="99">
        <f>G38+'14'!H38</f>
        <v>24138.95</v>
      </c>
      <c r="I38" s="95"/>
      <c r="J38" s="175">
        <f>H38/DAY(B2)</f>
        <v>1609.2633333333333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'14'!F39</f>
        <v>15015</v>
      </c>
      <c r="F39" s="145">
        <v>17509.900000000001</v>
      </c>
      <c r="G39" s="112">
        <f t="shared" si="3"/>
        <v>2494.9000000000015</v>
      </c>
      <c r="H39" s="99">
        <f>G39+'14'!H39</f>
        <v>39191.9</v>
      </c>
      <c r="I39" s="95"/>
      <c r="J39" s="175">
        <f>H39/DAY(B2)</f>
        <v>2612.7933333333335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'14'!F40</f>
        <v>12011</v>
      </c>
      <c r="F40" s="145">
        <v>12504</v>
      </c>
      <c r="G40" s="112">
        <f t="shared" si="3"/>
        <v>493</v>
      </c>
      <c r="H40" s="99">
        <f>G40+'14'!H40</f>
        <v>6894</v>
      </c>
      <c r="I40" s="95"/>
      <c r="J40" s="175">
        <f>H40/DAY(B2)</f>
        <v>459.6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'14'!F42</f>
        <v>73809</v>
      </c>
      <c r="F42" s="145">
        <v>73808.600000000006</v>
      </c>
      <c r="G42" s="112">
        <f t="shared" si="3"/>
        <v>-0.39999999999417923</v>
      </c>
      <c r="H42" s="99">
        <f>G42+'14'!H42</f>
        <v>-0.39999999999417923</v>
      </c>
      <c r="I42" s="95"/>
      <c r="J42" s="175">
        <f>H42/DAY(B2)</f>
        <v>-2.6666666666278614E-2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'14'!F43</f>
        <v>78740</v>
      </c>
      <c r="F43" s="145">
        <v>80752.710000000006</v>
      </c>
      <c r="G43" s="112">
        <f t="shared" si="3"/>
        <v>2012.7100000000064</v>
      </c>
      <c r="H43" s="99">
        <f>G43+'14'!H43</f>
        <v>33491.710000000006</v>
      </c>
      <c r="I43" s="95"/>
      <c r="J43" s="175">
        <f>H43/DAY(B2)</f>
        <v>2232.780666666667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9760.430000000013</v>
      </c>
      <c r="H47" s="99">
        <f>G47+'14'!H47</f>
        <v>162729.43000000002</v>
      </c>
      <c r="I47" s="95"/>
      <c r="J47" s="175">
        <f>H47/DAY(B2)</f>
        <v>10848.628666666667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'14'!F49</f>
        <v>7406</v>
      </c>
      <c r="F49" s="145">
        <v>8656.59</v>
      </c>
      <c r="G49" s="112">
        <f t="shared" ref="G49:G58" si="4">F49-E49</f>
        <v>1250.5900000000001</v>
      </c>
      <c r="H49" s="99">
        <f>G49+'14'!H49</f>
        <v>21777.59</v>
      </c>
      <c r="I49" s="95"/>
      <c r="J49" s="175">
        <f>H49/DAY(B2)</f>
        <v>1451.8393333333333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'14'!F50</f>
        <v>38515</v>
      </c>
      <c r="F50" s="145">
        <v>39417.730000000003</v>
      </c>
      <c r="G50" s="112">
        <f t="shared" si="4"/>
        <v>902.7300000000032</v>
      </c>
      <c r="H50" s="99">
        <f>G50+'14'!H50</f>
        <v>14767.730000000003</v>
      </c>
      <c r="I50" s="95"/>
      <c r="J50" s="175">
        <f>H50/DAY(B2)</f>
        <v>984.5153333333335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'14'!F54</f>
        <v>3141</v>
      </c>
      <c r="F54" s="145">
        <v>3661.51</v>
      </c>
      <c r="G54" s="112">
        <f t="shared" si="4"/>
        <v>520.51000000000022</v>
      </c>
      <c r="H54" s="99">
        <f>G54+'14'!H54</f>
        <v>5428.59</v>
      </c>
      <c r="I54" s="95"/>
      <c r="J54" s="175">
        <f>H54/DAY(B2)</f>
        <v>361.90600000000001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'14'!F55</f>
        <v>45702</v>
      </c>
      <c r="F55" s="145">
        <v>48711.23</v>
      </c>
      <c r="G55" s="112">
        <f t="shared" si="4"/>
        <v>3009.2300000000032</v>
      </c>
      <c r="H55" s="99">
        <f>G55+'14'!H55</f>
        <v>45200.23</v>
      </c>
      <c r="I55" s="95"/>
      <c r="J55" s="175">
        <f>H55/DAY(B2)</f>
        <v>3013.3486666666668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'14'!F56</f>
        <v>8611</v>
      </c>
      <c r="F56" s="145">
        <v>8610.5400000000009</v>
      </c>
      <c r="G56" s="112">
        <f t="shared" si="4"/>
        <v>-0.45999999999912689</v>
      </c>
      <c r="H56" s="99">
        <f>G56+'14'!H56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'14'!F58</f>
        <v>1632</v>
      </c>
      <c r="F58" s="145">
        <v>1811.04</v>
      </c>
      <c r="G58" s="112">
        <f t="shared" si="4"/>
        <v>179.03999999999996</v>
      </c>
      <c r="H58" s="99">
        <f>G58+'14'!H58</f>
        <v>2151.6700000000046</v>
      </c>
      <c r="I58" s="95"/>
      <c r="J58" s="175">
        <f>H58/DAY(B2)</f>
        <v>143.44466666666696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5861.6400000000076</v>
      </c>
      <c r="H59" s="99">
        <f>G59+'14'!H59</f>
        <v>89325.810000000027</v>
      </c>
      <c r="I59" s="95">
        <f>G7-G60</f>
        <v>1594.6799999999785</v>
      </c>
      <c r="J59" s="175">
        <f>H59/DAY(B2)</f>
        <v>5955.0540000000019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15622.070000000022</v>
      </c>
      <c r="H60" s="99">
        <f>G60+'14'!H60</f>
        <v>252055.24</v>
      </c>
      <c r="I60" s="95">
        <f>G13-G60</f>
        <v>1147.5599999999831</v>
      </c>
      <c r="J60" s="175">
        <f>H60/DAY(B2)</f>
        <v>16803.682666666668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'14'!F62</f>
        <v>268028</v>
      </c>
      <c r="F62" s="122">
        <v>268107</v>
      </c>
      <c r="G62" s="112">
        <f t="shared" ref="G62:G63" si="5">F62-E62</f>
        <v>79</v>
      </c>
      <c r="H62" s="99">
        <f>G62+'14'!H62</f>
        <v>894</v>
      </c>
      <c r="I62" s="118"/>
      <c r="J62" s="175">
        <f>H62/DAY(B2)</f>
        <v>59.6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'14'!F63</f>
        <v>213848</v>
      </c>
      <c r="F63" s="122">
        <v>213943</v>
      </c>
      <c r="G63" s="112">
        <f t="shared" si="5"/>
        <v>95</v>
      </c>
      <c r="H63" s="99">
        <f>G63+'14'!H63</f>
        <v>1518</v>
      </c>
      <c r="I63" s="118"/>
      <c r="J63" s="175">
        <f>H63/DAY(B2)</f>
        <v>101.2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'14'!F64</f>
        <v>0</v>
      </c>
      <c r="F64" s="122"/>
      <c r="G64" s="112">
        <f>G62+G63</f>
        <v>174</v>
      </c>
      <c r="H64" s="99">
        <f>G64+'14'!H64</f>
        <v>2412</v>
      </c>
      <c r="I64" s="118"/>
      <c r="J64" s="175">
        <f>H64/DAY(B2)</f>
        <v>160.80000000000001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'14'!F65</f>
        <v>433595</v>
      </c>
      <c r="F65" s="122">
        <v>433665</v>
      </c>
      <c r="G65" s="112">
        <f t="shared" ref="G65:G70" si="6">F65-E65</f>
        <v>70</v>
      </c>
      <c r="H65" s="99">
        <f>G65+'14'!H65</f>
        <v>1051</v>
      </c>
      <c r="I65" s="118"/>
      <c r="J65" s="175">
        <f>H65/DAY(B2)</f>
        <v>70.066666666666663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'14'!F66</f>
        <v>107455</v>
      </c>
      <c r="F66" s="122">
        <v>107472</v>
      </c>
      <c r="G66" s="112">
        <f t="shared" si="6"/>
        <v>17</v>
      </c>
      <c r="H66" s="99">
        <f>G66+'14'!H66</f>
        <v>258</v>
      </c>
      <c r="I66" s="118"/>
      <c r="J66" s="175">
        <f>H66/DAY(B2)</f>
        <v>17.2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'14'!F67</f>
        <v>104254</v>
      </c>
      <c r="F67" s="122">
        <v>104277</v>
      </c>
      <c r="G67" s="112">
        <f t="shared" si="6"/>
        <v>23</v>
      </c>
      <c r="H67" s="99">
        <f>G67+'14'!H67</f>
        <v>349</v>
      </c>
      <c r="I67" s="118"/>
      <c r="J67" s="175">
        <f>H67/DAY(B2)</f>
        <v>23.266666666666666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'14'!F68</f>
        <v>156983</v>
      </c>
      <c r="F68" s="122">
        <v>157006</v>
      </c>
      <c r="G68" s="112">
        <f t="shared" si="6"/>
        <v>23</v>
      </c>
      <c r="H68" s="99">
        <f>G68+'14'!H68</f>
        <v>386</v>
      </c>
      <c r="I68" s="118"/>
      <c r="J68" s="175">
        <f>H68/DAY(B2)</f>
        <v>25.733333333333334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'14'!F69</f>
        <v>10352</v>
      </c>
      <c r="F69" s="122">
        <v>10363</v>
      </c>
      <c r="G69" s="112">
        <f t="shared" si="6"/>
        <v>11</v>
      </c>
      <c r="H69" s="99">
        <f>G69+'14'!H69</f>
        <v>149</v>
      </c>
      <c r="I69" s="118"/>
      <c r="J69" s="175">
        <f>H69/DAY(B2)</f>
        <v>9.9333333333333336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'14'!F70</f>
        <v>7970</v>
      </c>
      <c r="F70" s="122">
        <v>7977</v>
      </c>
      <c r="G70" s="112">
        <f t="shared" si="6"/>
        <v>7</v>
      </c>
      <c r="H70" s="99">
        <f>G70+'14'!H70</f>
        <v>115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151</v>
      </c>
      <c r="H71" s="99">
        <f>G71+'14'!H71</f>
        <v>2308</v>
      </c>
      <c r="I71" s="154"/>
      <c r="J71" s="175">
        <f>H71/DAY(B2)</f>
        <v>153.86666666666667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'14'!F74</f>
        <v>896156</v>
      </c>
      <c r="F74" s="123">
        <v>896469</v>
      </c>
      <c r="G74" s="112">
        <f t="shared" ref="G74:G78" si="7">F74-E74</f>
        <v>313</v>
      </c>
      <c r="H74" s="99">
        <f>G74+'14'!H74</f>
        <v>4437</v>
      </c>
      <c r="I74" s="154"/>
      <c r="J74" s="175">
        <f>H74/DAY(B2)</f>
        <v>295.8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'14'!F76</f>
        <v>168392</v>
      </c>
      <c r="F76" s="123">
        <v>168467</v>
      </c>
      <c r="G76" s="112">
        <f t="shared" si="7"/>
        <v>75</v>
      </c>
      <c r="H76" s="99">
        <f>G76+'14'!H76</f>
        <v>1260</v>
      </c>
      <c r="I76" s="154"/>
      <c r="J76" s="175">
        <f>H76/DAY(B2)</f>
        <v>84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'14'!F77</f>
        <v>40745</v>
      </c>
      <c r="F77" s="123">
        <v>40771.4</v>
      </c>
      <c r="G77" s="112">
        <f t="shared" si="7"/>
        <v>26.400000000001455</v>
      </c>
      <c r="H77" s="99">
        <f>G77+'14'!H77</f>
        <v>455.40000000000146</v>
      </c>
      <c r="I77" s="154"/>
      <c r="J77" s="175">
        <f>H77/DAY(B2)</f>
        <v>30.360000000000095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'14'!F78</f>
        <v>9497</v>
      </c>
      <c r="F78" s="123">
        <v>9498</v>
      </c>
      <c r="G78" s="112">
        <f t="shared" si="7"/>
        <v>1</v>
      </c>
      <c r="H78" s="99">
        <f>G78+'14'!H78</f>
        <v>12</v>
      </c>
      <c r="I78" s="118"/>
      <c r="J78" s="175">
        <f>H78/DAY(B2)</f>
        <v>0.8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'14'!F79</f>
        <v>0</v>
      </c>
      <c r="F79" s="123"/>
      <c r="G79" s="112">
        <f>G15-SUM(G74:G78)</f>
        <v>549.59999999999854</v>
      </c>
      <c r="H79" s="99">
        <f>G79+'14'!H79</f>
        <v>7005.4000000000015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965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'14'!F85</f>
        <v>2096.5500000000002</v>
      </c>
      <c r="F85" s="164">
        <v>2096.5500000000002</v>
      </c>
      <c r="G85" s="112">
        <f t="shared" si="8"/>
        <v>0</v>
      </c>
      <c r="H85" s="99">
        <f>G85+'14'!H85</f>
        <v>-9.9999999997635314E-3</v>
      </c>
      <c r="I85" s="118">
        <f>G82+G83+G84+G85</f>
        <v>0</v>
      </c>
      <c r="J85" s="175">
        <f>H85/DAY(B2)</f>
        <v>-6.6666666665090213E-4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'14'!F86</f>
        <v>43200</v>
      </c>
      <c r="F86" s="164">
        <v>43224.49</v>
      </c>
      <c r="G86" s="112">
        <f t="shared" si="8"/>
        <v>24.489999999997963</v>
      </c>
      <c r="H86" s="99">
        <f>G86+'14'!H86</f>
        <v>361.48999999999796</v>
      </c>
      <c r="I86" s="118"/>
      <c r="J86" s="175">
        <f>H86/DAY(B2)</f>
        <v>24.099333333333199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'14'!F87</f>
        <v>34598.550000000003</v>
      </c>
      <c r="F87" s="164">
        <v>34598.550000000003</v>
      </c>
      <c r="G87" s="112">
        <f t="shared" si="8"/>
        <v>0</v>
      </c>
      <c r="H87" s="99">
        <f>G87+'14'!H87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'14'!F88</f>
        <v>24059.27</v>
      </c>
      <c r="F88" s="164">
        <v>24059.29</v>
      </c>
      <c r="G88" s="112">
        <f t="shared" si="8"/>
        <v>2.0000000000436557E-2</v>
      </c>
      <c r="H88" s="99">
        <f>G88+'14'!H88</f>
        <v>12.290000000000873</v>
      </c>
      <c r="I88" s="118">
        <f>G86+G87+G88</f>
        <v>24.509999999998399</v>
      </c>
      <c r="J88" s="175">
        <f>H88/DAY(B2)</f>
        <v>0.81933333333339153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'14'!F89</f>
        <v>25742.99</v>
      </c>
      <c r="F89" s="164">
        <v>25752.95</v>
      </c>
      <c r="G89" s="112">
        <f t="shared" si="8"/>
        <v>9.9599999999991269</v>
      </c>
      <c r="H89" s="99">
        <f>G89+'14'!H89</f>
        <v>89.950000000000728</v>
      </c>
      <c r="I89" s="118"/>
      <c r="J89" s="175">
        <f>H89/DAY(B2)</f>
        <v>5.996666666666715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'14'!F90</f>
        <v>71113.53</v>
      </c>
      <c r="F90" s="164">
        <v>71116.47</v>
      </c>
      <c r="G90" s="112">
        <f t="shared" si="8"/>
        <v>2.9400000000023283</v>
      </c>
      <c r="H90" s="99">
        <f>G90+'14'!H90</f>
        <v>82.470000000001164</v>
      </c>
      <c r="I90" s="118">
        <f>G89+G90</f>
        <v>12.900000000001455</v>
      </c>
      <c r="J90" s="175">
        <f>H90/DAY(B2)</f>
        <v>5.4980000000000775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'14'!F92</f>
        <v>5582.77</v>
      </c>
      <c r="F92" s="122">
        <v>5593.79</v>
      </c>
      <c r="G92" s="112">
        <f t="shared" si="8"/>
        <v>11.019999999999527</v>
      </c>
      <c r="H92" s="99">
        <f>G92+'14'!H92</f>
        <v>155.78999999999996</v>
      </c>
      <c r="I92" s="165"/>
      <c r="J92" s="175">
        <f>H92/DAY(B2)</f>
        <v>10.385999999999997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4565.1400000000067</v>
      </c>
      <c r="H94" s="99">
        <f>G94+'14'!H94</f>
        <v>80975.140000000014</v>
      </c>
      <c r="I94" s="118"/>
      <c r="J94" s="175">
        <f>H94/DAY(B2)</f>
        <v>5398.3426666666674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0.26515689662683184</v>
      </c>
      <c r="H95" s="99">
        <f>G95+'14'!H95</f>
        <v>4.3737691452652454</v>
      </c>
      <c r="I95" s="167"/>
      <c r="J95" s="175">
        <f>H95/DAY(B2)</f>
        <v>0.29158460968434968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3008.3700000000099</v>
      </c>
      <c r="H96" s="99">
        <f>G96+'14'!H96</f>
        <v>45199.830000000009</v>
      </c>
      <c r="I96" s="118"/>
      <c r="J96" s="175">
        <f>H96/DAY(B2)</f>
        <v>3013.3220000000006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0.17473506904613298</v>
      </c>
      <c r="H97" s="99">
        <f>G97+'14'!H97</f>
        <v>2.4538708962763893</v>
      </c>
      <c r="I97" s="167"/>
      <c r="J97" s="175">
        <f>H97/DAY(B2)</f>
        <v>0.16359139308509263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2494.9000000000015</v>
      </c>
      <c r="H98" s="99">
        <f>G98+'14'!H98</f>
        <v>39191.9</v>
      </c>
      <c r="I98" s="168"/>
      <c r="J98" s="175">
        <f>H98/DAY(B2)</f>
        <v>2612.7933333333335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0.14491120565728152</v>
      </c>
      <c r="H99" s="99">
        <f>G99+'14'!H99</f>
        <v>2.1271521603459389</v>
      </c>
      <c r="I99" s="168"/>
      <c r="J99" s="175">
        <f>H99/DAY(B2)</f>
        <v>0.14181014402306261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1386.9500000000007</v>
      </c>
      <c r="H100" s="99">
        <f>G100+'14'!H100</f>
        <v>24138.95</v>
      </c>
      <c r="I100" s="118"/>
      <c r="J100" s="175">
        <f>H100/DAY(B2)</f>
        <v>1609.2633333333333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8.0558177356353594E-2</v>
      </c>
      <c r="H101" s="99">
        <f>G101+'14'!H101</f>
        <v>1.3107873543037112</v>
      </c>
      <c r="I101" s="168"/>
      <c r="J101" s="175">
        <f>H101/DAY(B2)</f>
        <v>8.738582362024741E-2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1476.4200000000019</v>
      </c>
      <c r="H102" s="99">
        <f>G102+'14'!H102</f>
        <v>25535.420000000002</v>
      </c>
      <c r="I102" s="168"/>
      <c r="J102" s="175">
        <f>H102/DAY(B2)</f>
        <v>1702.3613333333335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8.5754860818679599E-2</v>
      </c>
      <c r="H103" s="99">
        <f>G103+'14'!H103</f>
        <v>1.3790733791876622</v>
      </c>
      <c r="I103" s="118"/>
      <c r="J103" s="175">
        <f>H103/DAY(B2)</f>
        <v>9.1938225279177471E-2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1497.7399999999998</v>
      </c>
      <c r="H104" s="99">
        <f>G104+'14'!H104</f>
        <v>22539.739999999998</v>
      </c>
      <c r="I104" s="118"/>
      <c r="J104" s="175">
        <f>H104/DAY(B2)</f>
        <v>1502.6493333333333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8.6993189771588708E-2</v>
      </c>
      <c r="H105" s="99">
        <f>G105+'14'!H105</f>
        <v>1.2254857633090417</v>
      </c>
      <c r="I105" s="187"/>
      <c r="J105" s="188">
        <f>H105/DAY(B2)</f>
        <v>8.1699050887269448E-2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'14'!F112</f>
        <v>56733</v>
      </c>
      <c r="F112" s="237">
        <v>56809.7</v>
      </c>
      <c r="G112" s="112">
        <f t="shared" ref="G112:G123" si="9">F112-E112</f>
        <v>76.69999999999709</v>
      </c>
      <c r="H112" s="99">
        <f>G112+'14'!H112</f>
        <v>1128.6999999999971</v>
      </c>
      <c r="I112" s="165"/>
      <c r="J112" s="328">
        <f>H112/DAY(B2)</f>
        <v>75.246666666666471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'14'!F113</f>
        <v>38500</v>
      </c>
      <c r="F113" s="237">
        <v>38954.32</v>
      </c>
      <c r="G113" s="112">
        <f t="shared" si="9"/>
        <v>454.31999999999971</v>
      </c>
      <c r="H113" s="99">
        <f>G113+'14'!H113</f>
        <v>6759.32</v>
      </c>
      <c r="I113" s="165"/>
      <c r="J113" s="328">
        <f>H113/DAY(B2)</f>
        <v>450.62133333333333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'14'!F114</f>
        <v>28585</v>
      </c>
      <c r="F114" s="237">
        <v>28847.5</v>
      </c>
      <c r="G114" s="112">
        <f t="shared" si="9"/>
        <v>262.5</v>
      </c>
      <c r="H114" s="99">
        <f>G114+'14'!H114</f>
        <v>3976.5</v>
      </c>
      <c r="I114" s="165"/>
      <c r="J114" s="328">
        <f>H114/DAY(B2)</f>
        <v>265.10000000000002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'14'!F115</f>
        <v>8926</v>
      </c>
      <c r="F115" s="237">
        <v>8936.6299999999992</v>
      </c>
      <c r="G115" s="112">
        <f t="shared" si="9"/>
        <v>10.6299999999992</v>
      </c>
      <c r="H115" s="99">
        <f>G115+'14'!H115</f>
        <v>151.6299999999992</v>
      </c>
      <c r="I115" s="165"/>
      <c r="J115" s="328">
        <f>H115/DAY(B2)</f>
        <v>10.108666666666613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28">
        <f>H116/DAY(B2)</f>
        <v>0</v>
      </c>
      <c r="Q116" s="843"/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'14'!F117</f>
        <v>2930</v>
      </c>
      <c r="F117" s="237">
        <v>2953.8739999999998</v>
      </c>
      <c r="G117" s="112">
        <f t="shared" si="9"/>
        <v>23.873999999999796</v>
      </c>
      <c r="H117" s="99">
        <f>G117+'14'!H117</f>
        <v>363.8739999999998</v>
      </c>
      <c r="I117" s="165"/>
      <c r="J117" s="328">
        <f>H117/DAY(B2)</f>
        <v>24.258266666666653</v>
      </c>
      <c r="Q117" s="843"/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'14'!F118</f>
        <v>246716</v>
      </c>
      <c r="F118" s="237">
        <v>247040.19</v>
      </c>
      <c r="G118" s="112">
        <f t="shared" si="9"/>
        <v>324.19000000000233</v>
      </c>
      <c r="H118" s="99">
        <f>G118+'14'!H118</f>
        <v>5393.1900000000023</v>
      </c>
      <c r="I118" s="165"/>
      <c r="J118" s="328">
        <f>H118/DAY(B2)</f>
        <v>359.54600000000016</v>
      </c>
      <c r="Q118" s="843"/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'14'!F119</f>
        <v>250981</v>
      </c>
      <c r="F119" s="237">
        <v>251326.27</v>
      </c>
      <c r="G119" s="112">
        <f t="shared" si="9"/>
        <v>345.26999999998952</v>
      </c>
      <c r="H119" s="99">
        <f>G119+'14'!H119</f>
        <v>6200.2699999999895</v>
      </c>
      <c r="I119" s="165"/>
      <c r="J119" s="328">
        <f>H119/DAY(B2)</f>
        <v>413.35133333333266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'14'!F120</f>
        <v>35858</v>
      </c>
      <c r="F120" s="237">
        <v>36276</v>
      </c>
      <c r="G120" s="112">
        <f t="shared" si="9"/>
        <v>418</v>
      </c>
      <c r="H120" s="99">
        <f>G120+'14'!H120</f>
        <v>6198</v>
      </c>
      <c r="I120" s="165"/>
      <c r="J120" s="328">
        <f>H120/DAY(B2)</f>
        <v>413.2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'14'!F121</f>
        <v>386422</v>
      </c>
      <c r="F121" s="237">
        <v>387067.19</v>
      </c>
      <c r="G121" s="112">
        <f t="shared" si="9"/>
        <v>645.19000000000233</v>
      </c>
      <c r="H121" s="99">
        <f>G121+'14'!H121</f>
        <v>10538.190000000002</v>
      </c>
      <c r="I121" s="165"/>
      <c r="J121" s="328">
        <f>H121/DAY(B2)</f>
        <v>702.54600000000016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'14'!F122</f>
        <v>122996</v>
      </c>
      <c r="F122" s="237">
        <v>123179.84</v>
      </c>
      <c r="G122" s="112">
        <f t="shared" si="9"/>
        <v>183.83999999999651</v>
      </c>
      <c r="H122" s="99">
        <f>G122+'14'!H122</f>
        <v>3129.8399999999965</v>
      </c>
      <c r="I122" s="165"/>
      <c r="J122" s="328">
        <f>H122/DAY(B2)</f>
        <v>208.65599999999978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'14'!F123</f>
        <v>149480</v>
      </c>
      <c r="F123" s="237">
        <v>149710.64000000001</v>
      </c>
      <c r="G123" s="112">
        <f t="shared" si="9"/>
        <v>230.64000000001397</v>
      </c>
      <c r="H123" s="99">
        <f>G123+'14'!H123</f>
        <v>4585.640000000014</v>
      </c>
      <c r="I123" s="165"/>
      <c r="J123" s="328">
        <f>H123/DAY(B2)</f>
        <v>305.70933333333426</v>
      </c>
    </row>
    <row r="124" spans="1:18" ht="29.25" customHeight="1">
      <c r="A124" s="847"/>
      <c r="B124" s="848"/>
      <c r="C124" s="849"/>
      <c r="D124" s="165"/>
      <c r="E124" s="165"/>
      <c r="F124" s="165"/>
      <c r="G124" s="327"/>
      <c r="H124" s="156"/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2975.1540000000005</v>
      </c>
      <c r="H125" s="156"/>
      <c r="I125" s="327">
        <f>G125-(G39+G53)</f>
        <v>480.253999999999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'14'!F128</f>
        <v>42485</v>
      </c>
      <c r="F128" s="165">
        <v>42785.57</v>
      </c>
      <c r="G128" s="112">
        <f t="shared" ref="G128:G134" si="10">F128-E128</f>
        <v>300.56999999999971</v>
      </c>
      <c r="H128" s="99">
        <f>G128+'14'!H128</f>
        <v>4781.57</v>
      </c>
      <c r="I128" s="165"/>
      <c r="J128" s="328">
        <f>H128/DAY(B2)</f>
        <v>318.7713333333333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'14'!F129</f>
        <v>23362</v>
      </c>
      <c r="F129" s="165">
        <v>23631.14</v>
      </c>
      <c r="G129" s="112">
        <f t="shared" si="10"/>
        <v>269.13999999999942</v>
      </c>
      <c r="H129" s="99">
        <f>G129+'14'!H129</f>
        <v>3310.1399999999994</v>
      </c>
      <c r="I129" s="165"/>
      <c r="J129" s="328">
        <f>H129/DAY(B2)</f>
        <v>220.67599999999996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'14'!F130</f>
        <v>26885</v>
      </c>
      <c r="F130" s="165">
        <v>27414.32</v>
      </c>
      <c r="G130" s="112">
        <f t="shared" si="10"/>
        <v>529.31999999999971</v>
      </c>
      <c r="H130" s="99">
        <f>G130+'14'!H130</f>
        <v>9032.32</v>
      </c>
      <c r="I130" s="165"/>
      <c r="J130" s="328">
        <f>H130/DAY(B2)</f>
        <v>602.15466666666669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'14'!F131</f>
        <v>14167</v>
      </c>
      <c r="F131" s="165">
        <v>14237.01</v>
      </c>
      <c r="G131" s="112">
        <f t="shared" si="10"/>
        <v>70.010000000000218</v>
      </c>
      <c r="H131" s="99">
        <f>G131+'14'!H131</f>
        <v>1084.0100000000002</v>
      </c>
      <c r="I131" s="165"/>
      <c r="J131" s="328">
        <f>H131/DAY(B2)</f>
        <v>72.267333333333355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'14'!F132</f>
        <v>47795</v>
      </c>
      <c r="F132" s="165">
        <v>48296.4</v>
      </c>
      <c r="G132" s="112">
        <f t="shared" si="10"/>
        <v>501.40000000000146</v>
      </c>
      <c r="H132" s="99">
        <f>G132+'14'!H132</f>
        <v>7273.4000000000015</v>
      </c>
      <c r="I132" s="165"/>
      <c r="J132" s="328">
        <f>H132/DAY(B2)</f>
        <v>484.89333333333343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'14'!F133</f>
        <v>96727</v>
      </c>
      <c r="F133" s="165">
        <v>97125.27</v>
      </c>
      <c r="G133" s="112">
        <f t="shared" si="10"/>
        <v>398.27000000000407</v>
      </c>
      <c r="H133" s="99">
        <f>G133+'14'!H133</f>
        <v>9422.2700000000041</v>
      </c>
      <c r="I133" s="165"/>
      <c r="J133" s="328">
        <f>H133/DAY(B2)</f>
        <v>628.15133333333358</v>
      </c>
    </row>
    <row r="134" spans="1:15" s="493" customFormat="1" ht="27.75">
      <c r="A134" s="917" t="s">
        <v>340</v>
      </c>
      <c r="B134" s="918"/>
      <c r="C134" s="919"/>
      <c r="D134" s="233" t="s">
        <v>183</v>
      </c>
      <c r="E134" s="490">
        <f>'14'!F134</f>
        <v>5719</v>
      </c>
      <c r="F134" s="158">
        <v>5870.57</v>
      </c>
      <c r="G134" s="236">
        <f t="shared" si="10"/>
        <v>151.56999999999971</v>
      </c>
      <c r="H134" s="238">
        <f>G134+'14'!H134</f>
        <v>8164.57</v>
      </c>
      <c r="I134" s="158"/>
      <c r="J134" s="492">
        <f>H134/DAY(B2)</f>
        <v>544.30466666666666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2220.2800000000043</v>
      </c>
      <c r="H135" s="99">
        <f>G135+'10'!H135</f>
        <v>33444.280000000006</v>
      </c>
      <c r="I135" s="327">
        <f>G135-(G35+G49)</f>
        <v>-332.149999999996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'14'!F138</f>
        <v>865054</v>
      </c>
      <c r="F138" s="147">
        <v>865110</v>
      </c>
      <c r="G138" s="112">
        <f t="shared" ref="G138:G152" si="11">F138-E138</f>
        <v>56</v>
      </c>
      <c r="H138" s="99">
        <f>G138+'14'!H138</f>
        <v>939</v>
      </c>
      <c r="I138" s="118"/>
      <c r="J138" s="328">
        <f>H138/DAY(B2)</f>
        <v>62.6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'14'!F139</f>
        <v>886549</v>
      </c>
      <c r="F139" s="148">
        <v>886550</v>
      </c>
      <c r="G139" s="112">
        <f t="shared" si="11"/>
        <v>1</v>
      </c>
      <c r="H139" s="99">
        <f>G139+'14'!H139</f>
        <v>4</v>
      </c>
      <c r="I139" s="118"/>
      <c r="J139" s="328">
        <f>H139/DAY(B2)</f>
        <v>0.26666666666666666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'14'!F140</f>
        <v>88898</v>
      </c>
      <c r="F140" s="149">
        <v>88898</v>
      </c>
      <c r="G140" s="112">
        <f t="shared" si="11"/>
        <v>0</v>
      </c>
      <c r="H140" s="99">
        <f>G140+'14'!H140</f>
        <v>16</v>
      </c>
      <c r="I140" s="118"/>
      <c r="J140" s="328">
        <f>H140/DAY(B2)</f>
        <v>1.0666666666666667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'14'!F141</f>
        <v>51735</v>
      </c>
      <c r="F141" s="149">
        <v>51910.98</v>
      </c>
      <c r="G141" s="112">
        <f t="shared" si="11"/>
        <v>175.9800000000032</v>
      </c>
      <c r="H141" s="99">
        <f>G141+'14'!H141</f>
        <v>2604.9800000000032</v>
      </c>
      <c r="I141" s="118"/>
      <c r="J141" s="328">
        <f>H141/DAY(B2)</f>
        <v>173.66533333333354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'14'!F142</f>
        <v>19971</v>
      </c>
      <c r="F142" s="148">
        <v>20042.919999999998</v>
      </c>
      <c r="G142" s="112">
        <f t="shared" si="11"/>
        <v>71.919999999998254</v>
      </c>
      <c r="H142" s="99">
        <f>G142+'14'!H142</f>
        <v>1033.9199999999983</v>
      </c>
      <c r="I142" s="140"/>
      <c r="J142" s="328">
        <f>H142/DAY(B2)</f>
        <v>68.927999999999884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'14'!F143</f>
        <v>3390</v>
      </c>
      <c r="F143" s="149">
        <v>3416.07</v>
      </c>
      <c r="G143" s="112">
        <f t="shared" si="11"/>
        <v>26.070000000000164</v>
      </c>
      <c r="H143" s="99">
        <f>G143+'14'!H143</f>
        <v>355.07000000000016</v>
      </c>
      <c r="I143" s="140"/>
      <c r="J143" s="328">
        <f>H143/DAY(B2)</f>
        <v>23.671333333333344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'14'!F144</f>
        <v>872833</v>
      </c>
      <c r="F144" s="149">
        <v>873064</v>
      </c>
      <c r="G144" s="112">
        <f t="shared" si="11"/>
        <v>231</v>
      </c>
      <c r="H144" s="99">
        <f>G144+'14'!H144</f>
        <v>3394</v>
      </c>
      <c r="I144" s="140"/>
      <c r="J144" s="328">
        <f>H144/DAY(B2)</f>
        <v>226.26666666666668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'14'!F145</f>
        <v>4768</v>
      </c>
      <c r="F145" s="149">
        <v>4782.42</v>
      </c>
      <c r="G145" s="112">
        <f t="shared" si="11"/>
        <v>14.420000000000073</v>
      </c>
      <c r="H145" s="99">
        <f>G145+'14'!H145</f>
        <v>224.42000000000007</v>
      </c>
      <c r="I145" s="140"/>
      <c r="J145" s="328">
        <f>H145/DAY(B2)</f>
        <v>14.961333333333338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'14'!F146</f>
        <v>730506</v>
      </c>
      <c r="F146" s="148">
        <v>730887</v>
      </c>
      <c r="G146" s="112">
        <f t="shared" si="11"/>
        <v>381</v>
      </c>
      <c r="H146" s="99">
        <f>G146+'14'!H146</f>
        <v>6029</v>
      </c>
      <c r="I146" s="140"/>
      <c r="J146" s="328">
        <f>H146/DAY(B2)</f>
        <v>401.93333333333334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'14'!F147</f>
        <v>620452</v>
      </c>
      <c r="F147" s="148">
        <v>620842.84</v>
      </c>
      <c r="G147" s="112">
        <f t="shared" si="11"/>
        <v>390.8399999999674</v>
      </c>
      <c r="H147" s="99">
        <f>G147+'14'!H147</f>
        <v>5560.8399999999674</v>
      </c>
      <c r="I147" s="140"/>
      <c r="J147" s="328">
        <f>H147/DAY(B2)</f>
        <v>370.72266666666451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'14'!F148</f>
        <v>686351</v>
      </c>
      <c r="F148" s="150">
        <v>686532.56</v>
      </c>
      <c r="G148" s="112">
        <f t="shared" si="11"/>
        <v>181.56000000005588</v>
      </c>
      <c r="H148" s="99">
        <f>G148+'14'!H148</f>
        <v>3499.4400000000605</v>
      </c>
      <c r="I148" s="124"/>
      <c r="J148" s="328">
        <f>H148/DAY(B2)</f>
        <v>233.29600000000403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'14'!F149</f>
        <v>16465</v>
      </c>
      <c r="F149" s="146">
        <v>16915.34</v>
      </c>
      <c r="G149" s="112">
        <f t="shared" si="11"/>
        <v>450.34000000000015</v>
      </c>
      <c r="H149" s="99">
        <f>G149+'14'!H149</f>
        <v>6166.34</v>
      </c>
      <c r="I149" s="119"/>
      <c r="J149" s="328">
        <f>H149/DAY(B2)</f>
        <v>411.08933333333334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'14'!F150</f>
        <v>7104</v>
      </c>
      <c r="F150" s="233">
        <v>7322.12</v>
      </c>
      <c r="G150" s="112">
        <f t="shared" si="11"/>
        <v>218.11999999999989</v>
      </c>
      <c r="H150" s="99">
        <f>G150+'14'!H150</f>
        <v>3270.12</v>
      </c>
      <c r="I150" s="119"/>
      <c r="J150" s="328">
        <f>H150/DAY(B2)</f>
        <v>218.00799999999998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'14'!F151</f>
        <v>81481</v>
      </c>
      <c r="F151" s="233">
        <v>81719</v>
      </c>
      <c r="G151" s="112">
        <f t="shared" si="11"/>
        <v>238</v>
      </c>
      <c r="H151" s="99">
        <f>G151+'14'!H151</f>
        <v>3502</v>
      </c>
      <c r="I151" s="119"/>
      <c r="J151" s="328">
        <f>H151/DAY(B2)</f>
        <v>233.46666666666667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'14'!F152</f>
        <v>1376</v>
      </c>
      <c r="F152" s="233">
        <v>1390.19</v>
      </c>
      <c r="G152" s="112">
        <f t="shared" si="11"/>
        <v>14.190000000000055</v>
      </c>
      <c r="H152" s="99">
        <f>G152+'14'!H152</f>
        <v>263.19000000000005</v>
      </c>
      <c r="I152" s="119"/>
      <c r="J152" s="328">
        <f>H152/DAY(B2)</f>
        <v>17.546000000000003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2450.4400000000251</v>
      </c>
      <c r="H153" s="363"/>
      <c r="I153" s="119">
        <f>G153-(G38+G52)</f>
        <v>1063.4900000000243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'14'!F155</f>
        <v>21350</v>
      </c>
      <c r="F155" s="374">
        <v>22084.26</v>
      </c>
      <c r="G155" s="112">
        <f t="shared" ref="G155:G158" si="12">F155-E155</f>
        <v>734.2599999999984</v>
      </c>
      <c r="H155" s="99">
        <f>G155+'14'!H155</f>
        <v>8612.2599999999984</v>
      </c>
      <c r="I155" s="364"/>
      <c r="J155" s="328">
        <f>H155/DAY(B2)</f>
        <v>574.15066666666655</v>
      </c>
    </row>
    <row r="156" spans="1:10" ht="27.75">
      <c r="A156" s="823" t="s">
        <v>347</v>
      </c>
      <c r="B156" s="823"/>
      <c r="C156" s="823"/>
      <c r="D156" s="117" t="s">
        <v>130</v>
      </c>
      <c r="E156" s="95">
        <f>'14'!F156</f>
        <v>1785</v>
      </c>
      <c r="F156" s="155">
        <v>1841.25</v>
      </c>
      <c r="G156" s="112">
        <f t="shared" si="12"/>
        <v>56.25</v>
      </c>
      <c r="H156" s="99">
        <f>G156+'14'!H156</f>
        <v>753.25</v>
      </c>
      <c r="I156" s="165"/>
      <c r="J156" s="328">
        <f>H156/DAY(B2)</f>
        <v>50.216666666666669</v>
      </c>
    </row>
    <row r="157" spans="1:10" ht="27.75">
      <c r="A157" s="824" t="s">
        <v>364</v>
      </c>
      <c r="B157" s="825"/>
      <c r="C157" s="826"/>
      <c r="D157" s="117" t="s">
        <v>130</v>
      </c>
      <c r="E157" s="95">
        <f>'14'!F157</f>
        <v>2280</v>
      </c>
      <c r="F157" s="155">
        <v>2352.2600000000002</v>
      </c>
      <c r="G157" s="112">
        <f t="shared" si="12"/>
        <v>72.260000000000218</v>
      </c>
      <c r="H157" s="99">
        <f>G157+'14'!H157</f>
        <v>421.26000000000022</v>
      </c>
      <c r="I157" s="165"/>
      <c r="J157" s="328">
        <f>H157/DAY(B2)</f>
        <v>28.084000000000014</v>
      </c>
    </row>
    <row r="158" spans="1:10" ht="27.75">
      <c r="A158" s="824" t="s">
        <v>365</v>
      </c>
      <c r="B158" s="825"/>
      <c r="C158" s="826"/>
      <c r="D158" s="117" t="s">
        <v>130</v>
      </c>
      <c r="E158" s="95">
        <f>'14'!F158</f>
        <v>23</v>
      </c>
      <c r="F158" s="155">
        <v>23.32</v>
      </c>
      <c r="G158" s="112">
        <f t="shared" si="12"/>
        <v>0.32000000000000028</v>
      </c>
      <c r="H158" s="99">
        <f>G158+'14'!H158</f>
        <v>23.32</v>
      </c>
      <c r="I158" s="165"/>
      <c r="J158" s="328">
        <f>H158/DAY(B2)</f>
        <v>1.5546666666666666</v>
      </c>
    </row>
    <row r="159" spans="1:10" ht="27.75">
      <c r="A159" s="907"/>
      <c r="B159" s="908"/>
      <c r="C159" s="909"/>
      <c r="D159" s="117"/>
      <c r="E159" s="95"/>
      <c r="F159" s="165"/>
      <c r="G159" s="362">
        <f>SUM(G155:G158)</f>
        <v>863.08999999999867</v>
      </c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'14'!F161</f>
        <v>471424</v>
      </c>
      <c r="F161" s="235">
        <v>471432.04</v>
      </c>
      <c r="G161" s="238">
        <f t="shared" ref="G161:G165" si="13">F161-E161</f>
        <v>8.0399999999790452</v>
      </c>
      <c r="H161" s="99">
        <f>G161+'14'!H161</f>
        <v>278.88000000000466</v>
      </c>
      <c r="I161" s="236"/>
      <c r="J161" s="239">
        <f>H161/DAY(B2)</f>
        <v>18.592000000000311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'14'!F162</f>
        <v>87964</v>
      </c>
      <c r="F162" s="235">
        <v>88002.3</v>
      </c>
      <c r="G162" s="238">
        <f t="shared" si="13"/>
        <v>38.30000000000291</v>
      </c>
      <c r="H162" s="99">
        <f>G162+'14'!H162</f>
        <v>432.30000000000291</v>
      </c>
      <c r="I162" s="236"/>
      <c r="J162" s="239">
        <f>H162/DAY(B2)</f>
        <v>28.820000000000196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'14'!F163</f>
        <v>78422</v>
      </c>
      <c r="F163" s="235">
        <v>78479.100000000006</v>
      </c>
      <c r="G163" s="238">
        <f t="shared" si="13"/>
        <v>57.100000000005821</v>
      </c>
      <c r="H163" s="99">
        <f>G163+'14'!H163</f>
        <v>654.10000000000582</v>
      </c>
      <c r="I163" s="236"/>
      <c r="J163" s="239">
        <f>H163/DAY(B2)</f>
        <v>43.606666666667053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'14'!F164</f>
        <v>4263</v>
      </c>
      <c r="F164" s="235">
        <v>4265.5</v>
      </c>
      <c r="G164" s="238">
        <f t="shared" si="13"/>
        <v>2.5</v>
      </c>
      <c r="H164" s="99">
        <f>G164+'14'!H164</f>
        <v>23.5</v>
      </c>
      <c r="I164" s="236"/>
      <c r="J164" s="239">
        <f>H164/DAY(B2)</f>
        <v>1.5666666666666667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'14'!F165</f>
        <v>29737</v>
      </c>
      <c r="F165" s="235">
        <v>29743.53</v>
      </c>
      <c r="G165" s="238">
        <f t="shared" si="13"/>
        <v>6.5299999999988358</v>
      </c>
      <c r="H165" s="99">
        <f>G165+'14'!H165</f>
        <v>97.529999999998836</v>
      </c>
      <c r="I165" s="236"/>
      <c r="J165" s="239">
        <f>H165/DAY(B2)</f>
        <v>6.5019999999999225</v>
      </c>
    </row>
    <row r="166" spans="1:10" ht="29.25">
      <c r="A166" s="832"/>
      <c r="B166" s="832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/>
    <row r="170" spans="1:10" ht="21.75" customHeight="1"/>
    <row r="171" spans="1:10" ht="21.75" customHeight="1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1.75" customHeight="1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36" t="s">
        <v>209</v>
      </c>
      <c r="B173" s="837"/>
      <c r="C173" s="333"/>
      <c r="D173" s="228" t="s">
        <v>142</v>
      </c>
      <c r="E173" s="95">
        <f>'14'!F173</f>
        <v>8126</v>
      </c>
      <c r="F173" s="155">
        <v>8126</v>
      </c>
      <c r="G173" s="155">
        <f>F173-E173</f>
        <v>0</v>
      </c>
      <c r="H173" s="99">
        <f>G173+'14'!H173</f>
        <v>0</v>
      </c>
      <c r="I173" s="155"/>
      <c r="J173" s="178">
        <f>H173/DAY(B2)</f>
        <v>0</v>
      </c>
    </row>
    <row r="174" spans="1:10" ht="21.75" customHeight="1">
      <c r="A174" s="836" t="s">
        <v>75</v>
      </c>
      <c r="B174" s="837"/>
      <c r="C174" s="333"/>
      <c r="D174" s="228" t="s">
        <v>142</v>
      </c>
      <c r="E174" s="95">
        <f>'14'!F174</f>
        <v>38421</v>
      </c>
      <c r="F174" s="157">
        <v>38431</v>
      </c>
      <c r="G174" s="155">
        <f t="shared" ref="G174:G175" si="14">F174-E174</f>
        <v>10</v>
      </c>
      <c r="H174" s="99">
        <f>G174+'14'!H174</f>
        <v>138</v>
      </c>
      <c r="I174" s="155"/>
      <c r="J174" s="178">
        <f>H174/DAY(B2)</f>
        <v>9.1999999999999993</v>
      </c>
    </row>
    <row r="175" spans="1:10" ht="21.75" customHeight="1">
      <c r="A175" s="836" t="s">
        <v>76</v>
      </c>
      <c r="B175" s="876"/>
      <c r="C175" s="837"/>
      <c r="D175" s="228" t="s">
        <v>142</v>
      </c>
      <c r="E175" s="95">
        <f>'14'!F175</f>
        <v>21643</v>
      </c>
      <c r="F175" s="155">
        <v>21656</v>
      </c>
      <c r="G175" s="155">
        <f t="shared" si="14"/>
        <v>13</v>
      </c>
      <c r="H175" s="99">
        <f>G175+'14'!H175</f>
        <v>138</v>
      </c>
      <c r="I175" s="155"/>
      <c r="J175" s="178">
        <f>H175/DAY(B2)</f>
        <v>9.1999999999999993</v>
      </c>
    </row>
    <row r="176" spans="1:10" ht="21.75" customHeight="1">
      <c r="A176" s="827" t="s">
        <v>196</v>
      </c>
      <c r="B176" s="828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276</v>
      </c>
      <c r="I176" s="155"/>
      <c r="J176" s="178">
        <f>H176/DAY(B2)</f>
        <v>18.399999999999999</v>
      </c>
    </row>
    <row r="177" spans="1:10" ht="21.7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36" t="s">
        <v>210</v>
      </c>
      <c r="B178" s="837"/>
      <c r="C178" s="333"/>
      <c r="D178" s="228" t="s">
        <v>142</v>
      </c>
      <c r="E178" s="95">
        <f>'14'!F178</f>
        <v>80397</v>
      </c>
      <c r="F178" s="155">
        <v>80469</v>
      </c>
      <c r="G178" s="155">
        <f>F178-E178</f>
        <v>72</v>
      </c>
      <c r="H178" s="99">
        <f>G178+'14'!H178</f>
        <v>855</v>
      </c>
      <c r="I178" s="155"/>
      <c r="J178" s="178">
        <f>H178/DAY(B2)</f>
        <v>57</v>
      </c>
    </row>
    <row r="179" spans="1:10" ht="24" customHeight="1">
      <c r="A179" s="836" t="s">
        <v>211</v>
      </c>
      <c r="B179" s="837"/>
      <c r="C179" s="333"/>
      <c r="D179" s="228" t="s">
        <v>142</v>
      </c>
      <c r="E179" s="95">
        <f>'14'!F179</f>
        <v>34203</v>
      </c>
      <c r="F179" s="155">
        <v>34223</v>
      </c>
      <c r="G179" s="155">
        <f t="shared" ref="G179:G180" si="15">F179-E179</f>
        <v>20</v>
      </c>
      <c r="H179" s="99">
        <f>G179+'14'!H179</f>
        <v>308</v>
      </c>
      <c r="I179" s="155"/>
      <c r="J179" s="178">
        <f>H179/DAY(B2)</f>
        <v>20.533333333333335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'14'!F180</f>
        <v>5581</v>
      </c>
      <c r="F180" s="155">
        <v>5592</v>
      </c>
      <c r="G180" s="155">
        <f t="shared" si="15"/>
        <v>11</v>
      </c>
      <c r="H180" s="99">
        <f>G180+'14'!H180</f>
        <v>115</v>
      </c>
      <c r="I180" s="155"/>
      <c r="J180" s="178">
        <f>H180/DAY(B2)</f>
        <v>7.666666666666667</v>
      </c>
    </row>
    <row r="181" spans="1:10" ht="27.75">
      <c r="A181" s="838" t="s">
        <v>108</v>
      </c>
      <c r="B181" s="839"/>
      <c r="C181" s="333"/>
      <c r="D181" s="228" t="s">
        <v>142</v>
      </c>
      <c r="E181" s="95"/>
      <c r="F181" s="155"/>
      <c r="G181" s="155">
        <f>SUM(G178:G180)</f>
        <v>103</v>
      </c>
      <c r="H181" s="99">
        <f>G181+'14'!H181</f>
        <v>1278</v>
      </c>
      <c r="I181" s="155"/>
      <c r="J181" s="178">
        <f>H181/DAY(B2)</f>
        <v>85.2</v>
      </c>
    </row>
    <row r="182" spans="1:10" ht="27.75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'14'!F183</f>
        <v>15121</v>
      </c>
      <c r="F183" s="157">
        <v>15129</v>
      </c>
      <c r="G183" s="157">
        <f>F183-E183</f>
        <v>8</v>
      </c>
      <c r="H183" s="99">
        <f>G183+'14'!H183</f>
        <v>182</v>
      </c>
      <c r="I183" s="155"/>
      <c r="J183" s="178">
        <f>H183/DAY(B2)</f>
        <v>12.133333333333333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'14'!F184</f>
        <v>10393</v>
      </c>
      <c r="F184" s="157">
        <v>10398</v>
      </c>
      <c r="G184" s="157">
        <f t="shared" ref="G184:G185" si="16">F184-E184</f>
        <v>5</v>
      </c>
      <c r="H184" s="99">
        <f>G184+'14'!H184</f>
        <v>97</v>
      </c>
      <c r="I184" s="155"/>
      <c r="J184" s="178">
        <f>H184/DAY(B2)</f>
        <v>6.4666666666666668</v>
      </c>
    </row>
    <row r="185" spans="1:10" ht="32.25" customHeight="1">
      <c r="A185" s="836" t="s">
        <v>216</v>
      </c>
      <c r="B185" s="837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334"/>
      <c r="D186" s="228" t="s">
        <v>142</v>
      </c>
      <c r="E186" s="95"/>
      <c r="F186" s="157"/>
      <c r="G186" s="157">
        <f>SUM(G183:G185)</f>
        <v>13</v>
      </c>
      <c r="H186" s="99">
        <f>G186+'14'!H186</f>
        <v>279</v>
      </c>
      <c r="I186" s="157"/>
      <c r="J186" s="178">
        <f>H186/DAY(B2)</f>
        <v>18.600000000000001</v>
      </c>
    </row>
    <row r="187" spans="1:10" ht="27.75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134</v>
      </c>
      <c r="H187" s="99">
        <f>G187+'14'!H187</f>
        <v>1686</v>
      </c>
      <c r="I187" s="158"/>
      <c r="J187" s="179">
        <f>H187/DAY(B2)</f>
        <v>112.4</v>
      </c>
    </row>
    <row r="188" spans="1:10" ht="27.75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128</v>
      </c>
      <c r="H188" s="99">
        <f>G188+'14'!H188</f>
        <v>128</v>
      </c>
      <c r="I188" s="158"/>
      <c r="J188" s="179">
        <f>H188/DAY(B2)</f>
        <v>8.5333333333333332</v>
      </c>
    </row>
    <row r="189" spans="1:10" ht="27" customHeight="1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103</v>
      </c>
      <c r="H189" s="99">
        <f>G189+'14'!H189</f>
        <v>1278</v>
      </c>
      <c r="I189" s="158"/>
      <c r="J189" s="179">
        <f>H189/DAY(B2)</f>
        <v>85.2</v>
      </c>
    </row>
    <row r="190" spans="1:10" ht="27" customHeight="1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98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6" s="57" customFormat="1" ht="27">
      <c r="A2" s="191" t="s">
        <v>303</v>
      </c>
      <c r="B2" s="262">
        <v>44577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>
      <c r="A3" s="189"/>
      <c r="B3" s="221"/>
      <c r="C3" s="348" t="s">
        <v>118</v>
      </c>
      <c r="D3" s="219">
        <v>21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6" s="57" customFormat="1" ht="27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>
      <c r="A6" s="885" t="s">
        <v>128</v>
      </c>
      <c r="B6" s="886"/>
      <c r="C6" s="887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'15'!F7</f>
        <v>371639.75</v>
      </c>
      <c r="F7" s="95">
        <v>388954</v>
      </c>
      <c r="G7" s="112">
        <f>F7-E7</f>
        <v>17314.25</v>
      </c>
      <c r="H7" s="99">
        <f>G7+'15'!H7</f>
        <v>294393</v>
      </c>
      <c r="I7" s="113">
        <f>'1'!I7</f>
        <v>12000</v>
      </c>
      <c r="J7" s="175">
        <f>H7/DAY(B2)</f>
        <v>18399.5625</v>
      </c>
      <c r="K7" s="172">
        <v>1375467</v>
      </c>
      <c r="L7" s="66"/>
      <c r="N7" s="87"/>
      <c r="O7" s="71"/>
    </row>
    <row r="8" spans="1:16" ht="27.75" thickBot="1">
      <c r="A8" s="196" t="s">
        <v>131</v>
      </c>
      <c r="B8" s="197"/>
      <c r="C8" s="198"/>
      <c r="D8" s="224" t="s">
        <v>24</v>
      </c>
      <c r="E8" s="95">
        <f>'15'!F8</f>
        <v>422783.71</v>
      </c>
      <c r="F8" s="95">
        <v>440190</v>
      </c>
      <c r="G8" s="115">
        <f>F8-E8</f>
        <v>17406.289999999979</v>
      </c>
      <c r="H8" s="99">
        <f>G8+'15'!H8</f>
        <v>299305</v>
      </c>
      <c r="I8" s="116"/>
      <c r="J8" s="175">
        <f>H8/DAY(B2)</f>
        <v>18706.5625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>
      <c r="A9" s="199" t="s">
        <v>132</v>
      </c>
      <c r="B9" s="200"/>
      <c r="C9" s="200"/>
      <c r="D9" s="151" t="s">
        <v>130</v>
      </c>
      <c r="E9" s="95">
        <f>'15'!F9</f>
        <v>76355.41</v>
      </c>
      <c r="F9" s="601">
        <v>87159</v>
      </c>
      <c r="G9" s="112">
        <f>F9-E9</f>
        <v>10803.589999999997</v>
      </c>
      <c r="H9" s="99">
        <f>G9+'15'!H9</f>
        <v>185664</v>
      </c>
      <c r="I9" s="124">
        <f>I7-J7</f>
        <v>-6399.5625</v>
      </c>
      <c r="J9" s="175">
        <f>H9/DAY(B2)</f>
        <v>11604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'15'!F10</f>
        <v>39677.22</v>
      </c>
      <c r="F10" s="353">
        <v>45649</v>
      </c>
      <c r="G10" s="112">
        <f t="shared" ref="G10:G12" si="0">F10-E10</f>
        <v>5971.7799999999988</v>
      </c>
      <c r="H10" s="99">
        <f>G10+'15'!H10</f>
        <v>100555</v>
      </c>
      <c r="I10" s="282"/>
      <c r="J10" s="175">
        <f>H10/DAY(B2)</f>
        <v>6284.6875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16775.369999999995</v>
      </c>
      <c r="H13" s="99">
        <f>G13+'15'!H13</f>
        <v>266753.74999999988</v>
      </c>
      <c r="I13" s="120">
        <f>G7-G13</f>
        <v>538.88000000000466</v>
      </c>
      <c r="J13" s="175">
        <f>H13/DAY(B2)</f>
        <v>16672.109374999993</v>
      </c>
      <c r="K13" s="79"/>
      <c r="L13" s="66"/>
      <c r="N13" s="87"/>
      <c r="O13" s="71"/>
    </row>
    <row r="14" spans="1:16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45" t="s">
        <v>138</v>
      </c>
      <c r="B15" s="205"/>
      <c r="C15" s="205"/>
      <c r="D15" s="151" t="s">
        <v>139</v>
      </c>
      <c r="E15" s="123">
        <f>'15'!F15</f>
        <v>1891600</v>
      </c>
      <c r="F15" s="123">
        <v>1892606</v>
      </c>
      <c r="G15" s="112">
        <f>(F15-E15)</f>
        <v>1006</v>
      </c>
      <c r="H15" s="99">
        <f>G15+'15'!H15</f>
        <v>14176</v>
      </c>
      <c r="I15" s="113">
        <f>'1'!I15</f>
        <v>800</v>
      </c>
      <c r="J15" s="175">
        <f>H15/DAY(B2)</f>
        <v>886</v>
      </c>
      <c r="K15" s="79"/>
      <c r="L15" s="66"/>
      <c r="N15" s="87">
        <v>735868</v>
      </c>
      <c r="O15" s="71">
        <v>719798</v>
      </c>
      <c r="P15" s="555">
        <f>O15-N15</f>
        <v>-16070</v>
      </c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-86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'15'!F18</f>
        <v>10</v>
      </c>
      <c r="F18" s="122">
        <v>8</v>
      </c>
      <c r="G18" s="119">
        <f>F18*10</f>
        <v>80</v>
      </c>
      <c r="H18" s="99">
        <f>G18+'15'!H18</f>
        <v>1700</v>
      </c>
      <c r="I18" s="113">
        <f>'1'!I18</f>
        <v>65</v>
      </c>
      <c r="J18" s="175">
        <f>H18/DAY(B2)</f>
        <v>106.25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'15'!F19</f>
        <v>153017</v>
      </c>
      <c r="F19" s="122">
        <f>E19+55</f>
        <v>153072</v>
      </c>
      <c r="G19" s="112">
        <f t="shared" ref="G19" si="1">F19-E19</f>
        <v>55</v>
      </c>
      <c r="H19" s="99">
        <f>G19+'15'!H19</f>
        <v>847</v>
      </c>
      <c r="I19" s="335"/>
      <c r="J19" s="175">
        <f>H19/DAY(B2)</f>
        <v>52.9375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135</v>
      </c>
      <c r="H20" s="99">
        <f>G20+'15'!H20</f>
        <v>2547</v>
      </c>
      <c r="I20" s="336">
        <f>I18-J20</f>
        <v>-94.1875</v>
      </c>
      <c r="J20" s="175">
        <f>H20/DAY(B2)</f>
        <v>159.1875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17406.289999999979</v>
      </c>
      <c r="F27" s="136">
        <v>9</v>
      </c>
      <c r="G27" s="137">
        <f>E27*F27</f>
        <v>156656.60999999981</v>
      </c>
      <c r="H27" s="99">
        <f>G27+'15'!H27</f>
        <v>2693745</v>
      </c>
      <c r="I27" s="138"/>
      <c r="J27" s="175">
        <f>H27/DAY(B2)</f>
        <v>168359.0625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1006</v>
      </c>
      <c r="F28" s="136">
        <v>52</v>
      </c>
      <c r="G28" s="137">
        <f>E28*F28</f>
        <v>52312</v>
      </c>
      <c r="H28" s="99">
        <f>G28+'15'!H28</f>
        <v>737152</v>
      </c>
      <c r="I28" s="140"/>
      <c r="J28" s="175">
        <f>H28/DAY(B2)</f>
        <v>46072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123662</v>
      </c>
      <c r="I30" s="140"/>
      <c r="J30" s="175">
        <f>H30/DAY(B2)</f>
        <v>7728.875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G31+'15'!H31</f>
        <v>136000</v>
      </c>
      <c r="I31" s="140"/>
      <c r="J31" s="175">
        <f>H31/DAY(B2)</f>
        <v>8500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223398.60999999981</v>
      </c>
      <c r="H32" s="99">
        <f>G32+'15'!H32</f>
        <v>3690559</v>
      </c>
      <c r="I32" s="144"/>
      <c r="J32" s="175">
        <f>H32/DAY(B2)</f>
        <v>230659.9375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495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'15'!F35</f>
        <v>10505.84</v>
      </c>
      <c r="F35" s="117">
        <v>11775</v>
      </c>
      <c r="G35" s="112">
        <f t="shared" ref="G35:G46" si="3">F35-E35</f>
        <v>1269.1599999999999</v>
      </c>
      <c r="H35" s="99">
        <f>G35+'15'!H35</f>
        <v>26975</v>
      </c>
      <c r="I35" s="95"/>
      <c r="J35" s="175">
        <f>H35/DAY(B2)</f>
        <v>1685.9375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'15'!F36</f>
        <v>32294.69</v>
      </c>
      <c r="F36" s="117">
        <v>32882</v>
      </c>
      <c r="G36" s="112">
        <f t="shared" si="3"/>
        <v>587.31000000000131</v>
      </c>
      <c r="H36" s="99">
        <f>G36+'15'!H36</f>
        <v>11355</v>
      </c>
      <c r="I36" s="95"/>
      <c r="J36" s="175">
        <f>H36/DAY(B2)</f>
        <v>709.6875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'15'!F37</f>
        <v>10327.74</v>
      </c>
      <c r="F37" s="117">
        <v>11811</v>
      </c>
      <c r="G37" s="112">
        <f t="shared" si="3"/>
        <v>1483.2600000000002</v>
      </c>
      <c r="H37" s="99">
        <f>G37+'15'!H37</f>
        <v>24023</v>
      </c>
      <c r="I37" s="95"/>
      <c r="J37" s="175">
        <f>H37/DAY(B2)</f>
        <v>1501.4375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'15'!F38</f>
        <v>10938.95</v>
      </c>
      <c r="F38" s="95">
        <v>12564</v>
      </c>
      <c r="G38" s="112">
        <f t="shared" si="3"/>
        <v>1625.0499999999993</v>
      </c>
      <c r="H38" s="99">
        <f>G38+'15'!H38</f>
        <v>25764</v>
      </c>
      <c r="I38" s="95"/>
      <c r="J38" s="175">
        <f>H38/DAY(B2)</f>
        <v>1610.25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'15'!F39</f>
        <v>17509.900000000001</v>
      </c>
      <c r="F39" s="117">
        <v>20110</v>
      </c>
      <c r="G39" s="112">
        <f t="shared" si="3"/>
        <v>2600.0999999999985</v>
      </c>
      <c r="H39" s="99">
        <f>G39+'15'!H39</f>
        <v>41792</v>
      </c>
      <c r="I39" s="95"/>
      <c r="J39" s="175">
        <f>H39/DAY(B2)</f>
        <v>2612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'15'!F40</f>
        <v>12504</v>
      </c>
      <c r="F40" s="117">
        <v>12911</v>
      </c>
      <c r="G40" s="112">
        <f t="shared" si="3"/>
        <v>407</v>
      </c>
      <c r="H40" s="99">
        <f>G40+'15'!H40</f>
        <v>7301</v>
      </c>
      <c r="I40" s="95"/>
      <c r="J40" s="175">
        <f>H40/DAY(B2)</f>
        <v>456.3125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'15'!F42</f>
        <v>73808.600000000006</v>
      </c>
      <c r="F42" s="117">
        <v>73808.600000000006</v>
      </c>
      <c r="G42" s="112">
        <f t="shared" si="3"/>
        <v>0</v>
      </c>
      <c r="H42" s="99">
        <f>G42+'15'!H42</f>
        <v>-0.39999999999417923</v>
      </c>
      <c r="I42" s="95"/>
      <c r="J42" s="175">
        <f>H42/DAY(B2)</f>
        <v>-2.4999999999636202E-2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145">
        <v>80752.710000000006</v>
      </c>
      <c r="F43" s="117">
        <v>82824</v>
      </c>
      <c r="G43" s="112">
        <f t="shared" si="3"/>
        <v>2071.2899999999936</v>
      </c>
      <c r="H43" s="99">
        <f>G43+'15'!H43</f>
        <v>35563</v>
      </c>
      <c r="I43" s="95"/>
      <c r="J43" s="175">
        <f>H43/DAY(B2)</f>
        <v>2222.6875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10043.169999999993</v>
      </c>
      <c r="H47" s="99">
        <f>G47+'15'!H47</f>
        <v>172772.6</v>
      </c>
      <c r="I47" s="95"/>
      <c r="J47" s="175">
        <f>H47/DAY(B2)</f>
        <v>10798.2875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'15'!F49</f>
        <v>8656.59</v>
      </c>
      <c r="F49" s="117">
        <v>9977</v>
      </c>
      <c r="G49" s="112">
        <f t="shared" ref="G49:G58" si="4">F49-E49</f>
        <v>1320.4099999999999</v>
      </c>
      <c r="H49" s="99">
        <f>G49+'15'!H49</f>
        <v>23098</v>
      </c>
      <c r="I49" s="95"/>
      <c r="J49" s="175">
        <f>H49/DAY(B2)</f>
        <v>1443.625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'15'!F50</f>
        <v>39417.730000000003</v>
      </c>
      <c r="F50" s="117">
        <v>40286</v>
      </c>
      <c r="G50" s="112">
        <f t="shared" si="4"/>
        <v>868.2699999999968</v>
      </c>
      <c r="H50" s="99">
        <f>G50+'15'!H50</f>
        <v>15636</v>
      </c>
      <c r="I50" s="95"/>
      <c r="J50" s="175">
        <f>H50/DAY(B2)</f>
        <v>977.25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4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490">
        <f>'15'!F54</f>
        <v>3661.51</v>
      </c>
      <c r="F54" s="603">
        <v>4227</v>
      </c>
      <c r="G54" s="236">
        <f t="shared" si="4"/>
        <v>565.48999999999978</v>
      </c>
      <c r="H54" s="99">
        <f>G54+'15'!H54</f>
        <v>5994.08</v>
      </c>
      <c r="I54" s="95"/>
      <c r="J54" s="175">
        <f>H54/DAY(B2)</f>
        <v>374.63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490">
        <f>'15'!F55</f>
        <v>48711.23</v>
      </c>
      <c r="F55" s="494">
        <v>51744</v>
      </c>
      <c r="G55" s="236">
        <f t="shared" si="4"/>
        <v>3032.7699999999968</v>
      </c>
      <c r="H55" s="99">
        <f>G55+'15'!H55</f>
        <v>48233</v>
      </c>
      <c r="I55" s="95"/>
      <c r="J55" s="175">
        <f>H55/DAY(B2)</f>
        <v>3014.5625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'15'!F56</f>
        <v>8610.5400000000009</v>
      </c>
      <c r="F56" s="117">
        <v>8610.5400000000009</v>
      </c>
      <c r="G56" s="112">
        <f t="shared" si="4"/>
        <v>0</v>
      </c>
      <c r="H56" s="99">
        <f>G56+'15'!H56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'15'!F58</f>
        <v>1811.04</v>
      </c>
      <c r="F58" s="117">
        <v>1999</v>
      </c>
      <c r="G58" s="112">
        <f t="shared" si="4"/>
        <v>187.96000000000004</v>
      </c>
      <c r="H58" s="99">
        <f>G58+'15'!H58</f>
        <v>2339.6300000000047</v>
      </c>
      <c r="I58" s="95"/>
      <c r="J58" s="175">
        <f>H58/DAY(B2)</f>
        <v>146.22687500000029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5974.8999999999933</v>
      </c>
      <c r="H59" s="99">
        <f>G59+'15'!H59</f>
        <v>95300.710000000021</v>
      </c>
      <c r="I59" s="95">
        <f>G7-G60</f>
        <v>1296.1800000000148</v>
      </c>
      <c r="J59" s="175">
        <f>H59/DAY(B2)</f>
        <v>5956.2943750000013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51"/>
      <c r="G60" s="119">
        <f>G47+G59</f>
        <v>16018.069999999985</v>
      </c>
      <c r="H60" s="99">
        <f>G60+'15'!H60</f>
        <v>268073.31</v>
      </c>
      <c r="I60" s="95">
        <f>G13-G60</f>
        <v>757.30000000001019</v>
      </c>
      <c r="J60" s="175">
        <f>H60/DAY(B2)</f>
        <v>16754.581875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'15'!F62</f>
        <v>268107</v>
      </c>
      <c r="F62" s="122">
        <v>268173</v>
      </c>
      <c r="G62" s="112">
        <f t="shared" ref="G62:G63" si="5">F62-E62</f>
        <v>66</v>
      </c>
      <c r="H62" s="99">
        <f>G62+'15'!H62</f>
        <v>960</v>
      </c>
      <c r="I62" s="118"/>
      <c r="J62" s="175">
        <f>H62/DAY(B2)</f>
        <v>60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'15'!F63</f>
        <v>213943</v>
      </c>
      <c r="F63" s="122">
        <v>214034</v>
      </c>
      <c r="G63" s="112">
        <f t="shared" si="5"/>
        <v>91</v>
      </c>
      <c r="H63" s="99">
        <f>G63+'15'!H63</f>
        <v>1609</v>
      </c>
      <c r="I63" s="118"/>
      <c r="J63" s="175">
        <f>H63/DAY(B2)</f>
        <v>100.5625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v>0</v>
      </c>
      <c r="F64" s="122"/>
      <c r="G64" s="112">
        <f>G62+G63</f>
        <v>157</v>
      </c>
      <c r="H64" s="99">
        <f>G64+'15'!H64</f>
        <v>2569</v>
      </c>
      <c r="I64" s="118"/>
      <c r="J64" s="175">
        <f>H64/DAY(B2)</f>
        <v>160.5625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'15'!F65</f>
        <v>433665</v>
      </c>
      <c r="F65" s="122">
        <v>433727</v>
      </c>
      <c r="G65" s="112">
        <f t="shared" ref="G65:G70" si="6">F65-E65</f>
        <v>62</v>
      </c>
      <c r="H65" s="99">
        <f>G65+'15'!H65</f>
        <v>1113</v>
      </c>
      <c r="I65" s="118"/>
      <c r="J65" s="175">
        <f>H65/DAY(B2)</f>
        <v>69.5625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'15'!F66</f>
        <v>107472</v>
      </c>
      <c r="F66" s="122">
        <v>107493</v>
      </c>
      <c r="G66" s="112">
        <f t="shared" si="6"/>
        <v>21</v>
      </c>
      <c r="H66" s="99">
        <f>G66+'15'!H66</f>
        <v>279</v>
      </c>
      <c r="I66" s="118"/>
      <c r="J66" s="175">
        <f>H66/DAY(B2)</f>
        <v>17.4375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'15'!F67</f>
        <v>104277</v>
      </c>
      <c r="F67" s="122">
        <v>104303</v>
      </c>
      <c r="G67" s="112">
        <f t="shared" si="6"/>
        <v>26</v>
      </c>
      <c r="H67" s="99">
        <f>G67+'15'!H67</f>
        <v>375</v>
      </c>
      <c r="I67" s="118"/>
      <c r="J67" s="175">
        <f>H67/DAY(B2)</f>
        <v>23.4375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'15'!F68</f>
        <v>157006</v>
      </c>
      <c r="F68" s="122">
        <v>157037</v>
      </c>
      <c r="G68" s="112">
        <f t="shared" si="6"/>
        <v>31</v>
      </c>
      <c r="H68" s="99">
        <f>G68+'15'!H68</f>
        <v>417</v>
      </c>
      <c r="I68" s="118"/>
      <c r="J68" s="175">
        <f>H68/DAY(B2)</f>
        <v>26.0625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'15'!F69</f>
        <v>10363</v>
      </c>
      <c r="F69" s="122">
        <v>10369</v>
      </c>
      <c r="G69" s="112">
        <f t="shared" si="6"/>
        <v>6</v>
      </c>
      <c r="H69" s="99">
        <f>G69+'15'!H69</f>
        <v>155</v>
      </c>
      <c r="I69" s="118"/>
      <c r="J69" s="175">
        <f>H69/DAY(B2)</f>
        <v>9.6875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'15'!F70</f>
        <v>7977</v>
      </c>
      <c r="F70" s="122">
        <v>7984</v>
      </c>
      <c r="G70" s="112">
        <f t="shared" si="6"/>
        <v>7</v>
      </c>
      <c r="H70" s="99">
        <f>G70+'15'!H70</f>
        <v>122</v>
      </c>
      <c r="I70" s="118"/>
      <c r="J70" s="175">
        <f>H70/DAY(B2)</f>
        <v>7.625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153</v>
      </c>
      <c r="H71" s="99">
        <f>G71+'15'!H71</f>
        <v>2461</v>
      </c>
      <c r="I71" s="154"/>
      <c r="J71" s="175">
        <f>H71/DAY(B2)</f>
        <v>153.8125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496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'15'!F74</f>
        <v>896469</v>
      </c>
      <c r="F74" s="117">
        <v>896773</v>
      </c>
      <c r="G74" s="112">
        <f t="shared" ref="G74:G78" si="7">F74-E74</f>
        <v>304</v>
      </c>
      <c r="H74" s="99">
        <f>G74+'15'!H74</f>
        <v>4741</v>
      </c>
      <c r="I74" s="154"/>
      <c r="J74" s="175">
        <f>H74/DAY(B2)</f>
        <v>296.3125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'15'!F75</f>
        <v>73587</v>
      </c>
      <c r="F75" s="123">
        <v>73587</v>
      </c>
      <c r="G75" s="112">
        <f t="shared" si="7"/>
        <v>0</v>
      </c>
      <c r="H75" s="99">
        <f>G75+'15'!H75</f>
        <v>0.19999999999708962</v>
      </c>
      <c r="I75" s="154"/>
      <c r="J75" s="175">
        <f>H75/DAY(B2)</f>
        <v>1.2499999999818101E-2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'15'!F76</f>
        <v>168467</v>
      </c>
      <c r="F76" s="123">
        <v>168557</v>
      </c>
      <c r="G76" s="112">
        <f t="shared" si="7"/>
        <v>90</v>
      </c>
      <c r="H76" s="99">
        <f>G76+'15'!H76</f>
        <v>1350</v>
      </c>
      <c r="I76" s="154"/>
      <c r="J76" s="175">
        <f>H76/DAY(B2)</f>
        <v>84.375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'15'!F77</f>
        <v>40771.4</v>
      </c>
      <c r="F77" s="123">
        <v>40798</v>
      </c>
      <c r="G77" s="112">
        <f t="shared" si="7"/>
        <v>26.599999999998545</v>
      </c>
      <c r="H77" s="99">
        <f>G77+'15'!H77</f>
        <v>482</v>
      </c>
      <c r="I77" s="154"/>
      <c r="J77" s="175">
        <f>H77/DAY(B2)</f>
        <v>30.125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'15'!F78</f>
        <v>9498</v>
      </c>
      <c r="F78" s="123">
        <v>9499</v>
      </c>
      <c r="G78" s="112">
        <f t="shared" si="7"/>
        <v>1</v>
      </c>
      <c r="H78" s="99">
        <f>G78+'15'!H78</f>
        <v>13</v>
      </c>
      <c r="I78" s="118"/>
      <c r="J78" s="175">
        <f>H78/DAY(B2)</f>
        <v>0.8125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'15'!F79</f>
        <v>0</v>
      </c>
      <c r="F79" s="123"/>
      <c r="G79" s="112">
        <f>G15-SUM(G74:G78)</f>
        <v>584.40000000000146</v>
      </c>
      <c r="H79" s="99">
        <f>G79+'15'!H79</f>
        <v>7589.8000000000029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1006</v>
      </c>
      <c r="H80" s="99">
        <f>G80+'15'!H80</f>
        <v>1006</v>
      </c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1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'15'!F85</f>
        <v>2096.5500000000002</v>
      </c>
      <c r="F85" s="164">
        <v>2096.5500000000002</v>
      </c>
      <c r="G85" s="112">
        <f t="shared" si="8"/>
        <v>0</v>
      </c>
      <c r="H85" s="99">
        <f>G85+'15'!H85</f>
        <v>-9.9999999997635314E-3</v>
      </c>
      <c r="I85" s="118">
        <f>G82+G83+G84+G85</f>
        <v>0</v>
      </c>
      <c r="J85" s="175">
        <f>H85/DAY(B2)</f>
        <v>-6.2499999998522071E-4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'15'!F86</f>
        <v>43224.49</v>
      </c>
      <c r="F86" s="164">
        <v>43248</v>
      </c>
      <c r="G86" s="112">
        <f t="shared" si="8"/>
        <v>23.510000000002037</v>
      </c>
      <c r="H86" s="99">
        <f>G86+'15'!H86</f>
        <v>385</v>
      </c>
      <c r="I86" s="118"/>
      <c r="J86" s="175">
        <f>H86/DAY(B2)</f>
        <v>24.0625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'15'!F88</f>
        <v>24059.29</v>
      </c>
      <c r="F88" s="164">
        <v>24059.29</v>
      </c>
      <c r="G88" s="112">
        <f t="shared" si="8"/>
        <v>0</v>
      </c>
      <c r="H88" s="99">
        <f>G88+'15'!H88</f>
        <v>12.290000000000873</v>
      </c>
      <c r="I88" s="118">
        <f>G86+G87+G88</f>
        <v>23.510000000002037</v>
      </c>
      <c r="J88" s="175">
        <f>H88/DAY(B2)</f>
        <v>0.76812500000005457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'15'!F89</f>
        <v>25752.95</v>
      </c>
      <c r="F89" s="164">
        <v>25761.09</v>
      </c>
      <c r="G89" s="112">
        <f t="shared" si="8"/>
        <v>8.1399999999994179</v>
      </c>
      <c r="H89" s="99">
        <f>G89+'15'!H89</f>
        <v>98.090000000000146</v>
      </c>
      <c r="I89" s="118"/>
      <c r="J89" s="175">
        <f>H89/DAY(B2)</f>
        <v>6.1306250000000091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'15'!F90</f>
        <v>71116.47</v>
      </c>
      <c r="F90" s="164">
        <v>71126.16</v>
      </c>
      <c r="G90" s="112">
        <f t="shared" si="8"/>
        <v>9.6900000000023283</v>
      </c>
      <c r="H90" s="99">
        <f>G90+'15'!H90</f>
        <v>92.160000000003492</v>
      </c>
      <c r="I90" s="118">
        <f>G89+G90</f>
        <v>17.830000000001746</v>
      </c>
      <c r="J90" s="175">
        <f>H90/DAY(B2)</f>
        <v>5.7600000000002183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'15'!F92</f>
        <v>5593.79</v>
      </c>
      <c r="F92" s="122">
        <v>5604.41</v>
      </c>
      <c r="G92" s="112">
        <f t="shared" si="8"/>
        <v>10.619999999999891</v>
      </c>
      <c r="H92" s="99">
        <f>G92+'15'!H92</f>
        <v>166.40999999999985</v>
      </c>
      <c r="I92" s="165"/>
      <c r="J92" s="175">
        <f>H92/DAY(B2)</f>
        <v>10.400624999999991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4660.8599999999933</v>
      </c>
      <c r="H94" s="99">
        <f>G94+'15'!H94</f>
        <v>85636</v>
      </c>
      <c r="I94" s="118"/>
      <c r="J94" s="175">
        <f>H94/DAY(B2)</f>
        <v>5352.25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51"/>
      <c r="G95" s="166">
        <f>G94/G7</f>
        <v>0.26919213942272946</v>
      </c>
      <c r="H95" s="99">
        <f>G95+'15'!H95</f>
        <v>4.6429612846879751</v>
      </c>
      <c r="I95" s="167"/>
      <c r="J95" s="175">
        <f>H95/DAY(B2)</f>
        <v>0.29018508029299844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3032.7699999999968</v>
      </c>
      <c r="H96" s="99">
        <f>G96+'15'!H96</f>
        <v>48232.600000000006</v>
      </c>
      <c r="I96" s="118"/>
      <c r="J96" s="175">
        <f>H96/DAY(B2)</f>
        <v>3014.5375000000004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0.17516034480269124</v>
      </c>
      <c r="H97" s="99">
        <f>G97+'15'!H97</f>
        <v>2.6290312410790806</v>
      </c>
      <c r="I97" s="167"/>
      <c r="J97" s="175">
        <f>H97/DAY(B2)</f>
        <v>0.16431445256744254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2600.0999999999985</v>
      </c>
      <c r="H98" s="99">
        <f>G98+'15'!H98</f>
        <v>41792</v>
      </c>
      <c r="I98" s="168"/>
      <c r="J98" s="175">
        <f>H98/DAY(B2)</f>
        <v>2612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0.15017110183808127</v>
      </c>
      <c r="H99" s="99">
        <f>G99+'15'!H99</f>
        <v>2.2773232621840203</v>
      </c>
      <c r="I99" s="168"/>
      <c r="J99" s="175">
        <f>H99/DAY(B2)</f>
        <v>0.14233270388650127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1625.0499999999993</v>
      </c>
      <c r="H100" s="99">
        <f>G100+'15'!H100</f>
        <v>25764</v>
      </c>
      <c r="I100" s="118"/>
      <c r="J100" s="175">
        <f>H100/DAY(B2)</f>
        <v>1610.25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9.3856216700116915E-2</v>
      </c>
      <c r="H101" s="99">
        <f>G101+'15'!H101</f>
        <v>1.4046435710038281</v>
      </c>
      <c r="I101" s="168"/>
      <c r="J101" s="175">
        <f>H101/DAY(B2)</f>
        <v>8.7790223187739255E-2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1455.5799999999981</v>
      </c>
      <c r="H102" s="99">
        <f>G102+'15'!H102</f>
        <v>26991</v>
      </c>
      <c r="I102" s="168"/>
      <c r="J102" s="175">
        <f>H102/DAY(B2)</f>
        <v>1686.9375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8.4068325223443013E-2</v>
      </c>
      <c r="H103" s="99">
        <f>G103+'15'!H103</f>
        <v>1.4631417044111052</v>
      </c>
      <c r="I103" s="118"/>
      <c r="J103" s="175">
        <f>H103/DAY(B2)</f>
        <v>9.1446356525694078E-2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1483.2600000000002</v>
      </c>
      <c r="H104" s="99">
        <f>G104+'15'!H104</f>
        <v>24023</v>
      </c>
      <c r="I104" s="118"/>
      <c r="J104" s="175">
        <f>H104/DAY(B2)</f>
        <v>1501.4375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8.5667008389043717E-2</v>
      </c>
      <c r="H105" s="99">
        <f>G105+'15'!H105</f>
        <v>1.3111527716980853</v>
      </c>
      <c r="I105" s="187"/>
      <c r="J105" s="188">
        <f>H105/DAY(B2)</f>
        <v>8.1947048231130332E-2</v>
      </c>
      <c r="O105" s="71"/>
    </row>
    <row r="106" spans="1:15" ht="29.25">
      <c r="A106" s="105"/>
      <c r="B106" s="96"/>
      <c r="C106" s="96"/>
      <c r="D106" s="169"/>
      <c r="E106" s="169"/>
      <c r="F106" s="497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5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'15'!F112</f>
        <v>56809.7</v>
      </c>
      <c r="F112" s="237">
        <v>56886</v>
      </c>
      <c r="G112" s="112">
        <f t="shared" ref="G112:G123" si="9">F112-E112</f>
        <v>76.30000000000291</v>
      </c>
      <c r="H112" s="99">
        <f>G112+'15'!H112</f>
        <v>1205</v>
      </c>
      <c r="I112" s="165"/>
      <c r="J112" s="328">
        <f>H112/DAY(B2)</f>
        <v>75.3125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'15'!F113</f>
        <v>38954.32</v>
      </c>
      <c r="F113" s="237">
        <v>39409</v>
      </c>
      <c r="G113" s="112">
        <f t="shared" si="9"/>
        <v>454.68000000000029</v>
      </c>
      <c r="H113" s="99">
        <f>G113+'15'!H113</f>
        <v>7214</v>
      </c>
      <c r="I113" s="165"/>
      <c r="J113" s="328">
        <f>H113/DAY(B2)</f>
        <v>450.875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490">
        <f>'15'!F114</f>
        <v>28847.5</v>
      </c>
      <c r="F114" s="501">
        <v>29108</v>
      </c>
      <c r="G114" s="236">
        <v>126.9</v>
      </c>
      <c r="H114" s="99">
        <f>G114+'15'!H114</f>
        <v>4103.3999999999996</v>
      </c>
      <c r="I114" s="165"/>
      <c r="J114" s="328">
        <f>H114/DAY(B2)</f>
        <v>256.46249999999998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490">
        <f>'15'!F115</f>
        <v>8936.6299999999992</v>
      </c>
      <c r="F115" s="501">
        <v>8944</v>
      </c>
      <c r="G115" s="236">
        <f t="shared" si="9"/>
        <v>7.3700000000008004</v>
      </c>
      <c r="H115" s="99">
        <f>G115+'15'!H115</f>
        <v>159</v>
      </c>
      <c r="I115" s="165"/>
      <c r="J115" s="328">
        <f>H115/DAY(B2)</f>
        <v>9.9375</v>
      </c>
      <c r="N115" s="602" t="s">
        <v>367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'15'!F117</f>
        <v>2953.8739999999998</v>
      </c>
      <c r="F117" s="237">
        <v>2977</v>
      </c>
      <c r="G117" s="112">
        <f t="shared" si="9"/>
        <v>23.126000000000204</v>
      </c>
      <c r="H117" s="99">
        <f>G117+'15'!H117</f>
        <v>387</v>
      </c>
      <c r="I117" s="165"/>
      <c r="J117" s="328">
        <f>H117/DAY(B2)</f>
        <v>24.1875</v>
      </c>
      <c r="Q117" s="843" t="s">
        <v>312</v>
      </c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'15'!F118</f>
        <v>247040.19</v>
      </c>
      <c r="F118" s="237">
        <v>247347</v>
      </c>
      <c r="G118" s="112">
        <f t="shared" si="9"/>
        <v>306.80999999999767</v>
      </c>
      <c r="H118" s="99">
        <f>G118+'15'!H118</f>
        <v>5700</v>
      </c>
      <c r="I118" s="165"/>
      <c r="J118" s="328">
        <f>H118/DAY(B2)</f>
        <v>356.25</v>
      </c>
      <c r="Q118" s="843" t="s">
        <v>311</v>
      </c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490">
        <f>'15'!F119</f>
        <v>251326.27</v>
      </c>
      <c r="F119" s="501">
        <v>251784</v>
      </c>
      <c r="G119" s="112">
        <f t="shared" si="9"/>
        <v>457.73000000001048</v>
      </c>
      <c r="H119" s="99">
        <f>G119+'15'!H119</f>
        <v>6658</v>
      </c>
      <c r="I119" s="165"/>
      <c r="J119" s="328">
        <f>H119/DAY(B2)</f>
        <v>416.125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'15'!F120</f>
        <v>36276</v>
      </c>
      <c r="F120" s="237">
        <v>36711</v>
      </c>
      <c r="G120" s="112">
        <f t="shared" si="9"/>
        <v>435</v>
      </c>
      <c r="H120" s="99">
        <f>G120+'15'!H120</f>
        <v>6633</v>
      </c>
      <c r="I120" s="165"/>
      <c r="J120" s="328">
        <f>H120/DAY(B2)</f>
        <v>414.5625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'15'!F121</f>
        <v>387067.19</v>
      </c>
      <c r="F121" s="237">
        <v>387737</v>
      </c>
      <c r="G121" s="112">
        <f t="shared" si="9"/>
        <v>669.80999999999767</v>
      </c>
      <c r="H121" s="99">
        <f>G121+'15'!H121</f>
        <v>11208</v>
      </c>
      <c r="I121" s="165"/>
      <c r="J121" s="328">
        <f>H121/DAY(B2)</f>
        <v>700.5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'15'!F122</f>
        <v>123179.84</v>
      </c>
      <c r="F122" s="237">
        <v>123348</v>
      </c>
      <c r="G122" s="112">
        <f t="shared" si="9"/>
        <v>168.16000000000349</v>
      </c>
      <c r="H122" s="99">
        <f>G122+'15'!H122</f>
        <v>3298</v>
      </c>
      <c r="I122" s="165"/>
      <c r="J122" s="328">
        <f>H122/DAY(B2)</f>
        <v>206.125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'15'!F123</f>
        <v>149710.64000000001</v>
      </c>
      <c r="F123" s="237">
        <v>149981</v>
      </c>
      <c r="G123" s="112">
        <f t="shared" si="9"/>
        <v>270.35999999998603</v>
      </c>
      <c r="H123" s="99">
        <f>G123+'15'!H123</f>
        <v>4856</v>
      </c>
      <c r="I123" s="165"/>
      <c r="J123" s="328">
        <f>H123/DAY(B2)</f>
        <v>303.5</v>
      </c>
    </row>
    <row r="124" spans="1:18" ht="29.25" customHeight="1">
      <c r="A124" s="847"/>
      <c r="B124" s="848"/>
      <c r="C124" s="849"/>
      <c r="D124" s="165"/>
      <c r="E124" s="165"/>
      <c r="F124" s="155"/>
      <c r="G124" s="327"/>
      <c r="H124" s="156"/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2996.2459999999996</v>
      </c>
      <c r="H125" s="156"/>
      <c r="I125" s="327">
        <f>G125-(G39+G53)</f>
        <v>396.1460000000011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'15'!F128</f>
        <v>42785.57</v>
      </c>
      <c r="F128" s="155">
        <v>43107</v>
      </c>
      <c r="G128" s="112">
        <f t="shared" ref="G128:G134" si="10">F128-E128</f>
        <v>321.43000000000029</v>
      </c>
      <c r="H128" s="99">
        <f>G128+'15'!H128</f>
        <v>5103</v>
      </c>
      <c r="I128" s="165"/>
      <c r="J128" s="328">
        <f>H128/DAY(B2)</f>
        <v>318.9375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'15'!F129</f>
        <v>23631.14</v>
      </c>
      <c r="F129" s="155">
        <v>23830</v>
      </c>
      <c r="G129" s="112">
        <f t="shared" si="10"/>
        <v>198.86000000000058</v>
      </c>
      <c r="H129" s="99">
        <f>G129+'15'!H129</f>
        <v>3509</v>
      </c>
      <c r="I129" s="165"/>
      <c r="J129" s="328">
        <f>H129/DAY(B2)</f>
        <v>219.3125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'15'!F130</f>
        <v>27414.32</v>
      </c>
      <c r="F130" s="155">
        <v>27905</v>
      </c>
      <c r="G130" s="112">
        <f t="shared" si="10"/>
        <v>490.68000000000029</v>
      </c>
      <c r="H130" s="99">
        <f>G130+'15'!H130</f>
        <v>9523</v>
      </c>
      <c r="I130" s="165"/>
      <c r="J130" s="328">
        <f>H130/DAY(B2)</f>
        <v>595.1875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'15'!F131</f>
        <v>14237.01</v>
      </c>
      <c r="F131" s="155">
        <v>14295</v>
      </c>
      <c r="G131" s="112">
        <f t="shared" si="10"/>
        <v>57.989999999999782</v>
      </c>
      <c r="H131" s="99">
        <f>G131+'15'!H131</f>
        <v>1142</v>
      </c>
      <c r="I131" s="165"/>
      <c r="J131" s="328">
        <f>H131/DAY(B2)</f>
        <v>71.375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'15'!F132</f>
        <v>48296.4</v>
      </c>
      <c r="F132" s="155">
        <v>48804</v>
      </c>
      <c r="G132" s="112">
        <f t="shared" si="10"/>
        <v>507.59999999999854</v>
      </c>
      <c r="H132" s="99">
        <f>G132+'15'!H132</f>
        <v>7781</v>
      </c>
      <c r="I132" s="165"/>
      <c r="J132" s="328">
        <f>H132/DAY(B2)</f>
        <v>486.3125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'15'!F133</f>
        <v>97125.27</v>
      </c>
      <c r="F133" s="155">
        <v>97594</v>
      </c>
      <c r="G133" s="112">
        <f t="shared" si="10"/>
        <v>468.72999999999593</v>
      </c>
      <c r="H133" s="99">
        <f>G133+'15'!H133</f>
        <v>9891</v>
      </c>
      <c r="I133" s="165"/>
      <c r="J133" s="328">
        <f>H133/DAY(B2)</f>
        <v>618.1875</v>
      </c>
    </row>
    <row r="134" spans="1:15" s="493" customFormat="1" ht="27.75">
      <c r="A134" s="917" t="s">
        <v>340</v>
      </c>
      <c r="B134" s="918"/>
      <c r="C134" s="919"/>
      <c r="D134" s="233" t="s">
        <v>183</v>
      </c>
      <c r="E134" s="490">
        <f>'15'!F134</f>
        <v>5870.57</v>
      </c>
      <c r="F134" s="157">
        <v>6027</v>
      </c>
      <c r="G134" s="236">
        <f t="shared" si="10"/>
        <v>156.43000000000029</v>
      </c>
      <c r="H134" s="238">
        <f>G134+'15'!H134</f>
        <v>8321</v>
      </c>
      <c r="I134" s="158"/>
      <c r="J134" s="492">
        <f>H134/DAY(B2)</f>
        <v>520.0625</v>
      </c>
    </row>
    <row r="135" spans="1:15" ht="27.75">
      <c r="A135" s="827" t="s">
        <v>196</v>
      </c>
      <c r="B135" s="828"/>
      <c r="C135" s="331"/>
      <c r="D135" s="151"/>
      <c r="E135" s="95"/>
      <c r="F135" s="155"/>
      <c r="G135" s="112">
        <f>SUM(G128:G134)</f>
        <v>2201.7199999999957</v>
      </c>
      <c r="H135" s="99">
        <f>G135+'10'!H135</f>
        <v>33425.719999999994</v>
      </c>
      <c r="I135" s="327">
        <f>G135-(G35+G49)</f>
        <v>-387.850000000004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93" customFormat="1" ht="27.75">
      <c r="A138" s="922" t="s">
        <v>185</v>
      </c>
      <c r="B138" s="922"/>
      <c r="C138" s="922"/>
      <c r="D138" s="233" t="s">
        <v>183</v>
      </c>
      <c r="E138" s="490">
        <f>'15'!F138</f>
        <v>865110</v>
      </c>
      <c r="F138" s="148">
        <v>865169</v>
      </c>
      <c r="G138" s="236">
        <f t="shared" ref="G138:G152" si="11">F138-E138</f>
        <v>59</v>
      </c>
      <c r="H138" s="238">
        <f>G138+'15'!H138</f>
        <v>998</v>
      </c>
      <c r="I138" s="491"/>
      <c r="J138" s="492">
        <f>H138/DAY(B2)</f>
        <v>62.375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'15'!F139</f>
        <v>886550</v>
      </c>
      <c r="F139" s="148">
        <v>886550</v>
      </c>
      <c r="G139" s="112">
        <f t="shared" si="11"/>
        <v>0</v>
      </c>
      <c r="H139" s="99">
        <f>G139+'15'!H139</f>
        <v>4</v>
      </c>
      <c r="I139" s="118"/>
      <c r="J139" s="328">
        <f>H139/DAY(B2)</f>
        <v>0.25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'15'!F140</f>
        <v>88898</v>
      </c>
      <c r="F140" s="149">
        <v>88898</v>
      </c>
      <c r="G140" s="112">
        <f t="shared" si="11"/>
        <v>0</v>
      </c>
      <c r="H140" s="99">
        <f>G140+'15'!H140</f>
        <v>16</v>
      </c>
      <c r="I140" s="118"/>
      <c r="J140" s="328">
        <f>H140/DAY(B2)</f>
        <v>1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'15'!F141</f>
        <v>51910.98</v>
      </c>
      <c r="F141" s="149">
        <v>52076</v>
      </c>
      <c r="G141" s="112">
        <f t="shared" si="11"/>
        <v>165.0199999999968</v>
      </c>
      <c r="H141" s="99">
        <f>G141+'15'!H141</f>
        <v>2770</v>
      </c>
      <c r="I141" s="118"/>
      <c r="J141" s="328">
        <f>H141/DAY(B2)</f>
        <v>173.125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'15'!F142</f>
        <v>20042.919999999998</v>
      </c>
      <c r="F142" s="148">
        <v>20119</v>
      </c>
      <c r="G142" s="112">
        <f t="shared" si="11"/>
        <v>76.080000000001746</v>
      </c>
      <c r="H142" s="99">
        <f>G142+'15'!H142</f>
        <v>1110</v>
      </c>
      <c r="I142" s="140"/>
      <c r="J142" s="328">
        <f>H142/DAY(B2)</f>
        <v>69.375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'15'!F143</f>
        <v>3416.07</v>
      </c>
      <c r="F143" s="149">
        <v>3439</v>
      </c>
      <c r="G143" s="112">
        <f t="shared" si="11"/>
        <v>22.929999999999836</v>
      </c>
      <c r="H143" s="99">
        <f>G143+'15'!H143</f>
        <v>378</v>
      </c>
      <c r="I143" s="140"/>
      <c r="J143" s="328">
        <f>H143/DAY(B2)</f>
        <v>23.625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'15'!F144</f>
        <v>873064</v>
      </c>
      <c r="F144" s="149">
        <v>873290</v>
      </c>
      <c r="G144" s="112">
        <f t="shared" si="11"/>
        <v>226</v>
      </c>
      <c r="H144" s="99">
        <f>G144+'15'!H144</f>
        <v>3620</v>
      </c>
      <c r="I144" s="140"/>
      <c r="J144" s="328">
        <f>H144/DAY(B2)</f>
        <v>226.25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'15'!F145</f>
        <v>4782.42</v>
      </c>
      <c r="F145" s="148">
        <v>4798</v>
      </c>
      <c r="G145" s="112">
        <f t="shared" si="11"/>
        <v>15.579999999999927</v>
      </c>
      <c r="H145" s="99">
        <f>G145+'15'!H145</f>
        <v>240</v>
      </c>
      <c r="I145" s="140"/>
      <c r="J145" s="328">
        <f>H145/DAY(B2)</f>
        <v>15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'15'!F146</f>
        <v>730887</v>
      </c>
      <c r="F146" s="148">
        <v>731328</v>
      </c>
      <c r="G146" s="112">
        <f t="shared" si="11"/>
        <v>441</v>
      </c>
      <c r="H146" s="99">
        <f>G146+'15'!H146</f>
        <v>6470</v>
      </c>
      <c r="I146" s="140"/>
      <c r="J146" s="328">
        <f>H146/DAY(B2)</f>
        <v>404.375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'15'!F147</f>
        <v>620842.84</v>
      </c>
      <c r="F147" s="148">
        <v>621179</v>
      </c>
      <c r="G147" s="112">
        <f t="shared" si="11"/>
        <v>336.1600000000326</v>
      </c>
      <c r="H147" s="99">
        <f>G147+'15'!H147</f>
        <v>5897</v>
      </c>
      <c r="I147" s="140"/>
      <c r="J147" s="328">
        <f>H147/DAY(B2)</f>
        <v>368.5625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'15'!F148</f>
        <v>686532.56</v>
      </c>
      <c r="F148" s="164">
        <v>686696</v>
      </c>
      <c r="G148" s="112">
        <f t="shared" si="11"/>
        <v>163.43999999994412</v>
      </c>
      <c r="H148" s="99">
        <f>G148+'15'!H148</f>
        <v>3662.8800000000047</v>
      </c>
      <c r="I148" s="124"/>
      <c r="J148" s="328">
        <f>H148/DAY(B2)</f>
        <v>228.93000000000029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'15'!F149</f>
        <v>16915.34</v>
      </c>
      <c r="F149" s="233">
        <v>17345</v>
      </c>
      <c r="G149" s="112">
        <f t="shared" si="11"/>
        <v>429.65999999999985</v>
      </c>
      <c r="H149" s="99">
        <f>G149+'15'!H149</f>
        <v>6596</v>
      </c>
      <c r="I149" s="119"/>
      <c r="J149" s="328">
        <f>H149/DAY(B2)</f>
        <v>412.25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'15'!F150</f>
        <v>7322.12</v>
      </c>
      <c r="F150" s="233">
        <v>7545</v>
      </c>
      <c r="G150" s="112">
        <f t="shared" si="11"/>
        <v>222.88000000000011</v>
      </c>
      <c r="H150" s="99">
        <f>G150+'15'!H150</f>
        <v>3493</v>
      </c>
      <c r="I150" s="119"/>
      <c r="J150" s="328">
        <f>H150/DAY(B2)</f>
        <v>218.3125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'15'!F151</f>
        <v>81719</v>
      </c>
      <c r="F151" s="233">
        <v>81943</v>
      </c>
      <c r="G151" s="112">
        <f t="shared" si="11"/>
        <v>224</v>
      </c>
      <c r="H151" s="99">
        <f>G151+'15'!H151</f>
        <v>3726</v>
      </c>
      <c r="I151" s="119"/>
      <c r="J151" s="328">
        <f>H151/DAY(B2)</f>
        <v>232.875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'15'!F152</f>
        <v>1390.19</v>
      </c>
      <c r="F152" s="233">
        <v>1405</v>
      </c>
      <c r="G152" s="112">
        <f t="shared" si="11"/>
        <v>14.809999999999945</v>
      </c>
      <c r="H152" s="99">
        <f>G152+'15'!H152</f>
        <v>278</v>
      </c>
      <c r="I152" s="119"/>
      <c r="J152" s="328">
        <f>H152/DAY(B2)</f>
        <v>17.375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2396.5599999999749</v>
      </c>
      <c r="H153" s="363"/>
      <c r="I153" s="119">
        <f>G153-(G38+G52)</f>
        <v>771.50999999997566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490">
        <f>'15'!F155</f>
        <v>22084.26</v>
      </c>
      <c r="F155" s="532">
        <v>22693</v>
      </c>
      <c r="G155" s="236">
        <f>F155-E155</f>
        <v>608.7400000000016</v>
      </c>
      <c r="H155" s="99">
        <f>G155+'15'!H155</f>
        <v>9221</v>
      </c>
      <c r="I155" s="364"/>
      <c r="J155" s="328">
        <f>H155/DAY(B2)</f>
        <v>576.3125</v>
      </c>
    </row>
    <row r="156" spans="1:10" ht="27.75">
      <c r="A156" s="823" t="s">
        <v>347</v>
      </c>
      <c r="B156" s="823"/>
      <c r="C156" s="823"/>
      <c r="D156" s="117" t="s">
        <v>130</v>
      </c>
      <c r="E156" s="490">
        <f>'15'!F156</f>
        <v>1841.25</v>
      </c>
      <c r="F156" s="157">
        <v>1898</v>
      </c>
      <c r="G156" s="236">
        <f t="shared" ref="G156:G158" si="12">F156-E156</f>
        <v>56.75</v>
      </c>
      <c r="H156" s="99">
        <f>G156+'15'!H156</f>
        <v>810</v>
      </c>
      <c r="I156" s="165"/>
      <c r="J156" s="328">
        <f>H156/DAY(B2)</f>
        <v>50.625</v>
      </c>
    </row>
    <row r="157" spans="1:10" ht="27.75">
      <c r="A157" s="824" t="s">
        <v>364</v>
      </c>
      <c r="B157" s="825"/>
      <c r="C157" s="826"/>
      <c r="D157" s="117" t="s">
        <v>130</v>
      </c>
      <c r="E157" s="490">
        <f>'15'!F157</f>
        <v>2352.2600000000002</v>
      </c>
      <c r="F157" s="157">
        <v>2430</v>
      </c>
      <c r="G157" s="236">
        <f t="shared" si="12"/>
        <v>77.739999999999782</v>
      </c>
      <c r="H157" s="99">
        <f>G157+'15'!H157</f>
        <v>499</v>
      </c>
      <c r="I157" s="165"/>
      <c r="J157" s="328">
        <f>H157/DAY(B2)</f>
        <v>31.1875</v>
      </c>
    </row>
    <row r="158" spans="1:10" ht="27.75">
      <c r="A158" s="824" t="s">
        <v>365</v>
      </c>
      <c r="B158" s="825"/>
      <c r="C158" s="826"/>
      <c r="D158" s="117" t="s">
        <v>130</v>
      </c>
      <c r="E158" s="490">
        <f>'15'!F158</f>
        <v>23.32</v>
      </c>
      <c r="F158" s="157">
        <v>23.34</v>
      </c>
      <c r="G158" s="236">
        <f t="shared" si="12"/>
        <v>1.9999999999999574E-2</v>
      </c>
      <c r="H158" s="99">
        <f>G158+'15'!H158</f>
        <v>23.34</v>
      </c>
      <c r="I158" s="165"/>
      <c r="J158" s="328">
        <f>H158/DAY(B2)</f>
        <v>1.45875</v>
      </c>
    </row>
    <row r="159" spans="1:10" ht="27.75">
      <c r="A159" s="907"/>
      <c r="B159" s="908"/>
      <c r="C159" s="909"/>
      <c r="D159" s="117"/>
      <c r="E159" s="95"/>
      <c r="F159" s="155"/>
      <c r="G159" s="362">
        <f>SUM(G155:G158)</f>
        <v>743.25000000000136</v>
      </c>
      <c r="H159" s="99">
        <f>G159+'15'!H159</f>
        <v>743.25000000000136</v>
      </c>
      <c r="I159" s="165"/>
      <c r="J159" s="328">
        <f>H159/DAY(B2)</f>
        <v>46.453125000000085</v>
      </c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'15'!F161</f>
        <v>471432.04</v>
      </c>
      <c r="F161" s="235">
        <v>471439</v>
      </c>
      <c r="G161" s="238">
        <f t="shared" ref="G161:G165" si="13">F161-E161</f>
        <v>6.9600000000209548</v>
      </c>
      <c r="H161" s="99">
        <f>G161+'15'!H161</f>
        <v>285.84000000002561</v>
      </c>
      <c r="I161" s="236"/>
      <c r="J161" s="239">
        <f>H161/DAY(B2)</f>
        <v>17.865000000001601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'15'!F162</f>
        <v>88002.3</v>
      </c>
      <c r="F162" s="235">
        <v>88016</v>
      </c>
      <c r="G162" s="238">
        <f t="shared" si="13"/>
        <v>13.69999999999709</v>
      </c>
      <c r="H162" s="99">
        <f>G162+'15'!H162</f>
        <v>446</v>
      </c>
      <c r="I162" s="236"/>
      <c r="J162" s="239">
        <f>H162/DAY(B2)</f>
        <v>27.875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'15'!F163</f>
        <v>78479.100000000006</v>
      </c>
      <c r="F163" s="235">
        <v>78515</v>
      </c>
      <c r="G163" s="238">
        <f t="shared" si="13"/>
        <v>35.899999999994179</v>
      </c>
      <c r="H163" s="99">
        <f>G163+'15'!H163</f>
        <v>690</v>
      </c>
      <c r="I163" s="236"/>
      <c r="J163" s="239">
        <f>H163/DAY(B2)</f>
        <v>43.125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'15'!F164</f>
        <v>4265.5</v>
      </c>
      <c r="F164" s="235">
        <v>4266</v>
      </c>
      <c r="G164" s="238">
        <f t="shared" si="13"/>
        <v>0.5</v>
      </c>
      <c r="H164" s="99">
        <f>G164+'15'!H164</f>
        <v>24</v>
      </c>
      <c r="I164" s="236"/>
      <c r="J164" s="239">
        <f>H164/DAY(B2)</f>
        <v>1.5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'15'!F165</f>
        <v>29743.53</v>
      </c>
      <c r="F165" s="235">
        <v>29746</v>
      </c>
      <c r="G165" s="238">
        <f t="shared" si="13"/>
        <v>2.4700000000011642</v>
      </c>
      <c r="H165" s="99">
        <f>G165+'15'!H165</f>
        <v>100</v>
      </c>
      <c r="I165" s="236"/>
      <c r="J165" s="239">
        <f>H165/DAY(B2)</f>
        <v>6.25</v>
      </c>
    </row>
    <row r="166" spans="1:10" ht="29.25">
      <c r="A166" s="832"/>
      <c r="B166" s="832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'15'!F173</f>
        <v>8126</v>
      </c>
      <c r="F173" s="155">
        <v>8126</v>
      </c>
      <c r="G173" s="155">
        <f>F173-E173</f>
        <v>0</v>
      </c>
      <c r="H173" s="99">
        <f>G173+'15'!H173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'15'!F174</f>
        <v>38431</v>
      </c>
      <c r="F174" s="157">
        <v>38444</v>
      </c>
      <c r="G174" s="155">
        <f t="shared" ref="G174:G175" si="14">F174-E174</f>
        <v>13</v>
      </c>
      <c r="H174" s="99">
        <f>G174+'15'!H174</f>
        <v>151</v>
      </c>
      <c r="I174" s="155"/>
      <c r="J174" s="178">
        <f>H174/DAY(B2)</f>
        <v>9.4375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'15'!F175</f>
        <v>21656</v>
      </c>
      <c r="F175" s="155">
        <v>21666</v>
      </c>
      <c r="G175" s="155">
        <f t="shared" si="14"/>
        <v>10</v>
      </c>
      <c r="H175" s="99">
        <f>G175+'15'!H175</f>
        <v>148</v>
      </c>
      <c r="I175" s="155"/>
      <c r="J175" s="178">
        <f>H175/DAY(B2)</f>
        <v>9.25</v>
      </c>
    </row>
    <row r="176" spans="1:10" ht="27.75">
      <c r="A176" s="827" t="s">
        <v>196</v>
      </c>
      <c r="B176" s="828"/>
      <c r="C176" s="333"/>
      <c r="D176" s="228" t="s">
        <v>142</v>
      </c>
      <c r="E176" s="95">
        <f>'15'!F176</f>
        <v>0</v>
      </c>
      <c r="F176" s="155"/>
      <c r="G176" s="155">
        <f>SUM(G173:G175)</f>
        <v>23</v>
      </c>
      <c r="H176" s="99">
        <f>G176+'15'!H176</f>
        <v>299</v>
      </c>
      <c r="I176" s="155"/>
      <c r="J176" s="178">
        <f>H176/DAY(B2)</f>
        <v>18.6875</v>
      </c>
    </row>
    <row r="177" spans="1:11" ht="27.75">
      <c r="A177" s="836" t="s">
        <v>77</v>
      </c>
      <c r="B177" s="837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>
      <c r="A178" s="836" t="s">
        <v>210</v>
      </c>
      <c r="B178" s="837"/>
      <c r="C178" s="333"/>
      <c r="D178" s="228" t="s">
        <v>142</v>
      </c>
      <c r="E178" s="95">
        <f>'15'!F178</f>
        <v>80469</v>
      </c>
      <c r="F178" s="155">
        <v>80529</v>
      </c>
      <c r="G178" s="155">
        <f>F178-E178</f>
        <v>60</v>
      </c>
      <c r="H178" s="99">
        <f>G178+'15'!H178</f>
        <v>915</v>
      </c>
      <c r="I178" s="155"/>
      <c r="J178" s="178">
        <f>H178/DAY(B2)</f>
        <v>57.1875</v>
      </c>
    </row>
    <row r="179" spans="1:11" ht="27.75">
      <c r="A179" s="836" t="s">
        <v>211</v>
      </c>
      <c r="B179" s="837"/>
      <c r="C179" s="333"/>
      <c r="D179" s="228" t="s">
        <v>142</v>
      </c>
      <c r="E179" s="95">
        <f>'15'!F179</f>
        <v>34223</v>
      </c>
      <c r="F179" s="155">
        <v>34251</v>
      </c>
      <c r="G179" s="155">
        <f t="shared" ref="G179:G180" si="15">F179-E179</f>
        <v>28</v>
      </c>
      <c r="H179" s="99">
        <f>G179+'15'!H179</f>
        <v>336</v>
      </c>
      <c r="I179" s="155"/>
      <c r="J179" s="178">
        <f>H179/DAY(B2)</f>
        <v>21</v>
      </c>
    </row>
    <row r="180" spans="1:11" ht="27.75">
      <c r="A180" s="836" t="s">
        <v>212</v>
      </c>
      <c r="B180" s="837"/>
      <c r="C180" s="333"/>
      <c r="D180" s="228" t="s">
        <v>142</v>
      </c>
      <c r="E180" s="95">
        <f>'15'!F180</f>
        <v>5592</v>
      </c>
      <c r="F180" s="155">
        <v>5595</v>
      </c>
      <c r="G180" s="155">
        <f t="shared" si="15"/>
        <v>3</v>
      </c>
      <c r="H180" s="99">
        <f>G180+'15'!H180</f>
        <v>118</v>
      </c>
      <c r="I180" s="155"/>
      <c r="J180" s="178">
        <f>H180/DAY(B2)</f>
        <v>7.375</v>
      </c>
    </row>
    <row r="181" spans="1:11" ht="27.75">
      <c r="A181" s="838" t="s">
        <v>108</v>
      </c>
      <c r="B181" s="839"/>
      <c r="C181" s="333"/>
      <c r="D181" s="228" t="s">
        <v>142</v>
      </c>
      <c r="E181" s="95">
        <f>'15'!F181</f>
        <v>0</v>
      </c>
      <c r="F181" s="155"/>
      <c r="G181" s="155">
        <f>SUM(G178:G180)</f>
        <v>91</v>
      </c>
      <c r="H181" s="99">
        <f>G181+'15'!H181</f>
        <v>1369</v>
      </c>
      <c r="I181" s="155"/>
      <c r="J181" s="178">
        <f>H181/DAY(B2)</f>
        <v>85.5625</v>
      </c>
    </row>
    <row r="182" spans="1:11" ht="27.75">
      <c r="A182" s="836" t="s">
        <v>213</v>
      </c>
      <c r="B182" s="837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>
      <c r="A183" s="836" t="s">
        <v>214</v>
      </c>
      <c r="B183" s="837"/>
      <c r="C183" s="334"/>
      <c r="D183" s="228" t="s">
        <v>142</v>
      </c>
      <c r="E183" s="95">
        <f>'15'!F183</f>
        <v>15129</v>
      </c>
      <c r="F183" s="157">
        <v>15137</v>
      </c>
      <c r="G183" s="157">
        <f>F183-E183</f>
        <v>8</v>
      </c>
      <c r="H183" s="99">
        <f>G183+'15'!H183</f>
        <v>190</v>
      </c>
      <c r="I183" s="155"/>
      <c r="J183" s="178">
        <f>H183/DAY(B2)</f>
        <v>11.875</v>
      </c>
    </row>
    <row r="184" spans="1:11" ht="27.75">
      <c r="A184" s="836" t="s">
        <v>215</v>
      </c>
      <c r="B184" s="837"/>
      <c r="C184" s="334"/>
      <c r="D184" s="228" t="s">
        <v>142</v>
      </c>
      <c r="E184" s="95">
        <f>'15'!F184</f>
        <v>10398</v>
      </c>
      <c r="F184" s="157">
        <v>10404</v>
      </c>
      <c r="G184" s="157">
        <f t="shared" ref="G184:G185" si="16">F184-E184</f>
        <v>6</v>
      </c>
      <c r="H184" s="99">
        <f>G184+'15'!H184</f>
        <v>103</v>
      </c>
      <c r="I184" s="155"/>
      <c r="J184" s="178">
        <f>H184/DAY(B2)</f>
        <v>6.4375</v>
      </c>
    </row>
    <row r="185" spans="1:11" ht="32.25" customHeight="1">
      <c r="A185" s="836" t="s">
        <v>216</v>
      </c>
      <c r="B185" s="837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>
      <c r="A186" s="827" t="s">
        <v>196</v>
      </c>
      <c r="B186" s="828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293</v>
      </c>
      <c r="I186" s="157"/>
      <c r="J186" s="178">
        <f>H186/DAY(B2)</f>
        <v>18.3125</v>
      </c>
    </row>
    <row r="187" spans="1:11" ht="27.75">
      <c r="A187" s="829" t="s">
        <v>217</v>
      </c>
      <c r="B187" s="830"/>
      <c r="C187" s="333"/>
      <c r="D187" s="230" t="s">
        <v>142</v>
      </c>
      <c r="E187" s="95">
        <f>'15'!F187</f>
        <v>0</v>
      </c>
      <c r="F187" s="159"/>
      <c r="G187" s="462">
        <f>G62+G19</f>
        <v>121</v>
      </c>
      <c r="H187" s="99">
        <f>G187+'15'!H187</f>
        <v>1807</v>
      </c>
      <c r="I187" s="158"/>
      <c r="J187" s="179">
        <f>H187/DAY(B2)</f>
        <v>112.9375</v>
      </c>
    </row>
    <row r="188" spans="1:11" ht="27.75">
      <c r="A188" s="829" t="s">
        <v>218</v>
      </c>
      <c r="B188" s="830"/>
      <c r="C188" s="333"/>
      <c r="D188" s="230" t="s">
        <v>142</v>
      </c>
      <c r="E188" s="95">
        <f>'15'!F188</f>
        <v>0</v>
      </c>
      <c r="F188" s="159"/>
      <c r="G188" s="462">
        <f>G65+G66+G67+G69+G70</f>
        <v>122</v>
      </c>
      <c r="H188" s="99">
        <f>G188+'15'!H188</f>
        <v>250</v>
      </c>
      <c r="I188" s="158"/>
      <c r="J188" s="179">
        <f>H188/DAY(B2)</f>
        <v>15.625</v>
      </c>
    </row>
    <row r="189" spans="1:11" ht="23.25" customHeight="1">
      <c r="A189" s="829" t="s">
        <v>219</v>
      </c>
      <c r="B189" s="830"/>
      <c r="C189" s="333"/>
      <c r="D189" s="230" t="s">
        <v>142</v>
      </c>
      <c r="E189" s="95">
        <f>'15'!F189</f>
        <v>0</v>
      </c>
      <c r="F189" s="157"/>
      <c r="G189" s="459">
        <f>G181</f>
        <v>91</v>
      </c>
      <c r="H189" s="99">
        <f>G189+'15'!H189</f>
        <v>1369</v>
      </c>
      <c r="I189" s="158"/>
      <c r="J189" s="179">
        <f>H189/DAY(B2)</f>
        <v>85.5625</v>
      </c>
    </row>
    <row r="190" spans="1:11" ht="23.25" customHeight="1">
      <c r="A190" s="920"/>
      <c r="B190" s="921"/>
      <c r="C190" s="556"/>
      <c r="D190" s="480"/>
      <c r="E190" s="480" t="s">
        <v>207</v>
      </c>
      <c r="F190" s="499"/>
      <c r="G190" s="480"/>
      <c r="H190" s="481"/>
      <c r="I190" s="480"/>
      <c r="J190" s="482"/>
    </row>
    <row r="191" spans="1:11" ht="23.25" customHeight="1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98">
        <v>0</v>
      </c>
      <c r="G192" s="160" t="s">
        <v>371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1"/>
  <sheetViews>
    <sheetView view="pageBreakPreview" zoomScale="55" zoomScaleSheetLayoutView="55" zoomScalePageLayoutView="60" workbookViewId="0">
      <selection activeCell="G166" sqref="G166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.75" customHeight="1">
      <c r="A2" s="191" t="s">
        <v>350</v>
      </c>
      <c r="B2" s="262">
        <v>44578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388954</v>
      </c>
      <c r="F7" s="95">
        <v>406408</v>
      </c>
      <c r="G7" s="112">
        <f>F7-E7</f>
        <v>17454</v>
      </c>
      <c r="H7" s="99">
        <f>G7+'16'!H7</f>
        <v>311847</v>
      </c>
      <c r="I7" s="113">
        <f>'1'!I7</f>
        <v>12000</v>
      </c>
      <c r="J7" s="175">
        <f>H7/DAY(B2)</f>
        <v>18343.941176470587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440190</v>
      </c>
      <c r="F8" s="95">
        <v>457733</v>
      </c>
      <c r="G8" s="115">
        <f>F8-E8</f>
        <v>17543</v>
      </c>
      <c r="H8" s="99">
        <f>G8+'16'!H8</f>
        <v>316848</v>
      </c>
      <c r="I8" s="116"/>
      <c r="J8" s="175">
        <f>H8/DAY(B2)</f>
        <v>18638.117647058825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87159</v>
      </c>
      <c r="F9" s="601">
        <v>98294.9</v>
      </c>
      <c r="G9" s="112">
        <f>F9-E9</f>
        <v>11135.899999999994</v>
      </c>
      <c r="H9" s="99">
        <f>G9+'16'!H9</f>
        <v>196799.9</v>
      </c>
      <c r="I9" s="124">
        <f>I7-J7</f>
        <v>-6343.9411764705874</v>
      </c>
      <c r="J9" s="175">
        <f>H9/DAY(B2)</f>
        <v>11576.464705882352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45649</v>
      </c>
      <c r="F10" s="353">
        <v>51481.74</v>
      </c>
      <c r="G10" s="112">
        <f t="shared" ref="G10:G12" si="0">F10-E10</f>
        <v>5832.739999999998</v>
      </c>
      <c r="H10" s="99">
        <f>G10+'16'!H10</f>
        <v>106387.73999999999</v>
      </c>
      <c r="I10" s="282"/>
      <c r="J10" s="175">
        <f>H10/DAY(B2)</f>
        <v>6258.1023529411759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16968.639999999992</v>
      </c>
      <c r="H13" s="99">
        <f>G13+'16'!H13</f>
        <v>283722.3899999999</v>
      </c>
      <c r="I13" s="120">
        <f>G7-G13</f>
        <v>485.36000000000786</v>
      </c>
      <c r="J13" s="175">
        <f>H13/DAY(B2)</f>
        <v>16689.552352941169</v>
      </c>
      <c r="K13" s="79"/>
      <c r="L13" s="66"/>
      <c r="N13" s="87"/>
      <c r="O13" s="71"/>
    </row>
    <row r="14" spans="1:15" ht="27.7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95">
        <f>'16'!F15</f>
        <v>1892606</v>
      </c>
      <c r="F15" s="123">
        <v>1893340.273</v>
      </c>
      <c r="G15" s="112">
        <f>(F15-E15)</f>
        <v>734.2730000000447</v>
      </c>
      <c r="H15" s="99">
        <f>G15+'16'!H15</f>
        <v>14910.273000000045</v>
      </c>
      <c r="I15" s="113">
        <f>'1'!I15</f>
        <v>800</v>
      </c>
      <c r="J15" s="175">
        <f>H15/DAY(B2)</f>
        <v>877.07488235294386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-77.07488235294386</v>
      </c>
      <c r="J16" s="176"/>
      <c r="K16" s="79"/>
      <c r="L16" s="66"/>
      <c r="N16" s="87"/>
      <c r="O16" s="71"/>
    </row>
    <row r="17" spans="1:15" ht="27.7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4" t="s">
        <v>141</v>
      </c>
      <c r="B18" s="865"/>
      <c r="C18" s="866"/>
      <c r="D18" s="151" t="s">
        <v>142</v>
      </c>
      <c r="E18" s="95">
        <f>'16'!F18</f>
        <v>8</v>
      </c>
      <c r="F18" s="122">
        <v>8</v>
      </c>
      <c r="G18" s="119">
        <f>F18*10</f>
        <v>80</v>
      </c>
      <c r="H18" s="99">
        <f>G18+'16'!H18</f>
        <v>1780</v>
      </c>
      <c r="I18" s="113">
        <f>'1'!I18</f>
        <v>65</v>
      </c>
      <c r="J18" s="175">
        <f>H18/DAY(B2)</f>
        <v>104.70588235294117</v>
      </c>
      <c r="K18" s="79"/>
      <c r="L18" s="66"/>
      <c r="N18" s="87"/>
      <c r="O18" s="71"/>
    </row>
    <row r="19" spans="1:15" ht="27.75" customHeight="1">
      <c r="A19" s="864" t="s">
        <v>69</v>
      </c>
      <c r="B19" s="865"/>
      <c r="C19" s="866"/>
      <c r="D19" s="151" t="s">
        <v>142</v>
      </c>
      <c r="E19" s="95">
        <f>'16'!F19</f>
        <v>153072</v>
      </c>
      <c r="F19" s="122">
        <v>153125</v>
      </c>
      <c r="G19" s="112">
        <f t="shared" ref="G19" si="1">F19-E19</f>
        <v>53</v>
      </c>
      <c r="H19" s="99">
        <f>G19+'16'!H19</f>
        <v>900</v>
      </c>
      <c r="I19" s="335"/>
      <c r="J19" s="175">
        <f>H19/DAY(B2)</f>
        <v>52.941176470588232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133</v>
      </c>
      <c r="H20" s="99">
        <f>G20+'16'!H20</f>
        <v>2680</v>
      </c>
      <c r="I20" s="336">
        <f>I18-J20</f>
        <v>-92.64705882352942</v>
      </c>
      <c r="J20" s="175">
        <f>H20/DAY(B2)</f>
        <v>157.64705882352942</v>
      </c>
      <c r="K20" s="79"/>
      <c r="L20" s="66"/>
      <c r="N20" s="87"/>
      <c r="O20" s="71"/>
    </row>
    <row r="21" spans="1:15" ht="27.7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17543</v>
      </c>
      <c r="F27" s="136">
        <v>9</v>
      </c>
      <c r="G27" s="137">
        <f>E27*F27</f>
        <v>157887</v>
      </c>
      <c r="H27" s="99">
        <f>G27+'16'!H27</f>
        <v>2851632</v>
      </c>
      <c r="I27" s="138"/>
      <c r="J27" s="175">
        <f>H27/DAY(B2)</f>
        <v>167743.0588235294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734.2730000000447</v>
      </c>
      <c r="F28" s="136">
        <v>52</v>
      </c>
      <c r="G28" s="137">
        <f>E28*F28</f>
        <v>38182.196000002325</v>
      </c>
      <c r="H28" s="99">
        <f>G28+'16'!H28</f>
        <v>775334.19600000232</v>
      </c>
      <c r="I28" s="140"/>
      <c r="J28" s="175">
        <f>H28/DAY(B2)</f>
        <v>45607.893882353077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G30+'16'!H30</f>
        <v>131400</v>
      </c>
      <c r="I30" s="140"/>
      <c r="J30" s="175">
        <f>H30/DAY(B2)</f>
        <v>7729.411764705882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G31+'16'!H31</f>
        <v>142400</v>
      </c>
      <c r="I31" s="140"/>
      <c r="J31" s="175">
        <f>H31/DAY(B2)</f>
        <v>8376.4705882352937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210207.19600000232</v>
      </c>
      <c r="H32" s="99">
        <f>G32+'16'!H32</f>
        <v>3900766.1960000023</v>
      </c>
      <c r="I32" s="144"/>
      <c r="J32" s="175">
        <f>H32/DAY(B2)</f>
        <v>229456.83505882366</v>
      </c>
      <c r="K32" s="63"/>
      <c r="L32" s="89"/>
      <c r="N32" s="87"/>
      <c r="O32" s="71"/>
    </row>
    <row r="33" spans="1:15" ht="27.7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11775</v>
      </c>
      <c r="F35" s="145">
        <v>13093.6</v>
      </c>
      <c r="G35" s="112">
        <f t="shared" ref="G35:G46" si="3">F35-E35</f>
        <v>1318.6000000000004</v>
      </c>
      <c r="H35" s="99">
        <f>G35+'16'!H35</f>
        <v>28293.599999999999</v>
      </c>
      <c r="I35" s="95"/>
      <c r="J35" s="175">
        <f>H35/DAY(B2)</f>
        <v>1664.3294117647058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32882</v>
      </c>
      <c r="F36" s="145">
        <v>33474.46</v>
      </c>
      <c r="G36" s="112">
        <f t="shared" si="3"/>
        <v>592.45999999999913</v>
      </c>
      <c r="H36" s="99">
        <f>G36+'16'!H36</f>
        <v>11947.46</v>
      </c>
      <c r="I36" s="95"/>
      <c r="J36" s="175">
        <f>H36/DAY(B2)</f>
        <v>702.79176470588231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11811</v>
      </c>
      <c r="F37" s="145">
        <v>13321.42</v>
      </c>
      <c r="G37" s="112">
        <f t="shared" si="3"/>
        <v>1510.42</v>
      </c>
      <c r="H37" s="99">
        <f>G37+'16'!H37</f>
        <v>25533.42</v>
      </c>
      <c r="I37" s="95"/>
      <c r="J37" s="175">
        <f>H37/DAY(B2)</f>
        <v>1501.965882352941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12564</v>
      </c>
      <c r="F38" s="108">
        <v>14168.16</v>
      </c>
      <c r="G38" s="112">
        <f t="shared" si="3"/>
        <v>1604.1599999999999</v>
      </c>
      <c r="H38" s="99">
        <f>G38+'16'!H38</f>
        <v>27368.16</v>
      </c>
      <c r="I38" s="95"/>
      <c r="J38" s="175">
        <f>H38/DAY(B2)</f>
        <v>1609.8917647058825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20110</v>
      </c>
      <c r="F39" s="145">
        <v>22808</v>
      </c>
      <c r="G39" s="112">
        <f t="shared" si="3"/>
        <v>2698</v>
      </c>
      <c r="H39" s="99">
        <f>G39+'16'!H39</f>
        <v>44490</v>
      </c>
      <c r="I39" s="95"/>
      <c r="J39" s="175">
        <f>H39/DAY(B2)</f>
        <v>2617.0588235294117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12911</v>
      </c>
      <c r="F40" s="552">
        <v>13361</v>
      </c>
      <c r="G40" s="112">
        <f t="shared" si="3"/>
        <v>450</v>
      </c>
      <c r="H40" s="99">
        <f>G40+'16'!H40</f>
        <v>7751</v>
      </c>
      <c r="I40" s="95"/>
      <c r="J40" s="175">
        <f>H40/DAY(B2)</f>
        <v>455.94117647058823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73808.600000000006</v>
      </c>
      <c r="F42" s="145">
        <v>73808.600000000006</v>
      </c>
      <c r="G42" s="112">
        <f t="shared" si="3"/>
        <v>0</v>
      </c>
      <c r="H42" s="99">
        <f>G42+'16'!H42</f>
        <v>-0.39999999999417923</v>
      </c>
      <c r="I42" s="95"/>
      <c r="J42" s="175">
        <f>H42/DAY(B2)</f>
        <v>-2.3529411764363486E-2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82824</v>
      </c>
      <c r="F43" s="145">
        <v>85043.15</v>
      </c>
      <c r="G43" s="112">
        <f t="shared" si="3"/>
        <v>2219.1499999999942</v>
      </c>
      <c r="H43" s="99">
        <f>G43+'16'!H43</f>
        <v>37782.149999999994</v>
      </c>
      <c r="I43" s="95"/>
      <c r="J43" s="175">
        <f>H43/DAY(B2)</f>
        <v>2222.4794117647057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10392.789999999994</v>
      </c>
      <c r="H47" s="99">
        <f>G47+'16'!H47</f>
        <v>183165.39</v>
      </c>
      <c r="I47" s="95"/>
      <c r="J47" s="175">
        <f>H47/DAY(B2)</f>
        <v>10774.434705882353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9977</v>
      </c>
      <c r="F49" s="145">
        <v>11344.61</v>
      </c>
      <c r="G49" s="112">
        <f t="shared" ref="G49:G58" si="4">F49-E49</f>
        <v>1367.6100000000006</v>
      </c>
      <c r="H49" s="99">
        <f>G49+'16'!H49</f>
        <v>24465.61</v>
      </c>
      <c r="I49" s="95"/>
      <c r="J49" s="175">
        <f>H49/DAY(B2)</f>
        <v>1439.1535294117648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40286</v>
      </c>
      <c r="F50" s="145">
        <v>41124.53</v>
      </c>
      <c r="G50" s="112">
        <f t="shared" si="4"/>
        <v>838.52999999999884</v>
      </c>
      <c r="H50" s="99">
        <f>G50+'16'!H50</f>
        <v>16474.53</v>
      </c>
      <c r="I50" s="95"/>
      <c r="J50" s="175">
        <f>H50/DAY(B2)</f>
        <v>969.08999999999992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4227</v>
      </c>
      <c r="F54" s="145">
        <v>4789.7</v>
      </c>
      <c r="G54" s="112">
        <f t="shared" si="4"/>
        <v>562.69999999999982</v>
      </c>
      <c r="H54" s="99">
        <f>G54+'16'!H54</f>
        <v>6556.78</v>
      </c>
      <c r="I54" s="95"/>
      <c r="J54" s="175">
        <f>H54/DAY(B2)</f>
        <v>385.69294117647058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51744</v>
      </c>
      <c r="F55" s="145">
        <v>54749.17</v>
      </c>
      <c r="G55" s="112">
        <f t="shared" si="4"/>
        <v>3005.1699999999983</v>
      </c>
      <c r="H55" s="99">
        <f>G55+'16'!H55</f>
        <v>51238.17</v>
      </c>
      <c r="I55" s="95"/>
      <c r="J55" s="175">
        <f>H55/DAY(B2)</f>
        <v>3014.0099999999998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8610.5400000000009</v>
      </c>
      <c r="F56" s="145">
        <v>8610.5400000000009</v>
      </c>
      <c r="G56" s="112">
        <f t="shared" si="4"/>
        <v>0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1999</v>
      </c>
      <c r="F58" s="145">
        <v>2016.6</v>
      </c>
      <c r="G58" s="112">
        <f t="shared" si="4"/>
        <v>17.599999999999909</v>
      </c>
      <c r="H58" s="99">
        <f>G58+'16'!H58</f>
        <v>2357.2300000000046</v>
      </c>
      <c r="I58" s="95"/>
      <c r="J58" s="175">
        <f>H58/DAY(B2)</f>
        <v>138.6605882352944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5791.6099999999969</v>
      </c>
      <c r="H59" s="99">
        <f>G59+'16'!H59</f>
        <v>101092.32000000002</v>
      </c>
      <c r="I59" s="95">
        <f>G7-G60</f>
        <v>1269.6000000000095</v>
      </c>
      <c r="J59" s="175">
        <f>H59/DAY(B2)</f>
        <v>5946.6070588235307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16184.399999999991</v>
      </c>
      <c r="H60" s="99">
        <f>G60+'16'!H60</f>
        <v>284257.70999999996</v>
      </c>
      <c r="I60" s="95">
        <f>G13-G60</f>
        <v>784.2400000000016</v>
      </c>
      <c r="J60" s="175">
        <f>H60/DAY(B2)</f>
        <v>16721.041764705878</v>
      </c>
      <c r="K60" s="79"/>
      <c r="L60" s="66"/>
      <c r="N60" s="87"/>
      <c r="O60" s="71"/>
    </row>
    <row r="61" spans="1:15" s="68" customFormat="1" ht="27.75" customHeight="1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4" t="s">
        <v>198</v>
      </c>
      <c r="B62" s="865"/>
      <c r="C62" s="866"/>
      <c r="D62" s="151" t="s">
        <v>142</v>
      </c>
      <c r="E62" s="95">
        <f>'16'!F62</f>
        <v>268173</v>
      </c>
      <c r="F62" s="122">
        <v>268239</v>
      </c>
      <c r="G62" s="112">
        <f t="shared" ref="G62:G63" si="5">F62-E62</f>
        <v>66</v>
      </c>
      <c r="H62" s="99">
        <f>G62+'16'!H62</f>
        <v>1026</v>
      </c>
      <c r="I62" s="118"/>
      <c r="J62" s="175">
        <f>H62/DAY(B2)</f>
        <v>60.352941176470587</v>
      </c>
      <c r="K62" s="80"/>
      <c r="L62" s="66"/>
      <c r="N62" s="87"/>
      <c r="O62" s="71"/>
    </row>
    <row r="63" spans="1:15" ht="27.75" customHeight="1">
      <c r="A63" s="864" t="s">
        <v>199</v>
      </c>
      <c r="B63" s="865"/>
      <c r="C63" s="866"/>
      <c r="D63" s="151" t="s">
        <v>142</v>
      </c>
      <c r="E63" s="95">
        <f>'16'!F63</f>
        <v>214034</v>
      </c>
      <c r="F63" s="122">
        <v>214118</v>
      </c>
      <c r="G63" s="112">
        <f t="shared" si="5"/>
        <v>84</v>
      </c>
      <c r="H63" s="99">
        <f>G63+'16'!H63</f>
        <v>1693</v>
      </c>
      <c r="I63" s="118"/>
      <c r="J63" s="175">
        <f>H63/DAY(B2)</f>
        <v>99.588235294117652</v>
      </c>
      <c r="K63" s="69"/>
      <c r="L63" s="66"/>
      <c r="N63" s="87"/>
      <c r="O63" s="71"/>
    </row>
    <row r="64" spans="1:15" ht="27.75" customHeight="1">
      <c r="A64" s="873" t="s">
        <v>200</v>
      </c>
      <c r="B64" s="874"/>
      <c r="C64" s="875"/>
      <c r="D64" s="151"/>
      <c r="E64" s="95">
        <f>'16'!F64</f>
        <v>0</v>
      </c>
      <c r="F64" s="122"/>
      <c r="G64" s="112">
        <f>G62+G63</f>
        <v>150</v>
      </c>
      <c r="H64" s="99">
        <f>G64+'16'!H64</f>
        <v>2719</v>
      </c>
      <c r="I64" s="118"/>
      <c r="J64" s="175">
        <f>H64/DAY(B2)</f>
        <v>159.94117647058823</v>
      </c>
      <c r="K64" s="69"/>
      <c r="L64" s="66"/>
      <c r="N64" s="87"/>
      <c r="O64" s="71"/>
    </row>
    <row r="65" spans="1:15" ht="27.75" customHeight="1">
      <c r="A65" s="864" t="s">
        <v>201</v>
      </c>
      <c r="B65" s="865"/>
      <c r="C65" s="866"/>
      <c r="D65" s="151" t="s">
        <v>142</v>
      </c>
      <c r="E65" s="95">
        <f>'16'!F65</f>
        <v>433727</v>
      </c>
      <c r="F65" s="122">
        <v>433792</v>
      </c>
      <c r="G65" s="112">
        <f t="shared" ref="G65:G70" si="6">F65-E65</f>
        <v>65</v>
      </c>
      <c r="H65" s="99">
        <f>G65+'16'!H65</f>
        <v>1178</v>
      </c>
      <c r="I65" s="118"/>
      <c r="J65" s="175">
        <f>H65/DAY(B2)</f>
        <v>69.294117647058826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107493</v>
      </c>
      <c r="F66" s="122">
        <v>107508</v>
      </c>
      <c r="G66" s="112">
        <f t="shared" si="6"/>
        <v>15</v>
      </c>
      <c r="H66" s="99">
        <f>G66+'16'!H66</f>
        <v>294</v>
      </c>
      <c r="I66" s="118"/>
      <c r="J66" s="175">
        <f>H66/DAY(B2)</f>
        <v>17.294117647058822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104303</v>
      </c>
      <c r="F67" s="122">
        <v>104322</v>
      </c>
      <c r="G67" s="112">
        <f t="shared" si="6"/>
        <v>19</v>
      </c>
      <c r="H67" s="99">
        <f>G67+'16'!H67</f>
        <v>394</v>
      </c>
      <c r="I67" s="118"/>
      <c r="J67" s="175">
        <f>H67/DAY(B2)</f>
        <v>23.176470588235293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157037</v>
      </c>
      <c r="F68" s="122">
        <v>157058</v>
      </c>
      <c r="G68" s="112">
        <f t="shared" si="6"/>
        <v>21</v>
      </c>
      <c r="H68" s="99">
        <f>G68+'16'!H68</f>
        <v>438</v>
      </c>
      <c r="I68" s="118"/>
      <c r="J68" s="175">
        <f>H68/DAY(B2)</f>
        <v>25.764705882352942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10369</v>
      </c>
      <c r="F69" s="122">
        <v>10377</v>
      </c>
      <c r="G69" s="112">
        <f t="shared" si="6"/>
        <v>8</v>
      </c>
      <c r="H69" s="99">
        <f>G69+'16'!H69</f>
        <v>163</v>
      </c>
      <c r="I69" s="118"/>
      <c r="J69" s="175">
        <f>H69/DAY(B2)</f>
        <v>9.5882352941176467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7984</v>
      </c>
      <c r="F70" s="122">
        <v>7991</v>
      </c>
      <c r="G70" s="112">
        <f t="shared" si="6"/>
        <v>7</v>
      </c>
      <c r="H70" s="99">
        <f>G70+'16'!H70</f>
        <v>129</v>
      </c>
      <c r="I70" s="118"/>
      <c r="J70" s="175">
        <f>H70/DAY(B2)</f>
        <v>7.5882352941176467</v>
      </c>
      <c r="K70" s="69"/>
      <c r="L70" s="66"/>
      <c r="N70" s="87"/>
      <c r="O70" s="71"/>
    </row>
    <row r="71" spans="1:15" ht="27.75" customHeight="1">
      <c r="A71" s="873" t="s">
        <v>208</v>
      </c>
      <c r="B71" s="874"/>
      <c r="C71" s="875"/>
      <c r="D71" s="152"/>
      <c r="E71" s="152"/>
      <c r="F71" s="152"/>
      <c r="G71" s="153">
        <f>SUM(G65:G70)</f>
        <v>135</v>
      </c>
      <c r="H71" s="99">
        <f>G71+'16'!H71</f>
        <v>2596</v>
      </c>
      <c r="I71" s="154"/>
      <c r="J71" s="175">
        <f>H71/DAY(B2)</f>
        <v>152.70588235294119</v>
      </c>
      <c r="K71" s="69"/>
      <c r="L71" s="66"/>
      <c r="N71" s="87"/>
      <c r="O71" s="71"/>
    </row>
    <row r="72" spans="1:15" s="88" customFormat="1" ht="27.75" customHeight="1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4" t="s">
        <v>220</v>
      </c>
      <c r="B74" s="865"/>
      <c r="C74" s="866"/>
      <c r="D74" s="151" t="s">
        <v>139</v>
      </c>
      <c r="E74" s="95">
        <f>'16'!F74</f>
        <v>896773</v>
      </c>
      <c r="F74" s="117">
        <v>897080.9</v>
      </c>
      <c r="G74" s="112">
        <f t="shared" ref="G74:G78" si="7">F74-E74</f>
        <v>307.90000000002328</v>
      </c>
      <c r="H74" s="99">
        <f>G74+'16'!H74</f>
        <v>5048.9000000000233</v>
      </c>
      <c r="I74" s="154"/>
      <c r="J74" s="175">
        <f>H74/DAY(B2)</f>
        <v>296.99411764706019</v>
      </c>
      <c r="K74" s="69"/>
      <c r="L74" s="66"/>
      <c r="N74" s="87"/>
      <c r="O74" s="71"/>
    </row>
    <row r="75" spans="1:15" ht="27.75" customHeight="1">
      <c r="A75" s="864" t="s">
        <v>221</v>
      </c>
      <c r="B75" s="865"/>
      <c r="C75" s="866"/>
      <c r="D75" s="151" t="s">
        <v>139</v>
      </c>
      <c r="E75" s="95">
        <f>'16'!F75</f>
        <v>73587</v>
      </c>
      <c r="F75" s="123">
        <v>73586.8</v>
      </c>
      <c r="G75" s="112">
        <f t="shared" si="7"/>
        <v>-0.19999999999708962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861" t="s">
        <v>222</v>
      </c>
      <c r="B76" s="862"/>
      <c r="C76" s="863"/>
      <c r="D76" s="151" t="s">
        <v>139</v>
      </c>
      <c r="E76" s="95">
        <f>'16'!F76</f>
        <v>168557</v>
      </c>
      <c r="F76" s="123">
        <v>168630.5</v>
      </c>
      <c r="G76" s="112">
        <f t="shared" si="7"/>
        <v>73.5</v>
      </c>
      <c r="H76" s="99">
        <f>G76+'16'!H76</f>
        <v>1423.5</v>
      </c>
      <c r="I76" s="154"/>
      <c r="J76" s="175">
        <f>H76/DAY(B2)</f>
        <v>83.735294117647058</v>
      </c>
      <c r="K76" s="69"/>
      <c r="L76" s="66"/>
      <c r="N76" s="87"/>
      <c r="O76" s="71"/>
    </row>
    <row r="77" spans="1:15" ht="27.75" customHeight="1">
      <c r="A77" s="861" t="s">
        <v>223</v>
      </c>
      <c r="B77" s="862"/>
      <c r="C77" s="863"/>
      <c r="D77" s="151" t="s">
        <v>139</v>
      </c>
      <c r="E77" s="95">
        <f>'16'!F77</f>
        <v>40798</v>
      </c>
      <c r="F77" s="123">
        <v>40821.300000000003</v>
      </c>
      <c r="G77" s="112">
        <f t="shared" si="7"/>
        <v>23.30000000000291</v>
      </c>
      <c r="H77" s="99">
        <f>G77+'16'!H77</f>
        <v>505.30000000000291</v>
      </c>
      <c r="I77" s="154"/>
      <c r="J77" s="175">
        <f>H77/DAY(B2)</f>
        <v>29.723529411764876</v>
      </c>
      <c r="K77" s="69"/>
      <c r="L77" s="66"/>
      <c r="N77" s="87"/>
      <c r="O77" s="71"/>
    </row>
    <row r="78" spans="1:15" ht="27.75" customHeight="1">
      <c r="A78" s="861" t="s">
        <v>224</v>
      </c>
      <c r="B78" s="862"/>
      <c r="C78" s="863"/>
      <c r="D78" s="151" t="s">
        <v>139</v>
      </c>
      <c r="E78" s="95">
        <f>'16'!F78</f>
        <v>9499</v>
      </c>
      <c r="F78" s="123">
        <v>9499</v>
      </c>
      <c r="G78" s="112">
        <f t="shared" si="7"/>
        <v>0</v>
      </c>
      <c r="H78" s="99">
        <f>G78+'16'!H78</f>
        <v>13</v>
      </c>
      <c r="I78" s="118"/>
      <c r="J78" s="175">
        <f>H78/DAY(B2)</f>
        <v>0.76470588235294112</v>
      </c>
      <c r="K78" s="69"/>
      <c r="L78" s="66"/>
      <c r="N78" s="87"/>
      <c r="O78" s="71"/>
    </row>
    <row r="79" spans="1:15" s="57" customFormat="1" ht="27.75" customHeight="1">
      <c r="A79" s="861" t="s">
        <v>225</v>
      </c>
      <c r="B79" s="862"/>
      <c r="C79" s="863"/>
      <c r="D79" s="151"/>
      <c r="E79" s="95">
        <f>'16'!F79</f>
        <v>0</v>
      </c>
      <c r="F79" s="123"/>
      <c r="G79" s="112">
        <f>G15-SUM(G74:G78)</f>
        <v>329.7730000000156</v>
      </c>
      <c r="H79" s="99">
        <f>G79+'16'!H79</f>
        <v>7919.5730000000185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73" t="s">
        <v>329</v>
      </c>
      <c r="B80" s="874"/>
      <c r="C80" s="875"/>
      <c r="D80" s="151"/>
      <c r="E80" s="117"/>
      <c r="F80" s="117"/>
      <c r="G80" s="112">
        <f>SUM(G74:G79)</f>
        <v>734.2730000000447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41675.26</v>
      </c>
      <c r="G84" s="112">
        <f t="shared" si="8"/>
        <v>0.26000000000203727</v>
      </c>
      <c r="H84" s="99">
        <f>G84+'16'!H84</f>
        <v>0.26000000000203727</v>
      </c>
      <c r="I84" s="118"/>
      <c r="J84" s="175">
        <f>H84/DAY(B2)</f>
        <v>1.5294117647178663E-2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2096.5500000000002</v>
      </c>
      <c r="F85" s="164">
        <v>2096.5500000000002</v>
      </c>
      <c r="G85" s="112">
        <f t="shared" si="8"/>
        <v>0</v>
      </c>
      <c r="H85" s="99">
        <f>G85+'16'!H85</f>
        <v>-9.9999999997635314E-3</v>
      </c>
      <c r="I85" s="118">
        <f>G82+G83+G84+G85</f>
        <v>0.26000000000203727</v>
      </c>
      <c r="J85" s="175">
        <f>H85/DAY(B2)</f>
        <v>-5.8823529410373713E-4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43248</v>
      </c>
      <c r="F86" s="164">
        <v>43272.04</v>
      </c>
      <c r="G86" s="112">
        <f t="shared" si="8"/>
        <v>24.040000000000873</v>
      </c>
      <c r="H86" s="99">
        <f>G86+'16'!H86</f>
        <v>409.04000000000087</v>
      </c>
      <c r="I86" s="118"/>
      <c r="J86" s="175">
        <f>H86/DAY(B2)</f>
        <v>24.061176470588286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0</v>
      </c>
      <c r="I87" s="118"/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24059.29</v>
      </c>
      <c r="F88" s="164">
        <v>24059.29</v>
      </c>
      <c r="G88" s="112">
        <f t="shared" si="8"/>
        <v>0</v>
      </c>
      <c r="H88" s="99">
        <f>G88+'16'!H88</f>
        <v>12.290000000000873</v>
      </c>
      <c r="I88" s="118">
        <f>G86+G87+G88</f>
        <v>24.040000000000873</v>
      </c>
      <c r="J88" s="175">
        <f>H88/DAY(B2)</f>
        <v>0.7229411764706396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25761.09</v>
      </c>
      <c r="F89" s="164">
        <v>25764.63</v>
      </c>
      <c r="G89" s="112">
        <f t="shared" si="8"/>
        <v>3.5400000000008731</v>
      </c>
      <c r="H89" s="99">
        <f>G89+'16'!H89</f>
        <v>101.63000000000102</v>
      </c>
      <c r="I89" s="118"/>
      <c r="J89" s="175">
        <f>H89/DAY(B2)</f>
        <v>5.9782352941177068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71126.16</v>
      </c>
      <c r="F90" s="164">
        <v>71131</v>
      </c>
      <c r="G90" s="112">
        <f t="shared" si="8"/>
        <v>4.8399999999965075</v>
      </c>
      <c r="H90" s="99">
        <f>G90+'16'!H90</f>
        <v>97</v>
      </c>
      <c r="I90" s="118">
        <f>G89+G90</f>
        <v>8.3799999999973807</v>
      </c>
      <c r="J90" s="175">
        <f>H90/DAY(B2)</f>
        <v>5.7058823529411766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0</v>
      </c>
      <c r="I91" s="165"/>
      <c r="J91" s="175">
        <f>H91/DAY(B2)</f>
        <v>0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5604.41</v>
      </c>
      <c r="F92" s="122">
        <v>5615.26</v>
      </c>
      <c r="G92" s="112">
        <f t="shared" si="8"/>
        <v>10.850000000000364</v>
      </c>
      <c r="H92" s="99">
        <f>G92+'16'!H92</f>
        <v>177.26000000000022</v>
      </c>
      <c r="I92" s="165"/>
      <c r="J92" s="175">
        <f>H92/DAY(B2)</f>
        <v>10.427058823529425</v>
      </c>
      <c r="O92" s="71"/>
    </row>
    <row r="93" spans="1:15" ht="27.75" customHeight="1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4905.3599999999951</v>
      </c>
      <c r="H94" s="99">
        <f>G94+'16'!H94</f>
        <v>90541.36</v>
      </c>
      <c r="I94" s="118"/>
      <c r="J94" s="175">
        <f>H94/DAY(B2)</f>
        <v>5325.9623529411765</v>
      </c>
      <c r="K94" s="69"/>
      <c r="L94" s="66"/>
      <c r="O94" s="71"/>
    </row>
    <row r="95" spans="1:15" ht="27.7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0.28104503265727027</v>
      </c>
      <c r="H95" s="99">
        <f>G95+'16'!H95</f>
        <v>4.9240063173452455</v>
      </c>
      <c r="I95" s="167"/>
      <c r="J95" s="175">
        <f>H95/DAY(B2)</f>
        <v>0.28964743043207325</v>
      </c>
      <c r="K95" s="69"/>
      <c r="L95" s="66"/>
      <c r="O95" s="71"/>
    </row>
    <row r="96" spans="1:15" ht="27.7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3005.1699999999983</v>
      </c>
      <c r="H96" s="99">
        <f>G96+'16'!H96</f>
        <v>51237.770000000004</v>
      </c>
      <c r="I96" s="118"/>
      <c r="J96" s="175">
        <f>H96/DAY(B2)</f>
        <v>3013.9864705882355</v>
      </c>
      <c r="K96" s="69"/>
      <c r="L96" s="66"/>
      <c r="O96" s="71"/>
    </row>
    <row r="97" spans="1:15" ht="27.7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0.17217657843474266</v>
      </c>
      <c r="H97" s="99">
        <f>G97+'16'!H97</f>
        <v>2.8012078195138232</v>
      </c>
      <c r="I97" s="167"/>
      <c r="J97" s="175">
        <f>H97/DAY(B2)</f>
        <v>0.16477693055963666</v>
      </c>
      <c r="K97" s="69"/>
      <c r="L97" s="66"/>
      <c r="O97" s="71"/>
    </row>
    <row r="98" spans="1:15" ht="27.7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2698</v>
      </c>
      <c r="H98" s="99">
        <f>G98+'16'!H98</f>
        <v>44490</v>
      </c>
      <c r="I98" s="168"/>
      <c r="J98" s="175">
        <f>H98/DAY(B2)</f>
        <v>2617.0588235294117</v>
      </c>
      <c r="K98" s="69"/>
      <c r="L98" s="66"/>
      <c r="O98" s="71"/>
    </row>
    <row r="99" spans="1:15" ht="27.7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0.15457774722126733</v>
      </c>
      <c r="H99" s="99">
        <f>G99+'16'!H99</f>
        <v>2.4319010094052875</v>
      </c>
      <c r="I99" s="168"/>
      <c r="J99" s="175">
        <f>H99/DAY(B2)</f>
        <v>0.14305300055325221</v>
      </c>
      <c r="O99" s="71"/>
    </row>
    <row r="100" spans="1:15" ht="27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1604.1599999999999</v>
      </c>
      <c r="H100" s="99">
        <f>G100+'16'!H100</f>
        <v>27368.16</v>
      </c>
      <c r="I100" s="118"/>
      <c r="J100" s="175">
        <f>H100/DAY(B2)</f>
        <v>1609.8917647058825</v>
      </c>
      <c r="K100" s="70"/>
      <c r="O100" s="71"/>
    </row>
    <row r="101" spans="1:15" ht="27.7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9.1907872121003778E-2</v>
      </c>
      <c r="H101" s="99">
        <f>G101+'16'!H101</f>
        <v>1.4965514431248319</v>
      </c>
      <c r="I101" s="168"/>
      <c r="J101" s="175">
        <f>H101/DAY(B2)</f>
        <v>8.8032437830872459E-2</v>
      </c>
      <c r="O101" s="71"/>
    </row>
    <row r="102" spans="1:15" ht="27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1430.989999999998</v>
      </c>
      <c r="H102" s="99">
        <f>G102+'16'!H102</f>
        <v>28421.989999999998</v>
      </c>
      <c r="I102" s="168"/>
      <c r="J102" s="175">
        <f>H102/DAY(B2)</f>
        <v>1671.8817647058822</v>
      </c>
      <c r="O102" s="71"/>
    </row>
    <row r="103" spans="1:15" ht="27.7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8.1986364157213124E-2</v>
      </c>
      <c r="H103" s="99">
        <f>G103+'16'!H103</f>
        <v>1.5451280685683184</v>
      </c>
      <c r="I103" s="118"/>
      <c r="J103" s="175">
        <f>H103/DAY(B2)</f>
        <v>9.0889886386371674E-2</v>
      </c>
      <c r="O103" s="71"/>
    </row>
    <row r="104" spans="1:15" ht="27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1510.42</v>
      </c>
      <c r="H104" s="99">
        <f>G104+'16'!H104</f>
        <v>25533.42</v>
      </c>
      <c r="I104" s="118"/>
      <c r="J104" s="175">
        <f>H104/DAY(B2)</f>
        <v>1501.965882352941</v>
      </c>
      <c r="O104" s="71"/>
    </row>
    <row r="105" spans="1:15" ht="27.75" customHeight="1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8.6537183453649594E-2</v>
      </c>
      <c r="H105" s="99">
        <f>G105+'16'!H105</f>
        <v>1.397689955151735</v>
      </c>
      <c r="I105" s="187"/>
      <c r="J105" s="188">
        <f>H105/DAY(B2)</f>
        <v>8.2217056185396181E-2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7.75" customHeight="1">
      <c r="A109" s="881"/>
      <c r="B109" s="881"/>
    </row>
    <row r="110" spans="1:15" ht="27.75" customHeight="1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 customHeight="1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43" t="s">
        <v>252</v>
      </c>
      <c r="B112" s="844"/>
      <c r="C112" s="845"/>
      <c r="D112" s="146" t="s">
        <v>183</v>
      </c>
      <c r="E112" s="95">
        <f>'16'!F112</f>
        <v>56886</v>
      </c>
      <c r="F112" s="237">
        <v>56964</v>
      </c>
      <c r="G112" s="112">
        <f t="shared" ref="G112:G123" si="9">F112-E112</f>
        <v>78</v>
      </c>
      <c r="H112" s="99">
        <f>G112+'16'!H112</f>
        <v>1283</v>
      </c>
      <c r="I112" s="165"/>
      <c r="J112" s="328">
        <f>H112/DAY(B2)</f>
        <v>75.470588235294116</v>
      </c>
    </row>
    <row r="113" spans="1:18" ht="27.75" customHeight="1">
      <c r="A113" s="843" t="s">
        <v>253</v>
      </c>
      <c r="B113" s="844"/>
      <c r="C113" s="845"/>
      <c r="D113" s="146" t="s">
        <v>183</v>
      </c>
      <c r="E113" s="95">
        <f>'16'!F113</f>
        <v>39409</v>
      </c>
      <c r="F113" s="237">
        <v>39860.839999999997</v>
      </c>
      <c r="G113" s="112">
        <f t="shared" si="9"/>
        <v>451.83999999999651</v>
      </c>
      <c r="H113" s="99">
        <f>G113+'16'!H113</f>
        <v>7665.8399999999965</v>
      </c>
      <c r="I113" s="165"/>
      <c r="J113" s="328">
        <f>H113/DAY(B2)</f>
        <v>450.93176470588213</v>
      </c>
    </row>
    <row r="114" spans="1:18" ht="27.75" customHeight="1">
      <c r="A114" s="843" t="s">
        <v>254</v>
      </c>
      <c r="B114" s="844"/>
      <c r="C114" s="845"/>
      <c r="D114" s="146" t="s">
        <v>183</v>
      </c>
      <c r="E114" s="95">
        <f>'16'!F114</f>
        <v>29108</v>
      </c>
      <c r="F114" s="501">
        <v>29371</v>
      </c>
      <c r="G114" s="112">
        <f t="shared" si="9"/>
        <v>263</v>
      </c>
      <c r="H114" s="99">
        <f>G114+'16'!H114</f>
        <v>4366.3999999999996</v>
      </c>
      <c r="I114" s="165"/>
      <c r="J114" s="328">
        <f>H114/DAY(B2)</f>
        <v>256.84705882352938</v>
      </c>
    </row>
    <row r="115" spans="1:18" ht="27.75" customHeight="1">
      <c r="A115" s="843" t="s">
        <v>255</v>
      </c>
      <c r="B115" s="844"/>
      <c r="C115" s="845"/>
      <c r="D115" s="146" t="s">
        <v>183</v>
      </c>
      <c r="E115" s="95">
        <f>'16'!F115</f>
        <v>8944</v>
      </c>
      <c r="F115" s="237">
        <v>8958.2000000000007</v>
      </c>
      <c r="G115" s="112">
        <f t="shared" si="9"/>
        <v>14.200000000000728</v>
      </c>
      <c r="H115" s="99">
        <f>G115+'16'!H115</f>
        <v>173.20000000000073</v>
      </c>
      <c r="I115" s="165"/>
      <c r="J115" s="328">
        <f>H115/DAY(B2)</f>
        <v>10.188235294117689</v>
      </c>
    </row>
    <row r="116" spans="1:18" ht="27.75" customHeight="1">
      <c r="A116" s="850" t="s">
        <v>96</v>
      </c>
      <c r="B116" s="851"/>
      <c r="C116" s="852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28">
        <f>H116/DAY(B2)</f>
        <v>0</v>
      </c>
      <c r="Q116" s="843"/>
      <c r="R116" s="845"/>
    </row>
    <row r="117" spans="1:18" ht="27.75" customHeight="1">
      <c r="A117" s="850" t="s">
        <v>184</v>
      </c>
      <c r="B117" s="851"/>
      <c r="C117" s="852"/>
      <c r="D117" s="146" t="s">
        <v>183</v>
      </c>
      <c r="E117" s="95">
        <f>'16'!F117</f>
        <v>2977</v>
      </c>
      <c r="F117" s="237">
        <v>2999.97</v>
      </c>
      <c r="G117" s="112">
        <f t="shared" si="9"/>
        <v>22.9699999999998</v>
      </c>
      <c r="H117" s="99">
        <f>G117+'16'!H117</f>
        <v>409.9699999999998</v>
      </c>
      <c r="I117" s="165"/>
      <c r="J117" s="328">
        <f>H117/DAY(B2)</f>
        <v>24.115882352941163</v>
      </c>
      <c r="Q117" s="843"/>
      <c r="R117" s="845"/>
    </row>
    <row r="118" spans="1:18" ht="27.75" customHeight="1">
      <c r="A118" s="842" t="s">
        <v>97</v>
      </c>
      <c r="B118" s="842"/>
      <c r="C118" s="842"/>
      <c r="D118" s="151" t="s">
        <v>183</v>
      </c>
      <c r="E118" s="95">
        <f>'16'!F118</f>
        <v>247347</v>
      </c>
      <c r="F118" s="237">
        <v>247684</v>
      </c>
      <c r="G118" s="112">
        <f t="shared" si="9"/>
        <v>337</v>
      </c>
      <c r="H118" s="99">
        <f>G118+'16'!H118</f>
        <v>6037</v>
      </c>
      <c r="I118" s="165"/>
      <c r="J118" s="328">
        <f>H118/DAY(B2)</f>
        <v>355.11764705882354</v>
      </c>
      <c r="Q118" s="843"/>
      <c r="R118" s="845"/>
    </row>
    <row r="119" spans="1:18" ht="27.75" customHeight="1">
      <c r="A119" s="842" t="s">
        <v>98</v>
      </c>
      <c r="B119" s="842"/>
      <c r="C119" s="842"/>
      <c r="D119" s="151" t="s">
        <v>183</v>
      </c>
      <c r="E119" s="95">
        <f>'16'!F119</f>
        <v>251784</v>
      </c>
      <c r="F119" s="237">
        <v>252241</v>
      </c>
      <c r="G119" s="112">
        <f t="shared" si="9"/>
        <v>457</v>
      </c>
      <c r="H119" s="99">
        <f>G119+'16'!H119</f>
        <v>7115</v>
      </c>
      <c r="I119" s="165"/>
      <c r="J119" s="328">
        <f>H119/DAY(B2)</f>
        <v>418.52941176470586</v>
      </c>
    </row>
    <row r="120" spans="1:18" ht="27.75" customHeight="1">
      <c r="A120" s="842" t="s">
        <v>99</v>
      </c>
      <c r="B120" s="842"/>
      <c r="C120" s="842"/>
      <c r="D120" s="151" t="s">
        <v>183</v>
      </c>
      <c r="E120" s="95">
        <f>'16'!F120</f>
        <v>36711</v>
      </c>
      <c r="F120" s="237">
        <v>37145.4</v>
      </c>
      <c r="G120" s="112">
        <f t="shared" si="9"/>
        <v>434.40000000000146</v>
      </c>
      <c r="H120" s="99">
        <f>G120+'16'!H120</f>
        <v>7067.4000000000015</v>
      </c>
      <c r="I120" s="165"/>
      <c r="J120" s="328">
        <f>H120/DAY(B2)</f>
        <v>415.72941176470596</v>
      </c>
    </row>
    <row r="121" spans="1:18" ht="27.75" customHeight="1">
      <c r="A121" s="842" t="s">
        <v>100</v>
      </c>
      <c r="B121" s="842"/>
      <c r="C121" s="842"/>
      <c r="D121" s="151" t="s">
        <v>183</v>
      </c>
      <c r="E121" s="95">
        <f>'16'!F121</f>
        <v>387737</v>
      </c>
      <c r="F121" s="237">
        <v>388428</v>
      </c>
      <c r="G121" s="112">
        <f t="shared" si="9"/>
        <v>691</v>
      </c>
      <c r="H121" s="99">
        <f>G121+'16'!H121</f>
        <v>11899</v>
      </c>
      <c r="I121" s="165"/>
      <c r="J121" s="328">
        <f>H121/DAY(B2)</f>
        <v>699.94117647058829</v>
      </c>
    </row>
    <row r="122" spans="1:18" ht="27.75" customHeight="1">
      <c r="A122" s="842" t="s">
        <v>101</v>
      </c>
      <c r="B122" s="842"/>
      <c r="C122" s="842"/>
      <c r="D122" s="151" t="s">
        <v>183</v>
      </c>
      <c r="E122" s="95">
        <f>'16'!F122</f>
        <v>123348</v>
      </c>
      <c r="F122" s="237">
        <v>123533.44</v>
      </c>
      <c r="G122" s="112">
        <f t="shared" si="9"/>
        <v>185.44000000000233</v>
      </c>
      <c r="H122" s="99">
        <f>G122+'16'!H122</f>
        <v>3483.4400000000023</v>
      </c>
      <c r="I122" s="165"/>
      <c r="J122" s="328">
        <f>H122/DAY(B2)</f>
        <v>204.90823529411779</v>
      </c>
    </row>
    <row r="123" spans="1:18" ht="27.75" customHeight="1">
      <c r="A123" s="842" t="s">
        <v>102</v>
      </c>
      <c r="B123" s="842"/>
      <c r="C123" s="842"/>
      <c r="D123" s="151" t="s">
        <v>183</v>
      </c>
      <c r="E123" s="95">
        <f>'16'!F123</f>
        <v>149981</v>
      </c>
      <c r="F123" s="237">
        <v>150237.63</v>
      </c>
      <c r="G123" s="112">
        <f t="shared" si="9"/>
        <v>256.63000000000466</v>
      </c>
      <c r="H123" s="99">
        <f>G123+'16'!H123</f>
        <v>5112.6300000000047</v>
      </c>
      <c r="I123" s="165"/>
      <c r="J123" s="328">
        <f>H123/DAY(B2)</f>
        <v>300.74294117647088</v>
      </c>
    </row>
    <row r="124" spans="1:18" ht="27.75" customHeight="1">
      <c r="A124" s="847"/>
      <c r="B124" s="848"/>
      <c r="C124" s="849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>
      <c r="A125" s="827" t="s">
        <v>196</v>
      </c>
      <c r="B125" s="828"/>
      <c r="C125" s="245"/>
      <c r="D125" s="307"/>
      <c r="E125" s="308"/>
      <c r="F125" s="308"/>
      <c r="G125" s="309">
        <f>SUM(G112:G124)</f>
        <v>3191.4800000000055</v>
      </c>
      <c r="H125" s="156"/>
      <c r="I125" s="327">
        <f>G125-(G39+G53)</f>
        <v>493.48000000000548</v>
      </c>
      <c r="J125" s="327"/>
    </row>
    <row r="126" spans="1:18" ht="27.75" customHeight="1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 customHeight="1">
      <c r="A127" s="832"/>
      <c r="B127" s="832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843" t="s">
        <v>318</v>
      </c>
      <c r="B128" s="844"/>
      <c r="C128" s="845"/>
      <c r="D128" s="151" t="s">
        <v>183</v>
      </c>
      <c r="E128" s="95">
        <f>'16'!F128</f>
        <v>43107</v>
      </c>
      <c r="F128" s="165">
        <v>43403.9</v>
      </c>
      <c r="G128" s="112">
        <f t="shared" ref="G128:G133" si="10">F128-E128</f>
        <v>296.90000000000146</v>
      </c>
      <c r="H128" s="99">
        <f>G128+'16'!H128</f>
        <v>5399.9000000000015</v>
      </c>
      <c r="I128" s="165"/>
      <c r="J128" s="328">
        <f>H128/DAY(B2)</f>
        <v>317.64117647058833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23830</v>
      </c>
      <c r="F129" s="165">
        <v>24083.9</v>
      </c>
      <c r="G129" s="112">
        <f t="shared" si="10"/>
        <v>253.90000000000146</v>
      </c>
      <c r="H129" s="99">
        <f>G129+'16'!H129</f>
        <v>3762.9000000000015</v>
      </c>
      <c r="I129" s="165"/>
      <c r="J129" s="328">
        <f>H129/DAY(B2)</f>
        <v>221.34705882352949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27905</v>
      </c>
      <c r="F130" s="165">
        <v>28449.45</v>
      </c>
      <c r="G130" s="112">
        <f t="shared" si="10"/>
        <v>544.45000000000073</v>
      </c>
      <c r="H130" s="99">
        <f>G130+'16'!H130</f>
        <v>10067.450000000001</v>
      </c>
      <c r="I130" s="165"/>
      <c r="J130" s="328">
        <f>H130/DAY(B2)</f>
        <v>592.20294117647063</v>
      </c>
      <c r="N130" s="240"/>
      <c r="O130" s="241"/>
    </row>
    <row r="131" spans="1:15" ht="27.75" customHeight="1">
      <c r="A131" s="843" t="s">
        <v>321</v>
      </c>
      <c r="B131" s="844"/>
      <c r="C131" s="845"/>
      <c r="D131" s="151" t="s">
        <v>183</v>
      </c>
      <c r="E131" s="95">
        <f>'16'!F131</f>
        <v>14295</v>
      </c>
      <c r="F131" s="165">
        <v>14365.97</v>
      </c>
      <c r="G131" s="112">
        <f t="shared" si="10"/>
        <v>70.969999999999345</v>
      </c>
      <c r="H131" s="99">
        <f>G131+'16'!H131</f>
        <v>1212.9699999999993</v>
      </c>
      <c r="I131" s="165"/>
      <c r="J131" s="328">
        <f>H131/DAY(B2)</f>
        <v>71.3511764705882</v>
      </c>
      <c r="N131" s="240"/>
      <c r="O131" s="241"/>
    </row>
    <row r="132" spans="1:15" ht="27.75" customHeight="1">
      <c r="A132" s="843" t="s">
        <v>322</v>
      </c>
      <c r="B132" s="844"/>
      <c r="C132" s="845"/>
      <c r="D132" s="151" t="s">
        <v>183</v>
      </c>
      <c r="E132" s="95">
        <f>'16'!F132</f>
        <v>48804</v>
      </c>
      <c r="F132" s="165">
        <v>49304</v>
      </c>
      <c r="G132" s="112">
        <f t="shared" si="10"/>
        <v>500</v>
      </c>
      <c r="H132" s="99">
        <f>G132+'16'!H132</f>
        <v>8281</v>
      </c>
      <c r="I132" s="165"/>
      <c r="J132" s="328">
        <f>H132/DAY(B2)</f>
        <v>487.11764705882354</v>
      </c>
    </row>
    <row r="133" spans="1:15" ht="27.75" customHeight="1">
      <c r="A133" s="843" t="s">
        <v>362</v>
      </c>
      <c r="B133" s="844"/>
      <c r="C133" s="845"/>
      <c r="D133" s="151" t="s">
        <v>183</v>
      </c>
      <c r="E133" s="95">
        <f>'16'!F133</f>
        <v>97594</v>
      </c>
      <c r="F133" s="165">
        <v>98082.6</v>
      </c>
      <c r="G133" s="112">
        <f t="shared" si="10"/>
        <v>488.60000000000582</v>
      </c>
      <c r="H133" s="99">
        <f>G133+'16'!H133</f>
        <v>10379.600000000006</v>
      </c>
      <c r="I133" s="165"/>
      <c r="J133" s="328">
        <f>H133/DAY(B2)</f>
        <v>610.56470588235334</v>
      </c>
    </row>
    <row r="134" spans="1:15" ht="27.75" customHeight="1">
      <c r="A134" s="843" t="s">
        <v>340</v>
      </c>
      <c r="B134" s="844"/>
      <c r="C134" s="845"/>
      <c r="D134" s="151" t="s">
        <v>183</v>
      </c>
      <c r="E134" s="95">
        <f>'16'!F134</f>
        <v>6027</v>
      </c>
      <c r="F134" s="165">
        <v>6179</v>
      </c>
      <c r="G134" s="112">
        <f>F134-E134</f>
        <v>152</v>
      </c>
      <c r="H134" s="99">
        <f>G134+'16'!H134</f>
        <v>8473</v>
      </c>
      <c r="I134" s="165"/>
      <c r="J134" s="328">
        <f>H134/DAY(B2)</f>
        <v>498.41176470588238</v>
      </c>
    </row>
    <row r="135" spans="1:15" ht="27.75" customHeight="1">
      <c r="A135" s="827" t="s">
        <v>196</v>
      </c>
      <c r="B135" s="828"/>
      <c r="C135" s="331"/>
      <c r="D135" s="151"/>
      <c r="E135" s="95"/>
      <c r="F135" s="165"/>
      <c r="G135" s="112">
        <f>SUM(G128:G134)</f>
        <v>2306.8200000000088</v>
      </c>
      <c r="H135" s="99">
        <f>G135+'10'!H135</f>
        <v>33530.820000000007</v>
      </c>
      <c r="I135" s="327">
        <f>G135-(G35+G49)</f>
        <v>-379.38999999999214</v>
      </c>
      <c r="J135" s="328"/>
    </row>
    <row r="136" spans="1:15" ht="27.75" customHeight="1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42" t="s">
        <v>185</v>
      </c>
      <c r="B138" s="842"/>
      <c r="C138" s="842"/>
      <c r="D138" s="151" t="s">
        <v>183</v>
      </c>
      <c r="E138" s="95">
        <f>'16'!F138</f>
        <v>865169</v>
      </c>
      <c r="F138" s="147">
        <v>865229</v>
      </c>
      <c r="G138" s="112">
        <f t="shared" ref="G138:G152" si="11">F138-E138</f>
        <v>60</v>
      </c>
      <c r="H138" s="99">
        <f>G138+'16'!H138</f>
        <v>1058</v>
      </c>
      <c r="I138" s="118"/>
      <c r="J138" s="328">
        <f>H138/DAY(B2)</f>
        <v>62.235294117647058</v>
      </c>
    </row>
    <row r="139" spans="1:15" ht="27.75" customHeight="1">
      <c r="A139" s="842" t="s">
        <v>186</v>
      </c>
      <c r="B139" s="842"/>
      <c r="C139" s="842"/>
      <c r="D139" s="151" t="s">
        <v>183</v>
      </c>
      <c r="E139" s="95">
        <f>'16'!F139</f>
        <v>886550</v>
      </c>
      <c r="F139" s="148">
        <v>886550</v>
      </c>
      <c r="G139" s="112">
        <f t="shared" si="11"/>
        <v>0</v>
      </c>
      <c r="H139" s="99">
        <f>G139+'16'!H139</f>
        <v>4</v>
      </c>
      <c r="I139" s="118"/>
      <c r="J139" s="328">
        <f>H139/DAY(B2)</f>
        <v>0.23529411764705882</v>
      </c>
    </row>
    <row r="140" spans="1:15" ht="27.75" customHeight="1">
      <c r="A140" s="842" t="s">
        <v>187</v>
      </c>
      <c r="B140" s="842"/>
      <c r="C140" s="842"/>
      <c r="D140" s="151" t="s">
        <v>183</v>
      </c>
      <c r="E140" s="95">
        <f>'16'!F140</f>
        <v>88898</v>
      </c>
      <c r="F140" s="149">
        <v>88898</v>
      </c>
      <c r="G140" s="112">
        <f t="shared" si="11"/>
        <v>0</v>
      </c>
      <c r="H140" s="99">
        <f>G140+'16'!H140</f>
        <v>16</v>
      </c>
      <c r="I140" s="118"/>
      <c r="J140" s="328">
        <f>H140/DAY(B2)</f>
        <v>0.94117647058823528</v>
      </c>
    </row>
    <row r="141" spans="1:15" ht="27.75" customHeight="1">
      <c r="A141" s="823" t="s">
        <v>188</v>
      </c>
      <c r="B141" s="823"/>
      <c r="C141" s="823"/>
      <c r="D141" s="151" t="s">
        <v>183</v>
      </c>
      <c r="E141" s="95">
        <f>'16'!F141</f>
        <v>52076</v>
      </c>
      <c r="F141" s="149">
        <v>52234.8</v>
      </c>
      <c r="G141" s="112">
        <f t="shared" si="11"/>
        <v>158.80000000000291</v>
      </c>
      <c r="H141" s="99">
        <f>G141+'16'!H141</f>
        <v>2928.8000000000029</v>
      </c>
      <c r="I141" s="118"/>
      <c r="J141" s="328">
        <f>H141/DAY(B2)</f>
        <v>172.28235294117664</v>
      </c>
    </row>
    <row r="142" spans="1:15" ht="27.75" customHeight="1">
      <c r="A142" s="823" t="s">
        <v>189</v>
      </c>
      <c r="B142" s="823"/>
      <c r="C142" s="823"/>
      <c r="D142" s="151" t="s">
        <v>183</v>
      </c>
      <c r="E142" s="95">
        <f>'16'!F142</f>
        <v>20119</v>
      </c>
      <c r="F142" s="148">
        <v>20197.09</v>
      </c>
      <c r="G142" s="112">
        <f t="shared" si="11"/>
        <v>78.090000000000146</v>
      </c>
      <c r="H142" s="99">
        <f>G142+'16'!H142</f>
        <v>1188.0900000000001</v>
      </c>
      <c r="I142" s="140"/>
      <c r="J142" s="328">
        <f>H142/DAY(B2)</f>
        <v>69.887647058823532</v>
      </c>
    </row>
    <row r="143" spans="1:15" ht="27.75" customHeight="1">
      <c r="A143" s="842" t="s">
        <v>91</v>
      </c>
      <c r="B143" s="842"/>
      <c r="C143" s="842"/>
      <c r="D143" s="151" t="s">
        <v>183</v>
      </c>
      <c r="E143" s="95">
        <f>'16'!F143</f>
        <v>3439</v>
      </c>
      <c r="F143" s="149">
        <v>3466.51</v>
      </c>
      <c r="G143" s="112">
        <f t="shared" si="11"/>
        <v>27.510000000000218</v>
      </c>
      <c r="H143" s="99">
        <f>G143+'16'!H143</f>
        <v>405.51000000000022</v>
      </c>
      <c r="I143" s="140"/>
      <c r="J143" s="328">
        <f>H143/DAY(B2)</f>
        <v>23.853529411764718</v>
      </c>
    </row>
    <row r="144" spans="1:15" ht="27.75" customHeight="1">
      <c r="A144" s="823" t="s">
        <v>90</v>
      </c>
      <c r="B144" s="823"/>
      <c r="C144" s="823"/>
      <c r="D144" s="151" t="s">
        <v>183</v>
      </c>
      <c r="E144" s="95">
        <f>'16'!F144</f>
        <v>873290</v>
      </c>
      <c r="F144" s="149">
        <v>873523</v>
      </c>
      <c r="G144" s="112">
        <f t="shared" si="11"/>
        <v>233</v>
      </c>
      <c r="H144" s="99">
        <f>G144+'16'!H144</f>
        <v>3853</v>
      </c>
      <c r="I144" s="140"/>
      <c r="J144" s="328">
        <f>H144/DAY(B2)</f>
        <v>226.64705882352942</v>
      </c>
    </row>
    <row r="145" spans="1:10" ht="27.75" customHeight="1">
      <c r="A145" s="842" t="s">
        <v>190</v>
      </c>
      <c r="B145" s="842"/>
      <c r="C145" s="842"/>
      <c r="D145" s="152" t="s">
        <v>183</v>
      </c>
      <c r="E145" s="95">
        <f>'16'!F145</f>
        <v>4798</v>
      </c>
      <c r="F145" s="149">
        <v>4812.34</v>
      </c>
      <c r="G145" s="112">
        <f t="shared" si="11"/>
        <v>14.340000000000146</v>
      </c>
      <c r="H145" s="99">
        <f>G145+'16'!H145</f>
        <v>254.34000000000015</v>
      </c>
      <c r="I145" s="140"/>
      <c r="J145" s="328">
        <f>H145/DAY(B2)</f>
        <v>14.961176470588244</v>
      </c>
    </row>
    <row r="146" spans="1:10" ht="27.75" customHeight="1">
      <c r="A146" s="877" t="s">
        <v>191</v>
      </c>
      <c r="B146" s="862"/>
      <c r="C146" s="863"/>
      <c r="D146" s="152" t="s">
        <v>183</v>
      </c>
      <c r="E146" s="95">
        <f>'16'!F146</f>
        <v>731328</v>
      </c>
      <c r="F146" s="148">
        <v>731756</v>
      </c>
      <c r="G146" s="112">
        <f t="shared" si="11"/>
        <v>428</v>
      </c>
      <c r="H146" s="99">
        <f>G146+'16'!H146</f>
        <v>6898</v>
      </c>
      <c r="I146" s="140"/>
      <c r="J146" s="328">
        <f>H146/DAY(B2)</f>
        <v>405.76470588235293</v>
      </c>
    </row>
    <row r="147" spans="1:10" ht="27.75" customHeight="1">
      <c r="A147" s="823" t="s">
        <v>192</v>
      </c>
      <c r="B147" s="823"/>
      <c r="C147" s="823"/>
      <c r="D147" s="152" t="s">
        <v>183</v>
      </c>
      <c r="E147" s="95">
        <f>'16'!F147</f>
        <v>621179</v>
      </c>
      <c r="F147" s="148">
        <v>621509</v>
      </c>
      <c r="G147" s="112">
        <f t="shared" si="11"/>
        <v>330</v>
      </c>
      <c r="H147" s="99">
        <f>G147+'16'!H147</f>
        <v>6227</v>
      </c>
      <c r="I147" s="140"/>
      <c r="J147" s="328">
        <f>H147/DAY(B2)</f>
        <v>366.29411764705884</v>
      </c>
    </row>
    <row r="148" spans="1:10" ht="27.75" customHeight="1">
      <c r="A148" s="824" t="s">
        <v>193</v>
      </c>
      <c r="B148" s="825"/>
      <c r="C148" s="826"/>
      <c r="D148" s="123" t="s">
        <v>130</v>
      </c>
      <c r="E148" s="95">
        <f>'16'!F148</f>
        <v>686696</v>
      </c>
      <c r="F148" s="150">
        <v>686860</v>
      </c>
      <c r="G148" s="112">
        <f t="shared" si="11"/>
        <v>164</v>
      </c>
      <c r="H148" s="99">
        <f>G148+'16'!H148</f>
        <v>3826.8800000000047</v>
      </c>
      <c r="I148" s="124"/>
      <c r="J148" s="328">
        <f>H148/DAY(B2)</f>
        <v>225.11058823529439</v>
      </c>
    </row>
    <row r="149" spans="1:10" ht="27.75" customHeight="1">
      <c r="A149" s="824" t="s">
        <v>336</v>
      </c>
      <c r="B149" s="825"/>
      <c r="C149" s="826"/>
      <c r="D149" s="227" t="s">
        <v>130</v>
      </c>
      <c r="E149" s="95">
        <f>'16'!F149</f>
        <v>17345</v>
      </c>
      <c r="F149" s="500">
        <v>17791.439999999999</v>
      </c>
      <c r="G149" s="112">
        <f t="shared" si="11"/>
        <v>446.43999999999869</v>
      </c>
      <c r="H149" s="99">
        <f>G149+'16'!H149</f>
        <v>7042.4399999999987</v>
      </c>
      <c r="I149" s="119"/>
      <c r="J149" s="328">
        <f>H149/DAY(B2)</f>
        <v>414.26117647058817</v>
      </c>
    </row>
    <row r="150" spans="1:10" ht="27.75" customHeight="1">
      <c r="A150" s="824" t="s">
        <v>337</v>
      </c>
      <c r="B150" s="825"/>
      <c r="C150" s="826"/>
      <c r="D150" s="117" t="s">
        <v>130</v>
      </c>
      <c r="E150" s="95">
        <f>'16'!F150</f>
        <v>7545</v>
      </c>
      <c r="F150" s="233">
        <v>7752.4</v>
      </c>
      <c r="G150" s="112">
        <f t="shared" si="11"/>
        <v>207.39999999999964</v>
      </c>
      <c r="H150" s="99">
        <f>G150+'16'!H150</f>
        <v>3700.3999999999996</v>
      </c>
      <c r="I150" s="119"/>
      <c r="J150" s="328">
        <f>H150/DAY(B2)</f>
        <v>217.6705882352941</v>
      </c>
    </row>
    <row r="151" spans="1:10" ht="27.75" customHeight="1">
      <c r="A151" s="824" t="s">
        <v>338</v>
      </c>
      <c r="B151" s="825"/>
      <c r="C151" s="826"/>
      <c r="D151" s="117" t="s">
        <v>130</v>
      </c>
      <c r="E151" s="95">
        <f>'16'!F151</f>
        <v>81943</v>
      </c>
      <c r="F151" s="233">
        <v>82156</v>
      </c>
      <c r="G151" s="112">
        <f t="shared" si="11"/>
        <v>213</v>
      </c>
      <c r="H151" s="99">
        <f>G151+'16'!H151</f>
        <v>3939</v>
      </c>
      <c r="I151" s="119"/>
      <c r="J151" s="328">
        <f>H151/DAY(B2)</f>
        <v>231.70588235294119</v>
      </c>
    </row>
    <row r="152" spans="1:10" ht="27.75" customHeight="1">
      <c r="A152" s="824" t="s">
        <v>339</v>
      </c>
      <c r="B152" s="825"/>
      <c r="C152" s="826"/>
      <c r="D152" s="117" t="s">
        <v>130</v>
      </c>
      <c r="E152" s="95">
        <f>'16'!F152</f>
        <v>1405</v>
      </c>
      <c r="F152" s="233">
        <v>1419.9</v>
      </c>
      <c r="G152" s="112">
        <f t="shared" si="11"/>
        <v>14.900000000000091</v>
      </c>
      <c r="H152" s="99">
        <f>G152+'16'!H152</f>
        <v>292.90000000000009</v>
      </c>
      <c r="I152" s="119"/>
      <c r="J152" s="328">
        <f>H152/DAY(B2)</f>
        <v>17.229411764705887</v>
      </c>
    </row>
    <row r="153" spans="1:10" ht="27.75" customHeight="1">
      <c r="A153" s="827" t="s">
        <v>196</v>
      </c>
      <c r="B153" s="828"/>
      <c r="C153" s="365"/>
      <c r="D153" s="358"/>
      <c r="E153" s="360"/>
      <c r="F153" s="361"/>
      <c r="G153" s="362">
        <f>SUM(G138:G152)</f>
        <v>2375.4800000000018</v>
      </c>
      <c r="H153" s="363"/>
      <c r="I153" s="119">
        <f>G153-(G38+G52)</f>
        <v>771.32000000000198</v>
      </c>
      <c r="J153" s="366"/>
    </row>
    <row r="154" spans="1:10" ht="27.75" customHeight="1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27.75" customHeight="1">
      <c r="A155" s="823" t="s">
        <v>345</v>
      </c>
      <c r="B155" s="823"/>
      <c r="C155" s="823"/>
      <c r="D155" s="117" t="s">
        <v>130</v>
      </c>
      <c r="E155" s="95">
        <f>'16'!F155</f>
        <v>22693</v>
      </c>
      <c r="F155" s="473">
        <v>23303</v>
      </c>
      <c r="G155" s="112">
        <f t="shared" ref="G155:G156" si="12">F155-E155</f>
        <v>610</v>
      </c>
      <c r="H155" s="99">
        <f>G155+'16'!H155</f>
        <v>9831</v>
      </c>
      <c r="I155" s="364"/>
      <c r="J155" s="328">
        <f>H155/DAY(B2)</f>
        <v>578.29411764705878</v>
      </c>
    </row>
    <row r="156" spans="1:10" ht="27.75" customHeight="1">
      <c r="A156" s="823" t="s">
        <v>347</v>
      </c>
      <c r="B156" s="823"/>
      <c r="C156" s="823"/>
      <c r="D156" s="117" t="s">
        <v>130</v>
      </c>
      <c r="E156" s="95">
        <f>'16'!F156</f>
        <v>1898</v>
      </c>
      <c r="F156" s="155">
        <v>1954</v>
      </c>
      <c r="G156" s="112">
        <f t="shared" si="12"/>
        <v>56</v>
      </c>
      <c r="H156" s="99">
        <f>G156+'16'!H156</f>
        <v>866</v>
      </c>
      <c r="I156" s="165"/>
      <c r="J156" s="328">
        <f>H156/DAY(B2)</f>
        <v>50.941176470588232</v>
      </c>
    </row>
    <row r="157" spans="1:10" ht="27.75" customHeight="1">
      <c r="A157" s="824" t="s">
        <v>364</v>
      </c>
      <c r="B157" s="825"/>
      <c r="C157" s="826"/>
      <c r="D157" s="117" t="s">
        <v>130</v>
      </c>
      <c r="E157" s="95">
        <f>'16'!F157</f>
        <v>2430</v>
      </c>
      <c r="F157" s="155">
        <v>2516.1329999999998</v>
      </c>
      <c r="G157" s="112">
        <f>F157-E157</f>
        <v>86.132999999999811</v>
      </c>
      <c r="H157" s="99">
        <f>G157+'16'!H157</f>
        <v>585.13299999999981</v>
      </c>
      <c r="I157" s="165"/>
      <c r="J157" s="328">
        <f>H157/DAY(B2)</f>
        <v>34.419588235294107</v>
      </c>
    </row>
    <row r="158" spans="1:10" ht="27.75" customHeight="1">
      <c r="A158" s="824" t="s">
        <v>365</v>
      </c>
      <c r="B158" s="825"/>
      <c r="C158" s="826"/>
      <c r="D158" s="117" t="s">
        <v>130</v>
      </c>
      <c r="E158" s="95">
        <f>'16'!F158</f>
        <v>23.34</v>
      </c>
      <c r="F158" s="165">
        <v>23.34</v>
      </c>
      <c r="G158" s="112">
        <f>F158-E158</f>
        <v>0</v>
      </c>
      <c r="H158" s="99">
        <f>G158+'16'!H158</f>
        <v>23.34</v>
      </c>
      <c r="I158" s="165"/>
      <c r="J158" s="328">
        <f>H158/DAY(B2)</f>
        <v>1.3729411764705883</v>
      </c>
    </row>
    <row r="159" spans="1:10" ht="27.75" customHeight="1">
      <c r="A159" s="907"/>
      <c r="B159" s="908"/>
      <c r="C159" s="909"/>
      <c r="D159" s="117"/>
      <c r="E159" s="95"/>
      <c r="F159" s="165"/>
      <c r="G159" s="112"/>
      <c r="H159" s="99"/>
      <c r="I159" s="165"/>
      <c r="J159" s="328"/>
    </row>
    <row r="160" spans="1:10" ht="27.75" customHeight="1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'16'!F161</f>
        <v>471439</v>
      </c>
      <c r="F161" s="235">
        <v>471446</v>
      </c>
      <c r="G161" s="238">
        <f t="shared" ref="G161:G165" si="13">F161-E161</f>
        <v>7</v>
      </c>
      <c r="H161" s="99">
        <f>G161+'16'!H161</f>
        <v>292.84000000002561</v>
      </c>
      <c r="I161" s="236"/>
      <c r="J161" s="239">
        <f>H161/DAY(B2)</f>
        <v>17.225882352942683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88016</v>
      </c>
      <c r="F162" s="235">
        <v>88053</v>
      </c>
      <c r="G162" s="238">
        <f t="shared" si="13"/>
        <v>37</v>
      </c>
      <c r="H162" s="99">
        <f>G162+'16'!H162</f>
        <v>483</v>
      </c>
      <c r="I162" s="236"/>
      <c r="J162" s="239">
        <f>H162/DAY(B2)</f>
        <v>28.411764705882351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78515</v>
      </c>
      <c r="F163" s="235">
        <v>78572.7</v>
      </c>
      <c r="G163" s="238">
        <f t="shared" si="13"/>
        <v>57.69999999999709</v>
      </c>
      <c r="H163" s="99">
        <f>G163+'16'!H163</f>
        <v>747.69999999999709</v>
      </c>
      <c r="I163" s="236"/>
      <c r="J163" s="239">
        <f>H163/DAY(B2)</f>
        <v>43.982352941176302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4266</v>
      </c>
      <c r="F164" s="235">
        <v>4270.8999999999996</v>
      </c>
      <c r="G164" s="238">
        <f t="shared" si="13"/>
        <v>4.8999999999996362</v>
      </c>
      <c r="H164" s="99">
        <f>G164+'16'!H164</f>
        <v>28.899999999999636</v>
      </c>
      <c r="I164" s="236"/>
      <c r="J164" s="239">
        <f>H164/DAY(B2)</f>
        <v>1.6999999999999786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29746</v>
      </c>
      <c r="F165" s="235">
        <v>29754.45</v>
      </c>
      <c r="G165" s="238">
        <f t="shared" si="13"/>
        <v>8.4500000000007276</v>
      </c>
      <c r="H165" s="99">
        <f>G165+'16'!H165</f>
        <v>108.45000000000073</v>
      </c>
      <c r="I165" s="236"/>
      <c r="J165" s="239">
        <f>H165/DAY(B2)</f>
        <v>6.3794117647059254</v>
      </c>
    </row>
    <row r="166" spans="1:10" ht="27.75" customHeight="1">
      <c r="A166" s="832"/>
      <c r="B166" s="832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>
      <c r="A167" s="832"/>
      <c r="B167" s="832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>
      <c r="A168" s="832"/>
      <c r="B168" s="832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 customHeight="1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36" t="s">
        <v>209</v>
      </c>
      <c r="B173" s="837"/>
      <c r="C173" s="333"/>
      <c r="D173" s="228" t="s">
        <v>142</v>
      </c>
      <c r="E173" s="95">
        <f>'16'!F173</f>
        <v>8126</v>
      </c>
      <c r="F173" s="157">
        <v>8126</v>
      </c>
      <c r="G173" s="155">
        <f>F173-E173</f>
        <v>0</v>
      </c>
      <c r="H173" s="99">
        <f>G173+'16'!H173</f>
        <v>0</v>
      </c>
      <c r="I173" s="155"/>
      <c r="J173" s="178">
        <f>H173/DAY(B2)</f>
        <v>0</v>
      </c>
    </row>
    <row r="174" spans="1:10" ht="27.75" customHeight="1">
      <c r="A174" s="836" t="s">
        <v>75</v>
      </c>
      <c r="B174" s="837"/>
      <c r="C174" s="333"/>
      <c r="D174" s="228" t="s">
        <v>142</v>
      </c>
      <c r="E174" s="95">
        <f>'16'!F174</f>
        <v>38444</v>
      </c>
      <c r="F174" s="157">
        <v>38444</v>
      </c>
      <c r="G174" s="155">
        <f t="shared" ref="G174:G175" si="14">F174-E174</f>
        <v>0</v>
      </c>
      <c r="H174" s="99">
        <f>G174+'16'!H174</f>
        <v>151</v>
      </c>
      <c r="I174" s="155"/>
      <c r="J174" s="178">
        <f>H174/DAY(B2)</f>
        <v>8.882352941176471</v>
      </c>
    </row>
    <row r="175" spans="1:10" ht="27.75" customHeight="1">
      <c r="A175" s="836" t="s">
        <v>76</v>
      </c>
      <c r="B175" s="876"/>
      <c r="C175" s="837"/>
      <c r="D175" s="228" t="s">
        <v>142</v>
      </c>
      <c r="E175" s="95">
        <f>'16'!F175</f>
        <v>21666</v>
      </c>
      <c r="F175" s="155">
        <v>21673</v>
      </c>
      <c r="G175" s="155">
        <f t="shared" si="14"/>
        <v>7</v>
      </c>
      <c r="H175" s="99">
        <f>G175+'16'!H175</f>
        <v>155</v>
      </c>
      <c r="I175" s="155"/>
      <c r="J175" s="178">
        <f>H175/DAY(B2)</f>
        <v>9.117647058823529</v>
      </c>
    </row>
    <row r="176" spans="1:10" ht="27.75" customHeight="1">
      <c r="A176" s="827" t="s">
        <v>196</v>
      </c>
      <c r="B176" s="828"/>
      <c r="C176" s="333"/>
      <c r="D176" s="228" t="s">
        <v>142</v>
      </c>
      <c r="E176" s="95"/>
      <c r="F176" s="155"/>
      <c r="G176" s="155">
        <f>SUM(G173:G175)</f>
        <v>7</v>
      </c>
      <c r="H176" s="99">
        <f>G176+'16'!H176</f>
        <v>306</v>
      </c>
      <c r="I176" s="155"/>
      <c r="J176" s="178">
        <f>H176/DAY(B2)</f>
        <v>18</v>
      </c>
    </row>
    <row r="177" spans="1:11" ht="27.7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36" t="s">
        <v>210</v>
      </c>
      <c r="B178" s="837"/>
      <c r="C178" s="333"/>
      <c r="D178" s="228" t="s">
        <v>142</v>
      </c>
      <c r="E178" s="95">
        <f>'16'!F178</f>
        <v>80529</v>
      </c>
      <c r="F178" s="155">
        <v>80589</v>
      </c>
      <c r="G178" s="155">
        <f>F178-E178</f>
        <v>60</v>
      </c>
      <c r="H178" s="99">
        <f>G178+'16'!H178</f>
        <v>975</v>
      </c>
      <c r="I178" s="155"/>
      <c r="J178" s="178">
        <f>H178/DAY(B2)</f>
        <v>57.352941176470587</v>
      </c>
    </row>
    <row r="179" spans="1:11" ht="27.75" customHeight="1">
      <c r="A179" s="836" t="s">
        <v>211</v>
      </c>
      <c r="B179" s="837"/>
      <c r="C179" s="333"/>
      <c r="D179" s="228" t="s">
        <v>142</v>
      </c>
      <c r="E179" s="95">
        <f>'16'!F179</f>
        <v>34251</v>
      </c>
      <c r="F179" s="155">
        <v>34278</v>
      </c>
      <c r="G179" s="155">
        <f t="shared" ref="G179:G180" si="15">F179-E179</f>
        <v>27</v>
      </c>
      <c r="H179" s="99">
        <f>G179+'16'!H179</f>
        <v>363</v>
      </c>
      <c r="I179" s="155"/>
      <c r="J179" s="178">
        <f>H179/DAY(B2)</f>
        <v>21.352941176470587</v>
      </c>
    </row>
    <row r="180" spans="1:11" ht="27.75" customHeight="1">
      <c r="A180" s="836" t="s">
        <v>212</v>
      </c>
      <c r="B180" s="837"/>
      <c r="C180" s="333"/>
      <c r="D180" s="228" t="s">
        <v>142</v>
      </c>
      <c r="E180" s="95">
        <f>'16'!F180</f>
        <v>5595</v>
      </c>
      <c r="F180" s="155">
        <v>5596</v>
      </c>
      <c r="G180" s="155">
        <f t="shared" si="15"/>
        <v>1</v>
      </c>
      <c r="H180" s="99">
        <f>G180+'16'!H180</f>
        <v>119</v>
      </c>
      <c r="I180" s="155"/>
      <c r="J180" s="178">
        <f>H180/DAY(B2)</f>
        <v>7</v>
      </c>
    </row>
    <row r="181" spans="1:11" ht="27.75" customHeight="1">
      <c r="A181" s="838" t="s">
        <v>108</v>
      </c>
      <c r="B181" s="839"/>
      <c r="C181" s="333"/>
      <c r="D181" s="228" t="s">
        <v>142</v>
      </c>
      <c r="E181" s="95"/>
      <c r="F181" s="155"/>
      <c r="G181" s="155">
        <f>SUM(G178:G180)</f>
        <v>88</v>
      </c>
      <c r="H181" s="99">
        <f>G181+'16'!H181</f>
        <v>1457</v>
      </c>
      <c r="I181" s="155"/>
      <c r="J181" s="178">
        <f>H181/DAY(B2)</f>
        <v>85.705882352941174</v>
      </c>
    </row>
    <row r="182" spans="1:11" ht="27.75" customHeight="1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36" t="s">
        <v>214</v>
      </c>
      <c r="B183" s="837"/>
      <c r="C183" s="334"/>
      <c r="D183" s="228" t="s">
        <v>142</v>
      </c>
      <c r="E183" s="95">
        <f>'16'!F183</f>
        <v>15137</v>
      </c>
      <c r="F183" s="157">
        <v>15146</v>
      </c>
      <c r="G183" s="157">
        <f>F183-E183</f>
        <v>9</v>
      </c>
      <c r="H183" s="99">
        <f>G183+'16'!H183</f>
        <v>199</v>
      </c>
      <c r="I183" s="155"/>
      <c r="J183" s="178">
        <f>H183/DAY(B2)</f>
        <v>11.705882352941176</v>
      </c>
    </row>
    <row r="184" spans="1:11" ht="27.75" customHeight="1">
      <c r="A184" s="836" t="s">
        <v>215</v>
      </c>
      <c r="B184" s="837"/>
      <c r="C184" s="334"/>
      <c r="D184" s="228" t="s">
        <v>142</v>
      </c>
      <c r="E184" s="95">
        <f>'16'!F184</f>
        <v>10404</v>
      </c>
      <c r="F184" s="157">
        <v>10411</v>
      </c>
      <c r="G184" s="157">
        <f t="shared" ref="G184:G185" si="16">F184-E184</f>
        <v>7</v>
      </c>
      <c r="H184" s="99">
        <f>G184+'16'!H184</f>
        <v>110</v>
      </c>
      <c r="I184" s="155"/>
      <c r="J184" s="178">
        <f>H184/DAY(B2)</f>
        <v>6.4705882352941178</v>
      </c>
    </row>
    <row r="185" spans="1:11" ht="27.75" customHeight="1">
      <c r="A185" s="836" t="s">
        <v>216</v>
      </c>
      <c r="B185" s="837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827" t="s">
        <v>196</v>
      </c>
      <c r="B186" s="828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G186+'16'!H186</f>
        <v>309</v>
      </c>
      <c r="I186" s="157"/>
      <c r="J186" s="178">
        <f>H186/DAY(B2)</f>
        <v>18.176470588235293</v>
      </c>
    </row>
    <row r="187" spans="1:11" ht="27.75" customHeight="1">
      <c r="A187" s="829" t="s">
        <v>217</v>
      </c>
      <c r="B187" s="830"/>
      <c r="C187" s="333"/>
      <c r="D187" s="228" t="s">
        <v>142</v>
      </c>
      <c r="E187" s="95"/>
      <c r="F187" s="159"/>
      <c r="G187" s="462">
        <f>G62+G19</f>
        <v>119</v>
      </c>
      <c r="H187" s="99">
        <f>G187+'16'!H187</f>
        <v>1926</v>
      </c>
      <c r="I187" s="158"/>
      <c r="J187" s="179">
        <f>H187/DAY(B2)</f>
        <v>113.29411764705883</v>
      </c>
    </row>
    <row r="188" spans="1:11" ht="27.75" customHeight="1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114</v>
      </c>
      <c r="H188" s="99">
        <f>G188+'16'!H188</f>
        <v>364</v>
      </c>
      <c r="I188" s="158"/>
      <c r="J188" s="179">
        <f>H188/DAY(B2)</f>
        <v>21.411764705882351</v>
      </c>
    </row>
    <row r="189" spans="1:11" ht="27.75" customHeight="1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88</v>
      </c>
      <c r="H189" s="99">
        <f>G189+'16'!H189</f>
        <v>1457</v>
      </c>
      <c r="I189" s="158"/>
      <c r="J189" s="179">
        <f>H189/DAY(B2)</f>
        <v>85.705882352941174</v>
      </c>
    </row>
    <row r="190" spans="1:11" ht="27.75" customHeight="1">
      <c r="A190" s="750"/>
      <c r="B190" s="751"/>
      <c r="C190" s="483"/>
      <c r="D190" s="480"/>
      <c r="E190" s="480"/>
      <c r="F190" s="480"/>
      <c r="G190" s="480"/>
      <c r="H190" s="481"/>
      <c r="I190" s="480"/>
      <c r="J190" s="482"/>
    </row>
    <row r="191" spans="1:11" ht="23.25" customHeight="1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G156" sqref="G156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8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.75" customHeight="1">
      <c r="A2" s="191" t="s">
        <v>350</v>
      </c>
      <c r="B2" s="262">
        <v>44548</v>
      </c>
      <c r="C2" s="348" t="s">
        <v>67</v>
      </c>
      <c r="D2" s="218">
        <v>0.51</v>
      </c>
      <c r="E2" s="100"/>
      <c r="F2" s="100"/>
      <c r="G2" s="55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91" t="s">
        <v>119</v>
      </c>
      <c r="F3" s="892"/>
      <c r="G3" s="558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</v>
      </c>
      <c r="E4" s="103"/>
      <c r="F4" s="103"/>
      <c r="G4" s="558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5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85" t="s">
        <v>128</v>
      </c>
      <c r="B6" s="886"/>
      <c r="C6" s="887"/>
      <c r="D6" s="110"/>
      <c r="E6" s="110"/>
      <c r="F6" s="110"/>
      <c r="G6" s="56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406408</v>
      </c>
      <c r="F7" s="95">
        <v>424173</v>
      </c>
      <c r="G7" s="561">
        <f>F7-E7</f>
        <v>17765</v>
      </c>
      <c r="H7" s="99">
        <f>G7+'17'!H7</f>
        <v>329612</v>
      </c>
      <c r="I7" s="113">
        <f>'1'!I7</f>
        <v>12000</v>
      </c>
      <c r="J7" s="175">
        <f>H7/DAY(B2)</f>
        <v>18311.777777777777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457733</v>
      </c>
      <c r="F8" s="95">
        <v>475797.83</v>
      </c>
      <c r="G8" s="562">
        <f>F8-E8</f>
        <v>18064.830000000016</v>
      </c>
      <c r="H8" s="99">
        <f>G8+'17'!H8</f>
        <v>334912.83</v>
      </c>
      <c r="I8" s="116"/>
      <c r="J8" s="175">
        <f>H8/DAY(B2)</f>
        <v>18606.268333333333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98294.9</v>
      </c>
      <c r="F9" s="601">
        <v>109695.53</v>
      </c>
      <c r="G9" s="561">
        <f>F9-E9</f>
        <v>11400.630000000005</v>
      </c>
      <c r="H9" s="99">
        <f>G9+'17'!H9</f>
        <v>208200.53</v>
      </c>
      <c r="I9" s="124">
        <f>I7-J7</f>
        <v>-6311.7777777777774</v>
      </c>
      <c r="J9" s="175">
        <f>H9/DAY(B2)</f>
        <v>11566.69611111111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51481.74</v>
      </c>
      <c r="F10" s="353">
        <v>57422.18</v>
      </c>
      <c r="G10" s="561">
        <f>F10-E10</f>
        <v>5940.4400000000023</v>
      </c>
      <c r="H10" s="99">
        <f>G10+'17'!H10</f>
        <v>112328.18</v>
      </c>
      <c r="I10" s="282"/>
      <c r="J10" s="175">
        <f>H10/DAY(B2)</f>
        <v>6240.4544444444437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37170</v>
      </c>
      <c r="G11" s="561">
        <f t="shared" ref="G11:G12" si="0">F11-E11</f>
        <v>170</v>
      </c>
      <c r="H11" s="99">
        <f>G11+'17'!H11</f>
        <v>170</v>
      </c>
      <c r="I11" s="282"/>
      <c r="J11" s="175">
        <f>H11/DAY(B2)</f>
        <v>9.4444444444444446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61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563">
        <f>G9+G10+G11+G12</f>
        <v>17511.070000000007</v>
      </c>
      <c r="H13" s="99">
        <f>G13+'17'!H13</f>
        <v>301233.4599999999</v>
      </c>
      <c r="I13" s="120">
        <f>G7-G13</f>
        <v>253.92999999999302</v>
      </c>
      <c r="J13" s="175">
        <f>H13/DAY(B2)</f>
        <v>16735.192222222217</v>
      </c>
      <c r="K13" s="79"/>
      <c r="L13" s="66"/>
      <c r="N13" s="87"/>
      <c r="O13" s="71"/>
    </row>
    <row r="14" spans="1:15" ht="27.75" customHeight="1">
      <c r="A14" s="888" t="s">
        <v>137</v>
      </c>
      <c r="B14" s="889"/>
      <c r="C14" s="890"/>
      <c r="D14" s="111"/>
      <c r="E14" s="111"/>
      <c r="F14" s="111"/>
      <c r="G14" s="564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95">
        <f>'17'!F15</f>
        <v>1893340.273</v>
      </c>
      <c r="F15" s="123">
        <v>1894222</v>
      </c>
      <c r="G15" s="561">
        <f>(F15-E15)</f>
        <v>881.7269999999553</v>
      </c>
      <c r="H15" s="99">
        <f>G15+'17'!H15</f>
        <v>15792</v>
      </c>
      <c r="I15" s="113">
        <f>'1'!I15</f>
        <v>800</v>
      </c>
      <c r="J15" s="175">
        <f>H15/DAY(B2)</f>
        <v>877.33333333333337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561"/>
      <c r="H16" s="124"/>
      <c r="I16" s="120">
        <f>I15-J15</f>
        <v>-77.333333333333371</v>
      </c>
      <c r="J16" s="176"/>
      <c r="K16" s="79"/>
      <c r="L16" s="66"/>
      <c r="N16" s="87"/>
      <c r="O16" s="71"/>
    </row>
    <row r="17" spans="1:15" ht="27.75" customHeight="1">
      <c r="A17" s="888" t="s">
        <v>140</v>
      </c>
      <c r="B17" s="889"/>
      <c r="C17" s="890"/>
      <c r="D17" s="111"/>
      <c r="E17" s="111"/>
      <c r="F17" s="111"/>
      <c r="G17" s="564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4" t="s">
        <v>141</v>
      </c>
      <c r="B18" s="865"/>
      <c r="C18" s="866"/>
      <c r="D18" s="151" t="s">
        <v>142</v>
      </c>
      <c r="E18" s="95">
        <f>'17'!F18</f>
        <v>8</v>
      </c>
      <c r="F18" s="122">
        <v>10</v>
      </c>
      <c r="G18" s="563">
        <f>F18*10</f>
        <v>100</v>
      </c>
      <c r="H18" s="99">
        <f>G18+'17'!H18</f>
        <v>1880</v>
      </c>
      <c r="I18" s="113">
        <f>'1'!I18</f>
        <v>65</v>
      </c>
      <c r="J18" s="175">
        <f>H18/DAY(B2)</f>
        <v>104.44444444444444</v>
      </c>
      <c r="K18" s="79"/>
      <c r="L18" s="66"/>
      <c r="N18" s="87"/>
      <c r="O18" s="71"/>
    </row>
    <row r="19" spans="1:15" ht="27.75" customHeight="1">
      <c r="A19" s="864" t="s">
        <v>69</v>
      </c>
      <c r="B19" s="865"/>
      <c r="C19" s="866"/>
      <c r="D19" s="151" t="s">
        <v>142</v>
      </c>
      <c r="E19" s="95">
        <f>'17'!F19</f>
        <v>153125</v>
      </c>
      <c r="F19" s="122">
        <v>153179</v>
      </c>
      <c r="G19" s="561">
        <f t="shared" ref="G19" si="1">F19-E19</f>
        <v>54</v>
      </c>
      <c r="H19" s="99">
        <f>G19+'17'!H19</f>
        <v>954</v>
      </c>
      <c r="I19" s="335"/>
      <c r="J19" s="175">
        <f>H19/DAY(B2)</f>
        <v>53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565">
        <f>G18+G19</f>
        <v>154</v>
      </c>
      <c r="H20" s="99">
        <f>G20+'17'!H20</f>
        <v>2834</v>
      </c>
      <c r="I20" s="336">
        <f>I18-J20</f>
        <v>-92.444444444444457</v>
      </c>
      <c r="J20" s="175">
        <f>H20/DAY(B2)</f>
        <v>157.44444444444446</v>
      </c>
      <c r="K20" s="79"/>
      <c r="L20" s="66"/>
      <c r="N20" s="87"/>
      <c r="O20" s="71"/>
    </row>
    <row r="21" spans="1:15" ht="27.75" customHeight="1">
      <c r="A21" s="888" t="s">
        <v>144</v>
      </c>
      <c r="B21" s="889"/>
      <c r="C21" s="890"/>
      <c r="D21" s="111"/>
      <c r="E21" s="111"/>
      <c r="F21" s="111"/>
      <c r="G21" s="564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3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604">
        <f>'17'!F23</f>
        <v>1500</v>
      </c>
      <c r="F23" s="488">
        <v>1390</v>
      </c>
      <c r="G23" s="704">
        <f>-(F23-E23)</f>
        <v>110</v>
      </c>
      <c r="H23" s="99">
        <f>G23+'17'!H23</f>
        <v>110</v>
      </c>
      <c r="I23" s="118"/>
      <c r="J23" s="175">
        <f>H23/DAY(B2)</f>
        <v>6.1111111111111107</v>
      </c>
      <c r="K23" s="79"/>
      <c r="L23" s="66"/>
      <c r="N23" s="705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563">
        <f>SUM(G22:G23)</f>
        <v>110</v>
      </c>
      <c r="H24" s="99">
        <f>G24+'17'!H24</f>
        <v>110</v>
      </c>
      <c r="I24" s="118"/>
      <c r="J24" s="175">
        <f>H24/DAY(B2)</f>
        <v>6.1111111111111107</v>
      </c>
      <c r="K24" s="79"/>
      <c r="L24" s="66"/>
      <c r="N24" s="87"/>
      <c r="O24" s="71"/>
    </row>
    <row r="25" spans="1:15" s="88" customFormat="1" ht="27.75" customHeight="1">
      <c r="A25" s="893" t="s">
        <v>149</v>
      </c>
      <c r="B25" s="894"/>
      <c r="C25" s="895"/>
      <c r="D25" s="110"/>
      <c r="E25" s="110"/>
      <c r="F25" s="110"/>
      <c r="G25" s="566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567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18064.830000000016</v>
      </c>
      <c r="F27" s="136">
        <v>9</v>
      </c>
      <c r="G27" s="568">
        <f>E27*F27</f>
        <v>162583.47000000015</v>
      </c>
      <c r="H27" s="99">
        <f>G27+'17'!H27</f>
        <v>3014215.47</v>
      </c>
      <c r="I27" s="138"/>
      <c r="J27" s="175">
        <f>H27/DAY(B2)</f>
        <v>167456.41500000001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881.7269999999553</v>
      </c>
      <c r="F28" s="136">
        <v>52</v>
      </c>
      <c r="G28" s="568">
        <f>E28*F28</f>
        <v>45849.803999997675</v>
      </c>
      <c r="H28" s="99">
        <f>G28+'17'!H28</f>
        <v>821184</v>
      </c>
      <c r="I28" s="140"/>
      <c r="J28" s="175">
        <f>H28/DAY(B2)</f>
        <v>45621.333333333336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110</v>
      </c>
      <c r="F29" s="136">
        <v>69</v>
      </c>
      <c r="G29" s="568">
        <f>E29*F29</f>
        <v>7590</v>
      </c>
      <c r="H29" s="99">
        <f>G29+'17'!H29</f>
        <v>7590</v>
      </c>
      <c r="I29" s="140"/>
      <c r="J29" s="175">
        <f>H29/DAY(B2)</f>
        <v>421.66666666666669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568">
        <f>E30*F30</f>
        <v>7884</v>
      </c>
      <c r="H30" s="99">
        <f>G30+'17'!H30</f>
        <v>139284</v>
      </c>
      <c r="I30" s="140"/>
      <c r="J30" s="175">
        <f>H30/DAY(B2)</f>
        <v>7738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568">
        <f>E31*F31</f>
        <v>8000</v>
      </c>
      <c r="H31" s="99">
        <f>G31+'17'!H31</f>
        <v>150400</v>
      </c>
      <c r="I31" s="140"/>
      <c r="J31" s="175">
        <f>H31/DAY(B2)</f>
        <v>8355.5555555555547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569">
        <f>G27+G28+G29+G30+G31</f>
        <v>231907.27399999782</v>
      </c>
      <c r="H32" s="99">
        <f>G32+'17'!H32</f>
        <v>4132673.47</v>
      </c>
      <c r="I32" s="144"/>
      <c r="J32" s="175">
        <f>H32/DAY(B2)</f>
        <v>229592.97055555557</v>
      </c>
      <c r="K32" s="63"/>
      <c r="L32" s="89"/>
      <c r="N32" s="87"/>
      <c r="O32" s="71"/>
    </row>
    <row r="33" spans="1:15" ht="27.75" customHeight="1">
      <c r="A33" s="896" t="s">
        <v>331</v>
      </c>
      <c r="B33" s="897"/>
      <c r="C33" s="897"/>
      <c r="D33" s="337"/>
      <c r="E33" s="337"/>
      <c r="F33" s="337"/>
      <c r="G33" s="570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57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13093.6</v>
      </c>
      <c r="F35" s="145">
        <v>14485.36</v>
      </c>
      <c r="G35" s="561">
        <f t="shared" ref="G35:G46" si="2">F35-E35</f>
        <v>1391.7600000000002</v>
      </c>
      <c r="H35" s="99">
        <f>G35+'17'!H35</f>
        <v>29685.360000000001</v>
      </c>
      <c r="I35" s="95"/>
      <c r="J35" s="175">
        <f>H35/DAY(B2)</f>
        <v>1649.1866666666667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33474.46</v>
      </c>
      <c r="F36" s="145">
        <v>34075.360000000001</v>
      </c>
      <c r="G36" s="561">
        <f t="shared" si="2"/>
        <v>600.90000000000146</v>
      </c>
      <c r="H36" s="99">
        <f>G36+'17'!H36</f>
        <v>12548.36</v>
      </c>
      <c r="I36" s="95"/>
      <c r="J36" s="175">
        <f>H36/DAY(B2)</f>
        <v>697.13111111111118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13321.42</v>
      </c>
      <c r="F37" s="145">
        <v>14883.97</v>
      </c>
      <c r="G37" s="561">
        <f t="shared" si="2"/>
        <v>1562.5499999999993</v>
      </c>
      <c r="H37" s="99">
        <f>G37+'17'!H37</f>
        <v>27095.969999999998</v>
      </c>
      <c r="I37" s="95"/>
      <c r="J37" s="175">
        <f>H37/DAY(B2)</f>
        <v>1505.3316666666665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14168.16</v>
      </c>
      <c r="F38" s="108">
        <v>15864.46</v>
      </c>
      <c r="G38" s="561">
        <f t="shared" si="2"/>
        <v>1696.2999999999993</v>
      </c>
      <c r="H38" s="99">
        <f>G38+'17'!H38</f>
        <v>29064.46</v>
      </c>
      <c r="I38" s="95"/>
      <c r="J38" s="175">
        <f>H38/DAY(B2)</f>
        <v>1614.6922222222222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22808</v>
      </c>
      <c r="F39" s="145">
        <v>25354.49</v>
      </c>
      <c r="G39" s="561">
        <f t="shared" si="2"/>
        <v>2546.4900000000016</v>
      </c>
      <c r="H39" s="99">
        <f>G39+'17'!H39</f>
        <v>47036.490000000005</v>
      </c>
      <c r="I39" s="95"/>
      <c r="J39" s="175">
        <f>H39/DAY(B2)</f>
        <v>2613.1383333333338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490">
        <f>'17'!F40</f>
        <v>13361</v>
      </c>
      <c r="F40" s="552">
        <v>13643.14</v>
      </c>
      <c r="G40" s="703">
        <f t="shared" si="2"/>
        <v>282.13999999999942</v>
      </c>
      <c r="H40" s="99">
        <f>G40+'17'!H40</f>
        <v>8033.1399999999994</v>
      </c>
      <c r="I40" s="95"/>
      <c r="J40" s="175">
        <f>H40/DAY(B2)</f>
        <v>446.2855555555555</v>
      </c>
      <c r="K40" s="80"/>
      <c r="L40" s="66"/>
      <c r="N40" s="87">
        <v>7285</v>
      </c>
      <c r="O40" s="71" t="s">
        <v>368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561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73808.600000000006</v>
      </c>
      <c r="F42" s="145">
        <v>73808.600000000006</v>
      </c>
      <c r="G42" s="561">
        <f t="shared" si="2"/>
        <v>0</v>
      </c>
      <c r="H42" s="99">
        <f>G42+'17'!H42</f>
        <v>-0.39999999999417923</v>
      </c>
      <c r="I42" s="95"/>
      <c r="J42" s="175">
        <f>H42/DAY(B2)</f>
        <v>-2.2222222221898846E-2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85043.15</v>
      </c>
      <c r="F43" s="145">
        <v>87381.15</v>
      </c>
      <c r="G43" s="561">
        <f t="shared" si="2"/>
        <v>2338</v>
      </c>
      <c r="H43" s="99">
        <f>G43+'17'!H43</f>
        <v>40120.149999999994</v>
      </c>
      <c r="I43" s="95"/>
      <c r="J43" s="175">
        <f>H43/DAY(B2)</f>
        <v>2228.8972222222219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61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61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61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563">
        <f>G35+G36+G37+G38+G39+G40+G41+G42+G43+G44+G45+G46</f>
        <v>10418.140000000001</v>
      </c>
      <c r="H47" s="99">
        <f>G47+'17'!H47</f>
        <v>193583.53000000003</v>
      </c>
      <c r="I47" s="95"/>
      <c r="J47" s="175">
        <f>H47/DAY(B2)</f>
        <v>10754.640555555558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57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11344.61</v>
      </c>
      <c r="F49" s="145">
        <v>12587.33</v>
      </c>
      <c r="G49" s="561">
        <f t="shared" ref="G49:G58" si="3">F49-E49</f>
        <v>1242.7199999999993</v>
      </c>
      <c r="H49" s="99">
        <f>G49+'17'!H49</f>
        <v>25708.33</v>
      </c>
      <c r="I49" s="95"/>
      <c r="J49" s="175">
        <f>H49/DAY(B2)</f>
        <v>1428.2405555555556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41124.53</v>
      </c>
      <c r="F50" s="145">
        <v>42045.93</v>
      </c>
      <c r="G50" s="561">
        <f t="shared" si="3"/>
        <v>921.40000000000146</v>
      </c>
      <c r="H50" s="99">
        <f>G50+'17'!H50</f>
        <v>17395.93</v>
      </c>
      <c r="I50" s="95"/>
      <c r="J50" s="175">
        <f>H50/DAY(B2)</f>
        <v>966.44055555555553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61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61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61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4789.7</v>
      </c>
      <c r="F54" s="145">
        <v>5147.42</v>
      </c>
      <c r="G54" s="561">
        <f t="shared" si="3"/>
        <v>357.72000000000025</v>
      </c>
      <c r="H54" s="99">
        <f>G54+'17'!H54</f>
        <v>6914.5</v>
      </c>
      <c r="I54" s="95"/>
      <c r="J54" s="175">
        <f>H54/DAY(B2)</f>
        <v>384.13888888888891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54749.17</v>
      </c>
      <c r="F55" s="145">
        <v>57839.69</v>
      </c>
      <c r="G55" s="561">
        <f t="shared" si="3"/>
        <v>3090.5200000000041</v>
      </c>
      <c r="H55" s="99">
        <f>G55+'17'!H55</f>
        <v>54328.69</v>
      </c>
      <c r="I55" s="95"/>
      <c r="J55" s="175">
        <f>H55/DAY(B2)</f>
        <v>3018.2605555555556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8610.5400000000009</v>
      </c>
      <c r="F56" s="145">
        <v>8610.5400000000009</v>
      </c>
      <c r="G56" s="561">
        <f t="shared" si="3"/>
        <v>0</v>
      </c>
      <c r="H56" s="99">
        <f>G56+'17'!H56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61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2016.6</v>
      </c>
      <c r="F58" s="145">
        <v>2148.48</v>
      </c>
      <c r="G58" s="561">
        <f t="shared" si="3"/>
        <v>131.88000000000011</v>
      </c>
      <c r="H58" s="99">
        <f>G58+'17'!H58</f>
        <v>2489.1100000000047</v>
      </c>
      <c r="I58" s="95"/>
      <c r="J58" s="175">
        <f>H58/DAY(B2)</f>
        <v>138.28388888888915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563">
        <f>G49+G50+G51+G52+G53+G54+G55+G56+G57+G58</f>
        <v>5744.2400000000052</v>
      </c>
      <c r="H59" s="99">
        <f>G59+'17'!H59</f>
        <v>106836.56000000003</v>
      </c>
      <c r="I59" s="95">
        <f>G7-G60</f>
        <v>1602.6199999999935</v>
      </c>
      <c r="J59" s="175">
        <f>H59/DAY(B2)</f>
        <v>5935.3644444444462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563">
        <f>G47+G59</f>
        <v>16162.380000000006</v>
      </c>
      <c r="H60" s="99">
        <f>G60+'17'!H60</f>
        <v>300420.08999999997</v>
      </c>
      <c r="I60" s="95">
        <f>G13-G60</f>
        <v>1348.6900000000005</v>
      </c>
      <c r="J60" s="175">
        <f>H60/DAY(B2)</f>
        <v>16690.004999999997</v>
      </c>
      <c r="K60" s="79"/>
      <c r="L60" s="66"/>
      <c r="N60" s="87"/>
      <c r="O60" s="71"/>
    </row>
    <row r="61" spans="1:15" s="68" customFormat="1" ht="27.75" customHeight="1">
      <c r="A61" s="898" t="s">
        <v>332</v>
      </c>
      <c r="B61" s="899"/>
      <c r="C61" s="900"/>
      <c r="D61" s="339"/>
      <c r="E61" s="339"/>
      <c r="F61" s="339"/>
      <c r="G61" s="572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4" t="s">
        <v>198</v>
      </c>
      <c r="B62" s="865"/>
      <c r="C62" s="866"/>
      <c r="D62" s="151" t="s">
        <v>142</v>
      </c>
      <c r="E62" s="95">
        <f>'17'!F62</f>
        <v>268239</v>
      </c>
      <c r="F62" s="122">
        <v>268308</v>
      </c>
      <c r="G62" s="561">
        <f t="shared" ref="G62:G63" si="4">F62-E62</f>
        <v>69</v>
      </c>
      <c r="H62" s="99">
        <f>G62+'17'!H62</f>
        <v>1095</v>
      </c>
      <c r="I62" s="118"/>
      <c r="J62" s="175">
        <f>H62/DAY(B2)</f>
        <v>60.833333333333336</v>
      </c>
      <c r="K62" s="80"/>
      <c r="L62" s="66"/>
      <c r="N62" s="87"/>
      <c r="O62" s="71"/>
    </row>
    <row r="63" spans="1:15" ht="27.75" customHeight="1">
      <c r="A63" s="864" t="s">
        <v>199</v>
      </c>
      <c r="B63" s="865"/>
      <c r="C63" s="866"/>
      <c r="D63" s="151" t="s">
        <v>142</v>
      </c>
      <c r="E63" s="95">
        <f>'17'!F63</f>
        <v>214118</v>
      </c>
      <c r="F63" s="122">
        <v>214242</v>
      </c>
      <c r="G63" s="561">
        <f t="shared" si="4"/>
        <v>124</v>
      </c>
      <c r="H63" s="99">
        <f>G63+'17'!H63</f>
        <v>1817</v>
      </c>
      <c r="I63" s="118"/>
      <c r="J63" s="175">
        <f>H63/DAY(B2)</f>
        <v>100.94444444444444</v>
      </c>
      <c r="K63" s="69"/>
      <c r="L63" s="66"/>
      <c r="N63" s="87"/>
      <c r="O63" s="71"/>
    </row>
    <row r="64" spans="1:15" ht="27.75" customHeight="1">
      <c r="A64" s="873" t="s">
        <v>200</v>
      </c>
      <c r="B64" s="874"/>
      <c r="C64" s="875"/>
      <c r="D64" s="151"/>
      <c r="E64" s="95">
        <f>'17'!F64</f>
        <v>0</v>
      </c>
      <c r="F64" s="122"/>
      <c r="G64" s="561">
        <f>G62+G63</f>
        <v>193</v>
      </c>
      <c r="H64" s="99">
        <f>G64+'17'!H64</f>
        <v>2912</v>
      </c>
      <c r="I64" s="118"/>
      <c r="J64" s="175">
        <f>H64/DAY(B2)</f>
        <v>161.77777777777777</v>
      </c>
      <c r="K64" s="69"/>
      <c r="L64" s="66"/>
      <c r="N64" s="87"/>
      <c r="O64" s="71"/>
    </row>
    <row r="65" spans="1:15" ht="27.75" customHeight="1">
      <c r="A65" s="864" t="s">
        <v>201</v>
      </c>
      <c r="B65" s="865"/>
      <c r="C65" s="866"/>
      <c r="D65" s="151" t="s">
        <v>142</v>
      </c>
      <c r="E65" s="95">
        <f>'17'!F65</f>
        <v>433792</v>
      </c>
      <c r="F65" s="122">
        <v>433856</v>
      </c>
      <c r="G65" s="561">
        <f t="shared" ref="G65:G70" si="5">F65-E65</f>
        <v>64</v>
      </c>
      <c r="H65" s="99">
        <f>G65+'17'!H65</f>
        <v>1242</v>
      </c>
      <c r="I65" s="118"/>
      <c r="J65" s="175">
        <f>H65/DAY(B2)</f>
        <v>69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107508</v>
      </c>
      <c r="F66" s="122">
        <v>107519</v>
      </c>
      <c r="G66" s="561">
        <f t="shared" si="5"/>
        <v>11</v>
      </c>
      <c r="H66" s="99">
        <f>G66+'17'!H66</f>
        <v>305</v>
      </c>
      <c r="I66" s="118"/>
      <c r="J66" s="175">
        <f>H66/DAY(B2)</f>
        <v>16.944444444444443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104322</v>
      </c>
      <c r="F67" s="122">
        <v>104344</v>
      </c>
      <c r="G67" s="561">
        <f t="shared" si="5"/>
        <v>22</v>
      </c>
      <c r="H67" s="99">
        <f>G67+'17'!H67</f>
        <v>416</v>
      </c>
      <c r="I67" s="118"/>
      <c r="J67" s="175">
        <f>H67/DAY(B2)</f>
        <v>23.111111111111111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157058</v>
      </c>
      <c r="F68" s="122">
        <v>157113</v>
      </c>
      <c r="G68" s="561">
        <f t="shared" si="5"/>
        <v>55</v>
      </c>
      <c r="H68" s="99">
        <f>G68+'17'!H68</f>
        <v>493</v>
      </c>
      <c r="I68" s="118"/>
      <c r="J68" s="175">
        <f>H68/DAY(B2)</f>
        <v>27.388888888888889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10377</v>
      </c>
      <c r="F69" s="122">
        <v>10389</v>
      </c>
      <c r="G69" s="561">
        <f t="shared" si="5"/>
        <v>12</v>
      </c>
      <c r="H69" s="99">
        <f>G69+'17'!H69</f>
        <v>175</v>
      </c>
      <c r="I69" s="118"/>
      <c r="J69" s="175">
        <f>H69/DAY(B2)</f>
        <v>9.7222222222222214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7991</v>
      </c>
      <c r="F70" s="122">
        <v>7995</v>
      </c>
      <c r="G70" s="561">
        <f t="shared" si="5"/>
        <v>4</v>
      </c>
      <c r="H70" s="99">
        <f>G70+'17'!H70</f>
        <v>133</v>
      </c>
      <c r="I70" s="118"/>
      <c r="J70" s="175">
        <f>H70/DAY(B2)</f>
        <v>7.3888888888888893</v>
      </c>
      <c r="K70" s="69"/>
      <c r="L70" s="66"/>
      <c r="N70" s="87"/>
      <c r="O70" s="71"/>
    </row>
    <row r="71" spans="1:15" ht="27.75" customHeight="1">
      <c r="A71" s="873" t="s">
        <v>208</v>
      </c>
      <c r="B71" s="874"/>
      <c r="C71" s="875"/>
      <c r="D71" s="152"/>
      <c r="E71" s="152"/>
      <c r="F71" s="152"/>
      <c r="G71" s="573">
        <f>SUM(G65:G70)</f>
        <v>168</v>
      </c>
      <c r="H71" s="99">
        <f>G71+'17'!H71</f>
        <v>2764</v>
      </c>
      <c r="I71" s="154"/>
      <c r="J71" s="175">
        <f>H71/DAY(B2)</f>
        <v>153.55555555555554</v>
      </c>
      <c r="K71" s="69"/>
      <c r="L71" s="66"/>
      <c r="N71" s="87"/>
      <c r="O71" s="71"/>
    </row>
    <row r="72" spans="1:15" s="88" customFormat="1" ht="27.75" customHeight="1">
      <c r="A72" s="860"/>
      <c r="B72" s="845"/>
      <c r="C72" s="347"/>
      <c r="D72" s="180"/>
      <c r="E72" s="180" t="s">
        <v>207</v>
      </c>
      <c r="F72" s="180"/>
      <c r="G72" s="574"/>
      <c r="H72" s="181"/>
      <c r="I72" s="180"/>
      <c r="J72" s="182"/>
      <c r="N72" s="87"/>
      <c r="O72" s="71"/>
    </row>
    <row r="73" spans="1:15" ht="27.75" customHeight="1">
      <c r="A73" s="870" t="s">
        <v>333</v>
      </c>
      <c r="B73" s="871"/>
      <c r="C73" s="872"/>
      <c r="D73" s="339"/>
      <c r="E73" s="339"/>
      <c r="F73" s="339"/>
      <c r="G73" s="57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4" t="s">
        <v>220</v>
      </c>
      <c r="B74" s="865"/>
      <c r="C74" s="866"/>
      <c r="D74" s="151" t="s">
        <v>139</v>
      </c>
      <c r="E74" s="95">
        <f>'17'!F74</f>
        <v>897080.9</v>
      </c>
      <c r="F74" s="123">
        <v>897366.15</v>
      </c>
      <c r="G74" s="561">
        <f>F74-E74</f>
        <v>285.25</v>
      </c>
      <c r="H74" s="99">
        <f>G74+'17'!H74</f>
        <v>5334.1500000000233</v>
      </c>
      <c r="I74" s="154"/>
      <c r="J74" s="175">
        <f>H74/DAY(B2)</f>
        <v>296.34166666666795</v>
      </c>
      <c r="K74" s="69"/>
      <c r="L74" s="66"/>
      <c r="N74" s="87"/>
      <c r="O74" s="71"/>
    </row>
    <row r="75" spans="1:15" ht="27.75" customHeight="1">
      <c r="A75" s="864" t="s">
        <v>221</v>
      </c>
      <c r="B75" s="865"/>
      <c r="C75" s="866"/>
      <c r="D75" s="151" t="s">
        <v>139</v>
      </c>
      <c r="E75" s="95">
        <f>'17'!F75</f>
        <v>73586.8</v>
      </c>
      <c r="F75" s="494">
        <v>73586.8</v>
      </c>
      <c r="G75" s="561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861" t="s">
        <v>222</v>
      </c>
      <c r="B76" s="862"/>
      <c r="C76" s="863"/>
      <c r="D76" s="151" t="s">
        <v>139</v>
      </c>
      <c r="E76" s="95">
        <f>'17'!F76</f>
        <v>168630.5</v>
      </c>
      <c r="F76" s="123">
        <v>168711</v>
      </c>
      <c r="G76" s="561">
        <f>F76-E76</f>
        <v>80.5</v>
      </c>
      <c r="H76" s="99">
        <f>G76+'17'!H76</f>
        <v>1504</v>
      </c>
      <c r="I76" s="154"/>
      <c r="J76" s="175">
        <f>H76/DAY(B2)</f>
        <v>83.555555555555557</v>
      </c>
      <c r="K76" s="69"/>
      <c r="L76" s="66"/>
      <c r="N76" s="87"/>
      <c r="O76" s="71"/>
    </row>
    <row r="77" spans="1:15" ht="27.75" customHeight="1">
      <c r="A77" s="861" t="s">
        <v>223</v>
      </c>
      <c r="B77" s="862"/>
      <c r="C77" s="863"/>
      <c r="D77" s="151" t="s">
        <v>139</v>
      </c>
      <c r="E77" s="95">
        <f>'17'!F77</f>
        <v>40821.300000000003</v>
      </c>
      <c r="F77" s="123">
        <v>40844</v>
      </c>
      <c r="G77" s="561">
        <f t="shared" si="6"/>
        <v>22.69999999999709</v>
      </c>
      <c r="H77" s="99">
        <f>G77+'17'!H77</f>
        <v>528</v>
      </c>
      <c r="I77" s="154"/>
      <c r="J77" s="175">
        <f>H77/DAY(B2)</f>
        <v>29.333333333333332</v>
      </c>
      <c r="K77" s="69"/>
      <c r="L77" s="66"/>
      <c r="N77" s="87"/>
      <c r="O77" s="71"/>
    </row>
    <row r="78" spans="1:15" ht="27.75" customHeight="1">
      <c r="A78" s="861" t="s">
        <v>224</v>
      </c>
      <c r="B78" s="862"/>
      <c r="C78" s="863"/>
      <c r="D78" s="151" t="s">
        <v>139</v>
      </c>
      <c r="E78" s="95">
        <f>'17'!F78</f>
        <v>9499</v>
      </c>
      <c r="F78" s="123">
        <v>9500</v>
      </c>
      <c r="G78" s="561">
        <f t="shared" si="6"/>
        <v>1</v>
      </c>
      <c r="H78" s="99">
        <f>G78+'17'!H78</f>
        <v>14</v>
      </c>
      <c r="I78" s="118"/>
      <c r="J78" s="175">
        <f>H78/DAY(B2)</f>
        <v>0.77777777777777779</v>
      </c>
      <c r="K78" s="69"/>
      <c r="L78" s="66"/>
      <c r="N78" s="87"/>
      <c r="O78" s="71"/>
    </row>
    <row r="79" spans="1:15" s="57" customFormat="1" ht="27.75" customHeight="1">
      <c r="A79" s="861" t="s">
        <v>225</v>
      </c>
      <c r="B79" s="862"/>
      <c r="C79" s="863"/>
      <c r="D79" s="151"/>
      <c r="E79" s="95">
        <f>'17'!F79</f>
        <v>0</v>
      </c>
      <c r="F79" s="123">
        <v>0</v>
      </c>
      <c r="G79" s="561">
        <f>G15-SUM(G74:G78)</f>
        <v>492.27699999995821</v>
      </c>
      <c r="H79" s="99">
        <f>G79+'17'!H79</f>
        <v>8411.8499999999767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73" t="s">
        <v>329</v>
      </c>
      <c r="B80" s="874"/>
      <c r="C80" s="875"/>
      <c r="D80" s="151"/>
      <c r="E80" s="117"/>
      <c r="F80" s="117"/>
      <c r="G80" s="561">
        <f>SUM(G74:G79)</f>
        <v>881.7269999999553</v>
      </c>
      <c r="H80" s="99">
        <f>G80+'17'!H80</f>
        <v>881.7269999999553</v>
      </c>
      <c r="I80" s="118"/>
      <c r="J80" s="175"/>
      <c r="K80" s="59"/>
      <c r="L80" s="58"/>
      <c r="N80" s="87"/>
      <c r="O80" s="71"/>
    </row>
    <row r="81" spans="1:15" ht="27.75" customHeight="1">
      <c r="A81" s="878" t="s">
        <v>226</v>
      </c>
      <c r="B81" s="879"/>
      <c r="C81" s="880"/>
      <c r="D81" s="110"/>
      <c r="E81" s="110"/>
      <c r="F81" s="110"/>
      <c r="G81" s="575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561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561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41675.26</v>
      </c>
      <c r="F84" s="164">
        <v>41675.26</v>
      </c>
      <c r="G84" s="561">
        <f>F84-E84</f>
        <v>0</v>
      </c>
      <c r="H84" s="99">
        <f>G84+'17'!H84</f>
        <v>0.26000000000203727</v>
      </c>
      <c r="I84" s="118"/>
      <c r="J84" s="175">
        <f>H84/DAY(B2)</f>
        <v>1.4444444444557626E-2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2096.5500000000002</v>
      </c>
      <c r="F85" s="164">
        <v>2096.5500000000002</v>
      </c>
      <c r="G85" s="561">
        <f t="shared" si="7"/>
        <v>0</v>
      </c>
      <c r="H85" s="99">
        <f>G85+'17'!H85</f>
        <v>-9.9999999997635314E-3</v>
      </c>
      <c r="I85" s="118">
        <f>G82+G83+G84+G85</f>
        <v>0</v>
      </c>
      <c r="J85" s="175">
        <f>H85/DAY(B2)</f>
        <v>-5.5555555554241839E-4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43272.04</v>
      </c>
      <c r="F86" s="164">
        <v>43296.06</v>
      </c>
      <c r="G86" s="561">
        <f t="shared" si="7"/>
        <v>24.019999999996799</v>
      </c>
      <c r="H86" s="99">
        <f>G86+'17'!H86</f>
        <v>433.05999999999767</v>
      </c>
      <c r="I86" s="118"/>
      <c r="J86" s="175">
        <f>H86/DAY(B2)</f>
        <v>24.05888888888876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561">
        <f t="shared" si="7"/>
        <v>0</v>
      </c>
      <c r="H87" s="99">
        <f>G87+'17'!H87</f>
        <v>0</v>
      </c>
      <c r="I87" s="118"/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24059.29</v>
      </c>
      <c r="F88" s="164">
        <v>24061.16</v>
      </c>
      <c r="G88" s="561">
        <f t="shared" si="7"/>
        <v>1.8699999999989814</v>
      </c>
      <c r="H88" s="99">
        <f>G88+'17'!H88</f>
        <v>14.159999999999854</v>
      </c>
      <c r="I88" s="118">
        <f>G86+G87+G88</f>
        <v>25.88999999999578</v>
      </c>
      <c r="J88" s="175">
        <f>H88/DAY(B2)</f>
        <v>0.78666666666665863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25764.63</v>
      </c>
      <c r="F89" s="164">
        <v>25772.05</v>
      </c>
      <c r="G89" s="561">
        <f t="shared" si="7"/>
        <v>7.4199999999982538</v>
      </c>
      <c r="H89" s="99">
        <f>G89+'17'!H89</f>
        <v>109.04999999999927</v>
      </c>
      <c r="I89" s="118"/>
      <c r="J89" s="175">
        <f>H89/DAY(B2)</f>
        <v>6.0583333333332927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71131</v>
      </c>
      <c r="F90" s="164">
        <v>71131.710000000006</v>
      </c>
      <c r="G90" s="561">
        <f t="shared" si="7"/>
        <v>0.71000000000640284</v>
      </c>
      <c r="H90" s="99">
        <f>G90+'17'!H90</f>
        <v>97.710000000006403</v>
      </c>
      <c r="I90" s="118">
        <f>G89+G90</f>
        <v>8.1300000000046566</v>
      </c>
      <c r="J90" s="175">
        <f>H90/DAY(B2)</f>
        <v>5.4283333333336889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3226.32</v>
      </c>
      <c r="F91" s="122">
        <v>3226.32</v>
      </c>
      <c r="G91" s="561">
        <f t="shared" si="7"/>
        <v>0</v>
      </c>
      <c r="H91" s="99">
        <f>G91+'17'!H91</f>
        <v>0</v>
      </c>
      <c r="I91" s="165"/>
      <c r="J91" s="175">
        <f>H91/DAY(B2)</f>
        <v>0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5615.26</v>
      </c>
      <c r="F92" s="122">
        <v>5625.33</v>
      </c>
      <c r="G92" s="561">
        <f t="shared" si="7"/>
        <v>10.069999999999709</v>
      </c>
      <c r="H92" s="99">
        <f>G92+'17'!H92</f>
        <v>187.32999999999993</v>
      </c>
      <c r="I92" s="165"/>
      <c r="J92" s="175">
        <f>H92/DAY(B2)</f>
        <v>10.407222222222218</v>
      </c>
      <c r="O92" s="71"/>
    </row>
    <row r="93" spans="1:15" ht="27.75" customHeight="1">
      <c r="A93" s="867" t="s">
        <v>239</v>
      </c>
      <c r="B93" s="868"/>
      <c r="C93" s="869"/>
      <c r="D93" s="111"/>
      <c r="E93" s="111"/>
      <c r="F93" s="111"/>
      <c r="G93" s="564"/>
      <c r="H93" s="121"/>
      <c r="I93" s="121"/>
      <c r="J93" s="183"/>
      <c r="K93" s="69"/>
      <c r="L93" s="66"/>
      <c r="O93" s="71"/>
    </row>
    <row r="94" spans="1:15" ht="27.75" customHeight="1">
      <c r="A94" s="864" t="s">
        <v>240</v>
      </c>
      <c r="B94" s="865"/>
      <c r="C94" s="866"/>
      <c r="D94" s="151" t="s">
        <v>130</v>
      </c>
      <c r="E94" s="151"/>
      <c r="F94" s="151"/>
      <c r="G94" s="576">
        <f>G35+G43+G49+G57</f>
        <v>4972.4799999999996</v>
      </c>
      <c r="H94" s="99">
        <f>G94+'17'!H94</f>
        <v>95513.84</v>
      </c>
      <c r="I94" s="118"/>
      <c r="J94" s="175">
        <f>H94/DAY(B2)</f>
        <v>5306.3244444444445</v>
      </c>
      <c r="K94" s="69"/>
      <c r="L94" s="66"/>
      <c r="O94" s="71"/>
    </row>
    <row r="95" spans="1:15" ht="27.75" customHeight="1">
      <c r="A95" s="864" t="s">
        <v>241</v>
      </c>
      <c r="B95" s="865"/>
      <c r="C95" s="866"/>
      <c r="D95" s="151" t="s">
        <v>23</v>
      </c>
      <c r="E95" s="146"/>
      <c r="F95" s="146"/>
      <c r="G95" s="577">
        <f>G94/G7</f>
        <v>0.27990318041092033</v>
      </c>
      <c r="H95" s="99">
        <f>G95+'17'!H95</f>
        <v>5.2039094977561655</v>
      </c>
      <c r="I95" s="167"/>
      <c r="J95" s="175">
        <f>H95/DAY(B2)</f>
        <v>0.28910608320867587</v>
      </c>
      <c r="K95" s="69"/>
      <c r="L95" s="66"/>
      <c r="O95" s="71"/>
    </row>
    <row r="96" spans="1:15" ht="27.75" customHeight="1">
      <c r="A96" s="864" t="s">
        <v>242</v>
      </c>
      <c r="B96" s="865"/>
      <c r="C96" s="866"/>
      <c r="D96" s="151" t="s">
        <v>130</v>
      </c>
      <c r="E96" s="95"/>
      <c r="F96" s="95"/>
      <c r="G96" s="576">
        <f>G41+G42+G55+G56</f>
        <v>3090.5200000000041</v>
      </c>
      <c r="H96" s="99">
        <f>G96+'17'!H96</f>
        <v>54328.290000000008</v>
      </c>
      <c r="I96" s="118"/>
      <c r="J96" s="175">
        <f>H96/DAY(B2)</f>
        <v>3018.2383333333337</v>
      </c>
      <c r="K96" s="69"/>
      <c r="L96" s="66"/>
      <c r="O96" s="71"/>
    </row>
    <row r="97" spans="1:15" ht="27.75" customHeight="1">
      <c r="A97" s="864" t="s">
        <v>243</v>
      </c>
      <c r="B97" s="865"/>
      <c r="C97" s="866"/>
      <c r="D97" s="151" t="s">
        <v>23</v>
      </c>
      <c r="E97" s="95"/>
      <c r="F97" s="95"/>
      <c r="G97" s="577">
        <f>G96/G7</f>
        <v>0.17396678862932755</v>
      </c>
      <c r="H97" s="99">
        <f>G97+'17'!H97</f>
        <v>2.9751746081431509</v>
      </c>
      <c r="I97" s="167"/>
      <c r="J97" s="175">
        <f>H97/DAY(B2)</f>
        <v>0.16528747823017506</v>
      </c>
      <c r="K97" s="69"/>
      <c r="L97" s="66"/>
      <c r="O97" s="71"/>
    </row>
    <row r="98" spans="1:15" ht="27.75" customHeight="1">
      <c r="A98" s="864" t="s">
        <v>244</v>
      </c>
      <c r="B98" s="865"/>
      <c r="C98" s="866"/>
      <c r="D98" s="151" t="s">
        <v>130</v>
      </c>
      <c r="E98" s="95"/>
      <c r="F98" s="95"/>
      <c r="G98" s="576">
        <f>G39+G53</f>
        <v>2546.4900000000016</v>
      </c>
      <c r="H98" s="99">
        <f>G98+'17'!H98</f>
        <v>47036.490000000005</v>
      </c>
      <c r="I98" s="168"/>
      <c r="J98" s="175">
        <f>H98/DAY(B2)</f>
        <v>2613.1383333333338</v>
      </c>
      <c r="K98" s="69"/>
      <c r="L98" s="66"/>
      <c r="O98" s="71"/>
    </row>
    <row r="99" spans="1:15" ht="27.75" customHeight="1">
      <c r="A99" s="864" t="s">
        <v>245</v>
      </c>
      <c r="B99" s="865"/>
      <c r="C99" s="866"/>
      <c r="D99" s="151" t="s">
        <v>23</v>
      </c>
      <c r="E99" s="95"/>
      <c r="F99" s="95"/>
      <c r="G99" s="577">
        <f>G98/G7</f>
        <v>0.14334309034618642</v>
      </c>
      <c r="H99" s="99">
        <f>G99+'17'!H99</f>
        <v>2.5752440997514738</v>
      </c>
      <c r="I99" s="168"/>
      <c r="J99" s="175">
        <f>H99/DAY(B2)</f>
        <v>0.14306911665285965</v>
      </c>
      <c r="O99" s="71"/>
    </row>
    <row r="100" spans="1:15" ht="27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576">
        <f>G38+G52</f>
        <v>1696.2999999999993</v>
      </c>
      <c r="H100" s="99">
        <f>G100+'17'!H100</f>
        <v>29064.46</v>
      </c>
      <c r="I100" s="118"/>
      <c r="J100" s="175">
        <f>H100/DAY(B2)</f>
        <v>1614.6922222222222</v>
      </c>
      <c r="K100" s="70"/>
      <c r="O100" s="71"/>
    </row>
    <row r="101" spans="1:15" ht="27.75" customHeight="1">
      <c r="A101" s="864" t="s">
        <v>247</v>
      </c>
      <c r="B101" s="865"/>
      <c r="C101" s="866"/>
      <c r="D101" s="151" t="s">
        <v>23</v>
      </c>
      <c r="E101" s="95"/>
      <c r="F101" s="95"/>
      <c r="G101" s="577">
        <f>G100/G7</f>
        <v>9.5485505206867397E-2</v>
      </c>
      <c r="H101" s="99">
        <f>G101+'17'!H101</f>
        <v>1.5920369483316994</v>
      </c>
      <c r="I101" s="168"/>
      <c r="J101" s="175">
        <f>H101/DAY(B2)</f>
        <v>8.8446497129538851E-2</v>
      </c>
      <c r="O101" s="71"/>
    </row>
    <row r="102" spans="1:15" ht="27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576">
        <f>G36+G50</f>
        <v>1522.3000000000029</v>
      </c>
      <c r="H102" s="99">
        <f>G102+'17'!H102</f>
        <v>29944.29</v>
      </c>
      <c r="I102" s="168"/>
      <c r="J102" s="175">
        <f>H102/DAY(B2)</f>
        <v>1663.5716666666667</v>
      </c>
      <c r="O102" s="71"/>
    </row>
    <row r="103" spans="1:15" ht="27.75" customHeight="1">
      <c r="A103" s="864" t="s">
        <v>249</v>
      </c>
      <c r="B103" s="865"/>
      <c r="C103" s="866"/>
      <c r="D103" s="151" t="s">
        <v>23</v>
      </c>
      <c r="E103" s="95"/>
      <c r="F103" s="95"/>
      <c r="G103" s="577">
        <f>G102/G7</f>
        <v>8.5690965381368028E-2</v>
      </c>
      <c r="H103" s="99">
        <f>G103+'17'!H103</f>
        <v>1.6308190339496864</v>
      </c>
      <c r="I103" s="118"/>
      <c r="J103" s="175">
        <f>H103/DAY(B2)</f>
        <v>9.0601057441649244E-2</v>
      </c>
      <c r="O103" s="71"/>
    </row>
    <row r="104" spans="1:15" ht="27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576">
        <f>G37+G51</f>
        <v>1562.5499999999993</v>
      </c>
      <c r="H104" s="99">
        <f>G104+'17'!H104</f>
        <v>27095.969999999998</v>
      </c>
      <c r="I104" s="118"/>
      <c r="J104" s="175">
        <f>H104/DAY(B2)</f>
        <v>1505.3316666666665</v>
      </c>
      <c r="O104" s="71"/>
    </row>
    <row r="105" spans="1:15" ht="27.75" customHeight="1" thickBot="1">
      <c r="A105" s="857" t="s">
        <v>251</v>
      </c>
      <c r="B105" s="858"/>
      <c r="C105" s="859"/>
      <c r="D105" s="231" t="s">
        <v>23</v>
      </c>
      <c r="E105" s="185"/>
      <c r="F105" s="185"/>
      <c r="G105" s="578">
        <f>G104/G7</f>
        <v>8.7956656346749179E-2</v>
      </c>
      <c r="H105" s="99">
        <f>G105+'17'!H105</f>
        <v>1.4856466114984841</v>
      </c>
      <c r="I105" s="187"/>
      <c r="J105" s="188">
        <f>H105/DAY(B2)</f>
        <v>8.25359228610269E-2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579"/>
      <c r="H106" s="170"/>
      <c r="I106" s="169"/>
      <c r="J106" s="171"/>
      <c r="O106" s="71"/>
    </row>
    <row r="108" spans="1:15" ht="27.75" customHeight="1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7.75" customHeight="1">
      <c r="A109" s="881"/>
      <c r="B109" s="881"/>
    </row>
    <row r="110" spans="1:15" ht="27.75" customHeight="1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 customHeight="1">
      <c r="A111" s="847"/>
      <c r="B111" s="848"/>
      <c r="C111" s="849"/>
      <c r="D111" s="165"/>
      <c r="E111" s="165"/>
      <c r="F111" s="165"/>
      <c r="G111" s="581"/>
      <c r="H111" s="156"/>
      <c r="I111" s="165"/>
      <c r="J111" s="327"/>
    </row>
    <row r="112" spans="1:15" ht="27.75" customHeight="1">
      <c r="A112" s="843" t="s">
        <v>252</v>
      </c>
      <c r="B112" s="844"/>
      <c r="C112" s="845"/>
      <c r="D112" s="146" t="s">
        <v>183</v>
      </c>
      <c r="E112" s="95">
        <f>'17'!F112</f>
        <v>56964</v>
      </c>
      <c r="F112" s="237">
        <v>57044.5</v>
      </c>
      <c r="G112" s="561">
        <f t="shared" ref="G112:G123" si="8">F112-E112</f>
        <v>80.5</v>
      </c>
      <c r="H112" s="99">
        <f>G112+'17'!H112</f>
        <v>1363.5</v>
      </c>
      <c r="I112" s="165"/>
      <c r="J112" s="328">
        <f>H112/DAY(B2)</f>
        <v>75.75</v>
      </c>
    </row>
    <row r="113" spans="1:18" ht="27.75" customHeight="1">
      <c r="A113" s="843" t="s">
        <v>253</v>
      </c>
      <c r="B113" s="844"/>
      <c r="C113" s="845"/>
      <c r="D113" s="146" t="s">
        <v>183</v>
      </c>
      <c r="E113" s="95">
        <f>'17'!F113</f>
        <v>39860.839999999997</v>
      </c>
      <c r="F113" s="237">
        <v>40324.26</v>
      </c>
      <c r="G113" s="561">
        <f t="shared" si="8"/>
        <v>463.42000000000553</v>
      </c>
      <c r="H113" s="99">
        <f>G113+'17'!H113</f>
        <v>8129.260000000002</v>
      </c>
      <c r="I113" s="165"/>
      <c r="J113" s="328">
        <f>H113/DAY(B2)</f>
        <v>451.62555555555565</v>
      </c>
    </row>
    <row r="114" spans="1:18" ht="27.75" customHeight="1">
      <c r="A114" s="843" t="s">
        <v>254</v>
      </c>
      <c r="B114" s="844"/>
      <c r="C114" s="845"/>
      <c r="D114" s="146" t="s">
        <v>183</v>
      </c>
      <c r="E114" s="95">
        <f>'17'!F114</f>
        <v>29371</v>
      </c>
      <c r="F114" s="237">
        <v>29635.1</v>
      </c>
      <c r="G114" s="561">
        <f t="shared" si="8"/>
        <v>264.09999999999854</v>
      </c>
      <c r="H114" s="99">
        <f>G114+'17'!H114</f>
        <v>4630.4999999999982</v>
      </c>
      <c r="I114" s="165"/>
      <c r="J114" s="328">
        <f>H114/DAY(B2)</f>
        <v>257.24999999999989</v>
      </c>
    </row>
    <row r="115" spans="1:18" ht="27.75" customHeight="1">
      <c r="A115" s="843" t="s">
        <v>255</v>
      </c>
      <c r="B115" s="844"/>
      <c r="C115" s="845"/>
      <c r="D115" s="146" t="s">
        <v>183</v>
      </c>
      <c r="E115" s="95">
        <f>'17'!F115</f>
        <v>8958.2000000000007</v>
      </c>
      <c r="F115" s="237">
        <v>8969.3700000000008</v>
      </c>
      <c r="G115" s="561">
        <f t="shared" si="8"/>
        <v>11.170000000000073</v>
      </c>
      <c r="H115" s="99">
        <f>G115+'17'!H115</f>
        <v>184.3700000000008</v>
      </c>
      <c r="I115" s="165"/>
      <c r="J115" s="328">
        <f>H115/DAY(B2)</f>
        <v>10.242777777777823</v>
      </c>
    </row>
    <row r="116" spans="1:18" ht="27.75" customHeight="1">
      <c r="A116" s="850" t="s">
        <v>96</v>
      </c>
      <c r="B116" s="851"/>
      <c r="C116" s="852"/>
      <c r="D116" s="146" t="s">
        <v>183</v>
      </c>
      <c r="E116" s="95">
        <f>'17'!F116</f>
        <v>0</v>
      </c>
      <c r="F116" s="237">
        <v>0</v>
      </c>
      <c r="G116" s="561">
        <f t="shared" si="8"/>
        <v>0</v>
      </c>
      <c r="H116" s="99">
        <f>G116+'17'!H116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27.75" customHeight="1">
      <c r="A117" s="850" t="s">
        <v>184</v>
      </c>
      <c r="B117" s="851"/>
      <c r="C117" s="852"/>
      <c r="D117" s="146" t="s">
        <v>183</v>
      </c>
      <c r="E117" s="95">
        <f>'17'!F117</f>
        <v>2999.97</v>
      </c>
      <c r="F117" s="237">
        <v>3023.11</v>
      </c>
      <c r="G117" s="561">
        <f t="shared" si="8"/>
        <v>23.140000000000327</v>
      </c>
      <c r="H117" s="99">
        <f>G117+'17'!H117</f>
        <v>433.11000000000013</v>
      </c>
      <c r="I117" s="165"/>
      <c r="J117" s="328">
        <f>H117/DAY(B2)</f>
        <v>24.061666666666675</v>
      </c>
      <c r="Q117" s="843" t="s">
        <v>312</v>
      </c>
      <c r="R117" s="845"/>
    </row>
    <row r="118" spans="1:18" ht="27.75" customHeight="1">
      <c r="A118" s="842" t="s">
        <v>97</v>
      </c>
      <c r="B118" s="842"/>
      <c r="C118" s="842"/>
      <c r="D118" s="151" t="s">
        <v>183</v>
      </c>
      <c r="E118" s="95">
        <f>'17'!F118</f>
        <v>247684</v>
      </c>
      <c r="F118" s="237">
        <v>248035.49</v>
      </c>
      <c r="G118" s="561">
        <f t="shared" si="8"/>
        <v>351.48999999999069</v>
      </c>
      <c r="H118" s="99">
        <f>G118+'17'!H118</f>
        <v>6388.4899999999907</v>
      </c>
      <c r="I118" s="165"/>
      <c r="J118" s="328">
        <f>H118/DAY(B2)</f>
        <v>354.91611111111058</v>
      </c>
      <c r="Q118" s="843" t="s">
        <v>311</v>
      </c>
      <c r="R118" s="845"/>
    </row>
    <row r="119" spans="1:18" ht="27.75" customHeight="1">
      <c r="A119" s="842" t="s">
        <v>98</v>
      </c>
      <c r="B119" s="842"/>
      <c r="C119" s="842"/>
      <c r="D119" s="151" t="s">
        <v>183</v>
      </c>
      <c r="E119" s="95">
        <f>'17'!F119</f>
        <v>252241</v>
      </c>
      <c r="F119" s="237">
        <v>252682.05</v>
      </c>
      <c r="G119" s="561">
        <f t="shared" si="8"/>
        <v>441.04999999998836</v>
      </c>
      <c r="H119" s="99">
        <f>G119+'17'!H119</f>
        <v>7556.0499999999884</v>
      </c>
      <c r="I119" s="165"/>
      <c r="J119" s="328">
        <f>H119/DAY(B2)</f>
        <v>419.78055555555488</v>
      </c>
    </row>
    <row r="120" spans="1:18" ht="27.75" customHeight="1">
      <c r="A120" s="842" t="s">
        <v>99</v>
      </c>
      <c r="B120" s="842"/>
      <c r="C120" s="842"/>
      <c r="D120" s="151" t="s">
        <v>183</v>
      </c>
      <c r="E120" s="95">
        <f>'17'!F120</f>
        <v>37145.4</v>
      </c>
      <c r="F120" s="237">
        <v>37580.07</v>
      </c>
      <c r="G120" s="561">
        <f t="shared" si="8"/>
        <v>434.66999999999825</v>
      </c>
      <c r="H120" s="99">
        <f>G120+'17'!H120</f>
        <v>7502.07</v>
      </c>
      <c r="I120" s="165"/>
      <c r="J120" s="328">
        <f>H120/DAY(B2)</f>
        <v>416.78166666666664</v>
      </c>
    </row>
    <row r="121" spans="1:18" ht="27.75" customHeight="1">
      <c r="A121" s="842" t="s">
        <v>100</v>
      </c>
      <c r="B121" s="842"/>
      <c r="C121" s="842"/>
      <c r="D121" s="151" t="s">
        <v>183</v>
      </c>
      <c r="E121" s="95">
        <f>'17'!F121</f>
        <v>388428</v>
      </c>
      <c r="F121" s="237">
        <v>389079</v>
      </c>
      <c r="G121" s="561">
        <f t="shared" si="8"/>
        <v>651</v>
      </c>
      <c r="H121" s="99">
        <f>G121+'17'!H121</f>
        <v>12550</v>
      </c>
      <c r="I121" s="165"/>
      <c r="J121" s="328">
        <f>H121/DAY(B2)</f>
        <v>697.22222222222217</v>
      </c>
    </row>
    <row r="122" spans="1:18" ht="27.75" customHeight="1">
      <c r="A122" s="842" t="s">
        <v>101</v>
      </c>
      <c r="B122" s="842"/>
      <c r="C122" s="842"/>
      <c r="D122" s="151" t="s">
        <v>183</v>
      </c>
      <c r="E122" s="95">
        <f>'17'!F122</f>
        <v>123533.44</v>
      </c>
      <c r="F122" s="237">
        <v>123702</v>
      </c>
      <c r="G122" s="561">
        <f t="shared" si="8"/>
        <v>168.55999999999767</v>
      </c>
      <c r="H122" s="99">
        <f>G122+'17'!H122</f>
        <v>3652</v>
      </c>
      <c r="I122" s="165"/>
      <c r="J122" s="328">
        <f>H122/DAY(B2)</f>
        <v>202.88888888888889</v>
      </c>
    </row>
    <row r="123" spans="1:18" ht="27.75" customHeight="1">
      <c r="A123" s="842" t="s">
        <v>102</v>
      </c>
      <c r="B123" s="842"/>
      <c r="C123" s="842"/>
      <c r="D123" s="151" t="s">
        <v>183</v>
      </c>
      <c r="E123" s="95">
        <f>'17'!F123</f>
        <v>150237.63</v>
      </c>
      <c r="F123" s="237">
        <v>150502.59</v>
      </c>
      <c r="G123" s="561">
        <f t="shared" si="8"/>
        <v>264.95999999999185</v>
      </c>
      <c r="H123" s="99">
        <f>G123+'17'!H123</f>
        <v>5377.5899999999965</v>
      </c>
      <c r="I123" s="165"/>
      <c r="J123" s="328">
        <f>H123/DAY(B2)</f>
        <v>298.75499999999982</v>
      </c>
    </row>
    <row r="124" spans="1:18" ht="27.75" customHeight="1">
      <c r="A124" s="847"/>
      <c r="B124" s="848"/>
      <c r="C124" s="849"/>
      <c r="D124" s="165"/>
      <c r="E124" s="95">
        <f>'17'!F124</f>
        <v>0</v>
      </c>
      <c r="F124" s="165"/>
      <c r="G124" s="581"/>
      <c r="H124" s="99">
        <f>G124+'17'!H124</f>
        <v>0</v>
      </c>
      <c r="I124" s="165"/>
      <c r="J124" s="327"/>
    </row>
    <row r="125" spans="1:18" ht="27.75" customHeight="1">
      <c r="A125" s="827" t="s">
        <v>196</v>
      </c>
      <c r="B125" s="828"/>
      <c r="C125" s="245"/>
      <c r="D125" s="307"/>
      <c r="E125" s="308"/>
      <c r="F125" s="308"/>
      <c r="G125" s="582">
        <f>SUM(G112:G124)</f>
        <v>3154.0599999999713</v>
      </c>
      <c r="H125" s="156"/>
      <c r="I125" s="327">
        <f>G125-(G39+G53)</f>
        <v>607.5699999999697</v>
      </c>
      <c r="J125" s="327"/>
    </row>
    <row r="126" spans="1:18" ht="27.75" customHeight="1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 customHeight="1">
      <c r="A127" s="832"/>
      <c r="B127" s="832"/>
      <c r="C127" s="245"/>
      <c r="D127" s="307"/>
      <c r="E127" s="308"/>
      <c r="F127" s="308"/>
      <c r="G127" s="582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843" t="s">
        <v>318</v>
      </c>
      <c r="B128" s="844"/>
      <c r="C128" s="845"/>
      <c r="D128" s="151" t="s">
        <v>183</v>
      </c>
      <c r="E128" s="95">
        <f>'17'!F128</f>
        <v>43403.9</v>
      </c>
      <c r="F128" s="165">
        <v>43694.22</v>
      </c>
      <c r="G128" s="561">
        <f t="shared" ref="G128:G134" si="9">F128-E128</f>
        <v>290.31999999999971</v>
      </c>
      <c r="H128" s="99">
        <f>G128+'17'!H128</f>
        <v>5690.2200000000012</v>
      </c>
      <c r="I128" s="165"/>
      <c r="J128" s="328">
        <f>H128/DAY(B2)</f>
        <v>316.12333333333339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24083.9</v>
      </c>
      <c r="F129" s="165">
        <v>24341.02</v>
      </c>
      <c r="G129" s="561">
        <f t="shared" si="9"/>
        <v>257.11999999999898</v>
      </c>
      <c r="H129" s="99">
        <f>G129+'17'!H129</f>
        <v>4020.0200000000004</v>
      </c>
      <c r="I129" s="165"/>
      <c r="J129" s="328">
        <f>H129/DAY(B2)</f>
        <v>223.33444444444447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28449.45</v>
      </c>
      <c r="F130" s="165">
        <v>28966.26</v>
      </c>
      <c r="G130" s="561">
        <f t="shared" si="9"/>
        <v>516.80999999999767</v>
      </c>
      <c r="H130" s="99">
        <f>G130+'17'!H130</f>
        <v>10584.259999999998</v>
      </c>
      <c r="I130" s="165"/>
      <c r="J130" s="328">
        <f>H130/DAY(B2)</f>
        <v>588.01444444444439</v>
      </c>
      <c r="N130" s="240"/>
      <c r="O130" s="241"/>
    </row>
    <row r="131" spans="1:15" ht="27.75" customHeight="1">
      <c r="A131" s="843" t="s">
        <v>321</v>
      </c>
      <c r="B131" s="844"/>
      <c r="C131" s="845"/>
      <c r="D131" s="151" t="s">
        <v>183</v>
      </c>
      <c r="E131" s="95">
        <f>'17'!F131</f>
        <v>14365.97</v>
      </c>
      <c r="F131" s="158">
        <v>14447.42</v>
      </c>
      <c r="G131" s="561">
        <f t="shared" si="9"/>
        <v>81.450000000000728</v>
      </c>
      <c r="H131" s="99">
        <f>G131+'17'!H131</f>
        <v>1294.42</v>
      </c>
      <c r="I131" s="165"/>
      <c r="J131" s="328">
        <f>H131/DAY(B2)</f>
        <v>71.912222222222226</v>
      </c>
      <c r="N131" s="240"/>
      <c r="O131" s="241"/>
    </row>
    <row r="132" spans="1:15" ht="27.75" customHeight="1">
      <c r="A132" s="843" t="s">
        <v>322</v>
      </c>
      <c r="B132" s="844"/>
      <c r="C132" s="845"/>
      <c r="D132" s="151" t="s">
        <v>183</v>
      </c>
      <c r="E132" s="95">
        <f>'17'!F132</f>
        <v>49304</v>
      </c>
      <c r="F132" s="158">
        <v>49682.7</v>
      </c>
      <c r="G132" s="561">
        <f t="shared" si="9"/>
        <v>378.69999999999709</v>
      </c>
      <c r="H132" s="99">
        <f>G132+'17'!H132</f>
        <v>8659.6999999999971</v>
      </c>
      <c r="I132" s="165"/>
      <c r="J132" s="328">
        <f>H132/DAY(B2)</f>
        <v>481.09444444444426</v>
      </c>
    </row>
    <row r="133" spans="1:15" ht="27.75" customHeight="1">
      <c r="A133" s="843" t="s">
        <v>362</v>
      </c>
      <c r="B133" s="844"/>
      <c r="C133" s="845"/>
      <c r="D133" s="151" t="s">
        <v>183</v>
      </c>
      <c r="E133" s="95">
        <f>'17'!F133</f>
        <v>98082.6</v>
      </c>
      <c r="F133" s="165">
        <v>98583.4</v>
      </c>
      <c r="G133" s="561">
        <f t="shared" si="9"/>
        <v>500.79999999998836</v>
      </c>
      <c r="H133" s="99">
        <f>G133+'17'!H133</f>
        <v>10880.399999999994</v>
      </c>
      <c r="I133" s="165"/>
      <c r="J133" s="328">
        <f>H133/DAY(B2)</f>
        <v>604.46666666666636</v>
      </c>
    </row>
    <row r="134" spans="1:15" ht="27.75" customHeight="1">
      <c r="A134" s="843" t="s">
        <v>340</v>
      </c>
      <c r="B134" s="844"/>
      <c r="C134" s="845"/>
      <c r="D134" s="151" t="s">
        <v>183</v>
      </c>
      <c r="E134" s="95">
        <f>'17'!F134</f>
        <v>6179</v>
      </c>
      <c r="F134" s="158">
        <v>6368.93</v>
      </c>
      <c r="G134" s="561">
        <f t="shared" si="9"/>
        <v>189.93000000000029</v>
      </c>
      <c r="H134" s="99">
        <f>G134+'17'!H134</f>
        <v>8662.93</v>
      </c>
      <c r="I134" s="165"/>
      <c r="J134" s="328">
        <f>H134/DAY(B2)</f>
        <v>481.27388888888891</v>
      </c>
    </row>
    <row r="135" spans="1:15" ht="27.75" customHeight="1">
      <c r="A135" s="827" t="s">
        <v>196</v>
      </c>
      <c r="B135" s="828"/>
      <c r="C135" s="331"/>
      <c r="D135" s="151"/>
      <c r="E135" s="95"/>
      <c r="F135" s="165"/>
      <c r="G135" s="561">
        <f>SUM(G128:G134)</f>
        <v>2215.1299999999828</v>
      </c>
      <c r="H135" s="99">
        <f>G135+'10'!H135</f>
        <v>33439.129999999983</v>
      </c>
      <c r="I135" s="327">
        <f>G135-(G35+G49)</f>
        <v>-419.35000000001673</v>
      </c>
      <c r="J135" s="328"/>
    </row>
    <row r="136" spans="1:15" ht="27.75" customHeight="1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7.75" customHeight="1">
      <c r="A137" s="245"/>
      <c r="B137" s="246"/>
      <c r="C137" s="246"/>
      <c r="D137" s="165"/>
      <c r="E137" s="165"/>
      <c r="F137" s="165"/>
      <c r="G137" s="581"/>
      <c r="H137" s="156"/>
      <c r="I137" s="165"/>
      <c r="J137" s="327"/>
    </row>
    <row r="138" spans="1:15" ht="27.75" customHeight="1">
      <c r="A138" s="842" t="s">
        <v>185</v>
      </c>
      <c r="B138" s="842"/>
      <c r="C138" s="842"/>
      <c r="D138" s="151" t="s">
        <v>183</v>
      </c>
      <c r="E138" s="95">
        <f>'17'!F138</f>
        <v>865229</v>
      </c>
      <c r="F138" s="147">
        <v>865289</v>
      </c>
      <c r="G138" s="561">
        <f t="shared" ref="G138:G152" si="10">F138-E138</f>
        <v>60</v>
      </c>
      <c r="H138" s="99">
        <f>G138+'17'!H138</f>
        <v>1118</v>
      </c>
      <c r="I138" s="118"/>
      <c r="J138" s="328">
        <f>H138/DAY(B2)</f>
        <v>62.111111111111114</v>
      </c>
    </row>
    <row r="139" spans="1:15" ht="27.75" customHeight="1">
      <c r="A139" s="842" t="s">
        <v>186</v>
      </c>
      <c r="B139" s="842"/>
      <c r="C139" s="842"/>
      <c r="D139" s="151" t="s">
        <v>183</v>
      </c>
      <c r="E139" s="95">
        <f>'17'!F139</f>
        <v>886550</v>
      </c>
      <c r="F139" s="148">
        <v>886551</v>
      </c>
      <c r="G139" s="561">
        <f t="shared" si="10"/>
        <v>1</v>
      </c>
      <c r="H139" s="99">
        <f>G139+'17'!H139</f>
        <v>5</v>
      </c>
      <c r="I139" s="118"/>
      <c r="J139" s="328">
        <f>H139/DAY(B2)</f>
        <v>0.27777777777777779</v>
      </c>
    </row>
    <row r="140" spans="1:15" ht="27.75" customHeight="1">
      <c r="A140" s="842" t="s">
        <v>187</v>
      </c>
      <c r="B140" s="842"/>
      <c r="C140" s="842"/>
      <c r="D140" s="151" t="s">
        <v>183</v>
      </c>
      <c r="E140" s="95">
        <f>'17'!F140</f>
        <v>88898</v>
      </c>
      <c r="F140" s="149">
        <v>88898</v>
      </c>
      <c r="G140" s="561">
        <f t="shared" si="10"/>
        <v>0</v>
      </c>
      <c r="H140" s="99">
        <f>G140+'17'!H140</f>
        <v>16</v>
      </c>
      <c r="I140" s="118"/>
      <c r="J140" s="328">
        <f>H140/DAY(B2)</f>
        <v>0.88888888888888884</v>
      </c>
    </row>
    <row r="141" spans="1:15" ht="27.75" customHeight="1">
      <c r="A141" s="823" t="s">
        <v>188</v>
      </c>
      <c r="B141" s="823"/>
      <c r="C141" s="823"/>
      <c r="D141" s="151" t="s">
        <v>183</v>
      </c>
      <c r="E141" s="95">
        <f>'17'!F141</f>
        <v>52234.8</v>
      </c>
      <c r="F141" s="149">
        <v>52406.65</v>
      </c>
      <c r="G141" s="561">
        <f t="shared" si="10"/>
        <v>171.84999999999854</v>
      </c>
      <c r="H141" s="99">
        <f>G141+'17'!H141</f>
        <v>3100.6500000000015</v>
      </c>
      <c r="I141" s="118"/>
      <c r="J141" s="328">
        <f>H141/DAY(B2)</f>
        <v>172.25833333333341</v>
      </c>
    </row>
    <row r="142" spans="1:15" ht="27.75" customHeight="1">
      <c r="A142" s="823" t="s">
        <v>189</v>
      </c>
      <c r="B142" s="823"/>
      <c r="C142" s="823"/>
      <c r="D142" s="151" t="s">
        <v>183</v>
      </c>
      <c r="E142" s="95">
        <f>'17'!F142</f>
        <v>20197.09</v>
      </c>
      <c r="F142" s="148">
        <v>20277.63</v>
      </c>
      <c r="G142" s="561">
        <f t="shared" si="10"/>
        <v>80.540000000000873</v>
      </c>
      <c r="H142" s="99">
        <f>G142+'17'!H142</f>
        <v>1268.630000000001</v>
      </c>
      <c r="I142" s="140"/>
      <c r="J142" s="328">
        <f>H142/DAY(B2)</f>
        <v>70.479444444444496</v>
      </c>
    </row>
    <row r="143" spans="1:15" ht="27.75" customHeight="1">
      <c r="A143" s="842" t="s">
        <v>91</v>
      </c>
      <c r="B143" s="842"/>
      <c r="C143" s="842"/>
      <c r="D143" s="151" t="s">
        <v>183</v>
      </c>
      <c r="E143" s="95">
        <f>'17'!F143</f>
        <v>3466.51</v>
      </c>
      <c r="F143" s="149">
        <v>3491.46</v>
      </c>
      <c r="G143" s="561">
        <f t="shared" si="10"/>
        <v>24.949999999999818</v>
      </c>
      <c r="H143" s="99">
        <f>G143+'17'!H143</f>
        <v>430.46000000000004</v>
      </c>
      <c r="I143" s="140"/>
      <c r="J143" s="328">
        <f>H143/DAY(B2)</f>
        <v>23.914444444444445</v>
      </c>
    </row>
    <row r="144" spans="1:15" ht="27.75" customHeight="1">
      <c r="A144" s="823" t="s">
        <v>90</v>
      </c>
      <c r="B144" s="823"/>
      <c r="C144" s="823"/>
      <c r="D144" s="151" t="s">
        <v>183</v>
      </c>
      <c r="E144" s="95">
        <f>'17'!F144</f>
        <v>873523</v>
      </c>
      <c r="F144" s="149">
        <v>873743</v>
      </c>
      <c r="G144" s="561">
        <f t="shared" si="10"/>
        <v>220</v>
      </c>
      <c r="H144" s="99">
        <f>G144+'17'!H144</f>
        <v>4073</v>
      </c>
      <c r="I144" s="140"/>
      <c r="J144" s="328">
        <f>H144/DAY(B2)</f>
        <v>226.27777777777777</v>
      </c>
    </row>
    <row r="145" spans="1:10" ht="27.75" customHeight="1">
      <c r="A145" s="842" t="s">
        <v>190</v>
      </c>
      <c r="B145" s="842"/>
      <c r="C145" s="842"/>
      <c r="D145" s="152" t="s">
        <v>183</v>
      </c>
      <c r="E145" s="95">
        <f>'17'!F145</f>
        <v>4812.34</v>
      </c>
      <c r="F145" s="149">
        <v>4827.1899999999996</v>
      </c>
      <c r="G145" s="561">
        <f t="shared" si="10"/>
        <v>14.849999999999454</v>
      </c>
      <c r="H145" s="99">
        <f>G145+'17'!H145</f>
        <v>269.1899999999996</v>
      </c>
      <c r="I145" s="140"/>
      <c r="J145" s="328">
        <f>H145/DAY(B2)</f>
        <v>14.954999999999977</v>
      </c>
    </row>
    <row r="146" spans="1:10" ht="27.75" customHeight="1">
      <c r="A146" s="877" t="s">
        <v>191</v>
      </c>
      <c r="B146" s="862"/>
      <c r="C146" s="863"/>
      <c r="D146" s="152" t="s">
        <v>183</v>
      </c>
      <c r="E146" s="95">
        <f>'17'!F146</f>
        <v>731756</v>
      </c>
      <c r="F146" s="148">
        <v>732122</v>
      </c>
      <c r="G146" s="561">
        <f t="shared" si="10"/>
        <v>366</v>
      </c>
      <c r="H146" s="99">
        <f>G146+'17'!H146</f>
        <v>7264</v>
      </c>
      <c r="I146" s="140"/>
      <c r="J146" s="328">
        <f>H146/DAY(B2)</f>
        <v>403.55555555555554</v>
      </c>
    </row>
    <row r="147" spans="1:10" ht="27.75" customHeight="1">
      <c r="A147" s="823" t="s">
        <v>192</v>
      </c>
      <c r="B147" s="823"/>
      <c r="C147" s="823"/>
      <c r="D147" s="152" t="s">
        <v>183</v>
      </c>
      <c r="E147" s="95">
        <f>'17'!F147</f>
        <v>621509</v>
      </c>
      <c r="F147" s="148">
        <v>621813.56000000006</v>
      </c>
      <c r="G147" s="561">
        <f t="shared" si="10"/>
        <v>304.56000000005588</v>
      </c>
      <c r="H147" s="99">
        <f>G147+'17'!H147</f>
        <v>6531.5600000000559</v>
      </c>
      <c r="I147" s="140"/>
      <c r="J147" s="328">
        <f>H147/DAY(B2)</f>
        <v>362.86444444444754</v>
      </c>
    </row>
    <row r="148" spans="1:10" ht="27.75" customHeight="1">
      <c r="A148" s="824" t="s">
        <v>193</v>
      </c>
      <c r="B148" s="825"/>
      <c r="C148" s="826"/>
      <c r="D148" s="123" t="s">
        <v>130</v>
      </c>
      <c r="E148" s="95">
        <f>'17'!F148</f>
        <v>686860</v>
      </c>
      <c r="F148" s="150">
        <v>687015.44</v>
      </c>
      <c r="G148" s="561">
        <f t="shared" si="10"/>
        <v>155.43999999994412</v>
      </c>
      <c r="H148" s="99">
        <f>G148+'17'!H148</f>
        <v>3982.3199999999488</v>
      </c>
      <c r="I148" s="124"/>
      <c r="J148" s="328">
        <f>H148/DAY(B2)</f>
        <v>221.23999999999717</v>
      </c>
    </row>
    <row r="149" spans="1:10" ht="27.75" customHeight="1">
      <c r="A149" s="824" t="s">
        <v>336</v>
      </c>
      <c r="B149" s="825"/>
      <c r="C149" s="826"/>
      <c r="D149" s="227" t="s">
        <v>130</v>
      </c>
      <c r="E149" s="95">
        <f>'17'!F149</f>
        <v>17791.439999999999</v>
      </c>
      <c r="F149" s="146">
        <v>18255.259999999998</v>
      </c>
      <c r="G149" s="561">
        <f t="shared" si="10"/>
        <v>463.81999999999971</v>
      </c>
      <c r="H149" s="99">
        <f>G149+'17'!H149</f>
        <v>7506.2599999999984</v>
      </c>
      <c r="I149" s="119"/>
      <c r="J149" s="328">
        <f>H149/DAY(B2)</f>
        <v>417.01444444444434</v>
      </c>
    </row>
    <row r="150" spans="1:10" ht="27.75" customHeight="1">
      <c r="A150" s="824" t="s">
        <v>337</v>
      </c>
      <c r="B150" s="825"/>
      <c r="C150" s="826"/>
      <c r="D150" s="117" t="s">
        <v>130</v>
      </c>
      <c r="E150" s="95">
        <f>'17'!F150</f>
        <v>7752.4</v>
      </c>
      <c r="F150" s="233">
        <v>7974.99</v>
      </c>
      <c r="G150" s="561">
        <f t="shared" si="10"/>
        <v>222.59000000000015</v>
      </c>
      <c r="H150" s="99">
        <f>G150+'17'!H150</f>
        <v>3922.99</v>
      </c>
      <c r="I150" s="119"/>
      <c r="J150" s="328">
        <f>H150/DAY(B2)</f>
        <v>217.94388888888886</v>
      </c>
    </row>
    <row r="151" spans="1:10" ht="27.75" customHeight="1">
      <c r="A151" s="824" t="s">
        <v>338</v>
      </c>
      <c r="B151" s="825"/>
      <c r="C151" s="826"/>
      <c r="D151" s="117" t="s">
        <v>130</v>
      </c>
      <c r="E151" s="95">
        <f>'17'!F151</f>
        <v>82156</v>
      </c>
      <c r="F151" s="233">
        <v>82410</v>
      </c>
      <c r="G151" s="561">
        <f t="shared" si="10"/>
        <v>254</v>
      </c>
      <c r="H151" s="99">
        <f>G151+'17'!H151</f>
        <v>4193</v>
      </c>
      <c r="I151" s="119"/>
      <c r="J151" s="328">
        <f>H151/DAY(B2)</f>
        <v>232.94444444444446</v>
      </c>
    </row>
    <row r="152" spans="1:10" ht="27.75" customHeight="1">
      <c r="A152" s="824" t="s">
        <v>339</v>
      </c>
      <c r="B152" s="825"/>
      <c r="C152" s="826"/>
      <c r="D152" s="117" t="s">
        <v>130</v>
      </c>
      <c r="E152" s="95">
        <f>'17'!F152</f>
        <v>1419.9</v>
      </c>
      <c r="F152" s="233">
        <v>1435.92</v>
      </c>
      <c r="G152" s="561">
        <f t="shared" si="10"/>
        <v>16.019999999999982</v>
      </c>
      <c r="H152" s="99">
        <f>G152+'17'!H152</f>
        <v>308.92000000000007</v>
      </c>
      <c r="I152" s="119"/>
      <c r="J152" s="328">
        <f>H152/DAY(B2)</f>
        <v>17.162222222222226</v>
      </c>
    </row>
    <row r="153" spans="1:10" ht="27.75" customHeight="1">
      <c r="A153" s="827" t="s">
        <v>196</v>
      </c>
      <c r="B153" s="828"/>
      <c r="C153" s="365"/>
      <c r="D153" s="358"/>
      <c r="E153" s="360"/>
      <c r="F153" s="361"/>
      <c r="G153" s="583">
        <f>SUM(G138:G152)</f>
        <v>2355.6199999999985</v>
      </c>
      <c r="H153" s="363"/>
      <c r="I153" s="119">
        <f>G153-(G38+G52)</f>
        <v>659.31999999999925</v>
      </c>
      <c r="J153" s="366"/>
    </row>
    <row r="154" spans="1:10" ht="27.75" customHeight="1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27.75" customHeight="1">
      <c r="A155" s="823" t="s">
        <v>345</v>
      </c>
      <c r="B155" s="823"/>
      <c r="C155" s="823"/>
      <c r="D155" s="117" t="s">
        <v>130</v>
      </c>
      <c r="E155" s="95">
        <f>'17'!F155</f>
        <v>23303</v>
      </c>
      <c r="F155" s="473">
        <v>23908.77</v>
      </c>
      <c r="G155" s="561">
        <f t="shared" ref="G155:G157" si="11">F155-E155</f>
        <v>605.77000000000044</v>
      </c>
      <c r="H155" s="99">
        <f>G155+'17'!H155</f>
        <v>10436.77</v>
      </c>
      <c r="I155" s="364"/>
      <c r="J155" s="328">
        <f>H155/DAY(B2)</f>
        <v>579.82055555555553</v>
      </c>
    </row>
    <row r="156" spans="1:10" ht="27.75" customHeight="1">
      <c r="A156" s="823" t="s">
        <v>347</v>
      </c>
      <c r="B156" s="823"/>
      <c r="C156" s="823"/>
      <c r="D156" s="117" t="s">
        <v>130</v>
      </c>
      <c r="E156" s="95">
        <f>'17'!F156</f>
        <v>1954</v>
      </c>
      <c r="F156" s="165">
        <v>2010.05</v>
      </c>
      <c r="G156" s="561">
        <f t="shared" si="11"/>
        <v>56.049999999999955</v>
      </c>
      <c r="H156" s="99">
        <f>G156+'17'!H156</f>
        <v>922.05</v>
      </c>
      <c r="I156" s="165"/>
      <c r="J156" s="328">
        <f>H156/DAY(B2)</f>
        <v>51.224999999999994</v>
      </c>
    </row>
    <row r="157" spans="1:10" ht="27.75" customHeight="1">
      <c r="A157" s="824" t="s">
        <v>364</v>
      </c>
      <c r="B157" s="825"/>
      <c r="C157" s="826"/>
      <c r="D157" s="117" t="s">
        <v>130</v>
      </c>
      <c r="E157" s="95">
        <f>'17'!F157</f>
        <v>2516.1329999999998</v>
      </c>
      <c r="F157" s="165">
        <v>2598.1799999999998</v>
      </c>
      <c r="G157" s="561">
        <f t="shared" si="11"/>
        <v>82.047000000000025</v>
      </c>
      <c r="H157" s="99">
        <f>G157+'17'!H157</f>
        <v>667.17999999999984</v>
      </c>
      <c r="I157" s="165"/>
      <c r="J157" s="328">
        <f>H157/DAY(B2)</f>
        <v>37.065555555555548</v>
      </c>
    </row>
    <row r="158" spans="1:10" ht="27.75" customHeight="1">
      <c r="A158" s="824" t="s">
        <v>365</v>
      </c>
      <c r="B158" s="825"/>
      <c r="C158" s="826"/>
      <c r="D158" s="117" t="s">
        <v>130</v>
      </c>
      <c r="E158" s="95">
        <f>'17'!F158</f>
        <v>23.34</v>
      </c>
      <c r="F158" s="165">
        <v>23.34</v>
      </c>
      <c r="G158" s="561">
        <f t="shared" ref="G158" si="12">F158-E158</f>
        <v>0</v>
      </c>
      <c r="H158" s="99">
        <f>G158+'17'!H158</f>
        <v>23.34</v>
      </c>
      <c r="I158" s="165"/>
      <c r="J158" s="328">
        <f>H158/DAY(B2)</f>
        <v>1.2966666666666666</v>
      </c>
    </row>
    <row r="159" spans="1:10" ht="27.75" customHeight="1">
      <c r="A159" s="907"/>
      <c r="B159" s="908"/>
      <c r="C159" s="909"/>
      <c r="D159" s="117"/>
      <c r="E159" s="95"/>
      <c r="F159" s="165"/>
      <c r="G159" s="561"/>
      <c r="H159" s="99"/>
      <c r="I159" s="165"/>
      <c r="J159" s="328"/>
    </row>
    <row r="160" spans="1:10" ht="27.75" customHeight="1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471446</v>
      </c>
      <c r="F161" s="235">
        <v>471453.56</v>
      </c>
      <c r="G161" s="584">
        <f t="shared" ref="G161:G165" si="13">F161-E161</f>
        <v>7.5599999999976717</v>
      </c>
      <c r="H161" s="99">
        <f>G161+'17'!H161</f>
        <v>300.40000000002328</v>
      </c>
      <c r="I161" s="236"/>
      <c r="J161" s="239">
        <f>H161/DAY(B2)</f>
        <v>16.688888888890183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88053</v>
      </c>
      <c r="F162" s="235">
        <v>88093.3</v>
      </c>
      <c r="G162" s="584">
        <f t="shared" si="13"/>
        <v>40.30000000000291</v>
      </c>
      <c r="H162" s="99">
        <f>G162+'17'!H162</f>
        <v>523.30000000000291</v>
      </c>
      <c r="I162" s="236"/>
      <c r="J162" s="239">
        <f>H162/DAY(B2)</f>
        <v>29.072222222222383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78572.7</v>
      </c>
      <c r="F163" s="235">
        <v>78635.5</v>
      </c>
      <c r="G163" s="584">
        <f t="shared" si="13"/>
        <v>62.80000000000291</v>
      </c>
      <c r="H163" s="99">
        <f>G163+'17'!H163</f>
        <v>810.5</v>
      </c>
      <c r="I163" s="236"/>
      <c r="J163" s="239">
        <f>H163/DAY(B2)</f>
        <v>45.027777777777779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4270.8999999999996</v>
      </c>
      <c r="F164" s="235">
        <v>4280</v>
      </c>
      <c r="G164" s="584">
        <f t="shared" si="13"/>
        <v>9.1000000000003638</v>
      </c>
      <c r="H164" s="99">
        <f>G164+'17'!H164</f>
        <v>38</v>
      </c>
      <c r="I164" s="236"/>
      <c r="J164" s="239">
        <f>H164/DAY(B2)</f>
        <v>2.1111111111111112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29754.45</v>
      </c>
      <c r="F165" s="235">
        <v>29763.9</v>
      </c>
      <c r="G165" s="584">
        <f t="shared" si="13"/>
        <v>9.4500000000007276</v>
      </c>
      <c r="H165" s="99">
        <f>G165+'17'!H165</f>
        <v>117.90000000000146</v>
      </c>
      <c r="I165" s="236"/>
      <c r="J165" s="239">
        <f>H165/DAY(B2)</f>
        <v>6.5500000000000806</v>
      </c>
    </row>
    <row r="166" spans="1:10" ht="27.75" customHeight="1">
      <c r="A166" s="832"/>
      <c r="B166" s="832"/>
      <c r="C166" s="246"/>
      <c r="D166" s="244" t="s">
        <v>180</v>
      </c>
      <c r="E166" s="95">
        <f>'17'!F166</f>
        <v>0</v>
      </c>
      <c r="F166" s="165"/>
      <c r="G166" s="581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832"/>
      <c r="B167" s="832"/>
      <c r="C167" s="246"/>
      <c r="D167" s="244" t="s">
        <v>180</v>
      </c>
      <c r="E167" s="95">
        <f>'17'!F167</f>
        <v>0</v>
      </c>
      <c r="F167" s="165"/>
      <c r="G167" s="581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832"/>
      <c r="B168" s="832"/>
      <c r="C168" s="246"/>
      <c r="D168" s="244" t="s">
        <v>180</v>
      </c>
      <c r="E168" s="95">
        <f>'17'!F168</f>
        <v>0</v>
      </c>
      <c r="F168" s="165"/>
      <c r="G168" s="581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 customHeight="1">
      <c r="A172" s="840"/>
      <c r="B172" s="841"/>
      <c r="C172" s="332"/>
      <c r="D172" s="228"/>
      <c r="E172" s="155"/>
      <c r="F172" s="155"/>
      <c r="G172" s="585"/>
      <c r="H172" s="156"/>
      <c r="I172" s="155"/>
      <c r="J172" s="178"/>
    </row>
    <row r="173" spans="1:10" ht="27.75" customHeight="1">
      <c r="A173" s="836" t="s">
        <v>209</v>
      </c>
      <c r="B173" s="837"/>
      <c r="C173" s="333"/>
      <c r="D173" s="228" t="s">
        <v>142</v>
      </c>
      <c r="E173" s="95">
        <f>'17'!F173</f>
        <v>8126</v>
      </c>
      <c r="F173" s="155">
        <v>8126</v>
      </c>
      <c r="G173" s="585">
        <f>F173-E173</f>
        <v>0</v>
      </c>
      <c r="H173" s="99">
        <f>G173+'17'!H173</f>
        <v>0</v>
      </c>
      <c r="I173" s="155"/>
      <c r="J173" s="178">
        <f>H173/DAY(B2)</f>
        <v>0</v>
      </c>
    </row>
    <row r="174" spans="1:10" ht="27.75" customHeight="1">
      <c r="A174" s="836" t="s">
        <v>75</v>
      </c>
      <c r="B174" s="837"/>
      <c r="C174" s="333"/>
      <c r="D174" s="228" t="s">
        <v>142</v>
      </c>
      <c r="E174" s="95">
        <f>'17'!F174</f>
        <v>38444</v>
      </c>
      <c r="F174" s="157">
        <v>38457</v>
      </c>
      <c r="G174" s="585">
        <f t="shared" ref="G174:G175" si="14">F174-E174</f>
        <v>13</v>
      </c>
      <c r="H174" s="99">
        <f>G174+'17'!H174</f>
        <v>164</v>
      </c>
      <c r="I174" s="155"/>
      <c r="J174" s="178">
        <f>H174/DAY(B2)</f>
        <v>9.1111111111111107</v>
      </c>
    </row>
    <row r="175" spans="1:10" ht="27.75" customHeight="1">
      <c r="A175" s="836" t="s">
        <v>76</v>
      </c>
      <c r="B175" s="876"/>
      <c r="C175" s="837"/>
      <c r="D175" s="228" t="s">
        <v>142</v>
      </c>
      <c r="E175" s="95">
        <f>'17'!F175</f>
        <v>21673</v>
      </c>
      <c r="F175" s="155">
        <v>21683</v>
      </c>
      <c r="G175" s="585">
        <f t="shared" si="14"/>
        <v>10</v>
      </c>
      <c r="H175" s="99">
        <f>G175+'17'!H175</f>
        <v>165</v>
      </c>
      <c r="I175" s="155"/>
      <c r="J175" s="178">
        <f>H175/DAY(B2)</f>
        <v>9.1666666666666661</v>
      </c>
    </row>
    <row r="176" spans="1:10" ht="27.75" customHeight="1">
      <c r="A176" s="827" t="s">
        <v>196</v>
      </c>
      <c r="B176" s="828"/>
      <c r="C176" s="485"/>
      <c r="D176" s="228" t="s">
        <v>142</v>
      </c>
      <c r="E176" s="95"/>
      <c r="F176" s="155"/>
      <c r="G176" s="585">
        <f>SUM(G173:G175)</f>
        <v>23</v>
      </c>
      <c r="H176" s="99">
        <f>G176+'17'!H176</f>
        <v>329</v>
      </c>
      <c r="I176" s="155"/>
      <c r="J176" s="178">
        <f>H176/DAY(B2)</f>
        <v>18.277777777777779</v>
      </c>
    </row>
    <row r="177" spans="1:11" ht="27.75" customHeight="1">
      <c r="A177" s="836" t="s">
        <v>77</v>
      </c>
      <c r="B177" s="837"/>
      <c r="C177" s="333"/>
      <c r="D177" s="228" t="s">
        <v>142</v>
      </c>
      <c r="E177" s="95"/>
      <c r="F177" s="155"/>
      <c r="G177" s="585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36" t="s">
        <v>210</v>
      </c>
      <c r="B178" s="837"/>
      <c r="C178" s="333"/>
      <c r="D178" s="228" t="s">
        <v>142</v>
      </c>
      <c r="E178" s="95">
        <f>'17'!F178</f>
        <v>80589</v>
      </c>
      <c r="F178" s="155">
        <v>80653</v>
      </c>
      <c r="G178" s="585">
        <f>F178-E178</f>
        <v>64</v>
      </c>
      <c r="H178" s="99">
        <f>G178+'17'!H178</f>
        <v>1039</v>
      </c>
      <c r="I178" s="155"/>
      <c r="J178" s="178">
        <f>H178/DAY(B2)</f>
        <v>57.722222222222221</v>
      </c>
    </row>
    <row r="179" spans="1:11" ht="27.75" customHeight="1">
      <c r="A179" s="836" t="s">
        <v>211</v>
      </c>
      <c r="B179" s="837"/>
      <c r="C179" s="333"/>
      <c r="D179" s="228" t="s">
        <v>142</v>
      </c>
      <c r="E179" s="95">
        <f>'17'!F179</f>
        <v>34278</v>
      </c>
      <c r="F179" s="155">
        <v>34332</v>
      </c>
      <c r="G179" s="585">
        <f t="shared" ref="G179:G180" si="15">F179-E179</f>
        <v>54</v>
      </c>
      <c r="H179" s="99">
        <f>G179+'17'!H179</f>
        <v>417</v>
      </c>
      <c r="I179" s="155"/>
      <c r="J179" s="178">
        <f>H179/DAY(B2)</f>
        <v>23.166666666666668</v>
      </c>
    </row>
    <row r="180" spans="1:11" ht="27.75" customHeight="1">
      <c r="A180" s="836" t="s">
        <v>212</v>
      </c>
      <c r="B180" s="837"/>
      <c r="C180" s="333"/>
      <c r="D180" s="228" t="s">
        <v>142</v>
      </c>
      <c r="E180" s="95">
        <f>'17'!F180</f>
        <v>5596</v>
      </c>
      <c r="F180" s="155">
        <v>5611</v>
      </c>
      <c r="G180" s="585">
        <f t="shared" si="15"/>
        <v>15</v>
      </c>
      <c r="H180" s="99">
        <f>G180+'17'!H180</f>
        <v>134</v>
      </c>
      <c r="I180" s="155"/>
      <c r="J180" s="178">
        <f>H180/DAY(B2)</f>
        <v>7.4444444444444446</v>
      </c>
    </row>
    <row r="181" spans="1:11" ht="27.75" customHeight="1">
      <c r="A181" s="838" t="s">
        <v>108</v>
      </c>
      <c r="B181" s="839"/>
      <c r="C181" s="485"/>
      <c r="D181" s="228" t="s">
        <v>142</v>
      </c>
      <c r="E181" s="95"/>
      <c r="F181" s="155"/>
      <c r="G181" s="585">
        <f>SUM(G178:G180)</f>
        <v>133</v>
      </c>
      <c r="H181" s="99">
        <f>G181+'17'!H181</f>
        <v>1590</v>
      </c>
      <c r="I181" s="155"/>
      <c r="J181" s="178">
        <f>H181/DAY(B2)</f>
        <v>88.333333333333329</v>
      </c>
    </row>
    <row r="182" spans="1:11" ht="27.75" customHeight="1">
      <c r="A182" s="836" t="s">
        <v>213</v>
      </c>
      <c r="B182" s="837"/>
      <c r="C182" s="333"/>
      <c r="D182" s="228" t="s">
        <v>142</v>
      </c>
      <c r="E182" s="95"/>
      <c r="F182" s="155"/>
      <c r="G182" s="585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36" t="s">
        <v>214</v>
      </c>
      <c r="B183" s="837"/>
      <c r="C183" s="334"/>
      <c r="D183" s="228" t="s">
        <v>142</v>
      </c>
      <c r="E183" s="95">
        <f>'17'!F183</f>
        <v>15146</v>
      </c>
      <c r="F183" s="157">
        <v>15161</v>
      </c>
      <c r="G183" s="586">
        <f>F183-E183</f>
        <v>15</v>
      </c>
      <c r="H183" s="99">
        <f>G183+'17'!H183</f>
        <v>214</v>
      </c>
      <c r="I183" s="155"/>
      <c r="J183" s="178">
        <f>H183/DAY(B2)</f>
        <v>11.888888888888889</v>
      </c>
    </row>
    <row r="184" spans="1:11" ht="27.75" customHeight="1">
      <c r="A184" s="836" t="s">
        <v>215</v>
      </c>
      <c r="B184" s="837"/>
      <c r="C184" s="334"/>
      <c r="D184" s="228" t="s">
        <v>142</v>
      </c>
      <c r="E184" s="95">
        <f>'17'!F184</f>
        <v>10411</v>
      </c>
      <c r="F184" s="157">
        <v>10415</v>
      </c>
      <c r="G184" s="586">
        <f t="shared" ref="G184:G185" si="16">F184-E184</f>
        <v>4</v>
      </c>
      <c r="H184" s="99">
        <f>G184+'17'!H184</f>
        <v>114</v>
      </c>
      <c r="I184" s="155"/>
      <c r="J184" s="178">
        <f>H184/DAY(B2)</f>
        <v>6.333333333333333</v>
      </c>
    </row>
    <row r="185" spans="1:11" ht="27.75" customHeight="1">
      <c r="A185" s="836" t="s">
        <v>216</v>
      </c>
      <c r="B185" s="837"/>
      <c r="C185" s="334"/>
      <c r="D185" s="228" t="s">
        <v>142</v>
      </c>
      <c r="E185" s="95">
        <f>'17'!F185</f>
        <v>0</v>
      </c>
      <c r="F185" s="157"/>
      <c r="G185" s="586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827" t="s">
        <v>196</v>
      </c>
      <c r="B186" s="828"/>
      <c r="C186" s="484"/>
      <c r="D186" s="228" t="s">
        <v>142</v>
      </c>
      <c r="E186" s="95"/>
      <c r="F186" s="157"/>
      <c r="G186" s="586">
        <f>SUM(G183:G185)</f>
        <v>19</v>
      </c>
      <c r="H186" s="99">
        <f>G186+'17'!H186</f>
        <v>328</v>
      </c>
      <c r="I186" s="157"/>
      <c r="J186" s="178">
        <f>H186/DAY(B2)</f>
        <v>18.222222222222221</v>
      </c>
    </row>
    <row r="187" spans="1:11" ht="27.75" customHeight="1">
      <c r="A187" s="829" t="s">
        <v>217</v>
      </c>
      <c r="B187" s="830"/>
      <c r="C187" s="333"/>
      <c r="D187" s="230" t="s">
        <v>142</v>
      </c>
      <c r="E187" s="95"/>
      <c r="F187" s="159"/>
      <c r="G187" s="587">
        <f>G62+G19</f>
        <v>123</v>
      </c>
      <c r="H187" s="99">
        <f>G187+'17'!H187</f>
        <v>2049</v>
      </c>
      <c r="I187" s="158"/>
      <c r="J187" s="179">
        <f>H187/DAY(B2)</f>
        <v>113.83333333333333</v>
      </c>
    </row>
    <row r="188" spans="1:11" ht="27.75" customHeight="1">
      <c r="A188" s="829" t="s">
        <v>218</v>
      </c>
      <c r="B188" s="830"/>
      <c r="C188" s="333"/>
      <c r="D188" s="230" t="s">
        <v>142</v>
      </c>
      <c r="E188" s="95"/>
      <c r="F188" s="159"/>
      <c r="G188" s="587">
        <f>G65+G66+G67+G69+G70</f>
        <v>113</v>
      </c>
      <c r="H188" s="99">
        <f>G188+'17'!H188</f>
        <v>477</v>
      </c>
      <c r="I188" s="158"/>
      <c r="J188" s="179">
        <f>H188/DAY(B2)</f>
        <v>26.5</v>
      </c>
    </row>
    <row r="189" spans="1:11" ht="27.75" customHeight="1">
      <c r="A189" s="829" t="s">
        <v>219</v>
      </c>
      <c r="B189" s="830"/>
      <c r="C189" s="333"/>
      <c r="D189" s="230" t="s">
        <v>142</v>
      </c>
      <c r="E189" s="95"/>
      <c r="F189" s="157"/>
      <c r="G189" s="587">
        <f>G181</f>
        <v>133</v>
      </c>
      <c r="H189" s="99">
        <f>G189+'17'!H189</f>
        <v>1590</v>
      </c>
      <c r="I189" s="158"/>
      <c r="J189" s="179">
        <f>H189/DAY(B2)</f>
        <v>88.333333333333329</v>
      </c>
    </row>
    <row r="190" spans="1:11" ht="23.25" customHeight="1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81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Normal="40" zoomScaleSheetLayoutView="55" zoomScalePageLayoutView="60" workbookViewId="0">
      <selection activeCell="F146" sqref="F14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29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350</v>
      </c>
      <c r="B2" s="262">
        <v>44580</v>
      </c>
      <c r="C2" s="348" t="s">
        <v>67</v>
      </c>
      <c r="D2" s="218">
        <v>0.92979999999999996</v>
      </c>
      <c r="E2" s="100"/>
      <c r="F2" s="100"/>
      <c r="G2" s="60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91" t="s">
        <v>119</v>
      </c>
      <c r="F3" s="892"/>
      <c r="G3" s="606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0.9</v>
      </c>
      <c r="E4" s="103"/>
      <c r="F4" s="103"/>
      <c r="G4" s="606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608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'18 '!F7</f>
        <v>424173</v>
      </c>
      <c r="F7" s="95">
        <v>442206</v>
      </c>
      <c r="G7" s="609">
        <f>F7-E7</f>
        <v>18033</v>
      </c>
      <c r="H7" s="99">
        <f>G7+'18 '!H7</f>
        <v>347645</v>
      </c>
      <c r="I7" s="113">
        <f>'1'!I7</f>
        <v>12000</v>
      </c>
      <c r="J7" s="175">
        <f>H7/DAY(B2)</f>
        <v>18297.105263157893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'18 '!F8</f>
        <v>475797.83</v>
      </c>
      <c r="F8" s="95">
        <v>494519</v>
      </c>
      <c r="G8" s="610">
        <f>F8-E8</f>
        <v>18721.169999999984</v>
      </c>
      <c r="H8" s="99">
        <f>G8+'18 '!H8</f>
        <v>353634</v>
      </c>
      <c r="I8" s="116"/>
      <c r="J8" s="175">
        <f>H8/DAY(B2)</f>
        <v>18612.315789473683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'18 '!F9</f>
        <v>109695.53</v>
      </c>
      <c r="F9" s="601">
        <v>121587.8</v>
      </c>
      <c r="G9" s="609">
        <f>F9-E9</f>
        <v>11892.270000000004</v>
      </c>
      <c r="H9" s="99">
        <f>G9+'18 '!H9</f>
        <v>220092.79999999999</v>
      </c>
      <c r="I9" s="124">
        <f>I7-J7</f>
        <v>-6297.1052631578932</v>
      </c>
      <c r="J9" s="175">
        <f>H9/DAY(B2)</f>
        <v>11583.831578947367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'18 '!F10</f>
        <v>57422.18</v>
      </c>
      <c r="F10" s="353">
        <v>62985.4</v>
      </c>
      <c r="G10" s="609">
        <f t="shared" ref="G10:G12" si="0">F10-E10</f>
        <v>5563.2200000000012</v>
      </c>
      <c r="H10" s="99">
        <f>G10+'18 '!H10</f>
        <v>117891.4</v>
      </c>
      <c r="I10" s="282"/>
      <c r="J10" s="175">
        <f>H10/DAY(B2)</f>
        <v>6204.8105263157895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609">
        <f t="shared" si="0"/>
        <v>0</v>
      </c>
      <c r="H11" s="99">
        <f>G11+'18 '!H11</f>
        <v>170</v>
      </c>
      <c r="I11" s="282"/>
      <c r="J11" s="175">
        <f>H11/DAY(B2)</f>
        <v>8.9473684210526319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09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611">
        <f>G9+G10+G11+G12</f>
        <v>17455.490000000005</v>
      </c>
      <c r="H13" s="99">
        <f>G13+'18 '!H13</f>
        <v>318688.9499999999</v>
      </c>
      <c r="I13" s="120">
        <f>G7-G13</f>
        <v>577.50999999999476</v>
      </c>
      <c r="J13" s="175">
        <f>H13/DAY(B2)</f>
        <v>16773.102631578942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612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'18 '!F15</f>
        <v>1894222</v>
      </c>
      <c r="F15" s="601">
        <v>1895056.3</v>
      </c>
      <c r="G15" s="609">
        <f>(F15-E15)</f>
        <v>834.30000000004657</v>
      </c>
      <c r="H15" s="99">
        <f>G15+'18 '!H15</f>
        <v>16626.300000000047</v>
      </c>
      <c r="I15" s="113">
        <f>'1'!I15</f>
        <v>800</v>
      </c>
      <c r="J15" s="175">
        <f>H15/DAY(B2)</f>
        <v>875.06842105263399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609"/>
      <c r="H16" s="124"/>
      <c r="I16" s="120">
        <f>I15-J15</f>
        <v>-75.068421052633994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612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'18 '!F18</f>
        <v>10</v>
      </c>
      <c r="F18" s="122">
        <v>10</v>
      </c>
      <c r="G18" s="611">
        <f>F18*10</f>
        <v>100</v>
      </c>
      <c r="H18" s="99">
        <f>G18+'18 '!H18</f>
        <v>1980</v>
      </c>
      <c r="I18" s="113">
        <f>'1'!I18</f>
        <v>65</v>
      </c>
      <c r="J18" s="175">
        <f>H18/DAY(B2)</f>
        <v>104.21052631578948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'18 '!F19</f>
        <v>153179</v>
      </c>
      <c r="F19" s="122">
        <v>153236</v>
      </c>
      <c r="G19" s="609">
        <f t="shared" ref="G19" si="1">F19-E19</f>
        <v>57</v>
      </c>
      <c r="H19" s="99">
        <f>G19+'18 '!H19</f>
        <v>1011</v>
      </c>
      <c r="I19" s="335"/>
      <c r="J19" s="175">
        <f>H19/DAY(B2)</f>
        <v>53.210526315789473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613">
        <f>G18+G19</f>
        <v>157</v>
      </c>
      <c r="H20" s="99">
        <f>G20+'18 '!H20</f>
        <v>2991</v>
      </c>
      <c r="I20" s="336">
        <f>I18-J20</f>
        <v>-92.421052631578959</v>
      </c>
      <c r="J20" s="175">
        <f>H20/DAY(B2)</f>
        <v>157.42105263157896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612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11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'18 '!F23</f>
        <v>1390</v>
      </c>
      <c r="F23" s="122">
        <v>1390</v>
      </c>
      <c r="G23" s="611">
        <v>0</v>
      </c>
      <c r="H23" s="99">
        <f>G23+'18 '!H23</f>
        <v>110</v>
      </c>
      <c r="I23" s="118"/>
      <c r="J23" s="175">
        <f>H23/DAY(B2)</f>
        <v>5.7894736842105265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11">
        <v>0</v>
      </c>
      <c r="H24" s="99">
        <f>G24+'18 '!H24</f>
        <v>110</v>
      </c>
      <c r="I24" s="118"/>
      <c r="J24" s="175">
        <f>H24/DAY(B2)</f>
        <v>5.7894736842105265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614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615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18721.169999999984</v>
      </c>
      <c r="F27" s="136">
        <v>9</v>
      </c>
      <c r="G27" s="616">
        <f>E27*F27</f>
        <v>168490.52999999985</v>
      </c>
      <c r="H27" s="99">
        <f>G27+'18 '!H27</f>
        <v>3182706</v>
      </c>
      <c r="I27" s="138"/>
      <c r="J27" s="175">
        <f>H27/DAY(B2)</f>
        <v>167510.84210526315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834.30000000004657</v>
      </c>
      <c r="F28" s="136">
        <v>52</v>
      </c>
      <c r="G28" s="616">
        <f>E28*F28</f>
        <v>43383.600000002421</v>
      </c>
      <c r="H28" s="99">
        <f>G28+'18 '!H28</f>
        <v>864567.60000000242</v>
      </c>
      <c r="I28" s="140"/>
      <c r="J28" s="175">
        <f>H28/DAY(B2)</f>
        <v>45503.557894736972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16">
        <f>E29*F29</f>
        <v>0</v>
      </c>
      <c r="H29" s="99">
        <f>G29+'18 '!H29</f>
        <v>7590</v>
      </c>
      <c r="I29" s="140"/>
      <c r="J29" s="175">
        <f>H29/DAY(B2)</f>
        <v>399.4736842105263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616">
        <f>E30*F30</f>
        <v>8322</v>
      </c>
      <c r="H30" s="99">
        <f>G30+'18 '!H30</f>
        <v>147606</v>
      </c>
      <c r="I30" s="140"/>
      <c r="J30" s="175">
        <f>H30/DAY(B2)</f>
        <v>7768.7368421052633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616">
        <f>E31*F31</f>
        <v>8000</v>
      </c>
      <c r="H31" s="99">
        <f>G31+'18 '!H31</f>
        <v>158400</v>
      </c>
      <c r="I31" s="140"/>
      <c r="J31" s="175">
        <f>H31/DAY(B2)</f>
        <v>8336.8421052631584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617">
        <f>G27+G28+G29+G30+G31</f>
        <v>228196.13000000227</v>
      </c>
      <c r="H32" s="99">
        <f>G32+'18 '!H32</f>
        <v>4360869.6000000024</v>
      </c>
      <c r="I32" s="144"/>
      <c r="J32" s="175">
        <f>H32/DAY(B2)</f>
        <v>229519.45263157907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618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619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'18 '!F35</f>
        <v>14485.36</v>
      </c>
      <c r="F35" s="145">
        <v>16302.52</v>
      </c>
      <c r="G35" s="609">
        <f t="shared" ref="G35:G46" si="3">F35-E35</f>
        <v>1817.1599999999999</v>
      </c>
      <c r="H35" s="99">
        <f>G35+'18 '!H35</f>
        <v>31502.52</v>
      </c>
      <c r="I35" s="95"/>
      <c r="J35" s="175">
        <f>H35/DAY(B2)</f>
        <v>1658.0273684210526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'18 '!F36</f>
        <v>34075.360000000001</v>
      </c>
      <c r="F36" s="145">
        <v>34736.959999999999</v>
      </c>
      <c r="G36" s="609">
        <f t="shared" si="3"/>
        <v>661.59999999999854</v>
      </c>
      <c r="H36" s="99">
        <f>G36+'18 '!H36</f>
        <v>13209.96</v>
      </c>
      <c r="I36" s="95"/>
      <c r="J36" s="175">
        <f>H36/DAY(B2)</f>
        <v>695.26105263157888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'18 '!F37</f>
        <v>14883.97</v>
      </c>
      <c r="F37" s="145">
        <v>16480.14</v>
      </c>
      <c r="G37" s="609">
        <f t="shared" si="3"/>
        <v>1596.17</v>
      </c>
      <c r="H37" s="99">
        <f>G37+'18 '!H37</f>
        <v>28692.14</v>
      </c>
      <c r="I37" s="95"/>
      <c r="J37" s="175">
        <f>H37/DAY(B2)</f>
        <v>1510.1126315789472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'18 '!F38</f>
        <v>15864.46</v>
      </c>
      <c r="F38" s="108">
        <v>17488</v>
      </c>
      <c r="G38" s="609">
        <f t="shared" si="3"/>
        <v>1623.5400000000009</v>
      </c>
      <c r="H38" s="99">
        <f>G38+'18 '!H38</f>
        <v>30688</v>
      </c>
      <c r="I38" s="95"/>
      <c r="J38" s="175">
        <f>H38/DAY(B2)</f>
        <v>1615.1578947368421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'18 '!F39</f>
        <v>25354.49</v>
      </c>
      <c r="F39" s="145">
        <v>28000.560000000001</v>
      </c>
      <c r="G39" s="609">
        <f t="shared" si="3"/>
        <v>2646.0699999999997</v>
      </c>
      <c r="H39" s="99">
        <f>G39+'18 '!H39</f>
        <v>49682.560000000005</v>
      </c>
      <c r="I39" s="95"/>
      <c r="J39" s="175">
        <f>H39/DAY(B2)</f>
        <v>2614.8715789473686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604">
        <f>'18 '!F40</f>
        <v>13643.14</v>
      </c>
      <c r="F40" s="376">
        <v>14058.37</v>
      </c>
      <c r="G40" s="620">
        <f t="shared" si="3"/>
        <v>415.23000000000138</v>
      </c>
      <c r="H40" s="99">
        <f>G40+'18 '!H40</f>
        <v>8448.3700000000008</v>
      </c>
      <c r="I40" s="95"/>
      <c r="J40" s="175">
        <f>H40/DAY(B2)</f>
        <v>444.65105263157898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09">
        <f t="shared" si="3"/>
        <v>0</v>
      </c>
      <c r="H41" s="99">
        <f>G41+'18 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'18 '!F42</f>
        <v>73808.600000000006</v>
      </c>
      <c r="F42" s="145">
        <v>73808.600000000006</v>
      </c>
      <c r="G42" s="609">
        <f t="shared" si="3"/>
        <v>0</v>
      </c>
      <c r="H42" s="99">
        <f>G42+'18 '!H42</f>
        <v>-0.39999999999417923</v>
      </c>
      <c r="I42" s="95"/>
      <c r="J42" s="175">
        <f>H42/DAY(B2)</f>
        <v>-2.1052631578641012E-2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'18 '!F43</f>
        <v>87381.15</v>
      </c>
      <c r="F43" s="145">
        <v>89753.52</v>
      </c>
      <c r="G43" s="609">
        <f t="shared" si="3"/>
        <v>2372.3700000000099</v>
      </c>
      <c r="H43" s="99">
        <f>G43+'18 '!H43</f>
        <v>42492.520000000004</v>
      </c>
      <c r="I43" s="95"/>
      <c r="J43" s="175">
        <f>H43/DAY(B2)</f>
        <v>2236.4484210526316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09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09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09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611">
        <f>G35+G36+G37+G38+G39+G40+G41+G42+G43+G44+G45+G46</f>
        <v>11132.14000000001</v>
      </c>
      <c r="H47" s="99">
        <f>G47+'18 '!H47</f>
        <v>204715.67000000004</v>
      </c>
      <c r="I47" s="95"/>
      <c r="J47" s="175">
        <f>H47/DAY(B2)</f>
        <v>10774.508947368424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619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'18 '!F49</f>
        <v>12587.33</v>
      </c>
      <c r="F49" s="145">
        <v>13711.82</v>
      </c>
      <c r="G49" s="609">
        <f t="shared" ref="G49:G58" si="4">F49-E49</f>
        <v>1124.4899999999998</v>
      </c>
      <c r="H49" s="99">
        <f>G49+'18 '!H49</f>
        <v>26832.82</v>
      </c>
      <c r="I49" s="95"/>
      <c r="J49" s="175">
        <f>H49/DAY(B2)</f>
        <v>1412.2536842105262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'18 '!F50</f>
        <v>42045.93</v>
      </c>
      <c r="F50" s="145">
        <v>43021.69</v>
      </c>
      <c r="G50" s="609">
        <f t="shared" si="4"/>
        <v>975.76000000000204</v>
      </c>
      <c r="H50" s="99">
        <f>G50+'18 '!H50</f>
        <v>18371.690000000002</v>
      </c>
      <c r="I50" s="95"/>
      <c r="J50" s="175">
        <f>H50/DAY(B2)</f>
        <v>966.93105263157906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09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09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09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'18 '!F54</f>
        <v>5147.42</v>
      </c>
      <c r="F54" s="145">
        <v>5147.42</v>
      </c>
      <c r="G54" s="609">
        <f t="shared" si="4"/>
        <v>0</v>
      </c>
      <c r="H54" s="99">
        <f>G54+'18 '!H54</f>
        <v>6914.5</v>
      </c>
      <c r="I54" s="95"/>
      <c r="J54" s="175">
        <f>H54/DAY(B2)</f>
        <v>363.92105263157896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'18 '!F55</f>
        <v>57839.69</v>
      </c>
      <c r="F55" s="145">
        <v>60685.83</v>
      </c>
      <c r="G55" s="609">
        <f t="shared" si="4"/>
        <v>2846.1399999999994</v>
      </c>
      <c r="H55" s="99">
        <f>G55+'18 '!H55</f>
        <v>57174.83</v>
      </c>
      <c r="I55" s="95"/>
      <c r="J55" s="175">
        <f>H55/DAY(B2)</f>
        <v>3009.2015789473685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'18 '!F56</f>
        <v>8610.5400000000009</v>
      </c>
      <c r="F56" s="145">
        <v>8610.5400000000009</v>
      </c>
      <c r="G56" s="609">
        <f t="shared" si="4"/>
        <v>0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09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'18 '!F58</f>
        <v>2148.48</v>
      </c>
      <c r="F58" s="145">
        <v>2310.27</v>
      </c>
      <c r="G58" s="609">
        <f t="shared" si="4"/>
        <v>161.78999999999996</v>
      </c>
      <c r="H58" s="99">
        <f>G58+'18 '!H58</f>
        <v>2650.9000000000046</v>
      </c>
      <c r="I58" s="95"/>
      <c r="J58" s="175">
        <f>H58/DAY(B2)</f>
        <v>139.52105263157918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611">
        <f>G49+G50+G51+G52+G53+G54+G55+G56+G57+G58</f>
        <v>5108.1800000000012</v>
      </c>
      <c r="H59" s="99">
        <f>G59+'18 '!H59</f>
        <v>111944.74000000003</v>
      </c>
      <c r="I59" s="95">
        <f>G7-G60</f>
        <v>1792.6799999999894</v>
      </c>
      <c r="J59" s="175">
        <f>H59/DAY(B2)</f>
        <v>5891.8284210526335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611">
        <f>G47+G59</f>
        <v>16240.320000000011</v>
      </c>
      <c r="H60" s="99">
        <f>G60+'18 '!H60</f>
        <v>316660.40999999997</v>
      </c>
      <c r="I60" s="95">
        <f>G13-G60</f>
        <v>1215.1699999999946</v>
      </c>
      <c r="J60" s="175">
        <f>H60/DAY(B2)</f>
        <v>16666.337368421053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621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'18 '!F62</f>
        <v>268308</v>
      </c>
      <c r="F62" s="122">
        <v>268368</v>
      </c>
      <c r="G62" s="609">
        <f t="shared" ref="G62:G63" si="5">F62-E62</f>
        <v>60</v>
      </c>
      <c r="H62" s="99">
        <f>G62+'18 '!H62</f>
        <v>1155</v>
      </c>
      <c r="I62" s="118"/>
      <c r="J62" s="175">
        <f>H62/DAY(B2)</f>
        <v>60.789473684210527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'18 '!F63</f>
        <v>214242</v>
      </c>
      <c r="F63" s="122">
        <v>214335</v>
      </c>
      <c r="G63" s="609">
        <f t="shared" si="5"/>
        <v>93</v>
      </c>
      <c r="H63" s="99">
        <f>G63+'18 '!H63</f>
        <v>1910</v>
      </c>
      <c r="I63" s="118"/>
      <c r="J63" s="175">
        <f>H63/DAY(B2)</f>
        <v>100.52631578947368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'18 '!F64</f>
        <v>0</v>
      </c>
      <c r="F64" s="122"/>
      <c r="G64" s="609">
        <f>G62+G63</f>
        <v>153</v>
      </c>
      <c r="H64" s="99">
        <f>G64+'18 '!H64</f>
        <v>3065</v>
      </c>
      <c r="I64" s="118"/>
      <c r="J64" s="175">
        <f>H64/DAY(B2)</f>
        <v>161.31578947368422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'18 '!F65</f>
        <v>433856</v>
      </c>
      <c r="F65" s="122">
        <v>433919</v>
      </c>
      <c r="G65" s="609">
        <f t="shared" ref="G65:G70" si="6">F65-E65</f>
        <v>63</v>
      </c>
      <c r="H65" s="99">
        <f>G65+'18 '!H65</f>
        <v>1305</v>
      </c>
      <c r="I65" s="118"/>
      <c r="J65" s="175">
        <f>H65/DAY(B2)</f>
        <v>68.684210526315795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'18 '!F66</f>
        <v>107519</v>
      </c>
      <c r="F66" s="122">
        <v>107534</v>
      </c>
      <c r="G66" s="609">
        <f t="shared" si="6"/>
        <v>15</v>
      </c>
      <c r="H66" s="99">
        <f>G66+'18 '!H66</f>
        <v>320</v>
      </c>
      <c r="I66" s="118"/>
      <c r="J66" s="175">
        <f>H66/DAY(B2)</f>
        <v>16.842105263157894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'18 '!F67</f>
        <v>104344</v>
      </c>
      <c r="F67" s="122">
        <v>104367</v>
      </c>
      <c r="G67" s="609">
        <f t="shared" si="6"/>
        <v>23</v>
      </c>
      <c r="H67" s="99">
        <f>G67+'18 '!H67</f>
        <v>439</v>
      </c>
      <c r="I67" s="118"/>
      <c r="J67" s="175">
        <f>H67/DAY(B2)</f>
        <v>23.105263157894736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'18 '!F68</f>
        <v>157113</v>
      </c>
      <c r="F68" s="122">
        <v>157143</v>
      </c>
      <c r="G68" s="609">
        <f t="shared" si="6"/>
        <v>30</v>
      </c>
      <c r="H68" s="99">
        <f>G68+'18 '!H68</f>
        <v>523</v>
      </c>
      <c r="I68" s="118"/>
      <c r="J68" s="175">
        <f>H68/DAY(B2)</f>
        <v>27.526315789473685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'18 '!F69</f>
        <v>10389</v>
      </c>
      <c r="F69" s="122">
        <v>10397</v>
      </c>
      <c r="G69" s="609">
        <f t="shared" si="6"/>
        <v>8</v>
      </c>
      <c r="H69" s="99">
        <f>G69+'18 '!H69</f>
        <v>183</v>
      </c>
      <c r="I69" s="118"/>
      <c r="J69" s="175">
        <f>H69/DAY(B2)</f>
        <v>9.6315789473684212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'18 '!F70</f>
        <v>7995</v>
      </c>
      <c r="F70" s="122">
        <v>8001.1</v>
      </c>
      <c r="G70" s="609">
        <f t="shared" si="6"/>
        <v>6.1000000000003638</v>
      </c>
      <c r="H70" s="99">
        <f>G70+'18 '!H70</f>
        <v>139.10000000000036</v>
      </c>
      <c r="I70" s="118"/>
      <c r="J70" s="175">
        <f>H70/DAY(B2)</f>
        <v>7.3210526315789668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95">
        <f>'18 '!F71</f>
        <v>0</v>
      </c>
      <c r="F71" s="152"/>
      <c r="G71" s="622">
        <f>SUM(G65:G70)</f>
        <v>145.10000000000036</v>
      </c>
      <c r="H71" s="99">
        <f>G71+'18 '!H71</f>
        <v>2909.1000000000004</v>
      </c>
      <c r="I71" s="154"/>
      <c r="J71" s="175">
        <f>H71/DAY(B2)</f>
        <v>153.11052631578949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623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621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'18 '!F74</f>
        <v>897366.15</v>
      </c>
      <c r="F74" s="117">
        <v>897672.5</v>
      </c>
      <c r="G74" s="609">
        <f t="shared" ref="G74:G78" si="7">F74-E74</f>
        <v>306.34999999997672</v>
      </c>
      <c r="H74" s="99">
        <f>G74+'18 '!H74</f>
        <v>5640.5</v>
      </c>
      <c r="I74" s="154"/>
      <c r="J74" s="175">
        <f>H74/DAY(B2)</f>
        <v>296.86842105263156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'18 '!F75</f>
        <v>73586.8</v>
      </c>
      <c r="F75" s="123">
        <v>73586.8</v>
      </c>
      <c r="G75" s="609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'18 '!F76</f>
        <v>168711</v>
      </c>
      <c r="F76" s="123">
        <v>168794.9</v>
      </c>
      <c r="G76" s="609">
        <f t="shared" si="7"/>
        <v>83.899999999994179</v>
      </c>
      <c r="H76" s="99">
        <f>G76+'18 '!H76</f>
        <v>1587.8999999999942</v>
      </c>
      <c r="I76" s="154"/>
      <c r="J76" s="175">
        <f>H76/DAY(B2)</f>
        <v>83.573684210526011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'18 '!F77</f>
        <v>40844</v>
      </c>
      <c r="F77" s="123">
        <v>40871.1</v>
      </c>
      <c r="G77" s="609">
        <f t="shared" si="7"/>
        <v>27.099999999998545</v>
      </c>
      <c r="H77" s="99">
        <f>G77+'18 '!H77</f>
        <v>555.09999999999854</v>
      </c>
      <c r="I77" s="154"/>
      <c r="J77" s="175">
        <f>H77/DAY(B2)</f>
        <v>29.215789473684133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'18 '!F78</f>
        <v>9500</v>
      </c>
      <c r="F78" s="123">
        <v>9501.2999999999993</v>
      </c>
      <c r="G78" s="609">
        <f t="shared" si="7"/>
        <v>1.2999999999992724</v>
      </c>
      <c r="H78" s="99">
        <f>G78+'18 '!H78</f>
        <v>15.299999999999272</v>
      </c>
      <c r="I78" s="118"/>
      <c r="J78" s="175">
        <f>H78/DAY(B2)</f>
        <v>0.8052631578946986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'18 '!F79</f>
        <v>0</v>
      </c>
      <c r="F79" s="123"/>
      <c r="G79" s="609">
        <f>G15-SUM(G74:G78)</f>
        <v>415.65000000007785</v>
      </c>
      <c r="H79" s="99">
        <f>G79+'18 '!H79</f>
        <v>8827.5000000000546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609">
        <f>SUM(G74:G79)</f>
        <v>834.30000000004657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624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609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609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</v>
      </c>
      <c r="G84" s="609">
        <f t="shared" si="8"/>
        <v>0.13999999999941792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'18 '!F85</f>
        <v>2096.5500000000002</v>
      </c>
      <c r="F85" s="164">
        <v>2096.5500000000002</v>
      </c>
      <c r="G85" s="609">
        <f t="shared" si="8"/>
        <v>0</v>
      </c>
      <c r="H85" s="99">
        <f>G85+'18 '!H85</f>
        <v>-9.9999999997635314E-3</v>
      </c>
      <c r="I85" s="118">
        <f>G82+G83+G84+G85</f>
        <v>0.13999999999941792</v>
      </c>
      <c r="J85" s="175">
        <f>H85/DAY(B2)</f>
        <v>-5.2631578946123853E-4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'18 '!F86</f>
        <v>43296.06</v>
      </c>
      <c r="F86" s="164">
        <v>43321</v>
      </c>
      <c r="G86" s="609">
        <f t="shared" si="8"/>
        <v>24.940000000002328</v>
      </c>
      <c r="H86" s="99">
        <f>G86+'18 '!H86</f>
        <v>458</v>
      </c>
      <c r="I86" s="118"/>
      <c r="J86" s="175">
        <f>H86/DAY(B2)</f>
        <v>24.105263157894736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609">
        <f t="shared" si="8"/>
        <v>0</v>
      </c>
      <c r="H87" s="99">
        <f>G87+'18 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'18 '!F88</f>
        <v>24061.16</v>
      </c>
      <c r="F88" s="164">
        <v>24061.37</v>
      </c>
      <c r="G88" s="609">
        <f t="shared" si="8"/>
        <v>0.20999999999912689</v>
      </c>
      <c r="H88" s="99">
        <f>G88+'18 '!H88</f>
        <v>14.369999999998981</v>
      </c>
      <c r="I88" s="118">
        <f>G86+G87+G88</f>
        <v>25.150000000001455</v>
      </c>
      <c r="J88" s="175">
        <f>H88/DAY(B2)</f>
        <v>0.75631578947363065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'18 '!F89</f>
        <v>25772.05</v>
      </c>
      <c r="F89" s="164">
        <v>25779.07</v>
      </c>
      <c r="G89" s="609">
        <f t="shared" si="8"/>
        <v>7.0200000000004366</v>
      </c>
      <c r="H89" s="99">
        <f>G89+'18 '!H89</f>
        <v>116.06999999999971</v>
      </c>
      <c r="I89" s="118"/>
      <c r="J89" s="175">
        <f>H89/DAY(B2)</f>
        <v>6.1089473684210374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'18 '!F90</f>
        <v>71131.710000000006</v>
      </c>
      <c r="F90" s="164">
        <v>71133.570000000007</v>
      </c>
      <c r="G90" s="609">
        <f t="shared" si="8"/>
        <v>1.8600000000005821</v>
      </c>
      <c r="H90" s="99">
        <f>G90+'18 '!H90</f>
        <v>99.570000000006985</v>
      </c>
      <c r="I90" s="118">
        <f>G89+G90</f>
        <v>8.8800000000010186</v>
      </c>
      <c r="J90" s="175">
        <f>H90/DAY(B2)</f>
        <v>5.2405263157898414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'18 '!F91</f>
        <v>3226.32</v>
      </c>
      <c r="F91" s="122">
        <v>3226.32</v>
      </c>
      <c r="G91" s="609">
        <f t="shared" si="8"/>
        <v>0</v>
      </c>
      <c r="H91" s="99">
        <f>G91+'18 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'18 '!F92</f>
        <v>5625.33</v>
      </c>
      <c r="F92" s="122">
        <v>5636.06</v>
      </c>
      <c r="G92" s="609">
        <f t="shared" si="8"/>
        <v>10.730000000000473</v>
      </c>
      <c r="H92" s="99">
        <f>G92+'18 '!H92</f>
        <v>198.0600000000004</v>
      </c>
      <c r="I92" s="165"/>
      <c r="J92" s="175">
        <f>H92/DAY(B2)</f>
        <v>10.424210526315811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612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625">
        <f>G35+G43+G49+G57</f>
        <v>5314.0200000000095</v>
      </c>
      <c r="H94" s="99">
        <f>G94+'18 '!H94</f>
        <v>100827.86</v>
      </c>
      <c r="I94" s="118"/>
      <c r="J94" s="175">
        <f>H94/DAY(B2)</f>
        <v>5306.7294736842105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626">
        <f>G94/G7</f>
        <v>0.29468308101813395</v>
      </c>
      <c r="H95" s="99">
        <f>G95+'18 '!H95</f>
        <v>5.4985925787742991</v>
      </c>
      <c r="I95" s="167"/>
      <c r="J95" s="175">
        <f>H95/DAY(B2)</f>
        <v>0.28939960940917364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625">
        <f>G41+G42+G55+G56</f>
        <v>2846.1399999999994</v>
      </c>
      <c r="H96" s="99">
        <f>G96+'18 '!H96</f>
        <v>57174.430000000008</v>
      </c>
      <c r="I96" s="118"/>
      <c r="J96" s="175">
        <f>H96/DAY(B2)</f>
        <v>3009.1805263157898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626">
        <f>G96/G7</f>
        <v>0.15782953474186212</v>
      </c>
      <c r="H97" s="99">
        <f>G97+'18 '!H97</f>
        <v>3.1330041428850128</v>
      </c>
      <c r="I97" s="167"/>
      <c r="J97" s="175">
        <f>H97/DAY(B2)</f>
        <v>0.16489495488868489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625">
        <f>G39+G53</f>
        <v>2646.0699999999997</v>
      </c>
      <c r="H98" s="99">
        <f>G98+'18 '!H98</f>
        <v>49682.560000000005</v>
      </c>
      <c r="I98" s="168"/>
      <c r="J98" s="175">
        <f>H98/DAY(B2)</f>
        <v>2614.8715789473686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626">
        <f>G98/G7</f>
        <v>0.14673487495147783</v>
      </c>
      <c r="H99" s="99">
        <f>G99+'18 '!H99</f>
        <v>2.7219789747029517</v>
      </c>
      <c r="I99" s="168"/>
      <c r="J99" s="175">
        <f>H99/DAY(B2)</f>
        <v>0.14326205130015535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625">
        <f>G38+G52</f>
        <v>1623.5400000000009</v>
      </c>
      <c r="H100" s="99">
        <f>G100+'18 '!H100</f>
        <v>30688</v>
      </c>
      <c r="I100" s="118"/>
      <c r="J100" s="175">
        <f>H100/DAY(B2)</f>
        <v>1615.1578947368421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626">
        <f>G100/G7</f>
        <v>9.0031608717351566E-2</v>
      </c>
      <c r="H101" s="99">
        <f>G101+'18 '!H101</f>
        <v>1.682068557049051</v>
      </c>
      <c r="I101" s="168"/>
      <c r="J101" s="175">
        <f>H101/DAY(B2)</f>
        <v>8.8529924055213205E-2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625">
        <f>G36+G50</f>
        <v>1637.3600000000006</v>
      </c>
      <c r="H102" s="99">
        <f>G102+'18 '!H102</f>
        <v>31581.65</v>
      </c>
      <c r="I102" s="168"/>
      <c r="J102" s="175">
        <f>H102/DAY(B2)</f>
        <v>1662.1921052631581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626">
        <f>G102/G7</f>
        <v>9.0797981478400736E-2</v>
      </c>
      <c r="H103" s="99">
        <f>G103+'18 '!H103</f>
        <v>1.7216170154280872</v>
      </c>
      <c r="I103" s="118"/>
      <c r="J103" s="175">
        <f>H103/DAY(B2)</f>
        <v>9.0611421864636166E-2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625">
        <f>G37+G51</f>
        <v>1596.17</v>
      </c>
      <c r="H104" s="99">
        <f>G104+'18 '!H104</f>
        <v>28692.14</v>
      </c>
      <c r="I104" s="118"/>
      <c r="J104" s="175">
        <f>H104/DAY(B2)</f>
        <v>1510.1126315789472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627">
        <f>G104/G7</f>
        <v>8.8513835745577557E-2</v>
      </c>
      <c r="H105" s="99">
        <f>G105+'18 '!H105</f>
        <v>1.5741604472440616</v>
      </c>
      <c r="I105" s="187"/>
      <c r="J105" s="188">
        <f>H105/DAY(B2)</f>
        <v>8.2850549854950606E-2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628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630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'18 '!F112</f>
        <v>57044.5</v>
      </c>
      <c r="F112" s="237">
        <v>57125.98</v>
      </c>
      <c r="G112" s="609">
        <f t="shared" ref="G112:G123" si="9">F112-E112</f>
        <v>81.480000000003201</v>
      </c>
      <c r="H112" s="99">
        <f>G112+'18 '!H112</f>
        <v>1444.9800000000032</v>
      </c>
      <c r="I112" s="165"/>
      <c r="J112" s="328">
        <f>H112/DAY(B2)</f>
        <v>76.051578947368583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'18 '!F113</f>
        <v>40324.26</v>
      </c>
      <c r="F113" s="237">
        <v>40787.379999999997</v>
      </c>
      <c r="G113" s="609">
        <f t="shared" si="9"/>
        <v>463.11999999999534</v>
      </c>
      <c r="H113" s="99">
        <f>G113+'18 '!H113</f>
        <v>8592.3799999999974</v>
      </c>
      <c r="I113" s="165"/>
      <c r="J113" s="328">
        <f>H113/DAY(B2)</f>
        <v>452.23052631578935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'18 '!F114</f>
        <v>29635.1</v>
      </c>
      <c r="F114" s="237">
        <v>29901.7</v>
      </c>
      <c r="G114" s="609">
        <f t="shared" si="9"/>
        <v>266.60000000000218</v>
      </c>
      <c r="H114" s="99">
        <f>G114+'18 '!H114</f>
        <v>4897.1000000000004</v>
      </c>
      <c r="I114" s="165"/>
      <c r="J114" s="328">
        <f>H114/DAY(B2)</f>
        <v>257.7421052631579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'18 '!F115</f>
        <v>8969.3700000000008</v>
      </c>
      <c r="F115" s="237">
        <v>8979.4500000000007</v>
      </c>
      <c r="G115" s="609">
        <f t="shared" si="9"/>
        <v>10.079999999999927</v>
      </c>
      <c r="H115" s="99">
        <f>G115+'18 '!H115</f>
        <v>194.45000000000073</v>
      </c>
      <c r="I115" s="165"/>
      <c r="J115" s="328">
        <f>H115/DAY(B2)</f>
        <v>10.234210526315827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'18 '!F116</f>
        <v>0</v>
      </c>
      <c r="F116" s="237">
        <v>0</v>
      </c>
      <c r="G116" s="609">
        <f t="shared" si="9"/>
        <v>0</v>
      </c>
      <c r="H116" s="99">
        <f>G116+'18 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'18 '!F117</f>
        <v>3023.11</v>
      </c>
      <c r="F117" s="237">
        <v>3046.45</v>
      </c>
      <c r="G117" s="609">
        <f t="shared" si="9"/>
        <v>23.339999999999691</v>
      </c>
      <c r="H117" s="99">
        <f>G117+'18 '!H117</f>
        <v>456.44999999999982</v>
      </c>
      <c r="I117" s="165"/>
      <c r="J117" s="328">
        <f>H117/DAY(B2)</f>
        <v>24.023684210526305</v>
      </c>
      <c r="Q117" s="843" t="s">
        <v>312</v>
      </c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'18 '!F118</f>
        <v>248035.49</v>
      </c>
      <c r="F118" s="237">
        <v>248401.09</v>
      </c>
      <c r="G118" s="609">
        <f t="shared" si="9"/>
        <v>365.60000000000582</v>
      </c>
      <c r="H118" s="99">
        <f>G118+'18 '!H118</f>
        <v>6754.0899999999965</v>
      </c>
      <c r="I118" s="165"/>
      <c r="J118" s="328">
        <f>H118/DAY(B2)</f>
        <v>355.4784210526314</v>
      </c>
      <c r="Q118" s="843" t="s">
        <v>311</v>
      </c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'18 '!F119</f>
        <v>252682.05</v>
      </c>
      <c r="F119" s="237">
        <v>253125.45</v>
      </c>
      <c r="G119" s="609">
        <f t="shared" si="9"/>
        <v>443.40000000002328</v>
      </c>
      <c r="H119" s="99">
        <f>G119+'18 '!H119</f>
        <v>7999.4500000000116</v>
      </c>
      <c r="I119" s="165"/>
      <c r="J119" s="328">
        <f>H119/DAY(B2)</f>
        <v>421.02368421052694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'18 '!F120</f>
        <v>37580.07</v>
      </c>
      <c r="F120" s="237">
        <v>37987.129999999997</v>
      </c>
      <c r="G120" s="609">
        <f t="shared" si="9"/>
        <v>407.05999999999767</v>
      </c>
      <c r="H120" s="99">
        <f>G120+'18 '!H120</f>
        <v>7909.1299999999974</v>
      </c>
      <c r="I120" s="165"/>
      <c r="J120" s="328">
        <f>H120/DAY(B2)</f>
        <v>416.26999999999987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'18 '!F121</f>
        <v>389079</v>
      </c>
      <c r="F121" s="237">
        <v>389744.43</v>
      </c>
      <c r="G121" s="609">
        <f t="shared" si="9"/>
        <v>665.42999999999302</v>
      </c>
      <c r="H121" s="99">
        <f>G121+'18 '!H121</f>
        <v>13215.429999999993</v>
      </c>
      <c r="I121" s="165"/>
      <c r="J121" s="328">
        <f>H121/DAY(B2)</f>
        <v>695.54894736842073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'18 '!F122</f>
        <v>123702</v>
      </c>
      <c r="F122" s="237">
        <v>123875.49</v>
      </c>
      <c r="G122" s="609">
        <f t="shared" si="9"/>
        <v>173.49000000000524</v>
      </c>
      <c r="H122" s="99">
        <f>G122+'18 '!H122</f>
        <v>3825.4900000000052</v>
      </c>
      <c r="I122" s="165"/>
      <c r="J122" s="328">
        <f>H122/DAY(B2)</f>
        <v>201.3415789473687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'18 '!F123</f>
        <v>150502.59</v>
      </c>
      <c r="F123" s="237">
        <v>150781.35</v>
      </c>
      <c r="G123" s="609">
        <f t="shared" si="9"/>
        <v>278.76000000000931</v>
      </c>
      <c r="H123" s="99">
        <f>G123+'18 '!H123</f>
        <v>5656.3500000000058</v>
      </c>
      <c r="I123" s="165"/>
      <c r="J123" s="328">
        <f>H123/DAY(B2)</f>
        <v>297.70263157894766</v>
      </c>
    </row>
    <row r="124" spans="1:18" ht="29.25" customHeight="1">
      <c r="A124" s="847"/>
      <c r="B124" s="848"/>
      <c r="C124" s="849"/>
      <c r="D124" s="165"/>
      <c r="E124" s="95">
        <f>'18 '!F124</f>
        <v>0</v>
      </c>
      <c r="F124" s="165"/>
      <c r="G124" s="630"/>
      <c r="H124" s="156"/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631">
        <f>SUM(G112:G124)</f>
        <v>3178.3600000000347</v>
      </c>
      <c r="H125" s="156"/>
      <c r="I125" s="327">
        <f>G125-(G39+G53)</f>
        <v>532.29000000003498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631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'18 '!F128</f>
        <v>43694.22</v>
      </c>
      <c r="F128" s="165">
        <v>44007</v>
      </c>
      <c r="G128" s="609">
        <f t="shared" ref="G128:G134" si="10">F128-E128</f>
        <v>312.77999999999884</v>
      </c>
      <c r="H128" s="99">
        <f>G128+'18 '!H128</f>
        <v>6003</v>
      </c>
      <c r="I128" s="165"/>
      <c r="J128" s="328">
        <f>H128/DAY(B2)</f>
        <v>315.94736842105266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'18 '!F129</f>
        <v>24341.02</v>
      </c>
      <c r="F129" s="165">
        <v>24539.05</v>
      </c>
      <c r="G129" s="609">
        <f t="shared" si="10"/>
        <v>198.02999999999884</v>
      </c>
      <c r="H129" s="99">
        <f>G129+'18 '!H129</f>
        <v>4218.0499999999993</v>
      </c>
      <c r="I129" s="165"/>
      <c r="J129" s="328">
        <f>H129/DAY(B2)</f>
        <v>222.00263157894733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'18 '!F130</f>
        <v>28966.26</v>
      </c>
      <c r="F130" s="158">
        <v>29719.24</v>
      </c>
      <c r="G130" s="609">
        <f t="shared" si="10"/>
        <v>752.9800000000032</v>
      </c>
      <c r="H130" s="99">
        <f>G130+'18 '!H130</f>
        <v>11337.240000000002</v>
      </c>
      <c r="I130" s="165"/>
      <c r="J130" s="328">
        <f>H130/DAY(B2)</f>
        <v>596.69684210526327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'18 '!F131</f>
        <v>14447.42</v>
      </c>
      <c r="F131" s="165">
        <v>14534.22</v>
      </c>
      <c r="G131" s="609">
        <f t="shared" si="10"/>
        <v>86.799999999999272</v>
      </c>
      <c r="H131" s="99">
        <f>G131+'18 '!H131</f>
        <v>1381.2199999999993</v>
      </c>
      <c r="I131" s="165"/>
      <c r="J131" s="328">
        <f>H131/DAY(B2)</f>
        <v>72.695789473684172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'18 '!F132</f>
        <v>49682.7</v>
      </c>
      <c r="F132" s="165">
        <v>49852.15</v>
      </c>
      <c r="G132" s="609">
        <f t="shared" si="10"/>
        <v>169.45000000000437</v>
      </c>
      <c r="H132" s="99">
        <f>G132+'18 '!H132</f>
        <v>8829.1500000000015</v>
      </c>
      <c r="I132" s="165"/>
      <c r="J132" s="328">
        <f>H132/DAY(B2)</f>
        <v>464.692105263158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'18 '!F133</f>
        <v>98583.4</v>
      </c>
      <c r="F133" s="165">
        <v>99251.43</v>
      </c>
      <c r="G133" s="609">
        <f t="shared" si="10"/>
        <v>668.02999999999884</v>
      </c>
      <c r="H133" s="99">
        <f>G133+'18 '!H133</f>
        <v>11548.429999999993</v>
      </c>
      <c r="I133" s="165"/>
      <c r="J133" s="328">
        <f>H133/DAY(B2)</f>
        <v>607.81210526315749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'18 '!F134</f>
        <v>6368.93</v>
      </c>
      <c r="F134" s="165">
        <v>6620</v>
      </c>
      <c r="G134" s="609">
        <f t="shared" si="10"/>
        <v>251.06999999999971</v>
      </c>
      <c r="H134" s="99">
        <f>G134+'18 '!H134</f>
        <v>8914</v>
      </c>
      <c r="I134" s="165"/>
      <c r="J134" s="328">
        <f>H134/DAY(B2)</f>
        <v>469.15789473684208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609">
        <f>SUM(G128:G134)</f>
        <v>2439.1400000000031</v>
      </c>
      <c r="H135" s="99">
        <f>G135+'10'!H135</f>
        <v>33663.14</v>
      </c>
      <c r="I135" s="327">
        <f>G135-(G35+G49)</f>
        <v>-502.50999999999658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630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'18 '!F138</f>
        <v>865289</v>
      </c>
      <c r="F138" s="147">
        <v>865348</v>
      </c>
      <c r="G138" s="609">
        <f t="shared" ref="G138:G152" si="11">F138-E138</f>
        <v>59</v>
      </c>
      <c r="H138" s="99">
        <f>G138+'18 '!H138</f>
        <v>1177</v>
      </c>
      <c r="I138" s="118"/>
      <c r="J138" s="328">
        <f>H138/DAY(B2)</f>
        <v>61.94736842105263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'18 '!F139</f>
        <v>886551</v>
      </c>
      <c r="F139" s="148">
        <v>886551</v>
      </c>
      <c r="G139" s="609">
        <f t="shared" si="11"/>
        <v>0</v>
      </c>
      <c r="H139" s="99">
        <f>G139+'18 '!H139</f>
        <v>5</v>
      </c>
      <c r="I139" s="118"/>
      <c r="J139" s="328">
        <f>H139/DAY(B2)</f>
        <v>0.26315789473684209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'18 '!F140</f>
        <v>88898</v>
      </c>
      <c r="F140" s="149">
        <v>88898</v>
      </c>
      <c r="G140" s="609">
        <f t="shared" si="11"/>
        <v>0</v>
      </c>
      <c r="H140" s="99">
        <f>G140+'18 '!H140</f>
        <v>16</v>
      </c>
      <c r="I140" s="118"/>
      <c r="J140" s="328">
        <f>H140/DAY(B2)</f>
        <v>0.84210526315789469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'18 '!F141</f>
        <v>52406.65</v>
      </c>
      <c r="F141" s="149">
        <v>52577.7</v>
      </c>
      <c r="G141" s="609">
        <f t="shared" si="11"/>
        <v>171.04999999999563</v>
      </c>
      <c r="H141" s="99">
        <f>G141+'18 '!H141</f>
        <v>3271.6999999999971</v>
      </c>
      <c r="I141" s="118"/>
      <c r="J141" s="328">
        <f>H141/DAY(B2)</f>
        <v>172.1947368421051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'18 '!F142</f>
        <v>20277.63</v>
      </c>
      <c r="F142" s="148">
        <v>20344.240000000002</v>
      </c>
      <c r="G142" s="609">
        <f t="shared" si="11"/>
        <v>66.610000000000582</v>
      </c>
      <c r="H142" s="99">
        <f>G142+'18 '!H142</f>
        <v>1335.2400000000016</v>
      </c>
      <c r="I142" s="140"/>
      <c r="J142" s="328">
        <f>H142/DAY(B2)</f>
        <v>70.275789473684299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'18 '!F143</f>
        <v>3491.46</v>
      </c>
      <c r="F143" s="149">
        <v>3515.52</v>
      </c>
      <c r="G143" s="609">
        <f t="shared" si="11"/>
        <v>24.059999999999945</v>
      </c>
      <c r="H143" s="99">
        <f>G143+'18 '!H143</f>
        <v>454.52</v>
      </c>
      <c r="I143" s="140"/>
      <c r="J143" s="328">
        <f>H143/DAY(B2)</f>
        <v>23.922105263157892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'18 '!F144</f>
        <v>873743</v>
      </c>
      <c r="F144" s="149">
        <v>873963</v>
      </c>
      <c r="G144" s="609">
        <f t="shared" si="11"/>
        <v>220</v>
      </c>
      <c r="H144" s="99">
        <f>G144+'18 '!H144</f>
        <v>4293</v>
      </c>
      <c r="I144" s="140"/>
      <c r="J144" s="328">
        <f>H144/DAY(B2)</f>
        <v>225.94736842105263</v>
      </c>
    </row>
    <row r="145" spans="1:17" ht="27.75">
      <c r="A145" s="842" t="s">
        <v>190</v>
      </c>
      <c r="B145" s="842"/>
      <c r="C145" s="842"/>
      <c r="D145" s="152" t="s">
        <v>183</v>
      </c>
      <c r="E145" s="95">
        <f>'18 '!F145</f>
        <v>4827.1899999999996</v>
      </c>
      <c r="F145" s="149">
        <v>4843.3999999999996</v>
      </c>
      <c r="G145" s="609">
        <f t="shared" si="11"/>
        <v>16.210000000000036</v>
      </c>
      <c r="H145" s="99">
        <f>G145+'18 '!H145</f>
        <v>285.39999999999964</v>
      </c>
      <c r="I145" s="140"/>
      <c r="J145" s="328">
        <f>H145/DAY(B2)</f>
        <v>15.021052631578929</v>
      </c>
    </row>
    <row r="146" spans="1:17" ht="27.75">
      <c r="A146" s="877" t="s">
        <v>191</v>
      </c>
      <c r="B146" s="862"/>
      <c r="C146" s="863"/>
      <c r="D146" s="152" t="s">
        <v>183</v>
      </c>
      <c r="E146" s="95">
        <f>'18 '!F146</f>
        <v>732122</v>
      </c>
      <c r="F146" s="148">
        <v>732529</v>
      </c>
      <c r="G146" s="609">
        <f t="shared" si="11"/>
        <v>407</v>
      </c>
      <c r="H146" s="99">
        <f>G146+'18 '!H146</f>
        <v>7671</v>
      </c>
      <c r="I146" s="140"/>
      <c r="J146" s="328">
        <f>H146/DAY(B2)</f>
        <v>403.73684210526318</v>
      </c>
    </row>
    <row r="147" spans="1:17" ht="27.75">
      <c r="A147" s="823" t="s">
        <v>192</v>
      </c>
      <c r="B147" s="823"/>
      <c r="C147" s="823"/>
      <c r="D147" s="152" t="s">
        <v>183</v>
      </c>
      <c r="E147" s="95">
        <f>'18 '!F147</f>
        <v>621813.56000000006</v>
      </c>
      <c r="F147" s="148">
        <v>622164.64</v>
      </c>
      <c r="G147" s="609">
        <f t="shared" si="11"/>
        <v>351.07999999995809</v>
      </c>
      <c r="H147" s="99">
        <f>G147+'18 '!H147</f>
        <v>6882.640000000014</v>
      </c>
      <c r="I147" s="140"/>
      <c r="J147" s="328">
        <f>H147/DAY(B2)</f>
        <v>362.24421052631652</v>
      </c>
    </row>
    <row r="148" spans="1:17" ht="27.75">
      <c r="A148" s="824" t="s">
        <v>193</v>
      </c>
      <c r="B148" s="825"/>
      <c r="C148" s="826"/>
      <c r="D148" s="123" t="s">
        <v>130</v>
      </c>
      <c r="E148" s="95">
        <f>'18 '!F148</f>
        <v>687015.44</v>
      </c>
      <c r="F148" s="150">
        <v>687181.52</v>
      </c>
      <c r="G148" s="609">
        <f t="shared" si="11"/>
        <v>166.08000000007451</v>
      </c>
      <c r="H148" s="99">
        <f>G148+'18 '!H148</f>
        <v>4148.4000000000233</v>
      </c>
      <c r="I148" s="124"/>
      <c r="J148" s="328">
        <f>H148/DAY(B2)</f>
        <v>218.3368421052644</v>
      </c>
    </row>
    <row r="149" spans="1:17" ht="27.75">
      <c r="A149" s="824" t="s">
        <v>336</v>
      </c>
      <c r="B149" s="825"/>
      <c r="C149" s="826"/>
      <c r="D149" s="227" t="s">
        <v>130</v>
      </c>
      <c r="E149" s="95">
        <f>'18 '!F149</f>
        <v>18255.259999999998</v>
      </c>
      <c r="F149" s="500">
        <v>18705.96</v>
      </c>
      <c r="G149" s="609">
        <f t="shared" si="11"/>
        <v>450.70000000000073</v>
      </c>
      <c r="H149" s="99">
        <f>G149+'18 '!H149</f>
        <v>7956.9599999999991</v>
      </c>
      <c r="I149" s="119"/>
      <c r="J149" s="328">
        <f>H149/DAY(B2)</f>
        <v>418.78736842105258</v>
      </c>
    </row>
    <row r="150" spans="1:17" ht="27.75">
      <c r="A150" s="824" t="s">
        <v>337</v>
      </c>
      <c r="B150" s="825"/>
      <c r="C150" s="826"/>
      <c r="D150" s="117" t="s">
        <v>130</v>
      </c>
      <c r="E150" s="95">
        <f>'18 '!F150</f>
        <v>7974.99</v>
      </c>
      <c r="F150" s="233">
        <v>8195.51</v>
      </c>
      <c r="G150" s="609">
        <f t="shared" si="11"/>
        <v>220.52000000000044</v>
      </c>
      <c r="H150" s="99">
        <f>G150+'18 '!H150</f>
        <v>4143.51</v>
      </c>
      <c r="I150" s="119"/>
      <c r="J150" s="328">
        <f>H150/DAY(B2)</f>
        <v>218.07947368421054</v>
      </c>
    </row>
    <row r="151" spans="1:17" ht="27.75">
      <c r="A151" s="824" t="s">
        <v>338</v>
      </c>
      <c r="B151" s="825"/>
      <c r="C151" s="826"/>
      <c r="D151" s="117" t="s">
        <v>130</v>
      </c>
      <c r="E151" s="95">
        <f>'18 '!F151</f>
        <v>82410</v>
      </c>
      <c r="F151" s="233">
        <v>82600</v>
      </c>
      <c r="G151" s="609">
        <f t="shared" si="11"/>
        <v>190</v>
      </c>
      <c r="H151" s="99">
        <f>G151+'18 '!H151</f>
        <v>4383</v>
      </c>
      <c r="I151" s="119"/>
      <c r="J151" s="328">
        <f>H151/DAY(B2)</f>
        <v>230.68421052631578</v>
      </c>
    </row>
    <row r="152" spans="1:17" ht="27.75">
      <c r="A152" s="824" t="s">
        <v>339</v>
      </c>
      <c r="B152" s="825"/>
      <c r="C152" s="826"/>
      <c r="D152" s="117" t="s">
        <v>130</v>
      </c>
      <c r="E152" s="95">
        <f>'18 '!F152</f>
        <v>1435.92</v>
      </c>
      <c r="F152" s="233">
        <v>1452.1</v>
      </c>
      <c r="G152" s="609">
        <f t="shared" si="11"/>
        <v>16.179999999999836</v>
      </c>
      <c r="H152" s="99">
        <f>G152+'18 '!H152</f>
        <v>325.09999999999991</v>
      </c>
      <c r="I152" s="119"/>
      <c r="J152" s="328">
        <f>H152/DAY(B2)</f>
        <v>17.110526315789468</v>
      </c>
    </row>
    <row r="153" spans="1:17" ht="27.75">
      <c r="A153" s="827" t="s">
        <v>196</v>
      </c>
      <c r="B153" s="828"/>
      <c r="C153" s="365"/>
      <c r="D153" s="358"/>
      <c r="E153" s="360"/>
      <c r="F153" s="361"/>
      <c r="G153" s="632">
        <f>SUM(G138:G152)</f>
        <v>2358.4900000000298</v>
      </c>
      <c r="H153" s="363"/>
      <c r="I153" s="119">
        <f>G153-(G38+G52)</f>
        <v>734.95000000002892</v>
      </c>
      <c r="J153" s="366"/>
    </row>
    <row r="154" spans="1:17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7" ht="31.5">
      <c r="A155" s="823" t="s">
        <v>345</v>
      </c>
      <c r="B155" s="823"/>
      <c r="C155" s="823"/>
      <c r="D155" s="117" t="s">
        <v>130</v>
      </c>
      <c r="E155" s="95">
        <f>'18 '!F155</f>
        <v>23908.77</v>
      </c>
      <c r="F155" s="157">
        <v>24510</v>
      </c>
      <c r="G155" s="609">
        <f t="shared" ref="G155:G158" si="12">F155-E155</f>
        <v>601.22999999999956</v>
      </c>
      <c r="H155" s="99">
        <f>G155+'18 '!H155</f>
        <v>11038</v>
      </c>
      <c r="I155" s="364"/>
      <c r="J155" s="328">
        <f>H155/DAY(B2)</f>
        <v>580.9473684210526</v>
      </c>
    </row>
    <row r="156" spans="1:17" ht="27.75">
      <c r="A156" s="823" t="s">
        <v>347</v>
      </c>
      <c r="B156" s="823"/>
      <c r="C156" s="823"/>
      <c r="D156" s="117" t="s">
        <v>130</v>
      </c>
      <c r="E156" s="95">
        <f>'18 '!F156</f>
        <v>2010.05</v>
      </c>
      <c r="F156" s="157">
        <v>2070</v>
      </c>
      <c r="G156" s="609">
        <f t="shared" si="12"/>
        <v>59.950000000000045</v>
      </c>
      <c r="H156" s="99">
        <f>G156+'18 '!H156</f>
        <v>982</v>
      </c>
      <c r="I156" s="165"/>
      <c r="J156" s="328">
        <f>H156/DAY(B2)</f>
        <v>51.684210526315788</v>
      </c>
      <c r="P156" s="65">
        <v>164.5</v>
      </c>
      <c r="Q156" s="65" t="s">
        <v>372</v>
      </c>
    </row>
    <row r="157" spans="1:17" ht="27.75">
      <c r="A157" s="824" t="s">
        <v>364</v>
      </c>
      <c r="B157" s="825"/>
      <c r="C157" s="826"/>
      <c r="D157" s="117" t="s">
        <v>130</v>
      </c>
      <c r="E157" s="95">
        <f>'18 '!F157</f>
        <v>2598.1799999999998</v>
      </c>
      <c r="F157" s="374">
        <v>2720.16</v>
      </c>
      <c r="G157" s="609">
        <f t="shared" si="12"/>
        <v>121.98000000000002</v>
      </c>
      <c r="H157" s="99"/>
      <c r="I157" s="165"/>
      <c r="J157" s="328"/>
    </row>
    <row r="158" spans="1:17" ht="27.75">
      <c r="A158" s="824" t="s">
        <v>365</v>
      </c>
      <c r="B158" s="825"/>
      <c r="C158" s="826"/>
      <c r="D158" s="117" t="s">
        <v>130</v>
      </c>
      <c r="E158" s="95">
        <f>'18 '!F158</f>
        <v>23.34</v>
      </c>
      <c r="F158" s="374">
        <v>24.34</v>
      </c>
      <c r="G158" s="609">
        <f t="shared" si="12"/>
        <v>1</v>
      </c>
      <c r="H158" s="99"/>
      <c r="I158" s="165"/>
      <c r="J158" s="328"/>
    </row>
    <row r="159" spans="1:17" ht="27.75">
      <c r="A159" s="907"/>
      <c r="B159" s="908"/>
      <c r="C159" s="909"/>
      <c r="D159" s="117"/>
      <c r="E159" s="95"/>
      <c r="F159" s="165"/>
      <c r="G159" s="609"/>
      <c r="H159" s="99"/>
      <c r="I159" s="165"/>
      <c r="J159" s="328"/>
    </row>
    <row r="160" spans="1:17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'18 '!F161</f>
        <v>471453.56</v>
      </c>
      <c r="F161" s="235">
        <v>471460.76</v>
      </c>
      <c r="G161" s="633">
        <f t="shared" ref="G161:G165" si="13">F161-E161</f>
        <v>7.2000000000116415</v>
      </c>
      <c r="H161" s="99">
        <f>G161+'18 '!H161</f>
        <v>307.60000000003492</v>
      </c>
      <c r="I161" s="236"/>
      <c r="J161" s="239">
        <f>H161/DAY(B2)</f>
        <v>16.189473684212363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'18 '!F162</f>
        <v>88093.3</v>
      </c>
      <c r="F162" s="235">
        <v>88135.4</v>
      </c>
      <c r="G162" s="633">
        <f t="shared" si="13"/>
        <v>42.099999999991269</v>
      </c>
      <c r="H162" s="99">
        <f>G162+'18 '!H162</f>
        <v>565.39999999999418</v>
      </c>
      <c r="I162" s="236"/>
      <c r="J162" s="239">
        <f>H162/DAY(B2)</f>
        <v>29.757894736841799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'18 '!F163</f>
        <v>78635.5</v>
      </c>
      <c r="F163" s="235">
        <v>78699.8</v>
      </c>
      <c r="G163" s="633">
        <f t="shared" si="13"/>
        <v>64.30000000000291</v>
      </c>
      <c r="H163" s="99">
        <f>G163+'18 '!H163</f>
        <v>874.80000000000291</v>
      </c>
      <c r="I163" s="236"/>
      <c r="J163" s="239">
        <f>H163/DAY(B2)</f>
        <v>46.042105263158049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'18 '!F164</f>
        <v>4280</v>
      </c>
      <c r="F164" s="235">
        <v>4284.5</v>
      </c>
      <c r="G164" s="633">
        <f t="shared" si="13"/>
        <v>4.5</v>
      </c>
      <c r="H164" s="99">
        <f>G164+'18 '!H164</f>
        <v>42.5</v>
      </c>
      <c r="I164" s="236"/>
      <c r="J164" s="239">
        <f>H164/DAY(B2)</f>
        <v>2.236842105263158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'18 '!F165</f>
        <v>29763.9</v>
      </c>
      <c r="F165" s="235">
        <v>29771.72</v>
      </c>
      <c r="G165" s="633">
        <f t="shared" si="13"/>
        <v>7.819999999999709</v>
      </c>
      <c r="H165" s="99">
        <f>G165+'18 '!H165</f>
        <v>125.72000000000116</v>
      </c>
      <c r="I165" s="236"/>
      <c r="J165" s="239">
        <f>H165/DAY(B2)</f>
        <v>6.6168421052632196</v>
      </c>
    </row>
    <row r="166" spans="1:10" ht="29.25">
      <c r="A166" s="832"/>
      <c r="B166" s="832"/>
      <c r="C166" s="246"/>
      <c r="D166" s="244"/>
      <c r="E166" s="95"/>
      <c r="F166" s="165"/>
      <c r="G166" s="630"/>
      <c r="H166" s="99"/>
      <c r="I166" s="165"/>
      <c r="J166" s="239"/>
    </row>
    <row r="167" spans="1:10" ht="29.25">
      <c r="A167" s="832"/>
      <c r="B167" s="832"/>
      <c r="C167" s="246"/>
      <c r="D167" s="244"/>
      <c r="E167" s="95"/>
      <c r="F167" s="165"/>
      <c r="G167" s="630"/>
      <c r="H167" s="99"/>
      <c r="I167" s="165"/>
      <c r="J167" s="239"/>
    </row>
    <row r="168" spans="1:10" ht="29.25">
      <c r="A168" s="832"/>
      <c r="B168" s="832"/>
      <c r="C168" s="246"/>
      <c r="D168" s="244"/>
      <c r="E168" s="95"/>
      <c r="F168" s="165"/>
      <c r="G168" s="630"/>
      <c r="H168" s="99"/>
      <c r="I168" s="165"/>
      <c r="J168" s="239"/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634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'18 '!F173</f>
        <v>8126</v>
      </c>
      <c r="F173" s="157">
        <v>8126</v>
      </c>
      <c r="G173" s="634">
        <f>F173-E173</f>
        <v>0</v>
      </c>
      <c r="H173" s="99">
        <f>G173+'18 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'18 '!F174</f>
        <v>38457</v>
      </c>
      <c r="F174" s="157">
        <v>38466</v>
      </c>
      <c r="G174" s="634">
        <f t="shared" ref="G174:G175" si="14">F174-E174</f>
        <v>9</v>
      </c>
      <c r="H174" s="99">
        <f>G174+'18 '!H174</f>
        <v>173</v>
      </c>
      <c r="I174" s="155"/>
      <c r="J174" s="178">
        <f>H174/DAY(B2)</f>
        <v>9.1052631578947363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'18 '!F175</f>
        <v>21683</v>
      </c>
      <c r="F175" s="155">
        <v>21692</v>
      </c>
      <c r="G175" s="634">
        <f t="shared" si="14"/>
        <v>9</v>
      </c>
      <c r="H175" s="99">
        <f>G175+'18 '!H175</f>
        <v>174</v>
      </c>
      <c r="I175" s="155"/>
      <c r="J175" s="178">
        <f>H175/DAY(B2)</f>
        <v>9.1578947368421044</v>
      </c>
    </row>
    <row r="176" spans="1:10" ht="27.75">
      <c r="A176" s="827" t="s">
        <v>196</v>
      </c>
      <c r="B176" s="828"/>
      <c r="C176" s="485"/>
      <c r="D176" s="228" t="s">
        <v>142</v>
      </c>
      <c r="E176" s="95"/>
      <c r="F176" s="155"/>
      <c r="G176" s="634">
        <f>SUM(G173:G175)</f>
        <v>18</v>
      </c>
      <c r="H176" s="99">
        <f>G176+'18 '!H176</f>
        <v>347</v>
      </c>
      <c r="I176" s="155"/>
      <c r="J176" s="178">
        <f>H176/DAY(B2)</f>
        <v>18.263157894736842</v>
      </c>
    </row>
    <row r="177" spans="1:11" ht="27.75">
      <c r="A177" s="836" t="s">
        <v>77</v>
      </c>
      <c r="B177" s="837"/>
      <c r="C177" s="333"/>
      <c r="D177" s="228" t="s">
        <v>142</v>
      </c>
      <c r="E177" s="95"/>
      <c r="F177" s="155"/>
      <c r="G177" s="634"/>
      <c r="H177" s="99">
        <f>G177+'18 '!H177</f>
        <v>0</v>
      </c>
      <c r="I177" s="155"/>
      <c r="J177" s="178">
        <f>H177/DAY(B2)</f>
        <v>0</v>
      </c>
    </row>
    <row r="178" spans="1:11" ht="27.75">
      <c r="A178" s="836" t="s">
        <v>210</v>
      </c>
      <c r="B178" s="837"/>
      <c r="C178" s="333"/>
      <c r="D178" s="228" t="s">
        <v>142</v>
      </c>
      <c r="E178" s="95">
        <f>'18 '!F178</f>
        <v>80653</v>
      </c>
      <c r="F178" s="155">
        <v>80688</v>
      </c>
      <c r="G178" s="634">
        <f>F178-E178</f>
        <v>35</v>
      </c>
      <c r="H178" s="99">
        <f>G178+'18 '!H178</f>
        <v>1074</v>
      </c>
      <c r="I178" s="155"/>
      <c r="J178" s="178">
        <f>H178/DAY(B2)</f>
        <v>56.526315789473685</v>
      </c>
    </row>
    <row r="179" spans="1:11" ht="27.75">
      <c r="A179" s="836" t="s">
        <v>211</v>
      </c>
      <c r="B179" s="837"/>
      <c r="C179" s="333"/>
      <c r="D179" s="228" t="s">
        <v>142</v>
      </c>
      <c r="E179" s="95">
        <f>'18 '!F179</f>
        <v>34332</v>
      </c>
      <c r="F179" s="155">
        <v>34336</v>
      </c>
      <c r="G179" s="634">
        <f t="shared" ref="G179:G180" si="15">F179-E179</f>
        <v>4</v>
      </c>
      <c r="H179" s="99">
        <f>G179+'18 '!H179</f>
        <v>421</v>
      </c>
      <c r="I179" s="155"/>
      <c r="J179" s="178">
        <f>H179/DAY(B2)</f>
        <v>22.157894736842106</v>
      </c>
    </row>
    <row r="180" spans="1:11" ht="27.75">
      <c r="A180" s="836" t="s">
        <v>212</v>
      </c>
      <c r="B180" s="837"/>
      <c r="C180" s="333"/>
      <c r="D180" s="228" t="s">
        <v>142</v>
      </c>
      <c r="E180" s="95">
        <f>'18 '!F180</f>
        <v>5611</v>
      </c>
      <c r="F180" s="155">
        <v>5611</v>
      </c>
      <c r="G180" s="634">
        <f t="shared" si="15"/>
        <v>0</v>
      </c>
      <c r="H180" s="99">
        <f>G180+'18 '!H180</f>
        <v>134</v>
      </c>
      <c r="I180" s="155"/>
      <c r="J180" s="178">
        <f>H180/DAY(B2)</f>
        <v>7.0526315789473681</v>
      </c>
    </row>
    <row r="181" spans="1:11" ht="27.75">
      <c r="A181" s="838" t="s">
        <v>108</v>
      </c>
      <c r="B181" s="839"/>
      <c r="C181" s="485"/>
      <c r="D181" s="228" t="s">
        <v>142</v>
      </c>
      <c r="E181" s="95"/>
      <c r="F181" s="155"/>
      <c r="G181" s="634">
        <f>SUM(G178:G180)</f>
        <v>39</v>
      </c>
      <c r="H181" s="99">
        <f>G181+'18 '!H181</f>
        <v>1629</v>
      </c>
      <c r="I181" s="155"/>
      <c r="J181" s="178">
        <f>H181/DAY(B2)</f>
        <v>85.736842105263165</v>
      </c>
    </row>
    <row r="182" spans="1:11" ht="27.75">
      <c r="A182" s="836" t="s">
        <v>213</v>
      </c>
      <c r="B182" s="837"/>
      <c r="C182" s="333"/>
      <c r="D182" s="228" t="s">
        <v>142</v>
      </c>
      <c r="E182" s="95"/>
      <c r="F182" s="155"/>
      <c r="G182" s="634"/>
      <c r="H182" s="99">
        <f>G182+'18 '!H182</f>
        <v>0</v>
      </c>
      <c r="I182" s="155"/>
      <c r="J182" s="178">
        <f>H182/DAY(B2)</f>
        <v>0</v>
      </c>
    </row>
    <row r="183" spans="1:11" ht="27.75">
      <c r="A183" s="836" t="s">
        <v>214</v>
      </c>
      <c r="B183" s="837"/>
      <c r="C183" s="334"/>
      <c r="D183" s="228" t="s">
        <v>142</v>
      </c>
      <c r="E183" s="95">
        <f>'18 '!F183</f>
        <v>15161</v>
      </c>
      <c r="F183" s="157">
        <v>15172</v>
      </c>
      <c r="G183" s="635">
        <f>F183-E183</f>
        <v>11</v>
      </c>
      <c r="H183" s="99">
        <f>G183+'18 '!H183</f>
        <v>225</v>
      </c>
      <c r="I183" s="155"/>
      <c r="J183" s="178">
        <f>H183/DAY(B2)</f>
        <v>11.842105263157896</v>
      </c>
    </row>
    <row r="184" spans="1:11" ht="27.75">
      <c r="A184" s="836" t="s">
        <v>215</v>
      </c>
      <c r="B184" s="837"/>
      <c r="C184" s="334"/>
      <c r="D184" s="228" t="s">
        <v>142</v>
      </c>
      <c r="E184" s="95">
        <f>'18 '!F184</f>
        <v>10415</v>
      </c>
      <c r="F184" s="157">
        <v>10420</v>
      </c>
      <c r="G184" s="635">
        <f t="shared" ref="G184:G185" si="16">F184-E184</f>
        <v>5</v>
      </c>
      <c r="H184" s="99">
        <f>G184+'18 '!H184</f>
        <v>119</v>
      </c>
      <c r="I184" s="155"/>
      <c r="J184" s="178">
        <f>H184/DAY(B2)</f>
        <v>6.2631578947368425</v>
      </c>
    </row>
    <row r="185" spans="1:11" ht="30.75" customHeight="1">
      <c r="A185" s="836" t="s">
        <v>216</v>
      </c>
      <c r="B185" s="837"/>
      <c r="C185" s="334"/>
      <c r="D185" s="228" t="s">
        <v>142</v>
      </c>
      <c r="E185" s="95">
        <f>'18 '!F185</f>
        <v>0</v>
      </c>
      <c r="F185" s="157"/>
      <c r="G185" s="635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>
      <c r="A186" s="827" t="s">
        <v>196</v>
      </c>
      <c r="B186" s="828"/>
      <c r="C186" s="484"/>
      <c r="D186" s="228" t="s">
        <v>142</v>
      </c>
      <c r="E186" s="95"/>
      <c r="F186" s="157"/>
      <c r="G186" s="635">
        <f>SUM(G183:G185)</f>
        <v>16</v>
      </c>
      <c r="H186" s="99">
        <f>G186+'18 '!H186</f>
        <v>344</v>
      </c>
      <c r="I186" s="157"/>
      <c r="J186" s="178">
        <f>H186/DAY(B2)</f>
        <v>18.105263157894736</v>
      </c>
    </row>
    <row r="187" spans="1:11" ht="27.75">
      <c r="A187" s="829" t="s">
        <v>217</v>
      </c>
      <c r="B187" s="830"/>
      <c r="C187" s="333"/>
      <c r="D187" s="230" t="s">
        <v>142</v>
      </c>
      <c r="E187" s="95"/>
      <c r="F187" s="159"/>
      <c r="G187" s="636">
        <f>G62+G19</f>
        <v>117</v>
      </c>
      <c r="H187" s="99">
        <f>G187+'18 '!H187</f>
        <v>2166</v>
      </c>
      <c r="I187" s="158"/>
      <c r="J187" s="179">
        <f>H187/DAY(B2)</f>
        <v>114</v>
      </c>
    </row>
    <row r="188" spans="1:11" ht="27.75">
      <c r="A188" s="829" t="s">
        <v>218</v>
      </c>
      <c r="B188" s="830"/>
      <c r="C188" s="333"/>
      <c r="D188" s="230" t="s">
        <v>142</v>
      </c>
      <c r="E188" s="95"/>
      <c r="F188" s="159"/>
      <c r="G188" s="636">
        <f>G65+G66+G67+G69+G70</f>
        <v>115.10000000000036</v>
      </c>
      <c r="H188" s="99">
        <f>G188+'18 '!H188</f>
        <v>592.10000000000036</v>
      </c>
      <c r="I188" s="158"/>
      <c r="J188" s="179">
        <f>H188/DAY(B2)</f>
        <v>31.163157894736862</v>
      </c>
    </row>
    <row r="189" spans="1:11" ht="27.75">
      <c r="A189" s="829" t="s">
        <v>219</v>
      </c>
      <c r="B189" s="830"/>
      <c r="C189" s="333"/>
      <c r="D189" s="230" t="s">
        <v>142</v>
      </c>
      <c r="E189" s="95"/>
      <c r="F189" s="157"/>
      <c r="G189" s="636">
        <f>G181</f>
        <v>39</v>
      </c>
      <c r="H189" s="99">
        <f>G189+'30'!H238</f>
        <v>39</v>
      </c>
      <c r="I189" s="158"/>
      <c r="J189" s="179">
        <f>H189/DAY(B2)</f>
        <v>2.0526315789473686</v>
      </c>
    </row>
    <row r="190" spans="1:11" ht="23.25" customHeight="1">
      <c r="A190" s="245" t="s">
        <v>360</v>
      </c>
      <c r="B190" s="246"/>
      <c r="C190" s="246"/>
      <c r="D190" s="165"/>
      <c r="E190" s="165"/>
      <c r="F190" s="585">
        <f>'18 '!G190</f>
        <v>52871</v>
      </c>
      <c r="G190" s="630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/>
    <row r="192" spans="1:11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SheetLayoutView="55" zoomScalePageLayoutView="78" workbookViewId="0">
      <selection activeCell="F185" sqref="F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356</v>
      </c>
      <c r="B2" s="262">
        <v>44581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'19'!F7</f>
        <v>442206</v>
      </c>
      <c r="F7" s="95">
        <v>458929.15</v>
      </c>
      <c r="G7" s="112">
        <f>F7-E7</f>
        <v>16723.150000000023</v>
      </c>
      <c r="H7" s="99">
        <f>G7+'19'!H7</f>
        <v>364368.15</v>
      </c>
      <c r="I7" s="113">
        <v>24000</v>
      </c>
      <c r="J7" s="175">
        <f>H7/DAY(B2)</f>
        <v>18218.407500000001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'19'!F8</f>
        <v>494519</v>
      </c>
      <c r="F8" s="95">
        <v>511855.71</v>
      </c>
      <c r="G8" s="115">
        <f>F8-E8</f>
        <v>17336.710000000021</v>
      </c>
      <c r="H8" s="99">
        <f>G8+'19'!H8</f>
        <v>370970.71</v>
      </c>
      <c r="I8" s="116"/>
      <c r="J8" s="175">
        <f>H8/DAY(B2)</f>
        <v>18548.535500000002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'19'!F9</f>
        <v>121587.8</v>
      </c>
      <c r="F9" s="601">
        <v>132779.53</v>
      </c>
      <c r="G9" s="112">
        <f>F9-E9</f>
        <v>11191.729999999996</v>
      </c>
      <c r="H9" s="99">
        <f>G9+'19'!H9</f>
        <v>231284.52999999997</v>
      </c>
      <c r="I9" s="124">
        <f>I7-J7</f>
        <v>5781.5924999999988</v>
      </c>
      <c r="J9" s="175">
        <f>H9/DAY(B2)</f>
        <v>11564.226499999999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'19'!F10</f>
        <v>62985.4</v>
      </c>
      <c r="F10" s="353">
        <v>68056.070000000007</v>
      </c>
      <c r="G10" s="112">
        <f t="shared" ref="G10:G12" si="0">F10-E10</f>
        <v>5070.6700000000055</v>
      </c>
      <c r="H10" s="99">
        <f>G10+'19'!H10</f>
        <v>122962.07</v>
      </c>
      <c r="I10" s="282"/>
      <c r="J10" s="175">
        <f>H10/DAY(B2)</f>
        <v>6148.1035000000002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170</v>
      </c>
      <c r="I11" s="282"/>
      <c r="J11" s="175">
        <f>H11/DAY(B2)</f>
        <v>8.5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16262.400000000001</v>
      </c>
      <c r="H13" s="99">
        <f>G13+'19'!H13</f>
        <v>334951.34999999992</v>
      </c>
      <c r="I13" s="120">
        <f>G7-G13</f>
        <v>460.75000000002183</v>
      </c>
      <c r="J13" s="175">
        <f>H13/DAY(B2)</f>
        <v>16747.567499999997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'19'!F15</f>
        <v>1895056.3</v>
      </c>
      <c r="F15" s="123">
        <v>1896043.25</v>
      </c>
      <c r="G15" s="112">
        <f>(F15-E15)</f>
        <v>986.94999999995343</v>
      </c>
      <c r="H15" s="99">
        <f>G15+'19'!H15</f>
        <v>17613.25</v>
      </c>
      <c r="I15" s="113">
        <f>'1'!I15</f>
        <v>800</v>
      </c>
      <c r="J15" s="175">
        <f>H15/DAY(B2)</f>
        <v>880.66250000000002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-80.662500000000023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'19'!F18</f>
        <v>10</v>
      </c>
      <c r="F18" s="122">
        <v>16</v>
      </c>
      <c r="G18" s="119">
        <f>F18*10</f>
        <v>160</v>
      </c>
      <c r="H18" s="99">
        <f>G18+'19'!H18</f>
        <v>2140</v>
      </c>
      <c r="I18" s="113">
        <f>'1'!I18</f>
        <v>65</v>
      </c>
      <c r="J18" s="175">
        <f>H18/DAY(B2)</f>
        <v>107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'19'!F19</f>
        <v>153236</v>
      </c>
      <c r="F19" s="122">
        <v>153292</v>
      </c>
      <c r="G19" s="112">
        <f t="shared" ref="G19" si="1">F19-E19</f>
        <v>56</v>
      </c>
      <c r="H19" s="99">
        <f>G19+'19'!H19</f>
        <v>1067</v>
      </c>
      <c r="I19" s="335"/>
      <c r="J19" s="175">
        <f>H19/DAY(B2)</f>
        <v>53.35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G20+'19'!H20</f>
        <v>3207</v>
      </c>
      <c r="I20" s="336">
        <f>I18-J20</f>
        <v>-95.35</v>
      </c>
      <c r="J20" s="175">
        <f>H20/DAY(B2)</f>
        <v>160.35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'19'!F23</f>
        <v>1390</v>
      </c>
      <c r="F23" s="122">
        <v>2000</v>
      </c>
      <c r="G23" s="119">
        <v>0</v>
      </c>
      <c r="H23" s="99">
        <f>G23+'19'!H23</f>
        <v>110</v>
      </c>
      <c r="I23" s="118"/>
      <c r="J23" s="175">
        <f>H23/DAY(B2)</f>
        <v>5.5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110</v>
      </c>
      <c r="I24" s="118"/>
      <c r="J24" s="175">
        <f>H24/DAY(B2)</f>
        <v>5.5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17336.710000000021</v>
      </c>
      <c r="F27" s="136">
        <v>9</v>
      </c>
      <c r="G27" s="137">
        <f>E27*F27</f>
        <v>156030.39000000019</v>
      </c>
      <c r="H27" s="99">
        <f>G27+'19'!H27</f>
        <v>3338736.39</v>
      </c>
      <c r="I27" s="138"/>
      <c r="J27" s="175">
        <f>H27/DAY(B2)</f>
        <v>166936.81950000001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986.94999999995343</v>
      </c>
      <c r="F28" s="136">
        <v>52</v>
      </c>
      <c r="G28" s="137">
        <f>E28*F28</f>
        <v>51321.399999997579</v>
      </c>
      <c r="H28" s="99">
        <f>G28+'19'!H28</f>
        <v>915889</v>
      </c>
      <c r="I28" s="140"/>
      <c r="J28" s="175">
        <f>H28/DAY(B2)</f>
        <v>45794.45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7590</v>
      </c>
      <c r="I29" s="140"/>
      <c r="J29" s="175">
        <f>H29/DAY(B2)</f>
        <v>379.5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G30+'19'!H30</f>
        <v>155782</v>
      </c>
      <c r="I30" s="140"/>
      <c r="J30" s="175">
        <f>H30/DAY(B2)</f>
        <v>7789.1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G31+'19'!H31</f>
        <v>171200</v>
      </c>
      <c r="I31" s="140"/>
      <c r="J31" s="175">
        <f>H31/DAY(B2)</f>
        <v>8560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228327.78999999777</v>
      </c>
      <c r="H32" s="99">
        <f>G32+'19'!H32</f>
        <v>4589197.3900000006</v>
      </c>
      <c r="I32" s="144"/>
      <c r="J32" s="175">
        <f>H32/DAY(B2)</f>
        <v>229459.86950000003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'19'!F35</f>
        <v>16302.52</v>
      </c>
      <c r="F35" s="145">
        <v>17793.810000000001</v>
      </c>
      <c r="G35" s="112">
        <f t="shared" ref="G35:G46" si="3">F35-E35</f>
        <v>1491.2900000000009</v>
      </c>
      <c r="H35" s="99">
        <f>G35+'19'!H35</f>
        <v>32993.81</v>
      </c>
      <c r="I35" s="95"/>
      <c r="J35" s="175">
        <f>H35/DAY(B2)</f>
        <v>1649.6904999999999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'19'!F36</f>
        <v>34736.959999999999</v>
      </c>
      <c r="F36" s="145">
        <v>35331.82</v>
      </c>
      <c r="G36" s="112">
        <f t="shared" si="3"/>
        <v>594.86000000000058</v>
      </c>
      <c r="H36" s="99">
        <f>G36+'19'!H36</f>
        <v>13804.82</v>
      </c>
      <c r="I36" s="95"/>
      <c r="J36" s="175">
        <f>H36/DAY(B2)</f>
        <v>690.24099999999999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'19'!F37</f>
        <v>16480.14</v>
      </c>
      <c r="F37" s="504">
        <v>18017.919999999998</v>
      </c>
      <c r="G37" s="112">
        <f t="shared" si="3"/>
        <v>1537.7799999999988</v>
      </c>
      <c r="H37" s="99">
        <f>G37+'19'!H37</f>
        <v>30229.919999999998</v>
      </c>
      <c r="I37" s="95"/>
      <c r="J37" s="175">
        <f>H37/DAY(B2)</f>
        <v>1511.4959999999999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'19'!F38</f>
        <v>17488</v>
      </c>
      <c r="F38" s="106">
        <v>19100.849999999999</v>
      </c>
      <c r="G38" s="112">
        <f t="shared" si="3"/>
        <v>1612.8499999999985</v>
      </c>
      <c r="H38" s="99">
        <f>G38+'19'!H38</f>
        <v>32300.85</v>
      </c>
      <c r="I38" s="95"/>
      <c r="J38" s="175">
        <f>H38/DAY(B2)</f>
        <v>1615.0425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'19'!F39</f>
        <v>28000.560000000001</v>
      </c>
      <c r="F39" s="504">
        <v>30507.61</v>
      </c>
      <c r="G39" s="112">
        <f t="shared" si="3"/>
        <v>2507.0499999999993</v>
      </c>
      <c r="H39" s="99">
        <f>G39+'19'!H39</f>
        <v>52189.61</v>
      </c>
      <c r="I39" s="95"/>
      <c r="J39" s="175">
        <f>H39/DAY(B2)</f>
        <v>2609.4805000000001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'19'!F40</f>
        <v>14058.37</v>
      </c>
      <c r="F40" s="145">
        <v>14501.05</v>
      </c>
      <c r="G40" s="112">
        <f t="shared" si="3"/>
        <v>442.67999999999847</v>
      </c>
      <c r="H40" s="99">
        <f>G40+'19'!H40</f>
        <v>8891.0499999999993</v>
      </c>
      <c r="I40" s="95"/>
      <c r="J40" s="175">
        <f>H40/DAY(B2)</f>
        <v>444.55249999999995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'19'!F42</f>
        <v>73808.600000000006</v>
      </c>
      <c r="F42" s="145">
        <v>73808.600000000006</v>
      </c>
      <c r="G42" s="112">
        <f t="shared" si="3"/>
        <v>0</v>
      </c>
      <c r="H42" s="99">
        <f>G42+'19'!H42</f>
        <v>-0.39999999999417923</v>
      </c>
      <c r="I42" s="95"/>
      <c r="J42" s="175">
        <f>H42/DAY(B2)</f>
        <v>-1.9999999999708962E-2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'19'!F43</f>
        <v>89753.52</v>
      </c>
      <c r="F43" s="145">
        <v>92066.99</v>
      </c>
      <c r="G43" s="112">
        <f t="shared" si="3"/>
        <v>2313.4700000000012</v>
      </c>
      <c r="H43" s="99">
        <f>G43+'19'!H43</f>
        <v>44805.990000000005</v>
      </c>
      <c r="I43" s="95"/>
      <c r="J43" s="175">
        <f>H43/DAY(B2)</f>
        <v>2240.2995000000001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10499.979999999998</v>
      </c>
      <c r="H47" s="99">
        <f>G47+'19'!H47</f>
        <v>215215.65000000005</v>
      </c>
      <c r="I47" s="95"/>
      <c r="J47" s="175">
        <f>H47/DAY(B2)</f>
        <v>10760.782500000003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'19'!F49</f>
        <v>13711.82</v>
      </c>
      <c r="F49" s="145">
        <v>14791.1</v>
      </c>
      <c r="G49" s="112">
        <f t="shared" ref="G49:G58" si="4">F49-E49</f>
        <v>1079.2800000000007</v>
      </c>
      <c r="H49" s="99">
        <f>G49+'19'!H49</f>
        <v>27912.1</v>
      </c>
      <c r="I49" s="95"/>
      <c r="J49" s="175">
        <f>H49/DAY(B2)</f>
        <v>1395.605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'19'!F50</f>
        <v>43021.69</v>
      </c>
      <c r="F50" s="145">
        <v>43936.35</v>
      </c>
      <c r="G50" s="112">
        <f t="shared" si="4"/>
        <v>914.65999999999622</v>
      </c>
      <c r="H50" s="99">
        <f>G50+'19'!H50</f>
        <v>19286.349999999999</v>
      </c>
      <c r="I50" s="95"/>
      <c r="J50" s="175">
        <f>H50/DAY(B2)</f>
        <v>964.31749999999988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'19'!F54</f>
        <v>5147.42</v>
      </c>
      <c r="F54" s="145">
        <v>5147.42</v>
      </c>
      <c r="G54" s="112">
        <f t="shared" si="4"/>
        <v>0</v>
      </c>
      <c r="H54" s="99">
        <f>G54+'19'!H54</f>
        <v>6914.5</v>
      </c>
      <c r="I54" s="95"/>
      <c r="J54" s="175">
        <f>H54/DAY(B2)</f>
        <v>345.72500000000002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'19'!F55</f>
        <v>60685.83</v>
      </c>
      <c r="F55" s="145">
        <v>63274.47</v>
      </c>
      <c r="G55" s="112">
        <f t="shared" si="4"/>
        <v>2588.6399999999994</v>
      </c>
      <c r="H55" s="99">
        <f>G55+'19'!H55</f>
        <v>59763.47</v>
      </c>
      <c r="I55" s="95"/>
      <c r="J55" s="175">
        <f>H55/DAY(B2)</f>
        <v>2988.1734999999999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'19'!F58</f>
        <v>2310.27</v>
      </c>
      <c r="F58" s="145">
        <v>2566.9899999999998</v>
      </c>
      <c r="G58" s="112">
        <f t="shared" si="4"/>
        <v>256.7199999999998</v>
      </c>
      <c r="H58" s="99">
        <f>G58+'19'!H58</f>
        <v>2907.6200000000044</v>
      </c>
      <c r="I58" s="95"/>
      <c r="J58" s="175">
        <f>H58/DAY(B2)</f>
        <v>145.38100000000023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4839.2999999999956</v>
      </c>
      <c r="H59" s="99">
        <f>G59+'19'!H59</f>
        <v>116784.04000000004</v>
      </c>
      <c r="I59" s="95">
        <f>G7-G60</f>
        <v>1383.8700000000299</v>
      </c>
      <c r="J59" s="175">
        <f>H59/DAY(B2)</f>
        <v>5839.202000000002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15339.279999999993</v>
      </c>
      <c r="H60" s="99">
        <f>G60+'19'!H60</f>
        <v>331999.68999999994</v>
      </c>
      <c r="I60" s="95">
        <f>G13-G60</f>
        <v>923.12000000000808</v>
      </c>
      <c r="J60" s="175">
        <f>H60/DAY(B2)</f>
        <v>16599.984499999999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'19'!F62</f>
        <v>268368</v>
      </c>
      <c r="F62" s="122">
        <v>268437</v>
      </c>
      <c r="G62" s="112">
        <f t="shared" ref="G62:G63" si="5">F62-E62</f>
        <v>69</v>
      </c>
      <c r="H62" s="99">
        <f>G62+'19'!H62</f>
        <v>1224</v>
      </c>
      <c r="I62" s="118"/>
      <c r="J62" s="175">
        <f>H62/DAY(B2)</f>
        <v>61.2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'19'!F63</f>
        <v>214335</v>
      </c>
      <c r="F63" s="122">
        <v>214440</v>
      </c>
      <c r="G63" s="112">
        <f t="shared" si="5"/>
        <v>105</v>
      </c>
      <c r="H63" s="99">
        <f>G63+'19'!H63</f>
        <v>2015</v>
      </c>
      <c r="I63" s="118"/>
      <c r="J63" s="175">
        <f>H63/DAY(B2)</f>
        <v>100.75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'19'!F64</f>
        <v>0</v>
      </c>
      <c r="F64" s="122"/>
      <c r="G64" s="112">
        <f>G62+G63</f>
        <v>174</v>
      </c>
      <c r="H64" s="99">
        <f>G64+'19'!H64</f>
        <v>3239</v>
      </c>
      <c r="I64" s="118"/>
      <c r="J64" s="175">
        <f>H64/DAY(B2)</f>
        <v>161.94999999999999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'19'!F65</f>
        <v>433919</v>
      </c>
      <c r="F65" s="122">
        <v>433991</v>
      </c>
      <c r="G65" s="112">
        <f t="shared" ref="G65:G70" si="6">F65-E65</f>
        <v>72</v>
      </c>
      <c r="H65" s="99">
        <f>G65+'19'!H65</f>
        <v>1377</v>
      </c>
      <c r="I65" s="118"/>
      <c r="J65" s="175">
        <f>H65/DAY(B2)</f>
        <v>68.849999999999994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'19'!F66</f>
        <v>107534</v>
      </c>
      <c r="F66" s="122">
        <v>107544</v>
      </c>
      <c r="G66" s="112">
        <f t="shared" si="6"/>
        <v>10</v>
      </c>
      <c r="H66" s="99">
        <f>G66+'19'!H66</f>
        <v>330</v>
      </c>
      <c r="I66" s="118"/>
      <c r="J66" s="175">
        <f>H66/DAY(B2)</f>
        <v>16.5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'19'!F67</f>
        <v>104367</v>
      </c>
      <c r="F67" s="122">
        <v>104390</v>
      </c>
      <c r="G67" s="112">
        <f t="shared" si="6"/>
        <v>23</v>
      </c>
      <c r="H67" s="99">
        <f>G67+'19'!H67</f>
        <v>462</v>
      </c>
      <c r="I67" s="118"/>
      <c r="J67" s="175">
        <f>H67/DAY(B2)</f>
        <v>23.1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'19'!F68</f>
        <v>157143</v>
      </c>
      <c r="F68" s="122">
        <v>157193</v>
      </c>
      <c r="G68" s="112">
        <f t="shared" si="6"/>
        <v>50</v>
      </c>
      <c r="H68" s="99">
        <f>G68+'19'!H68</f>
        <v>573</v>
      </c>
      <c r="I68" s="118"/>
      <c r="J68" s="175">
        <f>H68/DAY(B2)</f>
        <v>28.65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'19'!F69</f>
        <v>10397</v>
      </c>
      <c r="F69" s="122">
        <v>10411</v>
      </c>
      <c r="G69" s="112">
        <f t="shared" si="6"/>
        <v>14</v>
      </c>
      <c r="H69" s="99">
        <f>G69+'19'!H69</f>
        <v>197</v>
      </c>
      <c r="I69" s="118"/>
      <c r="J69" s="175">
        <f>H69/DAY(B2)</f>
        <v>9.85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'19'!F70</f>
        <v>8001.1</v>
      </c>
      <c r="F70" s="122">
        <v>8006</v>
      </c>
      <c r="G70" s="112">
        <f t="shared" si="6"/>
        <v>4.8999999999996362</v>
      </c>
      <c r="H70" s="99">
        <f>G70+'19'!H70</f>
        <v>144</v>
      </c>
      <c r="I70" s="118"/>
      <c r="J70" s="175">
        <f>H70/DAY(B2)</f>
        <v>7.2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173.89999999999964</v>
      </c>
      <c r="H71" s="99">
        <f>G71+'19'!H71</f>
        <v>3083</v>
      </c>
      <c r="I71" s="154"/>
      <c r="J71" s="175">
        <f>H71/DAY(B2)</f>
        <v>154.15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'19'!F74</f>
        <v>897672.5</v>
      </c>
      <c r="F74" s="117">
        <v>897967.65</v>
      </c>
      <c r="G74" s="112">
        <f t="shared" ref="G74:G78" si="7">F74-E74</f>
        <v>295.15000000002328</v>
      </c>
      <c r="H74" s="99">
        <f>G74+'19'!H74</f>
        <v>5935.6500000000233</v>
      </c>
      <c r="I74" s="154"/>
      <c r="J74" s="175">
        <f>H74/DAY(B2)</f>
        <v>296.78250000000116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'19'!F76</f>
        <v>168794.9</v>
      </c>
      <c r="F76" s="123">
        <v>168878.54</v>
      </c>
      <c r="G76" s="112">
        <f t="shared" si="7"/>
        <v>83.64000000001397</v>
      </c>
      <c r="H76" s="99">
        <f>G76+'19'!H76</f>
        <v>1671.5400000000081</v>
      </c>
      <c r="I76" s="154"/>
      <c r="J76" s="175">
        <f>H76/DAY(B2)</f>
        <v>83.57700000000041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'19'!F77</f>
        <v>40871.1</v>
      </c>
      <c r="F77" s="123">
        <v>40896.699999999997</v>
      </c>
      <c r="G77" s="112">
        <f t="shared" si="7"/>
        <v>25.599999999998545</v>
      </c>
      <c r="H77" s="99">
        <f>G77+'19'!H77</f>
        <v>580.69999999999709</v>
      </c>
      <c r="I77" s="154"/>
      <c r="J77" s="175">
        <f>H77/DAY(B2)</f>
        <v>29.034999999999854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'19'!F78</f>
        <v>9501.2999999999993</v>
      </c>
      <c r="F78" s="123">
        <v>9501.9</v>
      </c>
      <c r="G78" s="112">
        <f t="shared" si="7"/>
        <v>0.6000000000003638</v>
      </c>
      <c r="H78" s="99">
        <f>G78+'19'!H78</f>
        <v>15.899999999999636</v>
      </c>
      <c r="I78" s="118"/>
      <c r="J78" s="175">
        <f>H78/DAY(B2)</f>
        <v>0.79499999999998183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'19'!F79</f>
        <v>0</v>
      </c>
      <c r="F79" s="117"/>
      <c r="G79" s="112">
        <f>G15-SUM(G74:G78)</f>
        <v>581.95999999991727</v>
      </c>
      <c r="H79" s="99">
        <f>G79+'19'!H79</f>
        <v>9409.4599999999718</v>
      </c>
      <c r="I79" s="118"/>
      <c r="J79" s="175"/>
      <c r="K79" s="59"/>
      <c r="L79" s="58"/>
      <c r="N79" s="87"/>
      <c r="O79" s="71"/>
    </row>
    <row r="80" spans="1:15" s="57" customFormat="1" ht="29.25">
      <c r="A80" s="925" t="s">
        <v>329</v>
      </c>
      <c r="B80" s="926"/>
      <c r="C80" s="927"/>
      <c r="D80" s="151"/>
      <c r="E80" s="117"/>
      <c r="F80" s="117"/>
      <c r="G80" s="112">
        <f>SUM(G74:G79)</f>
        <v>986.94999999995343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'19'!F84</f>
        <v>41675.4</v>
      </c>
      <c r="F84" s="164">
        <v>41675.26</v>
      </c>
      <c r="G84" s="112">
        <f t="shared" si="8"/>
        <v>-0.13999999999941792</v>
      </c>
      <c r="H84" s="99">
        <f>G84+'19'!H84</f>
        <v>0.26000000000203727</v>
      </c>
      <c r="I84" s="118"/>
      <c r="J84" s="175">
        <f>H84/DAY(B2)</f>
        <v>1.3000000000101864E-2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'19'!F85</f>
        <v>2096.5500000000002</v>
      </c>
      <c r="F85" s="164">
        <v>2096.56</v>
      </c>
      <c r="G85" s="112">
        <f t="shared" si="8"/>
        <v>9.9999999997635314E-3</v>
      </c>
      <c r="H85" s="99">
        <f>G85+'19'!H85</f>
        <v>0</v>
      </c>
      <c r="I85" s="118">
        <f>G82+G83+G84+G85</f>
        <v>-0.12999999999965439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'19'!F86</f>
        <v>43321</v>
      </c>
      <c r="F86" s="164">
        <v>43345.37</v>
      </c>
      <c r="G86" s="112">
        <f t="shared" si="8"/>
        <v>24.370000000002619</v>
      </c>
      <c r="H86" s="99">
        <f>G86+'19'!H86</f>
        <v>482.37000000000262</v>
      </c>
      <c r="I86" s="118"/>
      <c r="J86" s="175">
        <f>H86/DAY(B2)</f>
        <v>24.118500000000132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'19'!F88</f>
        <v>24061.37</v>
      </c>
      <c r="F88" s="164">
        <v>24061.37</v>
      </c>
      <c r="G88" s="112">
        <f t="shared" si="8"/>
        <v>0</v>
      </c>
      <c r="H88" s="99">
        <f>G88+'19'!H88</f>
        <v>14.369999999998981</v>
      </c>
      <c r="I88" s="118">
        <f>G86+G87+G88</f>
        <v>24.370000000002619</v>
      </c>
      <c r="J88" s="175">
        <f>H88/DAY(B2)</f>
        <v>0.71849999999994907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'19'!F89</f>
        <v>25779.07</v>
      </c>
      <c r="F89" s="164">
        <v>25790.26</v>
      </c>
      <c r="G89" s="112">
        <f t="shared" si="8"/>
        <v>11.18999999999869</v>
      </c>
      <c r="H89" s="99">
        <f>G89+'19'!H89</f>
        <v>127.2599999999984</v>
      </c>
      <c r="I89" s="118"/>
      <c r="J89" s="175">
        <f>H89/DAY(B2)</f>
        <v>6.3629999999999196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'19'!F90</f>
        <v>71133.570000000007</v>
      </c>
      <c r="F90" s="164">
        <v>71136.31</v>
      </c>
      <c r="G90" s="112">
        <f t="shared" si="8"/>
        <v>2.7399999999906868</v>
      </c>
      <c r="H90" s="99">
        <f>G90+'19'!H90</f>
        <v>102.30999999999767</v>
      </c>
      <c r="I90" s="118">
        <f>G89+G90</f>
        <v>13.929999999989377</v>
      </c>
      <c r="J90" s="175">
        <f>H90/DAY(B2)</f>
        <v>5.1154999999998836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'19'!F92</f>
        <v>5636.06</v>
      </c>
      <c r="F92" s="122">
        <v>5646.39</v>
      </c>
      <c r="G92" s="112">
        <f t="shared" si="8"/>
        <v>10.329999999999927</v>
      </c>
      <c r="H92" s="99">
        <f>G92+'19'!H92</f>
        <v>208.39000000000033</v>
      </c>
      <c r="I92" s="165"/>
      <c r="J92" s="175">
        <f>H92/DAY(B2)</f>
        <v>10.419500000000017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4884.0400000000027</v>
      </c>
      <c r="H94" s="99">
        <f>G94+'19'!H94</f>
        <v>105711.90000000001</v>
      </c>
      <c r="I94" s="118"/>
      <c r="J94" s="175">
        <f>H94/DAY(B2)</f>
        <v>5285.5950000000003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0.29205263362464584</v>
      </c>
      <c r="H95" s="99">
        <f>G95+'19'!H95</f>
        <v>5.7906452123989451</v>
      </c>
      <c r="I95" s="167"/>
      <c r="J95" s="175">
        <f>H95/DAY(B2)</f>
        <v>0.28953226061994725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2588.6399999999994</v>
      </c>
      <c r="H96" s="99">
        <f>G96+'19'!H96</f>
        <v>59763.070000000007</v>
      </c>
      <c r="I96" s="118"/>
      <c r="J96" s="175">
        <f>H96/DAY(B2)</f>
        <v>2988.1535000000003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0.15479380379892518</v>
      </c>
      <c r="H97" s="99">
        <f>G97+'19'!H97</f>
        <v>3.2877979466839382</v>
      </c>
      <c r="I97" s="167"/>
      <c r="J97" s="175">
        <f>H97/DAY(B2)</f>
        <v>0.1643898973341969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2507.0499999999993</v>
      </c>
      <c r="H98" s="99">
        <f>G98+'19'!H98</f>
        <v>52189.61</v>
      </c>
      <c r="I98" s="168"/>
      <c r="J98" s="175">
        <f>H98/DAY(B2)</f>
        <v>2609.4805000000001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0.14991493827418853</v>
      </c>
      <c r="H99" s="99">
        <f>G99+'19'!H99</f>
        <v>2.8718939129771401</v>
      </c>
      <c r="I99" s="168"/>
      <c r="J99" s="175">
        <f>H99/DAY(B2)</f>
        <v>0.14359469564885702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1612.8499999999985</v>
      </c>
      <c r="H100" s="99">
        <f>G100+'19'!H100</f>
        <v>32300.85</v>
      </c>
      <c r="I100" s="118"/>
      <c r="J100" s="175">
        <f>H100/DAY(B2)</f>
        <v>1615.0425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9.644415077302998E-2</v>
      </c>
      <c r="H101" s="99">
        <f>G101+'19'!H101</f>
        <v>1.778512707822081</v>
      </c>
      <c r="I101" s="168"/>
      <c r="J101" s="175">
        <f>H101/DAY(B2)</f>
        <v>8.8925635391104055E-2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1509.5199999999968</v>
      </c>
      <c r="H102" s="99">
        <f>G102+'19'!H102</f>
        <v>33091.17</v>
      </c>
      <c r="I102" s="168"/>
      <c r="J102" s="175">
        <f>H102/DAY(B2)</f>
        <v>1654.5584999999999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9.0265290929041161E-2</v>
      </c>
      <c r="H103" s="99">
        <f>G103+'19'!H103</f>
        <v>1.8118823063571283</v>
      </c>
      <c r="I103" s="118"/>
      <c r="J103" s="175">
        <f>H103/DAY(B2)</f>
        <v>9.0594115317856411E-2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1537.7799999999988</v>
      </c>
      <c r="H104" s="99">
        <f>G104+'19'!H104</f>
        <v>30229.919999999998</v>
      </c>
      <c r="I104" s="118"/>
      <c r="J104" s="175">
        <f>H104/DAY(B2)</f>
        <v>1511.4959999999999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9.1955163949375363E-2</v>
      </c>
      <c r="H105" s="99">
        <f>G105+'19'!H105</f>
        <v>1.666115611193437</v>
      </c>
      <c r="I105" s="187"/>
      <c r="J105" s="188">
        <f>H105/DAY(B2)</f>
        <v>8.3305780559671846E-2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'19'!F112</f>
        <v>57125.98</v>
      </c>
      <c r="F112" s="237">
        <v>57204.12</v>
      </c>
      <c r="G112" s="112">
        <f t="shared" ref="G112:G123" si="9">F112-E112</f>
        <v>78.139999999999418</v>
      </c>
      <c r="H112" s="99">
        <f>G112+'19'!H112</f>
        <v>1523.1200000000026</v>
      </c>
      <c r="I112" s="165"/>
      <c r="J112" s="328">
        <f>H112/DAY(B2)</f>
        <v>76.156000000000134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'19'!F113</f>
        <v>40787.379999999997</v>
      </c>
      <c r="F113" s="237">
        <v>41236.870000000003</v>
      </c>
      <c r="G113" s="112">
        <f t="shared" si="9"/>
        <v>449.49000000000524</v>
      </c>
      <c r="H113" s="99">
        <f>G113+'19'!H113</f>
        <v>9041.8700000000026</v>
      </c>
      <c r="I113" s="165"/>
      <c r="J113" s="328">
        <f>H113/DAY(B2)</f>
        <v>452.09350000000012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'19'!F114</f>
        <v>29901.7</v>
      </c>
      <c r="F114" s="237">
        <v>30161.65</v>
      </c>
      <c r="G114" s="112">
        <f t="shared" si="9"/>
        <v>259.95000000000073</v>
      </c>
      <c r="H114" s="99">
        <f>G114+'19'!H114</f>
        <v>5157.0500000000011</v>
      </c>
      <c r="I114" s="165"/>
      <c r="J114" s="328">
        <f>H114/DAY(B2)</f>
        <v>257.85250000000008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'19'!F115</f>
        <v>8979.4500000000007</v>
      </c>
      <c r="F115" s="237">
        <v>8988.66</v>
      </c>
      <c r="G115" s="112">
        <f t="shared" si="9"/>
        <v>9.2099999999991269</v>
      </c>
      <c r="H115" s="99">
        <f>G115+'19'!H115</f>
        <v>203.65999999999985</v>
      </c>
      <c r="I115" s="165"/>
      <c r="J115" s="328">
        <f>H115/DAY(B2)</f>
        <v>10.182999999999993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28">
        <f>H116/DAY(B2)</f>
        <v>0</v>
      </c>
      <c r="Q116" s="843"/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'19'!F117</f>
        <v>3046.45</v>
      </c>
      <c r="F117" s="237">
        <v>3069.13</v>
      </c>
      <c r="G117" s="112">
        <f t="shared" si="9"/>
        <v>22.680000000000291</v>
      </c>
      <c r="H117" s="99">
        <f>G117+'19'!H117</f>
        <v>479.13000000000011</v>
      </c>
      <c r="I117" s="165"/>
      <c r="J117" s="328">
        <f>H117/DAY(B2)</f>
        <v>23.956500000000005</v>
      </c>
      <c r="Q117" s="843"/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'19'!F118</f>
        <v>248401.09</v>
      </c>
      <c r="F118" s="237">
        <v>248744.33</v>
      </c>
      <c r="G118" s="112">
        <f t="shared" si="9"/>
        <v>343.23999999999069</v>
      </c>
      <c r="H118" s="99">
        <f>G118+'19'!H118</f>
        <v>7097.3299999999872</v>
      </c>
      <c r="I118" s="165"/>
      <c r="J118" s="328">
        <f>H118/DAY(B2)</f>
        <v>354.86649999999935</v>
      </c>
      <c r="Q118" s="843"/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'19'!F119</f>
        <v>253125.45</v>
      </c>
      <c r="F119" s="237">
        <v>253557.93</v>
      </c>
      <c r="G119" s="112">
        <f t="shared" si="9"/>
        <v>432.47999999998137</v>
      </c>
      <c r="H119" s="99">
        <f>G119+'19'!H119</f>
        <v>8431.929999999993</v>
      </c>
      <c r="I119" s="165"/>
      <c r="J119" s="328">
        <f>H119/DAY(B2)</f>
        <v>421.59649999999965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'19'!F120</f>
        <v>37987.129999999997</v>
      </c>
      <c r="F120" s="237">
        <v>38389.870000000003</v>
      </c>
      <c r="G120" s="112">
        <f t="shared" si="9"/>
        <v>402.74000000000524</v>
      </c>
      <c r="H120" s="99">
        <f>G120+'19'!H120</f>
        <v>8311.8700000000026</v>
      </c>
      <c r="I120" s="165"/>
      <c r="J120" s="328">
        <f>H120/DAY(B2)</f>
        <v>415.59350000000012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'19'!F121</f>
        <v>389744.43</v>
      </c>
      <c r="F121" s="237">
        <v>390351.51</v>
      </c>
      <c r="G121" s="112">
        <f t="shared" si="9"/>
        <v>607.0800000000163</v>
      </c>
      <c r="H121" s="99">
        <f>G121+'19'!H121</f>
        <v>13822.510000000009</v>
      </c>
      <c r="I121" s="165"/>
      <c r="J121" s="328">
        <f>H121/DAY(B2)</f>
        <v>691.12550000000044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'19'!F122</f>
        <v>123875.49</v>
      </c>
      <c r="F122" s="237">
        <v>124029.62</v>
      </c>
      <c r="G122" s="112">
        <f t="shared" si="9"/>
        <v>154.1299999999901</v>
      </c>
      <c r="H122" s="99">
        <f>G122+'19'!H122</f>
        <v>3979.6199999999953</v>
      </c>
      <c r="I122" s="165"/>
      <c r="J122" s="328">
        <f>H122/DAY(B2)</f>
        <v>198.98099999999977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'19'!F123</f>
        <v>150781.35</v>
      </c>
      <c r="F123" s="237">
        <v>151054.42000000001</v>
      </c>
      <c r="G123" s="112">
        <f t="shared" si="9"/>
        <v>273.07000000000698</v>
      </c>
      <c r="H123" s="99">
        <f>G123+'19'!H123</f>
        <v>5929.4200000000128</v>
      </c>
      <c r="I123" s="165"/>
      <c r="J123" s="328">
        <f>H123/DAY(B2)</f>
        <v>296.47100000000063</v>
      </c>
    </row>
    <row r="124" spans="1:18" ht="29.25" customHeight="1">
      <c r="A124" s="847"/>
      <c r="B124" s="848"/>
      <c r="C124" s="849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>
      <c r="A125" s="915" t="s">
        <v>108</v>
      </c>
      <c r="B125" s="915"/>
      <c r="C125" s="245"/>
      <c r="D125" s="307"/>
      <c r="E125" s="308"/>
      <c r="F125" s="308"/>
      <c r="G125" s="309">
        <f>SUM(G112:G124)</f>
        <v>3032.2099999999955</v>
      </c>
      <c r="H125" s="156"/>
      <c r="I125" s="327">
        <f>G125-(G39+G53)</f>
        <v>525.15999999999622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'19'!F128</f>
        <v>44007</v>
      </c>
      <c r="F128" s="165">
        <v>44305.26</v>
      </c>
      <c r="G128" s="112">
        <f t="shared" ref="G128:G134" si="10">F128-E128</f>
        <v>298.26000000000204</v>
      </c>
      <c r="H128" s="99">
        <f>G128+'19'!H128</f>
        <v>6301.260000000002</v>
      </c>
      <c r="I128" s="165"/>
      <c r="J128" s="328">
        <f>H128/DAY(B2)</f>
        <v>315.0630000000001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'19'!F129</f>
        <v>24539.05</v>
      </c>
      <c r="F129" s="165">
        <v>24721.98</v>
      </c>
      <c r="G129" s="112">
        <f t="shared" si="10"/>
        <v>182.93000000000029</v>
      </c>
      <c r="H129" s="99">
        <f>G129+'19'!H129</f>
        <v>4400.9799999999996</v>
      </c>
      <c r="I129" s="165"/>
      <c r="J129" s="328">
        <f>H129/DAY(B2)</f>
        <v>220.04899999999998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'19'!F130</f>
        <v>29719.24</v>
      </c>
      <c r="F130" s="165">
        <v>30206.9</v>
      </c>
      <c r="G130" s="112">
        <f t="shared" si="10"/>
        <v>487.65999999999985</v>
      </c>
      <c r="H130" s="99">
        <f>G130+'19'!H130</f>
        <v>11824.900000000001</v>
      </c>
      <c r="I130" s="165"/>
      <c r="J130" s="328">
        <f>H130/DAY(B2)</f>
        <v>591.24500000000012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'19'!F131</f>
        <v>14534.22</v>
      </c>
      <c r="F131" s="165">
        <v>14612.15</v>
      </c>
      <c r="G131" s="112">
        <f t="shared" si="10"/>
        <v>77.930000000000291</v>
      </c>
      <c r="H131" s="99">
        <f>G131+'19'!H131</f>
        <v>1459.1499999999996</v>
      </c>
      <c r="I131" s="165"/>
      <c r="J131" s="328">
        <f>H131/DAY(B2)</f>
        <v>72.957499999999982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'19'!F132</f>
        <v>49852.15</v>
      </c>
      <c r="F132" s="165">
        <v>50017.94</v>
      </c>
      <c r="G132" s="112">
        <f t="shared" si="10"/>
        <v>165.79000000000087</v>
      </c>
      <c r="H132" s="99">
        <f>G132+'19'!H132</f>
        <v>8994.9400000000023</v>
      </c>
      <c r="I132" s="165"/>
      <c r="J132" s="328">
        <f>H132/DAY(B2)</f>
        <v>449.74700000000013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'19'!F133</f>
        <v>99251.43</v>
      </c>
      <c r="F133" s="165">
        <v>99906.82</v>
      </c>
      <c r="G133" s="112">
        <f t="shared" si="10"/>
        <v>655.39000000001397</v>
      </c>
      <c r="H133" s="99">
        <f>G133+'19'!H133</f>
        <v>12203.820000000007</v>
      </c>
      <c r="I133" s="165"/>
      <c r="J133" s="328">
        <f>H133/DAY(B2)</f>
        <v>610.19100000000037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'19'!F134</f>
        <v>6620</v>
      </c>
      <c r="F134" s="594">
        <v>6866.21</v>
      </c>
      <c r="G134" s="112">
        <f t="shared" si="10"/>
        <v>246.21000000000004</v>
      </c>
      <c r="H134" s="99">
        <f>G134+'19'!H134</f>
        <v>9160.2099999999991</v>
      </c>
      <c r="I134" s="165"/>
      <c r="J134" s="328">
        <f>H134/DAY(B2)</f>
        <v>458.01049999999998</v>
      </c>
    </row>
    <row r="135" spans="1:15" ht="27.75">
      <c r="A135" s="923" t="s">
        <v>108</v>
      </c>
      <c r="B135" s="924"/>
      <c r="C135" s="839"/>
      <c r="D135" s="151"/>
      <c r="E135" s="95"/>
      <c r="F135" s="165"/>
      <c r="G135" s="112">
        <f>SUM(G128:G134)</f>
        <v>2114.1700000000174</v>
      </c>
      <c r="H135" s="99"/>
      <c r="I135" s="327">
        <f>G135-(G35+G49)</f>
        <v>-456.39999999998417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'19'!F138</f>
        <v>865348</v>
      </c>
      <c r="F138" s="147">
        <v>865405</v>
      </c>
      <c r="G138" s="112">
        <f t="shared" ref="G138:G152" si="11">F138-E138</f>
        <v>57</v>
      </c>
      <c r="H138" s="99">
        <f>G138+'19'!H138</f>
        <v>1234</v>
      </c>
      <c r="I138" s="118"/>
      <c r="J138" s="328">
        <f>H138/DAY(B2)</f>
        <v>61.7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'19'!F139</f>
        <v>886551</v>
      </c>
      <c r="F139" s="148">
        <v>886552</v>
      </c>
      <c r="G139" s="112">
        <f t="shared" si="11"/>
        <v>1</v>
      </c>
      <c r="H139" s="99">
        <f>G139+'19'!H139</f>
        <v>6</v>
      </c>
      <c r="I139" s="118"/>
      <c r="J139" s="328">
        <f>H139/DAY(B2)</f>
        <v>0.3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'19'!F140</f>
        <v>88898</v>
      </c>
      <c r="F140" s="149">
        <v>88917</v>
      </c>
      <c r="G140" s="112">
        <f>F140-E140</f>
        <v>19</v>
      </c>
      <c r="H140" s="99">
        <f>G140+'19'!H140</f>
        <v>35</v>
      </c>
      <c r="I140" s="118"/>
      <c r="J140" s="328">
        <f>H140/DAY(B2)</f>
        <v>1.75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'19'!F141</f>
        <v>52577.7</v>
      </c>
      <c r="F141" s="149">
        <v>52741.02</v>
      </c>
      <c r="G141" s="112">
        <f t="shared" si="11"/>
        <v>163.31999999999971</v>
      </c>
      <c r="H141" s="99">
        <f>G141+'19'!H141</f>
        <v>3435.0199999999968</v>
      </c>
      <c r="I141" s="118"/>
      <c r="J141" s="328">
        <f>H141/DAY(B2)</f>
        <v>171.75099999999983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'19'!F142</f>
        <v>20344.240000000002</v>
      </c>
      <c r="F142" s="148">
        <v>20419.13</v>
      </c>
      <c r="G142" s="112">
        <f t="shared" si="11"/>
        <v>74.889999999999418</v>
      </c>
      <c r="H142" s="99">
        <f>G142+'19'!H142</f>
        <v>1410.130000000001</v>
      </c>
      <c r="I142" s="140"/>
      <c r="J142" s="328">
        <f>H142/DAY(B2)</f>
        <v>70.506500000000045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'19'!F143</f>
        <v>3515.52</v>
      </c>
      <c r="F143" s="149">
        <v>3541.77</v>
      </c>
      <c r="G143" s="112">
        <f t="shared" si="11"/>
        <v>26.25</v>
      </c>
      <c r="H143" s="99">
        <f>G143+'19'!H143</f>
        <v>480.77</v>
      </c>
      <c r="I143" s="140"/>
      <c r="J143" s="328">
        <f>H143/DAY(B2)</f>
        <v>24.038499999999999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'19'!F144</f>
        <v>873963</v>
      </c>
      <c r="F144" s="149">
        <v>874189</v>
      </c>
      <c r="G144" s="112">
        <f t="shared" si="11"/>
        <v>226</v>
      </c>
      <c r="H144" s="99">
        <f>G144+'19'!H144</f>
        <v>4519</v>
      </c>
      <c r="I144" s="140"/>
      <c r="J144" s="328">
        <f>H144/DAY(B2)</f>
        <v>225.95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'19'!F145</f>
        <v>4843.3999999999996</v>
      </c>
      <c r="F145" s="149">
        <v>4858.28</v>
      </c>
      <c r="G145" s="112">
        <f t="shared" si="11"/>
        <v>14.880000000000109</v>
      </c>
      <c r="H145" s="99">
        <f>G145+'19'!H145</f>
        <v>300.27999999999975</v>
      </c>
      <c r="I145" s="140"/>
      <c r="J145" s="328">
        <f>H145/DAY(B2)</f>
        <v>15.013999999999987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'19'!F146</f>
        <v>732529</v>
      </c>
      <c r="F146" s="148">
        <v>732875</v>
      </c>
      <c r="G146" s="112">
        <f t="shared" si="11"/>
        <v>346</v>
      </c>
      <c r="H146" s="99">
        <f>G146+'19'!H146</f>
        <v>8017</v>
      </c>
      <c r="I146" s="140"/>
      <c r="J146" s="328">
        <f>H146/DAY(B2)</f>
        <v>400.85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'19'!F147</f>
        <v>622164.64</v>
      </c>
      <c r="F147" s="148">
        <v>622512</v>
      </c>
      <c r="G147" s="112">
        <f t="shared" si="11"/>
        <v>347.35999999998603</v>
      </c>
      <c r="H147" s="99">
        <f>G147+'19'!H147</f>
        <v>7230</v>
      </c>
      <c r="I147" s="140"/>
      <c r="J147" s="328">
        <f>H147/DAY(B2)</f>
        <v>361.5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'19'!F148</f>
        <v>687181.52</v>
      </c>
      <c r="F148" s="150">
        <v>687342</v>
      </c>
      <c r="G148" s="112">
        <f t="shared" si="11"/>
        <v>160.47999999998137</v>
      </c>
      <c r="H148" s="99">
        <f>G148+'19'!H148</f>
        <v>4308.8800000000047</v>
      </c>
      <c r="I148" s="124"/>
      <c r="J148" s="328">
        <f>H148/DAY(B2)</f>
        <v>215.44400000000024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'19'!F149</f>
        <v>18705.96</v>
      </c>
      <c r="F149" s="146">
        <v>19166</v>
      </c>
      <c r="G149" s="112">
        <f t="shared" si="11"/>
        <v>460.04000000000087</v>
      </c>
      <c r="H149" s="99">
        <f>G149+'19'!H149</f>
        <v>8417</v>
      </c>
      <c r="I149" s="119"/>
      <c r="J149" s="328">
        <f>H149/DAY(B2)</f>
        <v>420.85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'19'!F150</f>
        <v>8195.51</v>
      </c>
      <c r="F150" s="233">
        <v>8417.11</v>
      </c>
      <c r="G150" s="112">
        <f t="shared" si="11"/>
        <v>221.60000000000036</v>
      </c>
      <c r="H150" s="99">
        <f>G150+'19'!H150</f>
        <v>4365.1100000000006</v>
      </c>
      <c r="I150" s="119"/>
      <c r="J150" s="328">
        <f>H150/DAY(B2)</f>
        <v>218.25550000000004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'19'!F151</f>
        <v>82600</v>
      </c>
      <c r="F151" s="233">
        <v>82812</v>
      </c>
      <c r="G151" s="112">
        <f t="shared" si="11"/>
        <v>212</v>
      </c>
      <c r="H151" s="99">
        <f>G151+'19'!H151</f>
        <v>4595</v>
      </c>
      <c r="I151" s="119"/>
      <c r="J151" s="328">
        <f>H151/DAY(B2)</f>
        <v>229.75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'19'!F152</f>
        <v>1452.1</v>
      </c>
      <c r="F152" s="233">
        <v>1466.21</v>
      </c>
      <c r="G152" s="112">
        <f t="shared" si="11"/>
        <v>14.110000000000127</v>
      </c>
      <c r="H152" s="99">
        <f>G152+'19'!H152</f>
        <v>339.21000000000004</v>
      </c>
      <c r="I152" s="119"/>
      <c r="J152" s="328">
        <f>H152/DAY(B2)</f>
        <v>16.960500000000003</v>
      </c>
    </row>
    <row r="153" spans="1:10" ht="27.75">
      <c r="A153" s="588" t="s">
        <v>108</v>
      </c>
      <c r="B153" s="365"/>
      <c r="C153" s="365"/>
      <c r="D153" s="117"/>
      <c r="E153" s="95"/>
      <c r="F153" s="233"/>
      <c r="G153" s="112">
        <f>SUM(G138:G152)</f>
        <v>2343.929999999968</v>
      </c>
      <c r="H153" s="99"/>
      <c r="I153" s="119">
        <f>G153-(G38+G52)</f>
        <v>731.07999999996946</v>
      </c>
      <c r="J153" s="328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'19'!F155</f>
        <v>24510</v>
      </c>
      <c r="F155" s="374">
        <v>25146.7</v>
      </c>
      <c r="G155" s="112">
        <f t="shared" ref="G155:G158" si="12">F155-E155</f>
        <v>636.70000000000073</v>
      </c>
      <c r="H155" s="99">
        <f>G155+'19'!H155</f>
        <v>11674.7</v>
      </c>
      <c r="I155" s="364"/>
      <c r="J155" s="328">
        <f>H155/DAY(B2)</f>
        <v>583.73500000000001</v>
      </c>
    </row>
    <row r="156" spans="1:10" ht="27.75">
      <c r="A156" s="823" t="s">
        <v>347</v>
      </c>
      <c r="B156" s="823"/>
      <c r="C156" s="823"/>
      <c r="D156" s="117" t="s">
        <v>130</v>
      </c>
      <c r="E156" s="95">
        <f>'19'!F156</f>
        <v>2070</v>
      </c>
      <c r="F156" s="155">
        <v>2118.25</v>
      </c>
      <c r="G156" s="112">
        <f t="shared" si="12"/>
        <v>48.25</v>
      </c>
      <c r="H156" s="99">
        <f>G156+'19'!H156</f>
        <v>1030.25</v>
      </c>
      <c r="I156" s="165"/>
      <c r="J156" s="328">
        <f>H156/DAY(B2)</f>
        <v>51.512500000000003</v>
      </c>
    </row>
    <row r="157" spans="1:10" ht="27.75">
      <c r="A157" s="824" t="s">
        <v>364</v>
      </c>
      <c r="B157" s="825"/>
      <c r="C157" s="826"/>
      <c r="D157" s="117" t="s">
        <v>130</v>
      </c>
      <c r="E157" s="95">
        <f>'19'!F157</f>
        <v>2720.16</v>
      </c>
      <c r="F157" s="155">
        <v>2837.68</v>
      </c>
      <c r="G157" s="112">
        <f t="shared" si="12"/>
        <v>117.51999999999998</v>
      </c>
      <c r="H157" s="99">
        <f>G157+'19'!H157</f>
        <v>117.51999999999998</v>
      </c>
      <c r="I157" s="165"/>
      <c r="J157" s="328">
        <f>H157/DAY(B2)</f>
        <v>5.8759999999999994</v>
      </c>
    </row>
    <row r="158" spans="1:10" ht="27.75">
      <c r="A158" s="824" t="s">
        <v>365</v>
      </c>
      <c r="B158" s="825"/>
      <c r="C158" s="826"/>
      <c r="D158" s="117" t="s">
        <v>130</v>
      </c>
      <c r="E158" s="95">
        <f>'19'!F158</f>
        <v>24.34</v>
      </c>
      <c r="F158" s="155">
        <v>26.38</v>
      </c>
      <c r="G158" s="112">
        <f t="shared" si="12"/>
        <v>2.0399999999999991</v>
      </c>
      <c r="H158" s="99">
        <f>G158+'19'!H158</f>
        <v>2.0399999999999991</v>
      </c>
      <c r="I158" s="165"/>
      <c r="J158" s="328">
        <f>H158/DAY(B2)</f>
        <v>0.10199999999999995</v>
      </c>
    </row>
    <row r="159" spans="1:10" ht="27.75">
      <c r="A159" s="907"/>
      <c r="B159" s="908"/>
      <c r="C159" s="909"/>
      <c r="D159" s="117"/>
      <c r="E159" s="95"/>
      <c r="F159" s="15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'19'!F161</f>
        <v>471460.76</v>
      </c>
      <c r="F161" s="235">
        <v>471467.24</v>
      </c>
      <c r="G161" s="238">
        <f t="shared" ref="G161:G166" si="13">F161-E161</f>
        <v>6.4799999999813735</v>
      </c>
      <c r="H161" s="99">
        <f>G161+'19'!H161</f>
        <v>314.0800000000163</v>
      </c>
      <c r="I161" s="236"/>
      <c r="J161" s="239">
        <f>H161/DAY(B2)</f>
        <v>15.704000000000814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'19'!F162</f>
        <v>88135.4</v>
      </c>
      <c r="F162" s="235">
        <v>88171.5</v>
      </c>
      <c r="G162" s="238">
        <f t="shared" si="13"/>
        <v>36.100000000005821</v>
      </c>
      <c r="H162" s="99">
        <f>G162+'19'!H162</f>
        <v>601.5</v>
      </c>
      <c r="I162" s="236"/>
      <c r="J162" s="239">
        <f>H162/DAY(B2)</f>
        <v>30.074999999999999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'19'!F163</f>
        <v>78699.8</v>
      </c>
      <c r="F163" s="235">
        <v>78749.600000000006</v>
      </c>
      <c r="G163" s="238">
        <f t="shared" si="13"/>
        <v>49.80000000000291</v>
      </c>
      <c r="H163" s="99">
        <f>G163+'19'!H163</f>
        <v>924.60000000000582</v>
      </c>
      <c r="I163" s="236"/>
      <c r="J163" s="239">
        <f>H163/DAY(B2)</f>
        <v>46.230000000000288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'19'!F164</f>
        <v>4284.5</v>
      </c>
      <c r="F164" s="235">
        <v>4288</v>
      </c>
      <c r="G164" s="238">
        <f t="shared" si="13"/>
        <v>3.5</v>
      </c>
      <c r="H164" s="99">
        <f>G164+'19'!H164</f>
        <v>46</v>
      </c>
      <c r="I164" s="236"/>
      <c r="J164" s="239">
        <f>H164/DAY(B2)</f>
        <v>2.2999999999999998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'19'!F165</f>
        <v>29771.72</v>
      </c>
      <c r="F165" s="235">
        <v>29779.71</v>
      </c>
      <c r="G165" s="238">
        <f t="shared" si="13"/>
        <v>7.9899999999979627</v>
      </c>
      <c r="H165" s="99">
        <f>G165+'19'!H165</f>
        <v>133.70999999999913</v>
      </c>
      <c r="I165" s="236"/>
      <c r="J165" s="239">
        <f>H165/DAY(B2)</f>
        <v>6.6854999999999567</v>
      </c>
    </row>
    <row r="166" spans="1:10" ht="29.25">
      <c r="A166" s="832"/>
      <c r="B166" s="832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'19'!F173</f>
        <v>8126</v>
      </c>
      <c r="F173" s="155">
        <v>8126</v>
      </c>
      <c r="G173" s="155">
        <f>F173-E173</f>
        <v>0</v>
      </c>
      <c r="H173" s="99">
        <f>G173+'19'!H173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'19'!F174</f>
        <v>38466</v>
      </c>
      <c r="F174" s="157">
        <v>38478</v>
      </c>
      <c r="G174" s="155">
        <f t="shared" ref="G174:G175" si="14">F174-E174</f>
        <v>12</v>
      </c>
      <c r="H174" s="99">
        <f>G174+'19'!H174</f>
        <v>185</v>
      </c>
      <c r="I174" s="155"/>
      <c r="J174" s="178">
        <f>H174/DAY(B2)</f>
        <v>9.25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'19'!F175</f>
        <v>21692</v>
      </c>
      <c r="F175" s="155">
        <v>21704</v>
      </c>
      <c r="G175" s="155">
        <f t="shared" si="14"/>
        <v>12</v>
      </c>
      <c r="H175" s="99">
        <f>G175+'19'!H175</f>
        <v>186</v>
      </c>
      <c r="I175" s="155"/>
      <c r="J175" s="178">
        <f>H175/DAY(B2)</f>
        <v>9.3000000000000007</v>
      </c>
    </row>
    <row r="176" spans="1:10" ht="27.75">
      <c r="A176" s="827" t="s">
        <v>196</v>
      </c>
      <c r="B176" s="828"/>
      <c r="C176" s="485"/>
      <c r="D176" s="228" t="s">
        <v>142</v>
      </c>
      <c r="E176" s="95"/>
      <c r="F176" s="155"/>
      <c r="G176" s="155">
        <f>SUM(G173:G175)</f>
        <v>24</v>
      </c>
      <c r="H176" s="99">
        <f>G176+'19'!H176</f>
        <v>371</v>
      </c>
      <c r="I176" s="155"/>
      <c r="J176" s="178">
        <f>H176/DAY(B2)</f>
        <v>18.55</v>
      </c>
    </row>
    <row r="177" spans="1:10" ht="27.75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'19'!F178</f>
        <v>80688</v>
      </c>
      <c r="F178" s="155">
        <v>80729</v>
      </c>
      <c r="G178" s="155">
        <f>F178-E178</f>
        <v>41</v>
      </c>
      <c r="H178" s="99">
        <f>G178+'19'!H178</f>
        <v>1115</v>
      </c>
      <c r="I178" s="155"/>
      <c r="J178" s="178">
        <f>H178/DAY(B2)</f>
        <v>55.75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'19'!F179</f>
        <v>34336</v>
      </c>
      <c r="F179" s="155">
        <v>34336</v>
      </c>
      <c r="G179" s="155">
        <f t="shared" ref="G179:G180" si="15">F179-E179</f>
        <v>0</v>
      </c>
      <c r="H179" s="99">
        <f>G179+'19'!H179</f>
        <v>421</v>
      </c>
      <c r="I179" s="155"/>
      <c r="J179" s="178">
        <f>H179/DAY(B2)</f>
        <v>21.05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'19'!F180</f>
        <v>5611</v>
      </c>
      <c r="F180" s="155">
        <v>5623</v>
      </c>
      <c r="G180" s="155">
        <f t="shared" si="15"/>
        <v>12</v>
      </c>
      <c r="H180" s="99">
        <f>G180+'19'!H180</f>
        <v>146</v>
      </c>
      <c r="I180" s="155"/>
      <c r="J180" s="178">
        <f>H180/DAY(B2)</f>
        <v>7.3</v>
      </c>
    </row>
    <row r="181" spans="1:10" ht="24.75" customHeight="1">
      <c r="A181" s="838" t="s">
        <v>108</v>
      </c>
      <c r="B181" s="839"/>
      <c r="C181" s="485"/>
      <c r="D181" s="228" t="s">
        <v>142</v>
      </c>
      <c r="E181" s="95"/>
      <c r="F181" s="155"/>
      <c r="G181" s="155">
        <f>SUM(G178:G180)</f>
        <v>53</v>
      </c>
      <c r="H181" s="99">
        <f>G181+'19'!H181</f>
        <v>1682</v>
      </c>
      <c r="I181" s="155"/>
      <c r="J181" s="178">
        <f>H181/DAY(B2)</f>
        <v>84.1</v>
      </c>
    </row>
    <row r="182" spans="1:10" ht="24.75" customHeight="1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36" t="s">
        <v>214</v>
      </c>
      <c r="B183" s="837"/>
      <c r="C183" s="334"/>
      <c r="D183" s="228" t="s">
        <v>142</v>
      </c>
      <c r="E183" s="95">
        <f>'19'!F183</f>
        <v>15172</v>
      </c>
      <c r="F183" s="157">
        <v>15189</v>
      </c>
      <c r="G183" s="157">
        <f>F183-E183</f>
        <v>17</v>
      </c>
      <c r="H183" s="99">
        <f>G183+'19'!H183</f>
        <v>242</v>
      </c>
      <c r="I183" s="155"/>
      <c r="J183" s="178">
        <f>H183/DAY(B2)</f>
        <v>12.1</v>
      </c>
    </row>
    <row r="184" spans="1:10" ht="24.75" customHeight="1">
      <c r="A184" s="836" t="s">
        <v>215</v>
      </c>
      <c r="B184" s="837"/>
      <c r="C184" s="334"/>
      <c r="D184" s="228" t="s">
        <v>142</v>
      </c>
      <c r="E184" s="95">
        <f>'19'!F184</f>
        <v>10420</v>
      </c>
      <c r="F184" s="157">
        <v>10425</v>
      </c>
      <c r="G184" s="157">
        <f t="shared" ref="G184:G185" si="16">F184-E184</f>
        <v>5</v>
      </c>
      <c r="H184" s="99">
        <f>G184+'19'!H184</f>
        <v>124</v>
      </c>
      <c r="I184" s="155"/>
      <c r="J184" s="178">
        <f>H184/DAY(B2)</f>
        <v>6.2</v>
      </c>
    </row>
    <row r="185" spans="1:10" ht="24.75" customHeight="1">
      <c r="A185" s="836" t="s">
        <v>216</v>
      </c>
      <c r="B185" s="837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22</v>
      </c>
      <c r="H186" s="99">
        <f>G186+'19'!H186</f>
        <v>366</v>
      </c>
      <c r="I186" s="157"/>
      <c r="J186" s="178">
        <f>H186/DAY(B2)</f>
        <v>18.3</v>
      </c>
    </row>
    <row r="187" spans="1:10" ht="27.75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125</v>
      </c>
      <c r="H187" s="99">
        <f>G187+'19'!H187</f>
        <v>2291</v>
      </c>
      <c r="I187" s="158"/>
      <c r="J187" s="179">
        <f>H187/DAY(B2)</f>
        <v>114.55</v>
      </c>
    </row>
    <row r="188" spans="1:10" ht="27.75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123.89999999999964</v>
      </c>
      <c r="H188" s="99">
        <f>G188+'19'!H188</f>
        <v>716</v>
      </c>
      <c r="I188" s="158"/>
      <c r="J188" s="179">
        <f>H188/DAY(B2)</f>
        <v>35.799999999999997</v>
      </c>
    </row>
    <row r="189" spans="1:10" ht="27.75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53</v>
      </c>
      <c r="H189" s="99">
        <f>G189+'19'!H189</f>
        <v>92</v>
      </c>
      <c r="I189" s="158"/>
      <c r="J189" s="179">
        <f>H189/DAY(B2)</f>
        <v>4.5999999999999996</v>
      </c>
    </row>
    <row r="190" spans="1:10" ht="27.75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60" zoomScaleNormal="60" zoomScalePageLayoutView="20" workbookViewId="0">
      <selection activeCell="D3" sqref="D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356</v>
      </c>
      <c r="B2" s="262">
        <v>44582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'20'!F7</f>
        <v>458929.15</v>
      </c>
      <c r="F7" s="95">
        <v>476797.71</v>
      </c>
      <c r="G7" s="112">
        <f>F7-E7</f>
        <v>17868.559999999998</v>
      </c>
      <c r="H7" s="99">
        <f>G7+'20'!H7</f>
        <v>382236.71</v>
      </c>
      <c r="I7" s="113">
        <f>'1'!I7</f>
        <v>12000</v>
      </c>
      <c r="J7" s="175">
        <f>H7/DAY(B2)</f>
        <v>18201.748095238097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'20'!F8</f>
        <v>511855.71</v>
      </c>
      <c r="F8" s="95">
        <v>530403.75</v>
      </c>
      <c r="G8" s="115">
        <f>F8-E8</f>
        <v>18548.039999999979</v>
      </c>
      <c r="H8" s="99">
        <f>G8+'20'!H8</f>
        <v>389518.75</v>
      </c>
      <c r="I8" s="116"/>
      <c r="J8" s="175">
        <f>H8/DAY(B2)</f>
        <v>18548.511904761905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'20'!F9</f>
        <v>132779.53</v>
      </c>
      <c r="F9" s="601">
        <v>144338.41</v>
      </c>
      <c r="G9" s="112">
        <f>F9-E9</f>
        <v>11558.880000000005</v>
      </c>
      <c r="H9" s="99">
        <f>G9+'20'!H9</f>
        <v>242843.40999999997</v>
      </c>
      <c r="I9" s="124">
        <f>I7-J7</f>
        <v>-6201.7480952380974</v>
      </c>
      <c r="J9" s="175">
        <f>H9/DAY(B2)</f>
        <v>11563.971904761904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'20'!F10</f>
        <v>68056.070000000007</v>
      </c>
      <c r="F10" s="353">
        <v>73845.8</v>
      </c>
      <c r="G10" s="112">
        <f t="shared" ref="G10:G12" si="0">F10-E10</f>
        <v>5789.7299999999959</v>
      </c>
      <c r="H10" s="99">
        <f>G10+'20'!H10</f>
        <v>128751.8</v>
      </c>
      <c r="I10" s="282"/>
      <c r="J10" s="175">
        <f>H10/DAY(B2)</f>
        <v>6131.0380952380956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170</v>
      </c>
      <c r="I11" s="282"/>
      <c r="J11" s="175">
        <f>H11/DAY(B2)</f>
        <v>8.0952380952380949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17348.61</v>
      </c>
      <c r="H13" s="99">
        <f>G13+'20'!H13</f>
        <v>352299.9599999999</v>
      </c>
      <c r="I13" s="120">
        <f>G7-G13</f>
        <v>519.94999999999709</v>
      </c>
      <c r="J13" s="175">
        <f>H13/DAY(B2)</f>
        <v>16776.188571428567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'20'!F15</f>
        <v>1896043.25</v>
      </c>
      <c r="F15" s="123">
        <v>1897060.59</v>
      </c>
      <c r="G15" s="112">
        <f>(F15-E15)</f>
        <v>1017.3400000000838</v>
      </c>
      <c r="H15" s="99">
        <f>G15+'20'!H15</f>
        <v>18630.590000000084</v>
      </c>
      <c r="I15" s="113">
        <f>'1'!I15</f>
        <v>800</v>
      </c>
      <c r="J15" s="175">
        <f>H15/DAY(B2)</f>
        <v>887.17095238095635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-87.170952380956351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'20'!F18</f>
        <v>16</v>
      </c>
      <c r="F18" s="122">
        <v>11</v>
      </c>
      <c r="G18" s="119">
        <f>F18*10</f>
        <v>110</v>
      </c>
      <c r="H18" s="99">
        <f>G18+'20'!H18</f>
        <v>2250</v>
      </c>
      <c r="I18" s="113">
        <f>'1'!I18</f>
        <v>65</v>
      </c>
      <c r="J18" s="175">
        <f>H18/DAY(B2)</f>
        <v>107.14285714285714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'20'!F19</f>
        <v>153292</v>
      </c>
      <c r="F19" s="122">
        <v>153349</v>
      </c>
      <c r="G19" s="112">
        <f t="shared" ref="G19" si="1">F19-E19</f>
        <v>57</v>
      </c>
      <c r="H19" s="99">
        <f>G19+'20'!H19</f>
        <v>1124</v>
      </c>
      <c r="I19" s="335"/>
      <c r="J19" s="175">
        <f>H19/DAY(B2)</f>
        <v>53.523809523809526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167</v>
      </c>
      <c r="H20" s="99">
        <f>G20+'20'!H20</f>
        <v>3374</v>
      </c>
      <c r="I20" s="336">
        <f>I18-J20</f>
        <v>-95.666666666666657</v>
      </c>
      <c r="J20" s="175">
        <f>H20/DAY(B2)</f>
        <v>160.66666666666666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110</v>
      </c>
      <c r="I23" s="118"/>
      <c r="J23" s="175">
        <f>H23/DAY(B2)</f>
        <v>5.2380952380952381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110</v>
      </c>
      <c r="I24" s="118"/>
      <c r="J24" s="175">
        <f>H24/DAY(B2)</f>
        <v>5.2380952380952381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18548.039999999979</v>
      </c>
      <c r="F27" s="136">
        <v>9</v>
      </c>
      <c r="G27" s="137">
        <f>E27*F27</f>
        <v>166932.35999999981</v>
      </c>
      <c r="H27" s="99">
        <f>G27+'20'!H27</f>
        <v>3505668.75</v>
      </c>
      <c r="I27" s="138"/>
      <c r="J27" s="175">
        <f>H27/DAY(B2)</f>
        <v>166936.60714285713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1017.3400000000838</v>
      </c>
      <c r="F28" s="136">
        <v>52</v>
      </c>
      <c r="G28" s="137">
        <f>E28*F28</f>
        <v>52901.680000004359</v>
      </c>
      <c r="H28" s="99">
        <f>G28+'20'!H28</f>
        <v>968790.68000000436</v>
      </c>
      <c r="I28" s="140"/>
      <c r="J28" s="175">
        <f>H28/DAY(B2)</f>
        <v>46132.889523809732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7590</v>
      </c>
      <c r="I29" s="140"/>
      <c r="J29" s="175">
        <f>H29/DAY(B2)</f>
        <v>361.42857142857144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164104</v>
      </c>
      <c r="I30" s="140"/>
      <c r="J30" s="175">
        <f>H30/DAY(B2)</f>
        <v>7814.4761904761908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110</v>
      </c>
      <c r="F31" s="136">
        <v>80</v>
      </c>
      <c r="G31" s="137">
        <f>E31*F31</f>
        <v>8800</v>
      </c>
      <c r="H31" s="99">
        <f>G31+'20'!H31</f>
        <v>180000</v>
      </c>
      <c r="I31" s="140"/>
      <c r="J31" s="175">
        <f>H31/DAY(B2)</f>
        <v>8571.4285714285706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236956.04000000417</v>
      </c>
      <c r="H32" s="99">
        <f>G32+'20'!H32</f>
        <v>4826153.4300000044</v>
      </c>
      <c r="I32" s="144"/>
      <c r="J32" s="175">
        <f>H32/DAY(B2)</f>
        <v>229816.83000000022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'20'!F35</f>
        <v>17793.810000000001</v>
      </c>
      <c r="F35" s="145">
        <v>19247.78</v>
      </c>
      <c r="G35" s="112">
        <f t="shared" ref="G35:G46" si="3">F35-E35</f>
        <v>1453.9699999999975</v>
      </c>
      <c r="H35" s="99">
        <f>G35+'20'!H35</f>
        <v>34447.78</v>
      </c>
      <c r="I35" s="95"/>
      <c r="J35" s="175">
        <f>H35/DAY(B2)</f>
        <v>1640.3704761904762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'20'!F36</f>
        <v>35331.82</v>
      </c>
      <c r="F36" s="145">
        <v>35993.730000000003</v>
      </c>
      <c r="G36" s="112">
        <f t="shared" si="3"/>
        <v>661.91000000000349</v>
      </c>
      <c r="H36" s="99">
        <f>G36+'20'!H36</f>
        <v>14466.730000000003</v>
      </c>
      <c r="I36" s="95"/>
      <c r="J36" s="175">
        <f>H36/DAY(B2)</f>
        <v>688.89190476190493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'20'!F37</f>
        <v>18017.919999999998</v>
      </c>
      <c r="F37" s="504">
        <v>19583.419999999998</v>
      </c>
      <c r="G37" s="112">
        <f t="shared" si="3"/>
        <v>1565.5</v>
      </c>
      <c r="H37" s="99">
        <f>G37+'20'!H37</f>
        <v>31795.42</v>
      </c>
      <c r="I37" s="95"/>
      <c r="J37" s="175">
        <f>H37/DAY(B2)</f>
        <v>1514.067619047619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'20'!F38</f>
        <v>19100.849999999999</v>
      </c>
      <c r="F38" s="108">
        <v>20772.3</v>
      </c>
      <c r="G38" s="112">
        <f t="shared" si="3"/>
        <v>1671.4500000000007</v>
      </c>
      <c r="H38" s="99">
        <f>G38+'20'!H38</f>
        <v>33972.300000000003</v>
      </c>
      <c r="I38" s="95"/>
      <c r="J38" s="175">
        <f>H38/DAY(B2)</f>
        <v>1617.7285714285715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'20'!F39</f>
        <v>30507.61</v>
      </c>
      <c r="F39" s="504">
        <v>33105.85</v>
      </c>
      <c r="G39" s="112">
        <f t="shared" si="3"/>
        <v>2598.239999999998</v>
      </c>
      <c r="H39" s="99">
        <f>G39+'20'!H39</f>
        <v>54787.85</v>
      </c>
      <c r="I39" s="95"/>
      <c r="J39" s="175">
        <f>H39/DAY(B2)</f>
        <v>2608.945238095238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'20'!F40</f>
        <v>14501.05</v>
      </c>
      <c r="F40" s="145">
        <v>14856.38</v>
      </c>
      <c r="G40" s="112">
        <f t="shared" si="3"/>
        <v>355.32999999999993</v>
      </c>
      <c r="H40" s="99">
        <f>G40+'20'!H40</f>
        <v>9246.3799999999992</v>
      </c>
      <c r="I40" s="95"/>
      <c r="J40" s="175">
        <f>H40/DAY(B2)</f>
        <v>440.30380952380949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'20'!F42</f>
        <v>73808.600000000006</v>
      </c>
      <c r="F42" s="145">
        <v>73808.600000000006</v>
      </c>
      <c r="G42" s="112">
        <f t="shared" si="3"/>
        <v>0</v>
      </c>
      <c r="H42" s="99">
        <f>G42+'20'!H42</f>
        <v>-0.39999999999417923</v>
      </c>
      <c r="I42" s="95"/>
      <c r="J42" s="175">
        <f>H42/DAY(B2)</f>
        <v>-1.9047619047341868E-2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'20'!F43</f>
        <v>92066.99</v>
      </c>
      <c r="F43" s="145">
        <v>94406.93</v>
      </c>
      <c r="G43" s="112">
        <f t="shared" si="3"/>
        <v>2339.9399999999878</v>
      </c>
      <c r="H43" s="99">
        <f>G43+'20'!H43</f>
        <v>47145.929999999993</v>
      </c>
      <c r="I43" s="95"/>
      <c r="J43" s="175">
        <f>H43/DAY(B2)</f>
        <v>2245.0442857142853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10646.339999999987</v>
      </c>
      <c r="H47" s="99">
        <f>G47+'20'!H47</f>
        <v>225861.99000000005</v>
      </c>
      <c r="I47" s="95"/>
      <c r="J47" s="175">
        <f>H47/DAY(B2)</f>
        <v>10755.332857142859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'20'!F49</f>
        <v>14791.1</v>
      </c>
      <c r="F49" s="145">
        <v>15892.9</v>
      </c>
      <c r="G49" s="112">
        <f t="shared" ref="G49:G58" si="4">F49-E49</f>
        <v>1101.7999999999993</v>
      </c>
      <c r="H49" s="99">
        <f>G49+'20'!H49</f>
        <v>29013.899999999998</v>
      </c>
      <c r="I49" s="95"/>
      <c r="J49" s="175">
        <f>H49/DAY(B2)</f>
        <v>1381.6142857142856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'20'!F50</f>
        <v>43936.35</v>
      </c>
      <c r="F50" s="145">
        <v>45096.4</v>
      </c>
      <c r="G50" s="112">
        <f t="shared" si="4"/>
        <v>1160.0500000000029</v>
      </c>
      <c r="H50" s="99">
        <f>G50+'20'!H50</f>
        <v>20446.400000000001</v>
      </c>
      <c r="I50" s="95"/>
      <c r="J50" s="175">
        <f>H50/DAY(B2)</f>
        <v>973.63809523809527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'20'!F54</f>
        <v>5147.42</v>
      </c>
      <c r="F54" s="145">
        <v>5147.42</v>
      </c>
      <c r="G54" s="112">
        <f t="shared" si="4"/>
        <v>0</v>
      </c>
      <c r="H54" s="99">
        <f>G54+'20'!H54</f>
        <v>6914.5</v>
      </c>
      <c r="I54" s="95"/>
      <c r="J54" s="175">
        <f>H54/DAY(B2)</f>
        <v>329.26190476190476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'20'!F55</f>
        <v>63274.47</v>
      </c>
      <c r="F55" s="145">
        <v>66112.87</v>
      </c>
      <c r="G55" s="112">
        <f t="shared" si="4"/>
        <v>2838.3999999999942</v>
      </c>
      <c r="H55" s="99">
        <f>G55+'20'!H55</f>
        <v>62601.869999999995</v>
      </c>
      <c r="I55" s="95"/>
      <c r="J55" s="175">
        <f>H55/DAY(B2)</f>
        <v>2981.0414285714282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4">
        <v>8610.5400000000009</v>
      </c>
      <c r="G56" s="112">
        <f t="shared" si="4"/>
        <v>0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'20'!F58</f>
        <v>2566.9899999999998</v>
      </c>
      <c r="F58" s="145">
        <v>2801.18</v>
      </c>
      <c r="G58" s="112">
        <f t="shared" si="4"/>
        <v>234.19000000000005</v>
      </c>
      <c r="H58" s="99">
        <f>G58+'20'!H58</f>
        <v>3141.8100000000045</v>
      </c>
      <c r="I58" s="95"/>
      <c r="J58" s="175">
        <f>H58/DAY(B2)</f>
        <v>149.61000000000021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5334.4399999999969</v>
      </c>
      <c r="H59" s="99">
        <f>G59+'20'!H59</f>
        <v>122118.48000000004</v>
      </c>
      <c r="I59" s="95">
        <f>G7-G60</f>
        <v>1887.7800000000134</v>
      </c>
      <c r="J59" s="175">
        <f>H59/DAY(B2)</f>
        <v>5815.1657142857166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15980.779999999984</v>
      </c>
      <c r="H60" s="99">
        <f>G60+'20'!H60</f>
        <v>347980.46999999991</v>
      </c>
      <c r="I60" s="95">
        <f>G13-G60</f>
        <v>1367.8300000000163</v>
      </c>
      <c r="J60" s="175">
        <f>H60/DAY(B2)</f>
        <v>16570.498571428569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'20'!F62</f>
        <v>268437</v>
      </c>
      <c r="F62" s="122">
        <v>268497</v>
      </c>
      <c r="G62" s="112">
        <f t="shared" ref="G62:G63" si="5">F62-E62</f>
        <v>60</v>
      </c>
      <c r="H62" s="99">
        <f>G62+'20'!H62</f>
        <v>1284</v>
      </c>
      <c r="I62" s="118"/>
      <c r="J62" s="175">
        <f>H62/DAY(B2)</f>
        <v>61.142857142857146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'20'!F63</f>
        <v>214440</v>
      </c>
      <c r="F63" s="150">
        <v>214536</v>
      </c>
      <c r="G63" s="112">
        <f t="shared" si="5"/>
        <v>96</v>
      </c>
      <c r="H63" s="99">
        <f>G63+'20'!H63</f>
        <v>2111</v>
      </c>
      <c r="I63" s="118"/>
      <c r="J63" s="175">
        <f>H63/DAY(B2)</f>
        <v>100.52380952380952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'20'!F64</f>
        <v>0</v>
      </c>
      <c r="F64" s="122"/>
      <c r="G64" s="112">
        <f>G62+G63</f>
        <v>156</v>
      </c>
      <c r="H64" s="99">
        <f>G64+'20'!H64</f>
        <v>3395</v>
      </c>
      <c r="I64" s="118"/>
      <c r="J64" s="175">
        <f>H64/DAY(B2)</f>
        <v>161.66666666666666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'20'!F65</f>
        <v>433991</v>
      </c>
      <c r="F65" s="122">
        <v>434063</v>
      </c>
      <c r="G65" s="112">
        <f t="shared" ref="G65:G70" si="6">F65-E65</f>
        <v>72</v>
      </c>
      <c r="H65" s="99">
        <f>G65+'20'!H65</f>
        <v>1449</v>
      </c>
      <c r="I65" s="118"/>
      <c r="J65" s="175">
        <f>H65/DAY(B2)</f>
        <v>69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'20'!F66</f>
        <v>107544</v>
      </c>
      <c r="F66" s="122">
        <v>107556</v>
      </c>
      <c r="G66" s="112">
        <f t="shared" si="6"/>
        <v>12</v>
      </c>
      <c r="H66" s="99">
        <f>G66+'20'!H66</f>
        <v>342</v>
      </c>
      <c r="I66" s="118"/>
      <c r="J66" s="175">
        <f>H66/DAY(B2)</f>
        <v>16.285714285714285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'20'!F67</f>
        <v>104390</v>
      </c>
      <c r="F67" s="122">
        <v>104410</v>
      </c>
      <c r="G67" s="112">
        <f t="shared" si="6"/>
        <v>20</v>
      </c>
      <c r="H67" s="99">
        <f>G67+'20'!H67</f>
        <v>482</v>
      </c>
      <c r="I67" s="118"/>
      <c r="J67" s="175">
        <f>H67/DAY(B2)</f>
        <v>22.952380952380953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'20'!F68</f>
        <v>157193</v>
      </c>
      <c r="F68" s="122">
        <v>157227</v>
      </c>
      <c r="G68" s="112">
        <f t="shared" si="6"/>
        <v>34</v>
      </c>
      <c r="H68" s="99">
        <f>G68+'20'!H68</f>
        <v>607</v>
      </c>
      <c r="I68" s="118"/>
      <c r="J68" s="175">
        <f>H68/DAY(B2)</f>
        <v>28.904761904761905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'20'!F69</f>
        <v>10411</v>
      </c>
      <c r="F69" s="122">
        <v>10419</v>
      </c>
      <c r="G69" s="112">
        <f t="shared" si="6"/>
        <v>8</v>
      </c>
      <c r="H69" s="99">
        <f>G69+'20'!H69</f>
        <v>205</v>
      </c>
      <c r="I69" s="118"/>
      <c r="J69" s="175">
        <f>H69/DAY(B2)</f>
        <v>9.7619047619047628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'20'!F70</f>
        <v>8006</v>
      </c>
      <c r="F70" s="122">
        <v>8010</v>
      </c>
      <c r="G70" s="112">
        <f t="shared" si="6"/>
        <v>4</v>
      </c>
      <c r="H70" s="99">
        <f>G70+'20'!H70</f>
        <v>148</v>
      </c>
      <c r="I70" s="118"/>
      <c r="J70" s="175">
        <f>H70/DAY(B2)</f>
        <v>7.0476190476190474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150</v>
      </c>
      <c r="H71" s="99">
        <f>G71+'20'!H71</f>
        <v>3233</v>
      </c>
      <c r="I71" s="154"/>
      <c r="J71" s="175">
        <f>H71/DAY(B2)</f>
        <v>153.95238095238096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'20'!F74</f>
        <v>897967.65</v>
      </c>
      <c r="F74" s="123">
        <v>898262.41</v>
      </c>
      <c r="G74" s="112">
        <f t="shared" ref="G74:G78" si="7">F74-E74</f>
        <v>294.76000000000931</v>
      </c>
      <c r="H74" s="99">
        <f>G74+'20'!H74</f>
        <v>6230.4100000000326</v>
      </c>
      <c r="I74" s="154"/>
      <c r="J74" s="175">
        <f>H74/DAY(B2)</f>
        <v>296.68619047619205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'20'!F76</f>
        <v>168878.54</v>
      </c>
      <c r="F76" s="123">
        <v>168983.32</v>
      </c>
      <c r="G76" s="112">
        <f t="shared" si="7"/>
        <v>104.77999999999884</v>
      </c>
      <c r="H76" s="99">
        <f>G76+'20'!H76</f>
        <v>1776.320000000007</v>
      </c>
      <c r="I76" s="154"/>
      <c r="J76" s="175">
        <f>H76/DAY(B2)</f>
        <v>84.586666666667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'20'!F77</f>
        <v>40896.699999999997</v>
      </c>
      <c r="F77" s="123">
        <v>40947</v>
      </c>
      <c r="G77" s="112">
        <f t="shared" si="7"/>
        <v>50.30000000000291</v>
      </c>
      <c r="H77" s="99">
        <f>G77+'20'!H77</f>
        <v>631</v>
      </c>
      <c r="I77" s="154"/>
      <c r="J77" s="175">
        <f>H77/DAY(B2)</f>
        <v>30.047619047619047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'20'!F78</f>
        <v>9501.9</v>
      </c>
      <c r="F78" s="123">
        <v>9503</v>
      </c>
      <c r="G78" s="112">
        <f t="shared" si="7"/>
        <v>1.1000000000003638</v>
      </c>
      <c r="H78" s="99">
        <f>G78+'20'!H78</f>
        <v>17</v>
      </c>
      <c r="I78" s="118"/>
      <c r="J78" s="175">
        <f>H78/DAY(B2)</f>
        <v>0.80952380952380953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'20'!F79</f>
        <v>0</v>
      </c>
      <c r="F79" s="123"/>
      <c r="G79" s="112">
        <f>G15-SUM(G74:G78)</f>
        <v>566.4000000000724</v>
      </c>
      <c r="H79" s="99">
        <f>G79+'20'!H79</f>
        <v>9975.8600000000442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1017.3400000000838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'20'!F84</f>
        <v>41675.26</v>
      </c>
      <c r="F84" s="164">
        <v>41675.4</v>
      </c>
      <c r="G84" s="112">
        <f t="shared" si="8"/>
        <v>0.13999999999941792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'20'!F85</f>
        <v>2096.56</v>
      </c>
      <c r="F85" s="164">
        <v>2096.56</v>
      </c>
      <c r="G85" s="112">
        <f t="shared" si="8"/>
        <v>0</v>
      </c>
      <c r="H85" s="99">
        <f>G85+'20'!H85</f>
        <v>0</v>
      </c>
      <c r="I85" s="118">
        <f>G82+G83+G84+G85</f>
        <v>0.13999999999941792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'20'!F86</f>
        <v>43345.37</v>
      </c>
      <c r="F86" s="164">
        <v>43369.45</v>
      </c>
      <c r="G86" s="112">
        <f t="shared" si="8"/>
        <v>24.07999999999447</v>
      </c>
      <c r="H86" s="99">
        <f>G86+'20'!H86</f>
        <v>506.44999999999709</v>
      </c>
      <c r="I86" s="118"/>
      <c r="J86" s="175">
        <f>H86/DAY(B2)</f>
        <v>24.116666666666529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'20'!F88</f>
        <v>24061.37</v>
      </c>
      <c r="F88" s="164">
        <v>24061.37</v>
      </c>
      <c r="G88" s="112">
        <f t="shared" si="8"/>
        <v>0</v>
      </c>
      <c r="H88" s="99">
        <f>G88+'20'!H88</f>
        <v>14.369999999998981</v>
      </c>
      <c r="I88" s="118">
        <f>G86+G87+G88</f>
        <v>24.07999999999447</v>
      </c>
      <c r="J88" s="175">
        <f>H88/DAY(B2)</f>
        <v>0.68428571428566576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'20'!F89</f>
        <v>25790.26</v>
      </c>
      <c r="F89" s="164">
        <v>25800.560000000001</v>
      </c>
      <c r="G89" s="112">
        <f t="shared" si="8"/>
        <v>10.30000000000291</v>
      </c>
      <c r="H89" s="99">
        <f>G89+'20'!H89</f>
        <v>137.56000000000131</v>
      </c>
      <c r="I89" s="118"/>
      <c r="J89" s="175">
        <f>H89/DAY(B2)</f>
        <v>6.5504761904762532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'20'!F90</f>
        <v>71136.31</v>
      </c>
      <c r="F90" s="164">
        <v>71138.429999999993</v>
      </c>
      <c r="G90" s="112">
        <f t="shared" si="8"/>
        <v>2.1199999999953434</v>
      </c>
      <c r="H90" s="99">
        <f>G90+'20'!H90</f>
        <v>104.42999999999302</v>
      </c>
      <c r="I90" s="118">
        <f>G89+G90</f>
        <v>12.419999999998254</v>
      </c>
      <c r="J90" s="175">
        <f>H90/DAY(B2)</f>
        <v>4.9728571428568102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'20'!F92</f>
        <v>5646.39</v>
      </c>
      <c r="F92" s="122">
        <v>5656.7</v>
      </c>
      <c r="G92" s="112">
        <f t="shared" si="8"/>
        <v>10.309999999999491</v>
      </c>
      <c r="H92" s="99">
        <f>G92+'20'!H92</f>
        <v>218.69999999999982</v>
      </c>
      <c r="I92" s="165"/>
      <c r="J92" s="175">
        <f>H92/DAY(B2)</f>
        <v>10.414285714285706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4895.7099999999846</v>
      </c>
      <c r="H94" s="99">
        <f>G94+'20'!H94</f>
        <v>110607.60999999999</v>
      </c>
      <c r="I94" s="118"/>
      <c r="J94" s="175">
        <f>H94/DAY(B2)</f>
        <v>5267.0290476190467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0.27398458521559571</v>
      </c>
      <c r="H95" s="99">
        <f>G95+'20'!H95</f>
        <v>6.0646297976145407</v>
      </c>
      <c r="I95" s="167"/>
      <c r="J95" s="175">
        <f>H95/DAY(B2)</f>
        <v>0.28879189512450193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2838.3999999999942</v>
      </c>
      <c r="H96" s="99">
        <f>G96+'20'!H96</f>
        <v>62601.47</v>
      </c>
      <c r="I96" s="118"/>
      <c r="J96" s="175">
        <f>H96/DAY(B2)</f>
        <v>2981.0223809523809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0.15884883840667599</v>
      </c>
      <c r="H97" s="99">
        <f>G97+'20'!H97</f>
        <v>3.4466467850906142</v>
      </c>
      <c r="I97" s="167"/>
      <c r="J97" s="175">
        <f>H97/DAY(B2)</f>
        <v>0.16412603738526735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2598.239999999998</v>
      </c>
      <c r="H98" s="99">
        <f>G98+'20'!H98</f>
        <v>54787.85</v>
      </c>
      <c r="I98" s="168"/>
      <c r="J98" s="175">
        <f>H98/DAY(B2)</f>
        <v>2608.945238095238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0.14540847163957243</v>
      </c>
      <c r="H99" s="99">
        <f>G99+'20'!H99</f>
        <v>3.0173023846167126</v>
      </c>
      <c r="I99" s="168"/>
      <c r="J99" s="175">
        <f>H99/DAY(B2)</f>
        <v>0.14368106593412916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1671.4500000000007</v>
      </c>
      <c r="H100" s="99">
        <f>G100+'20'!H100</f>
        <v>33972.300000000003</v>
      </c>
      <c r="I100" s="118"/>
      <c r="J100" s="175">
        <f>H100/DAY(B2)</f>
        <v>1617.7285714285715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9.3541393374731982E-2</v>
      </c>
      <c r="H101" s="99">
        <f>G101+'20'!H101</f>
        <v>1.872054101196813</v>
      </c>
      <c r="I101" s="168"/>
      <c r="J101" s="175">
        <f>H101/DAY(B2)</f>
        <v>8.9145433390324436E-2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1821.9600000000064</v>
      </c>
      <c r="H102" s="99">
        <f>G102+'20'!H102</f>
        <v>34913.130000000005</v>
      </c>
      <c r="I102" s="168"/>
      <c r="J102" s="175">
        <f>H102/DAY(B2)</f>
        <v>1662.5300000000002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0.10196456793384619</v>
      </c>
      <c r="H103" s="99">
        <f>G103+'20'!H103</f>
        <v>1.9138468742909744</v>
      </c>
      <c r="I103" s="118"/>
      <c r="J103" s="175">
        <f>H103/DAY(B2)</f>
        <v>9.113556544242736E-2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1565.5</v>
      </c>
      <c r="H104" s="99">
        <f>G104+'20'!H104</f>
        <v>31795.42</v>
      </c>
      <c r="I104" s="118"/>
      <c r="J104" s="175">
        <f>H104/DAY(B2)</f>
        <v>1514.067619047619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8.7611984401652965E-2</v>
      </c>
      <c r="H105" s="99">
        <f>G105+'20'!H105</f>
        <v>1.7537275955950899</v>
      </c>
      <c r="I105" s="187"/>
      <c r="J105" s="188">
        <f>H105/DAY(B2)</f>
        <v>8.3510837885480471E-2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'20'!F112</f>
        <v>57204.12</v>
      </c>
      <c r="F112" s="237">
        <v>57281.3</v>
      </c>
      <c r="G112" s="112">
        <f t="shared" ref="G112:G123" si="9">F112-E112</f>
        <v>77.180000000000291</v>
      </c>
      <c r="H112" s="99">
        <f>G112+'20'!H112</f>
        <v>1600.3000000000029</v>
      </c>
      <c r="I112" s="165"/>
      <c r="J112" s="328">
        <f>H112/DAY(B2)</f>
        <v>76.204761904762037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'20'!F113</f>
        <v>41236.870000000003</v>
      </c>
      <c r="F113" s="600">
        <v>41726.75</v>
      </c>
      <c r="G113" s="112">
        <f t="shared" si="9"/>
        <v>489.87999999999738</v>
      </c>
      <c r="H113" s="99">
        <f>G113+'20'!H113</f>
        <v>9531.75</v>
      </c>
      <c r="I113" s="165"/>
      <c r="J113" s="328">
        <f>H113/DAY(B2)</f>
        <v>453.89285714285717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'20'!F114</f>
        <v>30161.65</v>
      </c>
      <c r="F114" s="237">
        <v>30460.67</v>
      </c>
      <c r="G114" s="112">
        <f t="shared" si="9"/>
        <v>299.0199999999968</v>
      </c>
      <c r="H114" s="99">
        <f>G114+'20'!H114</f>
        <v>5456.0699999999979</v>
      </c>
      <c r="I114" s="165"/>
      <c r="J114" s="328">
        <f>H114/DAY(B2)</f>
        <v>259.81285714285707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'20'!F115</f>
        <v>8988.66</v>
      </c>
      <c r="F115" s="237">
        <v>8998.33</v>
      </c>
      <c r="G115" s="112">
        <f t="shared" si="9"/>
        <v>9.6700000000000728</v>
      </c>
      <c r="H115" s="99">
        <f>G115+'20'!H115</f>
        <v>213.32999999999993</v>
      </c>
      <c r="I115" s="165"/>
      <c r="J115" s="328">
        <f>H115/DAY(B2)</f>
        <v>10.158571428571426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'20'!F117</f>
        <v>3069.13</v>
      </c>
      <c r="F117" s="237">
        <v>3092.27</v>
      </c>
      <c r="G117" s="112">
        <f t="shared" si="9"/>
        <v>23.139999999999873</v>
      </c>
      <c r="H117" s="99">
        <f>G117+'20'!H117</f>
        <v>502.27</v>
      </c>
      <c r="I117" s="165"/>
      <c r="J117" s="328">
        <f>H117/DAY(B2)</f>
        <v>23.917619047619048</v>
      </c>
      <c r="Q117" s="843" t="s">
        <v>312</v>
      </c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'20'!F118</f>
        <v>248744.33</v>
      </c>
      <c r="F118" s="237">
        <v>249077.77</v>
      </c>
      <c r="G118" s="112">
        <f t="shared" si="9"/>
        <v>333.44000000000233</v>
      </c>
      <c r="H118" s="99">
        <f>G118+'20'!H118</f>
        <v>7430.7699999999895</v>
      </c>
      <c r="I118" s="165"/>
      <c r="J118" s="328">
        <f>H118/DAY(B2)</f>
        <v>353.84619047618997</v>
      </c>
      <c r="Q118" s="843" t="s">
        <v>311</v>
      </c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'20'!F119</f>
        <v>253557.93</v>
      </c>
      <c r="F119" s="237">
        <v>253998.79</v>
      </c>
      <c r="G119" s="112">
        <f t="shared" si="9"/>
        <v>440.86000000001513</v>
      </c>
      <c r="H119" s="99">
        <f>G119+'20'!H119</f>
        <v>8872.7900000000081</v>
      </c>
      <c r="I119" s="165"/>
      <c r="J119" s="328">
        <f>H119/DAY(B2)</f>
        <v>422.51380952380993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'20'!F120</f>
        <v>38389.870000000003</v>
      </c>
      <c r="F120" s="600">
        <v>38801.230000000003</v>
      </c>
      <c r="G120" s="112">
        <f t="shared" si="9"/>
        <v>411.36000000000058</v>
      </c>
      <c r="H120" s="99">
        <f>G120+'20'!H120</f>
        <v>8723.2300000000032</v>
      </c>
      <c r="I120" s="165"/>
      <c r="J120" s="328">
        <f>H120/DAY(B2)</f>
        <v>415.39190476190493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'20'!F121</f>
        <v>390351.51</v>
      </c>
      <c r="F121" s="237">
        <v>391024.71</v>
      </c>
      <c r="G121" s="112">
        <f t="shared" si="9"/>
        <v>673.20000000001164</v>
      </c>
      <c r="H121" s="99">
        <f>G121+'20'!H121</f>
        <v>14495.710000000021</v>
      </c>
      <c r="I121" s="165"/>
      <c r="J121" s="328">
        <f>H121/DAY(B2)</f>
        <v>690.27190476190572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'20'!F122</f>
        <v>124029.62</v>
      </c>
      <c r="F122" s="237">
        <v>124232.97</v>
      </c>
      <c r="G122" s="112">
        <f t="shared" si="9"/>
        <v>203.35000000000582</v>
      </c>
      <c r="H122" s="99">
        <f>G122+'20'!H122</f>
        <v>4182.9700000000012</v>
      </c>
      <c r="I122" s="165"/>
      <c r="J122" s="328">
        <f>H122/DAY(B2)</f>
        <v>199.18904761904767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'20'!F123</f>
        <v>151054.42000000001</v>
      </c>
      <c r="F123" s="237">
        <v>151320</v>
      </c>
      <c r="G123" s="112">
        <f t="shared" si="9"/>
        <v>265.57999999998719</v>
      </c>
      <c r="H123" s="99">
        <f>G123+'20'!H123</f>
        <v>6195</v>
      </c>
      <c r="I123" s="165"/>
      <c r="J123" s="328">
        <f>H123/DAY(B2)</f>
        <v>295</v>
      </c>
    </row>
    <row r="124" spans="1:18" ht="29.25" customHeight="1">
      <c r="A124" s="847"/>
      <c r="B124" s="848"/>
      <c r="C124" s="849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3226.6800000000171</v>
      </c>
      <c r="H125" s="156"/>
      <c r="I125" s="327">
        <f>G125-(G39+G53)</f>
        <v>628.44000000001915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'20'!F128</f>
        <v>44305.26</v>
      </c>
      <c r="F128" s="165">
        <v>44614.51</v>
      </c>
      <c r="G128" s="112">
        <f t="shared" ref="G128:G134" si="10">F128-E128</f>
        <v>309.25</v>
      </c>
      <c r="H128" s="99">
        <f>G128+'20'!H128</f>
        <v>6610.510000000002</v>
      </c>
      <c r="I128" s="165"/>
      <c r="J128" s="328">
        <f>H128/DAY(B2)</f>
        <v>314.7861904761906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'20'!F129</f>
        <v>24721.98</v>
      </c>
      <c r="F129" s="165">
        <v>24910.95</v>
      </c>
      <c r="G129" s="112">
        <f t="shared" si="10"/>
        <v>188.97000000000116</v>
      </c>
      <c r="H129" s="99">
        <f>G129+'20'!H129</f>
        <v>4589.9500000000007</v>
      </c>
      <c r="I129" s="165"/>
      <c r="J129" s="328">
        <f>H129/DAY(B2)</f>
        <v>218.56904761904767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'20'!F130</f>
        <v>30206.9</v>
      </c>
      <c r="F130" s="594">
        <v>30726.03</v>
      </c>
      <c r="G130" s="112">
        <f t="shared" si="10"/>
        <v>519.12999999999738</v>
      </c>
      <c r="H130" s="99">
        <f>G130+'20'!H130</f>
        <v>12344.029999999999</v>
      </c>
      <c r="I130" s="165"/>
      <c r="J130" s="328">
        <f>H130/DAY(B2)</f>
        <v>587.81095238095236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'20'!F131</f>
        <v>14612.15</v>
      </c>
      <c r="F131" s="165">
        <v>14692.65</v>
      </c>
      <c r="G131" s="112">
        <f t="shared" si="10"/>
        <v>80.5</v>
      </c>
      <c r="H131" s="99">
        <f>G131+'20'!H131</f>
        <v>1539.6499999999996</v>
      </c>
      <c r="I131" s="165"/>
      <c r="J131" s="328">
        <f>H131/DAY(B2)</f>
        <v>73.316666666666649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'20'!F132</f>
        <v>50017.94</v>
      </c>
      <c r="F132" s="165">
        <v>50185.33</v>
      </c>
      <c r="G132" s="112">
        <f t="shared" si="10"/>
        <v>167.38999999999942</v>
      </c>
      <c r="H132" s="99">
        <f>G132+'20'!H132</f>
        <v>9162.3300000000017</v>
      </c>
      <c r="I132" s="165"/>
      <c r="J132" s="328">
        <f>H132/DAY(B2)</f>
        <v>436.30142857142863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'20'!F133</f>
        <v>99906.82</v>
      </c>
      <c r="F133" s="165">
        <v>100562.66</v>
      </c>
      <c r="G133" s="112">
        <f t="shared" si="10"/>
        <v>655.83999999999651</v>
      </c>
      <c r="H133" s="99">
        <f>G133+'20'!H133</f>
        <v>12859.660000000003</v>
      </c>
      <c r="I133" s="165"/>
      <c r="J133" s="328">
        <f>H133/DAY(B2)</f>
        <v>612.36476190476208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'20'!F134</f>
        <v>6866.21</v>
      </c>
      <c r="F134" s="165">
        <v>7081.8</v>
      </c>
      <c r="G134" s="112">
        <f t="shared" si="10"/>
        <v>215.59000000000015</v>
      </c>
      <c r="H134" s="99">
        <f>G134+'20'!H134</f>
        <v>9375.7999999999993</v>
      </c>
      <c r="I134" s="165"/>
      <c r="J134" s="328">
        <f>H134/DAY(B2)</f>
        <v>446.46666666666664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2136.6699999999946</v>
      </c>
      <c r="H135" s="99">
        <f>G135+'10'!H135</f>
        <v>33360.67</v>
      </c>
      <c r="I135" s="327">
        <f>G135-(G35+G49)</f>
        <v>-419.10000000000218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'20'!F138</f>
        <v>865405</v>
      </c>
      <c r="F138" s="147">
        <v>865473</v>
      </c>
      <c r="G138" s="112">
        <f t="shared" ref="G138:G152" si="11">F138-E138</f>
        <v>68</v>
      </c>
      <c r="H138" s="99">
        <f>G138+'20'!H138</f>
        <v>1302</v>
      </c>
      <c r="I138" s="118"/>
      <c r="J138" s="328">
        <f>H138/DAY(B2)</f>
        <v>62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'20'!F139</f>
        <v>886552</v>
      </c>
      <c r="F139" s="148">
        <v>886554</v>
      </c>
      <c r="G139" s="112">
        <f t="shared" si="11"/>
        <v>2</v>
      </c>
      <c r="H139" s="99">
        <f>G139+'20'!H139</f>
        <v>8</v>
      </c>
      <c r="I139" s="118"/>
      <c r="J139" s="328">
        <f>H139/DAY(B2)</f>
        <v>0.38095238095238093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'20'!F140</f>
        <v>88917</v>
      </c>
      <c r="F140" s="149">
        <v>88918.5</v>
      </c>
      <c r="G140" s="112">
        <f t="shared" si="11"/>
        <v>1.5</v>
      </c>
      <c r="H140" s="99">
        <f>G140+'20'!H140</f>
        <v>36.5</v>
      </c>
      <c r="I140" s="118"/>
      <c r="J140" s="328">
        <f>H140/DAY(B2)</f>
        <v>1.7380952380952381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'20'!F141</f>
        <v>52741.02</v>
      </c>
      <c r="F141" s="149">
        <v>52924.98</v>
      </c>
      <c r="G141" s="112">
        <f t="shared" si="11"/>
        <v>183.9600000000064</v>
      </c>
      <c r="H141" s="99">
        <f>G141+'20'!H141</f>
        <v>3618.9800000000032</v>
      </c>
      <c r="I141" s="118"/>
      <c r="J141" s="328">
        <f>H141/DAY(B2)</f>
        <v>172.3323809523811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'20'!F142</f>
        <v>20419.13</v>
      </c>
      <c r="F142" s="148">
        <v>20501.91</v>
      </c>
      <c r="G142" s="112">
        <f t="shared" si="11"/>
        <v>82.779999999998836</v>
      </c>
      <c r="H142" s="99">
        <f>G142+'20'!H142</f>
        <v>1492.9099999999999</v>
      </c>
      <c r="I142" s="140"/>
      <c r="J142" s="328">
        <f>H142/DAY(B2)</f>
        <v>71.090952380952373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'20'!F143</f>
        <v>3541.77</v>
      </c>
      <c r="F143" s="149">
        <v>3565.54</v>
      </c>
      <c r="G143" s="112">
        <f t="shared" si="11"/>
        <v>23.769999999999982</v>
      </c>
      <c r="H143" s="99">
        <f>G143+'20'!H143</f>
        <v>504.53999999999996</v>
      </c>
      <c r="I143" s="140"/>
      <c r="J143" s="328">
        <f>H143/DAY(B2)</f>
        <v>24.025714285714283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'20'!F144</f>
        <v>874189</v>
      </c>
      <c r="F144" s="147">
        <v>874416</v>
      </c>
      <c r="G144" s="112">
        <f t="shared" si="11"/>
        <v>227</v>
      </c>
      <c r="H144" s="99">
        <f>G144+'20'!H144</f>
        <v>4746</v>
      </c>
      <c r="I144" s="140"/>
      <c r="J144" s="328">
        <f>H144/DAY(B2)</f>
        <v>226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'20'!F145</f>
        <v>4858.28</v>
      </c>
      <c r="F145" s="147">
        <v>4873.3999999999996</v>
      </c>
      <c r="G145" s="112">
        <f t="shared" si="11"/>
        <v>15.119999999999891</v>
      </c>
      <c r="H145" s="99">
        <f>G145+'20'!H145</f>
        <v>315.39999999999964</v>
      </c>
      <c r="I145" s="140"/>
      <c r="J145" s="328">
        <f>H145/DAY(B2)</f>
        <v>15.019047619047601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'20'!F146</f>
        <v>732875</v>
      </c>
      <c r="F146" s="148">
        <v>733244</v>
      </c>
      <c r="G146" s="112">
        <f t="shared" si="11"/>
        <v>369</v>
      </c>
      <c r="H146" s="99">
        <f>G146+'20'!H146</f>
        <v>8386</v>
      </c>
      <c r="I146" s="140"/>
      <c r="J146" s="328">
        <f>H146/DAY(B2)</f>
        <v>399.33333333333331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'20'!F147</f>
        <v>622512</v>
      </c>
      <c r="F147" s="148">
        <v>622888.12</v>
      </c>
      <c r="G147" s="112">
        <f t="shared" si="11"/>
        <v>376.11999999999534</v>
      </c>
      <c r="H147" s="99">
        <f>G147+'20'!H147</f>
        <v>7606.1199999999953</v>
      </c>
      <c r="I147" s="140"/>
      <c r="J147" s="328">
        <f>H147/DAY(B2)</f>
        <v>362.19619047619028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'20'!F148</f>
        <v>687342</v>
      </c>
      <c r="F148" s="150">
        <v>687496.88</v>
      </c>
      <c r="G148" s="112">
        <f t="shared" si="11"/>
        <v>154.88000000000466</v>
      </c>
      <c r="H148" s="99">
        <f>G148+'20'!H148</f>
        <v>4463.7600000000093</v>
      </c>
      <c r="I148" s="124"/>
      <c r="J148" s="328">
        <f>H148/DAY(B2)</f>
        <v>212.56000000000046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'20'!F149</f>
        <v>19166</v>
      </c>
      <c r="F149" s="146">
        <v>19600.46</v>
      </c>
      <c r="G149" s="112">
        <f t="shared" si="11"/>
        <v>434.45999999999913</v>
      </c>
      <c r="H149" s="99">
        <f>G149+'20'!H149</f>
        <v>8851.4599999999991</v>
      </c>
      <c r="I149" s="119"/>
      <c r="J149" s="328">
        <f>H149/DAY(B2)</f>
        <v>421.49809523809517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'20'!F150</f>
        <v>8417.11</v>
      </c>
      <c r="F150" s="233">
        <v>8639.66</v>
      </c>
      <c r="G150" s="112">
        <f t="shared" si="11"/>
        <v>222.54999999999927</v>
      </c>
      <c r="H150" s="99">
        <f>G150+'20'!H150</f>
        <v>4587.66</v>
      </c>
      <c r="I150" s="119"/>
      <c r="J150" s="328">
        <f>H150/DAY(B2)</f>
        <v>218.45999999999998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'20'!F151</f>
        <v>82812</v>
      </c>
      <c r="F151" s="152">
        <v>83038</v>
      </c>
      <c r="G151" s="112">
        <f t="shared" si="11"/>
        <v>226</v>
      </c>
      <c r="H151" s="99">
        <f>G151+'20'!H151</f>
        <v>4821</v>
      </c>
      <c r="I151" s="119"/>
      <c r="J151" s="328">
        <f>H151/DAY(B2)</f>
        <v>229.57142857142858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'20'!F152</f>
        <v>1466.21</v>
      </c>
      <c r="F152" s="233">
        <v>1482.07</v>
      </c>
      <c r="G152" s="112">
        <f t="shared" si="11"/>
        <v>15.8599999999999</v>
      </c>
      <c r="H152" s="99">
        <f>G152+'20'!H152</f>
        <v>355.06999999999994</v>
      </c>
      <c r="I152" s="119"/>
      <c r="J152" s="328">
        <f>H152/DAY(B2)</f>
        <v>16.908095238095235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2403.0000000000036</v>
      </c>
      <c r="H153" s="363"/>
      <c r="I153" s="119">
        <f>G153-(G38+G52)</f>
        <v>731.55000000000291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'20'!F155</f>
        <v>25146.7</v>
      </c>
      <c r="F155" s="374">
        <v>25759.94</v>
      </c>
      <c r="G155" s="112">
        <f t="shared" ref="G155:G158" si="12">F155-E155</f>
        <v>613.23999999999796</v>
      </c>
      <c r="H155" s="99">
        <f>G155+'20'!H155</f>
        <v>12287.939999999999</v>
      </c>
      <c r="I155" s="364"/>
      <c r="J155" s="328">
        <f>H155/DAY(B2)</f>
        <v>585.14</v>
      </c>
    </row>
    <row r="156" spans="1:10" ht="27.75">
      <c r="A156" s="823" t="s">
        <v>347</v>
      </c>
      <c r="B156" s="823"/>
      <c r="C156" s="823"/>
      <c r="D156" s="117" t="s">
        <v>130</v>
      </c>
      <c r="E156" s="95">
        <f>'20'!F156</f>
        <v>2118.25</v>
      </c>
      <c r="F156" s="155">
        <v>2175.3200000000002</v>
      </c>
      <c r="G156" s="112">
        <f t="shared" si="12"/>
        <v>57.070000000000164</v>
      </c>
      <c r="H156" s="99">
        <f>G156+'20'!H156</f>
        <v>1087.3200000000002</v>
      </c>
      <c r="I156" s="165"/>
      <c r="J156" s="328">
        <f>H156/DAY(B2)</f>
        <v>51.777142857142863</v>
      </c>
    </row>
    <row r="157" spans="1:10" ht="27.75">
      <c r="A157" s="824" t="s">
        <v>364</v>
      </c>
      <c r="B157" s="825"/>
      <c r="C157" s="826"/>
      <c r="D157" s="117" t="s">
        <v>130</v>
      </c>
      <c r="E157" s="95">
        <f>'20'!F157</f>
        <v>2837.68</v>
      </c>
      <c r="F157" s="155">
        <v>2949.54</v>
      </c>
      <c r="G157" s="112">
        <f t="shared" si="12"/>
        <v>111.86000000000013</v>
      </c>
      <c r="H157" s="99">
        <f>G157+'20'!H157</f>
        <v>229.38000000000011</v>
      </c>
      <c r="I157" s="165"/>
      <c r="J157" s="328">
        <f>H157/DAY(B2)</f>
        <v>10.922857142857149</v>
      </c>
    </row>
    <row r="158" spans="1:10" ht="27.75">
      <c r="A158" s="824" t="s">
        <v>365</v>
      </c>
      <c r="B158" s="825"/>
      <c r="C158" s="826"/>
      <c r="D158" s="117" t="s">
        <v>130</v>
      </c>
      <c r="E158" s="95">
        <f>'20'!F158</f>
        <v>26.38</v>
      </c>
      <c r="F158" s="155">
        <v>26.84</v>
      </c>
      <c r="G158" s="112">
        <f t="shared" si="12"/>
        <v>0.46000000000000085</v>
      </c>
      <c r="H158" s="99">
        <f>G158+'20'!H158</f>
        <v>2.5</v>
      </c>
      <c r="I158" s="165"/>
      <c r="J158" s="328">
        <f>H158/DAY(B2)</f>
        <v>0.11904761904761904</v>
      </c>
    </row>
    <row r="159" spans="1:10" ht="27.75">
      <c r="A159" s="907"/>
      <c r="B159" s="908"/>
      <c r="C159" s="909"/>
      <c r="D159" s="117"/>
      <c r="E159" s="95"/>
      <c r="F159" s="16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'20'!F161</f>
        <v>471467.24</v>
      </c>
      <c r="F161" s="235">
        <v>471569</v>
      </c>
      <c r="G161" s="238">
        <f t="shared" ref="G161:G165" si="13">F161-E161</f>
        <v>101.76000000000931</v>
      </c>
      <c r="H161" s="99">
        <f>G161+'20'!H161</f>
        <v>415.84000000002561</v>
      </c>
      <c r="I161" s="236"/>
      <c r="J161" s="239">
        <f>H161/DAY(B2)</f>
        <v>19.80190476190598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'20'!F162</f>
        <v>88171.5</v>
      </c>
      <c r="F162" s="235">
        <v>88213.3</v>
      </c>
      <c r="G162" s="238">
        <f t="shared" si="13"/>
        <v>41.80000000000291</v>
      </c>
      <c r="H162" s="99">
        <f>G162+'20'!H162</f>
        <v>643.30000000000291</v>
      </c>
      <c r="I162" s="236"/>
      <c r="J162" s="239">
        <f>H162/DAY(B2)</f>
        <v>30.633333333333471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'20'!F163</f>
        <v>78749.600000000006</v>
      </c>
      <c r="F163" s="637">
        <v>78800.600000000006</v>
      </c>
      <c r="G163" s="238">
        <f t="shared" si="13"/>
        <v>51</v>
      </c>
      <c r="H163" s="99">
        <f>G163+'20'!H163</f>
        <v>975.60000000000582</v>
      </c>
      <c r="I163" s="236"/>
      <c r="J163" s="239">
        <f>H163/DAY(B2)</f>
        <v>46.457142857143133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'20'!F164</f>
        <v>4288</v>
      </c>
      <c r="F164" s="637">
        <v>4291.1000000000004</v>
      </c>
      <c r="G164" s="238">
        <f t="shared" si="13"/>
        <v>3.1000000000003638</v>
      </c>
      <c r="H164" s="99">
        <f>G164+'20'!H164</f>
        <v>49.100000000000364</v>
      </c>
      <c r="I164" s="236"/>
      <c r="J164" s="239">
        <f>H164/DAY(B2)</f>
        <v>2.3380952380952555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'20'!F165</f>
        <v>29779.71</v>
      </c>
      <c r="F165" s="235">
        <v>29788.91</v>
      </c>
      <c r="G165" s="238">
        <f t="shared" si="13"/>
        <v>9.2000000000007276</v>
      </c>
      <c r="H165" s="99">
        <f>G165+'20'!H165</f>
        <v>142.90999999999985</v>
      </c>
      <c r="I165" s="236"/>
      <c r="J165" s="239">
        <f>H165/DAY(B2)</f>
        <v>6.8052380952380886</v>
      </c>
    </row>
    <row r="166" spans="1:10" ht="29.25">
      <c r="A166" s="832"/>
      <c r="B166" s="832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'20'!F173</f>
        <v>8126</v>
      </c>
      <c r="F173" s="155">
        <v>8126</v>
      </c>
      <c r="G173" s="155">
        <f>F173-E173</f>
        <v>0</v>
      </c>
      <c r="H173" s="99">
        <f>G173+'20'!H173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'20'!F174</f>
        <v>38478</v>
      </c>
      <c r="F174" s="157">
        <v>38489</v>
      </c>
      <c r="G174" s="155">
        <f t="shared" ref="G174:G175" si="14">F174-E174</f>
        <v>11</v>
      </c>
      <c r="H174" s="99">
        <f>G174+'20'!H174</f>
        <v>196</v>
      </c>
      <c r="I174" s="155"/>
      <c r="J174" s="178">
        <f>H174/DAY(B2)</f>
        <v>9.3333333333333339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'20'!F175</f>
        <v>21704</v>
      </c>
      <c r="F175" s="155">
        <v>21714</v>
      </c>
      <c r="G175" s="155">
        <f t="shared" si="14"/>
        <v>10</v>
      </c>
      <c r="H175" s="99">
        <f>G175+'20'!H175</f>
        <v>196</v>
      </c>
      <c r="I175" s="155"/>
      <c r="J175" s="178">
        <f>H175/DAY(B2)</f>
        <v>9.3333333333333339</v>
      </c>
    </row>
    <row r="176" spans="1:10" ht="27.75">
      <c r="A176" s="827" t="s">
        <v>196</v>
      </c>
      <c r="B176" s="828"/>
      <c r="C176" s="485"/>
      <c r="D176" s="228" t="s">
        <v>142</v>
      </c>
      <c r="E176" s="95"/>
      <c r="F176" s="155"/>
      <c r="G176" s="155">
        <f>SUM(G173:G175)</f>
        <v>21</v>
      </c>
      <c r="H176" s="99">
        <f>G176+'20'!H176</f>
        <v>392</v>
      </c>
      <c r="I176" s="155"/>
      <c r="J176" s="178">
        <f>H176/DAY(B2)</f>
        <v>18.666666666666668</v>
      </c>
    </row>
    <row r="177" spans="1:10" ht="27.75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'20'!F178</f>
        <v>80729</v>
      </c>
      <c r="F178" s="155">
        <v>80790</v>
      </c>
      <c r="G178" s="155">
        <f>F178-E178</f>
        <v>61</v>
      </c>
      <c r="H178" s="99">
        <f>G178+'20'!H178</f>
        <v>1176</v>
      </c>
      <c r="I178" s="155"/>
      <c r="J178" s="178">
        <f>H178/DAY(B2)</f>
        <v>56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'20'!F179</f>
        <v>34336</v>
      </c>
      <c r="F179" s="155">
        <v>34356</v>
      </c>
      <c r="G179" s="155">
        <f t="shared" ref="G179:G180" si="15">F179-E179</f>
        <v>20</v>
      </c>
      <c r="H179" s="99">
        <f>G179+'20'!H179</f>
        <v>441</v>
      </c>
      <c r="I179" s="155"/>
      <c r="J179" s="178">
        <f>H179/DAY(B2)</f>
        <v>21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'20'!F180</f>
        <v>5623</v>
      </c>
      <c r="F180" s="155">
        <v>5637</v>
      </c>
      <c r="G180" s="155">
        <f t="shared" si="15"/>
        <v>14</v>
      </c>
      <c r="H180" s="99">
        <f>G180+'20'!H180</f>
        <v>160</v>
      </c>
      <c r="I180" s="155"/>
      <c r="J180" s="178">
        <f>H180/DAY(B2)</f>
        <v>7.6190476190476186</v>
      </c>
    </row>
    <row r="181" spans="1:10" ht="27.75">
      <c r="A181" s="838" t="s">
        <v>108</v>
      </c>
      <c r="B181" s="839"/>
      <c r="C181" s="485"/>
      <c r="D181" s="228" t="s">
        <v>142</v>
      </c>
      <c r="E181" s="95"/>
      <c r="F181" s="155"/>
      <c r="G181" s="155">
        <f>SUM(G178:G180)</f>
        <v>95</v>
      </c>
      <c r="H181" s="99">
        <f>G181+'20'!H181</f>
        <v>1777</v>
      </c>
      <c r="I181" s="155"/>
      <c r="J181" s="178">
        <f>H181/DAY(B2)</f>
        <v>84.61904761904762</v>
      </c>
    </row>
    <row r="182" spans="1:10" ht="27.75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'20'!F183</f>
        <v>15189</v>
      </c>
      <c r="F183" s="157">
        <v>15199</v>
      </c>
      <c r="G183" s="157">
        <f>F183-E183</f>
        <v>10</v>
      </c>
      <c r="H183" s="99">
        <f>G183+'20'!H183</f>
        <v>252</v>
      </c>
      <c r="I183" s="155"/>
      <c r="J183" s="178">
        <f>H183/DAY(B2)</f>
        <v>12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'20'!F184</f>
        <v>10425</v>
      </c>
      <c r="F184" s="157">
        <v>10429</v>
      </c>
      <c r="G184" s="157">
        <f t="shared" ref="G184:G185" si="16">F184-E184</f>
        <v>4</v>
      </c>
      <c r="H184" s="99">
        <f>G184+'20'!H184</f>
        <v>128</v>
      </c>
      <c r="I184" s="155"/>
      <c r="J184" s="178">
        <f>H184/DAY(B2)</f>
        <v>6.0952380952380949</v>
      </c>
    </row>
    <row r="185" spans="1:10" ht="32.25" customHeight="1">
      <c r="A185" s="836" t="s">
        <v>216</v>
      </c>
      <c r="B185" s="837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14</v>
      </c>
      <c r="H186" s="99">
        <f>G186+'20'!H186</f>
        <v>380</v>
      </c>
      <c r="I186" s="157"/>
      <c r="J186" s="178">
        <f>H186/DAY(B2)</f>
        <v>18.095238095238095</v>
      </c>
    </row>
    <row r="187" spans="1:10" ht="27.75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117</v>
      </c>
      <c r="H187" s="99">
        <f>G187+'20'!H187</f>
        <v>2408</v>
      </c>
      <c r="I187" s="158"/>
      <c r="J187" s="179">
        <f>H187/DAY(B2)</f>
        <v>114.66666666666667</v>
      </c>
    </row>
    <row r="188" spans="1:10" ht="27.75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116</v>
      </c>
      <c r="H188" s="99">
        <f>G188+'20'!H188</f>
        <v>832</v>
      </c>
      <c r="I188" s="158"/>
      <c r="J188" s="179">
        <f>H188/DAY(B2)</f>
        <v>39.61904761904762</v>
      </c>
    </row>
    <row r="189" spans="1:10" ht="21" customHeight="1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95</v>
      </c>
      <c r="H189" s="99">
        <f>G189+'20'!H189</f>
        <v>187</v>
      </c>
      <c r="I189" s="158"/>
      <c r="J189" s="179">
        <f>H189/DAY(B2)</f>
        <v>8.9047619047619051</v>
      </c>
    </row>
    <row r="190" spans="1:10" ht="27.75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2"/>
  <sheetViews>
    <sheetView view="pageBreakPreview" zoomScale="50" zoomScaleNormal="71" zoomScaleSheetLayoutView="50" workbookViewId="0">
      <selection activeCell="F159" sqref="F15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356</v>
      </c>
      <c r="B2" s="262">
        <v>44583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'21'!F7</f>
        <v>476797.71</v>
      </c>
      <c r="F7" s="95">
        <v>496013.67</v>
      </c>
      <c r="G7" s="112">
        <f>F7-E7</f>
        <v>19215.959999999963</v>
      </c>
      <c r="H7" s="99">
        <f>G7+'21'!H7</f>
        <v>401452.67</v>
      </c>
      <c r="I7" s="113">
        <f>'1'!I7</f>
        <v>12000</v>
      </c>
      <c r="J7" s="175">
        <f>H7/DAY(B2)</f>
        <v>18247.848636363637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'21'!F8</f>
        <v>530403.75</v>
      </c>
      <c r="F8" s="95">
        <v>550326.51</v>
      </c>
      <c r="G8" s="115">
        <f>F8-E8</f>
        <v>19922.760000000009</v>
      </c>
      <c r="H8" s="99">
        <f>G8+'21'!H8</f>
        <v>409441.51</v>
      </c>
      <c r="I8" s="116"/>
      <c r="J8" s="175">
        <f>H8/DAY(B2)</f>
        <v>18610.977727272726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'21'!F9</f>
        <v>144338.41</v>
      </c>
      <c r="F9" s="601">
        <v>156266.35</v>
      </c>
      <c r="G9" s="112">
        <f>F9-E9</f>
        <v>11927.940000000002</v>
      </c>
      <c r="H9" s="99">
        <f>G9+'21'!H9</f>
        <v>254771.34999999998</v>
      </c>
      <c r="I9" s="124">
        <f>I7-J7</f>
        <v>-6247.8486363636366</v>
      </c>
      <c r="J9" s="175">
        <f>H9/DAY(B2)</f>
        <v>11580.515909090907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'21'!F10</f>
        <v>73845.8</v>
      </c>
      <c r="F10" s="353">
        <v>80607.3</v>
      </c>
      <c r="G10" s="112">
        <f t="shared" ref="G10:G12" si="0">F10-E10</f>
        <v>6761.5</v>
      </c>
      <c r="H10" s="99">
        <f>G10+'21'!H10</f>
        <v>135513.29999999999</v>
      </c>
      <c r="I10" s="282"/>
      <c r="J10" s="175">
        <f>H10/DAY(B2)</f>
        <v>6159.6954545454537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170</v>
      </c>
      <c r="I11" s="282"/>
      <c r="J11" s="175">
        <f>H11/DAY(B2)</f>
        <v>7.7272727272727275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18689.440000000002</v>
      </c>
      <c r="H13" s="99">
        <f>G13+'21'!H13</f>
        <v>370989.39999999991</v>
      </c>
      <c r="I13" s="120">
        <f>G7-G13</f>
        <v>526.51999999996042</v>
      </c>
      <c r="J13" s="175">
        <f>H13/DAY(B2)</f>
        <v>16863.154545454541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'21'!F15</f>
        <v>1897060.59</v>
      </c>
      <c r="F15" s="123">
        <v>1898097</v>
      </c>
      <c r="G15" s="112">
        <f>(F15-E15)</f>
        <v>1036.4099999999162</v>
      </c>
      <c r="H15" s="99">
        <f>G15+'21'!H15</f>
        <v>19667</v>
      </c>
      <c r="I15" s="113">
        <f>'1'!I15</f>
        <v>800</v>
      </c>
      <c r="J15" s="175">
        <f>H15/DAY(B2)</f>
        <v>893.9545454545455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-93.954545454545496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'21'!F18</f>
        <v>11</v>
      </c>
      <c r="F18" s="122">
        <v>12</v>
      </c>
      <c r="G18" s="119">
        <f>F18*10</f>
        <v>120</v>
      </c>
      <c r="H18" s="99">
        <f>G18+'21'!H18</f>
        <v>2370</v>
      </c>
      <c r="I18" s="113">
        <f>'1'!I18</f>
        <v>65</v>
      </c>
      <c r="J18" s="175">
        <f>H18/DAY(B2)</f>
        <v>107.72727272727273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'21'!F19</f>
        <v>153349</v>
      </c>
      <c r="F19" s="122">
        <v>153405</v>
      </c>
      <c r="G19" s="112">
        <f t="shared" ref="G19" si="1">F19-E19</f>
        <v>56</v>
      </c>
      <c r="H19" s="99">
        <f>G19+'21'!H19</f>
        <v>1180</v>
      </c>
      <c r="I19" s="335"/>
      <c r="J19" s="175">
        <f>H19/DAY(B2)</f>
        <v>53.636363636363633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176</v>
      </c>
      <c r="H20" s="99">
        <f>G20+'21'!H20</f>
        <v>3550</v>
      </c>
      <c r="I20" s="336">
        <f>I18-J20</f>
        <v>-96.363636363636374</v>
      </c>
      <c r="J20" s="175">
        <f>H20/DAY(B2)</f>
        <v>161.36363636363637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110</v>
      </c>
      <c r="I23" s="118"/>
      <c r="J23" s="175">
        <f>H23/DAY(B2)</f>
        <v>5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110</v>
      </c>
      <c r="I24" s="118"/>
      <c r="J24" s="175">
        <f>H24/DAY(B2)</f>
        <v>5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19922.760000000009</v>
      </c>
      <c r="F27" s="136">
        <v>9</v>
      </c>
      <c r="G27" s="137">
        <f>E27*F27</f>
        <v>179304.84000000008</v>
      </c>
      <c r="H27" s="99">
        <f>G27+'21'!H27</f>
        <v>3684973.59</v>
      </c>
      <c r="I27" s="138"/>
      <c r="J27" s="175">
        <f>H27/DAY(B2)</f>
        <v>167498.79954545453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1036.4099999999162</v>
      </c>
      <c r="F28" s="136">
        <v>52</v>
      </c>
      <c r="G28" s="137">
        <f>E28*F28</f>
        <v>53893.319999995641</v>
      </c>
      <c r="H28" s="99">
        <f>G28+'21'!H28</f>
        <v>1022684</v>
      </c>
      <c r="I28" s="140"/>
      <c r="J28" s="175">
        <f>H28/DAY(B2)</f>
        <v>46485.63636363636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7590</v>
      </c>
      <c r="I29" s="140"/>
      <c r="J29" s="175">
        <f>H29/DAY(B2)</f>
        <v>345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G30+'21'!H30</f>
        <v>172280</v>
      </c>
      <c r="I30" s="140"/>
      <c r="J30" s="175">
        <f>H30/DAY(B2)</f>
        <v>7830.909090909091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G31+'21'!H31</f>
        <v>189600</v>
      </c>
      <c r="I31" s="140"/>
      <c r="J31" s="175">
        <f>H31/DAY(B2)</f>
        <v>8618.181818181818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250974.15999999573</v>
      </c>
      <c r="H32" s="99">
        <f>G32+'21'!H32</f>
        <v>5077127.59</v>
      </c>
      <c r="I32" s="144"/>
      <c r="J32" s="175">
        <f>H32/DAY(B2)</f>
        <v>230778.52681818182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'21'!F35</f>
        <v>19247.78</v>
      </c>
      <c r="F35" s="504">
        <v>20670.580000000002</v>
      </c>
      <c r="G35" s="112">
        <f t="shared" ref="G35:G46" si="3">F35-E35</f>
        <v>1422.8000000000029</v>
      </c>
      <c r="H35" s="99">
        <f>G35+'21'!H35</f>
        <v>35870.58</v>
      </c>
      <c r="I35" s="95"/>
      <c r="J35" s="175">
        <f>H35/DAY(B2)</f>
        <v>1630.4809090909091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'21'!F36</f>
        <v>35993.730000000003</v>
      </c>
      <c r="F36" s="145">
        <v>36828.019999999997</v>
      </c>
      <c r="G36" s="112">
        <f t="shared" si="3"/>
        <v>834.2899999999936</v>
      </c>
      <c r="H36" s="99">
        <f>G36+'21'!H36</f>
        <v>15301.019999999997</v>
      </c>
      <c r="I36" s="95"/>
      <c r="J36" s="175">
        <f>H36/DAY(B2)</f>
        <v>695.50090909090898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'21'!F37</f>
        <v>19583.419999999998</v>
      </c>
      <c r="F37" s="504">
        <v>21170.51</v>
      </c>
      <c r="G37" s="112">
        <f t="shared" si="3"/>
        <v>1587.0900000000001</v>
      </c>
      <c r="H37" s="99">
        <f>G37+'21'!H37</f>
        <v>33382.509999999995</v>
      </c>
      <c r="I37" s="95"/>
      <c r="J37" s="175">
        <f>H37/DAY(B2)</f>
        <v>1517.3868181818179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'21'!F38</f>
        <v>20772.3</v>
      </c>
      <c r="F38" s="108">
        <v>22559.54</v>
      </c>
      <c r="G38" s="112">
        <f t="shared" si="3"/>
        <v>1787.2400000000016</v>
      </c>
      <c r="H38" s="99">
        <f>G38+'21'!H38</f>
        <v>35759.540000000008</v>
      </c>
      <c r="I38" s="95"/>
      <c r="J38" s="175">
        <f>H38/DAY(B2)</f>
        <v>1625.4336363636367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'21'!F39</f>
        <v>33105.85</v>
      </c>
      <c r="F39" s="504">
        <v>35754.550000000003</v>
      </c>
      <c r="G39" s="112">
        <f t="shared" si="3"/>
        <v>2648.7000000000044</v>
      </c>
      <c r="H39" s="99">
        <f>G39+'21'!H39</f>
        <v>57436.55</v>
      </c>
      <c r="I39" s="95"/>
      <c r="J39" s="175">
        <f>H39/DAY(B2)</f>
        <v>2610.7522727272731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'21'!F40</f>
        <v>14856.38</v>
      </c>
      <c r="F40" s="145">
        <v>15149.86</v>
      </c>
      <c r="G40" s="112">
        <f t="shared" si="3"/>
        <v>293.48000000000138</v>
      </c>
      <c r="H40" s="99">
        <f>G40+'21'!H40</f>
        <v>9539.86</v>
      </c>
      <c r="I40" s="95"/>
      <c r="J40" s="175">
        <f>H40/DAY(B2)</f>
        <v>433.63000000000005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'21'!F42</f>
        <v>73808.600000000006</v>
      </c>
      <c r="F42" s="145">
        <v>73808.600000000006</v>
      </c>
      <c r="G42" s="112">
        <f t="shared" si="3"/>
        <v>0</v>
      </c>
      <c r="H42" s="99">
        <f>G42+'21'!H42</f>
        <v>-0.39999999999417923</v>
      </c>
      <c r="I42" s="95"/>
      <c r="J42" s="175">
        <f>H42/DAY(B2)</f>
        <v>-1.8181818181553601E-2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'21'!F43</f>
        <v>94406.93</v>
      </c>
      <c r="F43" s="145">
        <v>96740.35</v>
      </c>
      <c r="G43" s="112">
        <f t="shared" si="3"/>
        <v>2333.4200000000128</v>
      </c>
      <c r="H43" s="99">
        <f>G43+'21'!H43</f>
        <v>49479.350000000006</v>
      </c>
      <c r="I43" s="95"/>
      <c r="J43" s="175">
        <f>H43/DAY(B2)</f>
        <v>2249.0613636363637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10907.020000000017</v>
      </c>
      <c r="H47" s="99">
        <f>G47+'21'!H47</f>
        <v>236769.01000000007</v>
      </c>
      <c r="I47" s="95"/>
      <c r="J47" s="175">
        <f>H47/DAY(B2)</f>
        <v>10762.22772727273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'21'!F49</f>
        <v>15892.9</v>
      </c>
      <c r="F49" s="145">
        <v>17066.73</v>
      </c>
      <c r="G49" s="112">
        <f t="shared" ref="G49:G58" si="4">F49-E49</f>
        <v>1173.83</v>
      </c>
      <c r="H49" s="99">
        <f>G49+'21'!H49</f>
        <v>30187.729999999996</v>
      </c>
      <c r="I49" s="95"/>
      <c r="J49" s="175">
        <f>H49/DAY(B2)</f>
        <v>1372.1695454545452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'21'!F50</f>
        <v>45096.4</v>
      </c>
      <c r="F50" s="145">
        <v>46607.1</v>
      </c>
      <c r="G50" s="112">
        <f t="shared" si="4"/>
        <v>1510.6999999999971</v>
      </c>
      <c r="H50" s="99">
        <f>G50+'21'!H50</f>
        <v>21957.1</v>
      </c>
      <c r="I50" s="95"/>
      <c r="J50" s="175">
        <f>H50/DAY(B2)</f>
        <v>998.05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'21'!F54</f>
        <v>5147.42</v>
      </c>
      <c r="F54" s="145">
        <v>5147.42</v>
      </c>
      <c r="G54" s="112">
        <f t="shared" si="4"/>
        <v>0</v>
      </c>
      <c r="H54" s="99">
        <f>G54+'21'!H54</f>
        <v>6914.5</v>
      </c>
      <c r="I54" s="95"/>
      <c r="J54" s="175">
        <f>H54/DAY(B2)</f>
        <v>314.29545454545456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'21'!F55</f>
        <v>66112.87</v>
      </c>
      <c r="F55" s="504">
        <v>69186.45</v>
      </c>
      <c r="G55" s="112">
        <f t="shared" si="4"/>
        <v>3073.5800000000017</v>
      </c>
      <c r="H55" s="99">
        <f>G55+'21'!H55</f>
        <v>65675.45</v>
      </c>
      <c r="I55" s="95"/>
      <c r="J55" s="175">
        <f>H55/DAY(B2)</f>
        <v>2985.2477272727269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4">
        <v>8610.5400000000009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'21'!F58</f>
        <v>2801.18</v>
      </c>
      <c r="F58" s="145">
        <v>3044.63</v>
      </c>
      <c r="G58" s="112">
        <f t="shared" si="4"/>
        <v>243.45000000000027</v>
      </c>
      <c r="H58" s="99">
        <f>G58+'21'!H58</f>
        <v>3385.2600000000048</v>
      </c>
      <c r="I58" s="95"/>
      <c r="J58" s="175">
        <f>H58/DAY(B2)</f>
        <v>153.87545454545477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6001.5599999999995</v>
      </c>
      <c r="H59" s="99">
        <f>G59+'21'!H59</f>
        <v>128120.04000000004</v>
      </c>
      <c r="I59" s="95">
        <f>G7-G60</f>
        <v>2307.3799999999464</v>
      </c>
      <c r="J59" s="175">
        <f>H59/DAY(B2)</f>
        <v>5823.6381818181835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16908.580000000016</v>
      </c>
      <c r="H60" s="99">
        <f>G60+'21'!H60</f>
        <v>364889.04999999993</v>
      </c>
      <c r="I60" s="95">
        <f>G13-G60</f>
        <v>1780.859999999986</v>
      </c>
      <c r="J60" s="175">
        <f>H60/DAY(B2)</f>
        <v>16585.865909090906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'21'!F62</f>
        <v>268497</v>
      </c>
      <c r="F62" s="122">
        <v>268569</v>
      </c>
      <c r="G62" s="112">
        <f t="shared" ref="G62:G63" si="5">F62-E62</f>
        <v>72</v>
      </c>
      <c r="H62" s="99">
        <f>G62+'21'!H62</f>
        <v>1356</v>
      </c>
      <c r="I62" s="118"/>
      <c r="J62" s="175">
        <f>H62/DAY(B2)</f>
        <v>61.636363636363633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'21'!F63</f>
        <v>214536</v>
      </c>
      <c r="F63" s="122">
        <v>214644</v>
      </c>
      <c r="G63" s="112">
        <f t="shared" si="5"/>
        <v>108</v>
      </c>
      <c r="H63" s="99">
        <f>G63+'21'!H63</f>
        <v>2219</v>
      </c>
      <c r="I63" s="118"/>
      <c r="J63" s="175">
        <f>H63/DAY(B2)</f>
        <v>100.86363636363636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'21'!F64</f>
        <v>0</v>
      </c>
      <c r="F64" s="122"/>
      <c r="G64" s="112">
        <f>G62+G63</f>
        <v>180</v>
      </c>
      <c r="H64" s="99">
        <f>G64+'21'!H64</f>
        <v>3575</v>
      </c>
      <c r="I64" s="118"/>
      <c r="J64" s="175">
        <f>H64/DAY(B2)</f>
        <v>162.5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'21'!F65</f>
        <v>434063</v>
      </c>
      <c r="F65" s="122">
        <v>434138</v>
      </c>
      <c r="G65" s="112">
        <f t="shared" ref="G65:G70" si="6">F65-E65</f>
        <v>75</v>
      </c>
      <c r="H65" s="99">
        <f>G65+'21'!H65</f>
        <v>1524</v>
      </c>
      <c r="I65" s="118"/>
      <c r="J65" s="175">
        <f>H65/DAY(B2)</f>
        <v>69.272727272727266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'21'!F66</f>
        <v>107556</v>
      </c>
      <c r="F66" s="122">
        <v>107570</v>
      </c>
      <c r="G66" s="112">
        <f t="shared" si="6"/>
        <v>14</v>
      </c>
      <c r="H66" s="99">
        <f>G66+'21'!H66</f>
        <v>356</v>
      </c>
      <c r="I66" s="118"/>
      <c r="J66" s="175">
        <f>H66/DAY(B2)</f>
        <v>16.181818181818183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'21'!F67</f>
        <v>104410</v>
      </c>
      <c r="F67" s="122">
        <v>104430</v>
      </c>
      <c r="G67" s="112">
        <f t="shared" si="6"/>
        <v>20</v>
      </c>
      <c r="H67" s="99">
        <f>G67+'21'!H67</f>
        <v>502</v>
      </c>
      <c r="I67" s="118"/>
      <c r="J67" s="175">
        <f>H67/DAY(B2)</f>
        <v>22.818181818181817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'21'!F68</f>
        <v>157227</v>
      </c>
      <c r="F68" s="122">
        <v>157272</v>
      </c>
      <c r="G68" s="112">
        <f t="shared" si="6"/>
        <v>45</v>
      </c>
      <c r="H68" s="99">
        <f>G68+'21'!H68</f>
        <v>652</v>
      </c>
      <c r="I68" s="118"/>
      <c r="J68" s="175">
        <f>H68/DAY(B2)</f>
        <v>29.636363636363637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'21'!F69</f>
        <v>10419</v>
      </c>
      <c r="F69" s="122">
        <v>10427</v>
      </c>
      <c r="G69" s="112">
        <f t="shared" si="6"/>
        <v>8</v>
      </c>
      <c r="H69" s="99">
        <f>G69+'21'!H69</f>
        <v>213</v>
      </c>
      <c r="I69" s="118"/>
      <c r="J69" s="175">
        <f>H69/DAY(B2)</f>
        <v>9.6818181818181817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'21'!F70</f>
        <v>8010</v>
      </c>
      <c r="F70" s="122">
        <v>8016</v>
      </c>
      <c r="G70" s="112">
        <f t="shared" si="6"/>
        <v>6</v>
      </c>
      <c r="H70" s="99">
        <f>G70+'21'!H70</f>
        <v>154</v>
      </c>
      <c r="I70" s="118"/>
      <c r="J70" s="175">
        <f>H70/DAY(B2)</f>
        <v>7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168</v>
      </c>
      <c r="H71" s="99">
        <f>G71+'21'!H71</f>
        <v>3401</v>
      </c>
      <c r="I71" s="154"/>
      <c r="J71" s="175">
        <f>H71/DAY(B2)</f>
        <v>154.59090909090909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'21'!F74</f>
        <v>898262.41</v>
      </c>
      <c r="F74" s="123">
        <v>898570.12</v>
      </c>
      <c r="G74" s="112">
        <f t="shared" ref="G74:G78" si="7">F74-E74</f>
        <v>307.70999999996275</v>
      </c>
      <c r="H74" s="99">
        <f>G74+'21'!H74</f>
        <v>6538.1199999999953</v>
      </c>
      <c r="I74" s="154"/>
      <c r="J74" s="175">
        <f>H74/DAY(B2)</f>
        <v>297.1872727272725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'21'!F76</f>
        <v>168983.32</v>
      </c>
      <c r="F76" s="123">
        <v>169102.67</v>
      </c>
      <c r="G76" s="112">
        <f t="shared" si="7"/>
        <v>119.35000000000582</v>
      </c>
      <c r="H76" s="99">
        <f>G76+'21'!H76</f>
        <v>1895.6700000000128</v>
      </c>
      <c r="I76" s="154"/>
      <c r="J76" s="175">
        <f>H76/DAY(B2)</f>
        <v>86.166818181818769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'21'!F77</f>
        <v>40947</v>
      </c>
      <c r="F77" s="123">
        <v>40987</v>
      </c>
      <c r="G77" s="112">
        <f t="shared" si="7"/>
        <v>40</v>
      </c>
      <c r="H77" s="99">
        <f>G77+'21'!H77</f>
        <v>671</v>
      </c>
      <c r="I77" s="154"/>
      <c r="J77" s="175">
        <f>H77/DAY(B2)</f>
        <v>30.5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'21'!F78</f>
        <v>9503</v>
      </c>
      <c r="F78" s="123">
        <v>9506</v>
      </c>
      <c r="G78" s="112">
        <f t="shared" si="7"/>
        <v>3</v>
      </c>
      <c r="H78" s="99">
        <f>G78+'21'!H78</f>
        <v>20</v>
      </c>
      <c r="I78" s="118"/>
      <c r="J78" s="175">
        <f>H78/DAY(B2)</f>
        <v>0.90909090909090906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'21'!F79</f>
        <v>0</v>
      </c>
      <c r="F79" s="123"/>
      <c r="G79" s="112">
        <f>G15-SUM(G74:G78)</f>
        <v>566.34999999994761</v>
      </c>
      <c r="H79" s="99">
        <f>G79+'21'!H79</f>
        <v>10542.209999999992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1036.4099999999162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'21'!F85</f>
        <v>2096.56</v>
      </c>
      <c r="F85" s="164">
        <v>2096.56</v>
      </c>
      <c r="G85" s="112">
        <f t="shared" si="8"/>
        <v>0</v>
      </c>
      <c r="H85" s="99">
        <f>G85+'21'!H85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'21'!F86</f>
        <v>43369.45</v>
      </c>
      <c r="F86" s="164">
        <v>43393.86</v>
      </c>
      <c r="G86" s="112">
        <f t="shared" si="8"/>
        <v>24.410000000003492</v>
      </c>
      <c r="H86" s="99">
        <f>G86+'21'!H86</f>
        <v>530.86000000000058</v>
      </c>
      <c r="I86" s="118"/>
      <c r="J86" s="175">
        <f>H86/DAY(B2)</f>
        <v>24.130000000000027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'21'!F88</f>
        <v>24061.37</v>
      </c>
      <c r="F88" s="164">
        <v>24061.37</v>
      </c>
      <c r="G88" s="112">
        <f t="shared" si="8"/>
        <v>0</v>
      </c>
      <c r="H88" s="99">
        <f>G88+'21'!H88</f>
        <v>14.369999999998981</v>
      </c>
      <c r="I88" s="118">
        <f>G86+G87+G88</f>
        <v>24.410000000003492</v>
      </c>
      <c r="J88" s="175">
        <f>H88/DAY(B2)</f>
        <v>0.6531818181817719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'21'!F89</f>
        <v>25800.560000000001</v>
      </c>
      <c r="F89" s="164">
        <v>25810.44</v>
      </c>
      <c r="G89" s="112">
        <f t="shared" si="8"/>
        <v>9.8799999999973807</v>
      </c>
      <c r="H89" s="99">
        <f>G89+'21'!H89</f>
        <v>147.43999999999869</v>
      </c>
      <c r="I89" s="118"/>
      <c r="J89" s="175">
        <f>H89/DAY(B2)</f>
        <v>6.7018181818181226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'21'!F90</f>
        <v>71138.429999999993</v>
      </c>
      <c r="F90" s="164">
        <v>71141.88</v>
      </c>
      <c r="G90" s="112">
        <f t="shared" si="8"/>
        <v>3.4500000000116415</v>
      </c>
      <c r="H90" s="99">
        <f>G90+'21'!H90</f>
        <v>107.88000000000466</v>
      </c>
      <c r="I90" s="118">
        <f>G89+G90</f>
        <v>13.330000000009022</v>
      </c>
      <c r="J90" s="175">
        <f>H90/DAY(B2)</f>
        <v>4.9036363636365756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'21'!F92</f>
        <v>5656.7</v>
      </c>
      <c r="F92" s="122">
        <v>5667.45</v>
      </c>
      <c r="G92" s="112">
        <f t="shared" si="8"/>
        <v>10.75</v>
      </c>
      <c r="H92" s="99">
        <f>G92+'21'!H92</f>
        <v>229.44999999999982</v>
      </c>
      <c r="I92" s="165"/>
      <c r="J92" s="175">
        <f>H92/DAY(B2)</f>
        <v>10.429545454545446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4930.0500000000156</v>
      </c>
      <c r="H94" s="99">
        <f>G94+'21'!H94</f>
        <v>115537.66</v>
      </c>
      <c r="I94" s="118"/>
      <c r="J94" s="175">
        <f>H94/DAY(B2)</f>
        <v>5251.7118181818187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0.25656017185714508</v>
      </c>
      <c r="H95" s="99">
        <f>G95+'21'!H95</f>
        <v>6.3211899694716855</v>
      </c>
      <c r="I95" s="167"/>
      <c r="J95" s="175">
        <f>H95/DAY(B2)</f>
        <v>0.28732681679416755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3073.5800000000017</v>
      </c>
      <c r="H96" s="99">
        <f>G96+'21'!H96</f>
        <v>65675.05</v>
      </c>
      <c r="I96" s="118"/>
      <c r="J96" s="175">
        <f>H96/DAY(B2)</f>
        <v>2985.2295454545456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0.15994933378295997</v>
      </c>
      <c r="H97" s="99">
        <f>G97+'21'!H97</f>
        <v>3.6065961188735742</v>
      </c>
      <c r="I97" s="167"/>
      <c r="J97" s="175">
        <f>H97/DAY(B2)</f>
        <v>0.16393618722152611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2648.7000000000044</v>
      </c>
      <c r="H98" s="99">
        <f>G98+'21'!H98</f>
        <v>57436.55</v>
      </c>
      <c r="I98" s="168"/>
      <c r="J98" s="175">
        <f>H98/DAY(B2)</f>
        <v>2610.7522727272731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0.13783854670804943</v>
      </c>
      <c r="H99" s="99">
        <f>G99+'21'!H99</f>
        <v>3.155140931324762</v>
      </c>
      <c r="I99" s="168"/>
      <c r="J99" s="175">
        <f>H99/DAY(B2)</f>
        <v>0.14341549687839827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1787.2400000000016</v>
      </c>
      <c r="H100" s="99">
        <f>G100+'21'!H100</f>
        <v>35759.540000000008</v>
      </c>
      <c r="I100" s="118"/>
      <c r="J100" s="175">
        <f>H100/DAY(B2)</f>
        <v>1625.4336363636367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9.3008103680482526E-2</v>
      </c>
      <c r="H101" s="99">
        <f>G101+'21'!H101</f>
        <v>1.9650622048772957</v>
      </c>
      <c r="I101" s="168"/>
      <c r="J101" s="175">
        <f>H101/DAY(B2)</f>
        <v>8.9321009312604352E-2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2344.9899999999907</v>
      </c>
      <c r="H102" s="99">
        <f>G102+'21'!H102</f>
        <v>37258.119999999995</v>
      </c>
      <c r="I102" s="168"/>
      <c r="J102" s="175">
        <f>H102/DAY(B2)</f>
        <v>1693.5509090909088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0.12203345552342923</v>
      </c>
      <c r="H103" s="99">
        <f>G103+'21'!H103</f>
        <v>2.0358803298144035</v>
      </c>
      <c r="I103" s="118"/>
      <c r="J103" s="175">
        <f>H103/DAY(B2)</f>
        <v>9.2540014991563793E-2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1587.0900000000001</v>
      </c>
      <c r="H104" s="99">
        <f>G104+'21'!H104</f>
        <v>33382.509999999995</v>
      </c>
      <c r="I104" s="118"/>
      <c r="J104" s="175">
        <f>H104/DAY(B2)</f>
        <v>1517.3868181818179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8.2592282665034863E-2</v>
      </c>
      <c r="H105" s="99">
        <f>G105+'21'!H105</f>
        <v>1.8363198782601249</v>
      </c>
      <c r="I105" s="187"/>
      <c r="J105" s="188">
        <f>H105/DAY(B2)</f>
        <v>8.3469085375460217E-2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'21'!F112</f>
        <v>57281.3</v>
      </c>
      <c r="F112" s="237">
        <v>57358.06</v>
      </c>
      <c r="G112" s="112">
        <f t="shared" ref="G112:G123" si="9">F112-E112</f>
        <v>76.759999999994761</v>
      </c>
      <c r="H112" s="99">
        <f>G112+'21'!H112</f>
        <v>1677.0599999999977</v>
      </c>
      <c r="I112" s="165"/>
      <c r="J112" s="328">
        <f>H112/DAY(B2)</f>
        <v>76.22999999999989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'21'!F113</f>
        <v>41726.75</v>
      </c>
      <c r="F113" s="237">
        <v>42213.68</v>
      </c>
      <c r="G113" s="112">
        <f t="shared" si="9"/>
        <v>486.93000000000029</v>
      </c>
      <c r="H113" s="99">
        <f>G113+'21'!H113</f>
        <v>10018.68</v>
      </c>
      <c r="I113" s="165"/>
      <c r="J113" s="328">
        <f>H113/DAY(B2)</f>
        <v>455.39454545454549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'21'!F114</f>
        <v>30460.67</v>
      </c>
      <c r="F114" s="237">
        <v>30820.69</v>
      </c>
      <c r="G114" s="112">
        <f t="shared" si="9"/>
        <v>360.02000000000044</v>
      </c>
      <c r="H114" s="99">
        <f>G114+'21'!H114</f>
        <v>5816.0899999999983</v>
      </c>
      <c r="I114" s="165"/>
      <c r="J114" s="328">
        <f>H114/DAY(B2)</f>
        <v>264.36772727272722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'21'!F115</f>
        <v>8998.33</v>
      </c>
      <c r="F115" s="237">
        <v>9008.8799999999992</v>
      </c>
      <c r="G115" s="112">
        <f t="shared" si="9"/>
        <v>10.549999999999272</v>
      </c>
      <c r="H115" s="99">
        <f>G115+'21'!H115</f>
        <v>223.8799999999992</v>
      </c>
      <c r="I115" s="165"/>
      <c r="J115" s="328">
        <f>H115/DAY(B2)</f>
        <v>10.1763636363636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28">
        <f>H116/DAY(B2)</f>
        <v>0</v>
      </c>
      <c r="Q116" s="843"/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'21'!F117</f>
        <v>3092.27</v>
      </c>
      <c r="F117" s="237">
        <v>3115.38</v>
      </c>
      <c r="G117" s="112">
        <f t="shared" si="9"/>
        <v>23.110000000000127</v>
      </c>
      <c r="H117" s="99">
        <f>G117+'21'!H117</f>
        <v>525.38000000000011</v>
      </c>
      <c r="I117" s="165"/>
      <c r="J117" s="328">
        <f>H117/DAY(B2)</f>
        <v>23.880909090909096</v>
      </c>
      <c r="Q117" s="843"/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'21'!F118</f>
        <v>249077.77</v>
      </c>
      <c r="F118" s="237">
        <v>249390.73</v>
      </c>
      <c r="G118" s="112">
        <f t="shared" si="9"/>
        <v>312.96000000002095</v>
      </c>
      <c r="H118" s="99">
        <f>G118+'21'!H118</f>
        <v>7743.7300000000105</v>
      </c>
      <c r="I118" s="165"/>
      <c r="J118" s="328">
        <f>H118/DAY(B2)</f>
        <v>351.98772727272774</v>
      </c>
      <c r="Q118" s="843"/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'21'!F119</f>
        <v>253998.79</v>
      </c>
      <c r="F119" s="237">
        <v>254407.65</v>
      </c>
      <c r="G119" s="112">
        <f t="shared" si="9"/>
        <v>408.85999999998603</v>
      </c>
      <c r="H119" s="99">
        <f>G119+'21'!H119</f>
        <v>9281.6499999999942</v>
      </c>
      <c r="I119" s="165"/>
      <c r="J119" s="328">
        <f>H119/DAY(B2)</f>
        <v>421.89318181818157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'21'!F120</f>
        <v>38801.230000000003</v>
      </c>
      <c r="F120" s="237">
        <v>39225.410000000003</v>
      </c>
      <c r="G120" s="112">
        <f t="shared" si="9"/>
        <v>424.18000000000029</v>
      </c>
      <c r="H120" s="99">
        <f>G120+'21'!H120</f>
        <v>9147.4100000000035</v>
      </c>
      <c r="I120" s="165"/>
      <c r="J120" s="328">
        <f>H120/DAY(B2)</f>
        <v>415.79136363636377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'21'!F121</f>
        <v>391024.71</v>
      </c>
      <c r="F121" s="237">
        <v>391729.91</v>
      </c>
      <c r="G121" s="112">
        <f t="shared" si="9"/>
        <v>705.19999999995343</v>
      </c>
      <c r="H121" s="99">
        <f>G121+'21'!H121</f>
        <v>15200.909999999974</v>
      </c>
      <c r="I121" s="165"/>
      <c r="J121" s="328">
        <f>H121/DAY(B2)</f>
        <v>690.95045454545334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'21'!F122</f>
        <v>124232.97</v>
      </c>
      <c r="F122" s="237">
        <v>124455.62</v>
      </c>
      <c r="G122" s="112">
        <f t="shared" si="9"/>
        <v>222.64999999999418</v>
      </c>
      <c r="H122" s="99">
        <f>G122+'21'!H122</f>
        <v>4405.6199999999953</v>
      </c>
      <c r="I122" s="165"/>
      <c r="J122" s="328">
        <f>H122/DAY(B2)</f>
        <v>200.25545454545434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'21'!F123</f>
        <v>151320</v>
      </c>
      <c r="F123" s="237">
        <v>151591.79999999999</v>
      </c>
      <c r="G123" s="112">
        <f t="shared" si="9"/>
        <v>271.79999999998836</v>
      </c>
      <c r="H123" s="99">
        <f>G123+'21'!H123</f>
        <v>6466.7999999999884</v>
      </c>
      <c r="I123" s="165"/>
      <c r="J123" s="328">
        <f>H123/DAY(B2)</f>
        <v>293.94545454545403</v>
      </c>
    </row>
    <row r="124" spans="1:18" ht="29.25" customHeight="1">
      <c r="A124" s="847"/>
      <c r="B124" s="848"/>
      <c r="C124" s="849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3303.0199999999381</v>
      </c>
      <c r="H125" s="156"/>
      <c r="I125" s="327">
        <f>G125-(G39+G53)</f>
        <v>654.31999999993377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'21'!F128</f>
        <v>44614.51</v>
      </c>
      <c r="F128" s="165">
        <v>44929.03</v>
      </c>
      <c r="G128" s="112">
        <f t="shared" ref="G128:G134" si="10">F128-E128</f>
        <v>314.5199999999968</v>
      </c>
      <c r="H128" s="99">
        <f>G128+'21'!H128</f>
        <v>6925.0299999999988</v>
      </c>
      <c r="I128" s="165"/>
      <c r="J128" s="328">
        <f>H128/DAY(B2)</f>
        <v>314.77409090909083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'21'!F129</f>
        <v>24910.95</v>
      </c>
      <c r="F129" s="165">
        <v>25169.919999999998</v>
      </c>
      <c r="G129" s="112">
        <f t="shared" si="10"/>
        <v>258.96999999999753</v>
      </c>
      <c r="H129" s="99">
        <f>G129+'21'!H129</f>
        <v>4848.9199999999983</v>
      </c>
      <c r="I129" s="165"/>
      <c r="J129" s="328">
        <f>H129/DAY(B2)</f>
        <v>220.40545454545446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'21'!F130</f>
        <v>30726.03</v>
      </c>
      <c r="F130" s="165">
        <v>31373.81</v>
      </c>
      <c r="G130" s="112">
        <f t="shared" si="10"/>
        <v>647.78000000000247</v>
      </c>
      <c r="H130" s="99">
        <f>G130+'21'!H130</f>
        <v>12991.810000000001</v>
      </c>
      <c r="I130" s="165"/>
      <c r="J130" s="328">
        <f>H130/DAY(B2)</f>
        <v>590.53681818181826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'21'!F131</f>
        <v>14692.65</v>
      </c>
      <c r="F131" s="165">
        <v>14758.15</v>
      </c>
      <c r="G131" s="112">
        <f t="shared" si="10"/>
        <v>65.5</v>
      </c>
      <c r="H131" s="99">
        <f>G131+'21'!H131</f>
        <v>1605.1499999999996</v>
      </c>
      <c r="I131" s="165"/>
      <c r="J131" s="328">
        <f>H131/DAY(B2)</f>
        <v>72.961363636363615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'21'!F132</f>
        <v>50185.33</v>
      </c>
      <c r="F132" s="165">
        <v>50351.33</v>
      </c>
      <c r="G132" s="112">
        <f t="shared" si="10"/>
        <v>166</v>
      </c>
      <c r="H132" s="99">
        <f>G132+'21'!H132</f>
        <v>9328.3300000000017</v>
      </c>
      <c r="I132" s="165"/>
      <c r="J132" s="328">
        <f>H132/DAY(B2)</f>
        <v>424.0150000000001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'21'!F133</f>
        <v>100562.66</v>
      </c>
      <c r="F133" s="165">
        <v>101216.1</v>
      </c>
      <c r="G133" s="112">
        <f t="shared" si="10"/>
        <v>653.44000000000233</v>
      </c>
      <c r="H133" s="99">
        <f>G133+'21'!H133</f>
        <v>13513.100000000006</v>
      </c>
      <c r="I133" s="165"/>
      <c r="J133" s="328">
        <f>H133/DAY(B2)</f>
        <v>614.23181818181843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'21'!F134</f>
        <v>7081.8</v>
      </c>
      <c r="F134" s="165">
        <v>7236.79</v>
      </c>
      <c r="G134" s="112">
        <f t="shared" si="10"/>
        <v>154.98999999999978</v>
      </c>
      <c r="H134" s="99">
        <f>G134+'21'!H134</f>
        <v>9530.7899999999991</v>
      </c>
      <c r="I134" s="165"/>
      <c r="J134" s="328">
        <f>H134/DAY(B2)</f>
        <v>433.21772727272725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2261.1999999999989</v>
      </c>
      <c r="H135" s="99">
        <f>G135+'10'!H135</f>
        <v>33485.199999999997</v>
      </c>
      <c r="I135" s="327">
        <f>G135-(G35+G49)</f>
        <v>-335.43000000000393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'21'!F138</f>
        <v>865473</v>
      </c>
      <c r="F138" s="147">
        <v>865580</v>
      </c>
      <c r="G138" s="112">
        <f t="shared" ref="G138:G152" si="11">F138-E138</f>
        <v>107</v>
      </c>
      <c r="H138" s="99">
        <f>G138+'21'!H138</f>
        <v>1409</v>
      </c>
      <c r="I138" s="118"/>
      <c r="J138" s="328">
        <f>H138/DAY(B2)</f>
        <v>64.045454545454547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'21'!F139</f>
        <v>886554</v>
      </c>
      <c r="F139" s="148">
        <v>886563</v>
      </c>
      <c r="G139" s="112">
        <f t="shared" si="11"/>
        <v>9</v>
      </c>
      <c r="H139" s="99">
        <f>G139+'21'!H139</f>
        <v>17</v>
      </c>
      <c r="I139" s="118"/>
      <c r="J139" s="328">
        <f>H139/DAY(B2)</f>
        <v>0.77272727272727271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'21'!F140</f>
        <v>88918.5</v>
      </c>
      <c r="F140" s="149">
        <v>88920.03</v>
      </c>
      <c r="G140" s="112">
        <f t="shared" si="11"/>
        <v>1.5299999999988358</v>
      </c>
      <c r="H140" s="99">
        <f>G140+'21'!H140</f>
        <v>38.029999999998836</v>
      </c>
      <c r="I140" s="118"/>
      <c r="J140" s="328">
        <f>H140/DAY(B2)</f>
        <v>1.7286363636363107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'21'!F141</f>
        <v>52924.98</v>
      </c>
      <c r="F141" s="149">
        <v>53117.62</v>
      </c>
      <c r="G141" s="112">
        <f t="shared" si="11"/>
        <v>192.63999999999942</v>
      </c>
      <c r="H141" s="99">
        <f>G141+'21'!H141</f>
        <v>3811.6200000000026</v>
      </c>
      <c r="I141" s="118"/>
      <c r="J141" s="328">
        <f>H141/DAY(B2)</f>
        <v>173.25545454545465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'21'!F142</f>
        <v>20501.91</v>
      </c>
      <c r="F142" s="148">
        <v>20581.73</v>
      </c>
      <c r="G142" s="112">
        <f t="shared" si="11"/>
        <v>79.819999999999709</v>
      </c>
      <c r="H142" s="99">
        <f>G142+'21'!H142</f>
        <v>1572.7299999999996</v>
      </c>
      <c r="I142" s="140"/>
      <c r="J142" s="328">
        <f>H142/DAY(B2)</f>
        <v>71.487727272727255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'21'!F143</f>
        <v>3565.54</v>
      </c>
      <c r="F143" s="149">
        <v>3593.5</v>
      </c>
      <c r="G143" s="112">
        <f t="shared" si="11"/>
        <v>27.960000000000036</v>
      </c>
      <c r="H143" s="99">
        <f>G143+'21'!H143</f>
        <v>532.5</v>
      </c>
      <c r="I143" s="140"/>
      <c r="J143" s="328">
        <f>H143/DAY(B2)</f>
        <v>24.204545454545453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'21'!F144</f>
        <v>874416</v>
      </c>
      <c r="F144" s="149">
        <v>874645</v>
      </c>
      <c r="G144" s="112">
        <f t="shared" si="11"/>
        <v>229</v>
      </c>
      <c r="H144" s="99">
        <f>G144+'21'!H144</f>
        <v>4975</v>
      </c>
      <c r="I144" s="140"/>
      <c r="J144" s="328">
        <f>H144/DAY(B2)</f>
        <v>226.13636363636363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'21'!F145</f>
        <v>4873.3999999999996</v>
      </c>
      <c r="F145" s="149">
        <v>4888.2</v>
      </c>
      <c r="G145" s="112">
        <f t="shared" si="11"/>
        <v>14.800000000000182</v>
      </c>
      <c r="H145" s="99">
        <f>G145+'21'!H145</f>
        <v>330.19999999999982</v>
      </c>
      <c r="I145" s="140"/>
      <c r="J145" s="328">
        <f>H145/DAY(B2)</f>
        <v>15.009090909090901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'21'!F146</f>
        <v>733244</v>
      </c>
      <c r="F146" s="148">
        <v>733690</v>
      </c>
      <c r="G146" s="112">
        <f t="shared" si="11"/>
        <v>446</v>
      </c>
      <c r="H146" s="99">
        <f>G146+'21'!H146</f>
        <v>8832</v>
      </c>
      <c r="I146" s="140"/>
      <c r="J146" s="328">
        <f>H146/DAY(B2)</f>
        <v>401.45454545454544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'21'!F147</f>
        <v>622888.12</v>
      </c>
      <c r="F147" s="148">
        <v>623380.12</v>
      </c>
      <c r="G147" s="112">
        <f t="shared" si="11"/>
        <v>492</v>
      </c>
      <c r="H147" s="99">
        <f>G147+'21'!H147</f>
        <v>8098.1199999999953</v>
      </c>
      <c r="I147" s="140"/>
      <c r="J147" s="328">
        <f>H147/DAY(B2)</f>
        <v>368.09636363636344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'21'!F148</f>
        <v>687496.88</v>
      </c>
      <c r="F148" s="150">
        <v>687699.44</v>
      </c>
      <c r="G148" s="112">
        <f t="shared" si="11"/>
        <v>202.55999999993946</v>
      </c>
      <c r="H148" s="99">
        <f>G148+'21'!H148</f>
        <v>4666.3199999999488</v>
      </c>
      <c r="I148" s="124"/>
      <c r="J148" s="328">
        <f>H148/DAY(B2)</f>
        <v>212.1054545454522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'21'!F149</f>
        <v>19600.46</v>
      </c>
      <c r="F149" s="146">
        <v>20065.8</v>
      </c>
      <c r="G149" s="112">
        <f t="shared" si="11"/>
        <v>465.34000000000015</v>
      </c>
      <c r="H149" s="99">
        <f>G149+'21'!H149</f>
        <v>9316.7999999999993</v>
      </c>
      <c r="I149" s="119"/>
      <c r="J149" s="328">
        <f>H149/DAY(B2)</f>
        <v>423.49090909090904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'21'!F150</f>
        <v>8639.66</v>
      </c>
      <c r="F150" s="233">
        <v>8866.56</v>
      </c>
      <c r="G150" s="112">
        <f t="shared" si="11"/>
        <v>226.89999999999964</v>
      </c>
      <c r="H150" s="99">
        <f>G150+'21'!H150</f>
        <v>4814.5599999999995</v>
      </c>
      <c r="I150" s="119"/>
      <c r="J150" s="328">
        <f>H150/DAY(B2)</f>
        <v>218.84363636363634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'21'!F151</f>
        <v>83038</v>
      </c>
      <c r="F151" s="233">
        <v>83257</v>
      </c>
      <c r="G151" s="112">
        <f t="shared" si="11"/>
        <v>219</v>
      </c>
      <c r="H151" s="99">
        <f>G151+'21'!H151</f>
        <v>5040</v>
      </c>
      <c r="I151" s="119"/>
      <c r="J151" s="328">
        <f>H151/DAY(B2)</f>
        <v>229.09090909090909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'21'!F152</f>
        <v>1482.07</v>
      </c>
      <c r="F152" s="233">
        <v>1497.94</v>
      </c>
      <c r="G152" s="112">
        <f t="shared" si="11"/>
        <v>15.870000000000118</v>
      </c>
      <c r="H152" s="99">
        <f>G152+'21'!H152</f>
        <v>370.94000000000005</v>
      </c>
      <c r="I152" s="119"/>
      <c r="J152" s="328">
        <f>H152/DAY(B2)</f>
        <v>16.860909090909093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2729.4199999999373</v>
      </c>
      <c r="H153" s="363"/>
      <c r="I153" s="119">
        <f>G153-(G38+G52)</f>
        <v>942.17999999993572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'21'!F155</f>
        <v>25759.94</v>
      </c>
      <c r="F155" s="374">
        <v>26419.72</v>
      </c>
      <c r="G155" s="112">
        <f t="shared" ref="G155:G158" si="12">F155-E155</f>
        <v>659.78000000000247</v>
      </c>
      <c r="H155" s="99">
        <f>G155+'21'!H155</f>
        <v>12947.720000000001</v>
      </c>
      <c r="I155" s="364"/>
      <c r="J155" s="328">
        <f>H155/DAY(B2)</f>
        <v>588.53272727272736</v>
      </c>
    </row>
    <row r="156" spans="1:10" ht="27.75">
      <c r="A156" s="823" t="s">
        <v>347</v>
      </c>
      <c r="B156" s="823"/>
      <c r="C156" s="823"/>
      <c r="D156" s="117" t="s">
        <v>130</v>
      </c>
      <c r="E156" s="95">
        <f>'21'!F156</f>
        <v>2175.3200000000002</v>
      </c>
      <c r="F156" s="155">
        <v>2228.39</v>
      </c>
      <c r="G156" s="112">
        <f t="shared" si="12"/>
        <v>53.069999999999709</v>
      </c>
      <c r="H156" s="99">
        <f>G156+'21'!H156</f>
        <v>1140.3899999999999</v>
      </c>
      <c r="I156" s="165"/>
      <c r="J156" s="328">
        <f>H156/DAY(B2)</f>
        <v>51.835909090909084</v>
      </c>
    </row>
    <row r="157" spans="1:10" ht="27.75">
      <c r="A157" s="824" t="s">
        <v>364</v>
      </c>
      <c r="B157" s="825"/>
      <c r="C157" s="826"/>
      <c r="D157" s="117" t="s">
        <v>130</v>
      </c>
      <c r="E157" s="95">
        <f>'21'!F157</f>
        <v>2949.54</v>
      </c>
      <c r="F157" s="165">
        <v>3059.35</v>
      </c>
      <c r="G157" s="112">
        <f t="shared" si="12"/>
        <v>109.80999999999995</v>
      </c>
      <c r="H157" s="99">
        <f>G157+'21'!H157</f>
        <v>339.19000000000005</v>
      </c>
      <c r="I157" s="165"/>
      <c r="J157" s="328">
        <f>H157/DAY(B2)</f>
        <v>15.417727272727275</v>
      </c>
    </row>
    <row r="158" spans="1:10" ht="27.75">
      <c r="A158" s="824" t="s">
        <v>365</v>
      </c>
      <c r="B158" s="825"/>
      <c r="C158" s="826"/>
      <c r="D158" s="117" t="s">
        <v>130</v>
      </c>
      <c r="E158" s="95">
        <f>'21'!F158</f>
        <v>26.84</v>
      </c>
      <c r="F158" s="165">
        <v>26.97</v>
      </c>
      <c r="G158" s="112">
        <f t="shared" si="12"/>
        <v>0.12999999999999901</v>
      </c>
      <c r="H158" s="99">
        <f>G158+'21'!H158</f>
        <v>2.629999999999999</v>
      </c>
      <c r="I158" s="165"/>
      <c r="J158" s="328">
        <f>H158/DAY(B2)</f>
        <v>0.1195454545454545</v>
      </c>
    </row>
    <row r="159" spans="1:10" ht="27.75">
      <c r="A159" s="907"/>
      <c r="B159" s="908"/>
      <c r="C159" s="909"/>
      <c r="D159" s="117"/>
      <c r="E159" s="95"/>
      <c r="F159" s="16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'21'!F161</f>
        <v>471569</v>
      </c>
      <c r="F161" s="235">
        <v>471787</v>
      </c>
      <c r="G161" s="238">
        <f t="shared" ref="G161:G165" si="13">F161-E161</f>
        <v>218</v>
      </c>
      <c r="H161" s="99">
        <f>G161+'21'!H161</f>
        <v>633.84000000002561</v>
      </c>
      <c r="I161" s="236"/>
      <c r="J161" s="239">
        <f>H161/DAY(B2)</f>
        <v>28.810909090910254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'21'!F162</f>
        <v>88213.3</v>
      </c>
      <c r="F162" s="235">
        <v>88242.6</v>
      </c>
      <c r="G162" s="238">
        <f t="shared" si="13"/>
        <v>29.30000000000291</v>
      </c>
      <c r="H162" s="99">
        <f>G162+'21'!H162</f>
        <v>672.60000000000582</v>
      </c>
      <c r="I162" s="236"/>
      <c r="J162" s="239">
        <f>H162/DAY(B2)</f>
        <v>30.572727272727537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'21'!F163</f>
        <v>78800.600000000006</v>
      </c>
      <c r="F163" s="235">
        <v>78837.3</v>
      </c>
      <c r="G163" s="238">
        <f t="shared" si="13"/>
        <v>36.69999999999709</v>
      </c>
      <c r="H163" s="99">
        <f>G163+'21'!H163</f>
        <v>1012.3000000000029</v>
      </c>
      <c r="I163" s="236"/>
      <c r="J163" s="239">
        <f>H163/DAY(B2)</f>
        <v>46.013636363636493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4291.1000000000004</v>
      </c>
      <c r="F164" s="235">
        <v>4292</v>
      </c>
      <c r="G164" s="238">
        <f t="shared" si="13"/>
        <v>0.8999999999996362</v>
      </c>
      <c r="H164" s="99">
        <f>G164+'21'!H164</f>
        <v>50</v>
      </c>
      <c r="I164" s="236"/>
      <c r="J164" s="239">
        <f>H164/DAY(B2)</f>
        <v>2.2727272727272729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29788.91</v>
      </c>
      <c r="F165" s="235">
        <v>29790.69</v>
      </c>
      <c r="G165" s="238">
        <f t="shared" si="13"/>
        <v>1.7799999999988358</v>
      </c>
      <c r="H165" s="99">
        <f>G165+'21'!H165</f>
        <v>144.68999999999869</v>
      </c>
      <c r="I165" s="236"/>
      <c r="J165" s="239">
        <f>H165/DAY(B2)</f>
        <v>6.5768181818181226</v>
      </c>
    </row>
    <row r="166" spans="1:10" ht="21.95" customHeight="1">
      <c r="A166" s="832"/>
      <c r="B166" s="832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832"/>
      <c r="B167" s="832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832"/>
      <c r="B168" s="832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'21'!F173</f>
        <v>8126</v>
      </c>
      <c r="F173" s="155">
        <v>8126</v>
      </c>
      <c r="G173" s="155">
        <f>F173-E173</f>
        <v>0</v>
      </c>
      <c r="H173" s="99">
        <f>G173+'21'!H173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'21'!F174</f>
        <v>38489</v>
      </c>
      <c r="F174" s="157">
        <v>38501</v>
      </c>
      <c r="G174" s="155">
        <f t="shared" ref="G174:G175" si="14">F174-E174</f>
        <v>12</v>
      </c>
      <c r="H174" s="99">
        <f>G174+'21'!H174</f>
        <v>208</v>
      </c>
      <c r="I174" s="155"/>
      <c r="J174" s="178">
        <f>H174/DAY(B2)</f>
        <v>9.454545454545455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'21'!F175</f>
        <v>21714</v>
      </c>
      <c r="F175" s="155">
        <v>21724</v>
      </c>
      <c r="G175" s="155">
        <f t="shared" si="14"/>
        <v>10</v>
      </c>
      <c r="H175" s="99">
        <f>G175+'21'!H175</f>
        <v>206</v>
      </c>
      <c r="I175" s="155"/>
      <c r="J175" s="178">
        <f>H175/DAY(B2)</f>
        <v>9.3636363636363633</v>
      </c>
    </row>
    <row r="176" spans="1:10" ht="27.75">
      <c r="A176" s="827" t="s">
        <v>196</v>
      </c>
      <c r="B176" s="828"/>
      <c r="C176" s="485"/>
      <c r="D176" s="228" t="s">
        <v>142</v>
      </c>
      <c r="E176" s="95"/>
      <c r="F176" s="155"/>
      <c r="G176" s="155">
        <f>SUM(G173:G175)</f>
        <v>22</v>
      </c>
      <c r="H176" s="99">
        <f>G176+'21'!H176</f>
        <v>414</v>
      </c>
      <c r="I176" s="155"/>
      <c r="J176" s="178">
        <f>H176/DAY(B2)</f>
        <v>18.818181818181817</v>
      </c>
    </row>
    <row r="177" spans="1:10" ht="27.75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'21'!F178</f>
        <v>80790</v>
      </c>
      <c r="F178" s="155">
        <v>80790</v>
      </c>
      <c r="G178" s="155">
        <f>F178-E178</f>
        <v>0</v>
      </c>
      <c r="H178" s="99">
        <f>G178+'21'!H178</f>
        <v>1176</v>
      </c>
      <c r="I178" s="155"/>
      <c r="J178" s="178">
        <f>H178/DAY(B2)</f>
        <v>53.454545454545453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'21'!F179</f>
        <v>34356</v>
      </c>
      <c r="F179" s="155">
        <v>34370</v>
      </c>
      <c r="G179" s="155">
        <f t="shared" ref="G179:G180" si="15">F179-E179</f>
        <v>14</v>
      </c>
      <c r="H179" s="99">
        <f>G179+'21'!H179</f>
        <v>455</v>
      </c>
      <c r="I179" s="155"/>
      <c r="J179" s="178">
        <f>H179/DAY(B2)</f>
        <v>20.681818181818183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'21'!F180</f>
        <v>5637</v>
      </c>
      <c r="F180" s="155">
        <v>5642</v>
      </c>
      <c r="G180" s="374">
        <f t="shared" si="15"/>
        <v>5</v>
      </c>
      <c r="H180" s="99">
        <f>G180+'21'!H180</f>
        <v>165</v>
      </c>
      <c r="I180" s="155"/>
      <c r="J180" s="178">
        <f>H180/DAY(B2)</f>
        <v>7.5</v>
      </c>
    </row>
    <row r="181" spans="1:10" ht="27.75" customHeight="1">
      <c r="A181" s="838" t="s">
        <v>108</v>
      </c>
      <c r="B181" s="839"/>
      <c r="C181" s="485"/>
      <c r="D181" s="228" t="s">
        <v>142</v>
      </c>
      <c r="E181" s="95"/>
      <c r="F181" s="155"/>
      <c r="G181" s="155">
        <f>SUM(G178:G180)</f>
        <v>19</v>
      </c>
      <c r="H181" s="99">
        <f>G181+'21'!H181</f>
        <v>1796</v>
      </c>
      <c r="I181" s="155"/>
      <c r="J181" s="178">
        <f>H181/DAY(B2)</f>
        <v>81.63636363636364</v>
      </c>
    </row>
    <row r="182" spans="1:10" ht="27.75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'21'!F183</f>
        <v>15199</v>
      </c>
      <c r="F183" s="157">
        <v>15208</v>
      </c>
      <c r="G183" s="157">
        <f>F183-E183</f>
        <v>9</v>
      </c>
      <c r="H183" s="99">
        <f>G183+'21'!H183</f>
        <v>261</v>
      </c>
      <c r="I183" s="155"/>
      <c r="J183" s="178">
        <f>H183/DAY(B2)</f>
        <v>11.863636363636363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'21'!F184</f>
        <v>10429</v>
      </c>
      <c r="F184" s="157">
        <v>10433</v>
      </c>
      <c r="G184" s="157">
        <f t="shared" ref="G184:G185" si="16">F184-E184</f>
        <v>4</v>
      </c>
      <c r="H184" s="99">
        <f>G184+'21'!H184</f>
        <v>132</v>
      </c>
      <c r="I184" s="155"/>
      <c r="J184" s="178">
        <f>H184/DAY(B2)</f>
        <v>6</v>
      </c>
    </row>
    <row r="185" spans="1:10" ht="27.75">
      <c r="A185" s="836" t="s">
        <v>216</v>
      </c>
      <c r="B185" s="837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13</v>
      </c>
      <c r="H186" s="99">
        <f>G186+'21'!H186</f>
        <v>393</v>
      </c>
      <c r="I186" s="157"/>
      <c r="J186" s="178">
        <f>H186/DAY(B2)</f>
        <v>17.863636363636363</v>
      </c>
    </row>
    <row r="187" spans="1:10" ht="27.75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128</v>
      </c>
      <c r="H187" s="99">
        <f>G187+'21'!H187</f>
        <v>2536</v>
      </c>
      <c r="I187" s="158"/>
      <c r="J187" s="179">
        <f>H187/DAY(B2)</f>
        <v>115.27272727272727</v>
      </c>
    </row>
    <row r="188" spans="1:10" ht="27.75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123</v>
      </c>
      <c r="H188" s="99">
        <f>G188+'21'!H188</f>
        <v>955</v>
      </c>
      <c r="I188" s="158"/>
      <c r="J188" s="179">
        <f>H188/DAY(B2)</f>
        <v>43.409090909090907</v>
      </c>
    </row>
    <row r="189" spans="1:10" ht="27.75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19</v>
      </c>
      <c r="H189" s="99">
        <f>G189+'21'!H189</f>
        <v>206</v>
      </c>
      <c r="I189" s="158"/>
      <c r="J189" s="179">
        <f>H189/DAY(B2)</f>
        <v>9.3636363636363633</v>
      </c>
    </row>
    <row r="190" spans="1:10" ht="27.75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0" zoomScaleNormal="80" zoomScaleSheetLayoutView="50" workbookViewId="0">
      <selection activeCell="I143" sqref="I143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30.75" customHeight="1">
      <c r="A2" s="191" t="s">
        <v>356</v>
      </c>
      <c r="B2" s="262">
        <v>44584</v>
      </c>
      <c r="C2" s="348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24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496013.67</v>
      </c>
      <c r="F7" s="95">
        <v>514716.83</v>
      </c>
      <c r="G7" s="112">
        <f>F7-E7</f>
        <v>18703.160000000033</v>
      </c>
      <c r="H7" s="99">
        <f>G7+'22'!H7</f>
        <v>420155.83</v>
      </c>
      <c r="I7" s="113">
        <f>'1'!I7</f>
        <v>12000</v>
      </c>
      <c r="J7" s="175">
        <f>H7/DAY(B2)</f>
        <v>18267.644782608695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550326.51</v>
      </c>
      <c r="F8" s="95">
        <v>569714.82999999996</v>
      </c>
      <c r="G8" s="115">
        <f>F8-E8</f>
        <v>19388.319999999949</v>
      </c>
      <c r="H8" s="99">
        <f>G8+'22'!H8</f>
        <v>428829.82999999996</v>
      </c>
      <c r="I8" s="116"/>
      <c r="J8" s="175">
        <f>H8/DAY(B2)</f>
        <v>18644.775217391303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156266.35</v>
      </c>
      <c r="F9" s="601">
        <v>168518.39</v>
      </c>
      <c r="G9" s="112">
        <f>F9-E9</f>
        <v>12252.040000000008</v>
      </c>
      <c r="H9" s="99">
        <f>G9+'22'!H9</f>
        <v>267023.39</v>
      </c>
      <c r="I9" s="124">
        <f>I7-J7</f>
        <v>-6267.6447826086951</v>
      </c>
      <c r="J9" s="175">
        <f>H9/DAY(B2)</f>
        <v>11609.712608695652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80607.3</v>
      </c>
      <c r="F10" s="353">
        <v>86539.68</v>
      </c>
      <c r="G10" s="112">
        <f t="shared" ref="G10:G12" si="0">F10-E10</f>
        <v>5932.3799999999901</v>
      </c>
      <c r="H10" s="99">
        <f>G10+'22'!H10</f>
        <v>141445.68</v>
      </c>
      <c r="I10" s="282"/>
      <c r="J10" s="175">
        <f>H10/DAY(B2)</f>
        <v>6149.8121739130429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170</v>
      </c>
      <c r="I11" s="282"/>
      <c r="J11" s="175">
        <f>H11/DAY(B2)</f>
        <v>7.3913043478260869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18184.419999999998</v>
      </c>
      <c r="H13" s="99">
        <f>G13+'22'!H13</f>
        <v>389173.81999999989</v>
      </c>
      <c r="I13" s="120">
        <f>G7-G13</f>
        <v>518.74000000003434</v>
      </c>
      <c r="J13" s="175">
        <f>H13/DAY(B2)</f>
        <v>16920.600869565213</v>
      </c>
      <c r="K13" s="79"/>
      <c r="L13" s="66"/>
      <c r="N13" s="87"/>
      <c r="O13" s="71"/>
    </row>
    <row r="14" spans="1:15" ht="30.7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1898097</v>
      </c>
      <c r="F15" s="123">
        <v>1899076.92</v>
      </c>
      <c r="G15" s="112">
        <f>(F15-E15)</f>
        <v>979.91999999992549</v>
      </c>
      <c r="H15" s="99">
        <f>G15+'22'!H15</f>
        <v>20646.919999999925</v>
      </c>
      <c r="I15" s="113">
        <f>'1'!I15</f>
        <v>800</v>
      </c>
      <c r="J15" s="175">
        <f>H15/DAY(B2)</f>
        <v>897.69217391304028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-97.692173913040278</v>
      </c>
      <c r="J16" s="176"/>
      <c r="K16" s="79"/>
      <c r="L16" s="66"/>
      <c r="N16" s="87"/>
      <c r="O16" s="71"/>
    </row>
    <row r="17" spans="1:15" ht="30.7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4" t="s">
        <v>141</v>
      </c>
      <c r="B18" s="865"/>
      <c r="C18" s="866"/>
      <c r="D18" s="151" t="s">
        <v>142</v>
      </c>
      <c r="E18" s="95">
        <f>'22'!F18</f>
        <v>12</v>
      </c>
      <c r="F18" s="122">
        <v>16</v>
      </c>
      <c r="G18" s="119">
        <f>F18*10</f>
        <v>160</v>
      </c>
      <c r="H18" s="99">
        <f>G18+'22'!H18</f>
        <v>2530</v>
      </c>
      <c r="I18" s="113">
        <f>'1'!I18</f>
        <v>65</v>
      </c>
      <c r="J18" s="175">
        <f>H18/DAY(B2)</f>
        <v>110</v>
      </c>
      <c r="K18" s="79"/>
      <c r="L18" s="66"/>
      <c r="N18" s="87"/>
      <c r="O18" s="71"/>
    </row>
    <row r="19" spans="1:15" ht="30.75" customHeight="1">
      <c r="A19" s="864" t="s">
        <v>69</v>
      </c>
      <c r="B19" s="865"/>
      <c r="C19" s="866"/>
      <c r="D19" s="151" t="s">
        <v>142</v>
      </c>
      <c r="E19" s="95">
        <f>'22'!F19</f>
        <v>153405</v>
      </c>
      <c r="F19" s="122">
        <v>153461</v>
      </c>
      <c r="G19" s="112">
        <f t="shared" ref="G19" si="1">F19-E19</f>
        <v>56</v>
      </c>
      <c r="H19" s="99">
        <f>G19+'22'!H19</f>
        <v>1236</v>
      </c>
      <c r="I19" s="335"/>
      <c r="J19" s="175">
        <f>H19/DAY(B2)</f>
        <v>53.739130434782609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G20+'22'!H20</f>
        <v>3766</v>
      </c>
      <c r="I20" s="336">
        <f>I18-J20</f>
        <v>-98.739130434782595</v>
      </c>
      <c r="J20" s="175">
        <f>H20/DAY(B2)</f>
        <v>163.7391304347826</v>
      </c>
      <c r="K20" s="79"/>
      <c r="L20" s="66"/>
      <c r="N20" s="87"/>
      <c r="O20" s="71"/>
    </row>
    <row r="21" spans="1:15" ht="30.7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110</v>
      </c>
      <c r="I23" s="118"/>
      <c r="J23" s="175">
        <f>H23/DAY(B2)</f>
        <v>4.7826086956521738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110</v>
      </c>
      <c r="I24" s="118"/>
      <c r="J24" s="175">
        <f>H24/DAY(B2)</f>
        <v>4.7826086956521738</v>
      </c>
      <c r="K24" s="79"/>
      <c r="L24" s="66"/>
      <c r="N24" s="87"/>
      <c r="O24" s="71"/>
    </row>
    <row r="25" spans="1:15" s="88" customFormat="1" ht="30.7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19388.319999999949</v>
      </c>
      <c r="F27" s="136">
        <v>9</v>
      </c>
      <c r="G27" s="137">
        <f>E27*F27</f>
        <v>174494.87999999954</v>
      </c>
      <c r="H27" s="99">
        <f>G27+'22'!H27</f>
        <v>3859468.4699999993</v>
      </c>
      <c r="I27" s="138"/>
      <c r="J27" s="175">
        <f>H27/DAY(B2)</f>
        <v>167802.97695652171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979.91999999992549</v>
      </c>
      <c r="F28" s="136">
        <v>52</v>
      </c>
      <c r="G28" s="137">
        <f>E28*F28</f>
        <v>50955.839999996126</v>
      </c>
      <c r="H28" s="99">
        <f>G28+'22'!H28</f>
        <v>1073639.8399999961</v>
      </c>
      <c r="I28" s="140"/>
      <c r="J28" s="175">
        <f>H28/DAY(B2)</f>
        <v>46679.993043478091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7590</v>
      </c>
      <c r="I29" s="140"/>
      <c r="J29" s="175">
        <f>H29/DAY(B2)</f>
        <v>330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G30+'22'!H30</f>
        <v>180456</v>
      </c>
      <c r="I30" s="140"/>
      <c r="J30" s="175">
        <f>H30/DAY(B2)</f>
        <v>7845.913043478261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202400</v>
      </c>
      <c r="I31" s="140"/>
      <c r="J31" s="175">
        <f>H31/DAY(B2)</f>
        <v>8800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246426.71999999566</v>
      </c>
      <c r="H32" s="99">
        <f>G32+'22'!H32</f>
        <v>5323554.3099999959</v>
      </c>
      <c r="I32" s="144"/>
      <c r="J32" s="175">
        <f>H32/DAY(B2)</f>
        <v>231458.88304347807</v>
      </c>
      <c r="K32" s="63"/>
      <c r="L32" s="89"/>
      <c r="N32" s="87"/>
      <c r="O32" s="71"/>
    </row>
    <row r="33" spans="1:15" ht="30.7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20670.580000000002</v>
      </c>
      <c r="F35" s="145">
        <v>22026.29</v>
      </c>
      <c r="G35" s="112">
        <f t="shared" ref="G35:G46" si="3">F35-E35</f>
        <v>1355.7099999999991</v>
      </c>
      <c r="H35" s="99">
        <f>G35+'22'!H35</f>
        <v>37226.29</v>
      </c>
      <c r="I35" s="95"/>
      <c r="J35" s="175">
        <f>H35/DAY(B2)</f>
        <v>1618.534347826087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36828.019999999997</v>
      </c>
      <c r="F36" s="145">
        <v>37983.300000000003</v>
      </c>
      <c r="G36" s="112">
        <f t="shared" si="3"/>
        <v>1155.2800000000061</v>
      </c>
      <c r="H36" s="99">
        <f>G36+'22'!H36</f>
        <v>16456.300000000003</v>
      </c>
      <c r="I36" s="95"/>
      <c r="J36" s="175">
        <f>H36/DAY(B2)</f>
        <v>715.49130434782626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21170.51</v>
      </c>
      <c r="F37" s="145">
        <v>22742.49</v>
      </c>
      <c r="G37" s="112">
        <f t="shared" si="3"/>
        <v>1571.9800000000032</v>
      </c>
      <c r="H37" s="99">
        <f>G37+'22'!H37</f>
        <v>34954.49</v>
      </c>
      <c r="I37" s="95"/>
      <c r="J37" s="175">
        <f>H37/DAY(B2)</f>
        <v>1519.7604347826086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22559.54</v>
      </c>
      <c r="F38" s="108">
        <v>24491.61</v>
      </c>
      <c r="G38" s="112">
        <f t="shared" si="3"/>
        <v>1932.0699999999997</v>
      </c>
      <c r="H38" s="99">
        <f>G38+'22'!H38</f>
        <v>37691.610000000008</v>
      </c>
      <c r="I38" s="95"/>
      <c r="J38" s="175">
        <f>H38/DAY(B2)</f>
        <v>1638.7656521739134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35754.550000000003</v>
      </c>
      <c r="F39" s="145">
        <v>38330.800000000003</v>
      </c>
      <c r="G39" s="112">
        <f t="shared" si="3"/>
        <v>2576.25</v>
      </c>
      <c r="H39" s="99">
        <f>G39+'22'!H39</f>
        <v>60012.800000000003</v>
      </c>
      <c r="I39" s="95"/>
      <c r="J39" s="175">
        <f>H39/DAY(B2)</f>
        <v>2609.2521739130434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15149.86</v>
      </c>
      <c r="F40" s="145">
        <v>15533.76</v>
      </c>
      <c r="G40" s="112">
        <f t="shared" si="3"/>
        <v>383.89999999999964</v>
      </c>
      <c r="H40" s="99">
        <f>G40+'22'!H40</f>
        <v>9923.76</v>
      </c>
      <c r="I40" s="95"/>
      <c r="J40" s="175">
        <f>H40/DAY(B2)</f>
        <v>431.46782608695651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73808.600000000006</v>
      </c>
      <c r="F42" s="145">
        <v>73808.600000000006</v>
      </c>
      <c r="G42" s="112">
        <f t="shared" si="3"/>
        <v>0</v>
      </c>
      <c r="H42" s="99">
        <f>G42+'22'!H42</f>
        <v>-0.39999999999417923</v>
      </c>
      <c r="I42" s="95"/>
      <c r="J42" s="175">
        <f>H42/DAY(B2)</f>
        <v>-1.7391304347573012E-2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96740.35</v>
      </c>
      <c r="F43" s="145">
        <v>99079.59</v>
      </c>
      <c r="G43" s="112">
        <f t="shared" si="3"/>
        <v>2339.2399999999907</v>
      </c>
      <c r="H43" s="99">
        <f>G43+'22'!H43</f>
        <v>51818.59</v>
      </c>
      <c r="I43" s="95"/>
      <c r="J43" s="175">
        <f>H43/DAY(B2)</f>
        <v>2252.9821739130434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11314.429999999998</v>
      </c>
      <c r="H47" s="99">
        <f>G47+'22'!H47</f>
        <v>248083.44000000006</v>
      </c>
      <c r="I47" s="95"/>
      <c r="J47" s="175">
        <f>H47/DAY(B2)</f>
        <v>10786.236521739133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17066.73</v>
      </c>
      <c r="F49" s="145">
        <v>18159.7</v>
      </c>
      <c r="G49" s="112">
        <f t="shared" ref="G49:G58" si="4">F49-E49</f>
        <v>1092.9700000000012</v>
      </c>
      <c r="H49" s="99">
        <f>G49+'22'!H49</f>
        <v>31280.699999999997</v>
      </c>
      <c r="I49" s="95"/>
      <c r="J49" s="175">
        <f>H49/DAY(B2)</f>
        <v>1360.0304347826086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46607.1</v>
      </c>
      <c r="F50" s="145">
        <v>48234.36</v>
      </c>
      <c r="G50" s="112">
        <f t="shared" si="4"/>
        <v>1627.260000000002</v>
      </c>
      <c r="H50" s="99">
        <f>G50+'22'!H50</f>
        <v>23584.36</v>
      </c>
      <c r="I50" s="95"/>
      <c r="J50" s="175">
        <f>H50/DAY(B2)</f>
        <v>1025.4069565217392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5147.42</v>
      </c>
      <c r="F54" s="145">
        <v>5147.42</v>
      </c>
      <c r="G54" s="112">
        <f t="shared" si="4"/>
        <v>0</v>
      </c>
      <c r="H54" s="99">
        <f>G54+'22'!H54</f>
        <v>6914.5</v>
      </c>
      <c r="I54" s="95"/>
      <c r="J54" s="175">
        <f>H54/DAY(B2)</f>
        <v>300.63043478260869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69186.45</v>
      </c>
      <c r="F55" s="145">
        <v>71881.67</v>
      </c>
      <c r="G55" s="112">
        <f t="shared" si="4"/>
        <v>2695.2200000000012</v>
      </c>
      <c r="H55" s="99">
        <f>G55+'22'!H55</f>
        <v>68370.67</v>
      </c>
      <c r="I55" s="95"/>
      <c r="J55" s="175">
        <f>H55/DAY(B2)</f>
        <v>2972.6378260869565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3044.63</v>
      </c>
      <c r="F58" s="145">
        <v>3270.59</v>
      </c>
      <c r="G58" s="112">
        <f t="shared" si="4"/>
        <v>225.96000000000004</v>
      </c>
      <c r="H58" s="99">
        <f>G58+'22'!H58</f>
        <v>3611.2200000000048</v>
      </c>
      <c r="I58" s="95"/>
      <c r="J58" s="175">
        <f>H58/DAY(B2)</f>
        <v>157.00956521739153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5641.4100000000044</v>
      </c>
      <c r="H59" s="99">
        <f>G59+'22'!H59</f>
        <v>133761.45000000004</v>
      </c>
      <c r="I59" s="95">
        <f>G7-G60</f>
        <v>1747.3200000000288</v>
      </c>
      <c r="J59" s="175">
        <f>H59/DAY(B2)</f>
        <v>5815.7152173913064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16955.840000000004</v>
      </c>
      <c r="H60" s="99">
        <f>G60+'22'!H60</f>
        <v>381844.88999999996</v>
      </c>
      <c r="I60" s="95">
        <f>G13-G60</f>
        <v>1228.5799999999945</v>
      </c>
      <c r="J60" s="175">
        <f>H60/DAY(B2)</f>
        <v>16601.951739130433</v>
      </c>
      <c r="K60" s="79"/>
      <c r="L60" s="66"/>
      <c r="N60" s="87"/>
      <c r="O60" s="71"/>
    </row>
    <row r="61" spans="1:15" s="68" customFormat="1" ht="30.75" customHeight="1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64" t="s">
        <v>198</v>
      </c>
      <c r="B62" s="865"/>
      <c r="C62" s="866"/>
      <c r="D62" s="151" t="s">
        <v>142</v>
      </c>
      <c r="E62" s="95">
        <f>'22'!F62</f>
        <v>268569</v>
      </c>
      <c r="F62" s="122">
        <v>268688</v>
      </c>
      <c r="G62" s="112">
        <f t="shared" ref="G62:G63" si="5">F62-E62</f>
        <v>119</v>
      </c>
      <c r="H62" s="99">
        <f>G62+'22'!H62</f>
        <v>1475</v>
      </c>
      <c r="I62" s="118"/>
      <c r="J62" s="175">
        <f>H62/DAY(B2)</f>
        <v>64.130434782608702</v>
      </c>
      <c r="K62" s="80"/>
      <c r="L62" s="66"/>
      <c r="N62" s="87"/>
      <c r="O62" s="71"/>
    </row>
    <row r="63" spans="1:15" ht="30.75" customHeight="1">
      <c r="A63" s="864" t="s">
        <v>199</v>
      </c>
      <c r="B63" s="865"/>
      <c r="C63" s="866"/>
      <c r="D63" s="151" t="s">
        <v>142</v>
      </c>
      <c r="E63" s="95">
        <f>'22'!F63</f>
        <v>214644</v>
      </c>
      <c r="F63" s="122">
        <v>214770</v>
      </c>
      <c r="G63" s="112">
        <f t="shared" si="5"/>
        <v>126</v>
      </c>
      <c r="H63" s="99">
        <f>G63+'22'!H63</f>
        <v>2345</v>
      </c>
      <c r="I63" s="118"/>
      <c r="J63" s="175">
        <f>H63/DAY(B2)</f>
        <v>101.95652173913044</v>
      </c>
      <c r="K63" s="69"/>
      <c r="L63" s="66"/>
      <c r="N63" s="87"/>
      <c r="O63" s="71"/>
    </row>
    <row r="64" spans="1:15" ht="30.75" customHeight="1">
      <c r="A64" s="873" t="s">
        <v>200</v>
      </c>
      <c r="B64" s="874"/>
      <c r="C64" s="875"/>
      <c r="D64" s="151"/>
      <c r="E64" s="95">
        <f>'22'!F64</f>
        <v>0</v>
      </c>
      <c r="F64" s="122"/>
      <c r="G64" s="112">
        <f>G62+G63</f>
        <v>245</v>
      </c>
      <c r="H64" s="99">
        <f>G64+'22'!H64</f>
        <v>3820</v>
      </c>
      <c r="I64" s="118"/>
      <c r="J64" s="175">
        <f>H64/DAY(B2)</f>
        <v>166.08695652173913</v>
      </c>
      <c r="K64" s="69"/>
      <c r="L64" s="66"/>
      <c r="N64" s="87"/>
      <c r="O64" s="71"/>
    </row>
    <row r="65" spans="1:15" ht="30.75" customHeight="1">
      <c r="A65" s="864" t="s">
        <v>201</v>
      </c>
      <c r="B65" s="865"/>
      <c r="C65" s="866"/>
      <c r="D65" s="151" t="s">
        <v>142</v>
      </c>
      <c r="E65" s="95">
        <f>'22'!F65</f>
        <v>434138</v>
      </c>
      <c r="F65" s="122">
        <v>434226</v>
      </c>
      <c r="G65" s="112">
        <f t="shared" ref="G65:G70" si="6">F65-E65</f>
        <v>88</v>
      </c>
      <c r="H65" s="99">
        <f>G65+'22'!H65</f>
        <v>1612</v>
      </c>
      <c r="I65" s="118"/>
      <c r="J65" s="175">
        <f>H65/DAY(B2)</f>
        <v>70.086956521739125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107570</v>
      </c>
      <c r="F66" s="122">
        <v>107593</v>
      </c>
      <c r="G66" s="112">
        <f t="shared" si="6"/>
        <v>23</v>
      </c>
      <c r="H66" s="99">
        <f>G66+'22'!H66</f>
        <v>379</v>
      </c>
      <c r="I66" s="118"/>
      <c r="J66" s="175">
        <f>H66/DAY(B2)</f>
        <v>16.478260869565219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104430</v>
      </c>
      <c r="F67" s="150">
        <v>104455</v>
      </c>
      <c r="G67" s="112">
        <f t="shared" si="6"/>
        <v>25</v>
      </c>
      <c r="H67" s="99">
        <f>G67+'22'!H67</f>
        <v>527</v>
      </c>
      <c r="I67" s="118"/>
      <c r="J67" s="175">
        <f>H67/DAY(B2)</f>
        <v>22.913043478260871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157272</v>
      </c>
      <c r="F68" s="122">
        <v>157314</v>
      </c>
      <c r="G68" s="112">
        <f t="shared" si="6"/>
        <v>42</v>
      </c>
      <c r="H68" s="99">
        <f>G68+'22'!H68</f>
        <v>694</v>
      </c>
      <c r="I68" s="118"/>
      <c r="J68" s="175">
        <f>H68/DAY(B2)</f>
        <v>30.173913043478262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10427</v>
      </c>
      <c r="F69" s="122">
        <v>10458</v>
      </c>
      <c r="G69" s="112">
        <f t="shared" si="6"/>
        <v>31</v>
      </c>
      <c r="H69" s="99">
        <f>G69+'22'!H69</f>
        <v>244</v>
      </c>
      <c r="I69" s="118"/>
      <c r="J69" s="175">
        <f>H69/DAY(B2)</f>
        <v>10.608695652173912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8016</v>
      </c>
      <c r="F70" s="150">
        <v>8022</v>
      </c>
      <c r="G70" s="112">
        <f t="shared" si="6"/>
        <v>6</v>
      </c>
      <c r="H70" s="99">
        <f>G70+'22'!H70</f>
        <v>160</v>
      </c>
      <c r="I70" s="118"/>
      <c r="J70" s="175">
        <f>H70/DAY(B2)</f>
        <v>6.9565217391304346</v>
      </c>
      <c r="K70" s="69"/>
      <c r="L70" s="66"/>
      <c r="N70" s="87"/>
      <c r="O70" s="71"/>
    </row>
    <row r="71" spans="1:15" ht="30.75" customHeight="1">
      <c r="A71" s="873" t="s">
        <v>208</v>
      </c>
      <c r="B71" s="874"/>
      <c r="C71" s="875"/>
      <c r="D71" s="152"/>
      <c r="E71" s="152"/>
      <c r="F71" s="152"/>
      <c r="G71" s="153">
        <f>SUM(G65:G70)</f>
        <v>215</v>
      </c>
      <c r="H71" s="99">
        <f>G71+'22'!H71</f>
        <v>3616</v>
      </c>
      <c r="I71" s="154"/>
      <c r="J71" s="175">
        <f>H71/DAY(B2)</f>
        <v>157.21739130434781</v>
      </c>
      <c r="K71" s="69"/>
      <c r="L71" s="66"/>
      <c r="N71" s="87"/>
      <c r="O71" s="71"/>
    </row>
    <row r="72" spans="1:15" s="88" customFormat="1" ht="30.75" customHeight="1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4" t="s">
        <v>220</v>
      </c>
      <c r="B74" s="865"/>
      <c r="C74" s="866"/>
      <c r="D74" s="151" t="s">
        <v>139</v>
      </c>
      <c r="E74" s="95">
        <f>'22'!F74</f>
        <v>898570.12</v>
      </c>
      <c r="F74" s="117">
        <v>898862.81</v>
      </c>
      <c r="G74" s="112">
        <f t="shared" ref="G74:G78" si="7">F74-E74</f>
        <v>292.69000000006054</v>
      </c>
      <c r="H74" s="99">
        <f>G74+'22'!H74</f>
        <v>6830.8100000000559</v>
      </c>
      <c r="I74" s="154"/>
      <c r="J74" s="175">
        <f>H74/DAY(B2)</f>
        <v>296.99173913043722</v>
      </c>
      <c r="K74" s="69"/>
      <c r="L74" s="66"/>
      <c r="N74" s="87"/>
      <c r="O74" s="71"/>
    </row>
    <row r="75" spans="1:15" ht="30.75" customHeight="1">
      <c r="A75" s="864" t="s">
        <v>221</v>
      </c>
      <c r="B75" s="865"/>
      <c r="C75" s="866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861" t="s">
        <v>222</v>
      </c>
      <c r="B76" s="862"/>
      <c r="C76" s="863"/>
      <c r="D76" s="151" t="s">
        <v>139</v>
      </c>
      <c r="E76" s="95">
        <f>'22'!F76</f>
        <v>169102.67</v>
      </c>
      <c r="F76" s="123">
        <v>169204</v>
      </c>
      <c r="G76" s="112">
        <f t="shared" si="7"/>
        <v>101.32999999998719</v>
      </c>
      <c r="H76" s="99">
        <f>G76+'22'!H76</f>
        <v>1997</v>
      </c>
      <c r="I76" s="154"/>
      <c r="J76" s="175">
        <f>H76/DAY(B2)</f>
        <v>86.826086956521735</v>
      </c>
      <c r="K76" s="69"/>
      <c r="L76" s="66"/>
      <c r="N76" s="87"/>
      <c r="O76" s="71"/>
    </row>
    <row r="77" spans="1:15" ht="30.75" customHeight="1">
      <c r="A77" s="861" t="s">
        <v>223</v>
      </c>
      <c r="B77" s="862"/>
      <c r="C77" s="863"/>
      <c r="D77" s="151" t="s">
        <v>139</v>
      </c>
      <c r="E77" s="95">
        <f>'22'!F77</f>
        <v>40987</v>
      </c>
      <c r="F77" s="123">
        <v>41023</v>
      </c>
      <c r="G77" s="112">
        <f t="shared" si="7"/>
        <v>36</v>
      </c>
      <c r="H77" s="99">
        <f>G77+'22'!H77</f>
        <v>707</v>
      </c>
      <c r="I77" s="154"/>
      <c r="J77" s="175">
        <f>H77/DAY(B2)</f>
        <v>30.739130434782609</v>
      </c>
      <c r="K77" s="69"/>
      <c r="L77" s="66"/>
      <c r="N77" s="87"/>
      <c r="O77" s="71"/>
    </row>
    <row r="78" spans="1:15" ht="30.75" customHeight="1">
      <c r="A78" s="861" t="s">
        <v>224</v>
      </c>
      <c r="B78" s="862"/>
      <c r="C78" s="863"/>
      <c r="D78" s="151" t="s">
        <v>139</v>
      </c>
      <c r="E78" s="95">
        <f>'22'!F78</f>
        <v>9506</v>
      </c>
      <c r="F78" s="123">
        <v>9507</v>
      </c>
      <c r="G78" s="112">
        <f t="shared" si="7"/>
        <v>1</v>
      </c>
      <c r="H78" s="99">
        <f>G78+'22'!H78</f>
        <v>21</v>
      </c>
      <c r="I78" s="118"/>
      <c r="J78" s="175">
        <f>H78/DAY(B2)</f>
        <v>0.91304347826086951</v>
      </c>
      <c r="K78" s="69"/>
      <c r="L78" s="66"/>
      <c r="N78" s="87"/>
      <c r="O78" s="71"/>
    </row>
    <row r="79" spans="1:15" s="57" customFormat="1" ht="30.75" customHeight="1">
      <c r="A79" s="861" t="s">
        <v>225</v>
      </c>
      <c r="B79" s="862"/>
      <c r="C79" s="863"/>
      <c r="D79" s="151"/>
      <c r="E79" s="95">
        <f>'22'!F79</f>
        <v>0</v>
      </c>
      <c r="F79" s="123"/>
      <c r="G79" s="112">
        <f>G15-SUM(G74:G78)</f>
        <v>548.89999999987776</v>
      </c>
      <c r="H79" s="99">
        <f>G79+'22'!H79</f>
        <v>11091.10999999987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73" t="s">
        <v>329</v>
      </c>
      <c r="B80" s="874"/>
      <c r="C80" s="875"/>
      <c r="D80" s="151"/>
      <c r="E80" s="117"/>
      <c r="F80" s="117"/>
      <c r="G80" s="112">
        <f>SUM(G74:G79)</f>
        <v>979.91999999992549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2096.56</v>
      </c>
      <c r="F85" s="164">
        <v>2096.56</v>
      </c>
      <c r="G85" s="112">
        <f t="shared" si="8"/>
        <v>0</v>
      </c>
      <c r="H85" s="99">
        <f>G85+'22'!H85</f>
        <v>0</v>
      </c>
      <c r="I85" s="118">
        <f>G82+G83+G84+G85</f>
        <v>0</v>
      </c>
      <c r="J85" s="175">
        <f>H85/DAY(B2)</f>
        <v>0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43393.86</v>
      </c>
      <c r="F86" s="164">
        <v>43418.11</v>
      </c>
      <c r="G86" s="112">
        <f t="shared" si="8"/>
        <v>24.25</v>
      </c>
      <c r="H86" s="99">
        <f>G86+'22'!H86</f>
        <v>555.11000000000058</v>
      </c>
      <c r="I86" s="118"/>
      <c r="J86" s="175">
        <f>H86/DAY(B2)</f>
        <v>24.135217391304373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0</v>
      </c>
      <c r="I87" s="118"/>
      <c r="J87" s="175">
        <f>H87/DAY(B2)</f>
        <v>0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24061.37</v>
      </c>
      <c r="F88" s="164">
        <v>24063.38</v>
      </c>
      <c r="G88" s="112">
        <f t="shared" si="8"/>
        <v>2.0100000000020373</v>
      </c>
      <c r="H88" s="99">
        <f>G88+'22'!H88</f>
        <v>16.380000000001019</v>
      </c>
      <c r="I88" s="118">
        <f>G86+G87+G88</f>
        <v>26.260000000002037</v>
      </c>
      <c r="J88" s="175">
        <f>H88/DAY(B2)</f>
        <v>0.71217391304352251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25810.44</v>
      </c>
      <c r="F89" s="164">
        <v>25818.61</v>
      </c>
      <c r="G89" s="112">
        <f t="shared" si="8"/>
        <v>8.1700000000018917</v>
      </c>
      <c r="H89" s="99">
        <f>G89+'22'!H89</f>
        <v>155.61000000000058</v>
      </c>
      <c r="I89" s="118"/>
      <c r="J89" s="175">
        <f>H89/DAY(B2)</f>
        <v>6.7656521739130691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71141.88</v>
      </c>
      <c r="F90" s="164">
        <v>71143.37</v>
      </c>
      <c r="G90" s="112">
        <f t="shared" si="8"/>
        <v>1.4899999999906868</v>
      </c>
      <c r="H90" s="99">
        <f>G90+'22'!H90</f>
        <v>109.36999999999534</v>
      </c>
      <c r="I90" s="118">
        <f>G89+G90</f>
        <v>9.6599999999925785</v>
      </c>
      <c r="J90" s="175">
        <f>H90/DAY(B2)</f>
        <v>4.7552173913041456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0</v>
      </c>
      <c r="I91" s="165"/>
      <c r="J91" s="175">
        <f>H91/DAY(B2)</f>
        <v>0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5667.45</v>
      </c>
      <c r="F92" s="122">
        <v>5677.67</v>
      </c>
      <c r="G92" s="112">
        <f t="shared" si="8"/>
        <v>10.220000000000255</v>
      </c>
      <c r="H92" s="99">
        <f>G92+'22'!H92</f>
        <v>239.67000000000007</v>
      </c>
      <c r="I92" s="165"/>
      <c r="J92" s="175">
        <f>H92/DAY(B2)</f>
        <v>10.420434782608698</v>
      </c>
      <c r="O92" s="71"/>
    </row>
    <row r="93" spans="1:15" ht="30.75" customHeight="1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4787.919999999991</v>
      </c>
      <c r="H94" s="99">
        <f>G94+'22'!H94</f>
        <v>120325.57999999999</v>
      </c>
      <c r="I94" s="118"/>
      <c r="J94" s="175">
        <f>H94/DAY(B2)</f>
        <v>5231.5469565217381</v>
      </c>
      <c r="K94" s="69"/>
      <c r="L94" s="66"/>
      <c r="O94" s="71"/>
    </row>
    <row r="95" spans="1:15" ht="30.7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0.25599524358450565</v>
      </c>
      <c r="H95" s="99">
        <f>G95+'22'!H95</f>
        <v>6.5771852130561914</v>
      </c>
      <c r="I95" s="167"/>
      <c r="J95" s="175">
        <f>H95/DAY(B2)</f>
        <v>0.28596457448070395</v>
      </c>
      <c r="K95" s="69"/>
      <c r="L95" s="66"/>
      <c r="O95" s="71"/>
    </row>
    <row r="96" spans="1:15" ht="30.7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2695.2200000000012</v>
      </c>
      <c r="H96" s="99">
        <f>G96+'22'!H96</f>
        <v>68370.27</v>
      </c>
      <c r="I96" s="118"/>
      <c r="J96" s="175">
        <f>H96/DAY(B2)</f>
        <v>2972.6204347826088</v>
      </c>
      <c r="K96" s="69"/>
      <c r="L96" s="66"/>
      <c r="O96" s="71"/>
    </row>
    <row r="97" spans="1:15" ht="30.7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0.14410506032135728</v>
      </c>
      <c r="H97" s="99">
        <f>G97+'22'!H97</f>
        <v>3.7507011791949316</v>
      </c>
      <c r="I97" s="167"/>
      <c r="J97" s="175">
        <f>H97/DAY(B2)</f>
        <v>0.16307396431282312</v>
      </c>
      <c r="K97" s="69"/>
      <c r="L97" s="66"/>
      <c r="O97" s="71"/>
    </row>
    <row r="98" spans="1:15" ht="30.7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2576.25</v>
      </c>
      <c r="H98" s="99">
        <f>G98+'22'!H98</f>
        <v>60012.800000000003</v>
      </c>
      <c r="I98" s="168"/>
      <c r="J98" s="175">
        <f>H98/DAY(B2)</f>
        <v>2609.2521739130434</v>
      </c>
      <c r="K98" s="69"/>
      <c r="L98" s="66"/>
      <c r="O98" s="71"/>
    </row>
    <row r="99" spans="1:15" ht="30.7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0.13774410313551269</v>
      </c>
      <c r="H99" s="99">
        <f>G99+'22'!H99</f>
        <v>3.2928850344602747</v>
      </c>
      <c r="I99" s="168"/>
      <c r="J99" s="175">
        <f>H99/DAY(B2)</f>
        <v>0.14316891454175107</v>
      </c>
      <c r="O99" s="71"/>
    </row>
    <row r="100" spans="1:15" ht="30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1932.0699999999997</v>
      </c>
      <c r="H100" s="99">
        <f>G100+'22'!H100</f>
        <v>37691.610000000008</v>
      </c>
      <c r="I100" s="118"/>
      <c r="J100" s="175">
        <f>H100/DAY(B2)</f>
        <v>1638.7656521739134</v>
      </c>
      <c r="K100" s="70"/>
      <c r="O100" s="71"/>
    </row>
    <row r="101" spans="1:15" ht="30.7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0.1033017949907928</v>
      </c>
      <c r="H101" s="99">
        <f>G101+'22'!H101</f>
        <v>2.0683639998680885</v>
      </c>
      <c r="I101" s="168"/>
      <c r="J101" s="175">
        <f>H101/DAY(B2)</f>
        <v>8.9928869559482108E-2</v>
      </c>
      <c r="O101" s="71"/>
    </row>
    <row r="102" spans="1:15" ht="30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2782.5400000000081</v>
      </c>
      <c r="H102" s="99">
        <f>G102+'22'!H102</f>
        <v>40040.660000000003</v>
      </c>
      <c r="I102" s="168"/>
      <c r="J102" s="175">
        <f>H102/DAY(B2)</f>
        <v>1740.8982608695653</v>
      </c>
      <c r="O102" s="71"/>
    </row>
    <row r="103" spans="1:15" ht="30.7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0.14877379009750241</v>
      </c>
      <c r="H103" s="99">
        <f>G103+'22'!H103</f>
        <v>2.1846541199119058</v>
      </c>
      <c r="I103" s="118"/>
      <c r="J103" s="175">
        <f>H103/DAY(B2)</f>
        <v>9.4984961735300258E-2</v>
      </c>
      <c r="O103" s="71"/>
    </row>
    <row r="104" spans="1:15" ht="30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1571.9800000000032</v>
      </c>
      <c r="H104" s="99">
        <f>G104+'22'!H104</f>
        <v>34954.49</v>
      </c>
      <c r="I104" s="118"/>
      <c r="J104" s="175">
        <f>H104/DAY(B2)</f>
        <v>1519.7604347826086</v>
      </c>
      <c r="O104" s="71"/>
    </row>
    <row r="105" spans="1:15" ht="30.75" customHeight="1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8.4048898688777754E-2</v>
      </c>
      <c r="H105" s="99">
        <f>G105+'22'!H105</f>
        <v>1.9203687769489026</v>
      </c>
      <c r="I105" s="187"/>
      <c r="J105" s="188">
        <f>H105/DAY(B2)</f>
        <v>8.3494294649952283E-2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30.75" customHeight="1">
      <c r="A109" s="881"/>
      <c r="B109" s="881"/>
    </row>
    <row r="110" spans="1:15" ht="30.75" customHeight="1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30.75" customHeight="1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43" t="s">
        <v>252</v>
      </c>
      <c r="B112" s="844"/>
      <c r="C112" s="845"/>
      <c r="D112" s="146" t="s">
        <v>183</v>
      </c>
      <c r="E112" s="95">
        <f>'22'!F112</f>
        <v>57358.06</v>
      </c>
      <c r="F112" s="237">
        <v>57434.45</v>
      </c>
      <c r="G112" s="112">
        <f t="shared" ref="G112:G123" si="9">F112-E112</f>
        <v>76.389999999999418</v>
      </c>
      <c r="H112" s="99">
        <f>G112+'22'!H112</f>
        <v>1753.4499999999971</v>
      </c>
      <c r="I112" s="165"/>
      <c r="J112" s="328">
        <f>H112/DAY(B2)</f>
        <v>76.236956521739003</v>
      </c>
    </row>
    <row r="113" spans="1:18" ht="30.75" customHeight="1">
      <c r="A113" s="843" t="s">
        <v>253</v>
      </c>
      <c r="B113" s="844"/>
      <c r="C113" s="845"/>
      <c r="D113" s="146" t="s">
        <v>183</v>
      </c>
      <c r="E113" s="95">
        <f>'22'!F113</f>
        <v>42213.68</v>
      </c>
      <c r="F113" s="237">
        <v>42682.3</v>
      </c>
      <c r="G113" s="112">
        <f t="shared" si="9"/>
        <v>468.62000000000262</v>
      </c>
      <c r="H113" s="99">
        <f>G113+'22'!H113</f>
        <v>10487.300000000003</v>
      </c>
      <c r="I113" s="165"/>
      <c r="J113" s="328">
        <f>H113/DAY(B2)</f>
        <v>455.96956521739145</v>
      </c>
    </row>
    <row r="114" spans="1:18" ht="30.75" customHeight="1">
      <c r="A114" s="843" t="s">
        <v>254</v>
      </c>
      <c r="B114" s="844"/>
      <c r="C114" s="845"/>
      <c r="D114" s="146" t="s">
        <v>183</v>
      </c>
      <c r="E114" s="95">
        <f>'22'!F114</f>
        <v>30820.69</v>
      </c>
      <c r="F114" s="237">
        <v>31084.35</v>
      </c>
      <c r="G114" s="112">
        <f t="shared" si="9"/>
        <v>263.65999999999985</v>
      </c>
      <c r="H114" s="99">
        <f>G114+'22'!H114</f>
        <v>6079.7499999999982</v>
      </c>
      <c r="I114" s="165"/>
      <c r="J114" s="328">
        <f>H114/DAY(B2)</f>
        <v>264.33695652173907</v>
      </c>
    </row>
    <row r="115" spans="1:18" ht="30.75" customHeight="1">
      <c r="A115" s="843" t="s">
        <v>255</v>
      </c>
      <c r="B115" s="844"/>
      <c r="C115" s="845"/>
      <c r="D115" s="146" t="s">
        <v>183</v>
      </c>
      <c r="E115" s="95">
        <f>'22'!F115</f>
        <v>9008.8799999999992</v>
      </c>
      <c r="F115" s="237">
        <v>9020.7800000000007</v>
      </c>
      <c r="G115" s="112">
        <f t="shared" si="9"/>
        <v>11.900000000001455</v>
      </c>
      <c r="H115" s="99">
        <f>G115+'22'!H115</f>
        <v>235.78000000000065</v>
      </c>
      <c r="I115" s="165"/>
      <c r="J115" s="328">
        <f>H115/DAY(B2)</f>
        <v>10.251304347826116</v>
      </c>
    </row>
    <row r="116" spans="1:18" ht="30.75" customHeight="1">
      <c r="A116" s="850" t="s">
        <v>96</v>
      </c>
      <c r="B116" s="851"/>
      <c r="C116" s="852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30.75" customHeight="1">
      <c r="A117" s="850" t="s">
        <v>184</v>
      </c>
      <c r="B117" s="851"/>
      <c r="C117" s="852"/>
      <c r="D117" s="146" t="s">
        <v>183</v>
      </c>
      <c r="E117" s="95">
        <f>'22'!F117</f>
        <v>3115.38</v>
      </c>
      <c r="F117" s="237">
        <v>3138.48</v>
      </c>
      <c r="G117" s="112">
        <f t="shared" si="9"/>
        <v>23.099999999999909</v>
      </c>
      <c r="H117" s="99">
        <f>G117+'22'!H117</f>
        <v>548.48</v>
      </c>
      <c r="I117" s="165"/>
      <c r="J117" s="328">
        <f>H117/DAY(B2)</f>
        <v>23.846956521739131</v>
      </c>
      <c r="Q117" s="843" t="s">
        <v>312</v>
      </c>
      <c r="R117" s="845"/>
    </row>
    <row r="118" spans="1:18" ht="30.75" customHeight="1">
      <c r="A118" s="842" t="s">
        <v>97</v>
      </c>
      <c r="B118" s="842"/>
      <c r="C118" s="842"/>
      <c r="D118" s="151" t="s">
        <v>183</v>
      </c>
      <c r="E118" s="95">
        <f>'22'!F118</f>
        <v>249390.73</v>
      </c>
      <c r="F118" s="237">
        <v>249730.91</v>
      </c>
      <c r="G118" s="112">
        <f t="shared" si="9"/>
        <v>340.17999999999302</v>
      </c>
      <c r="H118" s="99">
        <f>G118+'22'!H118</f>
        <v>8083.9100000000035</v>
      </c>
      <c r="I118" s="165"/>
      <c r="J118" s="328">
        <f>H118/DAY(B2)</f>
        <v>351.47434782608713</v>
      </c>
      <c r="Q118" s="843" t="s">
        <v>311</v>
      </c>
      <c r="R118" s="845"/>
    </row>
    <row r="119" spans="1:18" ht="30.75" customHeight="1">
      <c r="A119" s="842" t="s">
        <v>98</v>
      </c>
      <c r="B119" s="842"/>
      <c r="C119" s="842"/>
      <c r="D119" s="151" t="s">
        <v>183</v>
      </c>
      <c r="E119" s="95">
        <f>'22'!F119</f>
        <v>254407.65</v>
      </c>
      <c r="F119" s="237">
        <v>254824.83</v>
      </c>
      <c r="G119" s="112">
        <f t="shared" si="9"/>
        <v>417.17999999999302</v>
      </c>
      <c r="H119" s="99">
        <f>G119+'22'!H119</f>
        <v>9698.8299999999872</v>
      </c>
      <c r="I119" s="165"/>
      <c r="J119" s="328">
        <f>H119/DAY(B2)</f>
        <v>421.68826086956466</v>
      </c>
    </row>
    <row r="120" spans="1:18" ht="30.75" customHeight="1">
      <c r="A120" s="842" t="s">
        <v>99</v>
      </c>
      <c r="B120" s="842"/>
      <c r="C120" s="842"/>
      <c r="D120" s="151" t="s">
        <v>183</v>
      </c>
      <c r="E120" s="95">
        <f>'22'!F120</f>
        <v>39225.410000000003</v>
      </c>
      <c r="F120" s="237">
        <v>39631.870000000003</v>
      </c>
      <c r="G120" s="112">
        <f t="shared" si="9"/>
        <v>406.45999999999913</v>
      </c>
      <c r="H120" s="99">
        <f>G120+'22'!H120</f>
        <v>9553.8700000000026</v>
      </c>
      <c r="I120" s="165"/>
      <c r="J120" s="328">
        <f>H120/DAY(B2)</f>
        <v>415.38565217391317</v>
      </c>
    </row>
    <row r="121" spans="1:18" ht="30.75" customHeight="1">
      <c r="A121" s="842" t="s">
        <v>100</v>
      </c>
      <c r="B121" s="842"/>
      <c r="C121" s="842"/>
      <c r="D121" s="151" t="s">
        <v>183</v>
      </c>
      <c r="E121" s="95">
        <f>'22'!F121</f>
        <v>391729.91</v>
      </c>
      <c r="F121" s="237">
        <v>392394.07</v>
      </c>
      <c r="G121" s="112">
        <f t="shared" si="9"/>
        <v>664.1600000000326</v>
      </c>
      <c r="H121" s="99">
        <f>G121+'22'!H121</f>
        <v>15865.070000000007</v>
      </c>
      <c r="I121" s="165"/>
      <c r="J121" s="328">
        <f>H121/DAY(B2)</f>
        <v>689.78565217391338</v>
      </c>
    </row>
    <row r="122" spans="1:18" ht="30.75" customHeight="1">
      <c r="A122" s="842" t="s">
        <v>101</v>
      </c>
      <c r="B122" s="842"/>
      <c r="C122" s="842"/>
      <c r="D122" s="151" t="s">
        <v>183</v>
      </c>
      <c r="E122" s="95">
        <f>'22'!F122</f>
        <v>124455.62</v>
      </c>
      <c r="F122" s="237">
        <v>124665.59</v>
      </c>
      <c r="G122" s="112">
        <f t="shared" si="9"/>
        <v>209.97000000000116</v>
      </c>
      <c r="H122" s="99">
        <f>G122+'22'!H122</f>
        <v>4615.5899999999965</v>
      </c>
      <c r="I122" s="165"/>
      <c r="J122" s="328">
        <f>H122/DAY(B2)</f>
        <v>200.67782608695637</v>
      </c>
    </row>
    <row r="123" spans="1:18" ht="30.75" customHeight="1">
      <c r="A123" s="842" t="s">
        <v>102</v>
      </c>
      <c r="B123" s="842"/>
      <c r="C123" s="842"/>
      <c r="D123" s="151" t="s">
        <v>183</v>
      </c>
      <c r="E123" s="95">
        <f>'22'!F123</f>
        <v>151591.79999999999</v>
      </c>
      <c r="F123" s="237">
        <v>151865.10999999999</v>
      </c>
      <c r="G123" s="112">
        <f t="shared" si="9"/>
        <v>273.30999999999767</v>
      </c>
      <c r="H123" s="99">
        <f>G123+'22'!H123</f>
        <v>6740.109999999986</v>
      </c>
      <c r="I123" s="165"/>
      <c r="J123" s="328">
        <f>H123/DAY(B2)</f>
        <v>293.04826086956461</v>
      </c>
    </row>
    <row r="124" spans="1:18" ht="30.75" customHeight="1">
      <c r="A124" s="847"/>
      <c r="B124" s="848"/>
      <c r="C124" s="849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827" t="s">
        <v>196</v>
      </c>
      <c r="B125" s="828"/>
      <c r="C125" s="245"/>
      <c r="D125" s="307"/>
      <c r="E125" s="308"/>
      <c r="F125" s="308"/>
      <c r="G125" s="309">
        <f>SUM(G112:G124)</f>
        <v>3154.9300000000198</v>
      </c>
      <c r="H125" s="156"/>
      <c r="I125" s="327">
        <f>G125-(G39+G53)</f>
        <v>578.68000000001985</v>
      </c>
      <c r="J125" s="327"/>
    </row>
    <row r="126" spans="1:18" ht="30.75" customHeight="1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30.75" customHeight="1">
      <c r="A127" s="832"/>
      <c r="B127" s="832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843" t="s">
        <v>318</v>
      </c>
      <c r="B128" s="844"/>
      <c r="C128" s="845"/>
      <c r="D128" s="151" t="s">
        <v>183</v>
      </c>
      <c r="E128" s="95">
        <f>'22'!F128</f>
        <v>44929.03</v>
      </c>
      <c r="F128" s="155">
        <v>45277.1</v>
      </c>
      <c r="G128" s="112">
        <f t="shared" ref="G128:G134" si="10">F128-E128</f>
        <v>348.06999999999971</v>
      </c>
      <c r="H128" s="99">
        <f>G128+'22'!H128</f>
        <v>7273.0999999999985</v>
      </c>
      <c r="I128" s="165"/>
      <c r="J128" s="328">
        <f>H128/DAY(B2)</f>
        <v>316.22173913043474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25169.919999999998</v>
      </c>
      <c r="F129" s="155">
        <v>25350.19</v>
      </c>
      <c r="G129" s="112">
        <f t="shared" si="10"/>
        <v>180.27000000000044</v>
      </c>
      <c r="H129" s="99">
        <f>G129+'22'!H129</f>
        <v>5029.1899999999987</v>
      </c>
      <c r="I129" s="165"/>
      <c r="J129" s="328">
        <f>H129/DAY(B2)</f>
        <v>218.66043478260863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31373.81</v>
      </c>
      <c r="F130" s="155">
        <v>31919.45</v>
      </c>
      <c r="G130" s="112">
        <f t="shared" si="10"/>
        <v>545.63999999999942</v>
      </c>
      <c r="H130" s="99">
        <f>G130+'22'!H130</f>
        <v>13537.45</v>
      </c>
      <c r="I130" s="165"/>
      <c r="J130" s="328">
        <f>H130/DAY(B2)</f>
        <v>588.58478260869572</v>
      </c>
      <c r="N130" s="240"/>
      <c r="O130" s="241"/>
    </row>
    <row r="131" spans="1:15" ht="30.75" customHeight="1">
      <c r="A131" s="843" t="s">
        <v>321</v>
      </c>
      <c r="B131" s="844"/>
      <c r="C131" s="845"/>
      <c r="D131" s="151" t="s">
        <v>183</v>
      </c>
      <c r="E131" s="95">
        <f>'22'!F131</f>
        <v>14758.15</v>
      </c>
      <c r="F131" s="155">
        <v>14834.07</v>
      </c>
      <c r="G131" s="112">
        <f t="shared" si="10"/>
        <v>75.920000000000073</v>
      </c>
      <c r="H131" s="99">
        <f>G131+'22'!H131</f>
        <v>1681.0699999999997</v>
      </c>
      <c r="I131" s="165"/>
      <c r="J131" s="328">
        <f>H131/DAY(B2)</f>
        <v>73.089999999999989</v>
      </c>
      <c r="N131" s="240"/>
      <c r="O131" s="241"/>
    </row>
    <row r="132" spans="1:15" ht="30.75" customHeight="1">
      <c r="A132" s="843" t="s">
        <v>322</v>
      </c>
      <c r="B132" s="844"/>
      <c r="C132" s="845"/>
      <c r="D132" s="151" t="s">
        <v>183</v>
      </c>
      <c r="E132" s="95">
        <f>'22'!F132</f>
        <v>50351.33</v>
      </c>
      <c r="F132" s="155">
        <v>50518.21</v>
      </c>
      <c r="G132" s="112">
        <f t="shared" si="10"/>
        <v>166.87999999999738</v>
      </c>
      <c r="H132" s="99">
        <f>G132+'22'!H132</f>
        <v>9495.2099999999991</v>
      </c>
      <c r="I132" s="165"/>
      <c r="J132" s="328">
        <f>H132/DAY(B2)</f>
        <v>412.8352173913043</v>
      </c>
    </row>
    <row r="133" spans="1:15" ht="30.75" customHeight="1">
      <c r="A133" s="843" t="s">
        <v>362</v>
      </c>
      <c r="B133" s="844"/>
      <c r="C133" s="845"/>
      <c r="D133" s="151" t="s">
        <v>183</v>
      </c>
      <c r="E133" s="95">
        <f>'22'!F133</f>
        <v>101216.1</v>
      </c>
      <c r="F133" s="155">
        <v>101877.43</v>
      </c>
      <c r="G133" s="112">
        <f t="shared" si="10"/>
        <v>661.32999999998719</v>
      </c>
      <c r="H133" s="99">
        <f>G133+'22'!H133</f>
        <v>14174.429999999993</v>
      </c>
      <c r="I133" s="165"/>
      <c r="J133" s="328">
        <f>H133/DAY(B2)</f>
        <v>616.279565217391</v>
      </c>
    </row>
    <row r="134" spans="1:15" ht="30.75" customHeight="1">
      <c r="A134" s="843" t="s">
        <v>340</v>
      </c>
      <c r="B134" s="844"/>
      <c r="C134" s="845"/>
      <c r="D134" s="151" t="s">
        <v>183</v>
      </c>
      <c r="E134" s="95">
        <f>'22'!F134</f>
        <v>7236.79</v>
      </c>
      <c r="F134" s="374">
        <v>7394.85</v>
      </c>
      <c r="G134" s="112">
        <f t="shared" si="10"/>
        <v>158.0600000000004</v>
      </c>
      <c r="H134" s="99">
        <f>G134+'22'!H134</f>
        <v>9688.8499999999985</v>
      </c>
      <c r="I134" s="165"/>
      <c r="J134" s="328">
        <f>H134/DAY(B2)</f>
        <v>421.25434782608687</v>
      </c>
    </row>
    <row r="135" spans="1:15" ht="30.75" customHeight="1">
      <c r="A135" s="827" t="s">
        <v>196</v>
      </c>
      <c r="B135" s="828"/>
      <c r="C135" s="331"/>
      <c r="D135" s="151"/>
      <c r="E135" s="95"/>
      <c r="F135" s="594"/>
      <c r="G135" s="112">
        <f>SUM(G128:G134)</f>
        <v>2136.1699999999846</v>
      </c>
      <c r="H135" s="99">
        <f>G135+'10'!H135</f>
        <v>33360.169999999984</v>
      </c>
      <c r="I135" s="327">
        <f>G135-(G35+G49)</f>
        <v>-312.51000000001568</v>
      </c>
      <c r="J135" s="328"/>
    </row>
    <row r="136" spans="1:15" ht="30.75" customHeight="1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42" t="s">
        <v>185</v>
      </c>
      <c r="B138" s="842"/>
      <c r="C138" s="842"/>
      <c r="D138" s="151" t="s">
        <v>183</v>
      </c>
      <c r="E138" s="95">
        <f>'22'!F138</f>
        <v>865580</v>
      </c>
      <c r="F138" s="147">
        <v>865689</v>
      </c>
      <c r="G138" s="112">
        <f t="shared" ref="G138:G152" si="11">F138-E138</f>
        <v>109</v>
      </c>
      <c r="H138" s="99">
        <f>G138+'22'!H138</f>
        <v>1518</v>
      </c>
      <c r="I138" s="118"/>
      <c r="J138" s="328">
        <f>H138/DAY(B2)</f>
        <v>66</v>
      </c>
    </row>
    <row r="139" spans="1:15" ht="30.75" customHeight="1">
      <c r="A139" s="842" t="s">
        <v>186</v>
      </c>
      <c r="B139" s="842"/>
      <c r="C139" s="842"/>
      <c r="D139" s="151" t="s">
        <v>183</v>
      </c>
      <c r="E139" s="95">
        <f>'22'!F139</f>
        <v>886563</v>
      </c>
      <c r="F139" s="148">
        <v>886568</v>
      </c>
      <c r="G139" s="112">
        <f t="shared" si="11"/>
        <v>5</v>
      </c>
      <c r="H139" s="99">
        <f>G139+'22'!H139</f>
        <v>22</v>
      </c>
      <c r="I139" s="118"/>
      <c r="J139" s="328">
        <f>H139/DAY(B2)</f>
        <v>0.95652173913043481</v>
      </c>
    </row>
    <row r="140" spans="1:15" ht="30.75" customHeight="1">
      <c r="A140" s="842" t="s">
        <v>187</v>
      </c>
      <c r="B140" s="842"/>
      <c r="C140" s="842"/>
      <c r="D140" s="151" t="s">
        <v>183</v>
      </c>
      <c r="E140" s="95">
        <f>'22'!F140</f>
        <v>88920.03</v>
      </c>
      <c r="F140" s="149">
        <v>88922.03</v>
      </c>
      <c r="G140" s="112">
        <f t="shared" si="11"/>
        <v>2</v>
      </c>
      <c r="H140" s="99">
        <f>G140+'22'!H140</f>
        <v>40.029999999998836</v>
      </c>
      <c r="I140" s="118"/>
      <c r="J140" s="328">
        <f>H140/DAY(B2)</f>
        <v>1.740434782608645</v>
      </c>
    </row>
    <row r="141" spans="1:15" ht="30.75" customHeight="1">
      <c r="A141" s="823" t="s">
        <v>188</v>
      </c>
      <c r="B141" s="823"/>
      <c r="C141" s="823"/>
      <c r="D141" s="151" t="s">
        <v>183</v>
      </c>
      <c r="E141" s="95">
        <f>'22'!F141</f>
        <v>53117.62</v>
      </c>
      <c r="F141" s="149">
        <v>53301.33</v>
      </c>
      <c r="G141" s="112">
        <f t="shared" si="11"/>
        <v>183.70999999999913</v>
      </c>
      <c r="H141" s="99">
        <f>G141+'22'!H141</f>
        <v>3995.3300000000017</v>
      </c>
      <c r="I141" s="118"/>
      <c r="J141" s="328">
        <f>H141/DAY(B2)</f>
        <v>173.71000000000006</v>
      </c>
    </row>
    <row r="142" spans="1:15" ht="30.75" customHeight="1">
      <c r="A142" s="823" t="s">
        <v>189</v>
      </c>
      <c r="B142" s="823"/>
      <c r="C142" s="823"/>
      <c r="D142" s="151" t="s">
        <v>183</v>
      </c>
      <c r="E142" s="95">
        <f>'22'!F142</f>
        <v>20581.73</v>
      </c>
      <c r="F142" s="148">
        <v>20660.27</v>
      </c>
      <c r="G142" s="112">
        <f t="shared" si="11"/>
        <v>78.540000000000873</v>
      </c>
      <c r="H142" s="99">
        <f>G142+'22'!H142</f>
        <v>1651.2700000000004</v>
      </c>
      <c r="I142" s="140"/>
      <c r="J142" s="328">
        <f>H142/DAY(B2)</f>
        <v>71.794347826086977</v>
      </c>
    </row>
    <row r="143" spans="1:15" ht="30.75" customHeight="1">
      <c r="A143" s="842" t="s">
        <v>91</v>
      </c>
      <c r="B143" s="842"/>
      <c r="C143" s="842"/>
      <c r="D143" s="151" t="s">
        <v>183</v>
      </c>
      <c r="E143" s="95">
        <f>'22'!F143</f>
        <v>3593.5</v>
      </c>
      <c r="F143" s="149">
        <v>3620.62</v>
      </c>
      <c r="G143" s="112">
        <f t="shared" si="11"/>
        <v>27.119999999999891</v>
      </c>
      <c r="H143" s="99">
        <f>G143+'22'!H143</f>
        <v>559.61999999999989</v>
      </c>
      <c r="I143" s="140"/>
      <c r="J143" s="328">
        <f>H143/DAY(B2)</f>
        <v>24.331304347826084</v>
      </c>
    </row>
    <row r="144" spans="1:15" ht="30.75" customHeight="1">
      <c r="A144" s="823" t="s">
        <v>90</v>
      </c>
      <c r="B144" s="823"/>
      <c r="C144" s="823"/>
      <c r="D144" s="151" t="s">
        <v>183</v>
      </c>
      <c r="E144" s="95">
        <f>'22'!F144</f>
        <v>874645</v>
      </c>
      <c r="F144" s="149">
        <v>874866</v>
      </c>
      <c r="G144" s="112">
        <f t="shared" si="11"/>
        <v>221</v>
      </c>
      <c r="H144" s="99">
        <f>G144+'22'!H144</f>
        <v>5196</v>
      </c>
      <c r="I144" s="140"/>
      <c r="J144" s="328">
        <f>H144/DAY(B2)</f>
        <v>225.91304347826087</v>
      </c>
    </row>
    <row r="145" spans="1:10" ht="30.75" customHeight="1">
      <c r="A145" s="842" t="s">
        <v>190</v>
      </c>
      <c r="B145" s="842"/>
      <c r="C145" s="842"/>
      <c r="D145" s="152" t="s">
        <v>183</v>
      </c>
      <c r="E145" s="95">
        <f>'22'!F145</f>
        <v>4888.2</v>
      </c>
      <c r="F145" s="149">
        <v>4902.26</v>
      </c>
      <c r="G145" s="112">
        <f t="shared" si="11"/>
        <v>14.0600000000004</v>
      </c>
      <c r="H145" s="99">
        <f>G145+'22'!H145</f>
        <v>344.26000000000022</v>
      </c>
      <c r="I145" s="140"/>
      <c r="J145" s="328">
        <f>H145/DAY(B2)</f>
        <v>14.967826086956531</v>
      </c>
    </row>
    <row r="146" spans="1:10" ht="30.75" customHeight="1">
      <c r="A146" s="877" t="s">
        <v>191</v>
      </c>
      <c r="B146" s="862"/>
      <c r="C146" s="863"/>
      <c r="D146" s="152" t="s">
        <v>183</v>
      </c>
      <c r="E146" s="95">
        <f>'22'!F146</f>
        <v>733690</v>
      </c>
      <c r="F146" s="148">
        <v>734107</v>
      </c>
      <c r="G146" s="112">
        <f t="shared" si="11"/>
        <v>417</v>
      </c>
      <c r="H146" s="99">
        <f>G146+'22'!H146</f>
        <v>9249</v>
      </c>
      <c r="I146" s="140"/>
      <c r="J146" s="328">
        <f>H146/DAY(B2)</f>
        <v>402.13043478260869</v>
      </c>
    </row>
    <row r="147" spans="1:10" ht="30.75" customHeight="1">
      <c r="A147" s="823" t="s">
        <v>192</v>
      </c>
      <c r="B147" s="823"/>
      <c r="C147" s="823"/>
      <c r="D147" s="152" t="s">
        <v>183</v>
      </c>
      <c r="E147" s="95">
        <f>'22'!F147</f>
        <v>623380.12</v>
      </c>
      <c r="F147" s="148">
        <v>623801.96</v>
      </c>
      <c r="G147" s="112">
        <f t="shared" si="11"/>
        <v>421.8399999999674</v>
      </c>
      <c r="H147" s="99">
        <f>G147+'22'!H147</f>
        <v>8519.9599999999627</v>
      </c>
      <c r="I147" s="140"/>
      <c r="J147" s="328">
        <f>H147/DAY(B2)</f>
        <v>370.43304347825926</v>
      </c>
    </row>
    <row r="148" spans="1:10" ht="30.75" customHeight="1">
      <c r="A148" s="824" t="s">
        <v>193</v>
      </c>
      <c r="B148" s="825"/>
      <c r="C148" s="826"/>
      <c r="D148" s="123" t="s">
        <v>130</v>
      </c>
      <c r="E148" s="95">
        <f>'22'!F148</f>
        <v>687699.44</v>
      </c>
      <c r="F148" s="150">
        <v>687966.96</v>
      </c>
      <c r="G148" s="112">
        <f t="shared" si="11"/>
        <v>267.52000000001863</v>
      </c>
      <c r="H148" s="99">
        <f>G148+'22'!H148</f>
        <v>4933.8399999999674</v>
      </c>
      <c r="I148" s="124"/>
      <c r="J148" s="328">
        <f>H148/DAY(B2)</f>
        <v>214.51478260869425</v>
      </c>
    </row>
    <row r="149" spans="1:10" ht="30.75" customHeight="1">
      <c r="A149" s="824" t="s">
        <v>336</v>
      </c>
      <c r="B149" s="825"/>
      <c r="C149" s="826"/>
      <c r="D149" s="227" t="s">
        <v>130</v>
      </c>
      <c r="E149" s="95">
        <f>'22'!F149</f>
        <v>20065.8</v>
      </c>
      <c r="F149" s="227">
        <v>20624.12</v>
      </c>
      <c r="G149" s="112">
        <f t="shared" si="11"/>
        <v>558.31999999999971</v>
      </c>
      <c r="H149" s="99">
        <f>G149+'22'!H149</f>
        <v>9875.119999999999</v>
      </c>
      <c r="I149" s="119"/>
      <c r="J149" s="328">
        <f>H149/DAY(B2)</f>
        <v>429.35304347826082</v>
      </c>
    </row>
    <row r="150" spans="1:10" ht="30.75" customHeight="1">
      <c r="A150" s="824" t="s">
        <v>337</v>
      </c>
      <c r="B150" s="825"/>
      <c r="C150" s="826"/>
      <c r="D150" s="117" t="s">
        <v>130</v>
      </c>
      <c r="E150" s="95">
        <f>'22'!F150</f>
        <v>8866.56</v>
      </c>
      <c r="F150" s="233">
        <v>9087.73</v>
      </c>
      <c r="G150" s="112">
        <f t="shared" si="11"/>
        <v>221.17000000000007</v>
      </c>
      <c r="H150" s="99">
        <f>G150+'22'!H150</f>
        <v>5035.7299999999996</v>
      </c>
      <c r="I150" s="119"/>
      <c r="J150" s="328">
        <f>H150/DAY(B2)</f>
        <v>218.94478260869565</v>
      </c>
    </row>
    <row r="151" spans="1:10" ht="30.75" customHeight="1">
      <c r="A151" s="824" t="s">
        <v>338</v>
      </c>
      <c r="B151" s="825"/>
      <c r="C151" s="826"/>
      <c r="D151" s="117" t="s">
        <v>130</v>
      </c>
      <c r="E151" s="95">
        <f>'22'!F151</f>
        <v>83257</v>
      </c>
      <c r="F151" s="233">
        <v>83495</v>
      </c>
      <c r="G151" s="112">
        <f t="shared" si="11"/>
        <v>238</v>
      </c>
      <c r="H151" s="99">
        <f>G151+'22'!H151</f>
        <v>5278</v>
      </c>
      <c r="I151" s="119"/>
      <c r="J151" s="328">
        <f>H151/DAY(B2)</f>
        <v>229.47826086956522</v>
      </c>
    </row>
    <row r="152" spans="1:10" ht="30.75" customHeight="1">
      <c r="A152" s="824" t="s">
        <v>339</v>
      </c>
      <c r="B152" s="825"/>
      <c r="C152" s="826"/>
      <c r="D152" s="117" t="s">
        <v>130</v>
      </c>
      <c r="E152" s="95">
        <f>'22'!F152</f>
        <v>1497.94</v>
      </c>
      <c r="F152" s="233">
        <v>1515.98</v>
      </c>
      <c r="G152" s="112">
        <f t="shared" si="11"/>
        <v>18.039999999999964</v>
      </c>
      <c r="H152" s="99">
        <f>G152+'22'!H152</f>
        <v>388.98</v>
      </c>
      <c r="I152" s="119"/>
      <c r="J152" s="328">
        <f>H152/DAY(B2)</f>
        <v>16.912173913043478</v>
      </c>
    </row>
    <row r="153" spans="1:10" ht="30.75" customHeight="1">
      <c r="A153" s="827" t="s">
        <v>196</v>
      </c>
      <c r="B153" s="828"/>
      <c r="C153" s="365"/>
      <c r="D153" s="358"/>
      <c r="E153" s="360"/>
      <c r="F153" s="361"/>
      <c r="G153" s="362">
        <f>SUM(G138:G152)</f>
        <v>2782.3199999999861</v>
      </c>
      <c r="H153" s="363"/>
      <c r="I153" s="119">
        <f>G153-(G38+G52)</f>
        <v>850.24999999998636</v>
      </c>
      <c r="J153" s="366"/>
    </row>
    <row r="154" spans="1:10" ht="30.75" customHeight="1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0.75" customHeight="1">
      <c r="A155" s="823" t="s">
        <v>345</v>
      </c>
      <c r="B155" s="823"/>
      <c r="C155" s="823"/>
      <c r="D155" s="117" t="s">
        <v>130</v>
      </c>
      <c r="E155" s="95">
        <f>'22'!F155</f>
        <v>26419.72</v>
      </c>
      <c r="F155" s="374">
        <v>27083</v>
      </c>
      <c r="G155" s="112">
        <f t="shared" ref="G155:G158" si="12">F155-E155</f>
        <v>663.27999999999884</v>
      </c>
      <c r="H155" s="99">
        <f>G155+'22'!H155</f>
        <v>13611</v>
      </c>
      <c r="I155" s="364"/>
      <c r="J155" s="161">
        <v>329</v>
      </c>
    </row>
    <row r="156" spans="1:10" ht="30.75" customHeight="1">
      <c r="A156" s="823" t="s">
        <v>347</v>
      </c>
      <c r="B156" s="823"/>
      <c r="C156" s="823"/>
      <c r="D156" s="117" t="s">
        <v>130</v>
      </c>
      <c r="E156" s="95">
        <f>'22'!F156</f>
        <v>2228.39</v>
      </c>
      <c r="F156" s="374">
        <v>2279.13</v>
      </c>
      <c r="G156" s="112">
        <f t="shared" si="12"/>
        <v>50.740000000000236</v>
      </c>
      <c r="H156" s="99">
        <f>G156+'22'!H156</f>
        <v>1191.1300000000001</v>
      </c>
      <c r="I156" s="165"/>
      <c r="J156" s="328">
        <f>H156/DAY(B2)</f>
        <v>51.788260869565221</v>
      </c>
    </row>
    <row r="157" spans="1:10" ht="30.75" customHeight="1">
      <c r="A157" s="824" t="s">
        <v>364</v>
      </c>
      <c r="B157" s="825"/>
      <c r="C157" s="826"/>
      <c r="D157" s="117" t="s">
        <v>130</v>
      </c>
      <c r="E157" s="95">
        <f>'22'!F157</f>
        <v>3059.35</v>
      </c>
      <c r="F157" s="95">
        <v>3168.06</v>
      </c>
      <c r="G157" s="112">
        <f t="shared" si="12"/>
        <v>108.71000000000004</v>
      </c>
      <c r="H157" s="99">
        <f>G157+'22'!H157</f>
        <v>447.90000000000009</v>
      </c>
      <c r="I157" s="165"/>
      <c r="J157" s="328">
        <f>H157/DAY(B2)</f>
        <v>19.473913043478266</v>
      </c>
    </row>
    <row r="158" spans="1:10" ht="30.75" customHeight="1">
      <c r="A158" s="824" t="s">
        <v>365</v>
      </c>
      <c r="B158" s="825"/>
      <c r="C158" s="826"/>
      <c r="D158" s="117" t="s">
        <v>130</v>
      </c>
      <c r="E158" s="95">
        <f>'22'!F158</f>
        <v>26.97</v>
      </c>
      <c r="F158" s="95">
        <v>27.11</v>
      </c>
      <c r="G158" s="112">
        <f t="shared" si="12"/>
        <v>0.14000000000000057</v>
      </c>
      <c r="H158" s="99">
        <f>G158+'22'!H158</f>
        <v>2.7699999999999996</v>
      </c>
      <c r="I158" s="165"/>
      <c r="J158" s="328">
        <f>H158/DAY(B2)</f>
        <v>0.12043478260869564</v>
      </c>
    </row>
    <row r="159" spans="1:10" ht="30.75" customHeight="1">
      <c r="A159" s="907"/>
      <c r="B159" s="908"/>
      <c r="C159" s="909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471787</v>
      </c>
      <c r="F161" s="235">
        <v>471803</v>
      </c>
      <c r="G161" s="238">
        <f t="shared" ref="G161:G165" si="13">F161-E161</f>
        <v>16</v>
      </c>
      <c r="H161" s="99">
        <f>G161+'22'!H161</f>
        <v>649.84000000002561</v>
      </c>
      <c r="I161" s="236"/>
      <c r="J161" s="239">
        <f>H161/DAY(B2)</f>
        <v>28.253913043479375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88242.6</v>
      </c>
      <c r="F162" s="235">
        <v>88256.9</v>
      </c>
      <c r="G162" s="238">
        <f t="shared" si="13"/>
        <v>14.299999999988358</v>
      </c>
      <c r="H162" s="99">
        <f>G162+'22'!H162</f>
        <v>686.89999999999418</v>
      </c>
      <c r="I162" s="236"/>
      <c r="J162" s="239">
        <f>H162/DAY(B2)</f>
        <v>29.865217391304096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78837.3</v>
      </c>
      <c r="F163" s="235">
        <v>78871</v>
      </c>
      <c r="G163" s="238">
        <f t="shared" si="13"/>
        <v>33.69999999999709</v>
      </c>
      <c r="H163" s="99">
        <f>G163+'22'!H163</f>
        <v>1046</v>
      </c>
      <c r="I163" s="236"/>
      <c r="J163" s="239">
        <f>H163/DAY(B2)</f>
        <v>45.478260869565219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4292</v>
      </c>
      <c r="F164" s="235">
        <v>4293.3999999999996</v>
      </c>
      <c r="G164" s="238">
        <f t="shared" si="13"/>
        <v>1.3999999999996362</v>
      </c>
      <c r="H164" s="99">
        <f>G164+'22'!H164</f>
        <v>51.399999999999636</v>
      </c>
      <c r="I164" s="236"/>
      <c r="J164" s="239">
        <f>H164/DAY(B2)</f>
        <v>2.2347826086956362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29790.69</v>
      </c>
      <c r="F165" s="235">
        <v>29792.66</v>
      </c>
      <c r="G165" s="238">
        <f t="shared" si="13"/>
        <v>1.9700000000011642</v>
      </c>
      <c r="H165" s="99">
        <f>G165+'22'!H165</f>
        <v>146.65999999999985</v>
      </c>
      <c r="I165" s="236"/>
      <c r="J165" s="239">
        <f>H165/DAY(B2)</f>
        <v>6.3765217391304283</v>
      </c>
    </row>
    <row r="166" spans="1:10" ht="30.75" customHeight="1">
      <c r="A166" s="832"/>
      <c r="B166" s="832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832"/>
      <c r="B167" s="832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832"/>
      <c r="B168" s="832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30.75" customHeight="1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36" t="s">
        <v>209</v>
      </c>
      <c r="B173" s="837"/>
      <c r="C173" s="333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>
      <c r="A174" s="836" t="s">
        <v>75</v>
      </c>
      <c r="B174" s="837"/>
      <c r="C174" s="333"/>
      <c r="D174" s="228" t="s">
        <v>142</v>
      </c>
      <c r="E174" s="95">
        <f>'22'!F174</f>
        <v>38501</v>
      </c>
      <c r="F174" s="157">
        <v>38514</v>
      </c>
      <c r="G174" s="155">
        <f t="shared" ref="G174:G175" si="14">F174-E174</f>
        <v>13</v>
      </c>
      <c r="H174" s="99">
        <f>G174+'22'!H174</f>
        <v>221</v>
      </c>
      <c r="I174" s="155"/>
      <c r="J174" s="178">
        <f>H174/DAY(B2)</f>
        <v>9.6086956521739122</v>
      </c>
    </row>
    <row r="175" spans="1:10" ht="30.75" customHeight="1">
      <c r="A175" s="836" t="s">
        <v>76</v>
      </c>
      <c r="B175" s="876"/>
      <c r="C175" s="837"/>
      <c r="D175" s="228" t="s">
        <v>142</v>
      </c>
      <c r="E175" s="95">
        <f>'22'!F175</f>
        <v>21724</v>
      </c>
      <c r="F175" s="155">
        <v>21735</v>
      </c>
      <c r="G175" s="155">
        <f t="shared" si="14"/>
        <v>11</v>
      </c>
      <c r="H175" s="99">
        <f>G175+'22'!H175</f>
        <v>217</v>
      </c>
      <c r="I175" s="155"/>
      <c r="J175" s="178">
        <f>H175/DAY(B2)</f>
        <v>9.4347826086956523</v>
      </c>
    </row>
    <row r="176" spans="1:10" ht="30.75" customHeight="1">
      <c r="A176" s="827" t="s">
        <v>196</v>
      </c>
      <c r="B176" s="828"/>
      <c r="C176" s="485"/>
      <c r="D176" s="228"/>
      <c r="E176" s="95"/>
      <c r="F176" s="155"/>
      <c r="G176" s="155">
        <f>SUM(G173:G175)</f>
        <v>24</v>
      </c>
      <c r="H176" s="99">
        <f>G176+'22'!H176</f>
        <v>438</v>
      </c>
      <c r="I176" s="155"/>
      <c r="J176" s="178">
        <f>H176/DAY(B2)</f>
        <v>19.043478260869566</v>
      </c>
    </row>
    <row r="177" spans="1:10" ht="30.7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36" t="s">
        <v>210</v>
      </c>
      <c r="B178" s="837"/>
      <c r="C178" s="333"/>
      <c r="D178" s="228" t="s">
        <v>142</v>
      </c>
      <c r="E178" s="95">
        <f>'22'!F178</f>
        <v>80790</v>
      </c>
      <c r="F178" s="155">
        <v>80894</v>
      </c>
      <c r="G178" s="155">
        <f>F178-E178</f>
        <v>104</v>
      </c>
      <c r="H178" s="99">
        <f>G178+'22'!H178</f>
        <v>1280</v>
      </c>
      <c r="I178" s="155"/>
      <c r="J178" s="178">
        <f>H178/DAY(B2)</f>
        <v>55.652173913043477</v>
      </c>
    </row>
    <row r="179" spans="1:10" ht="30.75" customHeight="1">
      <c r="A179" s="836" t="s">
        <v>211</v>
      </c>
      <c r="B179" s="837"/>
      <c r="C179" s="333"/>
      <c r="D179" s="228" t="s">
        <v>142</v>
      </c>
      <c r="E179" s="95">
        <f>'22'!F179</f>
        <v>34370</v>
      </c>
      <c r="F179" s="155">
        <v>34422</v>
      </c>
      <c r="G179" s="155">
        <f t="shared" ref="G179:G180" si="15">F179-E179</f>
        <v>52</v>
      </c>
      <c r="H179" s="99">
        <f>G179+'22'!H179</f>
        <v>507</v>
      </c>
      <c r="I179" s="155"/>
      <c r="J179" s="178">
        <f>H179/DAY(B2)</f>
        <v>22.043478260869566</v>
      </c>
    </row>
    <row r="180" spans="1:10" ht="30.75" customHeight="1">
      <c r="A180" s="836" t="s">
        <v>212</v>
      </c>
      <c r="B180" s="837"/>
      <c r="C180" s="333"/>
      <c r="D180" s="228" t="s">
        <v>142</v>
      </c>
      <c r="E180" s="95">
        <f>'22'!F180</f>
        <v>5642</v>
      </c>
      <c r="F180" s="155">
        <v>5644</v>
      </c>
      <c r="G180" s="155">
        <f t="shared" si="15"/>
        <v>2</v>
      </c>
      <c r="H180" s="99">
        <f>G180+'22'!H180</f>
        <v>167</v>
      </c>
      <c r="I180" s="155"/>
      <c r="J180" s="178">
        <f>H180/DAY(B2)</f>
        <v>7.2608695652173916</v>
      </c>
    </row>
    <row r="181" spans="1:10" ht="30.75" customHeight="1">
      <c r="A181" s="838" t="s">
        <v>108</v>
      </c>
      <c r="B181" s="839"/>
      <c r="C181" s="485"/>
      <c r="D181" s="228"/>
      <c r="E181" s="95"/>
      <c r="F181" s="155"/>
      <c r="G181" s="155">
        <f>SUM(G178:G180)</f>
        <v>158</v>
      </c>
      <c r="H181" s="99">
        <f>G181+'22'!H181</f>
        <v>1954</v>
      </c>
      <c r="I181" s="155"/>
      <c r="J181" s="178">
        <f>H181/DAY(B2)</f>
        <v>84.956521739130437</v>
      </c>
    </row>
    <row r="182" spans="1:10" ht="30.75" customHeight="1">
      <c r="A182" s="836" t="s">
        <v>213</v>
      </c>
      <c r="B182" s="837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36" t="s">
        <v>214</v>
      </c>
      <c r="B183" s="837"/>
      <c r="C183" s="334"/>
      <c r="D183" s="228" t="s">
        <v>142</v>
      </c>
      <c r="E183" s="95">
        <f>'22'!F183</f>
        <v>15208</v>
      </c>
      <c r="F183" s="157">
        <v>15244</v>
      </c>
      <c r="G183" s="157">
        <f>F183-E183</f>
        <v>36</v>
      </c>
      <c r="H183" s="99">
        <f>G183+'22'!H183</f>
        <v>297</v>
      </c>
      <c r="I183" s="155"/>
      <c r="J183" s="178">
        <f>H183/DAY(B2)</f>
        <v>12.913043478260869</v>
      </c>
    </row>
    <row r="184" spans="1:10" ht="30.75" customHeight="1">
      <c r="A184" s="836" t="s">
        <v>215</v>
      </c>
      <c r="B184" s="837"/>
      <c r="C184" s="334"/>
      <c r="D184" s="228" t="s">
        <v>142</v>
      </c>
      <c r="E184" s="95">
        <f>'22'!F184</f>
        <v>10433</v>
      </c>
      <c r="F184" s="157">
        <v>10439</v>
      </c>
      <c r="G184" s="157">
        <f t="shared" ref="G184:G185" si="16">F184-E184</f>
        <v>6</v>
      </c>
      <c r="H184" s="99">
        <f>G184+'22'!H184</f>
        <v>138</v>
      </c>
      <c r="I184" s="155"/>
      <c r="J184" s="178">
        <f>H184/DAY(B2)</f>
        <v>6</v>
      </c>
    </row>
    <row r="185" spans="1:10" ht="30.75" customHeight="1">
      <c r="A185" s="836" t="s">
        <v>216</v>
      </c>
      <c r="B185" s="837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827" t="s">
        <v>196</v>
      </c>
      <c r="B186" s="828"/>
      <c r="C186" s="484"/>
      <c r="D186" s="229"/>
      <c r="E186" s="95"/>
      <c r="F186" s="157"/>
      <c r="G186" s="157">
        <f>SUM(G183:G185)</f>
        <v>42</v>
      </c>
      <c r="H186" s="99">
        <f>G186+'22'!H186</f>
        <v>435</v>
      </c>
      <c r="I186" s="157"/>
      <c r="J186" s="178">
        <f>H186/DAY(B2)</f>
        <v>18.913043478260871</v>
      </c>
    </row>
    <row r="187" spans="1:10" ht="30.75" customHeight="1">
      <c r="A187" s="829" t="s">
        <v>217</v>
      </c>
      <c r="B187" s="830"/>
      <c r="C187" s="333"/>
      <c r="D187" s="230" t="s">
        <v>142</v>
      </c>
      <c r="E187" s="95"/>
      <c r="F187" s="159"/>
      <c r="G187" s="462">
        <f>G62+G19</f>
        <v>175</v>
      </c>
      <c r="H187" s="99">
        <f>G187+'22'!H187</f>
        <v>2711</v>
      </c>
      <c r="I187" s="158"/>
      <c r="J187" s="179">
        <f>H187/DAY(B2)</f>
        <v>117.8695652173913</v>
      </c>
    </row>
    <row r="188" spans="1:10" ht="30.75" customHeight="1">
      <c r="A188" s="829" t="s">
        <v>218</v>
      </c>
      <c r="B188" s="830"/>
      <c r="C188" s="333"/>
      <c r="D188" s="230" t="s">
        <v>142</v>
      </c>
      <c r="E188" s="95"/>
      <c r="F188" s="159"/>
      <c r="G188" s="462">
        <f>G65+G66+G67+G69+G70</f>
        <v>173</v>
      </c>
      <c r="H188" s="99">
        <f>G188+'22'!H188</f>
        <v>1128</v>
      </c>
      <c r="I188" s="158"/>
      <c r="J188" s="179">
        <f>H188/DAY(B2)</f>
        <v>49.043478260869563</v>
      </c>
    </row>
    <row r="189" spans="1:10" ht="30.75" customHeight="1">
      <c r="A189" s="829" t="s">
        <v>219</v>
      </c>
      <c r="B189" s="830"/>
      <c r="C189" s="333"/>
      <c r="D189" s="230" t="s">
        <v>142</v>
      </c>
      <c r="E189" s="95"/>
      <c r="F189" s="157"/>
      <c r="G189" s="459">
        <f>G181</f>
        <v>158</v>
      </c>
      <c r="H189" s="99">
        <f>G189+'22'!H189</f>
        <v>364</v>
      </c>
      <c r="I189" s="158"/>
      <c r="J189" s="179">
        <f>H189/DAY(B2)</f>
        <v>15.826086956521738</v>
      </c>
    </row>
    <row r="190" spans="1:10" ht="30.75" customHeight="1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60" zoomScaleNormal="44" workbookViewId="0">
      <selection activeCell="F159" sqref="F159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357</v>
      </c>
      <c r="B2" s="262">
        <v>44585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21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0.75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'23'!F7</f>
        <v>514716.83</v>
      </c>
      <c r="F7" s="95">
        <v>531080</v>
      </c>
      <c r="G7" s="112">
        <f>F7-E7</f>
        <v>16363.169999999984</v>
      </c>
      <c r="H7" s="99">
        <f>G7+'23'!H7</f>
        <v>436519</v>
      </c>
      <c r="I7" s="113">
        <f>'1'!I7</f>
        <v>12000</v>
      </c>
      <c r="J7" s="175">
        <f>H7/DAY(B2)</f>
        <v>18188.291666666668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'23'!F8</f>
        <v>569714.82999999996</v>
      </c>
      <c r="F8" s="95">
        <v>586591</v>
      </c>
      <c r="G8" s="115">
        <f>F8-E8</f>
        <v>16876.170000000042</v>
      </c>
      <c r="H8" s="99">
        <f>G8+'23'!H8</f>
        <v>445706</v>
      </c>
      <c r="I8" s="116"/>
      <c r="J8" s="175">
        <f>H8/DAY(B2)</f>
        <v>18571.083333333332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'23'!F9</f>
        <v>168518.39</v>
      </c>
      <c r="F9" s="601">
        <v>179760</v>
      </c>
      <c r="G9" s="112">
        <f>F9-E9</f>
        <v>11241.609999999986</v>
      </c>
      <c r="H9" s="99">
        <f>G9+'23'!H9</f>
        <v>278265</v>
      </c>
      <c r="I9" s="124">
        <f>I7-J7</f>
        <v>-6188.2916666666679</v>
      </c>
      <c r="J9" s="175">
        <f>H9/DAY(B2)</f>
        <v>11594.375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'23'!F10</f>
        <v>86539.68</v>
      </c>
      <c r="F10" s="353">
        <v>91182</v>
      </c>
      <c r="G10" s="112">
        <f t="shared" ref="G10:G12" si="0">F10-E10</f>
        <v>4642.320000000007</v>
      </c>
      <c r="H10" s="99">
        <f>G10+'23'!H10</f>
        <v>146088</v>
      </c>
      <c r="I10" s="282"/>
      <c r="J10" s="175">
        <f>H10/DAY(B2)</f>
        <v>6087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170</v>
      </c>
      <c r="I11" s="282"/>
      <c r="J11" s="175">
        <f>H11/DAY(B2)</f>
        <v>7.083333333333333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15883.929999999993</v>
      </c>
      <c r="H13" s="99">
        <f>G13+'23'!H13</f>
        <v>405057.74999999988</v>
      </c>
      <c r="I13" s="120">
        <f>G7-G13</f>
        <v>479.23999999999069</v>
      </c>
      <c r="J13" s="175">
        <f>H13/DAY(B2)</f>
        <v>16877.406249999996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'23'!F15</f>
        <v>1899076.92</v>
      </c>
      <c r="F15" s="123">
        <v>1900114</v>
      </c>
      <c r="G15" s="112">
        <f>(F15-E15)</f>
        <v>1037.0800000000745</v>
      </c>
      <c r="H15" s="99">
        <f>G15+'23'!H15</f>
        <v>21684</v>
      </c>
      <c r="I15" s="113">
        <f>'1'!I15</f>
        <v>800</v>
      </c>
      <c r="J15" s="175">
        <f>H15/DAY(B2)</f>
        <v>903.5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-103.5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'23'!F18</f>
        <v>16</v>
      </c>
      <c r="F18" s="122">
        <v>16</v>
      </c>
      <c r="G18" s="119">
        <f>F18*10</f>
        <v>160</v>
      </c>
      <c r="H18" s="99">
        <f>G18+'23'!H18</f>
        <v>2690</v>
      </c>
      <c r="I18" s="113">
        <f>'1'!I18</f>
        <v>65</v>
      </c>
      <c r="J18" s="175">
        <f>H18/DAY(B2)</f>
        <v>112.08333333333333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'23'!F19</f>
        <v>153461</v>
      </c>
      <c r="F19" s="122">
        <v>153513</v>
      </c>
      <c r="G19" s="112">
        <f t="shared" ref="G19" si="1">F19-E19</f>
        <v>52</v>
      </c>
      <c r="H19" s="99">
        <f>G19+'23'!H19</f>
        <v>1288</v>
      </c>
      <c r="I19" s="335"/>
      <c r="J19" s="175">
        <f>H19/DAY(B2)</f>
        <v>53.666666666666664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G20+'23'!H20</f>
        <v>3978</v>
      </c>
      <c r="I20" s="336">
        <f>I18-J20</f>
        <v>-100.75</v>
      </c>
      <c r="J20" s="175">
        <f>H20/DAY(B2)</f>
        <v>165.75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110</v>
      </c>
      <c r="I23" s="118"/>
      <c r="J23" s="175">
        <f>H23/DAY(B2)</f>
        <v>4.583333333333333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110</v>
      </c>
      <c r="I24" s="118"/>
      <c r="J24" s="175">
        <f>H24/DAY(B2)</f>
        <v>4.583333333333333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16876.170000000042</v>
      </c>
      <c r="F27" s="136">
        <v>9</v>
      </c>
      <c r="G27" s="137">
        <f>E27*F27</f>
        <v>151885.53000000038</v>
      </c>
      <c r="H27" s="99">
        <f>G27+'23'!H27</f>
        <v>4011353.9999999995</v>
      </c>
      <c r="I27" s="138"/>
      <c r="J27" s="175">
        <f>H27/DAY(B2)</f>
        <v>167139.74999999997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1037.0800000000745</v>
      </c>
      <c r="F28" s="136">
        <v>52</v>
      </c>
      <c r="G28" s="137">
        <f>E28*F28</f>
        <v>53928.160000003874</v>
      </c>
      <c r="H28" s="99">
        <f>G28+'23'!H28</f>
        <v>1127568</v>
      </c>
      <c r="I28" s="140"/>
      <c r="J28" s="175">
        <f>H28/DAY(B2)</f>
        <v>46982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7590</v>
      </c>
      <c r="I29" s="140"/>
      <c r="J29" s="175">
        <f>H29/DAY(B2)</f>
        <v>316.25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G30+'23'!H30</f>
        <v>188048</v>
      </c>
      <c r="I30" s="140"/>
      <c r="J30" s="175">
        <f>H30/DAY(B2)</f>
        <v>7835.333333333333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G31+'23'!H31</f>
        <v>215200</v>
      </c>
      <c r="I31" s="140"/>
      <c r="J31" s="175">
        <f>H31/DAY(B2)</f>
        <v>8966.6666666666661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226205.69000000425</v>
      </c>
      <c r="H32" s="99">
        <f>G32+'23'!H32</f>
        <v>5549760</v>
      </c>
      <c r="I32" s="144"/>
      <c r="J32" s="175">
        <f>H32/DAY(B2)</f>
        <v>231240</v>
      </c>
      <c r="K32" s="63"/>
      <c r="L32" s="89"/>
      <c r="N32" s="87"/>
      <c r="O32" s="71"/>
    </row>
    <row r="33" spans="1:15" ht="25.5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'23'!F35</f>
        <v>22026.29</v>
      </c>
      <c r="F35" s="145">
        <v>23208</v>
      </c>
      <c r="G35" s="112">
        <f t="shared" ref="G35:G46" si="3">F35-E35</f>
        <v>1181.7099999999991</v>
      </c>
      <c r="H35" s="99">
        <f>G35+'23'!H35</f>
        <v>38408</v>
      </c>
      <c r="I35" s="95"/>
      <c r="J35" s="175">
        <f>H35/DAY(B2)</f>
        <v>1600.3333333333333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'23'!F36</f>
        <v>37983.300000000003</v>
      </c>
      <c r="F36" s="145">
        <v>38640</v>
      </c>
      <c r="G36" s="112">
        <f t="shared" si="3"/>
        <v>656.69999999999709</v>
      </c>
      <c r="H36" s="99">
        <f>G36+'23'!H36</f>
        <v>17113</v>
      </c>
      <c r="I36" s="95"/>
      <c r="J36" s="175">
        <f>H36/DAY(B2)</f>
        <v>713.04166666666663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'23'!F37</f>
        <v>22742.49</v>
      </c>
      <c r="F37" s="145">
        <v>24388</v>
      </c>
      <c r="G37" s="112">
        <f t="shared" si="3"/>
        <v>1645.5099999999984</v>
      </c>
      <c r="H37" s="99">
        <f>G37+'23'!H37</f>
        <v>36600</v>
      </c>
      <c r="I37" s="95"/>
      <c r="J37" s="175">
        <f>H37/DAY(B2)</f>
        <v>1525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'23'!F38</f>
        <v>24491.61</v>
      </c>
      <c r="F38" s="108">
        <v>26318</v>
      </c>
      <c r="G38" s="112">
        <f t="shared" si="3"/>
        <v>1826.3899999999994</v>
      </c>
      <c r="H38" s="99">
        <f>G38+'23'!H38</f>
        <v>39518.000000000007</v>
      </c>
      <c r="I38" s="95"/>
      <c r="J38" s="175">
        <f>H38/DAY(B2)</f>
        <v>1646.5833333333337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'23'!F39</f>
        <v>38330.800000000003</v>
      </c>
      <c r="F39" s="145">
        <v>40938</v>
      </c>
      <c r="G39" s="112">
        <f t="shared" si="3"/>
        <v>2607.1999999999971</v>
      </c>
      <c r="H39" s="99">
        <f>G39+'23'!H39</f>
        <v>62620</v>
      </c>
      <c r="I39" s="95"/>
      <c r="J39" s="175">
        <f>H39/DAY(B2)</f>
        <v>2609.1666666666665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'23'!F40</f>
        <v>15533.76</v>
      </c>
      <c r="F40" s="145">
        <v>16184</v>
      </c>
      <c r="G40" s="112">
        <f t="shared" si="3"/>
        <v>650.23999999999978</v>
      </c>
      <c r="H40" s="99">
        <f>G40+'23'!H40</f>
        <v>10574</v>
      </c>
      <c r="I40" s="95"/>
      <c r="J40" s="175">
        <f>H40/DAY(B2)</f>
        <v>440.58333333333331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'23'!F42</f>
        <v>73808.600000000006</v>
      </c>
      <c r="F42" s="145">
        <v>73808.600000000006</v>
      </c>
      <c r="G42" s="112">
        <f t="shared" si="3"/>
        <v>0</v>
      </c>
      <c r="H42" s="99">
        <f>G42+'23'!H42</f>
        <v>-0.39999999999417923</v>
      </c>
      <c r="I42" s="95"/>
      <c r="J42" s="175">
        <f>H42/DAY(B2)</f>
        <v>-1.6666666666424135E-2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'23'!F43</f>
        <v>99079.59</v>
      </c>
      <c r="F43" s="145">
        <v>101167</v>
      </c>
      <c r="G43" s="112">
        <f t="shared" si="3"/>
        <v>2087.4100000000035</v>
      </c>
      <c r="H43" s="99">
        <f>G43+'23'!H43</f>
        <v>53906</v>
      </c>
      <c r="I43" s="95"/>
      <c r="J43" s="175">
        <f>H43/DAY(B2)</f>
        <v>2246.0833333333335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10655.159999999994</v>
      </c>
      <c r="H47" s="99">
        <f>G47+'23'!H47</f>
        <v>258738.60000000006</v>
      </c>
      <c r="I47" s="95"/>
      <c r="J47" s="175">
        <f>H47/DAY(B2)</f>
        <v>10780.775000000003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'23'!F49</f>
        <v>18159.7</v>
      </c>
      <c r="F49" s="145">
        <v>19015</v>
      </c>
      <c r="G49" s="112">
        <f t="shared" ref="G49:G58" si="4">F49-E49</f>
        <v>855.29999999999927</v>
      </c>
      <c r="H49" s="99">
        <f>G49+'23'!H49</f>
        <v>32135.999999999996</v>
      </c>
      <c r="I49" s="95"/>
      <c r="J49" s="175">
        <f>H49/DAY(B2)</f>
        <v>1338.9999999999998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'23'!F50</f>
        <v>48234.36</v>
      </c>
      <c r="F50" s="145">
        <v>49249</v>
      </c>
      <c r="G50" s="112">
        <f t="shared" si="4"/>
        <v>1014.6399999999994</v>
      </c>
      <c r="H50" s="99">
        <f>G50+'23'!H50</f>
        <v>24599</v>
      </c>
      <c r="I50" s="95"/>
      <c r="J50" s="175">
        <f>H50/DAY(B2)</f>
        <v>1024.9583333333333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'23'!F54</f>
        <v>5147.42</v>
      </c>
      <c r="F54" s="145">
        <v>5147</v>
      </c>
      <c r="G54" s="112">
        <f t="shared" si="4"/>
        <v>-0.42000000000007276</v>
      </c>
      <c r="H54" s="99">
        <f>G54+'23'!H54</f>
        <v>6914.08</v>
      </c>
      <c r="I54" s="95"/>
      <c r="J54" s="175">
        <f>H54/DAY(B2)</f>
        <v>288.08666666666664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'23'!F55</f>
        <v>71881.67</v>
      </c>
      <c r="F55" s="145">
        <v>74366</v>
      </c>
      <c r="G55" s="112">
        <f t="shared" si="4"/>
        <v>2484.3300000000017</v>
      </c>
      <c r="H55" s="99">
        <f>G55+'23'!H55</f>
        <v>70855</v>
      </c>
      <c r="I55" s="95"/>
      <c r="J55" s="175">
        <f>H55/DAY(B2)</f>
        <v>2952.2916666666665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'23'!F58</f>
        <v>3270.59</v>
      </c>
      <c r="F58" s="145">
        <v>3485</v>
      </c>
      <c r="G58" s="112">
        <f t="shared" si="4"/>
        <v>214.40999999999985</v>
      </c>
      <c r="H58" s="99">
        <f>G58+'23'!H58</f>
        <v>3825.6300000000047</v>
      </c>
      <c r="I58" s="95"/>
      <c r="J58" s="175">
        <f>H58/DAY(B2)</f>
        <v>159.4012500000002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4568.26</v>
      </c>
      <c r="H59" s="99">
        <f>G59+'23'!H59</f>
        <v>138329.71000000005</v>
      </c>
      <c r="I59" s="95">
        <f>G7-G60</f>
        <v>1139.7499999999891</v>
      </c>
      <c r="J59" s="175">
        <f>H59/DAY(B2)</f>
        <v>5763.7379166666688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15223.419999999995</v>
      </c>
      <c r="H60" s="99">
        <f>G60+'23'!H60</f>
        <v>397068.30999999994</v>
      </c>
      <c r="I60" s="95">
        <f>G13-G60</f>
        <v>660.5099999999984</v>
      </c>
      <c r="J60" s="175">
        <f>H60/DAY(B2)</f>
        <v>16544.512916666663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'23'!F62</f>
        <v>268688</v>
      </c>
      <c r="F62" s="122">
        <v>268812</v>
      </c>
      <c r="G62" s="112">
        <f t="shared" ref="G62:G63" si="5">F62-E62</f>
        <v>124</v>
      </c>
      <c r="H62" s="99">
        <f>G62+'23'!H62</f>
        <v>1599</v>
      </c>
      <c r="I62" s="118"/>
      <c r="J62" s="175">
        <f>H62/DAY(B2)</f>
        <v>66.625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'23'!F63</f>
        <v>214770</v>
      </c>
      <c r="F63" s="122">
        <v>214838</v>
      </c>
      <c r="G63" s="112">
        <f t="shared" si="5"/>
        <v>68</v>
      </c>
      <c r="H63" s="99">
        <f>G63+'23'!H63</f>
        <v>2413</v>
      </c>
      <c r="I63" s="118"/>
      <c r="J63" s="175">
        <f>H63/DAY(B2)</f>
        <v>100.54166666666667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'23'!F64</f>
        <v>0</v>
      </c>
      <c r="F64" s="122"/>
      <c r="G64" s="112">
        <f>G62+G63</f>
        <v>192</v>
      </c>
      <c r="H64" s="99">
        <f>G64+'23'!H64</f>
        <v>4012</v>
      </c>
      <c r="I64" s="118"/>
      <c r="J64" s="175">
        <f>H64/DAY(B2)</f>
        <v>167.16666666666666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'23'!F65</f>
        <v>434226</v>
      </c>
      <c r="F65" s="122">
        <v>434329</v>
      </c>
      <c r="G65" s="112">
        <f t="shared" ref="G65:G70" si="6">F65-E65</f>
        <v>103</v>
      </c>
      <c r="H65" s="99">
        <f>G65+'23'!H65</f>
        <v>1715</v>
      </c>
      <c r="I65" s="118"/>
      <c r="J65" s="175">
        <f>H65/DAY(B2)</f>
        <v>71.458333333333329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'23'!F66</f>
        <v>107593</v>
      </c>
      <c r="F66" s="122">
        <v>107607</v>
      </c>
      <c r="G66" s="112">
        <f t="shared" si="6"/>
        <v>14</v>
      </c>
      <c r="H66" s="99">
        <f>G66+'23'!H66</f>
        <v>393</v>
      </c>
      <c r="I66" s="118"/>
      <c r="J66" s="175">
        <f>H66/DAY(B2)</f>
        <v>16.375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'23'!F67</f>
        <v>104455</v>
      </c>
      <c r="F67" s="122">
        <v>104480</v>
      </c>
      <c r="G67" s="112">
        <f t="shared" si="6"/>
        <v>25</v>
      </c>
      <c r="H67" s="99">
        <f>G67+'23'!H67</f>
        <v>552</v>
      </c>
      <c r="I67" s="118"/>
      <c r="J67" s="175">
        <f>H67/DAY(B2)</f>
        <v>23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'23'!F68</f>
        <v>157314</v>
      </c>
      <c r="F68" s="122">
        <v>157347</v>
      </c>
      <c r="G68" s="112">
        <f t="shared" si="6"/>
        <v>33</v>
      </c>
      <c r="H68" s="99">
        <f>G68+'23'!H68</f>
        <v>727</v>
      </c>
      <c r="I68" s="118"/>
      <c r="J68" s="175">
        <f>H68/DAY(B2)</f>
        <v>30.291666666666668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'23'!F69</f>
        <v>10458</v>
      </c>
      <c r="F69" s="122">
        <v>10489</v>
      </c>
      <c r="G69" s="112">
        <f t="shared" si="6"/>
        <v>31</v>
      </c>
      <c r="H69" s="99">
        <f>G69+'23'!H69</f>
        <v>275</v>
      </c>
      <c r="I69" s="118"/>
      <c r="J69" s="175">
        <f>H69/DAY(B2)</f>
        <v>11.458333333333334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'23'!F70</f>
        <v>8022</v>
      </c>
      <c r="F70" s="122">
        <v>8030</v>
      </c>
      <c r="G70" s="112">
        <f t="shared" si="6"/>
        <v>8</v>
      </c>
      <c r="H70" s="99">
        <f>G70+'23'!H70</f>
        <v>168</v>
      </c>
      <c r="I70" s="118"/>
      <c r="J70" s="175">
        <f>H70/DAY(B2)</f>
        <v>7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214</v>
      </c>
      <c r="H71" s="99">
        <f>G71+'23'!H71</f>
        <v>3830</v>
      </c>
      <c r="I71" s="154"/>
      <c r="J71" s="175">
        <f>H71/DAY(B2)</f>
        <v>159.58333333333334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'23'!F74</f>
        <v>898862.81</v>
      </c>
      <c r="F74" s="117">
        <v>899174</v>
      </c>
      <c r="G74" s="112">
        <f t="shared" ref="G74:G78" si="7">F74-E74</f>
        <v>311.18999999994412</v>
      </c>
      <c r="H74" s="99">
        <f>G74+'23'!H74</f>
        <v>7142</v>
      </c>
      <c r="I74" s="154"/>
      <c r="J74" s="175">
        <f>H74/DAY(B2)</f>
        <v>297.58333333333331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'23'!F76</f>
        <v>169204</v>
      </c>
      <c r="F76" s="123">
        <v>169318</v>
      </c>
      <c r="G76" s="112">
        <f t="shared" si="7"/>
        <v>114</v>
      </c>
      <c r="H76" s="99">
        <f>G76+'23'!H76</f>
        <v>2111</v>
      </c>
      <c r="I76" s="154"/>
      <c r="J76" s="175">
        <f>H76/DAY(B2)</f>
        <v>87.958333333333329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'23'!F77</f>
        <v>41023</v>
      </c>
      <c r="F77" s="123">
        <v>41057</v>
      </c>
      <c r="G77" s="112">
        <f t="shared" si="7"/>
        <v>34</v>
      </c>
      <c r="H77" s="99">
        <f>G77+'23'!H77</f>
        <v>741</v>
      </c>
      <c r="I77" s="154"/>
      <c r="J77" s="175">
        <f>H77/DAY(B2)</f>
        <v>30.875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'23'!F78</f>
        <v>9507</v>
      </c>
      <c r="F78" s="123">
        <v>9508</v>
      </c>
      <c r="G78" s="112">
        <f t="shared" si="7"/>
        <v>1</v>
      </c>
      <c r="H78" s="99">
        <f>G78+'23'!H78</f>
        <v>22</v>
      </c>
      <c r="I78" s="118"/>
      <c r="J78" s="175">
        <f>H78/DAY(B2)</f>
        <v>0.91666666666666663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'23'!F79</f>
        <v>0</v>
      </c>
      <c r="F79" s="117"/>
      <c r="G79" s="112">
        <f>G15-SUM(G74:G78)</f>
        <v>576.89000000013039</v>
      </c>
      <c r="H79" s="99">
        <f>G79+'23'!H79</f>
        <v>11668</v>
      </c>
      <c r="I79" s="118"/>
      <c r="J79" s="175">
        <f>H79/DAY(B2)</f>
        <v>486.16666666666669</v>
      </c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1037.0800000000745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'23'!F85</f>
        <v>2096.56</v>
      </c>
      <c r="F85" s="164">
        <v>2096.56</v>
      </c>
      <c r="G85" s="112">
        <f t="shared" si="8"/>
        <v>0</v>
      </c>
      <c r="H85" s="99">
        <f>G85+'23'!H85</f>
        <v>0</v>
      </c>
      <c r="I85" s="118">
        <f>G82+G83+G84+G85</f>
        <v>-0.40000000000145519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'23'!F86</f>
        <v>43418.11</v>
      </c>
      <c r="F86" s="164">
        <v>43442</v>
      </c>
      <c r="G86" s="112">
        <f t="shared" si="8"/>
        <v>23.889999999999418</v>
      </c>
      <c r="H86" s="99">
        <f>G86+'23'!H86</f>
        <v>579</v>
      </c>
      <c r="I86" s="118"/>
      <c r="J86" s="175">
        <f>H86/DAY(B2)</f>
        <v>24.125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'23'!F88</f>
        <v>24063.38</v>
      </c>
      <c r="F88" s="164">
        <v>24063</v>
      </c>
      <c r="G88" s="112">
        <f t="shared" si="8"/>
        <v>-0.38000000000101863</v>
      </c>
      <c r="H88" s="99">
        <f>G88+'23'!H88</f>
        <v>16</v>
      </c>
      <c r="I88" s="118">
        <f>G86+G87+G88</f>
        <v>23.509999999998399</v>
      </c>
      <c r="J88" s="175">
        <f>H88/DAY(B2)</f>
        <v>0.66666666666666663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'23'!F89</f>
        <v>25818.61</v>
      </c>
      <c r="F89" s="164">
        <v>25829</v>
      </c>
      <c r="G89" s="112">
        <f t="shared" si="8"/>
        <v>10.389999999999418</v>
      </c>
      <c r="H89" s="99">
        <f>G89+'23'!H89</f>
        <v>166</v>
      </c>
      <c r="I89" s="118"/>
      <c r="J89" s="175">
        <f>H89/DAY(B2)</f>
        <v>6.916666666666667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'23'!F90</f>
        <v>71143.37</v>
      </c>
      <c r="F90" s="164">
        <v>71146</v>
      </c>
      <c r="G90" s="112">
        <f t="shared" si="8"/>
        <v>2.6300000000046566</v>
      </c>
      <c r="H90" s="99">
        <f>G90+'23'!H90</f>
        <v>112</v>
      </c>
      <c r="I90" s="118">
        <f>G89+G90</f>
        <v>13.020000000004075</v>
      </c>
      <c r="J90" s="175">
        <f>H90/DAY(B2)</f>
        <v>4.666666666666667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0</v>
      </c>
      <c r="I91" s="16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'23'!F92</f>
        <v>5677.67</v>
      </c>
      <c r="F92" s="122">
        <v>5689</v>
      </c>
      <c r="G92" s="112">
        <f t="shared" si="8"/>
        <v>11.329999999999927</v>
      </c>
      <c r="H92" s="99">
        <f>G92+'23'!H92</f>
        <v>251</v>
      </c>
      <c r="I92" s="165"/>
      <c r="J92" s="175">
        <f>H92/DAY(B2)</f>
        <v>10.458333333333334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4124.4200000000019</v>
      </c>
      <c r="H94" s="99">
        <f>G94+'23'!H94</f>
        <v>124449.99999999999</v>
      </c>
      <c r="I94" s="118"/>
      <c r="J94" s="175">
        <f>H94/DAY(B2)</f>
        <v>5185.4166666666661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0.25205507245845432</v>
      </c>
      <c r="H95" s="99">
        <f>G95+'23'!H95</f>
        <v>6.8292402855146461</v>
      </c>
      <c r="I95" s="167"/>
      <c r="J95" s="175">
        <f>H95/DAY(B2)</f>
        <v>0.28455167856311026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2484.3300000000017</v>
      </c>
      <c r="H96" s="99">
        <f>G96+'23'!H96</f>
        <v>70854.600000000006</v>
      </c>
      <c r="I96" s="118"/>
      <c r="J96" s="175">
        <f>H96/DAY(B2)</f>
        <v>2952.2750000000001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0.15182449366473638</v>
      </c>
      <c r="H97" s="99">
        <f>G97+'23'!H97</f>
        <v>3.9025256728596682</v>
      </c>
      <c r="I97" s="167"/>
      <c r="J97" s="175">
        <f>H97/DAY(B2)</f>
        <v>0.16260523636915283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2607.1999999999971</v>
      </c>
      <c r="H98" s="99">
        <f>G98+'23'!H98</f>
        <v>62620</v>
      </c>
      <c r="I98" s="168"/>
      <c r="J98" s="175">
        <f>H98/DAY(B2)</f>
        <v>2609.1666666666665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0.15933342989164079</v>
      </c>
      <c r="H99" s="99">
        <f>G99+'23'!H99</f>
        <v>3.4522184643519154</v>
      </c>
      <c r="I99" s="168"/>
      <c r="J99" s="175">
        <f>H99/DAY(B2)</f>
        <v>0.14384243601466315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1826.3899999999994</v>
      </c>
      <c r="H100" s="99">
        <f>G100+'23'!H100</f>
        <v>39518.000000000007</v>
      </c>
      <c r="I100" s="118"/>
      <c r="J100" s="175">
        <f>H100/DAY(B2)</f>
        <v>1646.5833333333337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0.11161590327546565</v>
      </c>
      <c r="H101" s="99">
        <f>G101+'23'!H101</f>
        <v>2.1799799031435541</v>
      </c>
      <c r="I101" s="168"/>
      <c r="J101" s="175">
        <f>H101/DAY(B2)</f>
        <v>9.0832495964314752E-2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1671.3399999999965</v>
      </c>
      <c r="H102" s="99">
        <f>G102+'23'!H102</f>
        <v>41712</v>
      </c>
      <c r="I102" s="168"/>
      <c r="J102" s="175">
        <f>H102/DAY(B2)</f>
        <v>1738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0.1021403554445745</v>
      </c>
      <c r="H103" s="99">
        <f>G103+'23'!H103</f>
        <v>2.2867944753564804</v>
      </c>
      <c r="I103" s="118"/>
      <c r="J103" s="175">
        <f>H103/DAY(B2)</f>
        <v>9.5283103139853345E-2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1645.5099999999984</v>
      </c>
      <c r="H104" s="99">
        <f>G104+'23'!H104</f>
        <v>36600</v>
      </c>
      <c r="I104" s="118"/>
      <c r="J104" s="175">
        <f>H104/DAY(B2)</f>
        <v>1525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0.10056181045604244</v>
      </c>
      <c r="H105" s="99">
        <f>G105+'23'!H105</f>
        <v>2.020930587404945</v>
      </c>
      <c r="I105" s="187"/>
      <c r="J105" s="188">
        <f>H105/DAY(B2)</f>
        <v>8.4205441141872714E-2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'23'!F112</f>
        <v>57434.45</v>
      </c>
      <c r="F112" s="237">
        <v>57510</v>
      </c>
      <c r="G112" s="112">
        <f t="shared" ref="G112:G123" si="9">F112-E112</f>
        <v>75.55000000000291</v>
      </c>
      <c r="H112" s="99">
        <f>G112+'23'!H112</f>
        <v>1829</v>
      </c>
      <c r="I112" s="165"/>
      <c r="J112" s="328">
        <f>H112/DAY(B2)</f>
        <v>76.208333333333329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'23'!F113</f>
        <v>42682.3</v>
      </c>
      <c r="F113" s="237">
        <v>43154</v>
      </c>
      <c r="G113" s="112">
        <f t="shared" si="9"/>
        <v>471.69999999999709</v>
      </c>
      <c r="H113" s="99">
        <f>G113+'23'!H113</f>
        <v>10959</v>
      </c>
      <c r="I113" s="165"/>
      <c r="J113" s="328">
        <f>H113/DAY(B2)</f>
        <v>456.625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'23'!F114</f>
        <v>31084.35</v>
      </c>
      <c r="F114" s="237">
        <v>31346</v>
      </c>
      <c r="G114" s="112">
        <f t="shared" si="9"/>
        <v>261.65000000000146</v>
      </c>
      <c r="H114" s="99">
        <f>G114+'23'!H114</f>
        <v>6341.4</v>
      </c>
      <c r="I114" s="165"/>
      <c r="J114" s="328">
        <f>H114/DAY(B2)</f>
        <v>264.22499999999997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'23'!F115</f>
        <v>9020.7800000000007</v>
      </c>
      <c r="F115" s="237">
        <v>9029</v>
      </c>
      <c r="G115" s="112">
        <f t="shared" si="9"/>
        <v>8.2199999999993452</v>
      </c>
      <c r="H115" s="99">
        <f>G115+'23'!H115</f>
        <v>244</v>
      </c>
      <c r="I115" s="165"/>
      <c r="J115" s="328">
        <f>H115/DAY(B2)</f>
        <v>10.166666666666666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28">
        <f>H116/DAY(B2)</f>
        <v>0</v>
      </c>
      <c r="Q116" s="843"/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'23'!F117</f>
        <v>3138.48</v>
      </c>
      <c r="F117" s="237">
        <v>3161</v>
      </c>
      <c r="G117" s="112">
        <f t="shared" si="9"/>
        <v>22.519999999999982</v>
      </c>
      <c r="H117" s="99">
        <f>G117+'23'!H117</f>
        <v>571</v>
      </c>
      <c r="I117" s="165"/>
      <c r="J117" s="328">
        <f>H117/DAY(B2)</f>
        <v>23.791666666666668</v>
      </c>
      <c r="Q117" s="843"/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'23'!F118</f>
        <v>249730.91</v>
      </c>
      <c r="F118" s="237">
        <v>250107</v>
      </c>
      <c r="G118" s="112">
        <f t="shared" si="9"/>
        <v>376.08999999999651</v>
      </c>
      <c r="H118" s="99">
        <f>G118+'23'!H118</f>
        <v>8460</v>
      </c>
      <c r="I118" s="165"/>
      <c r="J118" s="328">
        <f>H118/DAY(B2)</f>
        <v>352.5</v>
      </c>
      <c r="Q118" s="843"/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'23'!F119</f>
        <v>254824.83</v>
      </c>
      <c r="F119" s="237">
        <v>255232</v>
      </c>
      <c r="G119" s="112">
        <f t="shared" si="9"/>
        <v>407.17000000001281</v>
      </c>
      <c r="H119" s="99">
        <f>G119+'23'!H119</f>
        <v>10106</v>
      </c>
      <c r="I119" s="165"/>
      <c r="J119" s="328">
        <f>H119/DAY(B2)</f>
        <v>421.08333333333331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'23'!F120</f>
        <v>39631.870000000003</v>
      </c>
      <c r="F120" s="237">
        <v>40045.769999999997</v>
      </c>
      <c r="G120" s="112">
        <f t="shared" si="9"/>
        <v>413.89999999999418</v>
      </c>
      <c r="H120" s="99">
        <f>G120+'23'!H120</f>
        <v>9967.7699999999968</v>
      </c>
      <c r="I120" s="165"/>
      <c r="J120" s="328">
        <f>H120/DAY(B2)</f>
        <v>415.32374999999985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'23'!F121</f>
        <v>392394.07</v>
      </c>
      <c r="F121" s="237">
        <v>393054</v>
      </c>
      <c r="G121" s="112">
        <f t="shared" si="9"/>
        <v>659.92999999999302</v>
      </c>
      <c r="H121" s="99">
        <f>G121+'23'!H121</f>
        <v>16525</v>
      </c>
      <c r="I121" s="165"/>
      <c r="J121" s="328">
        <f>H121/DAY(B2)</f>
        <v>688.54166666666663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'23'!F122</f>
        <v>124665.59</v>
      </c>
      <c r="F122" s="237">
        <v>124853</v>
      </c>
      <c r="G122" s="112">
        <f t="shared" si="9"/>
        <v>187.41000000000349</v>
      </c>
      <c r="H122" s="99">
        <f>G122+'23'!H122</f>
        <v>4803</v>
      </c>
      <c r="I122" s="165"/>
      <c r="J122" s="328">
        <f>H122/DAY(B2)</f>
        <v>200.125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'23'!F123</f>
        <v>151865.10999999999</v>
      </c>
      <c r="F123" s="237">
        <v>152131</v>
      </c>
      <c r="G123" s="112">
        <f t="shared" si="9"/>
        <v>265.89000000001397</v>
      </c>
      <c r="H123" s="99">
        <f>G123+'23'!H123</f>
        <v>7006</v>
      </c>
      <c r="I123" s="165"/>
      <c r="J123" s="328">
        <f>H123/DAY(B2)</f>
        <v>291.91666666666669</v>
      </c>
    </row>
    <row r="124" spans="1:18" ht="29.25" customHeight="1">
      <c r="A124" s="847"/>
      <c r="B124" s="848"/>
      <c r="C124" s="849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3150.0300000000148</v>
      </c>
      <c r="H125" s="156"/>
      <c r="I125" s="327">
        <f>G125-(G39+G53)</f>
        <v>542.83000000001766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'23'!F128</f>
        <v>45277.1</v>
      </c>
      <c r="F128" s="165">
        <v>45611</v>
      </c>
      <c r="G128" s="112">
        <f t="shared" ref="G128:G134" si="10">F128-E128</f>
        <v>333.90000000000146</v>
      </c>
      <c r="H128" s="99">
        <f>G128+'23'!H128</f>
        <v>7607</v>
      </c>
      <c r="I128" s="165"/>
      <c r="J128" s="328">
        <f>H128/DAY(B2)</f>
        <v>316.95833333333331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'23'!F129</f>
        <v>25350.19</v>
      </c>
      <c r="F129" s="165">
        <v>25528</v>
      </c>
      <c r="G129" s="112">
        <f t="shared" si="10"/>
        <v>177.81000000000131</v>
      </c>
      <c r="H129" s="99">
        <f>G129+'23'!H129</f>
        <v>5207</v>
      </c>
      <c r="I129" s="165"/>
      <c r="J129" s="328">
        <f>H129/DAY(B2)</f>
        <v>216.95833333333334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'23'!F130</f>
        <v>31919.45</v>
      </c>
      <c r="F130" s="165">
        <v>32314</v>
      </c>
      <c r="G130" s="112">
        <f t="shared" si="10"/>
        <v>394.54999999999927</v>
      </c>
      <c r="H130" s="99">
        <f>G130+'23'!H130</f>
        <v>13932</v>
      </c>
      <c r="I130" s="165"/>
      <c r="J130" s="328">
        <f>H130/DAY(B2)</f>
        <v>580.5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'23'!F131</f>
        <v>14834.07</v>
      </c>
      <c r="F131" s="165">
        <v>14903</v>
      </c>
      <c r="G131" s="112">
        <f t="shared" si="10"/>
        <v>68.930000000000291</v>
      </c>
      <c r="H131" s="99">
        <f>G131+'23'!H131</f>
        <v>1750</v>
      </c>
      <c r="I131" s="165"/>
      <c r="J131" s="328">
        <f>H131/DAY(B2)</f>
        <v>72.916666666666671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'23'!F132</f>
        <v>50518.21</v>
      </c>
      <c r="F132" s="165">
        <v>50682</v>
      </c>
      <c r="G132" s="112">
        <f t="shared" si="10"/>
        <v>163.79000000000087</v>
      </c>
      <c r="H132" s="99">
        <f>G132+'23'!H132</f>
        <v>9659</v>
      </c>
      <c r="I132" s="165"/>
      <c r="J132" s="328">
        <f>H132/DAY(B2)</f>
        <v>402.45833333333331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'23'!F133</f>
        <v>101877.43</v>
      </c>
      <c r="F133" s="165">
        <v>102315</v>
      </c>
      <c r="G133" s="112">
        <f t="shared" si="10"/>
        <v>437.57000000000698</v>
      </c>
      <c r="H133" s="99">
        <f>G133+'23'!H133</f>
        <v>14612</v>
      </c>
      <c r="I133" s="165"/>
      <c r="J133" s="328">
        <f>H133/DAY(B2)</f>
        <v>608.83333333333337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'23'!F134</f>
        <v>7394.85</v>
      </c>
      <c r="F134" s="502">
        <v>7550</v>
      </c>
      <c r="G134" s="112">
        <f t="shared" si="10"/>
        <v>155.14999999999964</v>
      </c>
      <c r="H134" s="99">
        <f>G134+'23'!H134</f>
        <v>9843.9999999999982</v>
      </c>
      <c r="I134" s="165"/>
      <c r="J134" s="328">
        <f>H134/DAY(B2)</f>
        <v>410.16666666666657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1731.7000000000098</v>
      </c>
      <c r="H135" s="99">
        <f>G135+'23'!H135</f>
        <v>35091.869999999995</v>
      </c>
      <c r="I135" s="327">
        <f>G135-(G35+G49)</f>
        <v>-305.30999999998858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'23'!F138</f>
        <v>865689</v>
      </c>
      <c r="F138" s="147">
        <v>865753</v>
      </c>
      <c r="G138" s="112">
        <f t="shared" ref="G138:G152" si="11">F138-E138</f>
        <v>64</v>
      </c>
      <c r="H138" s="99">
        <f>G138+'23'!H138</f>
        <v>1582</v>
      </c>
      <c r="I138" s="118"/>
      <c r="J138" s="328">
        <f>H138/DAY(B2)</f>
        <v>65.916666666666671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'23'!F139</f>
        <v>886568</v>
      </c>
      <c r="F139" s="148">
        <v>886568</v>
      </c>
      <c r="G139" s="112">
        <f t="shared" si="11"/>
        <v>0</v>
      </c>
      <c r="H139" s="99">
        <f>G139+'23'!H139</f>
        <v>22</v>
      </c>
      <c r="I139" s="118"/>
      <c r="J139" s="328">
        <f>H139/DAY(B2)</f>
        <v>0.91666666666666663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'23'!F140</f>
        <v>88922.03</v>
      </c>
      <c r="F140" s="149">
        <v>88922</v>
      </c>
      <c r="G140" s="112">
        <f t="shared" si="11"/>
        <v>-2.9999999998835847E-2</v>
      </c>
      <c r="H140" s="99">
        <f>G140+'23'!H140</f>
        <v>40</v>
      </c>
      <c r="I140" s="118"/>
      <c r="J140" s="328">
        <f>H140/DAY(B2)</f>
        <v>1.6666666666666667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'23'!F141</f>
        <v>53301.33</v>
      </c>
      <c r="F141" s="149">
        <v>53475</v>
      </c>
      <c r="G141" s="112">
        <f t="shared" si="11"/>
        <v>173.66999999999825</v>
      </c>
      <c r="H141" s="99">
        <f>G141+'23'!H141</f>
        <v>4169</v>
      </c>
      <c r="I141" s="118"/>
      <c r="J141" s="328">
        <f>H141/DAY(B2)</f>
        <v>173.70833333333334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'23'!F142</f>
        <v>20660.27</v>
      </c>
      <c r="F142" s="148">
        <v>20742</v>
      </c>
      <c r="G142" s="112">
        <f t="shared" si="11"/>
        <v>81.729999999999563</v>
      </c>
      <c r="H142" s="99">
        <f>G142+'23'!H142</f>
        <v>1733</v>
      </c>
      <c r="I142" s="140"/>
      <c r="J142" s="328">
        <f>H142/DAY(B2)</f>
        <v>72.208333333333329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'23'!F143</f>
        <v>3620.62</v>
      </c>
      <c r="F143" s="149">
        <v>3655</v>
      </c>
      <c r="G143" s="112">
        <f t="shared" si="11"/>
        <v>34.380000000000109</v>
      </c>
      <c r="H143" s="99">
        <f>G143+'23'!H143</f>
        <v>594</v>
      </c>
      <c r="I143" s="140"/>
      <c r="J143" s="328">
        <f>H143/DAY(B2)</f>
        <v>24.75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'23'!F144</f>
        <v>874866</v>
      </c>
      <c r="F144" s="149">
        <v>875079</v>
      </c>
      <c r="G144" s="112">
        <f t="shared" si="11"/>
        <v>213</v>
      </c>
      <c r="H144" s="99">
        <f>G144+'23'!H144</f>
        <v>5409</v>
      </c>
      <c r="I144" s="140"/>
      <c r="J144" s="328">
        <f>H144/DAY(B2)</f>
        <v>225.375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'23'!F145</f>
        <v>4902.26</v>
      </c>
      <c r="F145" s="149">
        <v>4909</v>
      </c>
      <c r="G145" s="112">
        <f t="shared" si="11"/>
        <v>6.7399999999997817</v>
      </c>
      <c r="H145" s="99">
        <f>G145+'23'!H145</f>
        <v>351</v>
      </c>
      <c r="I145" s="140"/>
      <c r="J145" s="328">
        <f>H145/DAY(B2)</f>
        <v>14.625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'23'!F146</f>
        <v>734107</v>
      </c>
      <c r="F146" s="148">
        <v>734505</v>
      </c>
      <c r="G146" s="112">
        <f t="shared" si="11"/>
        <v>398</v>
      </c>
      <c r="H146" s="99">
        <f>G146+'23'!H146</f>
        <v>9647</v>
      </c>
      <c r="I146" s="140"/>
      <c r="J146" s="328">
        <f>H146/DAY(B2)</f>
        <v>401.95833333333331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'23'!F147</f>
        <v>623801.96</v>
      </c>
      <c r="F147" s="148">
        <v>624120</v>
      </c>
      <c r="G147" s="112">
        <f t="shared" si="11"/>
        <v>318.04000000003725</v>
      </c>
      <c r="H147" s="99">
        <f>G147+'23'!H147</f>
        <v>8838</v>
      </c>
      <c r="I147" s="140"/>
      <c r="J147" s="328">
        <f>H147/DAY(B2)</f>
        <v>368.25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'23'!F148</f>
        <v>687966.96</v>
      </c>
      <c r="F148" s="150">
        <v>688121</v>
      </c>
      <c r="G148" s="112">
        <f t="shared" si="11"/>
        <v>154.04000000003725</v>
      </c>
      <c r="H148" s="99">
        <f>G148+'23'!H148</f>
        <v>5087.8800000000047</v>
      </c>
      <c r="I148" s="124"/>
      <c r="J148" s="328">
        <f>H148/DAY(B2)</f>
        <v>211.9950000000002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'23'!F149</f>
        <v>20624.12</v>
      </c>
      <c r="F149" s="146">
        <v>21180</v>
      </c>
      <c r="G149" s="112">
        <f t="shared" si="11"/>
        <v>555.88000000000102</v>
      </c>
      <c r="H149" s="99">
        <f>G149+'23'!H149</f>
        <v>10431</v>
      </c>
      <c r="I149" s="119"/>
      <c r="J149" s="328">
        <f>H149/DAY(B2)</f>
        <v>434.625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'23'!F150</f>
        <v>9087.73</v>
      </c>
      <c r="F150" s="233">
        <v>9307</v>
      </c>
      <c r="G150" s="112">
        <f t="shared" si="11"/>
        <v>219.27000000000044</v>
      </c>
      <c r="H150" s="99">
        <f>G150+'23'!H150</f>
        <v>5255</v>
      </c>
      <c r="I150" s="119"/>
      <c r="J150" s="328">
        <f>H150/DAY(B2)</f>
        <v>218.95833333333334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'23'!F151</f>
        <v>83495</v>
      </c>
      <c r="F151" s="233">
        <v>83702</v>
      </c>
      <c r="G151" s="112">
        <f t="shared" si="11"/>
        <v>207</v>
      </c>
      <c r="H151" s="99">
        <f>G151+'23'!H151</f>
        <v>5485</v>
      </c>
      <c r="I151" s="119"/>
      <c r="J151" s="328">
        <f>H151/DAY(B2)</f>
        <v>228.54166666666666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'23'!F152</f>
        <v>1515.98</v>
      </c>
      <c r="F152" s="233">
        <v>1531</v>
      </c>
      <c r="G152" s="112">
        <f t="shared" si="11"/>
        <v>15.019999999999982</v>
      </c>
      <c r="H152" s="99">
        <f>G152+'23'!H152</f>
        <v>404</v>
      </c>
      <c r="I152" s="119"/>
      <c r="J152" s="328">
        <f>H152/DAY(B2)</f>
        <v>16.833333333333332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2440.7400000000748</v>
      </c>
      <c r="H153" s="363"/>
      <c r="I153" s="119">
        <f>G153-(G38+G52)</f>
        <v>614.3500000000754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'23'!F155</f>
        <v>27083</v>
      </c>
      <c r="F155" s="505">
        <v>27719</v>
      </c>
      <c r="G155" s="112">
        <f t="shared" ref="G155:G158" si="12">F155-E155</f>
        <v>636</v>
      </c>
      <c r="H155" s="99">
        <f>G155+'23'!H155</f>
        <v>14247</v>
      </c>
      <c r="I155" s="364"/>
      <c r="J155" s="328">
        <f>H155/DAY(B2)</f>
        <v>593.625</v>
      </c>
    </row>
    <row r="156" spans="1:10" ht="27.75">
      <c r="A156" s="823" t="s">
        <v>347</v>
      </c>
      <c r="B156" s="823"/>
      <c r="C156" s="823"/>
      <c r="D156" s="117" t="s">
        <v>130</v>
      </c>
      <c r="E156" s="95">
        <f>'23'!F156</f>
        <v>2279.13</v>
      </c>
      <c r="F156" s="155">
        <v>2333</v>
      </c>
      <c r="G156" s="112">
        <f t="shared" si="12"/>
        <v>53.869999999999891</v>
      </c>
      <c r="H156" s="99">
        <f>G156+'23'!H156</f>
        <v>1245</v>
      </c>
      <c r="I156" s="165"/>
      <c r="J156" s="328">
        <f>H156/DAY(B2)</f>
        <v>51.875</v>
      </c>
    </row>
    <row r="157" spans="1:10" ht="27.75">
      <c r="A157" s="824" t="s">
        <v>364</v>
      </c>
      <c r="B157" s="825"/>
      <c r="C157" s="826"/>
      <c r="D157" s="117" t="s">
        <v>130</v>
      </c>
      <c r="E157" s="95">
        <f>'23'!F157</f>
        <v>3168.06</v>
      </c>
      <c r="F157" s="155">
        <v>3292</v>
      </c>
      <c r="G157" s="112">
        <f t="shared" si="12"/>
        <v>123.94000000000005</v>
      </c>
      <c r="H157" s="99">
        <f>G157+'23'!H157</f>
        <v>571.84000000000015</v>
      </c>
      <c r="I157" s="165"/>
      <c r="J157" s="328"/>
    </row>
    <row r="158" spans="1:10" ht="27.75">
      <c r="A158" s="824" t="s">
        <v>365</v>
      </c>
      <c r="B158" s="825"/>
      <c r="C158" s="826"/>
      <c r="D158" s="117" t="s">
        <v>130</v>
      </c>
      <c r="E158" s="95">
        <f>'23'!F158</f>
        <v>27.11</v>
      </c>
      <c r="F158" s="155">
        <v>43</v>
      </c>
      <c r="G158" s="112">
        <f t="shared" si="12"/>
        <v>15.89</v>
      </c>
      <c r="H158" s="99">
        <f>G158+'23'!H158</f>
        <v>18.66</v>
      </c>
      <c r="I158" s="165"/>
      <c r="J158" s="328"/>
    </row>
    <row r="159" spans="1:10" ht="27.75">
      <c r="A159" s="907"/>
      <c r="B159" s="908"/>
      <c r="C159" s="909"/>
      <c r="D159" s="117"/>
      <c r="E159" s="95"/>
      <c r="F159" s="16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'23'!F161</f>
        <v>471803</v>
      </c>
      <c r="F161" s="235">
        <v>471872.52</v>
      </c>
      <c r="G161" s="238">
        <f t="shared" ref="G161:G165" si="13">F161-E161</f>
        <v>69.520000000018626</v>
      </c>
      <c r="H161" s="99">
        <f>G161+'23'!H161</f>
        <v>719.36000000004424</v>
      </c>
      <c r="I161" s="236"/>
      <c r="J161" s="239">
        <f>H161/DAY(B2)</f>
        <v>29.973333333335177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'23'!F162</f>
        <v>88256.9</v>
      </c>
      <c r="F162" s="235">
        <v>88291</v>
      </c>
      <c r="G162" s="238">
        <f t="shared" si="13"/>
        <v>34.100000000005821</v>
      </c>
      <c r="H162" s="99">
        <f>G162+'23'!H162</f>
        <v>721</v>
      </c>
      <c r="I162" s="236"/>
      <c r="J162" s="239">
        <f>H162/DAY(B2)</f>
        <v>30.041666666666668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'23'!F163</f>
        <v>78871</v>
      </c>
      <c r="F163" s="235">
        <v>78929</v>
      </c>
      <c r="G163" s="238">
        <f t="shared" si="13"/>
        <v>58</v>
      </c>
      <c r="H163" s="99">
        <f>G163+'23'!H163</f>
        <v>1104</v>
      </c>
      <c r="I163" s="236"/>
      <c r="J163" s="239">
        <f>H163/DAY(B2)</f>
        <v>46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'23'!F164</f>
        <v>4293.3999999999996</v>
      </c>
      <c r="F164" s="235">
        <v>4307</v>
      </c>
      <c r="G164" s="238">
        <f t="shared" si="13"/>
        <v>13.600000000000364</v>
      </c>
      <c r="H164" s="99">
        <f>G164+'23'!H164</f>
        <v>65</v>
      </c>
      <c r="I164" s="236"/>
      <c r="J164" s="239">
        <f>H164/DAY(B2)</f>
        <v>2.7083333333333335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'23'!F165</f>
        <v>29792.66</v>
      </c>
      <c r="F165" s="235">
        <v>29801</v>
      </c>
      <c r="G165" s="238">
        <f t="shared" si="13"/>
        <v>8.3400000000001455</v>
      </c>
      <c r="H165" s="99">
        <f>G165+'23'!H165</f>
        <v>155</v>
      </c>
      <c r="I165" s="236"/>
      <c r="J165" s="239">
        <f>H165/DAY(B2)</f>
        <v>6.458333333333333</v>
      </c>
    </row>
    <row r="166" spans="1:10" ht="29.25">
      <c r="A166" s="832"/>
      <c r="B166" s="832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/>
    <row r="170" spans="1:10" ht="21.75" customHeight="1"/>
    <row r="171" spans="1:10" ht="21.75" customHeight="1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1.75" customHeight="1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36" t="s">
        <v>209</v>
      </c>
      <c r="B173" s="837"/>
      <c r="C173" s="333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>
      <c r="A174" s="836" t="s">
        <v>75</v>
      </c>
      <c r="B174" s="837"/>
      <c r="C174" s="333"/>
      <c r="D174" s="228" t="s">
        <v>142</v>
      </c>
      <c r="E174" s="95">
        <f>'23'!F174</f>
        <v>38514</v>
      </c>
      <c r="F174" s="157">
        <v>38528</v>
      </c>
      <c r="G174" s="155">
        <f t="shared" ref="G174:G175" si="14">F174-E174</f>
        <v>14</v>
      </c>
      <c r="H174" s="99">
        <f>G174+'23'!H174</f>
        <v>235</v>
      </c>
      <c r="I174" s="155"/>
      <c r="J174" s="178">
        <f>H174/DAY(B2)</f>
        <v>9.7916666666666661</v>
      </c>
    </row>
    <row r="175" spans="1:10" ht="27" customHeight="1">
      <c r="A175" s="836" t="s">
        <v>76</v>
      </c>
      <c r="B175" s="876"/>
      <c r="C175" s="837"/>
      <c r="D175" s="228" t="s">
        <v>142</v>
      </c>
      <c r="E175" s="95">
        <f>'23'!F175</f>
        <v>21735</v>
      </c>
      <c r="F175" s="155">
        <v>21745</v>
      </c>
      <c r="G175" s="155">
        <f t="shared" si="14"/>
        <v>10</v>
      </c>
      <c r="H175" s="99">
        <f>G175+'23'!H175</f>
        <v>227</v>
      </c>
      <c r="I175" s="155"/>
      <c r="J175" s="178">
        <f>H175/DAY(B2)</f>
        <v>9.4583333333333339</v>
      </c>
    </row>
    <row r="176" spans="1:10" ht="21.75" customHeight="1">
      <c r="A176" s="827" t="s">
        <v>196</v>
      </c>
      <c r="B176" s="828"/>
      <c r="C176" s="485"/>
      <c r="D176" s="228" t="s">
        <v>142</v>
      </c>
      <c r="E176" s="95"/>
      <c r="F176" s="155"/>
      <c r="G176" s="155">
        <f>SUM(G173:G175)</f>
        <v>24</v>
      </c>
      <c r="H176" s="99">
        <f>G176+'23'!H176</f>
        <v>462</v>
      </c>
      <c r="I176" s="155"/>
      <c r="J176" s="178">
        <f>H176/DAY(B2)</f>
        <v>19.25</v>
      </c>
    </row>
    <row r="177" spans="1:10" ht="21.7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'23'!F178</f>
        <v>80894</v>
      </c>
      <c r="F178" s="155">
        <v>80936</v>
      </c>
      <c r="G178" s="155">
        <f>F178-E178</f>
        <v>42</v>
      </c>
      <c r="H178" s="99">
        <f>G178+'23'!H178</f>
        <v>1322</v>
      </c>
      <c r="I178" s="155"/>
      <c r="J178" s="178">
        <f>H178/DAY(B2)</f>
        <v>55.083333333333336</v>
      </c>
    </row>
    <row r="179" spans="1:10" ht="24" customHeight="1">
      <c r="A179" s="836" t="s">
        <v>211</v>
      </c>
      <c r="B179" s="837"/>
      <c r="C179" s="333"/>
      <c r="D179" s="228" t="s">
        <v>142</v>
      </c>
      <c r="E179" s="95">
        <f>'23'!F179</f>
        <v>34422</v>
      </c>
      <c r="F179" s="155">
        <v>34452</v>
      </c>
      <c r="G179" s="155">
        <f t="shared" ref="G179:G180" si="15">F179-E179</f>
        <v>30</v>
      </c>
      <c r="H179" s="99">
        <f>G179+'23'!H179</f>
        <v>537</v>
      </c>
      <c r="I179" s="155"/>
      <c r="J179" s="178">
        <f>H179/DAY(B2)</f>
        <v>22.375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'23'!F180</f>
        <v>5644</v>
      </c>
      <c r="F180" s="155">
        <v>5651</v>
      </c>
      <c r="G180" s="155">
        <f t="shared" si="15"/>
        <v>7</v>
      </c>
      <c r="H180" s="99">
        <f>G180+'23'!H180</f>
        <v>174</v>
      </c>
      <c r="I180" s="155"/>
      <c r="J180" s="178">
        <f>H180/DAY(B2)</f>
        <v>7.25</v>
      </c>
    </row>
    <row r="181" spans="1:10" ht="27.75">
      <c r="A181" s="838" t="s">
        <v>108</v>
      </c>
      <c r="B181" s="839"/>
      <c r="C181" s="485"/>
      <c r="D181" s="228" t="s">
        <v>142</v>
      </c>
      <c r="E181" s="95"/>
      <c r="F181" s="155"/>
      <c r="G181" s="155">
        <f>SUM(G178:G180)</f>
        <v>79</v>
      </c>
      <c r="H181" s="99">
        <f>G181+'23'!H181</f>
        <v>2033</v>
      </c>
      <c r="I181" s="155"/>
      <c r="J181" s="178">
        <f>H181/DAY(B2)</f>
        <v>84.708333333333329</v>
      </c>
    </row>
    <row r="182" spans="1:10" ht="27.75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'23'!F183</f>
        <v>15244</v>
      </c>
      <c r="F183" s="157">
        <v>15279</v>
      </c>
      <c r="G183" s="157">
        <f>F183-E183</f>
        <v>35</v>
      </c>
      <c r="H183" s="99">
        <f>G183+'23'!H183</f>
        <v>332</v>
      </c>
      <c r="I183" s="155"/>
      <c r="J183" s="178">
        <f>H183/DAY(B2)</f>
        <v>13.833333333333334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'23'!F184</f>
        <v>10439</v>
      </c>
      <c r="F184" s="157">
        <v>10442</v>
      </c>
      <c r="G184" s="157">
        <f t="shared" ref="G184:G185" si="16">F184-E184</f>
        <v>3</v>
      </c>
      <c r="H184" s="99">
        <f>G184+'23'!H184</f>
        <v>141</v>
      </c>
      <c r="I184" s="155"/>
      <c r="J184" s="178">
        <f>H184/DAY(B2)</f>
        <v>5.875</v>
      </c>
    </row>
    <row r="185" spans="1:10" ht="26.25" customHeight="1">
      <c r="A185" s="836" t="s">
        <v>216</v>
      </c>
      <c r="B185" s="837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38</v>
      </c>
      <c r="H186" s="99">
        <f>G186+'23'!H186</f>
        <v>473</v>
      </c>
      <c r="I186" s="157"/>
      <c r="J186" s="178">
        <f>H186/DAY(B2)</f>
        <v>19.708333333333332</v>
      </c>
    </row>
    <row r="187" spans="1:10" ht="27.75">
      <c r="A187" s="829" t="s">
        <v>217</v>
      </c>
      <c r="B187" s="830"/>
      <c r="C187" s="333"/>
      <c r="D187" s="230" t="s">
        <v>142</v>
      </c>
      <c r="E187" s="95">
        <f>'23'!F187</f>
        <v>0</v>
      </c>
      <c r="F187" s="159"/>
      <c r="G187" s="462">
        <f>G62+G19</f>
        <v>176</v>
      </c>
      <c r="H187" s="99">
        <f>G187+'23'!H187</f>
        <v>2887</v>
      </c>
      <c r="I187" s="158"/>
      <c r="J187" s="179">
        <f>H187/DAY(B2)</f>
        <v>120.29166666666667</v>
      </c>
    </row>
    <row r="188" spans="1:10" ht="27.75">
      <c r="A188" s="829" t="s">
        <v>218</v>
      </c>
      <c r="B188" s="830"/>
      <c r="C188" s="333"/>
      <c r="D188" s="230" t="s">
        <v>142</v>
      </c>
      <c r="E188" s="95">
        <f>'23'!F188</f>
        <v>0</v>
      </c>
      <c r="F188" s="159"/>
      <c r="G188" s="462">
        <f>G65+G66+G67+G69+G70</f>
        <v>181</v>
      </c>
      <c r="H188" s="99">
        <f>G188+'23'!H188</f>
        <v>1309</v>
      </c>
      <c r="I188" s="158"/>
      <c r="J188" s="179">
        <f>H188/DAY(B2)</f>
        <v>54.541666666666664</v>
      </c>
    </row>
    <row r="189" spans="1:10" ht="27.75">
      <c r="A189" s="829" t="s">
        <v>219</v>
      </c>
      <c r="B189" s="830"/>
      <c r="C189" s="333"/>
      <c r="D189" s="230" t="s">
        <v>142</v>
      </c>
      <c r="E189" s="95">
        <f>'23'!F189</f>
        <v>0</v>
      </c>
      <c r="F189" s="157"/>
      <c r="G189" s="459">
        <f>G181</f>
        <v>79</v>
      </c>
      <c r="H189" s="99">
        <f>G189+'23'!H189</f>
        <v>443</v>
      </c>
      <c r="I189" s="158"/>
      <c r="J189" s="179">
        <f>H189/DAY(B2)</f>
        <v>18.458333333333332</v>
      </c>
    </row>
    <row r="190" spans="1:10" ht="27.75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Normal="49" zoomScaleSheetLayoutView="55" workbookViewId="0">
      <selection activeCell="G69" sqref="G69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357</v>
      </c>
      <c r="B2" s="262">
        <v>44586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22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'24'!F7</f>
        <v>531080</v>
      </c>
      <c r="F7" s="95">
        <v>547409</v>
      </c>
      <c r="G7" s="112">
        <f>F7-E7</f>
        <v>16329</v>
      </c>
      <c r="H7" s="99">
        <f>G7+'24'!H7</f>
        <v>452848</v>
      </c>
      <c r="I7" s="113">
        <f>'1'!I7</f>
        <v>12000</v>
      </c>
      <c r="J7" s="175">
        <f>H7/DAY(B2)</f>
        <v>18113.919999999998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'24'!F8</f>
        <v>586591</v>
      </c>
      <c r="F8" s="604">
        <v>603218</v>
      </c>
      <c r="G8" s="115">
        <f>F8-E8</f>
        <v>16627</v>
      </c>
      <c r="H8" s="99">
        <f>G8+'24'!H8</f>
        <v>462333</v>
      </c>
      <c r="I8" s="116"/>
      <c r="J8" s="175">
        <f>H8/DAY(B2)</f>
        <v>18493.32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'24'!F9</f>
        <v>179760</v>
      </c>
      <c r="F9" s="601">
        <v>193704</v>
      </c>
      <c r="G9" s="112">
        <f>F9-E9</f>
        <v>13944</v>
      </c>
      <c r="H9" s="99">
        <f>G9+'24'!H9</f>
        <v>292209</v>
      </c>
      <c r="I9" s="124">
        <f>I7-J7</f>
        <v>-6113.9199999999983</v>
      </c>
      <c r="J9" s="175">
        <f>H9/DAY(B2)</f>
        <v>11688.36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'24'!F10</f>
        <v>91182</v>
      </c>
      <c r="F10" s="353">
        <v>93083</v>
      </c>
      <c r="G10" s="112">
        <f t="shared" ref="G10:G12" si="0">F10-E10</f>
        <v>1901</v>
      </c>
      <c r="H10" s="99">
        <f>G10+'24'!H10</f>
        <v>147989</v>
      </c>
      <c r="I10" s="282"/>
      <c r="J10" s="175">
        <f>H10/DAY(B2)</f>
        <v>5919.56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170</v>
      </c>
      <c r="I11" s="282"/>
      <c r="J11" s="175">
        <f>H11/DAY(B2)</f>
        <v>6.8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15845</v>
      </c>
      <c r="H13" s="99">
        <f>G13+'24'!H13</f>
        <v>420902.74999999988</v>
      </c>
      <c r="I13" s="120">
        <f>G7-G13</f>
        <v>484</v>
      </c>
      <c r="J13" s="175">
        <f>H13/DAY(B2)</f>
        <v>16836.109999999997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'24'!F15</f>
        <v>1900114</v>
      </c>
      <c r="F15" s="123">
        <v>1900929</v>
      </c>
      <c r="G15" s="112">
        <f>(F15-E15)</f>
        <v>815</v>
      </c>
      <c r="H15" s="99">
        <f>G15+'24'!H15</f>
        <v>22499</v>
      </c>
      <c r="I15" s="113">
        <f>'1'!I15</f>
        <v>800</v>
      </c>
      <c r="J15" s="175">
        <f>H15/DAY(B2)</f>
        <v>899.96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-99.960000000000036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'24'!F18</f>
        <v>16</v>
      </c>
      <c r="F18" s="122">
        <v>14</v>
      </c>
      <c r="G18" s="119">
        <f>F18*10</f>
        <v>140</v>
      </c>
      <c r="H18" s="99">
        <f>G18+'24'!H18</f>
        <v>2830</v>
      </c>
      <c r="I18" s="113">
        <f>'1'!I18</f>
        <v>65</v>
      </c>
      <c r="J18" s="175">
        <f>H18/DAY(B2)</f>
        <v>113.2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'24'!F19</f>
        <v>153513</v>
      </c>
      <c r="F19" s="122">
        <v>153563</v>
      </c>
      <c r="G19" s="112">
        <f t="shared" ref="G19" si="1">F19-E19</f>
        <v>50</v>
      </c>
      <c r="H19" s="99">
        <f>G19+'24'!H19</f>
        <v>1338</v>
      </c>
      <c r="I19" s="335"/>
      <c r="J19" s="175">
        <f>H19/DAY(B2)</f>
        <v>53.52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190</v>
      </c>
      <c r="H20" s="99">
        <f>G20+'24'!H20</f>
        <v>4168</v>
      </c>
      <c r="I20" s="336">
        <f>I18-J20</f>
        <v>-101.72</v>
      </c>
      <c r="J20" s="175">
        <f>H20/DAY(B2)</f>
        <v>166.72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110</v>
      </c>
      <c r="I23" s="118"/>
      <c r="J23" s="175">
        <f>H23/DAY(B2)</f>
        <v>4.4000000000000004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110</v>
      </c>
      <c r="I24" s="118"/>
      <c r="J24" s="175">
        <f>H24/DAY(B2)</f>
        <v>4.4000000000000004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16627</v>
      </c>
      <c r="F27" s="136">
        <v>9</v>
      </c>
      <c r="G27" s="137">
        <f>E27*F27</f>
        <v>149643</v>
      </c>
      <c r="H27" s="99">
        <f>G27+'24'!H27</f>
        <v>4160996.9999999995</v>
      </c>
      <c r="I27" s="138"/>
      <c r="J27" s="175">
        <f>H27/DAY(B2)</f>
        <v>166439.87999999998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815</v>
      </c>
      <c r="F28" s="136">
        <v>52</v>
      </c>
      <c r="G28" s="137">
        <f>E28*F28</f>
        <v>42380</v>
      </c>
      <c r="H28" s="99">
        <f>G28+'24'!H28</f>
        <v>1169948</v>
      </c>
      <c r="I28" s="140"/>
      <c r="J28" s="175">
        <f>H28/DAY(B2)</f>
        <v>46797.919999999998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7590</v>
      </c>
      <c r="I29" s="140"/>
      <c r="J29" s="175">
        <f>H29/DAY(B2)</f>
        <v>303.60000000000002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G30+'24'!H30</f>
        <v>195348</v>
      </c>
      <c r="I30" s="140"/>
      <c r="J30" s="175">
        <f>H30/DAY(B2)</f>
        <v>7813.92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G31+'24'!H31</f>
        <v>226400</v>
      </c>
      <c r="I31" s="140"/>
      <c r="J31" s="175">
        <f>H31/DAY(B2)</f>
        <v>9056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210523</v>
      </c>
      <c r="H32" s="99">
        <f>G32+'24'!H32</f>
        <v>5760283</v>
      </c>
      <c r="I32" s="144"/>
      <c r="J32" s="175">
        <f>H32/DAY(B2)</f>
        <v>230411.32</v>
      </c>
      <c r="K32" s="63"/>
      <c r="L32" s="89"/>
      <c r="N32" s="87"/>
      <c r="O32" s="71"/>
    </row>
    <row r="33" spans="1:15" ht="25.5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'24'!F35</f>
        <v>23208</v>
      </c>
      <c r="F35" s="145">
        <v>24516</v>
      </c>
      <c r="G35" s="112">
        <f t="shared" ref="G35:G46" si="3">F35-E35</f>
        <v>1308</v>
      </c>
      <c r="H35" s="99">
        <f>G35+'24'!H35</f>
        <v>39716</v>
      </c>
      <c r="I35" s="95"/>
      <c r="J35" s="175">
        <f>H35/DAY(B2)</f>
        <v>1588.64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'24'!F36</f>
        <v>38640</v>
      </c>
      <c r="F36" s="145">
        <v>39240</v>
      </c>
      <c r="G36" s="112">
        <f t="shared" si="3"/>
        <v>600</v>
      </c>
      <c r="H36" s="99">
        <f>G36+'24'!H36</f>
        <v>17713</v>
      </c>
      <c r="I36" s="95"/>
      <c r="J36" s="175">
        <f>H36/DAY(B2)</f>
        <v>708.52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'24'!F37</f>
        <v>24388</v>
      </c>
      <c r="F37" s="145">
        <v>25996</v>
      </c>
      <c r="G37" s="112">
        <f t="shared" si="3"/>
        <v>1608</v>
      </c>
      <c r="H37" s="99">
        <f>G37+'24'!H37</f>
        <v>38208</v>
      </c>
      <c r="I37" s="95"/>
      <c r="J37" s="175">
        <f>H37/DAY(B2)</f>
        <v>1528.32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'24'!F38</f>
        <v>26318</v>
      </c>
      <c r="F38" s="108">
        <v>28079</v>
      </c>
      <c r="G38" s="112">
        <f t="shared" si="3"/>
        <v>1761</v>
      </c>
      <c r="H38" s="99">
        <f>G38+'24'!H38</f>
        <v>41279.000000000007</v>
      </c>
      <c r="I38" s="95"/>
      <c r="J38" s="175">
        <f>H38/DAY(B2)</f>
        <v>1651.1600000000003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'24'!F39</f>
        <v>40938</v>
      </c>
      <c r="F39" s="145">
        <v>43529</v>
      </c>
      <c r="G39" s="112">
        <f t="shared" si="3"/>
        <v>2591</v>
      </c>
      <c r="H39" s="99">
        <f>G39+'24'!H39</f>
        <v>65211</v>
      </c>
      <c r="I39" s="95"/>
      <c r="J39" s="175">
        <f>H39/DAY(B2)</f>
        <v>2608.44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'24'!F40</f>
        <v>16184</v>
      </c>
      <c r="F40" s="145">
        <v>16777</v>
      </c>
      <c r="G40" s="112">
        <f t="shared" si="3"/>
        <v>593</v>
      </c>
      <c r="H40" s="99">
        <f>G40+'24'!H40</f>
        <v>11167</v>
      </c>
      <c r="I40" s="95"/>
      <c r="J40" s="175">
        <f>H40/DAY(B2)</f>
        <v>446.68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'24'!F42</f>
        <v>73808.600000000006</v>
      </c>
      <c r="F42" s="145">
        <v>76837</v>
      </c>
      <c r="G42" s="112">
        <f t="shared" si="3"/>
        <v>3028.3999999999942</v>
      </c>
      <c r="H42" s="99">
        <f>G42+'24'!H42</f>
        <v>3028</v>
      </c>
      <c r="I42" s="95"/>
      <c r="J42" s="175">
        <f>H42/DAY(B2)</f>
        <v>121.12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'24'!F43</f>
        <v>101167</v>
      </c>
      <c r="F43" s="145">
        <v>103125</v>
      </c>
      <c r="G43" s="112">
        <f t="shared" si="3"/>
        <v>1958</v>
      </c>
      <c r="H43" s="99">
        <f>G43+'24'!H43</f>
        <v>55864</v>
      </c>
      <c r="I43" s="95"/>
      <c r="J43" s="175">
        <f>H43/DAY(B2)</f>
        <v>2234.56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13447.399999999994</v>
      </c>
      <c r="H47" s="99">
        <f>G47+'24'!H47</f>
        <v>272186.00000000006</v>
      </c>
      <c r="I47" s="95"/>
      <c r="J47" s="175">
        <f>H47/DAY(B2)</f>
        <v>10887.440000000002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'24'!F49</f>
        <v>19015</v>
      </c>
      <c r="F49" s="145">
        <v>19847</v>
      </c>
      <c r="G49" s="112">
        <f t="shared" ref="G49:G58" si="4">F49-E49</f>
        <v>832</v>
      </c>
      <c r="H49" s="99">
        <f>G49+'24'!H49</f>
        <v>32968</v>
      </c>
      <c r="I49" s="95"/>
      <c r="J49" s="175">
        <f>H49/DAY(B2)</f>
        <v>1318.72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'24'!F50</f>
        <v>49249</v>
      </c>
      <c r="F50" s="145">
        <v>50260</v>
      </c>
      <c r="G50" s="112">
        <f t="shared" si="4"/>
        <v>1011</v>
      </c>
      <c r="H50" s="99">
        <f>G50+'24'!H50</f>
        <v>25610</v>
      </c>
      <c r="I50" s="95"/>
      <c r="J50" s="175">
        <f>H50/DAY(B2)</f>
        <v>1024.4000000000001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'24'!F54</f>
        <v>5147</v>
      </c>
      <c r="F54" s="145">
        <v>5147</v>
      </c>
      <c r="G54" s="112">
        <f t="shared" si="4"/>
        <v>0</v>
      </c>
      <c r="H54" s="99">
        <f>G54+'24'!H54</f>
        <v>6914.08</v>
      </c>
      <c r="I54" s="95"/>
      <c r="J54" s="175">
        <f>H54/DAY(B2)</f>
        <v>276.56319999999999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'24'!F55</f>
        <v>74366</v>
      </c>
      <c r="F55" s="145">
        <v>74366</v>
      </c>
      <c r="G55" s="112">
        <f t="shared" si="4"/>
        <v>0</v>
      </c>
      <c r="H55" s="99">
        <f>G55+'24'!H55</f>
        <v>70855</v>
      </c>
      <c r="I55" s="95"/>
      <c r="J55" s="175">
        <f>H55/DAY(B2)</f>
        <v>2834.2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'24'!F58</f>
        <v>3485</v>
      </c>
      <c r="F58" s="145">
        <v>3595</v>
      </c>
      <c r="G58" s="112">
        <f t="shared" si="4"/>
        <v>110</v>
      </c>
      <c r="H58" s="99">
        <f>G58+'24'!H58</f>
        <v>3935.6300000000047</v>
      </c>
      <c r="I58" s="95"/>
      <c r="J58" s="175">
        <f>H58/DAY(B2)</f>
        <v>157.42520000000019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1953</v>
      </c>
      <c r="H59" s="99">
        <f>G59+'24'!H59</f>
        <v>140282.71000000005</v>
      </c>
      <c r="I59" s="95">
        <f>G7-G60</f>
        <v>928.60000000000582</v>
      </c>
      <c r="J59" s="175">
        <f>H59/DAY(B2)</f>
        <v>5611.3084000000017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15400.399999999994</v>
      </c>
      <c r="H60" s="99">
        <f>G60+'24'!H60</f>
        <v>412468.70999999996</v>
      </c>
      <c r="I60" s="95">
        <f>G13-G60</f>
        <v>444.60000000000582</v>
      </c>
      <c r="J60" s="175">
        <f>H60/DAY(B2)</f>
        <v>16498.748399999997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'24'!F62</f>
        <v>268812</v>
      </c>
      <c r="F62" s="122">
        <v>268914</v>
      </c>
      <c r="G62" s="112">
        <f t="shared" ref="G62:G63" si="5">F62-E62</f>
        <v>102</v>
      </c>
      <c r="H62" s="99">
        <f>G62+'24'!H62</f>
        <v>1701</v>
      </c>
      <c r="I62" s="118"/>
      <c r="J62" s="175">
        <f>H62/DAY(B2)</f>
        <v>68.040000000000006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'24'!F63</f>
        <v>214838</v>
      </c>
      <c r="F63" s="122">
        <v>215002</v>
      </c>
      <c r="G63" s="112">
        <f t="shared" si="5"/>
        <v>164</v>
      </c>
      <c r="H63" s="99">
        <f>G63+'24'!H63</f>
        <v>2577</v>
      </c>
      <c r="I63" s="118"/>
      <c r="J63" s="175">
        <f>H63/DAY(B2)</f>
        <v>103.08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'24'!F64</f>
        <v>0</v>
      </c>
      <c r="F64" s="122"/>
      <c r="G64" s="112">
        <f>G62+G63</f>
        <v>266</v>
      </c>
      <c r="H64" s="99">
        <f>G64+'24'!H64</f>
        <v>4278</v>
      </c>
      <c r="I64" s="118"/>
      <c r="J64" s="175">
        <f>H64/DAY(B2)</f>
        <v>171.12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'24'!F65</f>
        <v>434329</v>
      </c>
      <c r="F65" s="122">
        <v>434415</v>
      </c>
      <c r="G65" s="112">
        <f t="shared" ref="G65:G70" si="6">F65-E65</f>
        <v>86</v>
      </c>
      <c r="H65" s="99">
        <f>G65+'24'!H65</f>
        <v>1801</v>
      </c>
      <c r="I65" s="118"/>
      <c r="J65" s="175">
        <f>H65/DAY(B2)</f>
        <v>72.040000000000006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'24'!F66</f>
        <v>107607</v>
      </c>
      <c r="F66" s="122">
        <v>107618</v>
      </c>
      <c r="G66" s="112">
        <f t="shared" si="6"/>
        <v>11</v>
      </c>
      <c r="H66" s="99">
        <f>G66+'24'!H66</f>
        <v>404</v>
      </c>
      <c r="I66" s="118"/>
      <c r="J66" s="175">
        <f>H66/DAY(B2)</f>
        <v>16.16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'24'!F67</f>
        <v>104480</v>
      </c>
      <c r="F67" s="122">
        <v>104500</v>
      </c>
      <c r="G67" s="112">
        <f t="shared" si="6"/>
        <v>20</v>
      </c>
      <c r="H67" s="99">
        <f>G67+'24'!H67</f>
        <v>572</v>
      </c>
      <c r="I67" s="118"/>
      <c r="J67" s="175">
        <f>H67/DAY(B2)</f>
        <v>22.88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'24'!F68</f>
        <v>157347</v>
      </c>
      <c r="F68" s="122">
        <v>157420</v>
      </c>
      <c r="G68" s="112">
        <v>73</v>
      </c>
      <c r="H68" s="99">
        <f>G68+'24'!H68</f>
        <v>800</v>
      </c>
      <c r="I68" s="118"/>
      <c r="J68" s="175">
        <f>H68/DAY(B2)</f>
        <v>32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'24'!F69</f>
        <v>10489</v>
      </c>
      <c r="F69" s="122">
        <v>10494</v>
      </c>
      <c r="G69" s="112">
        <f t="shared" si="6"/>
        <v>5</v>
      </c>
      <c r="H69" s="99">
        <f>G69+'24'!H69</f>
        <v>280</v>
      </c>
      <c r="I69" s="118"/>
      <c r="J69" s="175">
        <f>H69/DAY(B2)</f>
        <v>11.2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'24'!F70</f>
        <v>8030</v>
      </c>
      <c r="F70" s="122">
        <v>8042</v>
      </c>
      <c r="G70" s="112">
        <f t="shared" si="6"/>
        <v>12</v>
      </c>
      <c r="H70" s="99">
        <f>G70+'24'!H70</f>
        <v>180</v>
      </c>
      <c r="I70" s="118"/>
      <c r="J70" s="175">
        <f>H70/DAY(B2)</f>
        <v>7.2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207</v>
      </c>
      <c r="H71" s="99">
        <f>G71+'24'!H71</f>
        <v>4037</v>
      </c>
      <c r="I71" s="154"/>
      <c r="J71" s="175">
        <f>H71/DAY(B2)</f>
        <v>161.47999999999999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'24'!F74</f>
        <v>899174</v>
      </c>
      <c r="F74" s="123">
        <v>899470</v>
      </c>
      <c r="G74" s="112">
        <f t="shared" ref="G74:G78" si="7">F74-E74</f>
        <v>296</v>
      </c>
      <c r="H74" s="99">
        <f>G74+'24'!H74</f>
        <v>7438</v>
      </c>
      <c r="I74" s="154"/>
      <c r="J74" s="175">
        <f>H74/DAY(B2)</f>
        <v>297.52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'24'!F76</f>
        <v>169318</v>
      </c>
      <c r="F76" s="123">
        <v>169420</v>
      </c>
      <c r="G76" s="112">
        <f t="shared" si="7"/>
        <v>102</v>
      </c>
      <c r="H76" s="99">
        <f>G76+'24'!H76</f>
        <v>2213</v>
      </c>
      <c r="I76" s="154"/>
      <c r="J76" s="175">
        <f>H76/DAY(B2)</f>
        <v>88.52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'24'!F77</f>
        <v>41057</v>
      </c>
      <c r="F77" s="232">
        <v>41085</v>
      </c>
      <c r="G77" s="112">
        <f t="shared" si="7"/>
        <v>28</v>
      </c>
      <c r="H77" s="99">
        <f>G77+'24'!H77</f>
        <v>769</v>
      </c>
      <c r="I77" s="154"/>
      <c r="J77" s="175">
        <f>H77/DAY(B2)</f>
        <v>30.76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'24'!F78</f>
        <v>9508</v>
      </c>
      <c r="F78" s="123">
        <v>9508</v>
      </c>
      <c r="G78" s="112">
        <f t="shared" si="7"/>
        <v>0</v>
      </c>
      <c r="H78" s="99">
        <f>G78+'24'!H78</f>
        <v>22</v>
      </c>
      <c r="I78" s="118"/>
      <c r="J78" s="175">
        <f>H78/DAY(B2)</f>
        <v>0.88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'24'!F79</f>
        <v>0</v>
      </c>
      <c r="F79" s="117"/>
      <c r="G79" s="112">
        <f>G15-SUM(G74:G78)</f>
        <v>389</v>
      </c>
      <c r="H79" s="99">
        <f>G79+'24'!H79</f>
        <v>12057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815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'24'!F85</f>
        <v>2096.56</v>
      </c>
      <c r="F85" s="164">
        <v>2118</v>
      </c>
      <c r="G85" s="112">
        <f t="shared" si="8"/>
        <v>21.440000000000055</v>
      </c>
      <c r="H85" s="99">
        <f>G85+'24'!H85</f>
        <v>21.440000000000055</v>
      </c>
      <c r="I85" s="118">
        <f>G82+G83+G84+G85</f>
        <v>21.84000000000151</v>
      </c>
      <c r="J85" s="175">
        <f>H85/DAY(B2)</f>
        <v>0.85760000000000214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'24'!F86</f>
        <v>43442</v>
      </c>
      <c r="F86" s="164">
        <v>43442</v>
      </c>
      <c r="G86" s="112">
        <f t="shared" si="8"/>
        <v>0</v>
      </c>
      <c r="H86" s="99">
        <f>G86+'24'!H86</f>
        <v>579</v>
      </c>
      <c r="I86" s="118"/>
      <c r="J86" s="175">
        <f>H86/DAY(B2)</f>
        <v>23.16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'24'!F88</f>
        <v>24063</v>
      </c>
      <c r="F88" s="164">
        <v>24063</v>
      </c>
      <c r="G88" s="112">
        <f t="shared" si="8"/>
        <v>0</v>
      </c>
      <c r="H88" s="99">
        <f>G88+'24'!H88</f>
        <v>16</v>
      </c>
      <c r="I88" s="118">
        <f>G86+G87+G88</f>
        <v>0</v>
      </c>
      <c r="J88" s="175">
        <f>H88/DAY(B2)</f>
        <v>0.64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'24'!F89</f>
        <v>25829</v>
      </c>
      <c r="F89" s="164">
        <v>25833.98</v>
      </c>
      <c r="G89" s="112">
        <f t="shared" si="8"/>
        <v>4.9799999999995634</v>
      </c>
      <c r="H89" s="99">
        <f>G89+'24'!H89</f>
        <v>170.97999999999956</v>
      </c>
      <c r="I89" s="118"/>
      <c r="J89" s="175">
        <f>H89/DAY(B2)</f>
        <v>6.8391999999999822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'24'!F90</f>
        <v>71146</v>
      </c>
      <c r="F90" s="164">
        <v>71150</v>
      </c>
      <c r="G90" s="112">
        <f t="shared" si="8"/>
        <v>4</v>
      </c>
      <c r="H90" s="99">
        <f>G90+'24'!H90</f>
        <v>116</v>
      </c>
      <c r="I90" s="118">
        <f>G89+G90</f>
        <v>8.9799999999995634</v>
      </c>
      <c r="J90" s="175">
        <f>H90/DAY(B2)</f>
        <v>4.6399999999999997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-0.32000000000016371</v>
      </c>
      <c r="I91" s="165"/>
      <c r="J91" s="175">
        <f>H91/DAY(B2)</f>
        <v>-1.2800000000006549E-2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'24'!F92</f>
        <v>5689</v>
      </c>
      <c r="F92" s="122">
        <v>5699</v>
      </c>
      <c r="G92" s="112">
        <f t="shared" si="8"/>
        <v>10</v>
      </c>
      <c r="H92" s="99">
        <f>G92+'24'!H92</f>
        <v>261</v>
      </c>
      <c r="I92" s="165"/>
      <c r="J92" s="175">
        <f>H92/DAY(B2)</f>
        <v>10.44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4098</v>
      </c>
      <c r="H94" s="99">
        <f>G94+'24'!H94</f>
        <v>128547.99999999999</v>
      </c>
      <c r="I94" s="118"/>
      <c r="J94" s="175">
        <f>H94/DAY(B2)</f>
        <v>5141.9199999999992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0.25096454161308102</v>
      </c>
      <c r="H95" s="99">
        <f>G95+'24'!H95</f>
        <v>7.0802048271277274</v>
      </c>
      <c r="I95" s="167"/>
      <c r="J95" s="175">
        <f>H95/DAY(B2)</f>
        <v>0.28320819308510908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3028.3999999999942</v>
      </c>
      <c r="H96" s="99">
        <f>G96+'24'!H96</f>
        <v>73883</v>
      </c>
      <c r="I96" s="118"/>
      <c r="J96" s="175">
        <f>H96/DAY(B2)</f>
        <v>2955.32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0.18546144895584507</v>
      </c>
      <c r="H97" s="99">
        <f>G97+'24'!H97</f>
        <v>4.0879871218155133</v>
      </c>
      <c r="I97" s="167"/>
      <c r="J97" s="175">
        <f>H97/DAY(B2)</f>
        <v>0.16351948487262052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2591</v>
      </c>
      <c r="H98" s="99">
        <f>G98+'24'!H98</f>
        <v>65211</v>
      </c>
      <c r="I98" s="168"/>
      <c r="J98" s="175">
        <f>H98/DAY(B2)</f>
        <v>2608.44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0.15867475044399534</v>
      </c>
      <c r="H99" s="99">
        <f>G99+'24'!H99</f>
        <v>3.6108932147959107</v>
      </c>
      <c r="I99" s="168"/>
      <c r="J99" s="175">
        <f>H99/DAY(B2)</f>
        <v>0.14443572859183643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1761</v>
      </c>
      <c r="H100" s="99">
        <f>G100+'24'!H100</f>
        <v>41279.000000000007</v>
      </c>
      <c r="I100" s="118"/>
      <c r="J100" s="175">
        <f>H100/DAY(B2)</f>
        <v>1651.1600000000003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0.10784493845305898</v>
      </c>
      <c r="H101" s="99">
        <f>G101+'24'!H101</f>
        <v>2.2878248415966129</v>
      </c>
      <c r="I101" s="168"/>
      <c r="J101" s="175">
        <f>H101/DAY(B2)</f>
        <v>9.151299366386452E-2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1611</v>
      </c>
      <c r="H102" s="99">
        <f>G102+'24'!H102</f>
        <v>43323</v>
      </c>
      <c r="I102" s="168"/>
      <c r="J102" s="175">
        <f>H102/DAY(B2)</f>
        <v>1732.92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9.8658827852287342E-2</v>
      </c>
      <c r="H103" s="99">
        <f>G103+'24'!H103</f>
        <v>2.3854533032087679</v>
      </c>
      <c r="I103" s="118"/>
      <c r="J103" s="175">
        <f>H103/DAY(B2)</f>
        <v>9.5418132128350722E-2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1608</v>
      </c>
      <c r="H104" s="99">
        <f>G104+'24'!H104</f>
        <v>38208</v>
      </c>
      <c r="I104" s="118"/>
      <c r="J104" s="175">
        <f>H104/DAY(B2)</f>
        <v>1528.32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9.8475105640271912E-2</v>
      </c>
      <c r="H105" s="99">
        <f>G105+'24'!H105</f>
        <v>2.1194056930452168</v>
      </c>
      <c r="I105" s="187"/>
      <c r="J105" s="188">
        <f>H105/DAY(B2)</f>
        <v>8.4776227721808664E-2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'24'!F112</f>
        <v>57510</v>
      </c>
      <c r="F112" s="237">
        <v>57588</v>
      </c>
      <c r="G112" s="112">
        <f t="shared" ref="G112:G123" si="9">F112-E112</f>
        <v>78</v>
      </c>
      <c r="H112" s="99">
        <f>G112+'24'!H112</f>
        <v>1907</v>
      </c>
      <c r="I112" s="165"/>
      <c r="J112" s="328">
        <f>H112/DAY(B2)</f>
        <v>76.28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'24'!F113</f>
        <v>43154</v>
      </c>
      <c r="F113" s="237">
        <v>43624</v>
      </c>
      <c r="G113" s="112">
        <f t="shared" si="9"/>
        <v>470</v>
      </c>
      <c r="H113" s="99">
        <f>G113+'24'!H113</f>
        <v>11429</v>
      </c>
      <c r="I113" s="165"/>
      <c r="J113" s="328">
        <f>H113/DAY(B2)</f>
        <v>457.16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'24'!F114</f>
        <v>31346</v>
      </c>
      <c r="F114" s="237">
        <v>31608</v>
      </c>
      <c r="G114" s="112">
        <f t="shared" si="9"/>
        <v>262</v>
      </c>
      <c r="H114" s="99">
        <f>G114+'24'!H114</f>
        <v>6603.4</v>
      </c>
      <c r="I114" s="165"/>
      <c r="J114" s="328">
        <f>H114/DAY(B2)</f>
        <v>264.13599999999997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'24'!F115</f>
        <v>9029</v>
      </c>
      <c r="F115" s="237">
        <v>9038</v>
      </c>
      <c r="G115" s="112">
        <f t="shared" si="9"/>
        <v>9</v>
      </c>
      <c r="H115" s="99">
        <f>G115+'24'!H115</f>
        <v>253</v>
      </c>
      <c r="I115" s="165"/>
      <c r="J115" s="328">
        <f>H115/DAY(B2)</f>
        <v>10.119999999999999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28">
        <f>H116/DAY(B2)</f>
        <v>0</v>
      </c>
      <c r="Q116" s="843"/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'24'!F117</f>
        <v>3161</v>
      </c>
      <c r="F117" s="237">
        <v>3184</v>
      </c>
      <c r="G117" s="112">
        <f t="shared" si="9"/>
        <v>23</v>
      </c>
      <c r="H117" s="99">
        <f>G117+'24'!H117</f>
        <v>594</v>
      </c>
      <c r="I117" s="165"/>
      <c r="J117" s="328">
        <f>H117/DAY(B2)</f>
        <v>23.76</v>
      </c>
      <c r="Q117" s="843"/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'24'!F118</f>
        <v>250107</v>
      </c>
      <c r="F118" s="237">
        <v>250445</v>
      </c>
      <c r="G118" s="112">
        <f t="shared" si="9"/>
        <v>338</v>
      </c>
      <c r="H118" s="99">
        <f>G118+'24'!H118</f>
        <v>8798</v>
      </c>
      <c r="I118" s="165"/>
      <c r="J118" s="328">
        <f>H118/DAY(B2)</f>
        <v>351.92</v>
      </c>
      <c r="Q118" s="843"/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'24'!F119</f>
        <v>255232</v>
      </c>
      <c r="F119" s="237">
        <v>255651</v>
      </c>
      <c r="G119" s="112">
        <f t="shared" si="9"/>
        <v>419</v>
      </c>
      <c r="H119" s="99">
        <f>G119+'24'!H119</f>
        <v>10525</v>
      </c>
      <c r="I119" s="165"/>
      <c r="J119" s="328">
        <f>H119/DAY(B2)</f>
        <v>421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'24'!F120</f>
        <v>40045.769999999997</v>
      </c>
      <c r="F120" s="237">
        <v>40452</v>
      </c>
      <c r="G120" s="112">
        <f t="shared" si="9"/>
        <v>406.2300000000032</v>
      </c>
      <c r="H120" s="99">
        <f>G120+'24'!H120</f>
        <v>10374</v>
      </c>
      <c r="I120" s="165"/>
      <c r="J120" s="328">
        <f>H120/DAY(B2)</f>
        <v>414.96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'24'!F121</f>
        <v>393054</v>
      </c>
      <c r="F121" s="237">
        <v>393764</v>
      </c>
      <c r="G121" s="112">
        <f t="shared" si="9"/>
        <v>710</v>
      </c>
      <c r="H121" s="99">
        <f>G121+'24'!H121</f>
        <v>17235</v>
      </c>
      <c r="I121" s="165"/>
      <c r="J121" s="328">
        <f>H121/DAY(B2)</f>
        <v>689.4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'24'!F122</f>
        <v>124853</v>
      </c>
      <c r="F122" s="237">
        <v>125032</v>
      </c>
      <c r="G122" s="112">
        <f t="shared" si="9"/>
        <v>179</v>
      </c>
      <c r="H122" s="99">
        <f>G122+'24'!H122</f>
        <v>4982</v>
      </c>
      <c r="I122" s="165"/>
      <c r="J122" s="328">
        <f>H122/DAY(B2)</f>
        <v>199.28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'24'!F123</f>
        <v>152131</v>
      </c>
      <c r="F123" s="237">
        <v>152394</v>
      </c>
      <c r="G123" s="112">
        <f t="shared" si="9"/>
        <v>263</v>
      </c>
      <c r="H123" s="99">
        <f>G123+'24'!H123</f>
        <v>7269</v>
      </c>
      <c r="I123" s="165"/>
      <c r="J123" s="328">
        <f>H123/DAY(B2)</f>
        <v>290.76</v>
      </c>
    </row>
    <row r="124" spans="1:18" ht="29.25" customHeight="1">
      <c r="A124" s="847"/>
      <c r="B124" s="848"/>
      <c r="C124" s="849"/>
      <c r="D124" s="165"/>
      <c r="E124" s="165"/>
      <c r="F124" s="165"/>
      <c r="G124" s="327"/>
      <c r="H124" s="156"/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3157.2300000000032</v>
      </c>
      <c r="H125" s="156"/>
      <c r="I125" s="327">
        <f>G125-(G39+G53)</f>
        <v>566.2300000000032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'24'!F128</f>
        <v>45611</v>
      </c>
      <c r="F128" s="155">
        <v>45920</v>
      </c>
      <c r="G128" s="112">
        <f t="shared" ref="G128:G134" si="10">F128-E128</f>
        <v>309</v>
      </c>
      <c r="H128" s="99">
        <f>G128+'24'!H128</f>
        <v>7916</v>
      </c>
      <c r="I128" s="165"/>
      <c r="J128" s="328">
        <f>H128/DAY(B2)</f>
        <v>316.64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'24'!F129</f>
        <v>25528</v>
      </c>
      <c r="F129" s="155">
        <v>25739</v>
      </c>
      <c r="G129" s="112">
        <f t="shared" si="10"/>
        <v>211</v>
      </c>
      <c r="H129" s="99">
        <f>G129+'24'!H129</f>
        <v>5418</v>
      </c>
      <c r="I129" s="165"/>
      <c r="J129" s="328">
        <f>H129/DAY(B2)</f>
        <v>216.72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'24'!F130</f>
        <v>32314</v>
      </c>
      <c r="F130" s="155">
        <v>32848</v>
      </c>
      <c r="G130" s="112">
        <f t="shared" si="10"/>
        <v>534</v>
      </c>
      <c r="H130" s="99">
        <f>G130+'24'!H130</f>
        <v>14466</v>
      </c>
      <c r="I130" s="165"/>
      <c r="J130" s="328">
        <f>H130/DAY(B2)</f>
        <v>578.64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'24'!F131</f>
        <v>14903</v>
      </c>
      <c r="F131" s="155">
        <v>14961</v>
      </c>
      <c r="G131" s="112">
        <f t="shared" si="10"/>
        <v>58</v>
      </c>
      <c r="H131" s="99">
        <f>G131+'24'!H131</f>
        <v>1808</v>
      </c>
      <c r="I131" s="165"/>
      <c r="J131" s="328">
        <f>H131/DAY(B2)</f>
        <v>72.319999999999993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'24'!F132</f>
        <v>50682</v>
      </c>
      <c r="F132" s="155">
        <v>50849</v>
      </c>
      <c r="G132" s="112">
        <f t="shared" si="10"/>
        <v>167</v>
      </c>
      <c r="H132" s="99">
        <f>G132+'24'!H132</f>
        <v>9826</v>
      </c>
      <c r="I132" s="165"/>
      <c r="J132" s="328">
        <f>H132/DAY(B2)</f>
        <v>393.04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'24'!F133</f>
        <v>102315</v>
      </c>
      <c r="F133" s="155">
        <v>102712</v>
      </c>
      <c r="G133" s="112">
        <f t="shared" si="10"/>
        <v>397</v>
      </c>
      <c r="H133" s="99">
        <f>G133+'24'!H133</f>
        <v>15009</v>
      </c>
      <c r="I133" s="165"/>
      <c r="J133" s="328">
        <f>H133/DAY(B2)</f>
        <v>600.36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'24'!F134</f>
        <v>7550</v>
      </c>
      <c r="F134" s="554">
        <v>7700</v>
      </c>
      <c r="G134" s="112">
        <f t="shared" si="10"/>
        <v>150</v>
      </c>
      <c r="H134" s="99">
        <f>G134+'24'!H134</f>
        <v>9993.9999999999982</v>
      </c>
      <c r="I134" s="165"/>
      <c r="J134" s="328">
        <f>H134/DAY(B2)</f>
        <v>399.75999999999993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1826</v>
      </c>
      <c r="H135" s="99">
        <f>G135+'23'!H135</f>
        <v>35186.169999999984</v>
      </c>
      <c r="I135" s="327">
        <f>G135-(G35+G49)</f>
        <v>-314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'24'!F138</f>
        <v>865753</v>
      </c>
      <c r="F138" s="147">
        <v>865829</v>
      </c>
      <c r="G138" s="112">
        <f t="shared" ref="G138:G152" si="11">F138-E138</f>
        <v>76</v>
      </c>
      <c r="H138" s="99">
        <f>G138+'24'!H138</f>
        <v>1658</v>
      </c>
      <c r="I138" s="118"/>
      <c r="J138" s="328">
        <f>H138/DAY(B2)</f>
        <v>66.319999999999993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'24'!F139</f>
        <v>886568</v>
      </c>
      <c r="F139" s="148">
        <v>886569</v>
      </c>
      <c r="G139" s="112">
        <f t="shared" si="11"/>
        <v>1</v>
      </c>
      <c r="H139" s="99">
        <f>G139+'24'!H139</f>
        <v>23</v>
      </c>
      <c r="I139" s="118"/>
      <c r="J139" s="328">
        <f>H139/DAY(B2)</f>
        <v>0.92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'24'!F140</f>
        <v>88922</v>
      </c>
      <c r="F140" s="149">
        <v>88922</v>
      </c>
      <c r="G140" s="112">
        <f t="shared" si="11"/>
        <v>0</v>
      </c>
      <c r="H140" s="99">
        <f>G140+'24'!H140</f>
        <v>40</v>
      </c>
      <c r="I140" s="118"/>
      <c r="J140" s="328">
        <f>H140/DAY(B2)</f>
        <v>1.6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'24'!F141</f>
        <v>53475</v>
      </c>
      <c r="F141" s="149">
        <v>53648</v>
      </c>
      <c r="G141" s="112">
        <f t="shared" si="11"/>
        <v>173</v>
      </c>
      <c r="H141" s="99">
        <f>G141+'24'!H141</f>
        <v>4342</v>
      </c>
      <c r="I141" s="118"/>
      <c r="J141" s="328">
        <f>H141/DAY(B2)</f>
        <v>173.68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'24'!F142</f>
        <v>20742</v>
      </c>
      <c r="F142" s="148">
        <v>20807</v>
      </c>
      <c r="G142" s="112">
        <f t="shared" si="11"/>
        <v>65</v>
      </c>
      <c r="H142" s="99">
        <f>G142+'24'!H142</f>
        <v>1798</v>
      </c>
      <c r="I142" s="140"/>
      <c r="J142" s="328">
        <f>H142/DAY(B2)</f>
        <v>71.92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'24'!F143</f>
        <v>3655</v>
      </c>
      <c r="F143" s="149">
        <v>3681</v>
      </c>
      <c r="G143" s="112">
        <f t="shared" si="11"/>
        <v>26</v>
      </c>
      <c r="H143" s="99">
        <f>G143+'24'!H143</f>
        <v>620</v>
      </c>
      <c r="I143" s="140"/>
      <c r="J143" s="328">
        <f>H143/DAY(B2)</f>
        <v>24.8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'24'!F144</f>
        <v>875079</v>
      </c>
      <c r="F144" s="149">
        <v>875283</v>
      </c>
      <c r="G144" s="112">
        <f t="shared" si="11"/>
        <v>204</v>
      </c>
      <c r="H144" s="99">
        <f>G144+'24'!H144</f>
        <v>5613</v>
      </c>
      <c r="I144" s="140"/>
      <c r="J144" s="328">
        <f>H144/DAY(B2)</f>
        <v>224.52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'24'!F145</f>
        <v>4909</v>
      </c>
      <c r="F145" s="149">
        <v>4915</v>
      </c>
      <c r="G145" s="112">
        <f t="shared" si="11"/>
        <v>6</v>
      </c>
      <c r="H145" s="99">
        <f>G145+'24'!H145</f>
        <v>357</v>
      </c>
      <c r="I145" s="140"/>
      <c r="J145" s="328">
        <f>H145/DAY(B2)</f>
        <v>14.28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'24'!F146</f>
        <v>734505</v>
      </c>
      <c r="F146" s="148">
        <v>734907</v>
      </c>
      <c r="G146" s="112">
        <f t="shared" si="11"/>
        <v>402</v>
      </c>
      <c r="H146" s="99">
        <f>G146+'24'!H146</f>
        <v>10049</v>
      </c>
      <c r="I146" s="140"/>
      <c r="J146" s="328">
        <f>H146/DAY(B2)</f>
        <v>401.96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'24'!F147</f>
        <v>624120</v>
      </c>
      <c r="F147" s="148">
        <v>624485</v>
      </c>
      <c r="G147" s="112">
        <f t="shared" si="11"/>
        <v>365</v>
      </c>
      <c r="H147" s="99">
        <f>G147+'24'!H147</f>
        <v>9203</v>
      </c>
      <c r="I147" s="140"/>
      <c r="J147" s="328">
        <f>H147/DAY(B2)</f>
        <v>368.12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'24'!F148</f>
        <v>688121</v>
      </c>
      <c r="F148" s="488">
        <v>688279</v>
      </c>
      <c r="G148" s="112">
        <f t="shared" si="11"/>
        <v>158</v>
      </c>
      <c r="H148" s="99">
        <f>G148+'24'!H148</f>
        <v>5245.8800000000047</v>
      </c>
      <c r="I148" s="124"/>
      <c r="J148" s="328">
        <f>H148/DAY(B2)</f>
        <v>209.83520000000019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'24'!F149</f>
        <v>21180</v>
      </c>
      <c r="F149" s="146">
        <v>21699</v>
      </c>
      <c r="G149" s="112">
        <f t="shared" si="11"/>
        <v>519</v>
      </c>
      <c r="H149" s="99">
        <f>G149+'24'!H149</f>
        <v>10950</v>
      </c>
      <c r="I149" s="119"/>
      <c r="J149" s="328">
        <f>H149/DAY(B2)</f>
        <v>438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'24'!F150</f>
        <v>9307</v>
      </c>
      <c r="F150" s="233">
        <v>9524</v>
      </c>
      <c r="G150" s="112">
        <f t="shared" si="11"/>
        <v>217</v>
      </c>
      <c r="H150" s="99">
        <f>G150+'24'!H150</f>
        <v>5472</v>
      </c>
      <c r="I150" s="119"/>
      <c r="J150" s="328">
        <f>H150/DAY(B2)</f>
        <v>218.88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'24'!F151</f>
        <v>83702</v>
      </c>
      <c r="F151" s="233">
        <v>83952</v>
      </c>
      <c r="G151" s="112">
        <f t="shared" si="11"/>
        <v>250</v>
      </c>
      <c r="H151" s="99">
        <f>G151+'24'!H151</f>
        <v>5735</v>
      </c>
      <c r="I151" s="119"/>
      <c r="J151" s="328">
        <f>H151/DAY(B2)</f>
        <v>229.4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'24'!F152</f>
        <v>1531</v>
      </c>
      <c r="F152" s="233">
        <v>1547</v>
      </c>
      <c r="G152" s="112">
        <f t="shared" si="11"/>
        <v>16</v>
      </c>
      <c r="H152" s="99">
        <f>G152+'24'!H152</f>
        <v>420</v>
      </c>
      <c r="I152" s="119"/>
      <c r="J152" s="328">
        <f>H152/DAY(B2)</f>
        <v>16.8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2478</v>
      </c>
      <c r="H153" s="363"/>
      <c r="I153" s="119">
        <f>G153-(G38+G52)</f>
        <v>717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'24'!F155</f>
        <v>27719</v>
      </c>
      <c r="F155" s="364">
        <v>28381</v>
      </c>
      <c r="G155" s="112">
        <f t="shared" ref="G155:G158" si="12">F155-E155</f>
        <v>662</v>
      </c>
      <c r="H155" s="99">
        <f>G155+'24'!H155</f>
        <v>14909</v>
      </c>
      <c r="I155" s="364"/>
      <c r="J155" s="328">
        <f>H155/DAY(B2)</f>
        <v>596.36</v>
      </c>
    </row>
    <row r="156" spans="1:10" ht="27.75">
      <c r="A156" s="823" t="s">
        <v>347</v>
      </c>
      <c r="B156" s="823"/>
      <c r="C156" s="823"/>
      <c r="D156" s="117" t="s">
        <v>130</v>
      </c>
      <c r="E156" s="95">
        <f>'24'!F156</f>
        <v>2333</v>
      </c>
      <c r="F156" s="155">
        <v>2391</v>
      </c>
      <c r="G156" s="112">
        <f t="shared" si="12"/>
        <v>58</v>
      </c>
      <c r="H156" s="99">
        <f>G156+'24'!H156</f>
        <v>1303</v>
      </c>
      <c r="I156" s="165"/>
      <c r="J156" s="328">
        <f>H156/DAY(B2)</f>
        <v>52.12</v>
      </c>
    </row>
    <row r="157" spans="1:10" ht="27.75">
      <c r="A157" s="824" t="s">
        <v>364</v>
      </c>
      <c r="B157" s="825"/>
      <c r="C157" s="826"/>
      <c r="D157" s="117" t="s">
        <v>130</v>
      </c>
      <c r="E157" s="95">
        <f>'24'!F157</f>
        <v>3292</v>
      </c>
      <c r="F157" s="155">
        <v>3410</v>
      </c>
      <c r="G157" s="112">
        <f t="shared" si="12"/>
        <v>118</v>
      </c>
      <c r="H157" s="99">
        <f>G157+'24'!H157</f>
        <v>689.84000000000015</v>
      </c>
      <c r="I157" s="165"/>
      <c r="J157" s="328"/>
    </row>
    <row r="158" spans="1:10" ht="27.75">
      <c r="A158" s="824" t="s">
        <v>365</v>
      </c>
      <c r="B158" s="825"/>
      <c r="C158" s="826"/>
      <c r="D158" s="117" t="s">
        <v>130</v>
      </c>
      <c r="E158" s="95">
        <f>'24'!F158</f>
        <v>43</v>
      </c>
      <c r="F158" s="155">
        <v>43.75</v>
      </c>
      <c r="G158" s="112">
        <f t="shared" si="12"/>
        <v>0.75</v>
      </c>
      <c r="H158" s="99">
        <f>G158+'24'!H158</f>
        <v>19.41</v>
      </c>
      <c r="I158" s="165"/>
      <c r="J158" s="328"/>
    </row>
    <row r="159" spans="1:10" ht="27.75">
      <c r="A159" s="907"/>
      <c r="B159" s="908"/>
      <c r="C159" s="909"/>
      <c r="D159" s="117"/>
      <c r="E159" s="95"/>
      <c r="F159" s="16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'24'!F161</f>
        <v>471872.52</v>
      </c>
      <c r="F161" s="235">
        <v>471893</v>
      </c>
      <c r="G161" s="238">
        <f t="shared" ref="G161:G165" si="13">F161-E161</f>
        <v>20.479999999981374</v>
      </c>
      <c r="H161" s="99">
        <f>G161+'24'!H161</f>
        <v>739.84000000002561</v>
      </c>
      <c r="I161" s="236"/>
      <c r="J161" s="239">
        <f>H161/DAY(B2)</f>
        <v>29.593600000001025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'24'!F162</f>
        <v>88291</v>
      </c>
      <c r="F162" s="235">
        <v>88329</v>
      </c>
      <c r="G162" s="238">
        <f t="shared" si="13"/>
        <v>38</v>
      </c>
      <c r="H162" s="99">
        <f>G162+'24'!H162</f>
        <v>759</v>
      </c>
      <c r="I162" s="236"/>
      <c r="J162" s="239">
        <f>H162/DAY(B2)</f>
        <v>30.36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'24'!F163</f>
        <v>78929</v>
      </c>
      <c r="F163" s="235">
        <v>78964</v>
      </c>
      <c r="G163" s="238">
        <f t="shared" si="13"/>
        <v>35</v>
      </c>
      <c r="H163" s="99">
        <f>G163+'24'!H163</f>
        <v>1139</v>
      </c>
      <c r="I163" s="236"/>
      <c r="J163" s="239">
        <f>H163/DAY(B2)</f>
        <v>45.56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'24'!F164</f>
        <v>4307</v>
      </c>
      <c r="F164" s="235">
        <v>4308</v>
      </c>
      <c r="G164" s="238">
        <f t="shared" si="13"/>
        <v>1</v>
      </c>
      <c r="H164" s="99">
        <f>G164+'24'!H164</f>
        <v>66</v>
      </c>
      <c r="I164" s="236"/>
      <c r="J164" s="239">
        <f>H164/DAY(B2)</f>
        <v>2.64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'24'!F165</f>
        <v>29801</v>
      </c>
      <c r="F165" s="235">
        <v>29809</v>
      </c>
      <c r="G165" s="238">
        <f t="shared" si="13"/>
        <v>8</v>
      </c>
      <c r="H165" s="99">
        <f>G165+'24'!H165</f>
        <v>163</v>
      </c>
      <c r="I165" s="236"/>
      <c r="J165" s="239">
        <f>H165/DAY(B2)</f>
        <v>6.52</v>
      </c>
    </row>
    <row r="166" spans="1:10" ht="29.25">
      <c r="A166" s="832"/>
      <c r="B166" s="832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1.75" customHeight="1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36" t="s">
        <v>209</v>
      </c>
      <c r="B173" s="837"/>
      <c r="C173" s="333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>
      <c r="A174" s="836" t="s">
        <v>75</v>
      </c>
      <c r="B174" s="837"/>
      <c r="C174" s="333"/>
      <c r="D174" s="228" t="s">
        <v>142</v>
      </c>
      <c r="E174" s="95">
        <f>'24'!F174</f>
        <v>38528</v>
      </c>
      <c r="F174" s="157">
        <v>38536</v>
      </c>
      <c r="G174" s="155">
        <f t="shared" ref="G174:G175" si="14">F174-E174</f>
        <v>8</v>
      </c>
      <c r="H174" s="99">
        <f>G174+'24'!H174</f>
        <v>243</v>
      </c>
      <c r="I174" s="155"/>
      <c r="J174" s="178">
        <f>H174/DAY(B2)</f>
        <v>9.7200000000000006</v>
      </c>
    </row>
    <row r="175" spans="1:10" ht="21.75" customHeight="1">
      <c r="A175" s="836" t="s">
        <v>76</v>
      </c>
      <c r="B175" s="876"/>
      <c r="C175" s="837"/>
      <c r="D175" s="228" t="s">
        <v>142</v>
      </c>
      <c r="E175" s="95">
        <f>'24'!F175</f>
        <v>21745</v>
      </c>
      <c r="F175" s="155">
        <v>21753</v>
      </c>
      <c r="G175" s="155">
        <f t="shared" si="14"/>
        <v>8</v>
      </c>
      <c r="H175" s="99">
        <f>G175+'24'!H175</f>
        <v>235</v>
      </c>
      <c r="I175" s="155"/>
      <c r="J175" s="178">
        <f>H175/DAY(B2)</f>
        <v>9.4</v>
      </c>
    </row>
    <row r="176" spans="1:10" ht="23.25" customHeight="1">
      <c r="A176" s="827" t="s">
        <v>196</v>
      </c>
      <c r="B176" s="828"/>
      <c r="C176" s="485"/>
      <c r="D176" s="228" t="s">
        <v>142</v>
      </c>
      <c r="E176" s="95"/>
      <c r="F176" s="155"/>
      <c r="G176" s="155">
        <f>SUM(G173:G175)</f>
        <v>16</v>
      </c>
      <c r="H176" s="99">
        <f>G176+'24'!H176</f>
        <v>478</v>
      </c>
      <c r="I176" s="155"/>
      <c r="J176" s="178">
        <f>H176/DAY(B2)</f>
        <v>19.12</v>
      </c>
    </row>
    <row r="177" spans="1:10" ht="21.7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'24'!F178</f>
        <v>80936</v>
      </c>
      <c r="F178" s="155">
        <v>80957</v>
      </c>
      <c r="G178" s="155">
        <f>F178-E178</f>
        <v>21</v>
      </c>
      <c r="H178" s="99">
        <f>G178+'24'!H178</f>
        <v>1343</v>
      </c>
      <c r="I178" s="155"/>
      <c r="J178" s="178">
        <f>H178/DAY(B2)</f>
        <v>53.72</v>
      </c>
    </row>
    <row r="179" spans="1:10" ht="24" customHeight="1">
      <c r="A179" s="836" t="s">
        <v>211</v>
      </c>
      <c r="B179" s="837"/>
      <c r="C179" s="333"/>
      <c r="D179" s="228" t="s">
        <v>142</v>
      </c>
      <c r="E179" s="95">
        <f>'24'!F179</f>
        <v>34452</v>
      </c>
      <c r="F179" s="155">
        <v>34532</v>
      </c>
      <c r="G179" s="155">
        <f t="shared" ref="G179:G180" si="15">F179-E179</f>
        <v>80</v>
      </c>
      <c r="H179" s="99">
        <f>G179+'24'!H179</f>
        <v>617</v>
      </c>
      <c r="I179" s="155"/>
      <c r="J179" s="178">
        <f>H179/DAY(B2)</f>
        <v>24.68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'24'!F180</f>
        <v>5651</v>
      </c>
      <c r="F180" s="155">
        <v>5658</v>
      </c>
      <c r="G180" s="155">
        <f t="shared" si="15"/>
        <v>7</v>
      </c>
      <c r="H180" s="99">
        <f>G180+'24'!H180</f>
        <v>181</v>
      </c>
      <c r="I180" s="155"/>
      <c r="J180" s="178">
        <f>H180/DAY(B2)</f>
        <v>7.24</v>
      </c>
    </row>
    <row r="181" spans="1:10" ht="27.75">
      <c r="A181" s="838" t="s">
        <v>108</v>
      </c>
      <c r="B181" s="839"/>
      <c r="C181" s="485"/>
      <c r="D181" s="228" t="s">
        <v>142</v>
      </c>
      <c r="E181" s="95"/>
      <c r="F181" s="155"/>
      <c r="G181" s="155">
        <f>SUM(G178:G180)</f>
        <v>108</v>
      </c>
      <c r="H181" s="99">
        <f>G181+'24'!H181</f>
        <v>2141</v>
      </c>
      <c r="I181" s="155"/>
      <c r="J181" s="178">
        <f>H181/DAY(B2)</f>
        <v>85.64</v>
      </c>
    </row>
    <row r="182" spans="1:10" ht="27.75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'24'!F183</f>
        <v>15279</v>
      </c>
      <c r="F183" s="157">
        <v>15286</v>
      </c>
      <c r="G183" s="157">
        <f>F183-E183</f>
        <v>7</v>
      </c>
      <c r="H183" s="99">
        <f>G183+'24'!H183</f>
        <v>339</v>
      </c>
      <c r="I183" s="155"/>
      <c r="J183" s="178">
        <f>H183/DAY(B2)</f>
        <v>13.56</v>
      </c>
    </row>
    <row r="184" spans="1:10" ht="30.75" customHeight="1">
      <c r="A184" s="836" t="s">
        <v>215</v>
      </c>
      <c r="B184" s="837"/>
      <c r="C184" s="334"/>
      <c r="D184" s="228" t="s">
        <v>142</v>
      </c>
      <c r="E184" s="95">
        <f>'24'!F184</f>
        <v>10442</v>
      </c>
      <c r="F184" s="157">
        <v>10454</v>
      </c>
      <c r="G184" s="157">
        <f t="shared" ref="G184:G185" si="16">F184-E184</f>
        <v>12</v>
      </c>
      <c r="H184" s="99">
        <f>G184+'24'!H184</f>
        <v>153</v>
      </c>
      <c r="I184" s="155"/>
      <c r="J184" s="178">
        <f>H184/DAY(B2)</f>
        <v>6.12</v>
      </c>
    </row>
    <row r="185" spans="1:10" ht="23.25" customHeight="1">
      <c r="A185" s="836" t="s">
        <v>216</v>
      </c>
      <c r="B185" s="837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484"/>
      <c r="D186" s="228" t="s">
        <v>142</v>
      </c>
      <c r="E186" s="95"/>
      <c r="F186" s="157">
        <v>0</v>
      </c>
      <c r="G186" s="157">
        <f>SUM(G183:G185)</f>
        <v>19</v>
      </c>
      <c r="H186" s="99">
        <f>G186+'24'!H186</f>
        <v>492</v>
      </c>
      <c r="I186" s="157"/>
      <c r="J186" s="178">
        <f>H186/DAY(B2)</f>
        <v>19.68</v>
      </c>
    </row>
    <row r="187" spans="1:10" ht="27.75">
      <c r="A187" s="829" t="s">
        <v>217</v>
      </c>
      <c r="B187" s="830"/>
      <c r="C187" s="333"/>
      <c r="D187" s="228" t="s">
        <v>142</v>
      </c>
      <c r="E187" s="95">
        <f>'24'!F187</f>
        <v>0</v>
      </c>
      <c r="F187" s="159"/>
      <c r="G187" s="462">
        <f>G62+G19</f>
        <v>152</v>
      </c>
      <c r="H187" s="99">
        <f>G187+'24'!H187</f>
        <v>3039</v>
      </c>
      <c r="I187" s="158"/>
      <c r="J187" s="179">
        <f>H187/DAY(B2)</f>
        <v>121.56</v>
      </c>
    </row>
    <row r="188" spans="1:10" ht="27.75">
      <c r="A188" s="829" t="s">
        <v>218</v>
      </c>
      <c r="B188" s="830"/>
      <c r="C188" s="333"/>
      <c r="D188" s="230" t="s">
        <v>142</v>
      </c>
      <c r="E188" s="95">
        <f>'24'!F188</f>
        <v>0</v>
      </c>
      <c r="F188" s="159"/>
      <c r="G188" s="462">
        <f>G65+G66+G67+G69+G70</f>
        <v>134</v>
      </c>
      <c r="H188" s="99">
        <f>G188+'24'!H188</f>
        <v>1443</v>
      </c>
      <c r="I188" s="158"/>
      <c r="J188" s="179">
        <f>H188/DAY(B2)</f>
        <v>57.72</v>
      </c>
    </row>
    <row r="189" spans="1:10" ht="27.75">
      <c r="A189" s="829" t="s">
        <v>219</v>
      </c>
      <c r="B189" s="830"/>
      <c r="C189" s="333"/>
      <c r="D189" s="230" t="s">
        <v>142</v>
      </c>
      <c r="E189" s="95">
        <f>'24'!F189</f>
        <v>0</v>
      </c>
      <c r="F189" s="157"/>
      <c r="G189" s="459">
        <f>G181</f>
        <v>108</v>
      </c>
      <c r="H189" s="99">
        <f>G189+'24'!H189</f>
        <v>551</v>
      </c>
      <c r="I189" s="158"/>
      <c r="J189" s="179">
        <f>H189/DAY(B2)</f>
        <v>22.04</v>
      </c>
    </row>
    <row r="190" spans="1:10" ht="27.75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60" workbookViewId="0">
      <selection activeCell="G11" sqref="G1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357</v>
      </c>
      <c r="B2" s="262">
        <v>44587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22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'25'!F7</f>
        <v>547409</v>
      </c>
      <c r="F7" s="95">
        <v>563863</v>
      </c>
      <c r="G7" s="112">
        <f>F7-E7</f>
        <v>16454</v>
      </c>
      <c r="H7" s="99">
        <f>G7+'25'!H7</f>
        <v>469302</v>
      </c>
      <c r="I7" s="113">
        <f>'1'!I7</f>
        <v>12000</v>
      </c>
      <c r="J7" s="175">
        <f>H7/DAY(B2)</f>
        <v>18050.076923076922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'25'!F8</f>
        <v>603218</v>
      </c>
      <c r="F8" s="95">
        <v>620110</v>
      </c>
      <c r="G8" s="115">
        <f>F8-E8</f>
        <v>16892</v>
      </c>
      <c r="H8" s="99">
        <f>G8+'25'!H8</f>
        <v>479225</v>
      </c>
      <c r="I8" s="116"/>
      <c r="J8" s="175">
        <f>H8/DAY(B2)</f>
        <v>18431.73076923077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'25'!F9</f>
        <v>193704</v>
      </c>
      <c r="F9" s="601">
        <v>207852</v>
      </c>
      <c r="G9" s="112">
        <f>F9-E9</f>
        <v>14148</v>
      </c>
      <c r="H9" s="99">
        <f>G9+'25'!H9</f>
        <v>306357</v>
      </c>
      <c r="I9" s="124">
        <f>I7-J7</f>
        <v>-6050.076923076922</v>
      </c>
      <c r="J9" s="175">
        <f>H9/DAY(B2)</f>
        <v>11782.961538461539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'25'!F10</f>
        <v>93083</v>
      </c>
      <c r="F10" s="353">
        <v>95081</v>
      </c>
      <c r="G10" s="112">
        <f t="shared" ref="G10:G12" si="0">F10-E10</f>
        <v>1998</v>
      </c>
      <c r="H10" s="99">
        <f>G10+'25'!H10</f>
        <v>149987</v>
      </c>
      <c r="I10" s="282"/>
      <c r="J10" s="175">
        <f>H10/DAY(B2)</f>
        <v>5768.7307692307695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170</v>
      </c>
      <c r="I11" s="282"/>
      <c r="J11" s="175">
        <f>H11/DAY(B2)</f>
        <v>6.5384615384615383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16146</v>
      </c>
      <c r="H13" s="99">
        <f>G13+'25'!H13</f>
        <v>437048.74999999988</v>
      </c>
      <c r="I13" s="120">
        <f>G7-G13</f>
        <v>308</v>
      </c>
      <c r="J13" s="175">
        <f>H13/DAY(B2)</f>
        <v>16809.567307692305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'25'!F15</f>
        <v>1900929</v>
      </c>
      <c r="F15" s="123">
        <v>1901865</v>
      </c>
      <c r="G15" s="112">
        <f>(F15-E15)</f>
        <v>936</v>
      </c>
      <c r="H15" s="99">
        <f>G15+'25'!H15</f>
        <v>23435</v>
      </c>
      <c r="I15" s="113">
        <f>'1'!I15</f>
        <v>800</v>
      </c>
      <c r="J15" s="175">
        <f>H15/DAY(B2)</f>
        <v>901.34615384615381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-101.34615384615381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'25'!F18</f>
        <v>14</v>
      </c>
      <c r="F18" s="122">
        <v>12</v>
      </c>
      <c r="G18" s="119">
        <f>F18*10</f>
        <v>120</v>
      </c>
      <c r="H18" s="99">
        <f>G18+'25'!H18</f>
        <v>2950</v>
      </c>
      <c r="I18" s="113">
        <f>'1'!I18</f>
        <v>65</v>
      </c>
      <c r="J18" s="175">
        <f>H18/DAY(B2)</f>
        <v>113.46153846153847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'25'!F19</f>
        <v>153563</v>
      </c>
      <c r="F19" s="122">
        <v>153618</v>
      </c>
      <c r="G19" s="112">
        <f t="shared" ref="G19" si="1">F19-E19</f>
        <v>55</v>
      </c>
      <c r="H19" s="99">
        <f>G19+'25'!H19</f>
        <v>1393</v>
      </c>
      <c r="I19" s="335"/>
      <c r="J19" s="175">
        <f>H19/DAY(B2)</f>
        <v>53.57692307692308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175</v>
      </c>
      <c r="H20" s="99">
        <f>G20+'25'!H20</f>
        <v>4343</v>
      </c>
      <c r="I20" s="336">
        <f>I18-J20</f>
        <v>-102.03846153846155</v>
      </c>
      <c r="J20" s="175">
        <f>H20/DAY(B2)</f>
        <v>167.03846153846155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110</v>
      </c>
      <c r="I23" s="118"/>
      <c r="J23" s="175">
        <f>H23/DAY(B2)</f>
        <v>4.2307692307692308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110</v>
      </c>
      <c r="I24" s="118"/>
      <c r="J24" s="175">
        <f>H24/DAY(B2)</f>
        <v>4.2307692307692308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16892</v>
      </c>
      <c r="F27" s="136">
        <v>9</v>
      </c>
      <c r="G27" s="137">
        <f>E27*F27</f>
        <v>152028</v>
      </c>
      <c r="H27" s="99">
        <f>G27+'25'!H27</f>
        <v>4313025</v>
      </c>
      <c r="I27" s="138"/>
      <c r="J27" s="175">
        <f>H27/DAY(B2)</f>
        <v>165885.57692307694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936</v>
      </c>
      <c r="F28" s="136">
        <v>52</v>
      </c>
      <c r="G28" s="137">
        <f>E28*F28</f>
        <v>48672</v>
      </c>
      <c r="H28" s="99">
        <f>G28+'25'!H28</f>
        <v>1218620</v>
      </c>
      <c r="I28" s="140"/>
      <c r="J28" s="175">
        <f>H28/DAY(B2)</f>
        <v>46870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7590</v>
      </c>
      <c r="I29" s="140"/>
      <c r="J29" s="175">
        <f>H29/DAY(B2)</f>
        <v>291.92307692307691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203378</v>
      </c>
      <c r="I30" s="140"/>
      <c r="J30" s="175">
        <f>H30/DAY(B2)</f>
        <v>7822.2307692307695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G31+'25'!H31</f>
        <v>236000</v>
      </c>
      <c r="I31" s="140"/>
      <c r="J31" s="175">
        <f>H31/DAY(B2)</f>
        <v>9076.9230769230762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218330</v>
      </c>
      <c r="H32" s="99">
        <f>G32+'25'!H32</f>
        <v>5978613</v>
      </c>
      <c r="I32" s="144"/>
      <c r="J32" s="175">
        <f>H32/DAY(B2)</f>
        <v>229946.65384615384</v>
      </c>
      <c r="K32" s="63"/>
      <c r="L32" s="89"/>
      <c r="N32" s="87"/>
      <c r="O32" s="71"/>
    </row>
    <row r="33" spans="1:15" ht="25.5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'25'!F35</f>
        <v>24516</v>
      </c>
      <c r="F35" s="145">
        <v>25764</v>
      </c>
      <c r="G35" s="112">
        <f t="shared" ref="G35:G46" si="3">F35-E35</f>
        <v>1248</v>
      </c>
      <c r="H35" s="99">
        <f>G35+'25'!H35</f>
        <v>40964</v>
      </c>
      <c r="I35" s="95"/>
      <c r="J35" s="175">
        <f>H35/DAY(B2)</f>
        <v>1575.5384615384614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'25'!F36</f>
        <v>39240</v>
      </c>
      <c r="F36" s="145">
        <v>39883</v>
      </c>
      <c r="G36" s="112">
        <f t="shared" si="3"/>
        <v>643</v>
      </c>
      <c r="H36" s="99">
        <f>G36+'25'!H36</f>
        <v>18356</v>
      </c>
      <c r="I36" s="95"/>
      <c r="J36" s="175">
        <f>H36/DAY(B2)</f>
        <v>706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'25'!F37</f>
        <v>25996</v>
      </c>
      <c r="F37" s="145">
        <v>27515</v>
      </c>
      <c r="G37" s="112">
        <f t="shared" si="3"/>
        <v>1519</v>
      </c>
      <c r="H37" s="99">
        <f>G37+'25'!H37</f>
        <v>39727</v>
      </c>
      <c r="I37" s="95"/>
      <c r="J37" s="175">
        <f>H37/DAY(B2)</f>
        <v>1527.9615384615386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'25'!F38</f>
        <v>28079</v>
      </c>
      <c r="F38" s="108">
        <v>29825</v>
      </c>
      <c r="G38" s="112">
        <f t="shared" si="3"/>
        <v>1746</v>
      </c>
      <c r="H38" s="99">
        <f>G38+'25'!H38</f>
        <v>43025.000000000007</v>
      </c>
      <c r="I38" s="95"/>
      <c r="J38" s="175">
        <f>H38/DAY(B2)</f>
        <v>1654.8076923076926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'25'!F39</f>
        <v>43529</v>
      </c>
      <c r="F39" s="145">
        <v>46086</v>
      </c>
      <c r="G39" s="112">
        <f t="shared" si="3"/>
        <v>2557</v>
      </c>
      <c r="H39" s="99">
        <f>G39+'25'!H39</f>
        <v>67768</v>
      </c>
      <c r="I39" s="95"/>
      <c r="J39" s="175">
        <f>H39/DAY(B2)</f>
        <v>2606.4615384615386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'25'!F40</f>
        <v>16777</v>
      </c>
      <c r="F40" s="145">
        <v>17469</v>
      </c>
      <c r="G40" s="112">
        <f t="shared" si="3"/>
        <v>692</v>
      </c>
      <c r="H40" s="99">
        <f>G40+'25'!H40</f>
        <v>11859</v>
      </c>
      <c r="I40" s="95"/>
      <c r="J40" s="175">
        <f>H40/DAY(B2)</f>
        <v>456.11538461538464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'25'!F42</f>
        <v>76837</v>
      </c>
      <c r="F42" s="145">
        <v>80285</v>
      </c>
      <c r="G42" s="112">
        <f t="shared" si="3"/>
        <v>3448</v>
      </c>
      <c r="H42" s="99">
        <f>G42+'25'!H42</f>
        <v>6476</v>
      </c>
      <c r="I42" s="95"/>
      <c r="J42" s="175">
        <f>H42/DAY(B2)</f>
        <v>249.07692307692307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'25'!F43</f>
        <v>103125</v>
      </c>
      <c r="F43" s="145">
        <v>105073</v>
      </c>
      <c r="G43" s="112">
        <f t="shared" si="3"/>
        <v>1948</v>
      </c>
      <c r="H43" s="99">
        <f>G43+'25'!H43</f>
        <v>57812</v>
      </c>
      <c r="I43" s="95"/>
      <c r="J43" s="175">
        <f>H43/DAY(B2)</f>
        <v>2223.5384615384614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13801</v>
      </c>
      <c r="H47" s="99">
        <f>G47+'25'!H47</f>
        <v>285987.00000000006</v>
      </c>
      <c r="I47" s="95"/>
      <c r="J47" s="175">
        <f>H47/DAY(B2)</f>
        <v>10999.500000000002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'25'!F49</f>
        <v>19847</v>
      </c>
      <c r="F49" s="145">
        <v>20678</v>
      </c>
      <c r="G49" s="112">
        <f t="shared" ref="G49:G58" si="4">F49-E49</f>
        <v>831</v>
      </c>
      <c r="H49" s="99">
        <f>G49+'25'!H49</f>
        <v>33799</v>
      </c>
      <c r="I49" s="95"/>
      <c r="J49" s="175">
        <f>H49/DAY(B2)</f>
        <v>1299.9615384615386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'25'!F50</f>
        <v>50260</v>
      </c>
      <c r="F50" s="145">
        <v>51269</v>
      </c>
      <c r="G50" s="112">
        <f t="shared" si="4"/>
        <v>1009</v>
      </c>
      <c r="H50" s="99">
        <f>G50+'25'!H50</f>
        <v>26619</v>
      </c>
      <c r="I50" s="95"/>
      <c r="J50" s="175">
        <f>H50/DAY(B2)</f>
        <v>1023.8076923076923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'25'!F54</f>
        <v>5147</v>
      </c>
      <c r="F54" s="145">
        <v>5147</v>
      </c>
      <c r="G54" s="112">
        <f t="shared" si="4"/>
        <v>0</v>
      </c>
      <c r="H54" s="99">
        <f>G54+'25'!H54</f>
        <v>6914.08</v>
      </c>
      <c r="I54" s="95"/>
      <c r="J54" s="175">
        <f>H54/DAY(B2)</f>
        <v>265.92615384615385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'25'!F55</f>
        <v>74366</v>
      </c>
      <c r="F55" s="145">
        <v>74366</v>
      </c>
      <c r="G55" s="112">
        <f t="shared" si="4"/>
        <v>0</v>
      </c>
      <c r="H55" s="99">
        <f>G55+'25'!H55</f>
        <v>70855</v>
      </c>
      <c r="I55" s="95"/>
      <c r="J55" s="175">
        <f>H55/DAY(B2)</f>
        <v>2725.1923076923076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'25'!F58</f>
        <v>3595</v>
      </c>
      <c r="F58" s="145">
        <v>3797</v>
      </c>
      <c r="G58" s="112">
        <f t="shared" si="4"/>
        <v>202</v>
      </c>
      <c r="H58" s="99">
        <f>G58+'25'!H58</f>
        <v>4137.6300000000047</v>
      </c>
      <c r="I58" s="95"/>
      <c r="J58" s="175">
        <f>H58/DAY(B2)</f>
        <v>159.13961538461555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2042</v>
      </c>
      <c r="H59" s="99">
        <f>G59+'25'!H59</f>
        <v>142324.71000000005</v>
      </c>
      <c r="I59" s="95">
        <f>G7-G60</f>
        <v>611</v>
      </c>
      <c r="J59" s="175">
        <f>H59/DAY(B2)</f>
        <v>5474.0273076923095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15843</v>
      </c>
      <c r="H60" s="99">
        <f>G60+'25'!H60</f>
        <v>428311.70999999996</v>
      </c>
      <c r="I60" s="95">
        <f>G13-G60</f>
        <v>303</v>
      </c>
      <c r="J60" s="175">
        <f>H60/DAY(B2)</f>
        <v>16473.527307692308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'25'!F62</f>
        <v>268914</v>
      </c>
      <c r="F62" s="122">
        <v>269007</v>
      </c>
      <c r="G62" s="112">
        <f t="shared" ref="G62:G63" si="5">F62-E62</f>
        <v>93</v>
      </c>
      <c r="H62" s="99">
        <f>G62+'25'!H62</f>
        <v>1794</v>
      </c>
      <c r="I62" s="118"/>
      <c r="J62" s="175">
        <f>H62/DAY(B2)</f>
        <v>69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'25'!F63</f>
        <v>215002</v>
      </c>
      <c r="F63" s="122">
        <v>215129</v>
      </c>
      <c r="G63" s="112">
        <f t="shared" si="5"/>
        <v>127</v>
      </c>
      <c r="H63" s="99">
        <f>G63+'25'!H63</f>
        <v>2704</v>
      </c>
      <c r="I63" s="118"/>
      <c r="J63" s="175">
        <f>H63/DAY(B2)</f>
        <v>104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'25'!F64</f>
        <v>0</v>
      </c>
      <c r="F64" s="122"/>
      <c r="G64" s="112">
        <f>G62+G63</f>
        <v>220</v>
      </c>
      <c r="H64" s="99">
        <f>G64+'25'!H64</f>
        <v>4498</v>
      </c>
      <c r="I64" s="118"/>
      <c r="J64" s="175">
        <f>H64/DAY(B2)</f>
        <v>173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'25'!F65</f>
        <v>434415</v>
      </c>
      <c r="F65" s="122">
        <v>434499</v>
      </c>
      <c r="G65" s="112">
        <f t="shared" ref="G65:G70" si="6">F65-E65</f>
        <v>84</v>
      </c>
      <c r="H65" s="99">
        <f>G65+'25'!H65</f>
        <v>1885</v>
      </c>
      <c r="I65" s="118"/>
      <c r="J65" s="175">
        <f>H65/DAY(B2)</f>
        <v>72.5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'25'!F66</f>
        <v>107618</v>
      </c>
      <c r="F66" s="122">
        <v>107637</v>
      </c>
      <c r="G66" s="112">
        <f t="shared" si="6"/>
        <v>19</v>
      </c>
      <c r="H66" s="99">
        <f>G66+'25'!H66</f>
        <v>423</v>
      </c>
      <c r="I66" s="118"/>
      <c r="J66" s="175">
        <f>H66/DAY(B2)</f>
        <v>16.26923076923077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'25'!F67</f>
        <v>104500</v>
      </c>
      <c r="F67" s="122">
        <v>104526</v>
      </c>
      <c r="G67" s="112">
        <f t="shared" si="6"/>
        <v>26</v>
      </c>
      <c r="H67" s="99">
        <f>G67+'25'!H67</f>
        <v>598</v>
      </c>
      <c r="I67" s="118"/>
      <c r="J67" s="175">
        <f>H67/DAY(B2)</f>
        <v>23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'25'!F68</f>
        <v>157420</v>
      </c>
      <c r="F68" s="122">
        <v>157470</v>
      </c>
      <c r="G68" s="112">
        <f t="shared" si="6"/>
        <v>50</v>
      </c>
      <c r="H68" s="99">
        <f>G68+'25'!H68</f>
        <v>850</v>
      </c>
      <c r="I68" s="118"/>
      <c r="J68" s="175">
        <f>H68/DAY(B2)</f>
        <v>32.692307692307693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'25'!F69</f>
        <v>10494</v>
      </c>
      <c r="F69" s="122">
        <v>10502</v>
      </c>
      <c r="G69" s="112">
        <f t="shared" si="6"/>
        <v>8</v>
      </c>
      <c r="H69" s="99">
        <f>G69+'25'!H69</f>
        <v>288</v>
      </c>
      <c r="I69" s="118"/>
      <c r="J69" s="175">
        <f>H69/DAY(B2)</f>
        <v>11.076923076923077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'25'!F70</f>
        <v>8042</v>
      </c>
      <c r="F70" s="122">
        <v>8055</v>
      </c>
      <c r="G70" s="112">
        <f t="shared" si="6"/>
        <v>13</v>
      </c>
      <c r="H70" s="99">
        <f>G70+'25'!H70</f>
        <v>193</v>
      </c>
      <c r="I70" s="118"/>
      <c r="J70" s="175">
        <f>H70/DAY(B2)</f>
        <v>7.4230769230769234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200</v>
      </c>
      <c r="H71" s="99">
        <f>G71+'25'!H71</f>
        <v>4237</v>
      </c>
      <c r="I71" s="154"/>
      <c r="J71" s="175">
        <f>H71/DAY(B2)</f>
        <v>162.96153846153845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'25'!F74</f>
        <v>899470</v>
      </c>
      <c r="F74" s="123">
        <v>899756</v>
      </c>
      <c r="G74" s="112">
        <f t="shared" ref="G74:G78" si="7">F74-E74</f>
        <v>286</v>
      </c>
      <c r="H74" s="99">
        <f>G74+'25'!H74</f>
        <v>7724</v>
      </c>
      <c r="I74" s="154"/>
      <c r="J74" s="175">
        <f>H74/DAY(B2)</f>
        <v>297.07692307692309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'25'!F76</f>
        <v>169420</v>
      </c>
      <c r="F76" s="123">
        <v>169525</v>
      </c>
      <c r="G76" s="112">
        <f t="shared" si="7"/>
        <v>105</v>
      </c>
      <c r="H76" s="99">
        <f>G76+'25'!H76</f>
        <v>2318</v>
      </c>
      <c r="I76" s="154"/>
      <c r="J76" s="175">
        <f>H76/DAY(B2)</f>
        <v>89.15384615384616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'25'!F77</f>
        <v>41085</v>
      </c>
      <c r="F77" s="123">
        <v>41116</v>
      </c>
      <c r="G77" s="112">
        <f t="shared" si="7"/>
        <v>31</v>
      </c>
      <c r="H77" s="99">
        <f>G77+'25'!H77</f>
        <v>800</v>
      </c>
      <c r="I77" s="154"/>
      <c r="J77" s="175">
        <f>H77/DAY(B2)</f>
        <v>30.76923076923077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'25'!F78</f>
        <v>9508</v>
      </c>
      <c r="F78" s="123">
        <v>9509</v>
      </c>
      <c r="G78" s="112">
        <f t="shared" si="7"/>
        <v>1</v>
      </c>
      <c r="H78" s="99">
        <f>G78+'25'!H78</f>
        <v>23</v>
      </c>
      <c r="I78" s="118"/>
      <c r="J78" s="175">
        <f>H78/DAY(B2)</f>
        <v>0.88461538461538458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'25'!F79</f>
        <v>0</v>
      </c>
      <c r="F79" s="117"/>
      <c r="G79" s="112">
        <f>G15-SUM(G74:G78)</f>
        <v>513</v>
      </c>
      <c r="H79" s="99">
        <f>G79+'25'!H79</f>
        <v>12570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936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'25'!F85</f>
        <v>2118</v>
      </c>
      <c r="F85" s="164">
        <v>2142</v>
      </c>
      <c r="G85" s="112">
        <f t="shared" si="8"/>
        <v>24</v>
      </c>
      <c r="H85" s="99">
        <f>G85+'25'!H85</f>
        <v>45.440000000000055</v>
      </c>
      <c r="I85" s="118">
        <f>G82+G83+G84+G85</f>
        <v>24</v>
      </c>
      <c r="J85" s="175">
        <f>H85/DAY(B2)</f>
        <v>1.7476923076923099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'25'!F86</f>
        <v>43442</v>
      </c>
      <c r="F86" s="164">
        <v>43442</v>
      </c>
      <c r="G86" s="112">
        <f t="shared" si="8"/>
        <v>0</v>
      </c>
      <c r="H86" s="99">
        <f>G86+'25'!H86</f>
        <v>579</v>
      </c>
      <c r="I86" s="118"/>
      <c r="J86" s="175">
        <f>H86/DAY(B2)</f>
        <v>22.26923076923077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'25'!F88</f>
        <v>24063</v>
      </c>
      <c r="F88" s="164">
        <v>24063</v>
      </c>
      <c r="G88" s="112">
        <f t="shared" si="8"/>
        <v>0</v>
      </c>
      <c r="H88" s="99">
        <f>G88+'25'!H88</f>
        <v>16</v>
      </c>
      <c r="I88" s="118">
        <f>G86+G87+G88</f>
        <v>0</v>
      </c>
      <c r="J88" s="175">
        <f>H88/DAY(B2)</f>
        <v>0.61538461538461542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'25'!F89</f>
        <v>25833.98</v>
      </c>
      <c r="F89" s="164">
        <v>25843</v>
      </c>
      <c r="G89" s="112">
        <f t="shared" si="8"/>
        <v>9.0200000000004366</v>
      </c>
      <c r="H89" s="99">
        <f>G89+'25'!H89</f>
        <v>180</v>
      </c>
      <c r="I89" s="118"/>
      <c r="J89" s="175">
        <f>H89/DAY(B2)</f>
        <v>6.9230769230769234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'25'!F90</f>
        <v>71150</v>
      </c>
      <c r="F90" s="164">
        <v>71153</v>
      </c>
      <c r="G90" s="112">
        <f t="shared" si="8"/>
        <v>3</v>
      </c>
      <c r="H90" s="99">
        <f>G90+'25'!H90</f>
        <v>119</v>
      </c>
      <c r="I90" s="118">
        <f>G89+G90</f>
        <v>12.020000000000437</v>
      </c>
      <c r="J90" s="175">
        <f>H90/DAY(B2)</f>
        <v>4.5769230769230766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-0.32000000000016371</v>
      </c>
      <c r="I91" s="165"/>
      <c r="J91" s="175">
        <f>H91/DAY(B2)</f>
        <v>-1.2307692307698605E-2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'25'!F92</f>
        <v>5699</v>
      </c>
      <c r="F92" s="122">
        <v>5710</v>
      </c>
      <c r="G92" s="112">
        <f t="shared" si="8"/>
        <v>11</v>
      </c>
      <c r="H92" s="99">
        <f>G92+'25'!H92</f>
        <v>272</v>
      </c>
      <c r="I92" s="165"/>
      <c r="J92" s="175">
        <f>H92/DAY(B2)</f>
        <v>10.461538461538462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4027</v>
      </c>
      <c r="H94" s="99">
        <f>G94+'25'!H94</f>
        <v>132575</v>
      </c>
      <c r="I94" s="118"/>
      <c r="J94" s="175">
        <f>H94/DAY(B2)</f>
        <v>5099.0384615384619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0.24474291965479519</v>
      </c>
      <c r="H95" s="99">
        <f>G95+'25'!H95</f>
        <v>7.3249477467825228</v>
      </c>
      <c r="I95" s="167"/>
      <c r="J95" s="175">
        <f>H95/DAY(B2)</f>
        <v>0.28172875949163551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3448</v>
      </c>
      <c r="H96" s="99">
        <f>G96+'25'!H96</f>
        <v>77331</v>
      </c>
      <c r="I96" s="118"/>
      <c r="J96" s="175">
        <f>H96/DAY(B2)</f>
        <v>2974.2692307692309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0.2095539078643491</v>
      </c>
      <c r="H97" s="99">
        <f>G97+'25'!H97</f>
        <v>4.297541029679862</v>
      </c>
      <c r="I97" s="167"/>
      <c r="J97" s="175">
        <f>H97/DAY(B2)</f>
        <v>0.16529003960307162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2557</v>
      </c>
      <c r="H98" s="99">
        <f>G98+'25'!H98</f>
        <v>67768</v>
      </c>
      <c r="I98" s="168"/>
      <c r="J98" s="175">
        <f>H98/DAY(B2)</f>
        <v>2606.4615384615386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0.15540294153397349</v>
      </c>
      <c r="H99" s="99">
        <f>G99+'25'!H99</f>
        <v>3.7662961563298842</v>
      </c>
      <c r="I99" s="168"/>
      <c r="J99" s="175">
        <f>H99/DAY(B2)</f>
        <v>0.14485754447422633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1746</v>
      </c>
      <c r="H100" s="99">
        <f>G100+'25'!H100</f>
        <v>43025.000000000007</v>
      </c>
      <c r="I100" s="118"/>
      <c r="J100" s="175">
        <f>H100/DAY(B2)</f>
        <v>1654.8076923076926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0.10611401482922085</v>
      </c>
      <c r="H101" s="99">
        <f>G101+'25'!H101</f>
        <v>2.3939388564258337</v>
      </c>
      <c r="I101" s="168"/>
      <c r="J101" s="175">
        <f>H101/DAY(B2)</f>
        <v>9.2074571400993607E-2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1652</v>
      </c>
      <c r="H102" s="99">
        <f>G102+'25'!H102</f>
        <v>44975</v>
      </c>
      <c r="I102" s="168"/>
      <c r="J102" s="175">
        <f>H102/DAY(B2)</f>
        <v>1729.8076923076924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0.1004011182691139</v>
      </c>
      <c r="H103" s="99">
        <f>G103+'25'!H103</f>
        <v>2.4858544214778817</v>
      </c>
      <c r="I103" s="118"/>
      <c r="J103" s="175">
        <f>H103/DAY(B2)</f>
        <v>9.5609785441456985E-2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1519</v>
      </c>
      <c r="H104" s="99">
        <f>G104+'25'!H104</f>
        <v>39727</v>
      </c>
      <c r="I104" s="118"/>
      <c r="J104" s="175">
        <f>H104/DAY(B2)</f>
        <v>1527.9615384615386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9.2317977391515746E-2</v>
      </c>
      <c r="H105" s="99">
        <f>G105+'25'!H105</f>
        <v>2.2117236704367325</v>
      </c>
      <c r="I105" s="187"/>
      <c r="J105" s="188">
        <f>H105/DAY(B2)</f>
        <v>8.5066295016797397E-2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'25'!F112</f>
        <v>57588</v>
      </c>
      <c r="F112" s="237">
        <v>57672</v>
      </c>
      <c r="G112" s="112">
        <f t="shared" ref="G112:G123" si="9">F112-E112</f>
        <v>84</v>
      </c>
      <c r="H112" s="99">
        <f>G112+'25'!H112</f>
        <v>1991</v>
      </c>
      <c r="I112" s="165"/>
      <c r="J112" s="328">
        <f>H112/DAY(B2)</f>
        <v>76.57692307692308</v>
      </c>
    </row>
    <row r="113" spans="1:18" ht="27.75">
      <c r="A113" s="843" t="s">
        <v>253</v>
      </c>
      <c r="B113" s="844"/>
      <c r="C113" s="845"/>
      <c r="D113" s="146" t="s">
        <v>183</v>
      </c>
      <c r="E113" s="95">
        <f>'25'!F113</f>
        <v>43624</v>
      </c>
      <c r="F113" s="237">
        <v>44098</v>
      </c>
      <c r="G113" s="112">
        <f t="shared" si="9"/>
        <v>474</v>
      </c>
      <c r="H113" s="99">
        <f>G113+'25'!H113</f>
        <v>11903</v>
      </c>
      <c r="I113" s="165"/>
      <c r="J113" s="328">
        <f>H113/DAY(B2)</f>
        <v>457.80769230769232</v>
      </c>
    </row>
    <row r="114" spans="1:18" ht="27.75">
      <c r="A114" s="843" t="s">
        <v>254</v>
      </c>
      <c r="B114" s="844"/>
      <c r="C114" s="845"/>
      <c r="D114" s="146" t="s">
        <v>183</v>
      </c>
      <c r="E114" s="95">
        <f>'25'!F114</f>
        <v>31608</v>
      </c>
      <c r="F114" s="237">
        <v>31873</v>
      </c>
      <c r="G114" s="112">
        <f t="shared" si="9"/>
        <v>265</v>
      </c>
      <c r="H114" s="99">
        <f>G114+'25'!H114</f>
        <v>6868.4</v>
      </c>
      <c r="I114" s="165"/>
      <c r="J114" s="328">
        <f>H114/DAY(B2)</f>
        <v>264.16923076923075</v>
      </c>
    </row>
    <row r="115" spans="1:18" ht="27.75">
      <c r="A115" s="843" t="s">
        <v>255</v>
      </c>
      <c r="B115" s="844"/>
      <c r="C115" s="845"/>
      <c r="D115" s="146" t="s">
        <v>183</v>
      </c>
      <c r="E115" s="95">
        <f>'25'!F115</f>
        <v>9038</v>
      </c>
      <c r="F115" s="237">
        <v>9047</v>
      </c>
      <c r="G115" s="112">
        <f t="shared" si="9"/>
        <v>9</v>
      </c>
      <c r="H115" s="99">
        <f>G115+'25'!H115</f>
        <v>262</v>
      </c>
      <c r="I115" s="165"/>
      <c r="J115" s="328">
        <f>H115/DAY(B2)</f>
        <v>10.076923076923077</v>
      </c>
    </row>
    <row r="116" spans="1:18" ht="27.75">
      <c r="A116" s="850" t="s">
        <v>96</v>
      </c>
      <c r="B116" s="851"/>
      <c r="C116" s="852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27.75">
      <c r="A117" s="850" t="s">
        <v>184</v>
      </c>
      <c r="B117" s="851"/>
      <c r="C117" s="852"/>
      <c r="D117" s="146" t="s">
        <v>183</v>
      </c>
      <c r="E117" s="95">
        <f>'25'!F117</f>
        <v>3184</v>
      </c>
      <c r="F117" s="237">
        <v>3211</v>
      </c>
      <c r="G117" s="112">
        <f t="shared" si="9"/>
        <v>27</v>
      </c>
      <c r="H117" s="99">
        <f>G117+'25'!H117</f>
        <v>621</v>
      </c>
      <c r="I117" s="165"/>
      <c r="J117" s="328">
        <f>H117/DAY(B2)</f>
        <v>23.884615384615383</v>
      </c>
      <c r="Q117" s="843" t="s">
        <v>312</v>
      </c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'25'!F118</f>
        <v>250445</v>
      </c>
      <c r="F118" s="237">
        <v>250782</v>
      </c>
      <c r="G118" s="112">
        <f t="shared" si="9"/>
        <v>337</v>
      </c>
      <c r="H118" s="99">
        <f>G118+'25'!H118</f>
        <v>9135</v>
      </c>
      <c r="I118" s="165"/>
      <c r="J118" s="328">
        <f>H118/DAY(B2)</f>
        <v>351.34615384615387</v>
      </c>
      <c r="Q118" s="843" t="s">
        <v>311</v>
      </c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'25'!F119</f>
        <v>255651</v>
      </c>
      <c r="F119" s="237">
        <v>256078</v>
      </c>
      <c r="G119" s="112">
        <f t="shared" si="9"/>
        <v>427</v>
      </c>
      <c r="H119" s="99">
        <f>G119+'25'!H119</f>
        <v>10952</v>
      </c>
      <c r="I119" s="165"/>
      <c r="J119" s="328">
        <f>H119/DAY(B2)</f>
        <v>421.23076923076923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'25'!F120</f>
        <v>40452</v>
      </c>
      <c r="F120" s="237">
        <v>40875</v>
      </c>
      <c r="G120" s="112">
        <f t="shared" si="9"/>
        <v>423</v>
      </c>
      <c r="H120" s="99">
        <f>G120+'25'!H120</f>
        <v>10797</v>
      </c>
      <c r="I120" s="165"/>
      <c r="J120" s="328">
        <f>H120/DAY(B2)</f>
        <v>415.26923076923077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'25'!F121</f>
        <v>393764</v>
      </c>
      <c r="F121" s="237">
        <v>394601</v>
      </c>
      <c r="G121" s="112">
        <f t="shared" si="9"/>
        <v>837</v>
      </c>
      <c r="H121" s="99">
        <f>G121+'25'!H121</f>
        <v>18072</v>
      </c>
      <c r="I121" s="165"/>
      <c r="J121" s="328">
        <f>H121/DAY(B2)</f>
        <v>695.07692307692309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'25'!F122</f>
        <v>125032</v>
      </c>
      <c r="F122" s="237">
        <v>125189</v>
      </c>
      <c r="G122" s="112">
        <f t="shared" si="9"/>
        <v>157</v>
      </c>
      <c r="H122" s="99">
        <f>G122+'25'!H122</f>
        <v>5139</v>
      </c>
      <c r="I122" s="165"/>
      <c r="J122" s="328">
        <f>H122/DAY(B2)</f>
        <v>197.65384615384616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'25'!F123</f>
        <v>152394</v>
      </c>
      <c r="F123" s="237">
        <v>152660</v>
      </c>
      <c r="G123" s="112">
        <f t="shared" si="9"/>
        <v>266</v>
      </c>
      <c r="H123" s="99">
        <f>G123+'25'!H123</f>
        <v>7535</v>
      </c>
      <c r="I123" s="165"/>
      <c r="J123" s="328">
        <f>H123/DAY(B2)</f>
        <v>289.80769230769232</v>
      </c>
    </row>
    <row r="124" spans="1:18" ht="27.75">
      <c r="A124" s="847"/>
      <c r="B124" s="848"/>
      <c r="C124" s="849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3306</v>
      </c>
      <c r="H125" s="156"/>
      <c r="I125" s="327">
        <f>G125-(G39+G53)</f>
        <v>749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>
      <c r="A128" s="843" t="s">
        <v>318</v>
      </c>
      <c r="B128" s="844"/>
      <c r="C128" s="845"/>
      <c r="D128" s="151" t="s">
        <v>183</v>
      </c>
      <c r="E128" s="95">
        <f>'25'!F128</f>
        <v>45920</v>
      </c>
      <c r="F128" s="165">
        <v>46244</v>
      </c>
      <c r="G128" s="112">
        <f t="shared" ref="G128:G134" si="10">F128-E128</f>
        <v>324</v>
      </c>
      <c r="H128" s="99">
        <f>G128+'25'!H128</f>
        <v>8240</v>
      </c>
      <c r="I128" s="165"/>
      <c r="J128" s="328">
        <f>H128/DAY(B2)</f>
        <v>316.92307692307691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'25'!F129</f>
        <v>25739</v>
      </c>
      <c r="F129" s="165">
        <v>25957</v>
      </c>
      <c r="G129" s="112">
        <f t="shared" si="10"/>
        <v>218</v>
      </c>
      <c r="H129" s="99">
        <f>G129+'25'!H129</f>
        <v>5636</v>
      </c>
      <c r="I129" s="165"/>
      <c r="J129" s="328">
        <f>H129/DAY(B2)</f>
        <v>216.76923076923077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'25'!F130</f>
        <v>32848</v>
      </c>
      <c r="F130" s="165">
        <v>33360</v>
      </c>
      <c r="G130" s="112">
        <f t="shared" si="10"/>
        <v>512</v>
      </c>
      <c r="H130" s="99">
        <f>G130+'25'!H130</f>
        <v>14978</v>
      </c>
      <c r="I130" s="165"/>
      <c r="J130" s="328">
        <f>H130/DAY(B2)</f>
        <v>576.07692307692309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'25'!F131</f>
        <v>14961</v>
      </c>
      <c r="F131" s="165">
        <v>15020</v>
      </c>
      <c r="G131" s="112">
        <f t="shared" si="10"/>
        <v>59</v>
      </c>
      <c r="H131" s="99">
        <f>G131+'25'!H131</f>
        <v>1867</v>
      </c>
      <c r="I131" s="165"/>
      <c r="J131" s="328">
        <f>H131/DAY(B2)</f>
        <v>71.807692307692307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'25'!F132</f>
        <v>50849</v>
      </c>
      <c r="F132" s="165">
        <v>51045</v>
      </c>
      <c r="G132" s="112">
        <f t="shared" si="10"/>
        <v>196</v>
      </c>
      <c r="H132" s="99">
        <f>G132+'25'!H132</f>
        <v>10022</v>
      </c>
      <c r="I132" s="165"/>
      <c r="J132" s="328">
        <f>H132/DAY(B2)</f>
        <v>385.46153846153845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'25'!F133</f>
        <v>102712</v>
      </c>
      <c r="F133" s="165">
        <v>103140</v>
      </c>
      <c r="G133" s="112">
        <f t="shared" si="10"/>
        <v>428</v>
      </c>
      <c r="H133" s="99">
        <f>G133+'25'!H133</f>
        <v>15437</v>
      </c>
      <c r="I133" s="165"/>
      <c r="J133" s="328">
        <f>H133/DAY(B2)</f>
        <v>593.73076923076928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'25'!F134</f>
        <v>7700</v>
      </c>
      <c r="F134" s="165">
        <v>7872</v>
      </c>
      <c r="G134" s="112">
        <f t="shared" si="10"/>
        <v>172</v>
      </c>
      <c r="H134" s="99">
        <f>G134+'25'!H134</f>
        <v>10165.999999999998</v>
      </c>
      <c r="I134" s="165"/>
      <c r="J134" s="328">
        <f>H134/DAY(B2)</f>
        <v>390.99999999999994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1909</v>
      </c>
      <c r="H135" s="99">
        <f>G135+'23'!H135</f>
        <v>35269.169999999984</v>
      </c>
      <c r="I135" s="327">
        <f>G135-(G35+G49)</f>
        <v>-170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'25'!F138</f>
        <v>865829</v>
      </c>
      <c r="F138" s="147">
        <v>865891</v>
      </c>
      <c r="G138" s="112">
        <f t="shared" ref="G138:G152" si="11">F138-E138</f>
        <v>62</v>
      </c>
      <c r="H138" s="99">
        <f>G138+'25'!H138</f>
        <v>1720</v>
      </c>
      <c r="I138" s="118"/>
      <c r="J138" s="328">
        <f>H138/DAY(B2)</f>
        <v>66.15384615384616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'25'!F139</f>
        <v>886569</v>
      </c>
      <c r="F139" s="148">
        <v>886569</v>
      </c>
      <c r="G139" s="112">
        <f t="shared" si="11"/>
        <v>0</v>
      </c>
      <c r="H139" s="99">
        <f>G139+'25'!H139</f>
        <v>23</v>
      </c>
      <c r="I139" s="118"/>
      <c r="J139" s="328">
        <f>H139/DAY(B2)</f>
        <v>0.88461538461538458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'25'!F140</f>
        <v>88922</v>
      </c>
      <c r="F140" s="149">
        <v>88922</v>
      </c>
      <c r="G140" s="112">
        <f t="shared" si="11"/>
        <v>0</v>
      </c>
      <c r="H140" s="99">
        <f>G140+'25'!H140</f>
        <v>40</v>
      </c>
      <c r="I140" s="118"/>
      <c r="J140" s="328">
        <f>H140/DAY(B2)</f>
        <v>1.5384615384615385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'25'!F141</f>
        <v>53648</v>
      </c>
      <c r="F141" s="149">
        <v>53837</v>
      </c>
      <c r="G141" s="112">
        <f t="shared" si="11"/>
        <v>189</v>
      </c>
      <c r="H141" s="99">
        <f>G141+'25'!H141</f>
        <v>4531</v>
      </c>
      <c r="I141" s="118"/>
      <c r="J141" s="328">
        <f>H141/DAY(B2)</f>
        <v>174.26923076923077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'25'!F142</f>
        <v>20807</v>
      </c>
      <c r="F142" s="148">
        <v>20902</v>
      </c>
      <c r="G142" s="112">
        <f t="shared" si="11"/>
        <v>95</v>
      </c>
      <c r="H142" s="99">
        <f>G142+'25'!H142</f>
        <v>1893</v>
      </c>
      <c r="I142" s="140"/>
      <c r="J142" s="328">
        <f>H142/DAY(B2)</f>
        <v>72.807692307692307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'25'!F143</f>
        <v>3681</v>
      </c>
      <c r="F143" s="149">
        <v>3711</v>
      </c>
      <c r="G143" s="112">
        <f t="shared" si="11"/>
        <v>30</v>
      </c>
      <c r="H143" s="99">
        <f>G143+'25'!H143</f>
        <v>650</v>
      </c>
      <c r="I143" s="140"/>
      <c r="J143" s="328">
        <f>H143/DAY(B2)</f>
        <v>25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'25'!F144</f>
        <v>875283</v>
      </c>
      <c r="F144" s="149">
        <v>875477</v>
      </c>
      <c r="G144" s="112">
        <f t="shared" si="11"/>
        <v>194</v>
      </c>
      <c r="H144" s="99">
        <f>G144+'25'!H144</f>
        <v>5807</v>
      </c>
      <c r="I144" s="140"/>
      <c r="J144" s="328">
        <f>H144/DAY(B2)</f>
        <v>223.34615384615384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'25'!F145</f>
        <v>4915</v>
      </c>
      <c r="F145" s="149">
        <v>4921</v>
      </c>
      <c r="G145" s="112">
        <f t="shared" si="11"/>
        <v>6</v>
      </c>
      <c r="H145" s="99">
        <f>G145+'25'!H145</f>
        <v>363</v>
      </c>
      <c r="I145" s="140"/>
      <c r="J145" s="328">
        <f>H145/DAY(B2)</f>
        <v>13.961538461538462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'25'!F146</f>
        <v>734907</v>
      </c>
      <c r="F146" s="148">
        <v>735287</v>
      </c>
      <c r="G146" s="112">
        <f t="shared" si="11"/>
        <v>380</v>
      </c>
      <c r="H146" s="99">
        <f>G146+'25'!H146</f>
        <v>10429</v>
      </c>
      <c r="I146" s="140"/>
      <c r="J146" s="328">
        <f>H146/DAY(B2)</f>
        <v>401.11538461538464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'25'!F147</f>
        <v>624485</v>
      </c>
      <c r="F147" s="148">
        <v>624833</v>
      </c>
      <c r="G147" s="112">
        <f t="shared" si="11"/>
        <v>348</v>
      </c>
      <c r="H147" s="99">
        <f>G147+'25'!H147</f>
        <v>9551</v>
      </c>
      <c r="I147" s="140"/>
      <c r="J147" s="328">
        <f>H147/DAY(B2)</f>
        <v>367.34615384615387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'25'!F148</f>
        <v>688279</v>
      </c>
      <c r="F148" s="150">
        <v>688470</v>
      </c>
      <c r="G148" s="112">
        <f t="shared" si="11"/>
        <v>191</v>
      </c>
      <c r="H148" s="99">
        <f>G148+'25'!H148</f>
        <v>5436.8800000000047</v>
      </c>
      <c r="I148" s="124"/>
      <c r="J148" s="328">
        <f>H148/DAY(B2)</f>
        <v>209.11076923076942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'25'!F149</f>
        <v>21699</v>
      </c>
      <c r="F149" s="146">
        <v>22268</v>
      </c>
      <c r="G149" s="112">
        <f t="shared" si="11"/>
        <v>569</v>
      </c>
      <c r="H149" s="99">
        <f>G149+'25'!H149</f>
        <v>11519</v>
      </c>
      <c r="I149" s="119"/>
      <c r="J149" s="328">
        <f>H149/DAY(B2)</f>
        <v>443.03846153846155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'25'!F150</f>
        <v>9524</v>
      </c>
      <c r="F150" s="233">
        <v>9782</v>
      </c>
      <c r="G150" s="112">
        <f t="shared" si="11"/>
        <v>258</v>
      </c>
      <c r="H150" s="99">
        <f>G150+'25'!H150</f>
        <v>5730</v>
      </c>
      <c r="I150" s="119"/>
      <c r="J150" s="328">
        <f>H150/DAY(B2)</f>
        <v>220.38461538461539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'25'!F151</f>
        <v>83952</v>
      </c>
      <c r="F151" s="233">
        <v>84184</v>
      </c>
      <c r="G151" s="112">
        <f t="shared" si="11"/>
        <v>232</v>
      </c>
      <c r="H151" s="99">
        <f>G151+'25'!H151</f>
        <v>5967</v>
      </c>
      <c r="I151" s="119"/>
      <c r="J151" s="328">
        <f>H151/DAY(B2)</f>
        <v>229.5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'25'!F152</f>
        <v>1547</v>
      </c>
      <c r="F152" s="233">
        <v>1573</v>
      </c>
      <c r="G152" s="112">
        <f t="shared" si="11"/>
        <v>26</v>
      </c>
      <c r="H152" s="99">
        <f>G152+'25'!H152</f>
        <v>446</v>
      </c>
      <c r="I152" s="119"/>
      <c r="J152" s="328">
        <f>H152/DAY(B2)</f>
        <v>17.153846153846153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2580</v>
      </c>
      <c r="H153" s="363"/>
      <c r="I153" s="119">
        <f>G153-(G38+G52)</f>
        <v>834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'25'!F155</f>
        <v>28381</v>
      </c>
      <c r="F155" s="595">
        <v>28985</v>
      </c>
      <c r="G155" s="112">
        <f t="shared" ref="G155:G158" si="12">F155-E155</f>
        <v>604</v>
      </c>
      <c r="H155" s="99">
        <f>G155+'25'!H155</f>
        <v>15513</v>
      </c>
      <c r="I155" s="364"/>
      <c r="J155" s="328">
        <f>H155/DAY(B2)</f>
        <v>596.65384615384619</v>
      </c>
    </row>
    <row r="156" spans="1:10" ht="27.75">
      <c r="A156" s="823" t="s">
        <v>347</v>
      </c>
      <c r="B156" s="823"/>
      <c r="C156" s="823"/>
      <c r="D156" s="117" t="s">
        <v>130</v>
      </c>
      <c r="E156" s="95">
        <f>'25'!F156</f>
        <v>2391</v>
      </c>
      <c r="F156" s="155">
        <v>2460</v>
      </c>
      <c r="G156" s="112">
        <f t="shared" si="12"/>
        <v>69</v>
      </c>
      <c r="H156" s="99">
        <f>G156+'25'!H156</f>
        <v>1372</v>
      </c>
      <c r="I156" s="165"/>
      <c r="J156" s="328">
        <f>H156/DAY(B2)</f>
        <v>52.769230769230766</v>
      </c>
    </row>
    <row r="157" spans="1:10" ht="27.75">
      <c r="A157" s="824" t="s">
        <v>364</v>
      </c>
      <c r="B157" s="825"/>
      <c r="C157" s="826"/>
      <c r="D157" s="117" t="s">
        <v>130</v>
      </c>
      <c r="E157" s="95">
        <f>'25'!F157</f>
        <v>3410</v>
      </c>
      <c r="F157" s="155">
        <v>3487</v>
      </c>
      <c r="G157" s="112">
        <f t="shared" si="12"/>
        <v>77</v>
      </c>
      <c r="H157" s="99">
        <f>G157+'25'!H157</f>
        <v>766.84000000000015</v>
      </c>
      <c r="I157" s="165"/>
      <c r="J157" s="328"/>
    </row>
    <row r="158" spans="1:10" ht="27.75">
      <c r="A158" s="824" t="s">
        <v>365</v>
      </c>
      <c r="B158" s="825"/>
      <c r="C158" s="826"/>
      <c r="D158" s="117" t="s">
        <v>130</v>
      </c>
      <c r="E158" s="95">
        <f>'25'!F158</f>
        <v>43.75</v>
      </c>
      <c r="F158" s="155">
        <v>44.99</v>
      </c>
      <c r="G158" s="112">
        <f t="shared" si="12"/>
        <v>1.240000000000002</v>
      </c>
      <c r="H158" s="99">
        <f>G158+'25'!H158</f>
        <v>20.650000000000002</v>
      </c>
      <c r="I158" s="165"/>
      <c r="J158" s="328"/>
    </row>
    <row r="159" spans="1:10" ht="27.75">
      <c r="A159" s="907"/>
      <c r="B159" s="908"/>
      <c r="C159" s="909"/>
      <c r="D159" s="117"/>
      <c r="E159" s="95"/>
      <c r="F159" s="16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'25'!F161</f>
        <v>471893</v>
      </c>
      <c r="F161" s="235">
        <v>471909</v>
      </c>
      <c r="G161" s="238">
        <f t="shared" ref="G161:G165" si="13">F161-E161</f>
        <v>16</v>
      </c>
      <c r="H161" s="99">
        <f>G161+'25'!H161</f>
        <v>755.84000000002561</v>
      </c>
      <c r="I161" s="236"/>
      <c r="J161" s="239">
        <f>H161/DAY(B2)</f>
        <v>29.070769230770217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'25'!F162</f>
        <v>88329</v>
      </c>
      <c r="F162" s="235">
        <v>88359</v>
      </c>
      <c r="G162" s="238">
        <f t="shared" si="13"/>
        <v>30</v>
      </c>
      <c r="H162" s="99">
        <f>G162+'25'!H162</f>
        <v>789</v>
      </c>
      <c r="I162" s="236"/>
      <c r="J162" s="239">
        <f>H162/DAY(B2)</f>
        <v>30.346153846153847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'25'!F163</f>
        <v>78964</v>
      </c>
      <c r="F163" s="235">
        <v>78997</v>
      </c>
      <c r="G163" s="238">
        <f t="shared" si="13"/>
        <v>33</v>
      </c>
      <c r="H163" s="99">
        <f>G163+'25'!H163</f>
        <v>1172</v>
      </c>
      <c r="I163" s="236"/>
      <c r="J163" s="239">
        <f>H163/DAY(B2)</f>
        <v>45.07692307692308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'25'!F164</f>
        <v>4308</v>
      </c>
      <c r="F164" s="235">
        <v>4309</v>
      </c>
      <c r="G164" s="238">
        <f t="shared" si="13"/>
        <v>1</v>
      </c>
      <c r="H164" s="99">
        <f>G164+'25'!H164</f>
        <v>67</v>
      </c>
      <c r="I164" s="236"/>
      <c r="J164" s="239">
        <f>H164/DAY(B2)</f>
        <v>2.5769230769230771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'25'!F165</f>
        <v>29809</v>
      </c>
      <c r="F165" s="235">
        <v>29811</v>
      </c>
      <c r="G165" s="238">
        <f t="shared" si="13"/>
        <v>2</v>
      </c>
      <c r="H165" s="99">
        <f>G165+'25'!H165</f>
        <v>165</v>
      </c>
      <c r="I165" s="236"/>
      <c r="J165" s="239">
        <f>H165/DAY(B2)</f>
        <v>6.3461538461538458</v>
      </c>
    </row>
    <row r="166" spans="1:10" ht="29.25">
      <c r="A166" s="832"/>
      <c r="B166" s="832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'25'!F174</f>
        <v>38536</v>
      </c>
      <c r="F174" s="157">
        <v>38548</v>
      </c>
      <c r="G174" s="155">
        <f t="shared" ref="G174:G175" si="14">F174-E174</f>
        <v>12</v>
      </c>
      <c r="H174" s="99">
        <f>G174+'25'!H174</f>
        <v>255</v>
      </c>
      <c r="I174" s="155"/>
      <c r="J174" s="178">
        <f>H174/DAY(B2)</f>
        <v>9.8076923076923084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'25'!F175</f>
        <v>21753</v>
      </c>
      <c r="F175" s="155">
        <v>21763</v>
      </c>
      <c r="G175" s="155">
        <f t="shared" si="14"/>
        <v>10</v>
      </c>
      <c r="H175" s="99">
        <f>G175+'25'!H175</f>
        <v>245</v>
      </c>
      <c r="I175" s="155"/>
      <c r="J175" s="178">
        <f>H175/DAY(B2)</f>
        <v>9.4230769230769234</v>
      </c>
    </row>
    <row r="176" spans="1:10" ht="27.75">
      <c r="A176" s="827" t="s">
        <v>196</v>
      </c>
      <c r="B176" s="828"/>
      <c r="C176" s="485"/>
      <c r="D176" s="228" t="s">
        <v>142</v>
      </c>
      <c r="E176" s="95"/>
      <c r="F176" s="155"/>
      <c r="G176" s="155">
        <f>SUM(G173:G175)</f>
        <v>22</v>
      </c>
      <c r="H176" s="99">
        <f>G176+'25'!H176</f>
        <v>500</v>
      </c>
      <c r="I176" s="155"/>
      <c r="J176" s="178">
        <f>H176/DAY(B2)</f>
        <v>19.23076923076923</v>
      </c>
    </row>
    <row r="177" spans="1:10" ht="27.75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'25'!F178</f>
        <v>80957</v>
      </c>
      <c r="F178" s="155">
        <v>81012</v>
      </c>
      <c r="G178" s="155">
        <f>F178-E178</f>
        <v>55</v>
      </c>
      <c r="H178" s="99">
        <f>G178+'25'!H178</f>
        <v>1398</v>
      </c>
      <c r="I178" s="155"/>
      <c r="J178" s="178">
        <f>H178/DAY(B2)</f>
        <v>53.769230769230766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'25'!F179</f>
        <v>34532</v>
      </c>
      <c r="F179" s="155">
        <v>34580</v>
      </c>
      <c r="G179" s="155">
        <f t="shared" ref="G179:G180" si="15">F179-E179</f>
        <v>48</v>
      </c>
      <c r="H179" s="99">
        <f>G179+'25'!H179</f>
        <v>665</v>
      </c>
      <c r="I179" s="155"/>
      <c r="J179" s="178">
        <f>H179/DAY(B2)</f>
        <v>25.576923076923077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'25'!F180</f>
        <v>5658</v>
      </c>
      <c r="F180" s="155">
        <v>5658</v>
      </c>
      <c r="G180" s="155">
        <f t="shared" si="15"/>
        <v>0</v>
      </c>
      <c r="H180" s="99">
        <f>G180+'25'!H180</f>
        <v>181</v>
      </c>
      <c r="I180" s="155"/>
      <c r="J180" s="178">
        <f>H180/DAY(B2)</f>
        <v>6.9615384615384617</v>
      </c>
    </row>
    <row r="181" spans="1:10" ht="27.75">
      <c r="A181" s="838" t="s">
        <v>108</v>
      </c>
      <c r="B181" s="839"/>
      <c r="C181" s="485"/>
      <c r="D181" s="228" t="s">
        <v>142</v>
      </c>
      <c r="E181" s="95"/>
      <c r="F181" s="155"/>
      <c r="G181" s="155">
        <f>SUM(G178:G180)</f>
        <v>103</v>
      </c>
      <c r="H181" s="99">
        <f>G181+'25'!H181</f>
        <v>2244</v>
      </c>
      <c r="I181" s="155"/>
      <c r="J181" s="178">
        <f>H181/DAY(B2)</f>
        <v>86.307692307692307</v>
      </c>
    </row>
    <row r="182" spans="1:10" ht="27.75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'25'!F183</f>
        <v>15286</v>
      </c>
      <c r="F183" s="157">
        <v>15296</v>
      </c>
      <c r="G183" s="157">
        <f>F183-E183</f>
        <v>10</v>
      </c>
      <c r="H183" s="99">
        <f>G183+'25'!H183</f>
        <v>349</v>
      </c>
      <c r="I183" s="155"/>
      <c r="J183" s="178">
        <f>H183/DAY(B2)</f>
        <v>13.423076923076923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'25'!F184</f>
        <v>10454</v>
      </c>
      <c r="F184" s="157">
        <v>10461</v>
      </c>
      <c r="G184" s="157">
        <f t="shared" ref="G184:G185" si="16">F184-E184</f>
        <v>7</v>
      </c>
      <c r="H184" s="99">
        <f>G184+'25'!H184</f>
        <v>160</v>
      </c>
      <c r="I184" s="155"/>
      <c r="J184" s="178">
        <f>H184/DAY(B2)</f>
        <v>6.1538461538461542</v>
      </c>
    </row>
    <row r="185" spans="1:10" ht="27.75">
      <c r="A185" s="836" t="s">
        <v>216</v>
      </c>
      <c r="B185" s="837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17</v>
      </c>
      <c r="H186" s="99">
        <f>G186+'25'!H186</f>
        <v>509</v>
      </c>
      <c r="I186" s="157"/>
      <c r="J186" s="178">
        <f>H186/DAY(B2)</f>
        <v>19.576923076923077</v>
      </c>
    </row>
    <row r="187" spans="1:10" ht="27.75">
      <c r="A187" s="829" t="s">
        <v>217</v>
      </c>
      <c r="B187" s="830"/>
      <c r="C187" s="333"/>
      <c r="D187" s="228" t="s">
        <v>142</v>
      </c>
      <c r="E187" s="95">
        <f>'25'!F187</f>
        <v>0</v>
      </c>
      <c r="F187" s="159"/>
      <c r="G187" s="462">
        <f>G62+G19</f>
        <v>148</v>
      </c>
      <c r="H187" s="99">
        <f>G187+'25'!H187</f>
        <v>3187</v>
      </c>
      <c r="I187" s="158"/>
      <c r="J187" s="179">
        <f>H187/DAY(B2)</f>
        <v>122.57692307692308</v>
      </c>
    </row>
    <row r="188" spans="1:10" ht="27.75">
      <c r="A188" s="829" t="s">
        <v>218</v>
      </c>
      <c r="B188" s="830"/>
      <c r="C188" s="333"/>
      <c r="D188" s="228" t="s">
        <v>142</v>
      </c>
      <c r="E188" s="95">
        <f>'25'!F188</f>
        <v>0</v>
      </c>
      <c r="F188" s="159"/>
      <c r="G188" s="462">
        <f>G65+G66+G67+G69+G70</f>
        <v>150</v>
      </c>
      <c r="H188" s="99">
        <f>G188+'25'!H188</f>
        <v>1593</v>
      </c>
      <c r="I188" s="158"/>
      <c r="J188" s="179">
        <f>H188/DAY(B2)</f>
        <v>61.269230769230766</v>
      </c>
    </row>
    <row r="189" spans="1:10" ht="27.75">
      <c r="A189" s="829" t="s">
        <v>219</v>
      </c>
      <c r="B189" s="830"/>
      <c r="C189" s="333"/>
      <c r="D189" s="228" t="s">
        <v>142</v>
      </c>
      <c r="E189" s="95">
        <f>'25'!F189</f>
        <v>0</v>
      </c>
      <c r="F189" s="157"/>
      <c r="G189" s="459">
        <f>G181</f>
        <v>103</v>
      </c>
      <c r="H189" s="99">
        <f>G189+'25'!H189</f>
        <v>654</v>
      </c>
      <c r="I189" s="158"/>
      <c r="J189" s="179">
        <f>H189/DAY(B2)</f>
        <v>25.153846153846153</v>
      </c>
    </row>
    <row r="190" spans="1:10" ht="27.75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R1701"/>
  <sheetViews>
    <sheetView view="pageBreakPreview" zoomScale="55" zoomScaleSheetLayoutView="55" workbookViewId="0">
      <selection activeCell="G188" sqref="G18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357</v>
      </c>
      <c r="B2" s="262">
        <v>44588</v>
      </c>
      <c r="C2" s="348" t="s">
        <v>67</v>
      </c>
      <c r="D2" s="218">
        <v>0.74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22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v>563862</v>
      </c>
      <c r="F7" s="95">
        <v>581470</v>
      </c>
      <c r="G7" s="112">
        <f>F7-E7</f>
        <v>17608</v>
      </c>
      <c r="H7" s="99">
        <f>G7+'26'!H7</f>
        <v>486910</v>
      </c>
      <c r="I7" s="113">
        <f>'1'!I7</f>
        <v>12000</v>
      </c>
      <c r="J7" s="175">
        <f>H7/DAY(B2)</f>
        <v>18033.703703703704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'26'!F8</f>
        <v>620110</v>
      </c>
      <c r="F8" s="95">
        <v>637811</v>
      </c>
      <c r="G8" s="115">
        <f>F8-E8</f>
        <v>17701</v>
      </c>
      <c r="H8" s="99">
        <f>G8+'26'!H8</f>
        <v>496926</v>
      </c>
      <c r="I8" s="116"/>
      <c r="J8" s="175">
        <f>H8/DAY(B2)</f>
        <v>18404.666666666668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'26'!F9</f>
        <v>207852</v>
      </c>
      <c r="F9" s="601">
        <v>222801</v>
      </c>
      <c r="G9" s="112">
        <f>F9-E9</f>
        <v>14949</v>
      </c>
      <c r="H9" s="99">
        <f>G9+'26'!H9</f>
        <v>321306</v>
      </c>
      <c r="I9" s="124">
        <f>I7-J7</f>
        <v>-6033.7037037037044</v>
      </c>
      <c r="J9" s="175">
        <f>H9/DAY(B2)</f>
        <v>11900.222222222223</v>
      </c>
      <c r="K9" s="79">
        <f>K8-100</f>
        <v>1715817</v>
      </c>
      <c r="L9" s="66"/>
      <c r="N9" s="87"/>
      <c r="O9" s="71">
        <f>G8-G7</f>
        <v>93</v>
      </c>
    </row>
    <row r="10" spans="1:15" ht="29.25">
      <c r="A10" s="194" t="s">
        <v>133</v>
      </c>
      <c r="B10" s="195"/>
      <c r="C10" s="195"/>
      <c r="D10" s="151" t="s">
        <v>130</v>
      </c>
      <c r="E10" s="95">
        <f>'26'!F10</f>
        <v>95081</v>
      </c>
      <c r="F10" s="353">
        <v>97037</v>
      </c>
      <c r="G10" s="112">
        <f t="shared" ref="G10:G12" si="0">F10-E10</f>
        <v>1956</v>
      </c>
      <c r="H10" s="99">
        <f>G10+'26'!H10</f>
        <v>151943</v>
      </c>
      <c r="I10" s="282"/>
      <c r="J10" s="175">
        <f>H10/DAY(B2)</f>
        <v>5627.5185185185182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37170</v>
      </c>
      <c r="G11" s="112">
        <f t="shared" si="0"/>
        <v>0</v>
      </c>
      <c r="H11" s="99">
        <f>G11+'26'!H11</f>
        <v>170</v>
      </c>
      <c r="I11" s="282"/>
      <c r="J11" s="175">
        <f>H11/DAY(B2)</f>
        <v>6.2962962962962967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16905</v>
      </c>
      <c r="H13" s="99">
        <f>G13+'26'!H13</f>
        <v>453953.74999999988</v>
      </c>
      <c r="I13" s="120">
        <f>G7-G13</f>
        <v>703</v>
      </c>
      <c r="J13" s="175">
        <f>H13/DAY(B2)</f>
        <v>16813.101851851847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'26'!F15</f>
        <v>1901865</v>
      </c>
      <c r="F15" s="123">
        <v>1902819</v>
      </c>
      <c r="G15" s="112">
        <f>(F15-E15)</f>
        <v>954</v>
      </c>
      <c r="H15" s="99">
        <f>G15+'26'!H15</f>
        <v>24389</v>
      </c>
      <c r="I15" s="113">
        <f>'1'!I15</f>
        <v>800</v>
      </c>
      <c r="J15" s="175">
        <f>H15/DAY(B2)</f>
        <v>903.2962962962963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-103.2962962962963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'26'!F18</f>
        <v>12</v>
      </c>
      <c r="F18" s="122">
        <v>12</v>
      </c>
      <c r="G18" s="119">
        <f>F18*10</f>
        <v>120</v>
      </c>
      <c r="H18" s="99">
        <f>G18+'26'!H18</f>
        <v>3070</v>
      </c>
      <c r="I18" s="113">
        <f>'1'!I18</f>
        <v>65</v>
      </c>
      <c r="J18" s="175">
        <f>H18/DAY(B2)</f>
        <v>113.70370370370371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'26'!F19</f>
        <v>153618</v>
      </c>
      <c r="F19" s="122">
        <v>153675</v>
      </c>
      <c r="G19" s="112">
        <f t="shared" ref="G19" si="1">F19-E19</f>
        <v>57</v>
      </c>
      <c r="H19" s="99">
        <f>G19+'26'!H19</f>
        <v>1450</v>
      </c>
      <c r="I19" s="335"/>
      <c r="J19" s="175">
        <f>H19/DAY(B2)</f>
        <v>53.703703703703702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177</v>
      </c>
      <c r="H20" s="99">
        <f>G20+'26'!H20</f>
        <v>4520</v>
      </c>
      <c r="I20" s="336">
        <f>I18-J20</f>
        <v>-102.40740740740742</v>
      </c>
      <c r="J20" s="175">
        <f>H20/DAY(B2)</f>
        <v>167.40740740740742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110</v>
      </c>
      <c r="I23" s="118"/>
      <c r="J23" s="175">
        <f>H23/DAY(B2)</f>
        <v>4.0740740740740744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110</v>
      </c>
      <c r="I24" s="118"/>
      <c r="J24" s="175">
        <f>H24/DAY(B2)</f>
        <v>4.0740740740740744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17701</v>
      </c>
      <c r="F27" s="136">
        <v>9</v>
      </c>
      <c r="G27" s="137">
        <f>E27*F27</f>
        <v>159309</v>
      </c>
      <c r="H27" s="99">
        <f>G27+'26'!H27</f>
        <v>4472334</v>
      </c>
      <c r="I27" s="138"/>
      <c r="J27" s="175">
        <f>H27/DAY(B2)</f>
        <v>165642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954</v>
      </c>
      <c r="F28" s="136">
        <v>52</v>
      </c>
      <c r="G28" s="137">
        <f>E28*F28</f>
        <v>49608</v>
      </c>
      <c r="H28" s="99">
        <f>G28+'26'!H28</f>
        <v>1268228</v>
      </c>
      <c r="I28" s="140"/>
      <c r="J28" s="175">
        <f>H28/DAY(B2)</f>
        <v>46971.407407407409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7590</v>
      </c>
      <c r="I29" s="140"/>
      <c r="J29" s="175">
        <f>H29/DAY(B2)</f>
        <v>281.11111111111109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G30+'26'!H30</f>
        <v>211700</v>
      </c>
      <c r="I30" s="140"/>
      <c r="J30" s="175">
        <f>H30/DAY(B2)</f>
        <v>7840.7407407407409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G31+'26'!H31</f>
        <v>245600</v>
      </c>
      <c r="I31" s="140"/>
      <c r="J31" s="175">
        <f>H31/DAY(B2)</f>
        <v>9096.2962962962956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226839</v>
      </c>
      <c r="H32" s="99">
        <f>G32+'26'!H32</f>
        <v>6205452</v>
      </c>
      <c r="I32" s="144"/>
      <c r="J32" s="175">
        <f>H32/DAY(B2)</f>
        <v>229831.55555555556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'26'!F35</f>
        <v>25764</v>
      </c>
      <c r="F35" s="145">
        <v>27038</v>
      </c>
      <c r="G35" s="112">
        <f t="shared" ref="G35:G46" si="3">F35-E35</f>
        <v>1274</v>
      </c>
      <c r="H35" s="99">
        <f>G35+'26'!H35</f>
        <v>42238</v>
      </c>
      <c r="I35" s="95"/>
      <c r="J35" s="175">
        <f>H35/DAY(B2)</f>
        <v>1564.3703703703704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'26'!F36</f>
        <v>39883</v>
      </c>
      <c r="F36" s="145">
        <v>40590</v>
      </c>
      <c r="G36" s="112">
        <f t="shared" si="3"/>
        <v>707</v>
      </c>
      <c r="H36" s="99">
        <f>G36+'26'!H36</f>
        <v>19063</v>
      </c>
      <c r="I36" s="95"/>
      <c r="J36" s="175">
        <f>H36/DAY(B2)</f>
        <v>706.03703703703707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'26'!F37</f>
        <v>27515</v>
      </c>
      <c r="F37" s="145">
        <v>29097</v>
      </c>
      <c r="G37" s="112">
        <f t="shared" si="3"/>
        <v>1582</v>
      </c>
      <c r="H37" s="99">
        <f>G37+'26'!H37</f>
        <v>41309</v>
      </c>
      <c r="I37" s="95"/>
      <c r="J37" s="175">
        <f>H37/DAY(B2)</f>
        <v>1529.962962962963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'26'!F38</f>
        <v>29825</v>
      </c>
      <c r="F38" s="108">
        <v>31617</v>
      </c>
      <c r="G38" s="112">
        <f t="shared" si="3"/>
        <v>1792</v>
      </c>
      <c r="H38" s="99">
        <f>G38+'26'!H38</f>
        <v>44817.000000000007</v>
      </c>
      <c r="I38" s="95"/>
      <c r="J38" s="175">
        <f>H38/DAY(B2)</f>
        <v>1659.8888888888891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'26'!F39</f>
        <v>46086</v>
      </c>
      <c r="F39" s="145">
        <v>48698</v>
      </c>
      <c r="G39" s="112">
        <f t="shared" si="3"/>
        <v>2612</v>
      </c>
      <c r="H39" s="99">
        <f>G39+'26'!H39</f>
        <v>70380</v>
      </c>
      <c r="I39" s="95"/>
      <c r="J39" s="175">
        <f>H39/DAY(B2)</f>
        <v>2606.6666666666665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'26'!F40</f>
        <v>17469</v>
      </c>
      <c r="F40" s="145">
        <v>18283</v>
      </c>
      <c r="G40" s="112">
        <f t="shared" si="3"/>
        <v>814</v>
      </c>
      <c r="H40" s="99">
        <f>G40+'26'!H40</f>
        <v>12673</v>
      </c>
      <c r="I40" s="95"/>
      <c r="J40" s="175">
        <f>H40/DAY(B2)</f>
        <v>469.37037037037038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'26'!F42</f>
        <v>80285</v>
      </c>
      <c r="F42" s="145">
        <v>84219</v>
      </c>
      <c r="G42" s="112">
        <f t="shared" si="3"/>
        <v>3934</v>
      </c>
      <c r="H42" s="99">
        <f>G42+'26'!H42</f>
        <v>10410</v>
      </c>
      <c r="I42" s="95"/>
      <c r="J42" s="175">
        <f>H42/DAY(B2)</f>
        <v>385.55555555555554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'26'!F43</f>
        <v>105073</v>
      </c>
      <c r="F43" s="145">
        <v>107042</v>
      </c>
      <c r="G43" s="112">
        <f t="shared" si="3"/>
        <v>1969</v>
      </c>
      <c r="H43" s="99">
        <f>G43+'26'!H43</f>
        <v>59781</v>
      </c>
      <c r="I43" s="95"/>
      <c r="J43" s="175">
        <f>H43/DAY(B2)</f>
        <v>2214.1111111111113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14684</v>
      </c>
      <c r="H47" s="99">
        <f>G47+'26'!H47</f>
        <v>300671.00000000006</v>
      </c>
      <c r="I47" s="95"/>
      <c r="J47" s="175">
        <f>H47/DAY(B2)</f>
        <v>11135.962962962965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'26'!F49</f>
        <v>20678</v>
      </c>
      <c r="F49" s="145">
        <v>21515</v>
      </c>
      <c r="G49" s="112">
        <f t="shared" ref="G49:G58" si="4">F49-E49</f>
        <v>837</v>
      </c>
      <c r="H49" s="99">
        <f>G49+'26'!H49</f>
        <v>34636</v>
      </c>
      <c r="I49" s="95"/>
      <c r="J49" s="175">
        <f>H49/DAY(B2)</f>
        <v>1282.8148148148148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'26'!F50</f>
        <v>51269</v>
      </c>
      <c r="F50" s="145">
        <v>52246</v>
      </c>
      <c r="G50" s="112">
        <f t="shared" si="4"/>
        <v>977</v>
      </c>
      <c r="H50" s="99">
        <f>G50+'26'!H50</f>
        <v>27596</v>
      </c>
      <c r="I50" s="95"/>
      <c r="J50" s="175">
        <f>H50/DAY(B2)</f>
        <v>1022.074074074074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'26'!F54</f>
        <v>5147</v>
      </c>
      <c r="F54" s="145">
        <v>5147</v>
      </c>
      <c r="G54" s="112">
        <f t="shared" si="4"/>
        <v>0</v>
      </c>
      <c r="H54" s="99">
        <f>G54+'26'!H54</f>
        <v>6914.08</v>
      </c>
      <c r="I54" s="95"/>
      <c r="J54" s="175">
        <f>H54/DAY(B2)</f>
        <v>256.07703703703703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'26'!F55</f>
        <v>74366</v>
      </c>
      <c r="F55" s="145">
        <v>74366</v>
      </c>
      <c r="G55" s="112">
        <f t="shared" si="4"/>
        <v>0</v>
      </c>
      <c r="H55" s="99">
        <f>G55+'26'!H55</f>
        <v>70855</v>
      </c>
      <c r="I55" s="95"/>
      <c r="J55" s="175">
        <f>H55/DAY(B2)</f>
        <v>2624.2592592592591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'26'!F58</f>
        <v>3797</v>
      </c>
      <c r="F58" s="145">
        <v>3995</v>
      </c>
      <c r="G58" s="112">
        <f t="shared" si="4"/>
        <v>198</v>
      </c>
      <c r="H58" s="99">
        <f>G58+'26'!H58</f>
        <v>4335.6300000000047</v>
      </c>
      <c r="I58" s="95"/>
      <c r="J58" s="175">
        <f>H58/DAY(B2)</f>
        <v>160.57888888888905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2012</v>
      </c>
      <c r="H59" s="99">
        <f>G59+'26'!H59</f>
        <v>144336.71000000005</v>
      </c>
      <c r="I59" s="95">
        <f>G7-G60</f>
        <v>912</v>
      </c>
      <c r="J59" s="175">
        <f>H59/DAY(B2)</f>
        <v>5345.8040740740762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16696</v>
      </c>
      <c r="H60" s="99">
        <f>G60+'26'!H60</f>
        <v>445007.70999999996</v>
      </c>
      <c r="I60" s="95">
        <f>G13-G60</f>
        <v>209</v>
      </c>
      <c r="J60" s="175">
        <f>H60/DAY(B2)</f>
        <v>16481.767037037036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'26'!F62</f>
        <v>269007</v>
      </c>
      <c r="F62" s="122">
        <v>269127</v>
      </c>
      <c r="G62" s="112">
        <f t="shared" ref="G62:G63" si="5">F62-E62</f>
        <v>120</v>
      </c>
      <c r="H62" s="99">
        <f>G62+'26'!H62</f>
        <v>1914</v>
      </c>
      <c r="I62" s="118"/>
      <c r="J62" s="175">
        <f>H62/DAY(B2)</f>
        <v>70.888888888888886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'26'!F63</f>
        <v>215129</v>
      </c>
      <c r="F63" s="122">
        <v>215279</v>
      </c>
      <c r="G63" s="112">
        <f t="shared" si="5"/>
        <v>150</v>
      </c>
      <c r="H63" s="99">
        <f>G63+'26'!H63</f>
        <v>2854</v>
      </c>
      <c r="I63" s="118"/>
      <c r="J63" s="175">
        <f>H63/DAY(B2)</f>
        <v>105.70370370370371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'26'!F64</f>
        <v>0</v>
      </c>
      <c r="F64" s="122"/>
      <c r="G64" s="112">
        <f>G62+G63</f>
        <v>270</v>
      </c>
      <c r="H64" s="99">
        <f>G64+'26'!H64</f>
        <v>4768</v>
      </c>
      <c r="I64" s="118"/>
      <c r="J64" s="175">
        <f>H64/DAY(B2)</f>
        <v>176.59259259259258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'26'!F65</f>
        <v>434499</v>
      </c>
      <c r="F65" s="122">
        <v>434596</v>
      </c>
      <c r="G65" s="112">
        <f t="shared" ref="G65:G70" si="6">F65-E65</f>
        <v>97</v>
      </c>
      <c r="H65" s="99">
        <f>G65+'26'!H65</f>
        <v>1982</v>
      </c>
      <c r="I65" s="118"/>
      <c r="J65" s="175">
        <f>H65/DAY(B2)</f>
        <v>73.407407407407405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'26'!F66</f>
        <v>107637</v>
      </c>
      <c r="F66" s="122">
        <v>107662</v>
      </c>
      <c r="G66" s="112">
        <f t="shared" si="6"/>
        <v>25</v>
      </c>
      <c r="H66" s="99">
        <f>G66+'26'!H66</f>
        <v>448</v>
      </c>
      <c r="I66" s="118"/>
      <c r="J66" s="175">
        <f>H66/DAY(B2)</f>
        <v>16.592592592592592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'26'!F67</f>
        <v>104526</v>
      </c>
      <c r="F67" s="122">
        <v>104548</v>
      </c>
      <c r="G67" s="112">
        <f t="shared" si="6"/>
        <v>22</v>
      </c>
      <c r="H67" s="99">
        <f>G67+'26'!H67</f>
        <v>620</v>
      </c>
      <c r="I67" s="118"/>
      <c r="J67" s="175">
        <f>H67/DAY(B2)</f>
        <v>22.962962962962962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'26'!F68</f>
        <v>157470</v>
      </c>
      <c r="F68" s="122">
        <v>157527</v>
      </c>
      <c r="G68" s="112">
        <f t="shared" si="6"/>
        <v>57</v>
      </c>
      <c r="H68" s="99">
        <f>G68+'26'!H68</f>
        <v>907</v>
      </c>
      <c r="I68" s="118"/>
      <c r="J68" s="175">
        <f>H68/DAY(B2)</f>
        <v>33.592592592592595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'26'!F69</f>
        <v>10502</v>
      </c>
      <c r="F69" s="122">
        <v>10511</v>
      </c>
      <c r="G69" s="112">
        <f t="shared" si="6"/>
        <v>9</v>
      </c>
      <c r="H69" s="99">
        <f>G69+'26'!H69</f>
        <v>297</v>
      </c>
      <c r="I69" s="118"/>
      <c r="J69" s="175">
        <f>H69/DAY(B2)</f>
        <v>11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'26'!F70</f>
        <v>8055</v>
      </c>
      <c r="F70" s="122">
        <v>8066</v>
      </c>
      <c r="G70" s="112">
        <f t="shared" si="6"/>
        <v>11</v>
      </c>
      <c r="H70" s="99">
        <f>G70+'26'!H70</f>
        <v>204</v>
      </c>
      <c r="I70" s="118"/>
      <c r="J70" s="175">
        <f>H70/DAY(B2)</f>
        <v>7.5555555555555554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221</v>
      </c>
      <c r="H71" s="99">
        <f>G71+'26'!H71</f>
        <v>4458</v>
      </c>
      <c r="I71" s="154"/>
      <c r="J71" s="175">
        <f>H71/DAY(B2)</f>
        <v>165.11111111111111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'26'!F74</f>
        <v>899756</v>
      </c>
      <c r="F74" s="117">
        <v>900049</v>
      </c>
      <c r="G74" s="112">
        <f t="shared" ref="G74:G78" si="7">F74-E74</f>
        <v>293</v>
      </c>
      <c r="H74" s="99">
        <f>G74+'26'!H74</f>
        <v>8017</v>
      </c>
      <c r="I74" s="154"/>
      <c r="J74" s="175">
        <f>H74/DAY(B2)</f>
        <v>296.92592592592592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'26'!F76</f>
        <v>169525</v>
      </c>
      <c r="F76" s="123">
        <v>169624</v>
      </c>
      <c r="G76" s="112">
        <f t="shared" si="7"/>
        <v>99</v>
      </c>
      <c r="H76" s="99">
        <f>G76+'26'!H76</f>
        <v>2417</v>
      </c>
      <c r="I76" s="154"/>
      <c r="J76" s="175">
        <f>H76/DAY(B2)</f>
        <v>89.518518518518519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'26'!F77</f>
        <v>41116</v>
      </c>
      <c r="F77" s="123">
        <v>41143</v>
      </c>
      <c r="G77" s="112">
        <f t="shared" si="7"/>
        <v>27</v>
      </c>
      <c r="H77" s="99">
        <f>G77+'26'!H77</f>
        <v>827</v>
      </c>
      <c r="I77" s="154"/>
      <c r="J77" s="175">
        <f>H77/DAY(B2)</f>
        <v>30.62962962962963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'26'!F78</f>
        <v>9509</v>
      </c>
      <c r="F78" s="123">
        <v>9510</v>
      </c>
      <c r="G78" s="112">
        <f t="shared" si="7"/>
        <v>1</v>
      </c>
      <c r="H78" s="99">
        <f>G78+'26'!H78</f>
        <v>24</v>
      </c>
      <c r="I78" s="118"/>
      <c r="J78" s="175">
        <f>H78/DAY(B2)</f>
        <v>0.88888888888888884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'26'!F79</f>
        <v>0</v>
      </c>
      <c r="F79" s="123"/>
      <c r="G79" s="112">
        <f>G15-SUM(G74:G78)</f>
        <v>534</v>
      </c>
      <c r="H79" s="99">
        <f>G79+'26'!H79</f>
        <v>13104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954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'26'!F85</f>
        <v>2142</v>
      </c>
      <c r="F85" s="164">
        <v>2166</v>
      </c>
      <c r="G85" s="112">
        <f t="shared" si="8"/>
        <v>24</v>
      </c>
      <c r="H85" s="99">
        <f>G85+'26'!H85</f>
        <v>69.440000000000055</v>
      </c>
      <c r="I85" s="118">
        <f>G82+G83+G84+G85</f>
        <v>24</v>
      </c>
      <c r="J85" s="175">
        <f>H85/DAY(B2)</f>
        <v>2.5718518518518541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'26'!F86</f>
        <v>43442</v>
      </c>
      <c r="F86" s="164">
        <v>43442</v>
      </c>
      <c r="G86" s="112">
        <f t="shared" si="8"/>
        <v>0</v>
      </c>
      <c r="H86" s="99">
        <f>G86+'26'!H86</f>
        <v>579</v>
      </c>
      <c r="I86" s="118"/>
      <c r="J86" s="175">
        <f>H86/DAY(B2)</f>
        <v>21.444444444444443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'26'!F88</f>
        <v>24063</v>
      </c>
      <c r="F88" s="164">
        <v>24063</v>
      </c>
      <c r="G88" s="112">
        <f t="shared" si="8"/>
        <v>0</v>
      </c>
      <c r="H88" s="99">
        <f>G88+'26'!H88</f>
        <v>16</v>
      </c>
      <c r="I88" s="118">
        <f>G86+G87+G88</f>
        <v>0</v>
      </c>
      <c r="J88" s="175">
        <f>H88/DAY(B2)</f>
        <v>0.59259259259259256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'26'!F89</f>
        <v>25843</v>
      </c>
      <c r="F89" s="164">
        <v>25853</v>
      </c>
      <c r="G89" s="112">
        <f t="shared" si="8"/>
        <v>10</v>
      </c>
      <c r="H89" s="99">
        <f>G89+'26'!H89</f>
        <v>190</v>
      </c>
      <c r="I89" s="118"/>
      <c r="J89" s="175">
        <f>H89/DAY(B2)</f>
        <v>7.0370370370370372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'26'!F90</f>
        <v>71153</v>
      </c>
      <c r="F90" s="164">
        <v>71155</v>
      </c>
      <c r="G90" s="112">
        <f t="shared" si="8"/>
        <v>2</v>
      </c>
      <c r="H90" s="99">
        <v>23</v>
      </c>
      <c r="I90" s="118">
        <f>G89+G90</f>
        <v>12</v>
      </c>
      <c r="J90" s="175">
        <f>H90/DAY(B2)</f>
        <v>0.85185185185185186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-0.32000000000016371</v>
      </c>
      <c r="I91" s="165"/>
      <c r="J91" s="175">
        <f>H91/DAY(B2)</f>
        <v>-1.1851851851857916E-2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'26'!F92</f>
        <v>5710</v>
      </c>
      <c r="F92" s="122">
        <v>5721</v>
      </c>
      <c r="G92" s="112">
        <f t="shared" si="8"/>
        <v>11</v>
      </c>
      <c r="H92" s="99">
        <f>G92+'26'!H92</f>
        <v>283</v>
      </c>
      <c r="I92" s="165"/>
      <c r="J92" s="175">
        <f>H92/DAY(B2)</f>
        <v>10.481481481481481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4080</v>
      </c>
      <c r="H94" s="99">
        <f>G94+'26'!H94</f>
        <v>136655</v>
      </c>
      <c r="I94" s="118"/>
      <c r="J94" s="175">
        <f>H94/DAY(B2)</f>
        <v>5061.2962962962965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0.23171285779191278</v>
      </c>
      <c r="H95" s="99">
        <f>G95+'26'!H95</f>
        <v>7.5566606045744358</v>
      </c>
      <c r="I95" s="167"/>
      <c r="J95" s="175">
        <f>H95/DAY(B2)</f>
        <v>0.27987631868794205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3934</v>
      </c>
      <c r="H96" s="99">
        <f>G96+'26'!H96</f>
        <v>81265</v>
      </c>
      <c r="I96" s="118"/>
      <c r="J96" s="175">
        <f>H96/DAY(B2)</f>
        <v>3009.8148148148148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0.22342117219445706</v>
      </c>
      <c r="H97" s="99">
        <f>G97+'26'!H97</f>
        <v>4.520962201874319</v>
      </c>
      <c r="I97" s="167"/>
      <c r="J97" s="175">
        <f>H97/DAY(B2)</f>
        <v>0.16744304451386366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2612</v>
      </c>
      <c r="H98" s="99">
        <f>G98+'26'!H98</f>
        <v>70380</v>
      </c>
      <c r="I98" s="168"/>
      <c r="J98" s="175">
        <f>H98/DAY(B2)</f>
        <v>2606.6666666666665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0.14834166288050887</v>
      </c>
      <c r="H99" s="99">
        <f>G99+'26'!H99</f>
        <v>3.9146378192103932</v>
      </c>
      <c r="I99" s="168"/>
      <c r="J99" s="175">
        <f>H99/DAY(B2)</f>
        <v>0.14498658589668123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1792</v>
      </c>
      <c r="H100" s="99">
        <f>G100+'26'!H100</f>
        <v>44817.000000000007</v>
      </c>
      <c r="I100" s="118"/>
      <c r="J100" s="175">
        <f>H100/DAY(B2)</f>
        <v>1659.8888888888891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0.10177192185370286</v>
      </c>
      <c r="H101" s="99">
        <f>G101+'26'!H101</f>
        <v>2.4957107782795367</v>
      </c>
      <c r="I101" s="168"/>
      <c r="J101" s="175">
        <f>H101/DAY(B2)</f>
        <v>9.2433732528871729E-2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1684</v>
      </c>
      <c r="H102" s="99">
        <f>G102+'26'!H102</f>
        <v>46659</v>
      </c>
      <c r="I102" s="168"/>
      <c r="J102" s="175">
        <f>H102/DAY(B2)</f>
        <v>1728.1111111111111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9.5638346206269875E-2</v>
      </c>
      <c r="H103" s="99">
        <f>G103+'26'!H103</f>
        <v>2.5814927676841517</v>
      </c>
      <c r="I103" s="118"/>
      <c r="J103" s="175">
        <f>H103/DAY(B2)</f>
        <v>9.5610843247561181E-2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1582</v>
      </c>
      <c r="H104" s="99">
        <f>G104+'26'!H104</f>
        <v>41309</v>
      </c>
      <c r="I104" s="118"/>
      <c r="J104" s="175">
        <f>H104/DAY(B2)</f>
        <v>1529.962962962963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8.9845524761472062E-2</v>
      </c>
      <c r="H105" s="99">
        <f>G105+'26'!H105</f>
        <v>2.3015691951982045</v>
      </c>
      <c r="I105" s="187"/>
      <c r="J105" s="188">
        <f>H105/DAY(B2)</f>
        <v>8.5243303525859418E-2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'26'!F112</f>
        <v>57672</v>
      </c>
      <c r="F112" s="237">
        <v>57745</v>
      </c>
      <c r="G112" s="112">
        <f t="shared" ref="G112:G123" si="9">F112-E112</f>
        <v>73</v>
      </c>
      <c r="H112" s="99">
        <f>G112+'26'!H112</f>
        <v>2064</v>
      </c>
      <c r="I112" s="165"/>
      <c r="J112" s="328">
        <f>H112/DAY(B2)</f>
        <v>76.444444444444443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'26'!F113</f>
        <v>44098</v>
      </c>
      <c r="F113" s="237">
        <v>44536</v>
      </c>
      <c r="G113" s="112">
        <f t="shared" si="9"/>
        <v>438</v>
      </c>
      <c r="H113" s="99">
        <f>G113+'26'!H113</f>
        <v>12341</v>
      </c>
      <c r="I113" s="165"/>
      <c r="J113" s="328">
        <f>H113/DAY(B2)</f>
        <v>457.07407407407408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'26'!F114</f>
        <v>31873</v>
      </c>
      <c r="F114" s="237">
        <v>32124</v>
      </c>
      <c r="G114" s="112">
        <f t="shared" si="9"/>
        <v>251</v>
      </c>
      <c r="H114" s="99">
        <f>G114+'26'!H114</f>
        <v>7119.4</v>
      </c>
      <c r="I114" s="165"/>
      <c r="J114" s="328">
        <f>H114/DAY(B2)</f>
        <v>263.68148148148146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'26'!F115</f>
        <v>9047</v>
      </c>
      <c r="F115" s="237">
        <v>9055</v>
      </c>
      <c r="G115" s="112">
        <f t="shared" si="9"/>
        <v>8</v>
      </c>
      <c r="H115" s="99">
        <f>G115+'26'!H115</f>
        <v>270</v>
      </c>
      <c r="I115" s="165"/>
      <c r="J115" s="328">
        <f>H115/DAY(B2)</f>
        <v>10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'26'!F117</f>
        <v>3211</v>
      </c>
      <c r="F117" s="237">
        <v>3230</v>
      </c>
      <c r="G117" s="112">
        <f t="shared" si="9"/>
        <v>19</v>
      </c>
      <c r="H117" s="99">
        <f>G117+'26'!H117</f>
        <v>640</v>
      </c>
      <c r="I117" s="165"/>
      <c r="J117" s="328">
        <f>H117/DAY(B2)</f>
        <v>23.703703703703702</v>
      </c>
      <c r="Q117" s="843" t="s">
        <v>312</v>
      </c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'26'!F118</f>
        <v>250782</v>
      </c>
      <c r="F118" s="237">
        <v>251137</v>
      </c>
      <c r="G118" s="112">
        <f t="shared" si="9"/>
        <v>355</v>
      </c>
      <c r="H118" s="99">
        <f>G118+'26'!H118</f>
        <v>9490</v>
      </c>
      <c r="I118" s="165"/>
      <c r="J118" s="328">
        <f>H118/DAY(B2)</f>
        <v>351.48148148148147</v>
      </c>
      <c r="Q118" s="843" t="s">
        <v>311</v>
      </c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'26'!F119</f>
        <v>256078</v>
      </c>
      <c r="F119" s="237">
        <v>256464</v>
      </c>
      <c r="G119" s="112">
        <f t="shared" si="9"/>
        <v>386</v>
      </c>
      <c r="H119" s="99">
        <f>G119+'26'!H119</f>
        <v>11338</v>
      </c>
      <c r="I119" s="165"/>
      <c r="J119" s="328">
        <f>H119/DAY(B2)</f>
        <v>419.92592592592592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'26'!F120</f>
        <v>40875</v>
      </c>
      <c r="F120" s="237">
        <v>41275</v>
      </c>
      <c r="G120" s="112">
        <f t="shared" si="9"/>
        <v>400</v>
      </c>
      <c r="H120" s="99">
        <f>G120+'26'!H120</f>
        <v>11197</v>
      </c>
      <c r="I120" s="165"/>
      <c r="J120" s="328">
        <f>H120/DAY(B2)</f>
        <v>414.7037037037037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'26'!F121</f>
        <v>394601</v>
      </c>
      <c r="F121" s="237">
        <v>395153</v>
      </c>
      <c r="G121" s="112">
        <f t="shared" si="9"/>
        <v>552</v>
      </c>
      <c r="H121" s="99">
        <f>G121+'26'!H121</f>
        <v>18624</v>
      </c>
      <c r="I121" s="165"/>
      <c r="J121" s="328">
        <f>H121/DAY(B2)</f>
        <v>689.77777777777783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'26'!F122</f>
        <v>125189</v>
      </c>
      <c r="F122" s="237">
        <v>125384</v>
      </c>
      <c r="G122" s="112">
        <f t="shared" si="9"/>
        <v>195</v>
      </c>
      <c r="H122" s="99">
        <f>G122+'26'!H122</f>
        <v>5334</v>
      </c>
      <c r="I122" s="165"/>
      <c r="J122" s="328">
        <f>H122/DAY(B2)</f>
        <v>197.55555555555554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'26'!F123</f>
        <v>152660</v>
      </c>
      <c r="F123" s="237">
        <v>152943</v>
      </c>
      <c r="G123" s="112">
        <f t="shared" si="9"/>
        <v>283</v>
      </c>
      <c r="H123" s="99">
        <f>G123+'26'!H123</f>
        <v>7818</v>
      </c>
      <c r="I123" s="165"/>
      <c r="J123" s="328">
        <f>H123/DAY(B2)</f>
        <v>289.55555555555554</v>
      </c>
    </row>
    <row r="124" spans="1:18" ht="29.25" customHeight="1">
      <c r="A124" s="847"/>
      <c r="B124" s="848"/>
      <c r="C124" s="849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2960</v>
      </c>
      <c r="H125" s="156"/>
      <c r="I125" s="327">
        <f>G125-(G39+G53)</f>
        <v>348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'26'!F128</f>
        <v>46244</v>
      </c>
      <c r="F128" s="155">
        <v>46522</v>
      </c>
      <c r="G128" s="112">
        <f t="shared" ref="G128:G134" si="10">F128-E128</f>
        <v>278</v>
      </c>
      <c r="H128" s="99">
        <f>G128+'26'!H128</f>
        <v>8518</v>
      </c>
      <c r="I128" s="165"/>
      <c r="J128" s="328">
        <f>H128/DAY(B2)</f>
        <v>315.48148148148147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'26'!F129</f>
        <v>25957</v>
      </c>
      <c r="F129" s="155">
        <v>26160</v>
      </c>
      <c r="G129" s="112">
        <f t="shared" si="10"/>
        <v>203</v>
      </c>
      <c r="H129" s="99">
        <f>G129+'26'!H129</f>
        <v>5839</v>
      </c>
      <c r="I129" s="165"/>
      <c r="J129" s="328">
        <f>H129/DAY(B2)</f>
        <v>216.25925925925927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'26'!F130</f>
        <v>33360</v>
      </c>
      <c r="F130" s="155">
        <v>33852</v>
      </c>
      <c r="G130" s="112">
        <f t="shared" si="10"/>
        <v>492</v>
      </c>
      <c r="H130" s="99">
        <f>G130+'26'!H130</f>
        <v>15470</v>
      </c>
      <c r="I130" s="165"/>
      <c r="J130" s="328">
        <f>H130/DAY(B2)</f>
        <v>572.96296296296293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'26'!F131</f>
        <v>15020</v>
      </c>
      <c r="F131" s="155">
        <v>15071</v>
      </c>
      <c r="G131" s="112">
        <f t="shared" si="10"/>
        <v>51</v>
      </c>
      <c r="H131" s="99">
        <f>G131+'26'!H131</f>
        <v>1918</v>
      </c>
      <c r="I131" s="165"/>
      <c r="J131" s="328">
        <f>H131/DAY(B2)</f>
        <v>71.037037037037038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'26'!F132</f>
        <v>51045</v>
      </c>
      <c r="F132" s="155">
        <v>51189</v>
      </c>
      <c r="G132" s="112">
        <f t="shared" si="10"/>
        <v>144</v>
      </c>
      <c r="H132" s="99">
        <f>G132+'26'!H132</f>
        <v>10166</v>
      </c>
      <c r="I132" s="165"/>
      <c r="J132" s="328">
        <f>H132/DAY(B2)</f>
        <v>376.51851851851853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'26'!F133</f>
        <v>103140</v>
      </c>
      <c r="F133" s="155">
        <v>103509</v>
      </c>
      <c r="G133" s="112">
        <f t="shared" si="10"/>
        <v>369</v>
      </c>
      <c r="H133" s="99">
        <f>G133+'26'!H133</f>
        <v>15806</v>
      </c>
      <c r="I133" s="165"/>
      <c r="J133" s="328">
        <f>H133/DAY(B2)</f>
        <v>585.40740740740739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'26'!F134</f>
        <v>7872</v>
      </c>
      <c r="F134" s="155">
        <v>7993</v>
      </c>
      <c r="G134" s="112">
        <f t="shared" si="10"/>
        <v>121</v>
      </c>
      <c r="H134" s="99">
        <f>G134+'26'!H134</f>
        <v>10286.999999999998</v>
      </c>
      <c r="I134" s="165"/>
      <c r="J134" s="328">
        <f>H134/DAY(B2)</f>
        <v>380.99999999999994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1658</v>
      </c>
      <c r="H135" s="99">
        <f>G135+'23'!H135</f>
        <v>35018.169999999984</v>
      </c>
      <c r="I135" s="327">
        <f>G135-(G35+G49)</f>
        <v>-453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'26'!F138</f>
        <v>865891</v>
      </c>
      <c r="F138" s="147">
        <v>865949</v>
      </c>
      <c r="G138" s="112">
        <f t="shared" ref="G138:G152" si="11">F138-E138</f>
        <v>58</v>
      </c>
      <c r="H138" s="99">
        <f>G138+'26'!H138</f>
        <v>1778</v>
      </c>
      <c r="I138" s="118"/>
      <c r="J138" s="328">
        <f>H138/DAY(B2)</f>
        <v>65.851851851851848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'26'!F139</f>
        <v>886569</v>
      </c>
      <c r="F139" s="148">
        <v>886570</v>
      </c>
      <c r="G139" s="112">
        <f t="shared" si="11"/>
        <v>1</v>
      </c>
      <c r="H139" s="99">
        <f>G139+'26'!H139</f>
        <v>24</v>
      </c>
      <c r="I139" s="118"/>
      <c r="J139" s="328">
        <f>H139/DAY(B2)</f>
        <v>0.88888888888888884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'26'!F140</f>
        <v>88922</v>
      </c>
      <c r="F140" s="149">
        <v>88922</v>
      </c>
      <c r="G140" s="112">
        <f t="shared" si="11"/>
        <v>0</v>
      </c>
      <c r="H140" s="99">
        <f>G140+'26'!H140</f>
        <v>40</v>
      </c>
      <c r="I140" s="118"/>
      <c r="J140" s="328">
        <f>H140/DAY(B2)</f>
        <v>1.4814814814814814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'26'!F141</f>
        <v>53837</v>
      </c>
      <c r="F141" s="149">
        <v>53982</v>
      </c>
      <c r="G141" s="112">
        <f t="shared" si="11"/>
        <v>145</v>
      </c>
      <c r="H141" s="99">
        <f>G141+'26'!H141</f>
        <v>4676</v>
      </c>
      <c r="I141" s="118"/>
      <c r="J141" s="328">
        <f>H141/DAY(B2)</f>
        <v>173.18518518518519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'26'!F142</f>
        <v>20902</v>
      </c>
      <c r="F142" s="148">
        <v>20972</v>
      </c>
      <c r="G142" s="112">
        <f t="shared" si="11"/>
        <v>70</v>
      </c>
      <c r="H142" s="99">
        <f>G142+'26'!H142</f>
        <v>1963</v>
      </c>
      <c r="I142" s="140"/>
      <c r="J142" s="328">
        <f>H142/DAY(B2)</f>
        <v>72.703703703703709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'26'!F143</f>
        <v>3711</v>
      </c>
      <c r="F143" s="149">
        <v>3734</v>
      </c>
      <c r="G143" s="112">
        <f t="shared" si="11"/>
        <v>23</v>
      </c>
      <c r="H143" s="99">
        <f>G143+'26'!H143</f>
        <v>673</v>
      </c>
      <c r="I143" s="140"/>
      <c r="J143" s="328">
        <f>H143/DAY(B2)</f>
        <v>24.925925925925927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'26'!F144</f>
        <v>875477</v>
      </c>
      <c r="F144" s="149">
        <v>875675</v>
      </c>
      <c r="G144" s="112">
        <f t="shared" si="11"/>
        <v>198</v>
      </c>
      <c r="H144" s="99">
        <f>G144+'26'!H144</f>
        <v>6005</v>
      </c>
      <c r="I144" s="140"/>
      <c r="J144" s="328">
        <f>H144/DAY(B2)</f>
        <v>222.40740740740742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'26'!F145</f>
        <v>4921</v>
      </c>
      <c r="F145" s="149">
        <v>4926</v>
      </c>
      <c r="G145" s="112">
        <f t="shared" si="11"/>
        <v>5</v>
      </c>
      <c r="H145" s="99">
        <f>G145+'26'!H145</f>
        <v>368</v>
      </c>
      <c r="I145" s="140"/>
      <c r="J145" s="328">
        <f>H145/DAY(B2)</f>
        <v>13.62962962962963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'26'!F146</f>
        <v>735287</v>
      </c>
      <c r="F146" s="148">
        <v>735677</v>
      </c>
      <c r="G146" s="112">
        <f t="shared" si="11"/>
        <v>390</v>
      </c>
      <c r="H146" s="99">
        <f>G146+'26'!H146</f>
        <v>10819</v>
      </c>
      <c r="I146" s="140"/>
      <c r="J146" s="328">
        <f>H146/DAY(B2)</f>
        <v>400.7037037037037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'26'!F147</f>
        <v>624833</v>
      </c>
      <c r="F147" s="148">
        <v>625172</v>
      </c>
      <c r="G147" s="112">
        <f t="shared" si="11"/>
        <v>339</v>
      </c>
      <c r="H147" s="99">
        <f>G147+'26'!H147</f>
        <v>9890</v>
      </c>
      <c r="I147" s="140"/>
      <c r="J147" s="328">
        <f>H147/DAY(B2)</f>
        <v>366.2962962962963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'26'!F148</f>
        <v>688470</v>
      </c>
      <c r="F148" s="150">
        <v>688695</v>
      </c>
      <c r="G148" s="112">
        <f t="shared" si="11"/>
        <v>225</v>
      </c>
      <c r="H148" s="99">
        <f>G148+'26'!H148</f>
        <v>5661.8800000000047</v>
      </c>
      <c r="I148" s="124"/>
      <c r="J148" s="328">
        <f>H148/DAY(B2)</f>
        <v>209.69925925925943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'26'!F149</f>
        <v>22268</v>
      </c>
      <c r="F149" s="146">
        <v>22772</v>
      </c>
      <c r="G149" s="112">
        <f t="shared" si="11"/>
        <v>504</v>
      </c>
      <c r="H149" s="99">
        <f>G149+'26'!H149</f>
        <v>12023</v>
      </c>
      <c r="I149" s="119"/>
      <c r="J149" s="328">
        <f>H149/DAY(B2)</f>
        <v>445.2962962962963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'26'!F150</f>
        <v>9782</v>
      </c>
      <c r="F150" s="233">
        <v>9961</v>
      </c>
      <c r="G150" s="112">
        <f t="shared" si="11"/>
        <v>179</v>
      </c>
      <c r="H150" s="99">
        <f>G150+'26'!H150</f>
        <v>5909</v>
      </c>
      <c r="I150" s="119"/>
      <c r="J150" s="328">
        <f>H150/DAY(B2)</f>
        <v>218.85185185185185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'26'!F151</f>
        <v>84184</v>
      </c>
      <c r="F151" s="233">
        <v>84449</v>
      </c>
      <c r="G151" s="112">
        <f t="shared" si="11"/>
        <v>265</v>
      </c>
      <c r="H151" s="99">
        <f>G151+'26'!H151</f>
        <v>6232</v>
      </c>
      <c r="I151" s="119"/>
      <c r="J151" s="328">
        <f>H151/DAY(B2)</f>
        <v>230.81481481481481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'26'!F152</f>
        <v>1573</v>
      </c>
      <c r="F152" s="233">
        <v>1599</v>
      </c>
      <c r="G152" s="112">
        <f t="shared" si="11"/>
        <v>26</v>
      </c>
      <c r="H152" s="99">
        <f>G152+'26'!H152</f>
        <v>472</v>
      </c>
      <c r="I152" s="119"/>
      <c r="J152" s="328">
        <f>H152/DAY(B2)</f>
        <v>17.481481481481481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2428</v>
      </c>
      <c r="H153" s="363"/>
      <c r="I153" s="119">
        <f>G153-(G38+G52)</f>
        <v>636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'26'!F155</f>
        <v>28985</v>
      </c>
      <c r="F155" s="473">
        <v>29684</v>
      </c>
      <c r="G155" s="112">
        <f t="shared" ref="G155:G158" si="12">F155-E155</f>
        <v>699</v>
      </c>
      <c r="H155" s="99">
        <f>G155+'26'!H155</f>
        <v>16212</v>
      </c>
      <c r="I155" s="364"/>
      <c r="J155" s="328">
        <f>H155/DAY(B2)</f>
        <v>600.44444444444446</v>
      </c>
    </row>
    <row r="156" spans="1:10" ht="27.75">
      <c r="A156" s="823" t="s">
        <v>347</v>
      </c>
      <c r="B156" s="823"/>
      <c r="C156" s="823"/>
      <c r="D156" s="117" t="s">
        <v>130</v>
      </c>
      <c r="E156" s="95">
        <f>'26'!F156</f>
        <v>2460</v>
      </c>
      <c r="F156" s="155">
        <v>2508</v>
      </c>
      <c r="G156" s="112">
        <f t="shared" si="12"/>
        <v>48</v>
      </c>
      <c r="H156" s="99">
        <f>G156+'26'!H156</f>
        <v>1420</v>
      </c>
      <c r="I156" s="165"/>
      <c r="J156" s="328">
        <f>H156/DAY(B2)</f>
        <v>52.592592592592595</v>
      </c>
    </row>
    <row r="157" spans="1:10" ht="27.75">
      <c r="A157" s="824" t="s">
        <v>364</v>
      </c>
      <c r="B157" s="825"/>
      <c r="C157" s="826"/>
      <c r="D157" s="117" t="s">
        <v>130</v>
      </c>
      <c r="E157" s="95">
        <f>'26'!F157</f>
        <v>3487</v>
      </c>
      <c r="F157" s="155">
        <v>3582</v>
      </c>
      <c r="G157" s="112">
        <f t="shared" si="12"/>
        <v>95</v>
      </c>
      <c r="H157" s="99">
        <f>G157+'26'!H157</f>
        <v>861.84000000000015</v>
      </c>
      <c r="I157" s="165"/>
      <c r="J157" s="328"/>
    </row>
    <row r="158" spans="1:10" ht="27.75">
      <c r="A158" s="824" t="s">
        <v>365</v>
      </c>
      <c r="B158" s="825"/>
      <c r="C158" s="826"/>
      <c r="D158" s="117" t="s">
        <v>130</v>
      </c>
      <c r="E158" s="95">
        <f>'26'!F158</f>
        <v>44.99</v>
      </c>
      <c r="F158" s="155">
        <v>45.49</v>
      </c>
      <c r="G158" s="112">
        <f t="shared" si="12"/>
        <v>0.5</v>
      </c>
      <c r="H158" s="99">
        <f>G158+'26'!H158</f>
        <v>21.150000000000002</v>
      </c>
      <c r="I158" s="165"/>
      <c r="J158" s="328"/>
    </row>
    <row r="159" spans="1:10" ht="27.75">
      <c r="A159" s="907"/>
      <c r="B159" s="908"/>
      <c r="C159" s="909"/>
      <c r="D159" s="117"/>
      <c r="E159" s="95"/>
      <c r="F159" s="15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'26'!F161</f>
        <v>471909</v>
      </c>
      <c r="F161" s="235">
        <v>471931</v>
      </c>
      <c r="G161" s="238">
        <f t="shared" ref="G161:G165" si="13">F161-E161</f>
        <v>22</v>
      </c>
      <c r="H161" s="99">
        <f>G161+'26'!H161</f>
        <v>777.84000000002561</v>
      </c>
      <c r="I161" s="236"/>
      <c r="J161" s="239">
        <f>H161/DAY(B2)</f>
        <v>28.808888888889836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'26'!F162</f>
        <v>88359</v>
      </c>
      <c r="F162" s="235">
        <v>88400</v>
      </c>
      <c r="G162" s="238">
        <f t="shared" si="13"/>
        <v>41</v>
      </c>
      <c r="H162" s="99">
        <f>G162+'26'!H162</f>
        <v>830</v>
      </c>
      <c r="I162" s="236"/>
      <c r="J162" s="239">
        <f>H162/DAY(B2)</f>
        <v>30.74074074074074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'26'!F163</f>
        <v>78997</v>
      </c>
      <c r="F163" s="235">
        <v>79062</v>
      </c>
      <c r="G163" s="238">
        <f t="shared" si="13"/>
        <v>65</v>
      </c>
      <c r="H163" s="99">
        <f>G163+'26'!H163</f>
        <v>1237</v>
      </c>
      <c r="I163" s="236"/>
      <c r="J163" s="239">
        <f>H163/DAY(B2)</f>
        <v>45.814814814814817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'26'!F164</f>
        <v>4309</v>
      </c>
      <c r="F164" s="235">
        <v>4312</v>
      </c>
      <c r="G164" s="238">
        <f t="shared" si="13"/>
        <v>3</v>
      </c>
      <c r="H164" s="99">
        <f>G164+'26'!H164</f>
        <v>70</v>
      </c>
      <c r="I164" s="236"/>
      <c r="J164" s="239">
        <f>H164/DAY(B2)</f>
        <v>2.5925925925925926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'26'!F165</f>
        <v>29811</v>
      </c>
      <c r="F165" s="235">
        <v>29819</v>
      </c>
      <c r="G165" s="238">
        <f t="shared" si="13"/>
        <v>8</v>
      </c>
      <c r="H165" s="99">
        <f>G165+'26'!H165</f>
        <v>173</v>
      </c>
      <c r="I165" s="236"/>
      <c r="J165" s="239">
        <f>H165/DAY(B2)</f>
        <v>6.4074074074074074</v>
      </c>
    </row>
    <row r="166" spans="1:10" ht="29.25">
      <c r="A166" s="832"/>
      <c r="B166" s="832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'26'!F174</f>
        <v>38548</v>
      </c>
      <c r="F174" s="157">
        <v>38561</v>
      </c>
      <c r="G174" s="155">
        <f t="shared" ref="G174:G175" si="14">F174-E174</f>
        <v>13</v>
      </c>
      <c r="H174" s="99">
        <f>G174+'26'!H174</f>
        <v>268</v>
      </c>
      <c r="I174" s="155"/>
      <c r="J174" s="178">
        <f>H174/DAY(B2)</f>
        <v>9.9259259259259256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'26'!F175</f>
        <v>21763</v>
      </c>
      <c r="F175" s="155">
        <v>21774</v>
      </c>
      <c r="G175" s="155">
        <f t="shared" si="14"/>
        <v>11</v>
      </c>
      <c r="H175" s="99">
        <f>G175+'26'!H175</f>
        <v>256</v>
      </c>
      <c r="I175" s="155"/>
      <c r="J175" s="178">
        <f>H175/DAY(B2)</f>
        <v>9.481481481481481</v>
      </c>
    </row>
    <row r="176" spans="1:10" ht="27.75">
      <c r="A176" s="827" t="s">
        <v>196</v>
      </c>
      <c r="B176" s="828"/>
      <c r="C176" s="485"/>
      <c r="D176" s="228" t="s">
        <v>142</v>
      </c>
      <c r="E176" s="95"/>
      <c r="F176" s="155"/>
      <c r="G176" s="155">
        <f>SUM(G173:G175)</f>
        <v>24</v>
      </c>
      <c r="H176" s="99">
        <f>G176+'26'!H176</f>
        <v>524</v>
      </c>
      <c r="I176" s="155"/>
      <c r="J176" s="178">
        <f>H176/DAY(B2)</f>
        <v>19.407407407407408</v>
      </c>
    </row>
    <row r="177" spans="1:10" ht="27.75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'26'!F178</f>
        <v>81012</v>
      </c>
      <c r="F178" s="155">
        <v>81051</v>
      </c>
      <c r="G178" s="155">
        <f>F178-E178</f>
        <v>39</v>
      </c>
      <c r="H178" s="99">
        <f>G178+'26'!H178</f>
        <v>1437</v>
      </c>
      <c r="I178" s="155"/>
      <c r="J178" s="178">
        <f>H178/DAY(B2)</f>
        <v>53.222222222222221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'26'!F179</f>
        <v>34580</v>
      </c>
      <c r="F179" s="155">
        <v>34642</v>
      </c>
      <c r="G179" s="155">
        <f t="shared" ref="G179:G180" si="15">F179-E179</f>
        <v>62</v>
      </c>
      <c r="H179" s="99">
        <f>G179+'26'!H179</f>
        <v>727</v>
      </c>
      <c r="I179" s="155"/>
      <c r="J179" s="178">
        <f>H179/DAY(B2)</f>
        <v>26.925925925925927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'26'!F180</f>
        <v>5658</v>
      </c>
      <c r="F180" s="155">
        <v>5672</v>
      </c>
      <c r="G180" s="155">
        <f t="shared" si="15"/>
        <v>14</v>
      </c>
      <c r="H180" s="99">
        <f>G180+'26'!H180</f>
        <v>195</v>
      </c>
      <c r="I180" s="155"/>
      <c r="J180" s="178">
        <f>H180/DAY(B2)</f>
        <v>7.2222222222222223</v>
      </c>
    </row>
    <row r="181" spans="1:10" ht="27.75">
      <c r="A181" s="838" t="s">
        <v>108</v>
      </c>
      <c r="B181" s="839"/>
      <c r="C181" s="485"/>
      <c r="D181" s="228" t="s">
        <v>142</v>
      </c>
      <c r="E181" s="95"/>
      <c r="F181" s="155"/>
      <c r="G181" s="155">
        <f>SUM(G178:G180)</f>
        <v>115</v>
      </c>
      <c r="H181" s="99">
        <f>G181+'26'!H181</f>
        <v>2359</v>
      </c>
      <c r="I181" s="155"/>
      <c r="J181" s="178">
        <f>H181/DAY(B2)</f>
        <v>87.370370370370367</v>
      </c>
    </row>
    <row r="182" spans="1:10" ht="27.75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'26'!F183</f>
        <v>15296</v>
      </c>
      <c r="F183" s="157">
        <v>15308</v>
      </c>
      <c r="G183" s="157">
        <f>F183-E183</f>
        <v>12</v>
      </c>
      <c r="H183" s="99">
        <f>G183+'26'!H183</f>
        <v>361</v>
      </c>
      <c r="I183" s="155"/>
      <c r="J183" s="178">
        <f>H183/DAY(B2)</f>
        <v>13.37037037037037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'26'!F184</f>
        <v>10461</v>
      </c>
      <c r="F184" s="157">
        <v>10476</v>
      </c>
      <c r="G184" s="157">
        <f t="shared" ref="G184:G185" si="16">F184-E184</f>
        <v>15</v>
      </c>
      <c r="H184" s="99">
        <f>G184+'26'!H184</f>
        <v>175</v>
      </c>
      <c r="I184" s="155"/>
      <c r="J184" s="178">
        <f>H184/DAY(B2)</f>
        <v>6.4814814814814818</v>
      </c>
    </row>
    <row r="185" spans="1:10" ht="25.5" customHeight="1">
      <c r="A185" s="836" t="s">
        <v>216</v>
      </c>
      <c r="B185" s="837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27</v>
      </c>
      <c r="H186" s="99">
        <f>G186+'26'!H186</f>
        <v>536</v>
      </c>
      <c r="I186" s="157"/>
      <c r="J186" s="178">
        <f>H186/DAY(B2)</f>
        <v>19.851851851851851</v>
      </c>
    </row>
    <row r="187" spans="1:10" ht="27.75">
      <c r="A187" s="829" t="s">
        <v>217</v>
      </c>
      <c r="B187" s="830"/>
      <c r="C187" s="333"/>
      <c r="D187" s="228" t="s">
        <v>142</v>
      </c>
      <c r="E187" s="95">
        <f>'26'!F187</f>
        <v>0</v>
      </c>
      <c r="F187" s="159"/>
      <c r="G187" s="462">
        <f>G62+G19</f>
        <v>177</v>
      </c>
      <c r="H187" s="99">
        <f>G187+'26'!H187</f>
        <v>3364</v>
      </c>
      <c r="I187" s="158"/>
      <c r="J187" s="179">
        <f>H187/DAY(B2)</f>
        <v>124.5925925925926</v>
      </c>
    </row>
    <row r="188" spans="1:10" ht="27.75">
      <c r="A188" s="829" t="s">
        <v>218</v>
      </c>
      <c r="B188" s="830"/>
      <c r="C188" s="333"/>
      <c r="D188" s="228" t="s">
        <v>142</v>
      </c>
      <c r="E188" s="95">
        <f>'26'!F188</f>
        <v>0</v>
      </c>
      <c r="F188" s="159"/>
      <c r="G188" s="462">
        <f>G65+G66+G67+G69+G70</f>
        <v>164</v>
      </c>
      <c r="H188" s="99">
        <f>G188+'26'!H188</f>
        <v>1757</v>
      </c>
      <c r="I188" s="158"/>
      <c r="J188" s="179">
        <f>H188/DAY(B2)</f>
        <v>65.074074074074076</v>
      </c>
    </row>
    <row r="189" spans="1:10" ht="27.75">
      <c r="A189" s="829" t="s">
        <v>219</v>
      </c>
      <c r="B189" s="830"/>
      <c r="C189" s="333"/>
      <c r="D189" s="230" t="s">
        <v>142</v>
      </c>
      <c r="E189" s="95">
        <f>'26'!F189</f>
        <v>0</v>
      </c>
      <c r="F189" s="157"/>
      <c r="G189" s="459">
        <f>G181</f>
        <v>115</v>
      </c>
      <c r="H189" s="99">
        <f>G189+'26'!H189</f>
        <v>769</v>
      </c>
      <c r="I189" s="158"/>
      <c r="J189" s="179">
        <f>H189/DAY(B2)</f>
        <v>28.481481481481481</v>
      </c>
    </row>
    <row r="190" spans="1:10" ht="27.75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Normal="80" zoomScaleSheetLayoutView="55" workbookViewId="0">
      <selection activeCell="G112" sqref="G11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303</v>
      </c>
      <c r="B2" s="262">
        <v>44589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23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'27'!F7</f>
        <v>581470</v>
      </c>
      <c r="F7" s="95">
        <v>591910</v>
      </c>
      <c r="G7" s="112">
        <f>F7-E7+7214</f>
        <v>17654</v>
      </c>
      <c r="H7" s="99">
        <f>G7+'27'!H7</f>
        <v>504564</v>
      </c>
      <c r="I7" s="113">
        <f>'1'!I7</f>
        <v>12000</v>
      </c>
      <c r="J7" s="175">
        <f>H7/DAY(B2)</f>
        <v>18020.142857142859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'27'!F8</f>
        <v>637811</v>
      </c>
      <c r="F8" s="95">
        <v>655697</v>
      </c>
      <c r="G8" s="115">
        <f>F8-E8</f>
        <v>17886</v>
      </c>
      <c r="H8" s="99">
        <f>G8+'27'!H8</f>
        <v>514812</v>
      </c>
      <c r="I8" s="116"/>
      <c r="J8" s="175">
        <f>H8/DAY(B2)</f>
        <v>18386.142857142859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17686</v>
      </c>
    </row>
    <row r="9" spans="1:15" ht="29.25">
      <c r="A9" s="199" t="s">
        <v>132</v>
      </c>
      <c r="B9" s="200"/>
      <c r="C9" s="200"/>
      <c r="D9" s="151" t="s">
        <v>130</v>
      </c>
      <c r="E9" s="95">
        <f>'27'!F9</f>
        <v>222801</v>
      </c>
      <c r="F9" s="601">
        <v>237905</v>
      </c>
      <c r="G9" s="112">
        <f>F9-E9</f>
        <v>15104</v>
      </c>
      <c r="H9" s="99">
        <f>G9+'27'!H9</f>
        <v>336410</v>
      </c>
      <c r="I9" s="124">
        <f>I7-J7</f>
        <v>-6020.1428571428587</v>
      </c>
      <c r="J9" s="175">
        <f>H9/DAY(B2)</f>
        <v>12014.642857142857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'27'!F10</f>
        <v>97037</v>
      </c>
      <c r="F10" s="353">
        <v>99061</v>
      </c>
      <c r="G10" s="112">
        <f t="shared" ref="G10:G12" si="0">F10-E10</f>
        <v>2024</v>
      </c>
      <c r="H10" s="99">
        <f>G10+'27'!H10</f>
        <v>153967</v>
      </c>
      <c r="I10" s="282"/>
      <c r="J10" s="175">
        <f>H10/DAY(B2)</f>
        <v>5498.8214285714284</v>
      </c>
      <c r="K10" s="79"/>
      <c r="L10" s="66"/>
      <c r="N10" s="87"/>
      <c r="O10" s="71">
        <f>F7-O8</f>
        <v>574224</v>
      </c>
    </row>
    <row r="11" spans="1:15" ht="29.25">
      <c r="A11" s="194" t="s">
        <v>134</v>
      </c>
      <c r="B11" s="195"/>
      <c r="C11" s="195"/>
      <c r="D11" s="151" t="s">
        <v>130</v>
      </c>
      <c r="E11" s="95">
        <f>'27'!F11</f>
        <v>37170</v>
      </c>
      <c r="F11" s="95">
        <v>37170</v>
      </c>
      <c r="G11" s="112">
        <f t="shared" si="0"/>
        <v>0</v>
      </c>
      <c r="H11" s="99">
        <f>G11+'27'!H11</f>
        <v>170</v>
      </c>
      <c r="I11" s="282"/>
      <c r="J11" s="175">
        <f>H11/DAY(B2)</f>
        <v>6.0714285714285712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-32</v>
      </c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17128</v>
      </c>
      <c r="H13" s="99">
        <f>G13+'27'!H13</f>
        <v>471081.74999999988</v>
      </c>
      <c r="I13" s="120">
        <f>G7-G13</f>
        <v>526</v>
      </c>
      <c r="J13" s="175">
        <f>H13/DAY(B2)</f>
        <v>16824.34821428571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'27'!F15</f>
        <v>1902819</v>
      </c>
      <c r="F15" s="123">
        <v>1903790</v>
      </c>
      <c r="G15" s="112">
        <f>(F15-E15)</f>
        <v>971</v>
      </c>
      <c r="H15" s="99">
        <f>G15+'27'!H15</f>
        <v>25360</v>
      </c>
      <c r="I15" s="113">
        <f>'1'!I15</f>
        <v>800</v>
      </c>
      <c r="J15" s="175">
        <f>H15/DAY(B2)</f>
        <v>905.71428571428567</v>
      </c>
      <c r="K15" s="79"/>
      <c r="L15" s="66"/>
      <c r="N15" s="87"/>
      <c r="O15" s="71">
        <f>G8-200</f>
        <v>17686</v>
      </c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-105.71428571428567</v>
      </c>
      <c r="J16" s="176"/>
      <c r="K16" s="79"/>
      <c r="L16" s="66"/>
      <c r="N16" s="87"/>
      <c r="O16" s="71"/>
    </row>
    <row r="17" spans="1:16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>
      <c r="A18" s="864" t="s">
        <v>141</v>
      </c>
      <c r="B18" s="865"/>
      <c r="C18" s="866"/>
      <c r="D18" s="151" t="s">
        <v>142</v>
      </c>
      <c r="E18" s="95">
        <f>'27'!F18</f>
        <v>12</v>
      </c>
      <c r="F18" s="122">
        <v>4</v>
      </c>
      <c r="G18" s="119">
        <f>F18*10</f>
        <v>40</v>
      </c>
      <c r="H18" s="99">
        <f>G18+'27'!H18</f>
        <v>3110</v>
      </c>
      <c r="I18" s="113">
        <f>'1'!I18</f>
        <v>65</v>
      </c>
      <c r="J18" s="175">
        <f>H18/DAY(B2)</f>
        <v>111.07142857142857</v>
      </c>
      <c r="K18" s="79"/>
      <c r="L18" s="66"/>
      <c r="N18" s="87"/>
      <c r="O18" s="71"/>
    </row>
    <row r="19" spans="1:16" ht="27.75">
      <c r="A19" s="864" t="s">
        <v>69</v>
      </c>
      <c r="B19" s="865"/>
      <c r="C19" s="866"/>
      <c r="D19" s="151" t="s">
        <v>142</v>
      </c>
      <c r="E19" s="95">
        <f>'27'!F19</f>
        <v>153675</v>
      </c>
      <c r="F19" s="122">
        <v>153727</v>
      </c>
      <c r="G19" s="112">
        <f t="shared" ref="G19" si="1">F19-E19</f>
        <v>52</v>
      </c>
      <c r="H19" s="99">
        <f>G19+'27'!H19</f>
        <v>1502</v>
      </c>
      <c r="I19" s="335"/>
      <c r="J19" s="175">
        <f>H19/DAY(B2)</f>
        <v>53.642857142857146</v>
      </c>
      <c r="K19" s="79"/>
      <c r="L19" s="66"/>
      <c r="N19" s="87"/>
      <c r="O19" s="71"/>
    </row>
    <row r="20" spans="1:16" ht="29.25">
      <c r="A20" s="201" t="s">
        <v>143</v>
      </c>
      <c r="B20" s="202"/>
      <c r="C20" s="202"/>
      <c r="D20" s="126"/>
      <c r="E20" s="126"/>
      <c r="F20" s="126"/>
      <c r="G20" s="127">
        <f>G18+G19</f>
        <v>92</v>
      </c>
      <c r="H20" s="99">
        <f>G20+'27'!H20</f>
        <v>4612</v>
      </c>
      <c r="I20" s="336">
        <f>I18-J20</f>
        <v>-99.714285714285722</v>
      </c>
      <c r="J20" s="175">
        <f>H20/DAY(B2)</f>
        <v>164.71428571428572</v>
      </c>
      <c r="K20" s="79"/>
      <c r="L20" s="66"/>
      <c r="N20" s="87"/>
      <c r="O20" s="71"/>
    </row>
    <row r="21" spans="1:16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>
      <c r="A23" s="34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110</v>
      </c>
      <c r="I23" s="118"/>
      <c r="J23" s="175">
        <f>H23/DAY(B2)</f>
        <v>3.9285714285714284</v>
      </c>
      <c r="K23" s="79"/>
      <c r="L23" s="66"/>
      <c r="N23" s="87"/>
      <c r="O23" s="71"/>
    </row>
    <row r="24" spans="1:16" ht="29.25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110</v>
      </c>
      <c r="I24" s="118"/>
      <c r="J24" s="175">
        <f>H24/DAY(B2)</f>
        <v>3.9285714285714284</v>
      </c>
      <c r="K24" s="79"/>
      <c r="L24" s="66"/>
      <c r="N24" s="87"/>
      <c r="O24" s="71"/>
    </row>
    <row r="25" spans="1:16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>
      <c r="A27" s="208" t="s">
        <v>5</v>
      </c>
      <c r="B27" s="209"/>
      <c r="C27" s="210"/>
      <c r="D27" s="226" t="s">
        <v>24</v>
      </c>
      <c r="E27" s="135">
        <f>G8</f>
        <v>17886</v>
      </c>
      <c r="F27" s="136">
        <v>9</v>
      </c>
      <c r="G27" s="137">
        <f>E27*F27</f>
        <v>160974</v>
      </c>
      <c r="H27" s="99">
        <f>G27+'27'!H27</f>
        <v>4633308</v>
      </c>
      <c r="I27" s="138"/>
      <c r="J27" s="175">
        <f>H27/DAY(B2)</f>
        <v>165475.28571428571</v>
      </c>
      <c r="K27" s="63"/>
      <c r="L27" s="89"/>
      <c r="N27" s="87"/>
      <c r="O27" s="71"/>
    </row>
    <row r="28" spans="1:16" s="88" customFormat="1" ht="27.75">
      <c r="A28" s="208" t="s">
        <v>152</v>
      </c>
      <c r="B28" s="209"/>
      <c r="C28" s="210"/>
      <c r="D28" s="226" t="s">
        <v>153</v>
      </c>
      <c r="E28" s="139">
        <f>G15</f>
        <v>971</v>
      </c>
      <c r="F28" s="136">
        <v>70.849999999999994</v>
      </c>
      <c r="G28" s="137">
        <f>E28*F28</f>
        <v>68795.349999999991</v>
      </c>
      <c r="H28" s="99">
        <f>G28+'27'!H28</f>
        <v>1337023.3500000001</v>
      </c>
      <c r="I28" s="140"/>
      <c r="J28" s="175">
        <f>H28/DAY(B2)</f>
        <v>47750.833928571432</v>
      </c>
      <c r="K28" s="63"/>
      <c r="L28" s="89"/>
      <c r="N28" s="87"/>
      <c r="O28" s="71"/>
    </row>
    <row r="29" spans="1:16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7590</v>
      </c>
      <c r="I29" s="140"/>
      <c r="J29" s="175">
        <f>H29/DAY(B2)</f>
        <v>271.07142857142856</v>
      </c>
      <c r="K29" s="63"/>
      <c r="L29" s="89"/>
      <c r="N29" s="87"/>
      <c r="O29" s="71"/>
    </row>
    <row r="30" spans="1:16" s="88" customFormat="1" ht="27.7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151.53</v>
      </c>
      <c r="G30" s="137">
        <f>E30*F30</f>
        <v>7879.56</v>
      </c>
      <c r="H30" s="99">
        <f>G30+'27'!H30</f>
        <v>219579.56</v>
      </c>
      <c r="I30" s="140"/>
      <c r="J30" s="175">
        <f>H30/DAY(B2)</f>
        <v>7842.1271428571426</v>
      </c>
      <c r="K30" s="63"/>
      <c r="L30" s="89"/>
      <c r="N30" s="87"/>
      <c r="O30" s="71"/>
    </row>
    <row r="31" spans="1:16" s="88" customFormat="1" ht="27.75">
      <c r="A31" s="208" t="s">
        <v>158</v>
      </c>
      <c r="B31" s="209"/>
      <c r="C31" s="210"/>
      <c r="D31" s="226" t="s">
        <v>142</v>
      </c>
      <c r="E31" s="141">
        <f>G18</f>
        <v>40</v>
      </c>
      <c r="F31" s="136">
        <v>80</v>
      </c>
      <c r="G31" s="137">
        <f>E31*F31</f>
        <v>3200</v>
      </c>
      <c r="H31" s="99">
        <f>G31+'27'!H31</f>
        <v>248800</v>
      </c>
      <c r="I31" s="140"/>
      <c r="J31" s="175">
        <f>H31/DAY(B2)</f>
        <v>8885.7142857142862</v>
      </c>
      <c r="K31" s="63"/>
      <c r="L31" s="89"/>
      <c r="N31" s="87"/>
      <c r="O31" s="71"/>
    </row>
    <row r="32" spans="1:16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240848.90999999997</v>
      </c>
      <c r="H32" s="99">
        <f>G32+'27'!H32</f>
        <v>6446300.9100000001</v>
      </c>
      <c r="I32" s="144"/>
      <c r="J32" s="175">
        <f>H32/DAY(B2)</f>
        <v>230225.0325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'27'!F35</f>
        <v>27038</v>
      </c>
      <c r="F35" s="145">
        <v>28354</v>
      </c>
      <c r="G35" s="112">
        <f t="shared" ref="G35:G46" si="3">F35-E35</f>
        <v>1316</v>
      </c>
      <c r="H35" s="99">
        <f>G35+'27'!H35</f>
        <v>43554</v>
      </c>
      <c r="I35" s="95"/>
      <c r="J35" s="175">
        <f>H35/DAY(B2)</f>
        <v>1555.5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'27'!F36</f>
        <v>40590</v>
      </c>
      <c r="F36" s="145">
        <v>41279</v>
      </c>
      <c r="G36" s="112">
        <f t="shared" si="3"/>
        <v>689</v>
      </c>
      <c r="H36" s="99">
        <f>G36+'27'!H36</f>
        <v>19752</v>
      </c>
      <c r="I36" s="95"/>
      <c r="J36" s="175">
        <f>H36/DAY(B2)</f>
        <v>705.42857142857144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'27'!F37</f>
        <v>29097</v>
      </c>
      <c r="F37" s="145">
        <v>30673</v>
      </c>
      <c r="G37" s="112">
        <f t="shared" si="3"/>
        <v>1576</v>
      </c>
      <c r="H37" s="99">
        <f>G37+'27'!H37</f>
        <v>42885</v>
      </c>
      <c r="I37" s="95"/>
      <c r="J37" s="175">
        <f>H37/DAY(B2)</f>
        <v>1531.6071428571429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'27'!F38</f>
        <v>31617</v>
      </c>
      <c r="F38" s="108">
        <v>33370</v>
      </c>
      <c r="G38" s="112">
        <f t="shared" si="3"/>
        <v>1753</v>
      </c>
      <c r="H38" s="99">
        <f>G38+'27'!H38</f>
        <v>46570.000000000007</v>
      </c>
      <c r="I38" s="95"/>
      <c r="J38" s="175">
        <f>H38/DAY(B2)</f>
        <v>1663.214285714286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'27'!F39</f>
        <v>48698</v>
      </c>
      <c r="F39" s="145">
        <v>51302</v>
      </c>
      <c r="G39" s="112">
        <f t="shared" si="3"/>
        <v>2604</v>
      </c>
      <c r="H39" s="99">
        <f>G39+'27'!H39</f>
        <v>72984</v>
      </c>
      <c r="I39" s="95"/>
      <c r="J39" s="175">
        <f>H39/DAY(B2)</f>
        <v>2606.5714285714284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'27'!F40</f>
        <v>18283</v>
      </c>
      <c r="F40" s="145">
        <v>18927</v>
      </c>
      <c r="G40" s="112">
        <f t="shared" si="3"/>
        <v>644</v>
      </c>
      <c r="H40" s="99">
        <f>G40+'27'!H40</f>
        <v>13317</v>
      </c>
      <c r="I40" s="95"/>
      <c r="J40" s="175">
        <f>H40/DAY(B2)</f>
        <v>475.60714285714283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'27'!F42</f>
        <v>84219</v>
      </c>
      <c r="F42" s="145">
        <v>88355</v>
      </c>
      <c r="G42" s="112">
        <f t="shared" si="3"/>
        <v>4136</v>
      </c>
      <c r="H42" s="99">
        <f>G42+'27'!H42</f>
        <v>14546</v>
      </c>
      <c r="I42" s="95"/>
      <c r="J42" s="175">
        <f>H42/DAY(B2)</f>
        <v>519.5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'27'!F43</f>
        <v>107042</v>
      </c>
      <c r="F43" s="145">
        <v>109003</v>
      </c>
      <c r="G43" s="112">
        <f t="shared" si="3"/>
        <v>1961</v>
      </c>
      <c r="H43" s="99">
        <f>G43+'27'!H43</f>
        <v>61742</v>
      </c>
      <c r="I43" s="95"/>
      <c r="J43" s="175">
        <f>H43/DAY(B2)</f>
        <v>2205.0714285714284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14679</v>
      </c>
      <c r="H47" s="99">
        <f>G47+'27'!H47</f>
        <v>315350.00000000006</v>
      </c>
      <c r="I47" s="95"/>
      <c r="J47" s="175">
        <f>H47/DAY(B2)</f>
        <v>11262.500000000002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'27'!F49</f>
        <v>21515</v>
      </c>
      <c r="F49" s="145">
        <v>22352</v>
      </c>
      <c r="G49" s="112">
        <f t="shared" ref="G49:G58" si="4">F49-E49</f>
        <v>837</v>
      </c>
      <c r="H49" s="99">
        <f>G49+'27'!H49</f>
        <v>35473</v>
      </c>
      <c r="I49" s="95"/>
      <c r="J49" s="175">
        <f>H49/DAY(B2)</f>
        <v>1266.8928571428571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'27'!F50</f>
        <v>52246</v>
      </c>
      <c r="F50" s="145">
        <v>53282</v>
      </c>
      <c r="G50" s="112">
        <f t="shared" si="4"/>
        <v>1036</v>
      </c>
      <c r="H50" s="99">
        <f>G50+'27'!H50</f>
        <v>28632</v>
      </c>
      <c r="I50" s="95"/>
      <c r="J50" s="175">
        <f>H50/DAY(B2)</f>
        <v>1022.5714285714286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'27'!F54</f>
        <v>5147</v>
      </c>
      <c r="F54" s="145">
        <v>5147</v>
      </c>
      <c r="G54" s="112">
        <f t="shared" si="4"/>
        <v>0</v>
      </c>
      <c r="H54" s="99">
        <f>G54+'27'!H54</f>
        <v>6914.08</v>
      </c>
      <c r="I54" s="95"/>
      <c r="J54" s="175">
        <f>H54/DAY(B2)</f>
        <v>246.93142857142857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'27'!F55</f>
        <v>74366</v>
      </c>
      <c r="F55" s="145">
        <v>74366</v>
      </c>
      <c r="G55" s="112">
        <f t="shared" si="4"/>
        <v>0</v>
      </c>
      <c r="H55" s="99">
        <f>G55+'27'!H55</f>
        <v>70855</v>
      </c>
      <c r="I55" s="95"/>
      <c r="J55" s="175">
        <f>H55/DAY(B2)</f>
        <v>2530.5357142857142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'27'!F58</f>
        <v>3995</v>
      </c>
      <c r="F58" s="145">
        <v>4198</v>
      </c>
      <c r="G58" s="112">
        <f t="shared" si="4"/>
        <v>203</v>
      </c>
      <c r="H58" s="99">
        <f>G58+'27'!H58</f>
        <v>4538.6300000000047</v>
      </c>
      <c r="I58" s="95"/>
      <c r="J58" s="175">
        <f>H58/DAY(B2)</f>
        <v>162.09392857142873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2076</v>
      </c>
      <c r="H59" s="99">
        <f>G59+'27'!H59</f>
        <v>146412.71000000005</v>
      </c>
      <c r="I59" s="95">
        <f>G7-G60</f>
        <v>899</v>
      </c>
      <c r="J59" s="175">
        <f>H59/DAY(B2)</f>
        <v>5229.0253571428593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16755</v>
      </c>
      <c r="H60" s="99">
        <f>G60+'27'!H60</f>
        <v>461762.70999999996</v>
      </c>
      <c r="I60" s="95">
        <f>G13-G60</f>
        <v>373</v>
      </c>
      <c r="J60" s="175">
        <f>H60/DAY(B2)</f>
        <v>16491.525357142855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'27'!F62</f>
        <v>269127</v>
      </c>
      <c r="F62" s="122">
        <v>269217</v>
      </c>
      <c r="G62" s="112">
        <f t="shared" ref="G62:G63" si="5">F62-E62</f>
        <v>90</v>
      </c>
      <c r="H62" s="99">
        <f>G62+'27'!H62</f>
        <v>2004</v>
      </c>
      <c r="I62" s="118"/>
      <c r="J62" s="175">
        <f>H62/DAY(B2)</f>
        <v>71.571428571428569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'27'!F63</f>
        <v>215279</v>
      </c>
      <c r="F63" s="122">
        <v>215418</v>
      </c>
      <c r="G63" s="112">
        <f t="shared" si="5"/>
        <v>139</v>
      </c>
      <c r="H63" s="99">
        <f>G63+'27'!H63</f>
        <v>2993</v>
      </c>
      <c r="I63" s="118"/>
      <c r="J63" s="175">
        <f>H63/DAY(B2)</f>
        <v>106.89285714285714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'27'!F64</f>
        <v>0</v>
      </c>
      <c r="F64" s="122"/>
      <c r="G64" s="112">
        <f>G62+G63</f>
        <v>229</v>
      </c>
      <c r="H64" s="99">
        <f>G64+'27'!H64</f>
        <v>4997</v>
      </c>
      <c r="I64" s="118"/>
      <c r="J64" s="175">
        <f>H64/DAY(B2)</f>
        <v>178.46428571428572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'27'!F65</f>
        <v>434596</v>
      </c>
      <c r="F65" s="122">
        <v>434685</v>
      </c>
      <c r="G65" s="112">
        <f t="shared" ref="G65:G70" si="6">F65-E65</f>
        <v>89</v>
      </c>
      <c r="H65" s="99">
        <f>G65+'27'!H65</f>
        <v>2071</v>
      </c>
      <c r="I65" s="118"/>
      <c r="J65" s="175">
        <f>H65/DAY(B2)</f>
        <v>73.964285714285708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'27'!F66</f>
        <v>107662</v>
      </c>
      <c r="F66" s="122">
        <v>107679</v>
      </c>
      <c r="G66" s="112">
        <f t="shared" si="6"/>
        <v>17</v>
      </c>
      <c r="H66" s="99">
        <f>G66+'27'!H66</f>
        <v>465</v>
      </c>
      <c r="I66" s="118"/>
      <c r="J66" s="175">
        <f>H66/DAY(B2)</f>
        <v>16.607142857142858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'27'!F67</f>
        <v>104548</v>
      </c>
      <c r="F67" s="122">
        <v>104571</v>
      </c>
      <c r="G67" s="112">
        <f t="shared" si="6"/>
        <v>23</v>
      </c>
      <c r="H67" s="99">
        <f>G67+'27'!H67</f>
        <v>643</v>
      </c>
      <c r="I67" s="118"/>
      <c r="J67" s="175">
        <f>H67/DAY(B2)</f>
        <v>22.964285714285715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'27'!F68</f>
        <v>157527</v>
      </c>
      <c r="F68" s="122">
        <v>157595</v>
      </c>
      <c r="G68" s="112">
        <f t="shared" si="6"/>
        <v>68</v>
      </c>
      <c r="H68" s="99">
        <f>G68+'27'!H68</f>
        <v>975</v>
      </c>
      <c r="I68" s="118"/>
      <c r="J68" s="175">
        <f>H68/DAY(B2)</f>
        <v>34.821428571428569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'27'!F69</f>
        <v>10511</v>
      </c>
      <c r="F69" s="122">
        <v>10517</v>
      </c>
      <c r="G69" s="112">
        <f t="shared" si="6"/>
        <v>6</v>
      </c>
      <c r="H69" s="99">
        <f>G69+'27'!H69</f>
        <v>303</v>
      </c>
      <c r="I69" s="118"/>
      <c r="J69" s="175">
        <f>H69/DAY(B2)</f>
        <v>10.821428571428571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'27'!F70</f>
        <v>8066</v>
      </c>
      <c r="F70" s="122">
        <v>8075</v>
      </c>
      <c r="G70" s="112">
        <f t="shared" si="6"/>
        <v>9</v>
      </c>
      <c r="H70" s="99">
        <f>G70+'27'!H70</f>
        <v>213</v>
      </c>
      <c r="I70" s="118"/>
      <c r="J70" s="175">
        <f>H70/DAY(B2)</f>
        <v>7.6071428571428568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152"/>
      <c r="F71" s="152"/>
      <c r="G71" s="153">
        <f>SUM(G65:G70)</f>
        <v>212</v>
      </c>
      <c r="H71" s="99">
        <f>G71+'27'!H71</f>
        <v>4670</v>
      </c>
      <c r="I71" s="154"/>
      <c r="J71" s="175">
        <f>H71/DAY(B2)</f>
        <v>166.78571428571428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'27'!F74</f>
        <v>900049</v>
      </c>
      <c r="F74" s="117">
        <v>900401</v>
      </c>
      <c r="G74" s="112">
        <f t="shared" ref="G74:G78" si="7">F74-E74</f>
        <v>352</v>
      </c>
      <c r="H74" s="99">
        <f>G74+'27'!H74</f>
        <v>8369</v>
      </c>
      <c r="I74" s="154"/>
      <c r="J74" s="175">
        <f>H74/DAY(B2)</f>
        <v>298.89285714285717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'27'!F76</f>
        <v>169624</v>
      </c>
      <c r="F76" s="123">
        <v>169707</v>
      </c>
      <c r="G76" s="112">
        <f t="shared" si="7"/>
        <v>83</v>
      </c>
      <c r="H76" s="99">
        <f>G76+'27'!H76</f>
        <v>2500</v>
      </c>
      <c r="I76" s="154"/>
      <c r="J76" s="175">
        <f>H76/DAY(B2)</f>
        <v>89.285714285714292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'27'!F77</f>
        <v>41143</v>
      </c>
      <c r="F77" s="123">
        <v>41193</v>
      </c>
      <c r="G77" s="112">
        <f t="shared" si="7"/>
        <v>50</v>
      </c>
      <c r="H77" s="99">
        <f>G77+'27'!H77</f>
        <v>877</v>
      </c>
      <c r="I77" s="154"/>
      <c r="J77" s="175">
        <f>H77/DAY(B2)</f>
        <v>31.321428571428573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'27'!F78</f>
        <v>9510</v>
      </c>
      <c r="F78" s="123">
        <v>9511</v>
      </c>
      <c r="G78" s="112">
        <f t="shared" si="7"/>
        <v>1</v>
      </c>
      <c r="H78" s="99">
        <f>G78+'27'!H78</f>
        <v>25</v>
      </c>
      <c r="I78" s="118"/>
      <c r="J78" s="175">
        <f>H78/DAY(B2)</f>
        <v>0.8928571428571429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'27'!F79</f>
        <v>0</v>
      </c>
      <c r="F79" s="123"/>
      <c r="G79" s="112">
        <f>G15-SUM(G74:G78)</f>
        <v>485</v>
      </c>
      <c r="H79" s="99">
        <f>G79+'27'!H79</f>
        <v>13589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971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0.40000000000145519</v>
      </c>
      <c r="I84" s="118"/>
      <c r="J84" s="175">
        <f>H84/DAY(B2)</f>
        <v>1.4285714285766258E-2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490">
        <f>'27'!F85</f>
        <v>2166</v>
      </c>
      <c r="F85" s="164">
        <v>2190</v>
      </c>
      <c r="G85" s="236">
        <f t="shared" si="8"/>
        <v>24</v>
      </c>
      <c r="H85" s="99">
        <f>G85+'27'!H85</f>
        <v>93.440000000000055</v>
      </c>
      <c r="I85" s="118">
        <f>G82+G83+G84+G85</f>
        <v>24</v>
      </c>
      <c r="J85" s="175">
        <f>H85/DAY(B2)</f>
        <v>3.337142857142859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'27'!F86</f>
        <v>43442</v>
      </c>
      <c r="F86" s="164">
        <v>43442</v>
      </c>
      <c r="G86" s="112">
        <f t="shared" si="8"/>
        <v>0</v>
      </c>
      <c r="H86" s="99">
        <f>G86+'27'!H86</f>
        <v>579</v>
      </c>
      <c r="I86" s="118"/>
      <c r="J86" s="175">
        <f>H86/DAY(B2)</f>
        <v>20.678571428571427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'27'!F88</f>
        <v>24063</v>
      </c>
      <c r="F88" s="164">
        <v>24063.43</v>
      </c>
      <c r="G88" s="112">
        <f t="shared" si="8"/>
        <v>0.43000000000029104</v>
      </c>
      <c r="H88" s="99">
        <f>G88+'27'!H88</f>
        <v>16.430000000000291</v>
      </c>
      <c r="I88" s="118">
        <f>G86+G87+G88</f>
        <v>0.43000000000029104</v>
      </c>
      <c r="J88" s="175">
        <f>H88/DAY(B2)</f>
        <v>0.58678571428572468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'27'!F89</f>
        <v>25853</v>
      </c>
      <c r="F89" s="164">
        <v>25862.68</v>
      </c>
      <c r="G89" s="112">
        <f t="shared" si="8"/>
        <v>9.680000000000291</v>
      </c>
      <c r="H89" s="99">
        <f>G89+'27'!H89</f>
        <v>199.68000000000029</v>
      </c>
      <c r="I89" s="118"/>
      <c r="J89" s="175">
        <f>H89/DAY(B2)</f>
        <v>7.1314285714285814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'27'!F90</f>
        <v>71155</v>
      </c>
      <c r="F90" s="164">
        <v>71158.149999999994</v>
      </c>
      <c r="G90" s="112">
        <f t="shared" si="8"/>
        <v>3.1499999999941792</v>
      </c>
      <c r="H90" s="99">
        <f>G90+'27'!H90</f>
        <v>26.149999999994179</v>
      </c>
      <c r="I90" s="118">
        <f>G89+G90</f>
        <v>12.82999999999447</v>
      </c>
      <c r="J90" s="175">
        <f>H90/DAY(B2)</f>
        <v>0.9339285714283635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-0.32000000000016371</v>
      </c>
      <c r="I91" s="165"/>
      <c r="J91" s="175">
        <f>H91/DAY(B2)</f>
        <v>-1.1428571428577275E-2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'27'!F92</f>
        <v>5721</v>
      </c>
      <c r="F92" s="122">
        <v>5732.08</v>
      </c>
      <c r="G92" s="112">
        <f t="shared" si="8"/>
        <v>11.079999999999927</v>
      </c>
      <c r="H92" s="99">
        <f>G92+'27'!H92</f>
        <v>294.07999999999993</v>
      </c>
      <c r="I92" s="165"/>
      <c r="J92" s="175">
        <f>H92/DAY(B2)</f>
        <v>10.50285714285714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4114</v>
      </c>
      <c r="H94" s="99">
        <f>G94+'27'!H94</f>
        <v>140769</v>
      </c>
      <c r="I94" s="118"/>
      <c r="J94" s="175">
        <f>H94/DAY(B2)</f>
        <v>5027.4642857142853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0.23303500623088252</v>
      </c>
      <c r="H95" s="99">
        <f>G95+'27'!H95</f>
        <v>7.7896956108053184</v>
      </c>
      <c r="I95" s="167"/>
      <c r="J95" s="175">
        <f>H95/DAY(B2)</f>
        <v>0.27820341467161852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4136</v>
      </c>
      <c r="H96" s="99">
        <f>G96+'27'!H96</f>
        <v>85401</v>
      </c>
      <c r="I96" s="118"/>
      <c r="J96" s="175">
        <f>H96/DAY(B2)</f>
        <v>3050.0357142857142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0.23428118273479098</v>
      </c>
      <c r="H97" s="99">
        <f>G97+'27'!H97</f>
        <v>4.75524338460911</v>
      </c>
      <c r="I97" s="167"/>
      <c r="J97" s="175">
        <f>H97/DAY(B2)</f>
        <v>0.16983012087889679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2604</v>
      </c>
      <c r="H98" s="99">
        <f>G98+'27'!H98</f>
        <v>72984</v>
      </c>
      <c r="I98" s="168"/>
      <c r="J98" s="175">
        <f>H98/DAY(B2)</f>
        <v>2606.5714285714284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0.14750198255352895</v>
      </c>
      <c r="H99" s="99">
        <f>G99+'27'!H99</f>
        <v>4.0621398017639221</v>
      </c>
      <c r="I99" s="168"/>
      <c r="J99" s="175">
        <f>H99/DAY(B2)</f>
        <v>0.14507642149156866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1753</v>
      </c>
      <c r="H100" s="99">
        <f>G100+'27'!H100</f>
        <v>46570.000000000007</v>
      </c>
      <c r="I100" s="118"/>
      <c r="J100" s="175">
        <f>H100/DAY(B2)</f>
        <v>1663.214285714286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9.9297609606887952E-2</v>
      </c>
      <c r="H101" s="99">
        <f>G101+'27'!H101</f>
        <v>2.5950083878864247</v>
      </c>
      <c r="I101" s="168"/>
      <c r="J101" s="175">
        <f>H101/DAY(B2)</f>
        <v>9.2678870995943741E-2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1725</v>
      </c>
      <c r="H102" s="99">
        <f>G102+'27'!H102</f>
        <v>48384</v>
      </c>
      <c r="I102" s="168"/>
      <c r="J102" s="175">
        <f>H102/DAY(B2)</f>
        <v>1728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9.7711566783731732E-2</v>
      </c>
      <c r="H103" s="99">
        <f>G103+'27'!H103</f>
        <v>2.6792043344678835</v>
      </c>
      <c r="I103" s="118"/>
      <c r="J103" s="175">
        <f>H103/DAY(B2)</f>
        <v>9.5685869088138698E-2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1576</v>
      </c>
      <c r="H104" s="99">
        <f>G104+'27'!H104</f>
        <v>42885</v>
      </c>
      <c r="I104" s="118"/>
      <c r="J104" s="175">
        <f>H104/DAY(B2)</f>
        <v>1531.6071428571429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8.9271553189078964E-2</v>
      </c>
      <c r="H105" s="99">
        <f>G105+'27'!H105</f>
        <v>2.3908407483872836</v>
      </c>
      <c r="I105" s="187"/>
      <c r="J105" s="188">
        <f>H105/DAY(B2)</f>
        <v>8.5387169585260131E-2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95">
        <f>'27'!F112</f>
        <v>57745</v>
      </c>
      <c r="F112" s="237">
        <v>57824</v>
      </c>
      <c r="G112" s="112">
        <f t="shared" ref="G112:G123" si="9">F112-E112</f>
        <v>79</v>
      </c>
      <c r="H112" s="99">
        <f>G112+'27'!H112</f>
        <v>2143</v>
      </c>
      <c r="I112" s="165"/>
      <c r="J112" s="328">
        <f>H112/DAY(B2)</f>
        <v>76.535714285714292</v>
      </c>
    </row>
    <row r="113" spans="1:18" ht="29.25" customHeight="1">
      <c r="A113" s="843" t="s">
        <v>253</v>
      </c>
      <c r="B113" s="844"/>
      <c r="C113" s="845"/>
      <c r="D113" s="146" t="s">
        <v>183</v>
      </c>
      <c r="E113" s="95">
        <f>'27'!F113</f>
        <v>44536</v>
      </c>
      <c r="F113" s="237">
        <v>45015</v>
      </c>
      <c r="G113" s="112">
        <f t="shared" si="9"/>
        <v>479</v>
      </c>
      <c r="H113" s="99">
        <f>G113+'27'!H113</f>
        <v>12820</v>
      </c>
      <c r="I113" s="165"/>
      <c r="J113" s="328">
        <f>H113/DAY(B2)</f>
        <v>457.85714285714283</v>
      </c>
    </row>
    <row r="114" spans="1:18" ht="29.25" customHeight="1">
      <c r="A114" s="843" t="s">
        <v>254</v>
      </c>
      <c r="B114" s="844"/>
      <c r="C114" s="845"/>
      <c r="D114" s="146" t="s">
        <v>183</v>
      </c>
      <c r="E114" s="95">
        <f>'27'!F114</f>
        <v>32124</v>
      </c>
      <c r="F114" s="237">
        <v>32387</v>
      </c>
      <c r="G114" s="112">
        <f t="shared" si="9"/>
        <v>263</v>
      </c>
      <c r="H114" s="99">
        <f>G114+'27'!H114</f>
        <v>7382.4</v>
      </c>
      <c r="I114" s="165"/>
      <c r="J114" s="328">
        <f>H114/DAY(B2)</f>
        <v>263.65714285714284</v>
      </c>
    </row>
    <row r="115" spans="1:18" ht="29.25" customHeight="1">
      <c r="A115" s="843" t="s">
        <v>255</v>
      </c>
      <c r="B115" s="844"/>
      <c r="C115" s="845"/>
      <c r="D115" s="146" t="s">
        <v>183</v>
      </c>
      <c r="E115" s="95">
        <f>'27'!F115</f>
        <v>9055</v>
      </c>
      <c r="F115" s="237">
        <v>9063</v>
      </c>
      <c r="G115" s="112">
        <f t="shared" si="9"/>
        <v>8</v>
      </c>
      <c r="H115" s="99">
        <f>G115+'27'!H115</f>
        <v>278</v>
      </c>
      <c r="I115" s="165"/>
      <c r="J115" s="328">
        <f>H115/DAY(B2)</f>
        <v>9.9285714285714288</v>
      </c>
    </row>
    <row r="116" spans="1:18" ht="29.25" customHeight="1">
      <c r="A116" s="850" t="s">
        <v>96</v>
      </c>
      <c r="B116" s="851"/>
      <c r="C116" s="852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28">
        <f>H116/DAY(B2)</f>
        <v>0</v>
      </c>
      <c r="Q116" s="843"/>
      <c r="R116" s="845"/>
    </row>
    <row r="117" spans="1:18" ht="29.25" customHeight="1">
      <c r="A117" s="850" t="s">
        <v>184</v>
      </c>
      <c r="B117" s="851"/>
      <c r="C117" s="852"/>
      <c r="D117" s="146" t="s">
        <v>183</v>
      </c>
      <c r="E117" s="95">
        <f>'27'!F117</f>
        <v>3230</v>
      </c>
      <c r="F117" s="237">
        <v>3253</v>
      </c>
      <c r="G117" s="112">
        <f t="shared" si="9"/>
        <v>23</v>
      </c>
      <c r="H117" s="99">
        <f>G117+'27'!H117</f>
        <v>663</v>
      </c>
      <c r="I117" s="165"/>
      <c r="J117" s="328">
        <f>H117/DAY(B2)</f>
        <v>23.678571428571427</v>
      </c>
      <c r="Q117" s="843"/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'27'!F118</f>
        <v>251137</v>
      </c>
      <c r="F118" s="237">
        <v>251486</v>
      </c>
      <c r="G118" s="112">
        <f t="shared" si="9"/>
        <v>349</v>
      </c>
      <c r="H118" s="99">
        <f>G118+'27'!H118</f>
        <v>9839</v>
      </c>
      <c r="I118" s="165"/>
      <c r="J118" s="328">
        <f>H118/DAY(B2)</f>
        <v>351.39285714285717</v>
      </c>
      <c r="Q118" s="843"/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'27'!F119</f>
        <v>256464</v>
      </c>
      <c r="F119" s="237">
        <v>256886</v>
      </c>
      <c r="G119" s="112">
        <f t="shared" si="9"/>
        <v>422</v>
      </c>
      <c r="H119" s="99">
        <f>G119+'27'!H119</f>
        <v>11760</v>
      </c>
      <c r="I119" s="165"/>
      <c r="J119" s="328">
        <f>H119/DAY(B2)</f>
        <v>420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'27'!F120</f>
        <v>41275</v>
      </c>
      <c r="F120" s="237">
        <v>41690</v>
      </c>
      <c r="G120" s="112">
        <f t="shared" si="9"/>
        <v>415</v>
      </c>
      <c r="H120" s="99">
        <f>G120+'27'!H120</f>
        <v>11612</v>
      </c>
      <c r="I120" s="165"/>
      <c r="J120" s="328">
        <f>H120/DAY(B2)</f>
        <v>414.71428571428572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'27'!F121</f>
        <v>395153</v>
      </c>
      <c r="F121" s="237">
        <v>395861</v>
      </c>
      <c r="G121" s="112">
        <f t="shared" si="9"/>
        <v>708</v>
      </c>
      <c r="H121" s="99">
        <f>G121+'27'!H121</f>
        <v>19332</v>
      </c>
      <c r="I121" s="165"/>
      <c r="J121" s="328">
        <f>H121/DAY(B2)</f>
        <v>690.42857142857144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'27'!F122</f>
        <v>125384</v>
      </c>
      <c r="F122" s="237">
        <v>125574</v>
      </c>
      <c r="G122" s="112">
        <f t="shared" si="9"/>
        <v>190</v>
      </c>
      <c r="H122" s="99">
        <f>G122+'27'!H122</f>
        <v>5524</v>
      </c>
      <c r="I122" s="165"/>
      <c r="J122" s="328">
        <f>H122/DAY(B2)</f>
        <v>197.28571428571428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'27'!F123</f>
        <v>152943</v>
      </c>
      <c r="F123" s="237">
        <v>153220</v>
      </c>
      <c r="G123" s="112">
        <f t="shared" si="9"/>
        <v>277</v>
      </c>
      <c r="H123" s="99">
        <f>G123+'27'!H123</f>
        <v>8095</v>
      </c>
      <c r="I123" s="165"/>
      <c r="J123" s="328">
        <f>H123/DAY(B2)</f>
        <v>289.10714285714283</v>
      </c>
    </row>
    <row r="124" spans="1:18" ht="29.25" customHeight="1">
      <c r="A124" s="847"/>
      <c r="B124" s="848"/>
      <c r="C124" s="849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3213</v>
      </c>
      <c r="H125" s="156"/>
      <c r="I125" s="327">
        <f>G125-(G39+G53)</f>
        <v>609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843" t="s">
        <v>318</v>
      </c>
      <c r="B128" s="844"/>
      <c r="C128" s="845"/>
      <c r="D128" s="151" t="s">
        <v>183</v>
      </c>
      <c r="E128" s="95">
        <f>'27'!F128</f>
        <v>46522</v>
      </c>
      <c r="F128" s="165">
        <v>46835</v>
      </c>
      <c r="G128" s="112">
        <f t="shared" ref="G128:G134" si="10">F128-E128</f>
        <v>313</v>
      </c>
      <c r="H128" s="99">
        <f>G128+'27'!H128</f>
        <v>8831</v>
      </c>
      <c r="I128" s="165"/>
      <c r="J128" s="328">
        <f>H128/DAY(B2)</f>
        <v>315.39285714285717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'27'!F129</f>
        <v>26160</v>
      </c>
      <c r="F129" s="165">
        <v>26369</v>
      </c>
      <c r="G129" s="112">
        <f t="shared" si="10"/>
        <v>209</v>
      </c>
      <c r="H129" s="99">
        <f>G129+'27'!H129</f>
        <v>6048</v>
      </c>
      <c r="I129" s="165"/>
      <c r="J129" s="328">
        <f>H129/DAY(B2)</f>
        <v>216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'27'!F130</f>
        <v>33852</v>
      </c>
      <c r="F130" s="165">
        <v>34366</v>
      </c>
      <c r="G130" s="112">
        <f t="shared" si="10"/>
        <v>514</v>
      </c>
      <c r="H130" s="99">
        <f>G130+'27'!H130</f>
        <v>15984</v>
      </c>
      <c r="I130" s="165"/>
      <c r="J130" s="328">
        <f>H130/DAY(B2)</f>
        <v>570.85714285714289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'27'!F131</f>
        <v>15071</v>
      </c>
      <c r="F131" s="165">
        <v>15155</v>
      </c>
      <c r="G131" s="112">
        <f t="shared" si="10"/>
        <v>84</v>
      </c>
      <c r="H131" s="99">
        <f>G131+'27'!H131</f>
        <v>2002</v>
      </c>
      <c r="I131" s="165"/>
      <c r="J131" s="328">
        <f>H131/DAY(B2)</f>
        <v>71.5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'27'!F132</f>
        <v>51189</v>
      </c>
      <c r="F132" s="165">
        <v>51353</v>
      </c>
      <c r="G132" s="112">
        <f t="shared" si="10"/>
        <v>164</v>
      </c>
      <c r="H132" s="99">
        <f>G132+'27'!H132</f>
        <v>10330</v>
      </c>
      <c r="I132" s="165"/>
      <c r="J132" s="328">
        <f>H132/DAY(B2)</f>
        <v>368.92857142857144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'27'!F133</f>
        <v>103509</v>
      </c>
      <c r="F133" s="165">
        <v>103916</v>
      </c>
      <c r="G133" s="112">
        <f t="shared" si="10"/>
        <v>407</v>
      </c>
      <c r="H133" s="99">
        <f>G133+'27'!H133</f>
        <v>16213</v>
      </c>
      <c r="I133" s="165"/>
      <c r="J133" s="328">
        <f>H133/DAY(B2)</f>
        <v>579.03571428571433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'27'!F134</f>
        <v>7993</v>
      </c>
      <c r="F134" s="158">
        <v>8139</v>
      </c>
      <c r="G134" s="112">
        <f t="shared" si="10"/>
        <v>146</v>
      </c>
      <c r="H134" s="99">
        <f>G134+'27'!H134</f>
        <v>10432.999999999998</v>
      </c>
      <c r="I134" s="165"/>
      <c r="J134" s="328">
        <f>H134/DAY(B2)</f>
        <v>372.60714285714278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SUM(G128:G134)</f>
        <v>1837</v>
      </c>
      <c r="H135" s="99">
        <f>G135+'23'!H135</f>
        <v>35197.169999999984</v>
      </c>
      <c r="I135" s="327">
        <f>G135-(G35+G49)</f>
        <v>-316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'27'!F138</f>
        <v>865949</v>
      </c>
      <c r="F138" s="147">
        <v>865997</v>
      </c>
      <c r="G138" s="112">
        <f t="shared" ref="G138:G152" si="11">F138-E138</f>
        <v>48</v>
      </c>
      <c r="H138" s="99">
        <f>G138+'27'!H138</f>
        <v>1826</v>
      </c>
      <c r="I138" s="118"/>
      <c r="J138" s="328">
        <f>H138/DAY(B2)</f>
        <v>65.214285714285708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'27'!F139</f>
        <v>886570</v>
      </c>
      <c r="F139" s="148">
        <v>886570</v>
      </c>
      <c r="G139" s="112">
        <f t="shared" si="11"/>
        <v>0</v>
      </c>
      <c r="H139" s="99">
        <f>G139+'27'!H139</f>
        <v>24</v>
      </c>
      <c r="I139" s="118"/>
      <c r="J139" s="328">
        <f>H139/DAY(B2)</f>
        <v>0.8571428571428571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'27'!F140</f>
        <v>88922</v>
      </c>
      <c r="F140" s="149">
        <v>88922</v>
      </c>
      <c r="G140" s="112">
        <f t="shared" si="11"/>
        <v>0</v>
      </c>
      <c r="H140" s="99">
        <f>G140+'27'!H140</f>
        <v>40</v>
      </c>
      <c r="I140" s="118"/>
      <c r="J140" s="328">
        <f>H140/DAY(B2)</f>
        <v>1.4285714285714286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'27'!F141</f>
        <v>53982</v>
      </c>
      <c r="F141" s="149">
        <v>54154</v>
      </c>
      <c r="G141" s="112">
        <f t="shared" si="11"/>
        <v>172</v>
      </c>
      <c r="H141" s="99">
        <f>G141+'27'!H141</f>
        <v>4848</v>
      </c>
      <c r="I141" s="118"/>
      <c r="J141" s="328">
        <f>H141/DAY(B2)</f>
        <v>173.14285714285714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'27'!F142</f>
        <v>20972</v>
      </c>
      <c r="F142" s="148">
        <v>21049</v>
      </c>
      <c r="G142" s="112">
        <f t="shared" si="11"/>
        <v>77</v>
      </c>
      <c r="H142" s="99">
        <f>G142+'27'!H142</f>
        <v>2040</v>
      </c>
      <c r="I142" s="140"/>
      <c r="J142" s="328">
        <f>H142/DAY(B2)</f>
        <v>72.857142857142861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'27'!F143</f>
        <v>3734</v>
      </c>
      <c r="F143" s="149">
        <v>3762</v>
      </c>
      <c r="G143" s="112">
        <f t="shared" si="11"/>
        <v>28</v>
      </c>
      <c r="H143" s="99">
        <f>G143+'27'!H143</f>
        <v>701</v>
      </c>
      <c r="I143" s="140"/>
      <c r="J143" s="328">
        <f>H143/DAY(B2)</f>
        <v>25.035714285714285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'27'!F144</f>
        <v>875675</v>
      </c>
      <c r="F144" s="149">
        <v>875870</v>
      </c>
      <c r="G144" s="112">
        <f t="shared" si="11"/>
        <v>195</v>
      </c>
      <c r="H144" s="99">
        <f>G144+'27'!H144</f>
        <v>6200</v>
      </c>
      <c r="I144" s="140"/>
      <c r="J144" s="328">
        <f>H144/DAY(B2)</f>
        <v>221.42857142857142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'27'!F145</f>
        <v>4926</v>
      </c>
      <c r="F145" s="149">
        <v>4935</v>
      </c>
      <c r="G145" s="112">
        <f t="shared" si="11"/>
        <v>9</v>
      </c>
      <c r="H145" s="99">
        <f>G145+'27'!H145</f>
        <v>377</v>
      </c>
      <c r="I145" s="140"/>
      <c r="J145" s="328">
        <f>H145/DAY(B2)</f>
        <v>13.464285714285714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'27'!F146</f>
        <v>735677</v>
      </c>
      <c r="F146" s="148">
        <v>736078</v>
      </c>
      <c r="G146" s="112">
        <f t="shared" si="11"/>
        <v>401</v>
      </c>
      <c r="H146" s="99">
        <f>G146+'27'!H146</f>
        <v>11220</v>
      </c>
      <c r="I146" s="140"/>
      <c r="J146" s="328">
        <f>H146/DAY(B2)</f>
        <v>400.71428571428572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'27'!F147</f>
        <v>625172</v>
      </c>
      <c r="F147" s="148">
        <v>625551</v>
      </c>
      <c r="G147" s="112">
        <f t="shared" si="11"/>
        <v>379</v>
      </c>
      <c r="H147" s="99">
        <f>G147+'27'!H147</f>
        <v>10269</v>
      </c>
      <c r="I147" s="140"/>
      <c r="J147" s="328">
        <f>H147/DAY(B2)</f>
        <v>366.75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'27'!F148</f>
        <v>688695</v>
      </c>
      <c r="F148" s="150">
        <v>688880</v>
      </c>
      <c r="G148" s="112">
        <f t="shared" si="11"/>
        <v>185</v>
      </c>
      <c r="H148" s="99">
        <f>G148+'27'!H148</f>
        <v>5846.8800000000047</v>
      </c>
      <c r="I148" s="124"/>
      <c r="J148" s="328">
        <f>H148/DAY(B2)</f>
        <v>208.81714285714301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'27'!F149</f>
        <v>22772</v>
      </c>
      <c r="F149" s="146">
        <v>23289</v>
      </c>
      <c r="G149" s="112">
        <f t="shared" si="11"/>
        <v>517</v>
      </c>
      <c r="H149" s="99">
        <f>G149+'27'!H149</f>
        <v>12540</v>
      </c>
      <c r="I149" s="119"/>
      <c r="J149" s="328">
        <f>H149/DAY(B2)</f>
        <v>447.85714285714283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'27'!F150</f>
        <v>9961</v>
      </c>
      <c r="F150" s="233">
        <v>10179</v>
      </c>
      <c r="G150" s="112">
        <f t="shared" si="11"/>
        <v>218</v>
      </c>
      <c r="H150" s="99">
        <f>G150+'27'!H150</f>
        <v>6127</v>
      </c>
      <c r="I150" s="119"/>
      <c r="J150" s="328">
        <f>H150/DAY(B2)</f>
        <v>218.82142857142858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'27'!F151</f>
        <v>84449</v>
      </c>
      <c r="F151" s="233">
        <v>84703</v>
      </c>
      <c r="G151" s="112">
        <f t="shared" si="11"/>
        <v>254</v>
      </c>
      <c r="H151" s="99">
        <f>G151+'27'!H151</f>
        <v>6486</v>
      </c>
      <c r="I151" s="119"/>
      <c r="J151" s="328">
        <f>H151/DAY(B2)</f>
        <v>231.64285714285714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'27'!F152</f>
        <v>1599</v>
      </c>
      <c r="F152" s="233">
        <v>1614</v>
      </c>
      <c r="G152" s="112">
        <f t="shared" si="11"/>
        <v>15</v>
      </c>
      <c r="H152" s="99">
        <f>G152+'27'!H152</f>
        <v>487</v>
      </c>
      <c r="I152" s="119"/>
      <c r="J152" s="328">
        <f>H152/DAY(B2)</f>
        <v>17.392857142857142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2498</v>
      </c>
      <c r="H153" s="363"/>
      <c r="I153" s="119">
        <f>G153-(G38+G52)</f>
        <v>745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709">
        <f>'27'!F155</f>
        <v>29684</v>
      </c>
      <c r="F155" s="710">
        <v>30396</v>
      </c>
      <c r="G155" s="112">
        <f t="shared" ref="G155:G158" si="12">F155-E155</f>
        <v>712</v>
      </c>
      <c r="H155" s="99">
        <f>G155+'27'!H155</f>
        <v>16924</v>
      </c>
      <c r="I155" s="364"/>
      <c r="J155" s="328">
        <f>H155/DAY(B2)</f>
        <v>604.42857142857144</v>
      </c>
    </row>
    <row r="156" spans="1:10" ht="27.75">
      <c r="A156" s="823" t="s">
        <v>347</v>
      </c>
      <c r="B156" s="823"/>
      <c r="C156" s="823"/>
      <c r="D156" s="117" t="s">
        <v>130</v>
      </c>
      <c r="E156" s="95">
        <f>'27'!F156</f>
        <v>2508</v>
      </c>
      <c r="F156" s="155">
        <v>2564</v>
      </c>
      <c r="G156" s="112">
        <f t="shared" si="12"/>
        <v>56</v>
      </c>
      <c r="H156" s="99">
        <f>G156+'27'!H156</f>
        <v>1476</v>
      </c>
      <c r="I156" s="165"/>
      <c r="J156" s="328">
        <f>H156/DAY(B2)</f>
        <v>52.714285714285715</v>
      </c>
    </row>
    <row r="157" spans="1:10" ht="27.75">
      <c r="A157" s="824" t="s">
        <v>364</v>
      </c>
      <c r="B157" s="825"/>
      <c r="C157" s="826"/>
      <c r="D157" s="117" t="s">
        <v>130</v>
      </c>
      <c r="E157" s="155">
        <v>3582</v>
      </c>
      <c r="F157" s="157">
        <v>3692</v>
      </c>
      <c r="G157" s="112">
        <f t="shared" si="12"/>
        <v>110</v>
      </c>
      <c r="H157" s="99"/>
      <c r="I157" s="165"/>
      <c r="J157" s="328"/>
    </row>
    <row r="158" spans="1:10" ht="27.75">
      <c r="A158" s="824" t="s">
        <v>365</v>
      </c>
      <c r="B158" s="825"/>
      <c r="C158" s="826"/>
      <c r="D158" s="117" t="s">
        <v>130</v>
      </c>
      <c r="E158" s="155">
        <v>45.49</v>
      </c>
      <c r="F158" s="155">
        <v>45.55</v>
      </c>
      <c r="G158" s="112">
        <f t="shared" si="12"/>
        <v>5.9999999999995168E-2</v>
      </c>
      <c r="H158" s="99"/>
      <c r="I158" s="165"/>
      <c r="J158" s="328"/>
    </row>
    <row r="159" spans="1:10" ht="27.75">
      <c r="A159" s="907"/>
      <c r="B159" s="908"/>
      <c r="C159" s="909"/>
      <c r="D159" s="117"/>
      <c r="E159" s="95"/>
      <c r="F159" s="16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'27'!F161</f>
        <v>471931</v>
      </c>
      <c r="F161" s="235">
        <v>471960</v>
      </c>
      <c r="G161" s="238">
        <f t="shared" ref="G161:G165" si="13">F161-E161</f>
        <v>29</v>
      </c>
      <c r="H161" s="99">
        <f>G161+'27'!H161</f>
        <v>806.84000000002561</v>
      </c>
      <c r="I161" s="236"/>
      <c r="J161" s="239">
        <f>H161/DAY(B2)</f>
        <v>28.815714285715199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'27'!F162</f>
        <v>88400</v>
      </c>
      <c r="F162" s="235">
        <v>88439</v>
      </c>
      <c r="G162" s="238">
        <f t="shared" si="13"/>
        <v>39</v>
      </c>
      <c r="H162" s="99">
        <f>G162+'27'!H162</f>
        <v>869</v>
      </c>
      <c r="I162" s="236"/>
      <c r="J162" s="239">
        <f>H162/DAY(B2)</f>
        <v>31.035714285714285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'27'!F163</f>
        <v>79062</v>
      </c>
      <c r="F163" s="235">
        <v>79102.5</v>
      </c>
      <c r="G163" s="238">
        <f t="shared" si="13"/>
        <v>40.5</v>
      </c>
      <c r="H163" s="99">
        <f>G163+'27'!H163</f>
        <v>1277.5</v>
      </c>
      <c r="I163" s="236"/>
      <c r="J163" s="239">
        <f>H163/DAY(B2)</f>
        <v>45.625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'27'!F164</f>
        <v>4312</v>
      </c>
      <c r="F164" s="235">
        <v>4317.3999999999996</v>
      </c>
      <c r="G164" s="238">
        <f t="shared" si="13"/>
        <v>5.3999999999996362</v>
      </c>
      <c r="H164" s="99">
        <f>G164+'27'!H164</f>
        <v>75.399999999999636</v>
      </c>
      <c r="I164" s="236"/>
      <c r="J164" s="239">
        <f>H164/DAY(B2)</f>
        <v>2.6928571428571297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'27'!F165</f>
        <v>29819</v>
      </c>
      <c r="F165" s="235">
        <v>29828</v>
      </c>
      <c r="G165" s="238">
        <f t="shared" si="13"/>
        <v>9</v>
      </c>
      <c r="H165" s="99">
        <f>G165+'27'!H165</f>
        <v>182</v>
      </c>
      <c r="I165" s="236"/>
      <c r="J165" s="239">
        <f>H165/DAY(B2)</f>
        <v>6.5</v>
      </c>
    </row>
    <row r="166" spans="1:10" ht="29.25">
      <c r="A166" s="832"/>
      <c r="B166" s="832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'27'!F174</f>
        <v>38561</v>
      </c>
      <c r="F174" s="157">
        <v>38576</v>
      </c>
      <c r="G174" s="155">
        <f t="shared" ref="G174:G175" si="14">F174-E174</f>
        <v>15</v>
      </c>
      <c r="H174" s="99">
        <f>G174+'27'!H174</f>
        <v>283</v>
      </c>
      <c r="I174" s="155"/>
      <c r="J174" s="178">
        <f>H174/DAY(B2)</f>
        <v>10.107142857142858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'27'!F175</f>
        <v>21774</v>
      </c>
      <c r="F175" s="155">
        <v>21783</v>
      </c>
      <c r="G175" s="155">
        <f t="shared" si="14"/>
        <v>9</v>
      </c>
      <c r="H175" s="99">
        <f>G175+'27'!H175</f>
        <v>265</v>
      </c>
      <c r="I175" s="155"/>
      <c r="J175" s="178">
        <f>H175/DAY(B2)</f>
        <v>9.4642857142857135</v>
      </c>
    </row>
    <row r="176" spans="1:10" ht="27.75">
      <c r="A176" s="827" t="s">
        <v>196</v>
      </c>
      <c r="B176" s="828"/>
      <c r="C176" s="485"/>
      <c r="D176" s="228" t="s">
        <v>142</v>
      </c>
      <c r="E176" s="95"/>
      <c r="F176" s="155"/>
      <c r="G176" s="155">
        <f>SUM(G173:G175)</f>
        <v>24</v>
      </c>
      <c r="H176" s="99">
        <f>G176+'27'!H176</f>
        <v>548</v>
      </c>
      <c r="I176" s="155"/>
      <c r="J176" s="178">
        <f>H176/DAY(B2)</f>
        <v>19.571428571428573</v>
      </c>
    </row>
    <row r="177" spans="1:10" ht="27.75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'27'!F178</f>
        <v>81051</v>
      </c>
      <c r="F178" s="155">
        <v>81101</v>
      </c>
      <c r="G178" s="155">
        <f>F178-E178</f>
        <v>50</v>
      </c>
      <c r="H178" s="99">
        <f>G178+'27'!H178</f>
        <v>1487</v>
      </c>
      <c r="I178" s="155"/>
      <c r="J178" s="178">
        <f>H178/DAY(B2)</f>
        <v>53.107142857142854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'27'!F179</f>
        <v>34642</v>
      </c>
      <c r="F179" s="155">
        <v>34711</v>
      </c>
      <c r="G179" s="155">
        <f t="shared" ref="G179:G180" si="15">F179-E179</f>
        <v>69</v>
      </c>
      <c r="H179" s="99">
        <f>G179+'27'!H179</f>
        <v>796</v>
      </c>
      <c r="I179" s="155"/>
      <c r="J179" s="178">
        <f>H179/DAY(B2)</f>
        <v>28.428571428571427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'27'!F180</f>
        <v>5672</v>
      </c>
      <c r="F180" s="155">
        <v>5675</v>
      </c>
      <c r="G180" s="155">
        <f t="shared" si="15"/>
        <v>3</v>
      </c>
      <c r="H180" s="99">
        <f>G180+'27'!H180</f>
        <v>198</v>
      </c>
      <c r="I180" s="155"/>
      <c r="J180" s="178">
        <f>H180/DAY(B2)</f>
        <v>7.0714285714285712</v>
      </c>
    </row>
    <row r="181" spans="1:10" ht="27.75">
      <c r="A181" s="838" t="s">
        <v>108</v>
      </c>
      <c r="B181" s="839"/>
      <c r="C181" s="485"/>
      <c r="D181" s="228" t="s">
        <v>142</v>
      </c>
      <c r="E181" s="95"/>
      <c r="F181" s="155"/>
      <c r="G181" s="155">
        <f>SUM(G178:G180)</f>
        <v>122</v>
      </c>
      <c r="H181" s="99">
        <f>G181+'27'!H181</f>
        <v>2481</v>
      </c>
      <c r="I181" s="155"/>
      <c r="J181" s="178">
        <f>H181/DAY(B2)</f>
        <v>88.607142857142861</v>
      </c>
    </row>
    <row r="182" spans="1:10" ht="27.75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'27'!F183</f>
        <v>15308</v>
      </c>
      <c r="F183" s="157">
        <v>15316</v>
      </c>
      <c r="G183" s="157">
        <f>F183-E183</f>
        <v>8</v>
      </c>
      <c r="H183" s="99">
        <f>G183+'27'!H183</f>
        <v>369</v>
      </c>
      <c r="I183" s="155"/>
      <c r="J183" s="178">
        <f>H183/DAY(B2)</f>
        <v>13.178571428571429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'27'!F184</f>
        <v>10476</v>
      </c>
      <c r="F184" s="157">
        <v>10482</v>
      </c>
      <c r="G184" s="157">
        <f t="shared" ref="G184:G185" si="16">F184-E184</f>
        <v>6</v>
      </c>
      <c r="H184" s="99">
        <f>G184+'27'!H184</f>
        <v>181</v>
      </c>
      <c r="I184" s="155"/>
      <c r="J184" s="178">
        <f>H184/DAY(B2)</f>
        <v>6.4642857142857144</v>
      </c>
    </row>
    <row r="185" spans="1:10" ht="27.75">
      <c r="A185" s="836" t="s">
        <v>216</v>
      </c>
      <c r="B185" s="837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14</v>
      </c>
      <c r="H186" s="99">
        <f>G186+'27'!H186</f>
        <v>550</v>
      </c>
      <c r="I186" s="157"/>
      <c r="J186" s="178">
        <f>H186/DAY(B2)</f>
        <v>19.642857142857142</v>
      </c>
    </row>
    <row r="187" spans="1:10" ht="27.75">
      <c r="A187" s="829" t="s">
        <v>217</v>
      </c>
      <c r="B187" s="830"/>
      <c r="C187" s="333"/>
      <c r="D187" s="230" t="s">
        <v>142</v>
      </c>
      <c r="E187" s="95">
        <f>'27'!F187</f>
        <v>0</v>
      </c>
      <c r="F187" s="159"/>
      <c r="G187" s="462">
        <f>G62+G19</f>
        <v>142</v>
      </c>
      <c r="H187" s="99">
        <f>G187+'27'!H187</f>
        <v>3506</v>
      </c>
      <c r="I187" s="158"/>
      <c r="J187" s="179">
        <f>H187/DAY(B2)</f>
        <v>125.21428571428571</v>
      </c>
    </row>
    <row r="188" spans="1:10" ht="27.75">
      <c r="A188" s="829" t="s">
        <v>218</v>
      </c>
      <c r="B188" s="830"/>
      <c r="C188" s="333"/>
      <c r="D188" s="230" t="s">
        <v>142</v>
      </c>
      <c r="E188" s="95">
        <f>'27'!F188</f>
        <v>0</v>
      </c>
      <c r="F188" s="159"/>
      <c r="G188" s="462">
        <f>G65+G66+G67+G69+G70</f>
        <v>144</v>
      </c>
      <c r="H188" s="99">
        <f>G188+'27'!H188</f>
        <v>1901</v>
      </c>
      <c r="I188" s="158"/>
      <c r="J188" s="179">
        <f>H188/DAY(B2)</f>
        <v>67.892857142857139</v>
      </c>
    </row>
    <row r="189" spans="1:10" ht="27.75">
      <c r="A189" s="829" t="s">
        <v>219</v>
      </c>
      <c r="B189" s="830"/>
      <c r="C189" s="333"/>
      <c r="D189" s="230" t="s">
        <v>142</v>
      </c>
      <c r="E189" s="95">
        <f>'27'!F189</f>
        <v>0</v>
      </c>
      <c r="F189" s="157"/>
      <c r="G189" s="459">
        <f>G181</f>
        <v>122</v>
      </c>
      <c r="H189" s="99">
        <f>G189+'27'!H189</f>
        <v>891</v>
      </c>
      <c r="I189" s="158"/>
      <c r="J189" s="179">
        <f>H189/DAY(B2)</f>
        <v>31.821428571428573</v>
      </c>
    </row>
    <row r="190" spans="1:10" ht="27.75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Normal="78" zoomScaleSheetLayoutView="55" workbookViewId="0">
      <selection activeCell="G78" sqref="G7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23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v>599110</v>
      </c>
      <c r="F7" s="95">
        <v>616277</v>
      </c>
      <c r="G7" s="112">
        <f>F7-E7</f>
        <v>17167</v>
      </c>
      <c r="H7" s="99">
        <f>G7+'28'!H7</f>
        <v>521731</v>
      </c>
      <c r="I7" s="113">
        <f>'1'!I7</f>
        <v>12000</v>
      </c>
      <c r="J7" s="175">
        <f>H7/DAY(B2)</f>
        <v>17990.724137931036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655697</v>
      </c>
      <c r="F8" s="95">
        <v>673189</v>
      </c>
      <c r="G8" s="115">
        <f>F8-E8</f>
        <v>17492</v>
      </c>
      <c r="H8" s="99">
        <f>G8+'28'!H8</f>
        <v>532304</v>
      </c>
      <c r="I8" s="116"/>
      <c r="J8" s="175">
        <f>H8/DAY(B2)</f>
        <v>18355.310344827587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237905</v>
      </c>
      <c r="F9" s="601">
        <v>252509</v>
      </c>
      <c r="G9" s="112">
        <f>F9-E9</f>
        <v>14604</v>
      </c>
      <c r="H9" s="99">
        <f>G9+'28'!H9</f>
        <v>351014</v>
      </c>
      <c r="I9" s="124">
        <f>I7-J7</f>
        <v>-5990.7241379310362</v>
      </c>
      <c r="J9" s="175">
        <f>H9/DAY(B2)</f>
        <v>12103.931034482759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99061</v>
      </c>
      <c r="F10" s="353">
        <v>101121</v>
      </c>
      <c r="G10" s="112">
        <f t="shared" ref="G10:G12" si="0">F10-E10</f>
        <v>2060</v>
      </c>
      <c r="H10" s="99">
        <f>G10+'28'!H10</f>
        <v>156027</v>
      </c>
      <c r="I10" s="282"/>
      <c r="J10" s="175">
        <f>H10/DAY(B2)</f>
        <v>5380.2413793103451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37170</v>
      </c>
      <c r="F11" s="95">
        <v>37170</v>
      </c>
      <c r="G11" s="112">
        <f t="shared" si="0"/>
        <v>0</v>
      </c>
      <c r="H11" s="99">
        <f>G11+'28'!H11</f>
        <v>170</v>
      </c>
      <c r="I11" s="282"/>
      <c r="J11" s="175">
        <f>H11/DAY(B2)</f>
        <v>5.8620689655172411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16664</v>
      </c>
      <c r="H13" s="99">
        <f>G13+'28'!H13</f>
        <v>487745.74999999988</v>
      </c>
      <c r="I13" s="120">
        <f>G7-G13</f>
        <v>503</v>
      </c>
      <c r="J13" s="175">
        <f>H13/DAY(B2)</f>
        <v>16818.818965517239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1903790</v>
      </c>
      <c r="F15" s="123">
        <v>1904792</v>
      </c>
      <c r="G15" s="112">
        <f>(F15-E15)</f>
        <v>1002</v>
      </c>
      <c r="H15" s="99">
        <f>G15+'28'!H15</f>
        <v>26362</v>
      </c>
      <c r="I15" s="113">
        <f>'1'!I15</f>
        <v>800</v>
      </c>
      <c r="J15" s="175">
        <f>H15/DAY(B2)</f>
        <v>909.0344827586207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-109.0344827586207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'28'!F18</f>
        <v>4</v>
      </c>
      <c r="F18" s="122">
        <v>26</v>
      </c>
      <c r="G18" s="119">
        <f>F18*10</f>
        <v>260</v>
      </c>
      <c r="H18" s="99">
        <f>G18+'28'!H18</f>
        <v>3370</v>
      </c>
      <c r="I18" s="113">
        <f>'1'!I18</f>
        <v>65</v>
      </c>
      <c r="J18" s="175">
        <f>H18/DAY(B2)</f>
        <v>116.20689655172414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'28'!F19</f>
        <v>153727</v>
      </c>
      <c r="F19" s="122">
        <v>153779</v>
      </c>
      <c r="G19" s="112">
        <f t="shared" ref="G19" si="1">F19-E19</f>
        <v>52</v>
      </c>
      <c r="H19" s="99">
        <f>G19+'28'!H19</f>
        <v>1554</v>
      </c>
      <c r="I19" s="335"/>
      <c r="J19" s="175">
        <f>H19/DAY(B2)</f>
        <v>53.586206896551722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312</v>
      </c>
      <c r="H20" s="99">
        <f>G20+'28'!H20</f>
        <v>4924</v>
      </c>
      <c r="I20" s="336">
        <f>I18-J20</f>
        <v>-104.79310344827587</v>
      </c>
      <c r="J20" s="175">
        <f>H20/DAY(B2)</f>
        <v>169.79310344827587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110</v>
      </c>
      <c r="I23" s="118"/>
      <c r="J23" s="175">
        <f>H23/DAY(B2)</f>
        <v>3.7931034482758621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110</v>
      </c>
      <c r="I24" s="118"/>
      <c r="J24" s="175">
        <f>H24/DAY(B2)</f>
        <v>3.7931034482758621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17492</v>
      </c>
      <c r="F27" s="136">
        <v>9</v>
      </c>
      <c r="G27" s="137">
        <f>E27*F27</f>
        <v>157428</v>
      </c>
      <c r="H27" s="99">
        <f>G27+'28'!H27</f>
        <v>4790736</v>
      </c>
      <c r="I27" s="138"/>
      <c r="J27" s="175">
        <f>H27/DAY(B2)</f>
        <v>165197.79310344829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1002</v>
      </c>
      <c r="F28" s="136">
        <v>52</v>
      </c>
      <c r="G28" s="137">
        <f>E28*F28</f>
        <v>52104</v>
      </c>
      <c r="H28" s="99">
        <f>G28+'28'!H28</f>
        <v>1389127.35</v>
      </c>
      <c r="I28" s="140"/>
      <c r="J28" s="175">
        <f>H28/DAY(B2)</f>
        <v>47900.943103448277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7590</v>
      </c>
      <c r="I29" s="140"/>
      <c r="J29" s="175">
        <f>H29/DAY(B2)</f>
        <v>261.72413793103448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G30+'28'!H30</f>
        <v>227171.56</v>
      </c>
      <c r="I30" s="140"/>
      <c r="J30" s="175">
        <f>H30/DAY(B2)</f>
        <v>7833.5020689655175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269600</v>
      </c>
      <c r="I31" s="140"/>
      <c r="J31" s="175">
        <f>H31/DAY(B2)</f>
        <v>9296.5517241379312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237924</v>
      </c>
      <c r="H32" s="99">
        <f>G32+'28'!H32</f>
        <v>6684224.9100000001</v>
      </c>
      <c r="I32" s="144"/>
      <c r="J32" s="175">
        <f>H32/DAY(B2)</f>
        <v>230490.51413793105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'28'!F35</f>
        <v>28354</v>
      </c>
      <c r="F35" s="145">
        <v>29546</v>
      </c>
      <c r="G35" s="112">
        <f t="shared" ref="G35:G46" si="3">F35-E35</f>
        <v>1192</v>
      </c>
      <c r="H35" s="99">
        <f>G35+'28'!H35</f>
        <v>44746</v>
      </c>
      <c r="I35" s="95"/>
      <c r="J35" s="175">
        <f>H35/DAY(B2)</f>
        <v>1542.9655172413793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'28'!F36</f>
        <v>41279</v>
      </c>
      <c r="F36" s="145">
        <v>41974</v>
      </c>
      <c r="G36" s="112">
        <f t="shared" si="3"/>
        <v>695</v>
      </c>
      <c r="H36" s="99">
        <f>G36+'28'!H36</f>
        <v>20447</v>
      </c>
      <c r="I36" s="95"/>
      <c r="J36" s="175">
        <f>H36/DAY(B2)</f>
        <v>705.06896551724139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'28'!F37</f>
        <v>30673</v>
      </c>
      <c r="F37" s="145">
        <v>32284</v>
      </c>
      <c r="G37" s="112">
        <f t="shared" si="3"/>
        <v>1611</v>
      </c>
      <c r="H37" s="99">
        <f>G37+'28'!H37</f>
        <v>44496</v>
      </c>
      <c r="I37" s="95"/>
      <c r="J37" s="175">
        <f>H37/DAY(B2)</f>
        <v>1534.344827586207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'28'!F38</f>
        <v>33370</v>
      </c>
      <c r="F38" s="108">
        <v>35120</v>
      </c>
      <c r="G38" s="112">
        <f t="shared" si="3"/>
        <v>1750</v>
      </c>
      <c r="H38" s="99">
        <f>G38+'28'!H38</f>
        <v>48320.000000000007</v>
      </c>
      <c r="I38" s="95"/>
      <c r="J38" s="175">
        <f>H38/DAY(B2)</f>
        <v>1666.2068965517244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'28'!F39</f>
        <v>51302</v>
      </c>
      <c r="F39" s="145">
        <v>53908</v>
      </c>
      <c r="G39" s="112">
        <f t="shared" si="3"/>
        <v>2606</v>
      </c>
      <c r="H39" s="99">
        <f>G39+'28'!H39</f>
        <v>75590</v>
      </c>
      <c r="I39" s="95"/>
      <c r="J39" s="175">
        <f>H39/DAY(B2)</f>
        <v>2606.5517241379312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'28'!F40</f>
        <v>18927</v>
      </c>
      <c r="F40" s="145">
        <v>19480</v>
      </c>
      <c r="G40" s="112">
        <f t="shared" si="3"/>
        <v>553</v>
      </c>
      <c r="H40" s="99">
        <f>G40+'28'!H40</f>
        <v>13870</v>
      </c>
      <c r="I40" s="95"/>
      <c r="J40" s="175">
        <f>H40/DAY(B2)</f>
        <v>478.27586206896552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'28'!F42</f>
        <v>88355</v>
      </c>
      <c r="F42" s="145">
        <v>91927</v>
      </c>
      <c r="G42" s="112">
        <f t="shared" si="3"/>
        <v>3572</v>
      </c>
      <c r="H42" s="99">
        <f>G42+'28'!H42</f>
        <v>18118</v>
      </c>
      <c r="I42" s="95"/>
      <c r="J42" s="175">
        <f>H42/DAY(B2)</f>
        <v>624.75862068965512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'28'!F43</f>
        <v>109003</v>
      </c>
      <c r="F43" s="145">
        <v>111068</v>
      </c>
      <c r="G43" s="112">
        <f t="shared" si="3"/>
        <v>2065</v>
      </c>
      <c r="H43" s="99">
        <f>G43+'28'!H43</f>
        <v>63807</v>
      </c>
      <c r="I43" s="95"/>
      <c r="J43" s="175">
        <f>H43/DAY(B2)</f>
        <v>2200.2413793103447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14044</v>
      </c>
      <c r="H47" s="99">
        <f>G47+'28'!H47</f>
        <v>329394.00000000006</v>
      </c>
      <c r="I47" s="95"/>
      <c r="J47" s="175">
        <f>H47/DAY(B2)</f>
        <v>11358.413793103451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'28'!F49</f>
        <v>22352</v>
      </c>
      <c r="F49" s="145">
        <v>23268</v>
      </c>
      <c r="G49" s="112">
        <f t="shared" ref="G49:G58" si="4">F49-E49</f>
        <v>916</v>
      </c>
      <c r="H49" s="99">
        <f>G49+'28'!H49</f>
        <v>36389</v>
      </c>
      <c r="I49" s="95"/>
      <c r="J49" s="175">
        <f>H49/DAY(B2)</f>
        <v>1254.7931034482758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'28'!F50</f>
        <v>53282</v>
      </c>
      <c r="F50" s="145">
        <v>54265</v>
      </c>
      <c r="G50" s="112">
        <f t="shared" si="4"/>
        <v>983</v>
      </c>
      <c r="H50" s="99">
        <f>G50+'28'!H50</f>
        <v>29615</v>
      </c>
      <c r="I50" s="95"/>
      <c r="J50" s="175">
        <f>H50/DAY(B2)</f>
        <v>1021.2068965517242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'28'!F54</f>
        <v>5147</v>
      </c>
      <c r="F54" s="145">
        <v>5147</v>
      </c>
      <c r="G54" s="112">
        <f t="shared" si="4"/>
        <v>0</v>
      </c>
      <c r="H54" s="99">
        <f>G54+'28'!H54</f>
        <v>6914.08</v>
      </c>
      <c r="I54" s="95"/>
      <c r="J54" s="175">
        <f>H54/DAY(B2)</f>
        <v>238.41655172413792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'28'!F55</f>
        <v>74366</v>
      </c>
      <c r="F55" s="145">
        <v>74366</v>
      </c>
      <c r="G55" s="112">
        <f t="shared" si="4"/>
        <v>0</v>
      </c>
      <c r="H55" s="99">
        <f>G55+'28'!H55</f>
        <v>70855</v>
      </c>
      <c r="I55" s="95"/>
      <c r="J55" s="175">
        <f>H55/DAY(B2)</f>
        <v>2443.2758620689656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'28'!F58</f>
        <v>4198</v>
      </c>
      <c r="F58" s="145">
        <v>4409</v>
      </c>
      <c r="G58" s="112">
        <f t="shared" si="4"/>
        <v>211</v>
      </c>
      <c r="H58" s="99">
        <f>G58+'28'!H58</f>
        <v>4749.6300000000047</v>
      </c>
      <c r="I58" s="95"/>
      <c r="J58" s="175">
        <f>H58/DAY(B2)</f>
        <v>163.78034482758636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2110</v>
      </c>
      <c r="H59" s="99">
        <f>G59+'28'!H59</f>
        <v>148522.71000000005</v>
      </c>
      <c r="I59" s="95">
        <f>G7-G60</f>
        <v>1013</v>
      </c>
      <c r="J59" s="175">
        <f>H59/DAY(B2)</f>
        <v>5121.4727586206918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16154</v>
      </c>
      <c r="H60" s="99">
        <f>G60+'28'!H60</f>
        <v>477916.70999999996</v>
      </c>
      <c r="I60" s="95">
        <f>G13-G60</f>
        <v>510</v>
      </c>
      <c r="J60" s="175">
        <f>H60/DAY(B2)</f>
        <v>16479.886551724136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'28'!F62</f>
        <v>269217</v>
      </c>
      <c r="F62" s="122">
        <v>269319</v>
      </c>
      <c r="G62" s="112">
        <f t="shared" ref="G62:G63" si="5">F62-E62</f>
        <v>102</v>
      </c>
      <c r="H62" s="99">
        <f>G62+'28'!H62</f>
        <v>2106</v>
      </c>
      <c r="I62" s="118"/>
      <c r="J62" s="175">
        <f>H62/DAY(B2)</f>
        <v>72.620689655172413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'28'!F63</f>
        <v>215418</v>
      </c>
      <c r="F63" s="122">
        <v>215557</v>
      </c>
      <c r="G63" s="112">
        <f t="shared" si="5"/>
        <v>139</v>
      </c>
      <c r="H63" s="99">
        <f>G63+'28'!H63</f>
        <v>3132</v>
      </c>
      <c r="I63" s="118"/>
      <c r="J63" s="175">
        <f>H63/DAY(B2)</f>
        <v>108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'28'!F64</f>
        <v>0</v>
      </c>
      <c r="F64" s="122"/>
      <c r="G64" s="112">
        <f>G62+G63</f>
        <v>241</v>
      </c>
      <c r="H64" s="99">
        <f>G64+'28'!H64</f>
        <v>5238</v>
      </c>
      <c r="I64" s="118"/>
      <c r="J64" s="175">
        <f>H64/DAY(B2)</f>
        <v>180.62068965517241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'28'!F65</f>
        <v>434685</v>
      </c>
      <c r="F65" s="122">
        <v>434769</v>
      </c>
      <c r="G65" s="112">
        <f t="shared" ref="G65:G70" si="6">F65-E65</f>
        <v>84</v>
      </c>
      <c r="H65" s="99">
        <f>G65+'28'!H65</f>
        <v>2155</v>
      </c>
      <c r="I65" s="118"/>
      <c r="J65" s="175">
        <f>H65/DAY(B2)</f>
        <v>74.310344827586206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'28'!F66</f>
        <v>107679</v>
      </c>
      <c r="F66" s="122">
        <v>107701</v>
      </c>
      <c r="G66" s="112">
        <f t="shared" si="6"/>
        <v>22</v>
      </c>
      <c r="H66" s="99">
        <f>G66+'28'!H66</f>
        <v>487</v>
      </c>
      <c r="I66" s="118"/>
      <c r="J66" s="175">
        <f>H66/DAY(B2)</f>
        <v>16.793103448275861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'28'!F67</f>
        <v>104571</v>
      </c>
      <c r="F67" s="122">
        <v>104596</v>
      </c>
      <c r="G67" s="112">
        <f t="shared" si="6"/>
        <v>25</v>
      </c>
      <c r="H67" s="99">
        <f>G67+'28'!H67</f>
        <v>668</v>
      </c>
      <c r="I67" s="118"/>
      <c r="J67" s="175">
        <f>H67/DAY(B2)</f>
        <v>23.03448275862069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'28'!F68</f>
        <v>157595</v>
      </c>
      <c r="F68" s="122">
        <v>157643</v>
      </c>
      <c r="G68" s="112">
        <f t="shared" si="6"/>
        <v>48</v>
      </c>
      <c r="H68" s="99">
        <f>G68+'28'!H68</f>
        <v>1023</v>
      </c>
      <c r="I68" s="118"/>
      <c r="J68" s="175">
        <f>H68/DAY(B2)</f>
        <v>35.275862068965516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'28'!F69</f>
        <v>10517</v>
      </c>
      <c r="F69" s="122">
        <v>10524</v>
      </c>
      <c r="G69" s="112">
        <f t="shared" si="6"/>
        <v>7</v>
      </c>
      <c r="H69" s="99">
        <f>G69+'28'!H69</f>
        <v>310</v>
      </c>
      <c r="I69" s="118"/>
      <c r="J69" s="175">
        <f>H69/DAY(B2)</f>
        <v>10.689655172413794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'28'!F70</f>
        <v>8075</v>
      </c>
      <c r="F70" s="122">
        <v>8090</v>
      </c>
      <c r="G70" s="112">
        <f t="shared" si="6"/>
        <v>15</v>
      </c>
      <c r="H70" s="99">
        <f>G70+'28'!H70</f>
        <v>228</v>
      </c>
      <c r="I70" s="118"/>
      <c r="J70" s="175">
        <f>H70/DAY(B2)</f>
        <v>7.8620689655172411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95">
        <f>'28'!F71</f>
        <v>0</v>
      </c>
      <c r="F71" s="152">
        <v>18</v>
      </c>
      <c r="G71" s="153">
        <f>SUM(G65:G70)</f>
        <v>201</v>
      </c>
      <c r="H71" s="99">
        <f>G71+'28'!H71</f>
        <v>4871</v>
      </c>
      <c r="I71" s="154"/>
      <c r="J71" s="175">
        <f>H71/DAY(B2)</f>
        <v>167.9655172413793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'28'!F74</f>
        <v>900401</v>
      </c>
      <c r="F74" s="117">
        <v>900704</v>
      </c>
      <c r="G74" s="112">
        <f t="shared" ref="G74:G78" si="7">F74-E74</f>
        <v>303</v>
      </c>
      <c r="H74" s="99">
        <f>G74+'28'!H74</f>
        <v>8672</v>
      </c>
      <c r="I74" s="154"/>
      <c r="J74" s="175">
        <f>H74/DAY(B2)</f>
        <v>299.0344827586207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'28'!F76</f>
        <v>169707</v>
      </c>
      <c r="F76" s="123">
        <v>169805</v>
      </c>
      <c r="G76" s="112">
        <f t="shared" si="7"/>
        <v>98</v>
      </c>
      <c r="H76" s="99">
        <f>G76+'28'!H76</f>
        <v>2598</v>
      </c>
      <c r="I76" s="154"/>
      <c r="J76" s="175">
        <f>H76/DAY(B2)</f>
        <v>89.58620689655173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'28'!F77</f>
        <v>41193</v>
      </c>
      <c r="F77" s="123">
        <v>41239</v>
      </c>
      <c r="G77" s="112">
        <f t="shared" si="7"/>
        <v>46</v>
      </c>
      <c r="H77" s="99">
        <f>G77+'28'!H77</f>
        <v>923</v>
      </c>
      <c r="I77" s="154"/>
      <c r="J77" s="175">
        <f>H77/DAY(B2)</f>
        <v>31.827586206896552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'28'!F78</f>
        <v>9511</v>
      </c>
      <c r="F78" s="123">
        <v>9513</v>
      </c>
      <c r="G78" s="112">
        <f t="shared" si="7"/>
        <v>2</v>
      </c>
      <c r="H78" s="99">
        <f>G78+'28'!H78</f>
        <v>27</v>
      </c>
      <c r="I78" s="118"/>
      <c r="J78" s="175">
        <f>H78/DAY(B2)</f>
        <v>0.93103448275862066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'28'!F79</f>
        <v>0</v>
      </c>
      <c r="F79" s="117"/>
      <c r="G79" s="112">
        <f>G15-SUM(G74:G78)</f>
        <v>553</v>
      </c>
      <c r="H79" s="99">
        <f>G79+'28'!H79</f>
        <v>14142</v>
      </c>
      <c r="I79" s="118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1002</v>
      </c>
      <c r="H80" s="99"/>
      <c r="I80" s="118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'28'!F85</f>
        <v>2190</v>
      </c>
      <c r="F85" s="164">
        <v>2214</v>
      </c>
      <c r="G85" s="112">
        <f t="shared" si="8"/>
        <v>24</v>
      </c>
      <c r="H85" s="99">
        <f>G85+'28'!H85</f>
        <v>117.44000000000005</v>
      </c>
      <c r="I85" s="118">
        <f>G82+G83+G84+G85</f>
        <v>23.860000000000582</v>
      </c>
      <c r="J85" s="175">
        <f>H85/DAY(B2)</f>
        <v>4.0496551724137948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'28'!F86</f>
        <v>43442</v>
      </c>
      <c r="F86" s="164">
        <v>43442</v>
      </c>
      <c r="G86" s="112">
        <f t="shared" si="8"/>
        <v>0</v>
      </c>
      <c r="H86" s="99">
        <f>G86+'28'!H86</f>
        <v>579</v>
      </c>
      <c r="I86" s="118"/>
      <c r="J86" s="175">
        <f>H86/DAY(B2)</f>
        <v>19.96551724137931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0</v>
      </c>
      <c r="I87" s="118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'28'!F88</f>
        <v>24063.43</v>
      </c>
      <c r="F88" s="164">
        <v>24063.43</v>
      </c>
      <c r="G88" s="112">
        <f t="shared" si="8"/>
        <v>0</v>
      </c>
      <c r="H88" s="99">
        <f>G88+'28'!H88</f>
        <v>16.430000000000291</v>
      </c>
      <c r="I88" s="118">
        <f>G86+G87+G88</f>
        <v>0</v>
      </c>
      <c r="J88" s="175">
        <f>H88/DAY(B2)</f>
        <v>0.56655172413794108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'28'!F89</f>
        <v>25862.68</v>
      </c>
      <c r="F89" s="164">
        <v>25872.61</v>
      </c>
      <c r="G89" s="112">
        <f t="shared" si="8"/>
        <v>9.930000000000291</v>
      </c>
      <c r="H89" s="99">
        <f>G89+'28'!H89</f>
        <v>209.61000000000058</v>
      </c>
      <c r="I89" s="118"/>
      <c r="J89" s="175">
        <f>H89/DAY(B2)</f>
        <v>7.2279310344827783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'28'!F90</f>
        <v>71158.149999999994</v>
      </c>
      <c r="F90" s="164">
        <v>71159.08</v>
      </c>
      <c r="G90" s="112">
        <f t="shared" si="8"/>
        <v>0.930000000007567</v>
      </c>
      <c r="H90" s="99">
        <f>G90+'28'!H90</f>
        <v>27.080000000001746</v>
      </c>
      <c r="I90" s="118">
        <f>G89+G90</f>
        <v>10.860000000007858</v>
      </c>
      <c r="J90" s="175">
        <f>H90/DAY(B2)</f>
        <v>0.9337931034483361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'28'!F91</f>
        <v>3226</v>
      </c>
      <c r="F91" s="122">
        <v>3228.01</v>
      </c>
      <c r="G91" s="112">
        <f t="shared" si="8"/>
        <v>2.0100000000002183</v>
      </c>
      <c r="H91" s="99">
        <f>G91+'28'!H91</f>
        <v>1.6900000000000546</v>
      </c>
      <c r="I91" s="165"/>
      <c r="J91" s="175">
        <f>H91/DAY(B2)</f>
        <v>5.8275862068967399E-2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'28'!F92</f>
        <v>5732.08</v>
      </c>
      <c r="F92" s="122">
        <v>5741.07</v>
      </c>
      <c r="G92" s="112">
        <f t="shared" si="8"/>
        <v>8.9899999999997817</v>
      </c>
      <c r="H92" s="99">
        <f>G92+'28'!H92</f>
        <v>303.06999999999971</v>
      </c>
      <c r="I92" s="165"/>
      <c r="J92" s="175">
        <f>H92/DAY(B2)</f>
        <v>10.450689655172404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4173</v>
      </c>
      <c r="H94" s="99">
        <f>G94+'28'!H94</f>
        <v>144942</v>
      </c>
      <c r="I94" s="118"/>
      <c r="J94" s="175">
        <f>H94/DAY(B2)</f>
        <v>4998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0.24308265858915362</v>
      </c>
      <c r="H95" s="99">
        <f>G95+'28'!H95</f>
        <v>8.0327782693944716</v>
      </c>
      <c r="I95" s="167"/>
      <c r="J95" s="175">
        <f>H95/DAY(B2)</f>
        <v>0.27699235411705075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3572</v>
      </c>
      <c r="H96" s="99">
        <f>G96+'28'!H96</f>
        <v>88973</v>
      </c>
      <c r="I96" s="118"/>
      <c r="J96" s="175">
        <f>H96/DAY(B2)</f>
        <v>3068.0344827586205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0.20807362963825946</v>
      </c>
      <c r="H97" s="99">
        <f>G97+'28'!H97</f>
        <v>4.9633170142473695</v>
      </c>
      <c r="I97" s="167"/>
      <c r="J97" s="175">
        <f>H97/DAY(B2)</f>
        <v>0.17114886256025413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2606</v>
      </c>
      <c r="H98" s="99">
        <f>G98+'28'!H98</f>
        <v>75590</v>
      </c>
      <c r="I98" s="168"/>
      <c r="J98" s="175">
        <f>H98/DAY(B2)</f>
        <v>2606.5517241379312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0.15180287761402692</v>
      </c>
      <c r="H99" s="99">
        <f>G99+'28'!H99</f>
        <v>4.2139426793779489</v>
      </c>
      <c r="I99" s="168"/>
      <c r="J99" s="175">
        <f>H99/DAY(B2)</f>
        <v>0.14530836825441204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1750</v>
      </c>
      <c r="H100" s="99">
        <f>G100+'28'!H100</f>
        <v>48320.000000000007</v>
      </c>
      <c r="I100" s="118"/>
      <c r="J100" s="175">
        <f>H100/DAY(B2)</f>
        <v>1666.2068965517244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0.10193976815984156</v>
      </c>
      <c r="H101" s="99">
        <f>G101+'28'!H101</f>
        <v>2.6969481560462665</v>
      </c>
      <c r="I101" s="168"/>
      <c r="J101" s="175">
        <f>H101/DAY(B2)</f>
        <v>9.299821227745747E-2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1678</v>
      </c>
      <c r="H102" s="99">
        <f>G102+'28'!H102</f>
        <v>50062</v>
      </c>
      <c r="I102" s="168"/>
      <c r="J102" s="175">
        <f>H102/DAY(B2)</f>
        <v>1726.2758620689656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9.7745674841265215E-2</v>
      </c>
      <c r="H103" s="99">
        <f>G103+'28'!H103</f>
        <v>2.7769500093091488</v>
      </c>
      <c r="I103" s="118"/>
      <c r="J103" s="175">
        <f>H103/DAY(B2)</f>
        <v>9.5756896872729272E-2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1611</v>
      </c>
      <c r="H104" s="99">
        <f>G104+'28'!H104</f>
        <v>44496</v>
      </c>
      <c r="I104" s="118"/>
      <c r="J104" s="175">
        <f>H104/DAY(B2)</f>
        <v>1534.344827586207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9.3842838003145565E-2</v>
      </c>
      <c r="H105" s="99">
        <f>G105+'28'!H105</f>
        <v>2.4846835863904291</v>
      </c>
      <c r="I105" s="187"/>
      <c r="J105" s="188">
        <f>H105/DAY(B2)</f>
        <v>8.5678744358290662E-2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27.75">
      <c r="A112" s="843" t="s">
        <v>252</v>
      </c>
      <c r="B112" s="844"/>
      <c r="C112" s="845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2220</v>
      </c>
      <c r="I112" s="165"/>
      <c r="J112" s="328">
        <f>H112/DAY(B2)</f>
        <v>76.551724137931032</v>
      </c>
    </row>
    <row r="113" spans="1:18" ht="27.75">
      <c r="A113" s="843" t="s">
        <v>253</v>
      </c>
      <c r="B113" s="844"/>
      <c r="C113" s="845"/>
      <c r="D113" s="146" t="s">
        <v>183</v>
      </c>
      <c r="E113" s="95">
        <f>'28'!F113</f>
        <v>45015</v>
      </c>
      <c r="F113" s="237">
        <v>45482</v>
      </c>
      <c r="G113" s="112">
        <f t="shared" ref="G113:G123" si="10">F113-E113</f>
        <v>467</v>
      </c>
      <c r="H113" s="99">
        <f>G113+'28'!H113</f>
        <v>13287</v>
      </c>
      <c r="I113" s="165"/>
      <c r="J113" s="328">
        <f>H113/DAY(B2)</f>
        <v>458.17241379310343</v>
      </c>
    </row>
    <row r="114" spans="1:18" ht="27.75">
      <c r="A114" s="843" t="s">
        <v>254</v>
      </c>
      <c r="B114" s="844"/>
      <c r="C114" s="845"/>
      <c r="D114" s="146" t="s">
        <v>183</v>
      </c>
      <c r="E114" s="95">
        <f>'28'!F114</f>
        <v>32387</v>
      </c>
      <c r="F114" s="237">
        <v>32645</v>
      </c>
      <c r="G114" s="112">
        <f t="shared" si="10"/>
        <v>258</v>
      </c>
      <c r="H114" s="99">
        <f>G114+'28'!H114</f>
        <v>7640.4</v>
      </c>
      <c r="I114" s="165"/>
      <c r="J114" s="328">
        <f>H114/DAY(B2)</f>
        <v>263.46206896551723</v>
      </c>
    </row>
    <row r="115" spans="1:18" ht="27.75">
      <c r="A115" s="843" t="s">
        <v>255</v>
      </c>
      <c r="B115" s="844"/>
      <c r="C115" s="845"/>
      <c r="D115" s="146" t="s">
        <v>183</v>
      </c>
      <c r="E115" s="95">
        <f>'28'!F115</f>
        <v>9063</v>
      </c>
      <c r="F115" s="237">
        <v>9071</v>
      </c>
      <c r="G115" s="112">
        <f t="shared" si="10"/>
        <v>8</v>
      </c>
      <c r="H115" s="99">
        <f>G115+'28'!H115</f>
        <v>286</v>
      </c>
      <c r="I115" s="165"/>
      <c r="J115" s="328">
        <f>H115/DAY(B2)</f>
        <v>9.862068965517242</v>
      </c>
    </row>
    <row r="116" spans="1:18" ht="27.75">
      <c r="A116" s="850" t="s">
        <v>96</v>
      </c>
      <c r="B116" s="851"/>
      <c r="C116" s="852"/>
      <c r="D116" s="146" t="s">
        <v>183</v>
      </c>
      <c r="E116" s="95">
        <f>'28'!F116</f>
        <v>0</v>
      </c>
      <c r="F116" s="237">
        <v>0</v>
      </c>
      <c r="G116" s="112">
        <f t="shared" si="10"/>
        <v>0</v>
      </c>
      <c r="H116" s="99">
        <f>G116+'28'!H116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27.75">
      <c r="A117" s="850" t="s">
        <v>184</v>
      </c>
      <c r="B117" s="851"/>
      <c r="C117" s="852"/>
      <c r="D117" s="146" t="s">
        <v>183</v>
      </c>
      <c r="E117" s="95">
        <f>'28'!F117</f>
        <v>3253</v>
      </c>
      <c r="F117" s="237">
        <v>3277</v>
      </c>
      <c r="G117" s="112">
        <f t="shared" si="10"/>
        <v>24</v>
      </c>
      <c r="H117" s="99">
        <f>G117+'28'!H117</f>
        <v>687</v>
      </c>
      <c r="I117" s="165"/>
      <c r="J117" s="328">
        <f>H117/DAY(B2)</f>
        <v>23.689655172413794</v>
      </c>
      <c r="Q117" s="843" t="s">
        <v>312</v>
      </c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'28'!F118</f>
        <v>251486</v>
      </c>
      <c r="F118" s="237">
        <v>251822</v>
      </c>
      <c r="G118" s="112">
        <f t="shared" si="10"/>
        <v>336</v>
      </c>
      <c r="H118" s="99">
        <f>G118+'28'!H118</f>
        <v>10175</v>
      </c>
      <c r="I118" s="165"/>
      <c r="J118" s="328">
        <f>H118/DAY(B2)</f>
        <v>350.86206896551727</v>
      </c>
      <c r="Q118" s="843" t="s">
        <v>311</v>
      </c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'28'!F119</f>
        <v>256886</v>
      </c>
      <c r="F119" s="237">
        <v>257303</v>
      </c>
      <c r="G119" s="112">
        <f t="shared" si="10"/>
        <v>417</v>
      </c>
      <c r="H119" s="99">
        <f>G119+'28'!H119</f>
        <v>12177</v>
      </c>
      <c r="I119" s="165"/>
      <c r="J119" s="328">
        <f>H119/DAY(B2)</f>
        <v>419.89655172413791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'28'!F120</f>
        <v>41690</v>
      </c>
      <c r="F120" s="237">
        <v>42114</v>
      </c>
      <c r="G120" s="112">
        <f t="shared" si="10"/>
        <v>424</v>
      </c>
      <c r="H120" s="99">
        <f>G120+'28'!H120</f>
        <v>12036</v>
      </c>
      <c r="I120" s="165"/>
      <c r="J120" s="328">
        <f>H120/DAY(B2)</f>
        <v>415.0344827586207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'28'!F121</f>
        <v>395861</v>
      </c>
      <c r="F121" s="237">
        <v>396571</v>
      </c>
      <c r="G121" s="112">
        <f t="shared" si="10"/>
        <v>710</v>
      </c>
      <c r="H121" s="99">
        <f>G121+'28'!H121</f>
        <v>20042</v>
      </c>
      <c r="I121" s="165"/>
      <c r="J121" s="328">
        <f>H121/DAY(B2)</f>
        <v>691.10344827586209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'28'!F122</f>
        <v>125574</v>
      </c>
      <c r="F122" s="237">
        <v>125774</v>
      </c>
      <c r="G122" s="112">
        <f t="shared" si="10"/>
        <v>200</v>
      </c>
      <c r="H122" s="99">
        <f>G122+'28'!H122</f>
        <v>5724</v>
      </c>
      <c r="I122" s="165"/>
      <c r="J122" s="328">
        <f>H122/DAY(B2)</f>
        <v>197.37931034482759</v>
      </c>
    </row>
    <row r="123" spans="1:18" ht="27.75">
      <c r="A123" s="842" t="s">
        <v>102</v>
      </c>
      <c r="B123" s="842"/>
      <c r="C123" s="842"/>
      <c r="D123" s="151" t="s">
        <v>183</v>
      </c>
      <c r="E123" s="95">
        <f>'28'!F123</f>
        <v>153220</v>
      </c>
      <c r="F123" s="237">
        <v>153495</v>
      </c>
      <c r="G123" s="112">
        <f t="shared" si="10"/>
        <v>275</v>
      </c>
      <c r="H123" s="99">
        <f>G123+'28'!H123</f>
        <v>8370</v>
      </c>
      <c r="I123" s="165"/>
      <c r="J123" s="328">
        <f>H123/DAY(B2)</f>
        <v>288.62068965517244</v>
      </c>
    </row>
    <row r="124" spans="1:18" ht="27.75">
      <c r="A124" s="847"/>
      <c r="B124" s="848"/>
      <c r="C124" s="849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>
      <c r="A125" s="827" t="s">
        <v>196</v>
      </c>
      <c r="B125" s="828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590</v>
      </c>
      <c r="J125" s="327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>
      <c r="A128" s="843" t="s">
        <v>318</v>
      </c>
      <c r="B128" s="844"/>
      <c r="C128" s="845"/>
      <c r="D128" s="151" t="s">
        <v>183</v>
      </c>
      <c r="E128" s="95">
        <f>'28'!F128</f>
        <v>46835</v>
      </c>
      <c r="F128" s="165">
        <v>47138</v>
      </c>
      <c r="G128" s="112">
        <f t="shared" ref="G128:G134" si="11">F128-E128</f>
        <v>303</v>
      </c>
      <c r="H128" s="99">
        <f>G128+'28'!H128</f>
        <v>9134</v>
      </c>
      <c r="I128" s="165"/>
      <c r="J128" s="328">
        <f>H128/DAY(B2)</f>
        <v>314.9655172413793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'28'!F129</f>
        <v>26369</v>
      </c>
      <c r="F129" s="165">
        <v>26567</v>
      </c>
      <c r="G129" s="112">
        <f t="shared" si="11"/>
        <v>198</v>
      </c>
      <c r="H129" s="99">
        <f>G129+'28'!H129</f>
        <v>6246</v>
      </c>
      <c r="I129" s="165"/>
      <c r="J129" s="328">
        <f>H129/DAY(B2)</f>
        <v>215.37931034482759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'28'!F130</f>
        <v>34366</v>
      </c>
      <c r="F130" s="165">
        <v>34772</v>
      </c>
      <c r="G130" s="112">
        <f t="shared" si="11"/>
        <v>406</v>
      </c>
      <c r="H130" s="99">
        <f>G130+'28'!H130</f>
        <v>16390</v>
      </c>
      <c r="I130" s="165"/>
      <c r="J130" s="328">
        <f>H130/DAY(B2)</f>
        <v>565.17241379310349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'28'!F131</f>
        <v>15155</v>
      </c>
      <c r="F131" s="165">
        <v>15216</v>
      </c>
      <c r="G131" s="112">
        <f t="shared" si="11"/>
        <v>61</v>
      </c>
      <c r="H131" s="99">
        <f>G131+'28'!H131</f>
        <v>2063</v>
      </c>
      <c r="I131" s="165"/>
      <c r="J131" s="328">
        <f>H131/DAY(B2)</f>
        <v>71.137931034482762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'28'!F132</f>
        <v>51353</v>
      </c>
      <c r="F132" s="165">
        <v>51518</v>
      </c>
      <c r="G132" s="112">
        <f t="shared" si="11"/>
        <v>165</v>
      </c>
      <c r="H132" s="99">
        <f>G132+'28'!H132</f>
        <v>10495</v>
      </c>
      <c r="I132" s="165"/>
      <c r="J132" s="328">
        <f>H132/DAY(B2)</f>
        <v>361.89655172413791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'28'!F133</f>
        <v>103916</v>
      </c>
      <c r="F133" s="165">
        <v>104410</v>
      </c>
      <c r="G133" s="112">
        <f t="shared" si="11"/>
        <v>494</v>
      </c>
      <c r="H133" s="99">
        <f>G133+'28'!H133</f>
        <v>16707</v>
      </c>
      <c r="I133" s="165"/>
      <c r="J133" s="328">
        <f>H133/DAY(B2)</f>
        <v>576.10344827586209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'28'!F134</f>
        <v>8139</v>
      </c>
      <c r="F134" s="165">
        <v>8290</v>
      </c>
      <c r="G134" s="112">
        <f t="shared" si="11"/>
        <v>151</v>
      </c>
      <c r="H134" s="99">
        <f>G134+'28'!H134</f>
        <v>10583.999999999998</v>
      </c>
      <c r="I134" s="165"/>
      <c r="J134" s="328">
        <f>H134/DAY(B2)</f>
        <v>364.96551724137925</v>
      </c>
    </row>
    <row r="135" spans="1:15" ht="27.75">
      <c r="A135" s="827" t="s">
        <v>196</v>
      </c>
      <c r="B135" s="828"/>
      <c r="C135" s="331"/>
      <c r="D135" s="151"/>
      <c r="E135" s="95"/>
      <c r="F135" s="165"/>
      <c r="G135" s="112">
        <f>SUM(G127:G134)</f>
        <v>1778</v>
      </c>
      <c r="H135" s="99">
        <f>G135+'23'!H135</f>
        <v>35138.169999999984</v>
      </c>
      <c r="I135" s="327">
        <f>G135-(G35+G49)</f>
        <v>-330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42" t="s">
        <v>185</v>
      </c>
      <c r="B138" s="842"/>
      <c r="C138" s="842"/>
      <c r="D138" s="151" t="s">
        <v>183</v>
      </c>
      <c r="E138" s="95">
        <f>'28'!F138</f>
        <v>865997</v>
      </c>
      <c r="F138" s="147">
        <v>866045</v>
      </c>
      <c r="G138" s="112">
        <f t="shared" ref="G138:G152" si="12">F138-E138</f>
        <v>48</v>
      </c>
      <c r="H138" s="99">
        <f>G138+'28'!H138</f>
        <v>1874</v>
      </c>
      <c r="I138" s="118"/>
      <c r="J138" s="328">
        <f>H138/DAY(B2)</f>
        <v>64.620689655172413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'28'!F139</f>
        <v>886570</v>
      </c>
      <c r="F139" s="148">
        <v>886570</v>
      </c>
      <c r="G139" s="112">
        <f t="shared" si="12"/>
        <v>0</v>
      </c>
      <c r="H139" s="99">
        <f>G139+'28'!H139</f>
        <v>24</v>
      </c>
      <c r="I139" s="118"/>
      <c r="J139" s="328">
        <f>H139/DAY(B2)</f>
        <v>0.82758620689655171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'28'!F140</f>
        <v>88922</v>
      </c>
      <c r="F140" s="149">
        <v>88922</v>
      </c>
      <c r="G140" s="112">
        <f t="shared" si="12"/>
        <v>0</v>
      </c>
      <c r="H140" s="99">
        <f>G140+'28'!H140</f>
        <v>40</v>
      </c>
      <c r="I140" s="118"/>
      <c r="J140" s="328">
        <f>H140/DAY(B2)</f>
        <v>1.3793103448275863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'28'!F141</f>
        <v>54154</v>
      </c>
      <c r="F141" s="149">
        <v>54339</v>
      </c>
      <c r="G141" s="112">
        <f t="shared" si="12"/>
        <v>185</v>
      </c>
      <c r="H141" s="99">
        <f>G141+'28'!H141</f>
        <v>5033</v>
      </c>
      <c r="I141" s="118"/>
      <c r="J141" s="328">
        <f>H141/DAY(B2)</f>
        <v>173.55172413793105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'28'!F142</f>
        <v>21049</v>
      </c>
      <c r="F142" s="148">
        <v>21127</v>
      </c>
      <c r="G142" s="112">
        <f t="shared" si="12"/>
        <v>78</v>
      </c>
      <c r="H142" s="99">
        <f>G142+'28'!H142</f>
        <v>2118</v>
      </c>
      <c r="I142" s="140"/>
      <c r="J142" s="328">
        <f>H142/DAY(B2)</f>
        <v>73.034482758620683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'28'!F143</f>
        <v>3762</v>
      </c>
      <c r="F143" s="149">
        <v>3787</v>
      </c>
      <c r="G143" s="112">
        <f t="shared" si="12"/>
        <v>25</v>
      </c>
      <c r="H143" s="99">
        <f>G143+'28'!H143</f>
        <v>726</v>
      </c>
      <c r="I143" s="140"/>
      <c r="J143" s="328">
        <f>H143/DAY(B2)</f>
        <v>25.03448275862069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'28'!F144</f>
        <v>875870</v>
      </c>
      <c r="F144" s="149">
        <v>876070</v>
      </c>
      <c r="G144" s="112">
        <f t="shared" si="12"/>
        <v>200</v>
      </c>
      <c r="H144" s="99">
        <f>G144+'28'!H144</f>
        <v>6400</v>
      </c>
      <c r="I144" s="140"/>
      <c r="J144" s="328">
        <f>H144/DAY(B2)</f>
        <v>220.68965517241378</v>
      </c>
    </row>
    <row r="145" spans="1:10" ht="27.75">
      <c r="A145" s="842" t="s">
        <v>190</v>
      </c>
      <c r="B145" s="842"/>
      <c r="C145" s="842"/>
      <c r="D145" s="152" t="s">
        <v>183</v>
      </c>
      <c r="E145" s="95">
        <f>'28'!F145</f>
        <v>4935</v>
      </c>
      <c r="F145" s="149">
        <v>4943</v>
      </c>
      <c r="G145" s="112">
        <f t="shared" si="12"/>
        <v>8</v>
      </c>
      <c r="H145" s="99">
        <f>G145+'28'!H145</f>
        <v>385</v>
      </c>
      <c r="I145" s="140"/>
      <c r="J145" s="328">
        <f>H145/DAY(B2)</f>
        <v>13.275862068965518</v>
      </c>
    </row>
    <row r="146" spans="1:10" ht="27.75">
      <c r="A146" s="877" t="s">
        <v>191</v>
      </c>
      <c r="B146" s="862"/>
      <c r="C146" s="863"/>
      <c r="D146" s="152" t="s">
        <v>183</v>
      </c>
      <c r="E146" s="95">
        <f>'28'!F146</f>
        <v>736078</v>
      </c>
      <c r="F146" s="148">
        <v>736461</v>
      </c>
      <c r="G146" s="112">
        <f t="shared" si="12"/>
        <v>383</v>
      </c>
      <c r="H146" s="99">
        <f>G146+'28'!H146</f>
        <v>11603</v>
      </c>
      <c r="I146" s="140"/>
      <c r="J146" s="328">
        <f>H146/DAY(B2)</f>
        <v>400.10344827586209</v>
      </c>
    </row>
    <row r="147" spans="1:10" ht="27.75">
      <c r="A147" s="823" t="s">
        <v>192</v>
      </c>
      <c r="B147" s="823"/>
      <c r="C147" s="823"/>
      <c r="D147" s="152" t="s">
        <v>183</v>
      </c>
      <c r="E147" s="95">
        <f>'28'!F147</f>
        <v>625551</v>
      </c>
      <c r="F147" s="148">
        <v>625925</v>
      </c>
      <c r="G147" s="112">
        <f t="shared" si="12"/>
        <v>374</v>
      </c>
      <c r="H147" s="99">
        <f>G147+'28'!H147</f>
        <v>10643</v>
      </c>
      <c r="I147" s="140"/>
      <c r="J147" s="328">
        <f>H147/DAY(B2)</f>
        <v>367</v>
      </c>
    </row>
    <row r="148" spans="1:10" ht="27.75">
      <c r="A148" s="824" t="s">
        <v>193</v>
      </c>
      <c r="B148" s="825"/>
      <c r="C148" s="826"/>
      <c r="D148" s="123" t="s">
        <v>130</v>
      </c>
      <c r="E148" s="95">
        <f>'28'!F148</f>
        <v>688880</v>
      </c>
      <c r="F148" s="150">
        <v>689065</v>
      </c>
      <c r="G148" s="112">
        <f t="shared" si="12"/>
        <v>185</v>
      </c>
      <c r="H148" s="99">
        <f>G148+'28'!H148</f>
        <v>6031.8800000000047</v>
      </c>
      <c r="I148" s="124"/>
      <c r="J148" s="328">
        <f>H148/DAY(B2)</f>
        <v>207.99586206896566</v>
      </c>
    </row>
    <row r="149" spans="1:10" ht="27.75">
      <c r="A149" s="824" t="s">
        <v>336</v>
      </c>
      <c r="B149" s="825"/>
      <c r="C149" s="826"/>
      <c r="D149" s="227" t="s">
        <v>130</v>
      </c>
      <c r="E149" s="95">
        <f>'28'!F149</f>
        <v>23289</v>
      </c>
      <c r="F149" s="146">
        <v>23796</v>
      </c>
      <c r="G149" s="112">
        <f t="shared" si="12"/>
        <v>507</v>
      </c>
      <c r="H149" s="99">
        <f>G149+'28'!H149</f>
        <v>13047</v>
      </c>
      <c r="I149" s="119"/>
      <c r="J149" s="328">
        <f>H149/DAY(B2)</f>
        <v>449.89655172413791</v>
      </c>
    </row>
    <row r="150" spans="1:10" ht="27.75">
      <c r="A150" s="824" t="s">
        <v>337</v>
      </c>
      <c r="B150" s="825"/>
      <c r="C150" s="826"/>
      <c r="D150" s="117" t="s">
        <v>130</v>
      </c>
      <c r="E150" s="95">
        <f>'28'!F150</f>
        <v>10179</v>
      </c>
      <c r="F150" s="233">
        <v>10414</v>
      </c>
      <c r="G150" s="112">
        <f t="shared" si="12"/>
        <v>235</v>
      </c>
      <c r="H150" s="99">
        <f>G150+'28'!H150</f>
        <v>6362</v>
      </c>
      <c r="I150" s="119"/>
      <c r="J150" s="328">
        <f>H150/DAY(B2)</f>
        <v>219.37931034482759</v>
      </c>
    </row>
    <row r="151" spans="1:10" ht="27.75">
      <c r="A151" s="824" t="s">
        <v>338</v>
      </c>
      <c r="B151" s="825"/>
      <c r="C151" s="826"/>
      <c r="D151" s="117" t="s">
        <v>130</v>
      </c>
      <c r="E151" s="95">
        <f>'28'!F151</f>
        <v>84703</v>
      </c>
      <c r="F151" s="233">
        <v>84953</v>
      </c>
      <c r="G151" s="112">
        <f t="shared" si="12"/>
        <v>250</v>
      </c>
      <c r="H151" s="99">
        <f>G151+'28'!H151</f>
        <v>6736</v>
      </c>
      <c r="I151" s="119"/>
      <c r="J151" s="328">
        <f>H151/DAY(B2)</f>
        <v>232.27586206896552</v>
      </c>
    </row>
    <row r="152" spans="1:10" ht="27.75">
      <c r="A152" s="824" t="s">
        <v>339</v>
      </c>
      <c r="B152" s="825"/>
      <c r="C152" s="826"/>
      <c r="D152" s="117" t="s">
        <v>130</v>
      </c>
      <c r="E152" s="95">
        <f>'28'!F152</f>
        <v>1614</v>
      </c>
      <c r="F152" s="233">
        <v>1627</v>
      </c>
      <c r="G152" s="112">
        <f t="shared" si="12"/>
        <v>13</v>
      </c>
      <c r="H152" s="99">
        <f>G152+'28'!H152</f>
        <v>500</v>
      </c>
      <c r="I152" s="119"/>
      <c r="J152" s="328">
        <f>H152/DAY(B2)</f>
        <v>17.241379310344829</v>
      </c>
    </row>
    <row r="153" spans="1:10" ht="27.75">
      <c r="A153" s="827" t="s">
        <v>196</v>
      </c>
      <c r="B153" s="828"/>
      <c r="C153" s="365"/>
      <c r="D153" s="358"/>
      <c r="E153" s="360"/>
      <c r="F153" s="361"/>
      <c r="G153" s="362">
        <f>SUM(G138:G152)</f>
        <v>2491</v>
      </c>
      <c r="H153" s="363"/>
      <c r="I153" s="119">
        <f>G153-(G38+G52)</f>
        <v>741</v>
      </c>
      <c r="J153" s="366"/>
    </row>
    <row r="154" spans="1:10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1.5">
      <c r="A155" s="823" t="s">
        <v>345</v>
      </c>
      <c r="B155" s="823"/>
      <c r="C155" s="823"/>
      <c r="D155" s="117" t="s">
        <v>130</v>
      </c>
      <c r="E155" s="95">
        <f>'28'!F155</f>
        <v>30396</v>
      </c>
      <c r="F155" s="473">
        <v>31038</v>
      </c>
      <c r="G155" s="112">
        <f t="shared" ref="G155:G158" si="13">F155-E155</f>
        <v>642</v>
      </c>
      <c r="H155" s="99">
        <f>G155+'28'!H155</f>
        <v>17566</v>
      </c>
      <c r="I155" s="364"/>
      <c r="J155" s="328">
        <f>H155/DAY(B2)</f>
        <v>605.72413793103453</v>
      </c>
    </row>
    <row r="156" spans="1:10" ht="27.75">
      <c r="A156" s="823" t="s">
        <v>347</v>
      </c>
      <c r="B156" s="823"/>
      <c r="C156" s="823"/>
      <c r="D156" s="117" t="s">
        <v>130</v>
      </c>
      <c r="E156" s="95">
        <f>'28'!F156</f>
        <v>2564</v>
      </c>
      <c r="F156" s="155">
        <v>2621</v>
      </c>
      <c r="G156" s="112">
        <f t="shared" si="13"/>
        <v>57</v>
      </c>
      <c r="H156" s="99">
        <f>G156+'28'!H156</f>
        <v>1533</v>
      </c>
      <c r="I156" s="165"/>
      <c r="J156" s="328">
        <f>H156/DAY(B2)</f>
        <v>52.862068965517238</v>
      </c>
    </row>
    <row r="157" spans="1:10" ht="27.75">
      <c r="A157" s="824" t="s">
        <v>364</v>
      </c>
      <c r="B157" s="825"/>
      <c r="C157" s="826"/>
      <c r="D157" s="117" t="s">
        <v>130</v>
      </c>
      <c r="E157" s="95">
        <f>'28'!F157</f>
        <v>3692</v>
      </c>
      <c r="F157" s="155">
        <v>3806</v>
      </c>
      <c r="G157" s="112">
        <f t="shared" si="13"/>
        <v>114</v>
      </c>
      <c r="H157" s="99">
        <f>G157+'28'!H157</f>
        <v>114</v>
      </c>
      <c r="I157" s="165"/>
      <c r="J157" s="328">
        <f>H157/DAY(B2)</f>
        <v>3.9310344827586206</v>
      </c>
    </row>
    <row r="158" spans="1:10" ht="27.75">
      <c r="A158" s="824" t="s">
        <v>365</v>
      </c>
      <c r="B158" s="825"/>
      <c r="C158" s="826"/>
      <c r="D158" s="117" t="s">
        <v>130</v>
      </c>
      <c r="E158" s="95">
        <f>'28'!F158</f>
        <v>45.55</v>
      </c>
      <c r="F158" s="155">
        <v>45.61</v>
      </c>
      <c r="G158" s="112">
        <f t="shared" si="13"/>
        <v>6.0000000000002274E-2</v>
      </c>
      <c r="H158" s="99">
        <f>G158+'28'!H158</f>
        <v>6.0000000000002274E-2</v>
      </c>
      <c r="I158" s="165"/>
      <c r="J158" s="328">
        <f>H158/DAY(B2)</f>
        <v>2.0689655172414579E-3</v>
      </c>
    </row>
    <row r="159" spans="1:10" ht="27.75">
      <c r="A159" s="907"/>
      <c r="B159" s="908"/>
      <c r="C159" s="909"/>
      <c r="D159" s="117"/>
      <c r="E159" s="95"/>
      <c r="F159" s="165"/>
      <c r="G159" s="112"/>
      <c r="H159" s="99"/>
      <c r="I159" s="165"/>
      <c r="J159" s="328"/>
    </row>
    <row r="160" spans="1:10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'28'!F161</f>
        <v>471960</v>
      </c>
      <c r="F161" s="235">
        <v>471985</v>
      </c>
      <c r="G161" s="238">
        <f t="shared" ref="G161:G165" si="14">F161-E161</f>
        <v>25</v>
      </c>
      <c r="H161" s="99">
        <f>G161+'28'!H161</f>
        <v>831.84000000002561</v>
      </c>
      <c r="I161" s="236"/>
      <c r="J161" s="239">
        <f>H161/DAY(B2)</f>
        <v>28.684137931035366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'28'!F162</f>
        <v>88439</v>
      </c>
      <c r="F162" s="235">
        <v>88468</v>
      </c>
      <c r="G162" s="238">
        <f t="shared" si="14"/>
        <v>29</v>
      </c>
      <c r="H162" s="99">
        <f>G162+'28'!H162</f>
        <v>898</v>
      </c>
      <c r="I162" s="236"/>
      <c r="J162" s="239">
        <f>H162/DAY(B2)</f>
        <v>30.96551724137931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'28'!F163</f>
        <v>79102.5</v>
      </c>
      <c r="F163" s="235">
        <v>79150</v>
      </c>
      <c r="G163" s="238">
        <f t="shared" si="14"/>
        <v>47.5</v>
      </c>
      <c r="H163" s="99">
        <f>G163+'28'!H163</f>
        <v>1325</v>
      </c>
      <c r="I163" s="236"/>
      <c r="J163" s="239">
        <f>H163/DAY(B2)</f>
        <v>45.689655172413794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'28'!F164</f>
        <v>4317.3999999999996</v>
      </c>
      <c r="F164" s="235">
        <v>4320</v>
      </c>
      <c r="G164" s="238">
        <f t="shared" si="14"/>
        <v>2.6000000000003638</v>
      </c>
      <c r="H164" s="99">
        <f>G164+'28'!H164</f>
        <v>78</v>
      </c>
      <c r="I164" s="236"/>
      <c r="J164" s="239">
        <f>H164/DAY(B2)</f>
        <v>2.6896551724137931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'28'!F165</f>
        <v>29828</v>
      </c>
      <c r="F165" s="235">
        <v>29835</v>
      </c>
      <c r="G165" s="238">
        <f t="shared" si="14"/>
        <v>7</v>
      </c>
      <c r="H165" s="99">
        <f>G165+'28'!H165</f>
        <v>189</v>
      </c>
      <c r="I165" s="236"/>
      <c r="J165" s="239">
        <f>H165/DAY(B2)</f>
        <v>6.5172413793103452</v>
      </c>
    </row>
    <row r="166" spans="1:10" ht="29.25">
      <c r="A166" s="832"/>
      <c r="B166" s="832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'28'!F174</f>
        <v>38576</v>
      </c>
      <c r="F174" s="157">
        <v>38589</v>
      </c>
      <c r="G174" s="155">
        <f t="shared" ref="G174:G175" si="15">F174-E174</f>
        <v>13</v>
      </c>
      <c r="H174" s="99">
        <f>G174+'28'!H174</f>
        <v>296</v>
      </c>
      <c r="I174" s="155"/>
      <c r="J174" s="178">
        <f>H174/DAY(B2)</f>
        <v>10.206896551724139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'28'!F175</f>
        <v>21783</v>
      </c>
      <c r="F175" s="155">
        <v>21795</v>
      </c>
      <c r="G175" s="155">
        <f t="shared" si="15"/>
        <v>12</v>
      </c>
      <c r="H175" s="99">
        <f>G175+'28'!H175</f>
        <v>277</v>
      </c>
      <c r="I175" s="155"/>
      <c r="J175" s="178">
        <f>H175/DAY(B2)</f>
        <v>9.5517241379310338</v>
      </c>
    </row>
    <row r="176" spans="1:10" ht="27.75">
      <c r="A176" s="827" t="s">
        <v>196</v>
      </c>
      <c r="B176" s="828"/>
      <c r="C176" s="485"/>
      <c r="D176" s="228"/>
      <c r="E176" s="95"/>
      <c r="F176" s="155"/>
      <c r="G176" s="155">
        <f>SUM(G173:G175)</f>
        <v>25</v>
      </c>
      <c r="H176" s="99">
        <f>G176+'28'!H176</f>
        <v>573</v>
      </c>
      <c r="I176" s="155"/>
      <c r="J176" s="178">
        <f>H176/DAY(B2)</f>
        <v>19.758620689655171</v>
      </c>
    </row>
    <row r="177" spans="1:10" ht="27.75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'28'!F178</f>
        <v>81101</v>
      </c>
      <c r="F178" s="155">
        <v>81143</v>
      </c>
      <c r="G178" s="155">
        <f>F178-E178</f>
        <v>42</v>
      </c>
      <c r="H178" s="99">
        <f>G178+'28'!H178</f>
        <v>1529</v>
      </c>
      <c r="I178" s="155"/>
      <c r="J178" s="178">
        <f>H178/DAY(B2)</f>
        <v>52.724137931034484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'28'!F179</f>
        <v>34711</v>
      </c>
      <c r="F179" s="155">
        <v>34729</v>
      </c>
      <c r="G179" s="155">
        <f t="shared" ref="G179:G180" si="16">F179-E179</f>
        <v>18</v>
      </c>
      <c r="H179" s="99">
        <f>G179+'28'!H179</f>
        <v>814</v>
      </c>
      <c r="I179" s="155"/>
      <c r="J179" s="178">
        <f>H179/DAY(B2)</f>
        <v>28.068965517241381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'28'!F180</f>
        <v>5675</v>
      </c>
      <c r="F180" s="155">
        <v>5690</v>
      </c>
      <c r="G180" s="155">
        <f t="shared" si="16"/>
        <v>15</v>
      </c>
      <c r="H180" s="99">
        <f>G180+'28'!H180</f>
        <v>213</v>
      </c>
      <c r="I180" s="155"/>
      <c r="J180" s="178">
        <f>H180/DAY(B2)</f>
        <v>7.3448275862068968</v>
      </c>
    </row>
    <row r="181" spans="1:10" ht="27.75">
      <c r="A181" s="838" t="s">
        <v>108</v>
      </c>
      <c r="B181" s="839"/>
      <c r="C181" s="485"/>
      <c r="D181" s="228"/>
      <c r="E181" s="95"/>
      <c r="F181" s="155"/>
      <c r="G181" s="155">
        <f>SUM(G178:G180)</f>
        <v>75</v>
      </c>
      <c r="H181" s="99">
        <f>G181+'28'!H181</f>
        <v>2556</v>
      </c>
      <c r="I181" s="155"/>
      <c r="J181" s="178">
        <f>H181/DAY(B2)</f>
        <v>88.137931034482762</v>
      </c>
    </row>
    <row r="182" spans="1:10" ht="27.75">
      <c r="A182" s="836" t="s">
        <v>213</v>
      </c>
      <c r="B182" s="837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'28'!F183</f>
        <v>15316</v>
      </c>
      <c r="F183" s="157">
        <v>15324</v>
      </c>
      <c r="G183" s="157">
        <f>F183-E183</f>
        <v>8</v>
      </c>
      <c r="H183" s="99">
        <f>G183+'28'!H183</f>
        <v>377</v>
      </c>
      <c r="I183" s="155"/>
      <c r="J183" s="178">
        <f>H183/DAY(B2)</f>
        <v>13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'28'!F184</f>
        <v>10482</v>
      </c>
      <c r="F184" s="157">
        <v>10490</v>
      </c>
      <c r="G184" s="157">
        <f t="shared" ref="G184:G185" si="17">F184-E184</f>
        <v>8</v>
      </c>
      <c r="H184" s="99">
        <f>G184+'28'!H184</f>
        <v>189</v>
      </c>
      <c r="I184" s="155"/>
      <c r="J184" s="178">
        <f>H184/DAY(B2)</f>
        <v>6.5172413793103452</v>
      </c>
    </row>
    <row r="185" spans="1:10" ht="27.75">
      <c r="A185" s="836" t="s">
        <v>216</v>
      </c>
      <c r="B185" s="837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484"/>
      <c r="D186" s="229"/>
      <c r="E186" s="95"/>
      <c r="F186" s="157"/>
      <c r="G186" s="157">
        <f>SUM(G183:G185)</f>
        <v>16</v>
      </c>
      <c r="H186" s="99">
        <f>G186+'28'!H186</f>
        <v>566</v>
      </c>
      <c r="I186" s="157"/>
      <c r="J186" s="178">
        <f>H186/DAY(B2)</f>
        <v>19.517241379310345</v>
      </c>
    </row>
    <row r="187" spans="1:10" ht="27.75">
      <c r="A187" s="829" t="s">
        <v>217</v>
      </c>
      <c r="B187" s="830"/>
      <c r="C187" s="333"/>
      <c r="D187" s="230" t="s">
        <v>142</v>
      </c>
      <c r="E187" s="95">
        <f>'28'!F187</f>
        <v>0</v>
      </c>
      <c r="F187" s="159"/>
      <c r="G187" s="596">
        <f>G62+G19</f>
        <v>154</v>
      </c>
      <c r="H187" s="99">
        <f>G187+'28'!H187</f>
        <v>3660</v>
      </c>
      <c r="I187" s="158"/>
      <c r="J187" s="179">
        <f>H187/DAY(B2)</f>
        <v>126.20689655172414</v>
      </c>
    </row>
    <row r="188" spans="1:10" ht="27.75">
      <c r="A188" s="829" t="s">
        <v>218</v>
      </c>
      <c r="B188" s="830"/>
      <c r="C188" s="333"/>
      <c r="D188" s="230" t="s">
        <v>142</v>
      </c>
      <c r="E188" s="95">
        <f>'28'!F188</f>
        <v>0</v>
      </c>
      <c r="F188" s="159"/>
      <c r="G188" s="596">
        <f>G65+G66+G67+G69+G70</f>
        <v>153</v>
      </c>
      <c r="H188" s="99">
        <f>G188+'28'!H188</f>
        <v>2054</v>
      </c>
      <c r="I188" s="158"/>
      <c r="J188" s="179">
        <f>H188/DAY(B2)</f>
        <v>70.827586206896555</v>
      </c>
    </row>
    <row r="189" spans="1:10" ht="27.75">
      <c r="A189" s="829" t="s">
        <v>219</v>
      </c>
      <c r="B189" s="830"/>
      <c r="C189" s="333"/>
      <c r="D189" s="230" t="s">
        <v>142</v>
      </c>
      <c r="E189" s="95">
        <f>'28'!F189</f>
        <v>0</v>
      </c>
      <c r="F189" s="157"/>
      <c r="G189" s="501">
        <f>G181</f>
        <v>75</v>
      </c>
      <c r="H189" s="99">
        <f>G189+'28'!H189</f>
        <v>966</v>
      </c>
      <c r="I189" s="158"/>
      <c r="J189" s="179">
        <f>H189/DAY(B2)</f>
        <v>33.310344827586206</v>
      </c>
    </row>
    <row r="190" spans="1:10" ht="27.75">
      <c r="A190" s="750"/>
      <c r="B190" s="75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R190"/>
  <sheetViews>
    <sheetView view="pageBreakPreview" zoomScale="55" zoomScaleNormal="55" zoomScaleSheetLayoutView="55" workbookViewId="0">
      <selection activeCell="G78" sqref="G78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30.75" customHeight="1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23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616277</v>
      </c>
      <c r="F7" s="95">
        <v>633566</v>
      </c>
      <c r="G7" s="112">
        <f>F7-E7</f>
        <v>17289</v>
      </c>
      <c r="H7" s="99">
        <f>G7+'29'!H7</f>
        <v>539020</v>
      </c>
      <c r="I7" s="113">
        <f>'1'!I7</f>
        <v>12000</v>
      </c>
      <c r="J7" s="175">
        <f>H7/DAY(B2)</f>
        <v>17967.333333333332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'29'!F8</f>
        <v>673189</v>
      </c>
      <c r="F8" s="95">
        <v>690718</v>
      </c>
      <c r="G8" s="112">
        <f>F8-E8</f>
        <v>17529</v>
      </c>
      <c r="H8" s="99">
        <f>G8+'29'!H8</f>
        <v>549833</v>
      </c>
      <c r="I8" s="116"/>
      <c r="J8" s="175">
        <f>H8/DAY(B2)</f>
        <v>18327.766666666666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252509</v>
      </c>
      <c r="F9" s="601">
        <v>267226</v>
      </c>
      <c r="G9" s="357">
        <f>F9-E9</f>
        <v>14717</v>
      </c>
      <c r="H9" s="99">
        <f>G9+'29'!H9</f>
        <v>365731</v>
      </c>
      <c r="I9" s="124">
        <f>I7-J7</f>
        <v>-5967.3333333333321</v>
      </c>
      <c r="J9" s="175">
        <f>H9/DAY(B2)</f>
        <v>12191.033333333333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158091</v>
      </c>
      <c r="I10" s="282"/>
      <c r="J10" s="175">
        <f>H10/DAY(B2)</f>
        <v>5269.7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170</v>
      </c>
      <c r="I11" s="282"/>
      <c r="J11" s="175">
        <f>H11/DAY(B2)</f>
        <v>5.666666666666667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504526.74999999988</v>
      </c>
      <c r="I13" s="120">
        <f>G7-G13</f>
        <v>508</v>
      </c>
      <c r="J13" s="175">
        <f>H13/DAY(B2)</f>
        <v>16817.558333333331</v>
      </c>
      <c r="K13" s="79"/>
      <c r="L13" s="66"/>
      <c r="N13" s="87"/>
      <c r="O13" s="71"/>
    </row>
    <row r="14" spans="1:15" ht="30.7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'29'!F15</f>
        <v>1904792</v>
      </c>
      <c r="F15" s="123">
        <v>1905721</v>
      </c>
      <c r="G15" s="112">
        <f>(F15-E15)</f>
        <v>929</v>
      </c>
      <c r="H15" s="99">
        <f>G15+'29'!H15</f>
        <v>27291</v>
      </c>
      <c r="I15" s="113">
        <f>'1'!I15</f>
        <v>800</v>
      </c>
      <c r="J15" s="175">
        <f>H15/DAY(B2)</f>
        <v>909.7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-109.70000000000005</v>
      </c>
      <c r="J16" s="176"/>
      <c r="K16" s="79"/>
      <c r="L16" s="66"/>
      <c r="N16" s="87"/>
      <c r="O16" s="71"/>
    </row>
    <row r="17" spans="1:15" ht="30.7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4" t="s">
        <v>141</v>
      </c>
      <c r="B18" s="865"/>
      <c r="C18" s="866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3540</v>
      </c>
      <c r="I18" s="113">
        <f>'1'!I18</f>
        <v>65</v>
      </c>
      <c r="J18" s="175">
        <f>H18/DAY(B2)</f>
        <v>118</v>
      </c>
      <c r="K18" s="79"/>
      <c r="L18" s="66"/>
      <c r="N18" s="87"/>
      <c r="O18" s="71"/>
    </row>
    <row r="19" spans="1:15" ht="30.75" customHeight="1">
      <c r="A19" s="864" t="s">
        <v>69</v>
      </c>
      <c r="B19" s="865"/>
      <c r="C19" s="866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1610</v>
      </c>
      <c r="I19" s="335"/>
      <c r="J19" s="175">
        <f>H19/DAY(B2)</f>
        <v>53.666666666666664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5150</v>
      </c>
      <c r="I20" s="336">
        <f>I18-J20</f>
        <v>-106.66666666666666</v>
      </c>
      <c r="J20" s="175">
        <f>H20/DAY(B2)</f>
        <v>171.66666666666666</v>
      </c>
      <c r="K20" s="79"/>
      <c r="L20" s="66"/>
      <c r="N20" s="87"/>
      <c r="O20" s="71"/>
    </row>
    <row r="21" spans="1:15" ht="30.7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110</v>
      </c>
      <c r="I23" s="118"/>
      <c r="J23" s="175">
        <f>H23/DAY(B2)</f>
        <v>3.6666666666666665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110</v>
      </c>
      <c r="I24" s="118"/>
      <c r="J24" s="175">
        <f>H24/DAY(B2)</f>
        <v>3.6666666666666665</v>
      </c>
      <c r="K24" s="79"/>
      <c r="L24" s="66"/>
      <c r="N24" s="87"/>
      <c r="O24" s="71"/>
    </row>
    <row r="25" spans="1:15" s="88" customFormat="1" ht="30.7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17529</v>
      </c>
      <c r="F27" s="136">
        <v>9</v>
      </c>
      <c r="G27" s="137">
        <f>E27*F27</f>
        <v>157761</v>
      </c>
      <c r="H27" s="99">
        <f>G27+'29'!H27</f>
        <v>4948497</v>
      </c>
      <c r="I27" s="138"/>
      <c r="J27" s="175">
        <f>H27/DAY(B2)</f>
        <v>164949.9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929</v>
      </c>
      <c r="F28" s="136">
        <v>52</v>
      </c>
      <c r="G28" s="137">
        <f>E28*F28</f>
        <v>48308</v>
      </c>
      <c r="H28" s="99">
        <f>G28+'29'!H28</f>
        <v>1437435.35</v>
      </c>
      <c r="I28" s="140"/>
      <c r="J28" s="175">
        <f>H28/DAY(B2)</f>
        <v>47914.511666666673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7590</v>
      </c>
      <c r="I29" s="140"/>
      <c r="J29" s="175">
        <f>H29/DAY(B2)</f>
        <v>253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235347.56</v>
      </c>
      <c r="I30" s="140"/>
      <c r="J30" s="175">
        <f>H30/DAY(B2)</f>
        <v>7844.9186666666665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283200</v>
      </c>
      <c r="I31" s="140"/>
      <c r="J31" s="175">
        <f>H31/DAY(B2)</f>
        <v>9440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227845</v>
      </c>
      <c r="H32" s="99">
        <f>G32+'29'!H32</f>
        <v>6912069.9100000001</v>
      </c>
      <c r="I32" s="144"/>
      <c r="J32" s="175">
        <f>H32/DAY(B2)</f>
        <v>230402.33033333335</v>
      </c>
      <c r="K32" s="63"/>
      <c r="L32" s="89"/>
      <c r="N32" s="87"/>
      <c r="O32" s="71"/>
    </row>
    <row r="33" spans="1:15" ht="30.7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45952</v>
      </c>
      <c r="I35" s="95"/>
      <c r="J35" s="175">
        <f>H35/DAY(B2)</f>
        <v>1531.7333333333333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21293</v>
      </c>
      <c r="I36" s="95"/>
      <c r="J36" s="175">
        <f>H36/DAY(B2)</f>
        <v>709.76666666666665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46049</v>
      </c>
      <c r="I37" s="95"/>
      <c r="J37" s="175">
        <f>H37/DAY(B2)</f>
        <v>1534.9666666666667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49949.000000000007</v>
      </c>
      <c r="I38" s="95"/>
      <c r="J38" s="175">
        <f>H38/DAY(B2)</f>
        <v>1664.9666666666669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78206</v>
      </c>
      <c r="I39" s="95"/>
      <c r="J39" s="175">
        <f>H39/DAY(B2)</f>
        <v>2606.8666666666668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14668</v>
      </c>
      <c r="I40" s="95"/>
      <c r="J40" s="175">
        <f>H40/DAY(B2)</f>
        <v>488.93333333333334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22002</v>
      </c>
      <c r="I42" s="95"/>
      <c r="J42" s="175">
        <f>H42/DAY(B2)</f>
        <v>733.4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65705</v>
      </c>
      <c r="I43" s="95"/>
      <c r="J43" s="175">
        <f>H43/DAY(B2)</f>
        <v>2190.1666666666665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343824.00000000006</v>
      </c>
      <c r="I47" s="95"/>
      <c r="J47" s="175">
        <f>H47/DAY(B2)</f>
        <v>11460.800000000001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37260</v>
      </c>
      <c r="I49" s="95"/>
      <c r="J49" s="175">
        <f>H49/DAY(B2)</f>
        <v>1242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30666</v>
      </c>
      <c r="I50" s="95"/>
      <c r="J50" s="175">
        <f>H50/DAY(B2)</f>
        <v>1022.2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6914.08</v>
      </c>
      <c r="I54" s="95"/>
      <c r="J54" s="175">
        <f>H54/DAY(B2)</f>
        <v>230.46933333333334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70855</v>
      </c>
      <c r="I55" s="95"/>
      <c r="J55" s="175">
        <f>H55/DAY(B2)</f>
        <v>2361.8333333333335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4939.6300000000047</v>
      </c>
      <c r="I58" s="95"/>
      <c r="J58" s="175">
        <f>H58/DAY(B2)</f>
        <v>164.65433333333348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150634.71000000005</v>
      </c>
      <c r="I59" s="95">
        <f>G7-G60</f>
        <v>747</v>
      </c>
      <c r="J59" s="175">
        <f>H59/DAY(B2)</f>
        <v>5021.157000000002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494458.70999999996</v>
      </c>
      <c r="I60" s="95">
        <f>G13-G60</f>
        <v>239</v>
      </c>
      <c r="J60" s="175">
        <f>H60/DAY(B2)</f>
        <v>16481.956999999999</v>
      </c>
      <c r="K60" s="79"/>
      <c r="L60" s="66"/>
      <c r="N60" s="87"/>
      <c r="O60" s="71"/>
    </row>
    <row r="61" spans="1:15" s="68" customFormat="1" ht="30.75" customHeight="1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64" t="s">
        <v>198</v>
      </c>
      <c r="B62" s="865"/>
      <c r="C62" s="866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2220</v>
      </c>
      <c r="I62" s="118"/>
      <c r="J62" s="175">
        <f>H62/DAY(B2)</f>
        <v>74</v>
      </c>
      <c r="K62" s="80"/>
      <c r="L62" s="66"/>
      <c r="N62" s="87"/>
      <c r="O62" s="71"/>
    </row>
    <row r="63" spans="1:15" ht="30.75" customHeight="1">
      <c r="A63" s="864" t="s">
        <v>199</v>
      </c>
      <c r="B63" s="865"/>
      <c r="C63" s="866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3205</v>
      </c>
      <c r="I63" s="118"/>
      <c r="J63" s="175">
        <f>H63/DAY(B2)</f>
        <v>106.83333333333333</v>
      </c>
      <c r="K63" s="69"/>
      <c r="L63" s="66"/>
      <c r="N63" s="87"/>
      <c r="O63" s="71"/>
    </row>
    <row r="64" spans="1:15" ht="30.75" customHeight="1">
      <c r="A64" s="873" t="s">
        <v>200</v>
      </c>
      <c r="B64" s="874"/>
      <c r="C64" s="875"/>
      <c r="D64" s="151"/>
      <c r="E64" s="95">
        <f>'29'!F64</f>
        <v>0</v>
      </c>
      <c r="F64" s="122"/>
      <c r="G64" s="112">
        <f>G62+G63</f>
        <v>187</v>
      </c>
      <c r="H64" s="99">
        <f>G64+'29'!H64</f>
        <v>5425</v>
      </c>
      <c r="I64" s="118"/>
      <c r="J64" s="175">
        <f>H64/DAY(B2)</f>
        <v>180.83333333333334</v>
      </c>
      <c r="K64" s="69"/>
      <c r="L64" s="66"/>
      <c r="N64" s="87"/>
      <c r="O64" s="71"/>
    </row>
    <row r="65" spans="1:15" ht="30.75" customHeight="1">
      <c r="A65" s="864" t="s">
        <v>201</v>
      </c>
      <c r="B65" s="865"/>
      <c r="C65" s="866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2235</v>
      </c>
      <c r="I65" s="118"/>
      <c r="J65" s="175">
        <f>H65/DAY(B2)</f>
        <v>74.5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514</v>
      </c>
      <c r="I66" s="118"/>
      <c r="J66" s="175">
        <f>H66/DAY(B2)</f>
        <v>17.133333333333333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88">
        <v>104628</v>
      </c>
      <c r="G67" s="112">
        <f t="shared" si="6"/>
        <v>32</v>
      </c>
      <c r="H67" s="99">
        <f>G67+'29'!H67</f>
        <v>700</v>
      </c>
      <c r="I67" s="118"/>
      <c r="J67" s="175">
        <f>H67/DAY(B2)</f>
        <v>23.333333333333332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1048</v>
      </c>
      <c r="I68" s="118"/>
      <c r="J68" s="175">
        <f>H68/DAY(B2)</f>
        <v>34.93333333333333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318</v>
      </c>
      <c r="I69" s="118"/>
      <c r="J69" s="175">
        <f>H69/DAY(B2)</f>
        <v>10.6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88">
        <v>8112</v>
      </c>
      <c r="G70" s="112">
        <f t="shared" si="6"/>
        <v>22</v>
      </c>
      <c r="H70" s="99">
        <f>G70+'29'!H70</f>
        <v>250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30.75" customHeight="1">
      <c r="A71" s="873" t="s">
        <v>208</v>
      </c>
      <c r="B71" s="874"/>
      <c r="C71" s="875"/>
      <c r="D71" s="152"/>
      <c r="E71" s="152"/>
      <c r="F71" s="152"/>
      <c r="G71" s="153">
        <f>SUM(G65:G70)</f>
        <v>194</v>
      </c>
      <c r="H71" s="99">
        <f>G71+'29'!H71</f>
        <v>5065</v>
      </c>
      <c r="I71" s="154"/>
      <c r="J71" s="175">
        <f>H71/DAY(B2)</f>
        <v>168.83333333333334</v>
      </c>
      <c r="K71" s="69"/>
      <c r="L71" s="66"/>
      <c r="N71" s="87"/>
      <c r="O71" s="71"/>
    </row>
    <row r="72" spans="1:15" s="88" customFormat="1" ht="30.75" customHeight="1">
      <c r="A72" s="860"/>
      <c r="B72" s="84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4" t="s">
        <v>220</v>
      </c>
      <c r="B74" s="865"/>
      <c r="C74" s="866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8980</v>
      </c>
      <c r="I74" s="154"/>
      <c r="J74" s="175">
        <f>H74/DAY(B2)</f>
        <v>299.33333333333331</v>
      </c>
      <c r="K74" s="69"/>
      <c r="L74" s="66"/>
      <c r="N74" s="87"/>
      <c r="O74" s="71"/>
    </row>
    <row r="75" spans="1:15" ht="30.75" customHeight="1">
      <c r="A75" s="864" t="s">
        <v>221</v>
      </c>
      <c r="B75" s="865"/>
      <c r="C75" s="866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861" t="s">
        <v>222</v>
      </c>
      <c r="B76" s="862"/>
      <c r="C76" s="863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2693</v>
      </c>
      <c r="I76" s="154"/>
      <c r="J76" s="175">
        <f>H76/DAY(B2)</f>
        <v>89.766666666666666</v>
      </c>
      <c r="K76" s="69"/>
      <c r="L76" s="66"/>
      <c r="N76" s="87"/>
      <c r="O76" s="71"/>
    </row>
    <row r="77" spans="1:15" ht="30.75" customHeight="1">
      <c r="A77" s="861" t="s">
        <v>223</v>
      </c>
      <c r="B77" s="862"/>
      <c r="C77" s="863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958</v>
      </c>
      <c r="I77" s="154"/>
      <c r="J77" s="175">
        <f>H77/DAY(B2)</f>
        <v>31.933333333333334</v>
      </c>
      <c r="K77" s="69"/>
      <c r="L77" s="66"/>
      <c r="N77" s="87"/>
      <c r="O77" s="71"/>
    </row>
    <row r="78" spans="1:15" ht="30.75" customHeight="1">
      <c r="A78" s="861" t="s">
        <v>224</v>
      </c>
      <c r="B78" s="862"/>
      <c r="C78" s="863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28</v>
      </c>
      <c r="I78" s="118"/>
      <c r="J78" s="175">
        <f>H78/DAY(B2)</f>
        <v>0.93333333333333335</v>
      </c>
      <c r="K78" s="69"/>
      <c r="L78" s="66"/>
      <c r="N78" s="87"/>
      <c r="O78" s="71"/>
    </row>
    <row r="79" spans="1:15" s="57" customFormat="1" ht="30.75" customHeight="1">
      <c r="A79" s="861" t="s">
        <v>225</v>
      </c>
      <c r="B79" s="862"/>
      <c r="C79" s="863"/>
      <c r="D79" s="151"/>
      <c r="E79" s="95">
        <f>'29'!F79</f>
        <v>0</v>
      </c>
      <c r="F79" s="117"/>
      <c r="G79" s="112">
        <f>G15-SUM(G74:G78)</f>
        <v>490</v>
      </c>
      <c r="H79" s="99">
        <f>G79+'29'!H79</f>
        <v>14632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73" t="s">
        <v>329</v>
      </c>
      <c r="B80" s="874"/>
      <c r="C80" s="875"/>
      <c r="D80" s="151"/>
      <c r="E80" s="117"/>
      <c r="F80" s="117"/>
      <c r="G80" s="112">
        <f>SUM(G74:G79)</f>
        <v>929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141.44000000000005</v>
      </c>
      <c r="I85" s="118">
        <f>G82+G83+G84+G85</f>
        <v>24</v>
      </c>
      <c r="J85" s="175">
        <f>H85/DAY(B2)</f>
        <v>4.7146666666666688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579</v>
      </c>
      <c r="I86" s="118"/>
      <c r="J86" s="175">
        <f>H86/DAY(B2)</f>
        <v>19.3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0</v>
      </c>
      <c r="I87" s="118"/>
      <c r="J87" s="175">
        <f>H87/DAY(B2)</f>
        <v>0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16.430000000000291</v>
      </c>
      <c r="I88" s="118">
        <f>G86+G87+G88</f>
        <v>0</v>
      </c>
      <c r="J88" s="175">
        <f>H88/DAY(B2)</f>
        <v>0.5476666666666764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218.81999999999971</v>
      </c>
      <c r="I89" s="118"/>
      <c r="J89" s="175">
        <f>H89/DAY(B2)</f>
        <v>7.2939999999999907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29</v>
      </c>
      <c r="I90" s="118">
        <f>G89+G90</f>
        <v>11.129999999997381</v>
      </c>
      <c r="J90" s="175">
        <f>H90/DAY(B2)</f>
        <v>0.96666666666666667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13.299999999999727</v>
      </c>
      <c r="I91" s="165"/>
      <c r="J91" s="175">
        <f>H91/DAY(B2)</f>
        <v>0.44333333333332425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303.06999999999971</v>
      </c>
      <c r="I92" s="165"/>
      <c r="J92" s="175">
        <f>H92/DAY(B2)</f>
        <v>10.102333333333323</v>
      </c>
      <c r="O92" s="71"/>
    </row>
    <row r="93" spans="1:15" ht="30.75" customHeight="1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3975</v>
      </c>
      <c r="H94" s="99">
        <f>G94+'29'!H94</f>
        <v>148917</v>
      </c>
      <c r="I94" s="118"/>
      <c r="J94" s="175">
        <f>H94/DAY(B2)</f>
        <v>4963.8999999999996</v>
      </c>
      <c r="K94" s="69"/>
      <c r="L94" s="66"/>
      <c r="O94" s="71"/>
    </row>
    <row r="95" spans="1:15" ht="30.7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0.22991497483949333</v>
      </c>
      <c r="H95" s="99">
        <f>G95+'29'!H95</f>
        <v>8.2626932442339651</v>
      </c>
      <c r="I95" s="167"/>
      <c r="J95" s="175">
        <f>H95/DAY(B2)</f>
        <v>0.27542310814113219</v>
      </c>
      <c r="K95" s="69"/>
      <c r="L95" s="66"/>
      <c r="O95" s="71"/>
    </row>
    <row r="96" spans="1:15" ht="30.7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3884</v>
      </c>
      <c r="H96" s="99">
        <f>G96+'29'!H96</f>
        <v>92857</v>
      </c>
      <c r="I96" s="118"/>
      <c r="J96" s="175">
        <f>H96/DAY(B2)</f>
        <v>3095.2333333333331</v>
      </c>
      <c r="K96" s="69"/>
      <c r="L96" s="66"/>
      <c r="O96" s="71"/>
    </row>
    <row r="97" spans="1:15" ht="30.7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0.22465151252241308</v>
      </c>
      <c r="H97" s="99">
        <f>G97+'29'!H97</f>
        <v>5.1879685267697822</v>
      </c>
      <c r="I97" s="167"/>
      <c r="J97" s="175">
        <f>H97/DAY(B2)</f>
        <v>0.1729322842256594</v>
      </c>
      <c r="K97" s="69"/>
      <c r="L97" s="66"/>
      <c r="O97" s="71"/>
    </row>
    <row r="98" spans="1:15" ht="30.7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2616</v>
      </c>
      <c r="H98" s="99">
        <f>G98+'29'!H98</f>
        <v>78206</v>
      </c>
      <c r="I98" s="168"/>
      <c r="J98" s="175">
        <f>H98/DAY(B2)</f>
        <v>2606.8666666666668</v>
      </c>
      <c r="K98" s="69"/>
      <c r="L98" s="66"/>
      <c r="O98" s="71"/>
    </row>
    <row r="99" spans="1:15" ht="30.7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0.15131008155474579</v>
      </c>
      <c r="H99" s="99">
        <f>G99+'29'!H99</f>
        <v>4.3652527609326945</v>
      </c>
      <c r="I99" s="168"/>
      <c r="J99" s="175">
        <f>H99/DAY(B2)</f>
        <v>0.14550842536442316</v>
      </c>
      <c r="O99" s="71"/>
    </row>
    <row r="100" spans="1:15" ht="30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1629</v>
      </c>
      <c r="H100" s="99">
        <f>G100+'29'!H100</f>
        <v>49949.000000000007</v>
      </c>
      <c r="I100" s="118"/>
      <c r="J100" s="175">
        <f>H100/DAY(B2)</f>
        <v>1664.9666666666669</v>
      </c>
      <c r="K100" s="70"/>
      <c r="O100" s="71"/>
    </row>
    <row r="101" spans="1:15" ht="30.7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9.422175950026028E-2</v>
      </c>
      <c r="H101" s="99">
        <f>G101+'29'!H101</f>
        <v>2.7911699155465266</v>
      </c>
      <c r="I101" s="168"/>
      <c r="J101" s="175">
        <f>H101/DAY(B2)</f>
        <v>9.3038997184884217E-2</v>
      </c>
      <c r="O101" s="71"/>
    </row>
    <row r="102" spans="1:15" ht="30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1897</v>
      </c>
      <c r="H102" s="99">
        <f>G102+'29'!H102</f>
        <v>51959</v>
      </c>
      <c r="I102" s="168"/>
      <c r="J102" s="175">
        <f>H102/DAY(B2)</f>
        <v>1731.9666666666667</v>
      </c>
      <c r="O102" s="71"/>
    </row>
    <row r="103" spans="1:15" ht="30.7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0.10972294522528775</v>
      </c>
      <c r="H103" s="99">
        <f>G103+'29'!H103</f>
        <v>2.8866729545344367</v>
      </c>
      <c r="I103" s="118"/>
      <c r="J103" s="175">
        <f>H103/DAY(B2)</f>
        <v>9.6222431817814563E-2</v>
      </c>
      <c r="O103" s="71"/>
    </row>
    <row r="104" spans="1:15" ht="30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1553</v>
      </c>
      <c r="H104" s="99">
        <f>G104+'29'!H104</f>
        <v>46049</v>
      </c>
      <c r="I104" s="118"/>
      <c r="J104" s="175">
        <f>H104/DAY(B2)</f>
        <v>1534.9666666666667</v>
      </c>
      <c r="O104" s="71"/>
    </row>
    <row r="105" spans="1:15" ht="30.75" customHeight="1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8.9825900861819657E-2</v>
      </c>
      <c r="H105" s="99">
        <f>G105+'29'!H105</f>
        <v>2.5745094872522487</v>
      </c>
      <c r="I105" s="187"/>
      <c r="J105" s="188">
        <f>H105/DAY(B2)</f>
        <v>8.5816982908408293E-2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30.75" customHeight="1">
      <c r="A109" s="881"/>
      <c r="B109" s="881"/>
    </row>
    <row r="110" spans="1:15" ht="30.75" customHeight="1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30.75" customHeight="1">
      <c r="A111" s="847"/>
      <c r="B111" s="848"/>
      <c r="C111" s="84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43" t="s">
        <v>252</v>
      </c>
      <c r="B112" s="844"/>
      <c r="C112" s="845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2296</v>
      </c>
      <c r="I112" s="165"/>
      <c r="J112" s="328">
        <f>H112/DAY(B2)</f>
        <v>76.533333333333331</v>
      </c>
    </row>
    <row r="113" spans="1:18" ht="30.75" customHeight="1">
      <c r="A113" s="843" t="s">
        <v>253</v>
      </c>
      <c r="B113" s="844"/>
      <c r="C113" s="845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13737</v>
      </c>
      <c r="I113" s="165"/>
      <c r="J113" s="328">
        <f>H113/DAY(B2)</f>
        <v>457.9</v>
      </c>
    </row>
    <row r="114" spans="1:18" ht="30.75" customHeight="1">
      <c r="A114" s="843" t="s">
        <v>254</v>
      </c>
      <c r="B114" s="844"/>
      <c r="C114" s="845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7892.4</v>
      </c>
      <c r="I114" s="165"/>
      <c r="J114" s="328">
        <f>H114/DAY(B2)</f>
        <v>263.08</v>
      </c>
    </row>
    <row r="115" spans="1:18" ht="30.75" customHeight="1">
      <c r="A115" s="843" t="s">
        <v>255</v>
      </c>
      <c r="B115" s="844"/>
      <c r="C115" s="845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296</v>
      </c>
      <c r="I115" s="165"/>
      <c r="J115" s="328">
        <f>H115/DAY(B2)</f>
        <v>9.8666666666666671</v>
      </c>
    </row>
    <row r="116" spans="1:18" ht="30.75" customHeight="1">
      <c r="A116" s="850" t="s">
        <v>96</v>
      </c>
      <c r="B116" s="851"/>
      <c r="C116" s="852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28">
        <f>H116/DAY(B2)</f>
        <v>0</v>
      </c>
      <c r="Q116" s="843" t="s">
        <v>311</v>
      </c>
      <c r="R116" s="845"/>
    </row>
    <row r="117" spans="1:18" ht="30.75" customHeight="1">
      <c r="A117" s="850" t="s">
        <v>184</v>
      </c>
      <c r="B117" s="851"/>
      <c r="C117" s="852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709</v>
      </c>
      <c r="I117" s="165"/>
      <c r="J117" s="328">
        <f>H117/DAY(B2)</f>
        <v>23.633333333333333</v>
      </c>
      <c r="Q117" s="843" t="s">
        <v>312</v>
      </c>
      <c r="R117" s="845"/>
    </row>
    <row r="118" spans="1:18" ht="30.75" customHeight="1">
      <c r="A118" s="842" t="s">
        <v>97</v>
      </c>
      <c r="B118" s="842"/>
      <c r="C118" s="842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10486</v>
      </c>
      <c r="I118" s="165"/>
      <c r="J118" s="328">
        <f>H118/DAY(B2)</f>
        <v>349.53333333333336</v>
      </c>
      <c r="Q118" s="843" t="s">
        <v>311</v>
      </c>
      <c r="R118" s="845"/>
    </row>
    <row r="119" spans="1:18" ht="30.75" customHeight="1">
      <c r="A119" s="842" t="s">
        <v>98</v>
      </c>
      <c r="B119" s="842"/>
      <c r="C119" s="842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12596</v>
      </c>
      <c r="I119" s="165"/>
      <c r="J119" s="328">
        <f>H119/DAY(B2)</f>
        <v>419.86666666666667</v>
      </c>
    </row>
    <row r="120" spans="1:18" ht="30.75" customHeight="1">
      <c r="A120" s="842" t="s">
        <v>99</v>
      </c>
      <c r="B120" s="842"/>
      <c r="C120" s="842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12462</v>
      </c>
      <c r="I120" s="165"/>
      <c r="J120" s="328">
        <f>H120/DAY(B2)</f>
        <v>415.4</v>
      </c>
    </row>
    <row r="121" spans="1:18" ht="30.75" customHeight="1">
      <c r="A121" s="842" t="s">
        <v>100</v>
      </c>
      <c r="B121" s="842"/>
      <c r="C121" s="842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20775</v>
      </c>
      <c r="I121" s="165"/>
      <c r="J121" s="328">
        <f>H121/DAY(B2)</f>
        <v>692.5</v>
      </c>
    </row>
    <row r="122" spans="1:18" ht="30.75" customHeight="1">
      <c r="A122" s="842" t="s">
        <v>101</v>
      </c>
      <c r="B122" s="842"/>
      <c r="C122" s="842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5930</v>
      </c>
      <c r="I122" s="165"/>
      <c r="J122" s="328">
        <f>H122/DAY(B2)</f>
        <v>197.66666666666666</v>
      </c>
    </row>
    <row r="123" spans="1:18" ht="30.75" customHeight="1">
      <c r="A123" s="842" t="s">
        <v>102</v>
      </c>
      <c r="B123" s="842"/>
      <c r="C123" s="842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8643</v>
      </c>
      <c r="I123" s="165"/>
      <c r="J123" s="328">
        <f>H123/DAY(B2)</f>
        <v>288.10000000000002</v>
      </c>
    </row>
    <row r="124" spans="1:18" ht="30.75" customHeight="1">
      <c r="A124" s="847"/>
      <c r="B124" s="848"/>
      <c r="C124" s="849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827" t="s">
        <v>196</v>
      </c>
      <c r="B125" s="828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30.75" customHeight="1">
      <c r="A127" s="832"/>
      <c r="B127" s="832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843" t="s">
        <v>318</v>
      </c>
      <c r="B128" s="844"/>
      <c r="C128" s="845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9430</v>
      </c>
      <c r="I128" s="165"/>
      <c r="J128" s="328">
        <f>H128/DAY(B2)</f>
        <v>314.33333333333331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6399</v>
      </c>
      <c r="I129" s="165"/>
      <c r="J129" s="328">
        <f>H129/DAY(B2)</f>
        <v>213.3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16836</v>
      </c>
      <c r="I130" s="165"/>
      <c r="J130" s="328">
        <f>H130/DAY(B2)</f>
        <v>561.20000000000005</v>
      </c>
      <c r="N130" s="240"/>
      <c r="O130" s="241"/>
    </row>
    <row r="131" spans="1:15" ht="30.75" customHeight="1">
      <c r="A131" s="843" t="s">
        <v>321</v>
      </c>
      <c r="B131" s="844"/>
      <c r="C131" s="845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2108</v>
      </c>
      <c r="I131" s="165"/>
      <c r="J131" s="328">
        <f>H131/DAY(B2)</f>
        <v>70.266666666666666</v>
      </c>
      <c r="N131" s="240"/>
      <c r="O131" s="241"/>
    </row>
    <row r="132" spans="1:15" ht="30.75" customHeight="1">
      <c r="A132" s="843" t="s">
        <v>322</v>
      </c>
      <c r="B132" s="844"/>
      <c r="C132" s="845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10660</v>
      </c>
      <c r="I132" s="165"/>
      <c r="J132" s="328">
        <f>H132/DAY(B2)</f>
        <v>355.33333333333331</v>
      </c>
    </row>
    <row r="133" spans="1:15" ht="30.75" customHeight="1">
      <c r="A133" s="843" t="s">
        <v>362</v>
      </c>
      <c r="B133" s="844"/>
      <c r="C133" s="845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17203</v>
      </c>
      <c r="I133" s="165"/>
      <c r="J133" s="328">
        <f>H133/DAY(B2)</f>
        <v>573.43333333333328</v>
      </c>
    </row>
    <row r="134" spans="1:15" ht="30.75" customHeight="1">
      <c r="A134" s="843" t="s">
        <v>340</v>
      </c>
      <c r="B134" s="844"/>
      <c r="C134" s="845"/>
      <c r="D134" s="151" t="s">
        <v>183</v>
      </c>
      <c r="E134" s="95">
        <f>'29'!F134</f>
        <v>8290</v>
      </c>
      <c r="F134" s="597">
        <v>8446</v>
      </c>
      <c r="G134" s="112">
        <f t="shared" si="10"/>
        <v>156</v>
      </c>
      <c r="H134" s="99">
        <f>G134+'29'!H134</f>
        <v>10739.999999999998</v>
      </c>
      <c r="I134" s="165"/>
      <c r="J134" s="328">
        <f>H134/DAY(B2)</f>
        <v>357.99999999999994</v>
      </c>
    </row>
    <row r="135" spans="1:15" ht="30.75" customHeight="1">
      <c r="A135" s="827" t="s">
        <v>196</v>
      </c>
      <c r="B135" s="828"/>
      <c r="C135" s="331"/>
      <c r="D135" s="151"/>
      <c r="E135" s="95"/>
      <c r="F135" s="165"/>
      <c r="G135" s="112">
        <f>SUM(G128:G134)</f>
        <v>1757</v>
      </c>
      <c r="H135" s="99">
        <f>G135+'23'!H135</f>
        <v>35117.169999999984</v>
      </c>
      <c r="I135" s="327">
        <f>G135-(G35+G49)</f>
        <v>-320</v>
      </c>
      <c r="J135" s="328">
        <f>H135/DAY(B2)</f>
        <v>1170.5723333333328</v>
      </c>
    </row>
    <row r="136" spans="1:15" ht="30.75" customHeight="1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42" t="s">
        <v>185</v>
      </c>
      <c r="B138" s="842"/>
      <c r="C138" s="842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1943</v>
      </c>
      <c r="I138" s="118"/>
      <c r="J138" s="328">
        <f>H138/DAY(B2)</f>
        <v>64.766666666666666</v>
      </c>
    </row>
    <row r="139" spans="1:15" ht="30.75" customHeight="1">
      <c r="A139" s="842" t="s">
        <v>186</v>
      </c>
      <c r="B139" s="842"/>
      <c r="C139" s="842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26</v>
      </c>
      <c r="I139" s="118"/>
      <c r="J139" s="328">
        <f>H139/DAY(B2)</f>
        <v>0.8666666666666667</v>
      </c>
    </row>
    <row r="140" spans="1:15" ht="30.75" customHeight="1">
      <c r="A140" s="842" t="s">
        <v>187</v>
      </c>
      <c r="B140" s="842"/>
      <c r="C140" s="842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40</v>
      </c>
      <c r="I140" s="118"/>
      <c r="J140" s="328">
        <f>H140/DAY(B2)</f>
        <v>1.3333333333333333</v>
      </c>
    </row>
    <row r="141" spans="1:15" ht="30.75" customHeight="1">
      <c r="A141" s="823" t="s">
        <v>188</v>
      </c>
      <c r="B141" s="823"/>
      <c r="C141" s="823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5207</v>
      </c>
      <c r="I141" s="118"/>
      <c r="J141" s="328">
        <f>H141/DAY(B2)</f>
        <v>173.56666666666666</v>
      </c>
    </row>
    <row r="142" spans="1:15" ht="30.75" customHeight="1">
      <c r="A142" s="823" t="s">
        <v>189</v>
      </c>
      <c r="B142" s="823"/>
      <c r="C142" s="823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2195</v>
      </c>
      <c r="I142" s="140"/>
      <c r="J142" s="328">
        <f>H142/DAY(B2)</f>
        <v>73.166666666666671</v>
      </c>
    </row>
    <row r="143" spans="1:15" ht="30.75" customHeight="1">
      <c r="A143" s="842" t="s">
        <v>91</v>
      </c>
      <c r="B143" s="842"/>
      <c r="C143" s="842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746</v>
      </c>
      <c r="I143" s="140"/>
      <c r="J143" s="328">
        <f>H143/DAY(B2)</f>
        <v>24.866666666666667</v>
      </c>
    </row>
    <row r="144" spans="1:15" ht="30.75" customHeight="1">
      <c r="A144" s="823" t="s">
        <v>90</v>
      </c>
      <c r="B144" s="823"/>
      <c r="C144" s="823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6601</v>
      </c>
      <c r="I144" s="140"/>
      <c r="J144" s="328">
        <f>H144/DAY(B2)</f>
        <v>220.03333333333333</v>
      </c>
    </row>
    <row r="145" spans="1:10" ht="30.75" customHeight="1">
      <c r="A145" s="842" t="s">
        <v>190</v>
      </c>
      <c r="B145" s="842"/>
      <c r="C145" s="842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391</v>
      </c>
      <c r="I145" s="140"/>
      <c r="J145" s="328">
        <f>H145/DAY(B2)</f>
        <v>13.033333333333333</v>
      </c>
    </row>
    <row r="146" spans="1:10" ht="30.75" customHeight="1">
      <c r="A146" s="877" t="s">
        <v>191</v>
      </c>
      <c r="B146" s="862"/>
      <c r="C146" s="863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12089</v>
      </c>
      <c r="I146" s="140"/>
      <c r="J146" s="328">
        <f>H146/DAY(B2)</f>
        <v>402.96666666666664</v>
      </c>
    </row>
    <row r="147" spans="1:10" ht="30.75" customHeight="1">
      <c r="A147" s="823" t="s">
        <v>192</v>
      </c>
      <c r="B147" s="823"/>
      <c r="C147" s="823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10983</v>
      </c>
      <c r="I147" s="140"/>
      <c r="J147" s="328">
        <f>H147/DAY(B2)</f>
        <v>366.1</v>
      </c>
    </row>
    <row r="148" spans="1:10" ht="30.75" customHeight="1">
      <c r="A148" s="824" t="s">
        <v>193</v>
      </c>
      <c r="B148" s="825"/>
      <c r="C148" s="826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6251.8800000000047</v>
      </c>
      <c r="I148" s="124"/>
      <c r="J148" s="328">
        <f>H148/DAY(B2)</f>
        <v>208.39600000000016</v>
      </c>
    </row>
    <row r="149" spans="1:10" ht="30.75" customHeight="1">
      <c r="A149" s="824" t="s">
        <v>336</v>
      </c>
      <c r="B149" s="825"/>
      <c r="C149" s="826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13530</v>
      </c>
      <c r="I149" s="119"/>
      <c r="J149" s="328">
        <f>H149/DAY(B2)</f>
        <v>451</v>
      </c>
    </row>
    <row r="150" spans="1:10" ht="30.75" customHeight="1">
      <c r="A150" s="824" t="s">
        <v>337</v>
      </c>
      <c r="B150" s="825"/>
      <c r="C150" s="826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6585</v>
      </c>
      <c r="I150" s="119"/>
      <c r="J150" s="328">
        <f>H150/DAY(B2)</f>
        <v>219.5</v>
      </c>
    </row>
    <row r="151" spans="1:10" ht="30.75" customHeight="1">
      <c r="A151" s="824" t="s">
        <v>338</v>
      </c>
      <c r="B151" s="825"/>
      <c r="C151" s="826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6969</v>
      </c>
      <c r="I151" s="119"/>
      <c r="J151" s="328">
        <f>H151/DAY(B2)</f>
        <v>232.3</v>
      </c>
    </row>
    <row r="152" spans="1:10" ht="30.75" customHeight="1">
      <c r="A152" s="824" t="s">
        <v>339</v>
      </c>
      <c r="B152" s="825"/>
      <c r="C152" s="826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515</v>
      </c>
      <c r="I152" s="119"/>
      <c r="J152" s="328">
        <f>H152/DAY(B2)</f>
        <v>17.166666666666668</v>
      </c>
    </row>
    <row r="153" spans="1:10" ht="30.75" customHeight="1">
      <c r="A153" s="827" t="s">
        <v>196</v>
      </c>
      <c r="B153" s="828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0" ht="30.75" customHeight="1">
      <c r="A155" s="823" t="s">
        <v>345</v>
      </c>
      <c r="B155" s="823"/>
      <c r="C155" s="823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18243</v>
      </c>
      <c r="I155" s="364"/>
      <c r="J155" s="328">
        <f>H155/DAY(B2)</f>
        <v>608.1</v>
      </c>
    </row>
    <row r="156" spans="1:10" ht="30.75" customHeight="1">
      <c r="A156" s="823" t="s">
        <v>347</v>
      </c>
      <c r="B156" s="823"/>
      <c r="C156" s="823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1590</v>
      </c>
      <c r="I156" s="165"/>
      <c r="J156" s="328">
        <f>H156/DAY(B2)</f>
        <v>53</v>
      </c>
    </row>
    <row r="157" spans="1:10" ht="30.75" customHeight="1">
      <c r="A157" s="824" t="s">
        <v>364</v>
      </c>
      <c r="B157" s="825"/>
      <c r="C157" s="826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205</v>
      </c>
      <c r="I157" s="165"/>
      <c r="J157" s="328">
        <f>H157/DAY(B2)</f>
        <v>6.833333333333333</v>
      </c>
    </row>
    <row r="158" spans="1:10" ht="30.75" customHeight="1">
      <c r="A158" s="824" t="s">
        <v>365</v>
      </c>
      <c r="B158" s="825"/>
      <c r="C158" s="826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1.1099999999999994</v>
      </c>
      <c r="I158" s="165"/>
      <c r="J158" s="328">
        <f>H158/DAY(B2)</f>
        <v>3.6999999999999984E-2</v>
      </c>
    </row>
    <row r="159" spans="1:10" ht="30.75" customHeight="1">
      <c r="A159" s="907"/>
      <c r="B159" s="908"/>
      <c r="C159" s="909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31"/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857.84000000002561</v>
      </c>
      <c r="I161" s="236"/>
      <c r="J161" s="239">
        <f>H161/DAY(B2)</f>
        <v>28.594666666667521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910</v>
      </c>
      <c r="I162" s="236"/>
      <c r="J162" s="239">
        <f>H162/DAY(B2)</f>
        <v>30.333333333333332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1359</v>
      </c>
      <c r="I163" s="236"/>
      <c r="J163" s="239">
        <f>H163/DAY(B2)</f>
        <v>45.3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78</v>
      </c>
      <c r="I164" s="236"/>
      <c r="J164" s="239">
        <f>H164/DAY(B2)</f>
        <v>2.6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199</v>
      </c>
      <c r="I165" s="236"/>
      <c r="J165" s="239">
        <f>H165/DAY(B2)</f>
        <v>6.6333333333333337</v>
      </c>
    </row>
    <row r="166" spans="1:10" ht="30.75" customHeight="1">
      <c r="A166" s="832"/>
      <c r="B166" s="832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832"/>
      <c r="B167" s="832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832"/>
      <c r="B168" s="832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30.75" customHeight="1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36" t="s">
        <v>209</v>
      </c>
      <c r="B173" s="837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>
      <c r="A174" s="836" t="s">
        <v>75</v>
      </c>
      <c r="B174" s="837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310</v>
      </c>
      <c r="I174" s="155"/>
      <c r="J174" s="178">
        <f>H174/DAY(B2)</f>
        <v>10.333333333333334</v>
      </c>
    </row>
    <row r="175" spans="1:10" ht="30.75" customHeight="1">
      <c r="A175" s="836" t="s">
        <v>76</v>
      </c>
      <c r="B175" s="876"/>
      <c r="C175" s="837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285</v>
      </c>
      <c r="I175" s="155"/>
      <c r="J175" s="178">
        <f>H175/DAY(B2)</f>
        <v>9.5</v>
      </c>
    </row>
    <row r="176" spans="1:10" ht="30.75" customHeight="1">
      <c r="A176" s="827" t="s">
        <v>196</v>
      </c>
      <c r="B176" s="828"/>
      <c r="C176" s="485"/>
      <c r="D176" s="228" t="s">
        <v>142</v>
      </c>
      <c r="E176" s="95"/>
      <c r="F176" s="155"/>
      <c r="G176" s="155">
        <f>SUM(G173:G175)</f>
        <v>22</v>
      </c>
      <c r="H176" s="99">
        <f>G176+'29'!H176</f>
        <v>595</v>
      </c>
      <c r="I176" s="155"/>
      <c r="J176" s="178">
        <f>H176/DAY(B2)</f>
        <v>19.833333333333332</v>
      </c>
    </row>
    <row r="177" spans="1:10" ht="30.75" customHeight="1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36" t="s">
        <v>210</v>
      </c>
      <c r="B178" s="837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1592</v>
      </c>
      <c r="I178" s="155"/>
      <c r="J178" s="178">
        <f>H178/DAY(B2)</f>
        <v>53.06666666666667</v>
      </c>
    </row>
    <row r="179" spans="1:10" ht="30.75" customHeight="1">
      <c r="A179" s="836" t="s">
        <v>211</v>
      </c>
      <c r="B179" s="837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839</v>
      </c>
      <c r="I179" s="155"/>
      <c r="J179" s="178">
        <f>H179/DAY(B2)</f>
        <v>27.966666666666665</v>
      </c>
    </row>
    <row r="180" spans="1:10" ht="30.75" customHeight="1">
      <c r="A180" s="836" t="s">
        <v>212</v>
      </c>
      <c r="B180" s="837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216</v>
      </c>
      <c r="I180" s="155"/>
      <c r="J180" s="178">
        <f>H180/DAY(B2)</f>
        <v>7.2</v>
      </c>
    </row>
    <row r="181" spans="1:10" ht="30.75" customHeight="1">
      <c r="A181" s="838" t="s">
        <v>108</v>
      </c>
      <c r="B181" s="839"/>
      <c r="C181" s="485"/>
      <c r="D181" s="228" t="s">
        <v>142</v>
      </c>
      <c r="E181" s="95"/>
      <c r="F181" s="155"/>
      <c r="G181" s="155">
        <f>SUM(G178:G180)</f>
        <v>91</v>
      </c>
      <c r="H181" s="99">
        <f>G181+'29'!H181</f>
        <v>2647</v>
      </c>
      <c r="I181" s="155"/>
      <c r="J181" s="178">
        <f>H181/DAY(B2)</f>
        <v>88.233333333333334</v>
      </c>
    </row>
    <row r="182" spans="1:10" ht="30.75" customHeight="1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36" t="s">
        <v>214</v>
      </c>
      <c r="B183" s="837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387</v>
      </c>
      <c r="I183" s="155"/>
      <c r="J183" s="178">
        <f>H183/DAY(B2)</f>
        <v>12.9</v>
      </c>
    </row>
    <row r="184" spans="1:10" ht="30.75" customHeight="1">
      <c r="A184" s="836" t="s">
        <v>215</v>
      </c>
      <c r="B184" s="837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210</v>
      </c>
      <c r="I184" s="155"/>
      <c r="J184" s="178">
        <f>H184/DAY(B2)</f>
        <v>7</v>
      </c>
    </row>
    <row r="185" spans="1:10" ht="30.75" customHeight="1">
      <c r="A185" s="836" t="s">
        <v>216</v>
      </c>
      <c r="B185" s="837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31</v>
      </c>
      <c r="H186" s="99">
        <f>G186+'29'!H186</f>
        <v>597</v>
      </c>
      <c r="I186" s="157"/>
      <c r="J186" s="178">
        <f>H186/DAY(B2)</f>
        <v>19.899999999999999</v>
      </c>
    </row>
    <row r="187" spans="1:10" ht="30.75" customHeight="1">
      <c r="A187" s="829" t="s">
        <v>217</v>
      </c>
      <c r="B187" s="830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3830</v>
      </c>
      <c r="I187" s="158"/>
      <c r="J187" s="179">
        <f>H187/DAY(B2)</f>
        <v>127.66666666666667</v>
      </c>
    </row>
    <row r="188" spans="1:10" ht="30.75" customHeight="1">
      <c r="A188" s="829" t="s">
        <v>218</v>
      </c>
      <c r="B188" s="830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2223</v>
      </c>
      <c r="I188" s="158"/>
      <c r="J188" s="179">
        <f>H188/DAY(B2)</f>
        <v>74.099999999999994</v>
      </c>
    </row>
    <row r="189" spans="1:10" ht="30.75" customHeight="1">
      <c r="A189" s="829" t="s">
        <v>219</v>
      </c>
      <c r="B189" s="830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1057</v>
      </c>
      <c r="I189" s="158"/>
      <c r="J189" s="179">
        <f>H189/DAY(B2)</f>
        <v>35.233333333333334</v>
      </c>
    </row>
    <row r="190" spans="1:10" ht="30.75" customHeight="1">
      <c r="A190" s="750" t="s">
        <v>360</v>
      </c>
      <c r="B190" s="751"/>
      <c r="C190" s="483"/>
      <c r="D190" s="480"/>
      <c r="E190" s="480">
        <v>52942.203000000001</v>
      </c>
      <c r="F190" s="480">
        <v>52948.703000000001</v>
      </c>
      <c r="G190" s="480">
        <f>F190-E190</f>
        <v>6.5</v>
      </c>
      <c r="H190" s="481"/>
      <c r="I190" s="480"/>
      <c r="J190" s="482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20"/>
  <sheetViews>
    <sheetView tabSelected="1" view="pageBreakPreview" zoomScale="55" zoomScaleNormal="75" zoomScaleSheetLayoutView="55" workbookViewId="0">
      <selection activeCell="F165" sqref="F16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98" customWidth="1"/>
    <col min="7" max="7" width="28.88671875" style="498" customWidth="1"/>
    <col min="8" max="8" width="29.109375" style="161" customWidth="1"/>
    <col min="9" max="9" width="23.5546875" style="498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24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932" t="s">
        <v>129</v>
      </c>
      <c r="B7" s="933"/>
      <c r="C7" s="934"/>
      <c r="D7" s="151" t="s">
        <v>130</v>
      </c>
      <c r="E7" s="95">
        <f>'30'!F7</f>
        <v>633566</v>
      </c>
      <c r="F7" s="95">
        <v>651180.23</v>
      </c>
      <c r="G7" s="112">
        <f>F7-E7</f>
        <v>17614.229999999981</v>
      </c>
      <c r="H7" s="99">
        <f>G7+'30'!H7</f>
        <v>556634.23</v>
      </c>
      <c r="I7" s="113">
        <f>'1'!I7</f>
        <v>12000</v>
      </c>
      <c r="J7" s="175">
        <f>H7/DAY(B2)</f>
        <v>17955.942903225805</v>
      </c>
      <c r="K7" s="172">
        <v>1375467</v>
      </c>
      <c r="L7" s="66"/>
      <c r="N7" s="87">
        <f>F7-'3'!E7</f>
        <v>517123.32999999996</v>
      </c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'30'!F8</f>
        <v>690718</v>
      </c>
      <c r="F8" s="95">
        <v>708548.15</v>
      </c>
      <c r="G8" s="115">
        <f>F8-E8</f>
        <v>17830.150000000023</v>
      </c>
      <c r="H8" s="99">
        <f>G8+'30'!H8</f>
        <v>567663.15</v>
      </c>
      <c r="I8" s="116"/>
      <c r="J8" s="175">
        <f>H8/DAY(B2)</f>
        <v>18311.714516129032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935" t="s">
        <v>132</v>
      </c>
      <c r="B9" s="936"/>
      <c r="C9" s="937"/>
      <c r="D9" s="151" t="s">
        <v>130</v>
      </c>
      <c r="E9" s="95">
        <f>'30'!F9</f>
        <v>267226</v>
      </c>
      <c r="F9" s="601">
        <v>282253.84999999998</v>
      </c>
      <c r="G9" s="112">
        <f>F9-E9</f>
        <v>15027.849999999977</v>
      </c>
      <c r="H9" s="99">
        <f>G9+'30'!H9</f>
        <v>380758.85</v>
      </c>
      <c r="I9" s="124">
        <f>I7-J7</f>
        <v>-5955.9429032258049</v>
      </c>
      <c r="J9" s="175">
        <f>H9/DAY(B2)</f>
        <v>12282.543548387095</v>
      </c>
      <c r="K9" s="79">
        <f>K8-100</f>
        <v>1715817</v>
      </c>
      <c r="L9" s="66"/>
      <c r="N9" s="87"/>
      <c r="O9" s="71"/>
    </row>
    <row r="10" spans="1:15" ht="21.95" customHeight="1">
      <c r="A10" s="932" t="s">
        <v>133</v>
      </c>
      <c r="B10" s="933"/>
      <c r="C10" s="934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160164.97</v>
      </c>
      <c r="I10" s="120"/>
      <c r="J10" s="175">
        <f>H10/DAY(B2)</f>
        <v>5166.6119354838711</v>
      </c>
      <c r="K10" s="79"/>
      <c r="L10" s="66"/>
      <c r="N10" s="87"/>
      <c r="O10" s="71"/>
    </row>
    <row r="11" spans="1:15" ht="21.95" customHeight="1">
      <c r="A11" s="932" t="s">
        <v>134</v>
      </c>
      <c r="B11" s="933"/>
      <c r="C11" s="934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170</v>
      </c>
      <c r="I11" s="120"/>
      <c r="J11" s="175">
        <f>H11/DAY(B2)</f>
        <v>5.4838709677419351</v>
      </c>
      <c r="K11" s="79"/>
      <c r="L11" s="66"/>
      <c r="N11" s="87"/>
      <c r="O11" s="71"/>
    </row>
    <row r="12" spans="1:15" ht="21.95" customHeight="1">
      <c r="A12" s="932" t="s">
        <v>135</v>
      </c>
      <c r="B12" s="933"/>
      <c r="C12" s="934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521628.56999999983</v>
      </c>
      <c r="I13" s="120">
        <f>G7-G13</f>
        <v>512.41000000000349</v>
      </c>
      <c r="J13" s="175">
        <f>H13/DAY(B2)</f>
        <v>16826.728064516123</v>
      </c>
      <c r="K13" s="79"/>
      <c r="L13" s="66"/>
      <c r="N13" s="87"/>
      <c r="O13" s="71"/>
    </row>
    <row r="14" spans="1:15" ht="29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64" t="s">
        <v>138</v>
      </c>
      <c r="B15" s="865"/>
      <c r="C15" s="866"/>
      <c r="D15" s="151" t="s">
        <v>139</v>
      </c>
      <c r="E15" s="95">
        <f>'30'!F15</f>
        <v>1905721</v>
      </c>
      <c r="F15" s="123">
        <v>1906636.767</v>
      </c>
      <c r="G15" s="112">
        <f>(F15-E15)</f>
        <v>915.76699999999255</v>
      </c>
      <c r="H15" s="99">
        <f>G15+'30'!H15</f>
        <v>28206.766999999993</v>
      </c>
      <c r="I15" s="113">
        <f>'1'!I15</f>
        <v>800</v>
      </c>
      <c r="J15" s="175">
        <f>H15/DAY(B2)</f>
        <v>909.89570967741906</v>
      </c>
      <c r="K15" s="79"/>
      <c r="L15" s="66"/>
      <c r="N15" s="87"/>
      <c r="O15" s="71"/>
    </row>
    <row r="16" spans="1:15" ht="21.95" customHeight="1">
      <c r="A16" s="929"/>
      <c r="B16" s="930"/>
      <c r="C16" s="931"/>
      <c r="D16" s="152"/>
      <c r="E16" s="123"/>
      <c r="F16" s="123"/>
      <c r="G16" s="112"/>
      <c r="H16" s="124"/>
      <c r="I16" s="120">
        <f>I15-J15</f>
        <v>-109.89570967741906</v>
      </c>
      <c r="J16" s="176"/>
      <c r="K16" s="79"/>
      <c r="L16" s="66"/>
      <c r="N16" s="87"/>
      <c r="O16" s="71"/>
    </row>
    <row r="17" spans="1:15" ht="29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4" t="s">
        <v>141</v>
      </c>
      <c r="B18" s="865"/>
      <c r="C18" s="866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3630</v>
      </c>
      <c r="I18" s="113">
        <f>'1'!I18</f>
        <v>65</v>
      </c>
      <c r="J18" s="175">
        <f>H18/DAY(B2)</f>
        <v>117.09677419354838</v>
      </c>
      <c r="K18" s="79"/>
      <c r="L18" s="66"/>
      <c r="N18" s="87"/>
      <c r="O18" s="71"/>
    </row>
    <row r="19" spans="1:15" ht="27.75">
      <c r="A19" s="864" t="s">
        <v>69</v>
      </c>
      <c r="B19" s="865"/>
      <c r="C19" s="866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1666</v>
      </c>
      <c r="I19" s="123"/>
      <c r="J19" s="175">
        <f>H19/DAY(B2)</f>
        <v>53.741935483870968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5296</v>
      </c>
      <c r="I20" s="336">
        <f>I18-J20</f>
        <v>-105.83870967741936</v>
      </c>
      <c r="J20" s="175">
        <f>H20/DAY(B2)</f>
        <v>170.83870967741936</v>
      </c>
      <c r="K20" s="79"/>
      <c r="L20" s="66"/>
      <c r="N20" s="87"/>
      <c r="O20" s="71"/>
    </row>
    <row r="21" spans="1:15" ht="29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110</v>
      </c>
      <c r="I23" s="95"/>
      <c r="J23" s="175">
        <f>H23/DAY(B2)</f>
        <v>3.5483870967741935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110</v>
      </c>
      <c r="I24" s="95"/>
      <c r="J24" s="175">
        <f>H24/DAY(B2)</f>
        <v>3.5483870967741935</v>
      </c>
      <c r="K24" s="79"/>
      <c r="L24" s="66"/>
      <c r="N24" s="87"/>
      <c r="O24" s="71"/>
    </row>
    <row r="25" spans="1:15" s="88" customFormat="1" ht="27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17830.150000000023</v>
      </c>
      <c r="F27" s="136">
        <v>9</v>
      </c>
      <c r="G27" s="137">
        <f>E27*F27</f>
        <v>160471.35000000021</v>
      </c>
      <c r="H27" s="99">
        <f>G27+'30'!H27</f>
        <v>5108968.3500000006</v>
      </c>
      <c r="I27" s="138"/>
      <c r="J27" s="175">
        <f>H27/DAY(B2)</f>
        <v>164805.43064516131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915.76699999999255</v>
      </c>
      <c r="F28" s="136">
        <v>52</v>
      </c>
      <c r="G28" s="137">
        <f>E28*F28</f>
        <v>47619.883999999613</v>
      </c>
      <c r="H28" s="99">
        <f>G28+'30'!H28</f>
        <v>1485055.2339999997</v>
      </c>
      <c r="I28" s="712"/>
      <c r="J28" s="175">
        <f>H28/DAY(B2)</f>
        <v>47905.00754838709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7590</v>
      </c>
      <c r="I29" s="712"/>
      <c r="J29" s="175">
        <f>H29/DAY(B2)</f>
        <v>244.83870967741936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243523.56</v>
      </c>
      <c r="I30" s="712"/>
      <c r="J30" s="175">
        <f>H30/DAY(B2)</f>
        <v>7855.5987096774197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290400</v>
      </c>
      <c r="I31" s="712"/>
      <c r="J31" s="175">
        <f>H31/DAY(B2)</f>
        <v>9367.7419354838712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223467.23399999982</v>
      </c>
      <c r="H32" s="99">
        <f>G32+'30'!H32</f>
        <v>7135537.1440000003</v>
      </c>
      <c r="I32" s="144"/>
      <c r="J32" s="175">
        <f>H32/DAY(B2)</f>
        <v>230178.61754838712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713"/>
      <c r="F33" s="713"/>
      <c r="G33" s="713"/>
      <c r="H33" s="713"/>
      <c r="I33" s="713"/>
      <c r="J33" s="714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47204.979999999996</v>
      </c>
      <c r="I35" s="95"/>
      <c r="J35" s="175">
        <f>H35/DAY(B2)</f>
        <v>1522.7412903225804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21931.739999999998</v>
      </c>
      <c r="I36" s="95"/>
      <c r="J36" s="175">
        <f>H36/DAY(B2)</f>
        <v>707.47548387096765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47637.09</v>
      </c>
      <c r="I37" s="95"/>
      <c r="J37" s="175">
        <f>H37/DAY(B2)</f>
        <v>1536.680322580645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51576.430000000008</v>
      </c>
      <c r="I38" s="95"/>
      <c r="J38" s="175">
        <f>H38/DAY(B2)</f>
        <v>1663.7558064516131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80855.290000000008</v>
      </c>
      <c r="I39" s="95"/>
      <c r="J39" s="175">
        <f>H39/DAY(B2)</f>
        <v>2608.235161290323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15639.86</v>
      </c>
      <c r="I40" s="95"/>
      <c r="J40" s="175">
        <f>H40/DAY(B2)</f>
        <v>504.51161290322585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26320.740000000005</v>
      </c>
      <c r="I42" s="95"/>
      <c r="J42" s="175">
        <f>H42/DAY(B2)</f>
        <v>849.05612903225824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67590.600000000006</v>
      </c>
      <c r="I43" s="95"/>
      <c r="J43" s="175">
        <f>H43/DAY(B2)</f>
        <v>2180.3419354838711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358756.73000000004</v>
      </c>
      <c r="I47" s="95"/>
      <c r="J47" s="175">
        <f>H47/DAY(B2)</f>
        <v>11572.797741935485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38117.19</v>
      </c>
      <c r="I49" s="95"/>
      <c r="J49" s="175">
        <f>H49/DAY(B2)</f>
        <v>1229.5867741935485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31736.629999999997</v>
      </c>
      <c r="I50" s="95"/>
      <c r="J50" s="175">
        <f>H50/DAY(B2)</f>
        <v>1023.762258064516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6914.5</v>
      </c>
      <c r="I54" s="95"/>
      <c r="J54" s="175">
        <f>H54/DAY(B2)</f>
        <v>223.04838709677421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70855.11</v>
      </c>
      <c r="I55" s="95"/>
      <c r="J55" s="175">
        <f>H55/DAY(B2)</f>
        <v>2285.6487096774194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5136.8400000000047</v>
      </c>
      <c r="I58" s="95"/>
      <c r="J58" s="175">
        <f>H58/DAY(B2)</f>
        <v>165.70451612903241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152760.27000000005</v>
      </c>
      <c r="I59" s="95">
        <f>G7-G60</f>
        <v>555.93999999997686</v>
      </c>
      <c r="J59" s="175">
        <f>H59/DAY(B2)</f>
        <v>4927.7506451612917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511516.99999999994</v>
      </c>
      <c r="I60" s="95">
        <f>G13-G60</f>
        <v>43.52999999997337</v>
      </c>
      <c r="J60" s="175">
        <f>H60/DAY(B2)</f>
        <v>16500.548387096773</v>
      </c>
      <c r="K60" s="79"/>
      <c r="L60" s="66"/>
      <c r="N60" s="87"/>
      <c r="O60" s="71"/>
    </row>
    <row r="61" spans="1:15" s="68" customFormat="1" ht="27.7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4" t="s">
        <v>198</v>
      </c>
      <c r="B62" s="865"/>
      <c r="C62" s="866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2303</v>
      </c>
      <c r="I62" s="95"/>
      <c r="J62" s="175">
        <f>H62/DAY(B2)</f>
        <v>74.290322580645167</v>
      </c>
      <c r="K62" s="80"/>
      <c r="L62" s="66"/>
      <c r="N62" s="87"/>
      <c r="O62" s="71"/>
    </row>
    <row r="63" spans="1:15" ht="27.75">
      <c r="A63" s="864" t="s">
        <v>199</v>
      </c>
      <c r="B63" s="865"/>
      <c r="C63" s="866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3372</v>
      </c>
      <c r="I63" s="95"/>
      <c r="J63" s="175">
        <f>H63/DAY(B2)</f>
        <v>108.7741935483871</v>
      </c>
      <c r="K63" s="69"/>
      <c r="L63" s="66"/>
      <c r="N63" s="87"/>
      <c r="O63" s="71"/>
    </row>
    <row r="64" spans="1:15" ht="29.25">
      <c r="A64" s="873" t="s">
        <v>200</v>
      </c>
      <c r="B64" s="874"/>
      <c r="C64" s="875"/>
      <c r="D64" s="151"/>
      <c r="E64" s="95">
        <f>'30'!F64</f>
        <v>0</v>
      </c>
      <c r="F64" s="122"/>
      <c r="G64" s="112">
        <f>G62+G63</f>
        <v>250</v>
      </c>
      <c r="H64" s="99">
        <f>G64+'30'!H64</f>
        <v>5675</v>
      </c>
      <c r="I64" s="95"/>
      <c r="J64" s="175">
        <f>H64/DAY(B2)</f>
        <v>183.06451612903226</v>
      </c>
      <c r="K64" s="69"/>
      <c r="L64" s="66"/>
      <c r="N64" s="87"/>
      <c r="O64" s="71"/>
    </row>
    <row r="65" spans="1:15" ht="27.75">
      <c r="A65" s="864" t="s">
        <v>201</v>
      </c>
      <c r="B65" s="865"/>
      <c r="C65" s="866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2309</v>
      </c>
      <c r="I65" s="95"/>
      <c r="J65" s="175">
        <f>H65/DAY(B2)</f>
        <v>74.483870967741936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529</v>
      </c>
      <c r="I66" s="95"/>
      <c r="J66" s="175">
        <f>H66/DAY(B2)</f>
        <v>17.06451612903226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720</v>
      </c>
      <c r="I67" s="95"/>
      <c r="J67" s="175">
        <f>H67/DAY(B2)</f>
        <v>23.225806451612904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1077</v>
      </c>
      <c r="I68" s="95"/>
      <c r="J68" s="175">
        <f>H68/DAY(B2)</f>
        <v>34.741935483870968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327</v>
      </c>
      <c r="I69" s="95"/>
      <c r="J69" s="175">
        <f>H69/DAY(B2)</f>
        <v>10.548387096774194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258</v>
      </c>
      <c r="I70" s="95"/>
      <c r="J70" s="175">
        <f>H70/DAY(B2)</f>
        <v>8.32258064516129</v>
      </c>
      <c r="K70" s="69"/>
      <c r="L70" s="66"/>
      <c r="N70" s="87"/>
      <c r="O70" s="71"/>
    </row>
    <row r="71" spans="1:15" ht="29.25">
      <c r="A71" s="873" t="s">
        <v>208</v>
      </c>
      <c r="B71" s="874"/>
      <c r="C71" s="875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5220</v>
      </c>
      <c r="I71" s="715"/>
      <c r="J71" s="175">
        <f>H71/DAY(B2)</f>
        <v>168.38709677419354</v>
      </c>
      <c r="K71" s="69"/>
      <c r="L71" s="66"/>
      <c r="N71" s="87"/>
      <c r="O71" s="71"/>
    </row>
    <row r="72" spans="1:15" s="88" customFormat="1" ht="27.75">
      <c r="A72" s="860"/>
      <c r="B72" s="845"/>
      <c r="C72" s="347"/>
      <c r="D72" s="180"/>
      <c r="E72" s="496" t="s">
        <v>207</v>
      </c>
      <c r="F72" s="496"/>
      <c r="G72" s="496"/>
      <c r="H72" s="181"/>
      <c r="I72" s="496"/>
      <c r="J72" s="716"/>
      <c r="N72" s="87"/>
      <c r="O72" s="71"/>
    </row>
    <row r="73" spans="1:15" ht="29.25">
      <c r="A73" s="870" t="s">
        <v>333</v>
      </c>
      <c r="B73" s="871"/>
      <c r="C73" s="87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4" t="s">
        <v>220</v>
      </c>
      <c r="B74" s="865"/>
      <c r="C74" s="866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9274.1489999999758</v>
      </c>
      <c r="I74" s="715"/>
      <c r="J74" s="175">
        <f>H74/DAY(B2)</f>
        <v>299.16609677419279</v>
      </c>
      <c r="K74" s="69"/>
      <c r="L74" s="66"/>
      <c r="N74" s="87"/>
      <c r="O74" s="71"/>
    </row>
    <row r="75" spans="1:15" ht="27.75">
      <c r="A75" s="864" t="s">
        <v>221</v>
      </c>
      <c r="B75" s="865"/>
      <c r="C75" s="866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715"/>
      <c r="J75" s="175">
        <f>H75/DAY(B2)</f>
        <v>0</v>
      </c>
      <c r="K75" s="69"/>
      <c r="L75" s="66"/>
      <c r="N75" s="87"/>
      <c r="O75" s="71"/>
    </row>
    <row r="76" spans="1:15" ht="27.75">
      <c r="A76" s="861" t="s">
        <v>222</v>
      </c>
      <c r="B76" s="862"/>
      <c r="C76" s="863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2768</v>
      </c>
      <c r="I76" s="715"/>
      <c r="J76" s="175">
        <f>H76/DAY(B2)</f>
        <v>89.290322580645167</v>
      </c>
      <c r="K76" s="69"/>
      <c r="L76" s="66"/>
      <c r="N76" s="87"/>
      <c r="O76" s="71"/>
    </row>
    <row r="77" spans="1:15" ht="27.75">
      <c r="A77" s="861" t="s">
        <v>223</v>
      </c>
      <c r="B77" s="862"/>
      <c r="C77" s="863"/>
      <c r="D77" s="151" t="s">
        <v>139</v>
      </c>
      <c r="E77" s="95">
        <f>'30'!F77</f>
        <v>41274</v>
      </c>
      <c r="F77" s="494">
        <v>41302.199999999997</v>
      </c>
      <c r="G77" s="112">
        <f t="shared" si="7"/>
        <v>28.19999999999709</v>
      </c>
      <c r="H77" s="99">
        <f>G77+'30'!H77</f>
        <v>986.19999999999709</v>
      </c>
      <c r="I77" s="715"/>
      <c r="J77" s="175">
        <f>H77/DAY(B2)</f>
        <v>31.812903225806359</v>
      </c>
      <c r="K77" s="69"/>
      <c r="L77" s="66"/>
      <c r="N77" s="87"/>
      <c r="O77" s="71"/>
    </row>
    <row r="78" spans="1:15" ht="27.75">
      <c r="A78" s="861" t="s">
        <v>224</v>
      </c>
      <c r="B78" s="862"/>
      <c r="C78" s="863"/>
      <c r="D78" s="151" t="s">
        <v>139</v>
      </c>
      <c r="E78" s="95">
        <f>'30'!F78</f>
        <v>9514</v>
      </c>
      <c r="F78" s="494">
        <v>9516</v>
      </c>
      <c r="G78" s="112">
        <f t="shared" si="7"/>
        <v>2</v>
      </c>
      <c r="H78" s="99">
        <f>G78+'30'!H78</f>
        <v>30</v>
      </c>
      <c r="I78" s="95"/>
      <c r="J78" s="175">
        <f>H78/DAY(B2)</f>
        <v>0.967741935483871</v>
      </c>
      <c r="K78" s="69"/>
      <c r="L78" s="66"/>
      <c r="N78" s="87"/>
      <c r="O78" s="71"/>
    </row>
    <row r="79" spans="1:15" s="57" customFormat="1" ht="27.75">
      <c r="A79" s="861" t="s">
        <v>225</v>
      </c>
      <c r="B79" s="862"/>
      <c r="C79" s="863"/>
      <c r="D79" s="151"/>
      <c r="E79" s="95">
        <f>'30'!F79</f>
        <v>0</v>
      </c>
      <c r="F79" s="123"/>
      <c r="G79" s="112">
        <f>G15-SUM(G74:G78)</f>
        <v>516.41800000001967</v>
      </c>
      <c r="H79" s="99">
        <f>G79+'30'!H79</f>
        <v>15148.41800000002</v>
      </c>
      <c r="I79" s="95"/>
      <c r="J79" s="175"/>
      <c r="K79" s="59"/>
      <c r="L79" s="58"/>
      <c r="N79" s="87"/>
      <c r="O79" s="71"/>
    </row>
    <row r="80" spans="1:15" s="57" customFormat="1" ht="29.25">
      <c r="A80" s="873" t="s">
        <v>329</v>
      </c>
      <c r="B80" s="874"/>
      <c r="C80" s="875"/>
      <c r="D80" s="151"/>
      <c r="E80" s="117"/>
      <c r="F80" s="117"/>
      <c r="G80" s="112">
        <f>SUM(G74:G79)</f>
        <v>915.76699999999255</v>
      </c>
      <c r="H80" s="99"/>
      <c r="I80" s="95"/>
      <c r="J80" s="175"/>
      <c r="K80" s="59"/>
      <c r="L80" s="58"/>
      <c r="N80" s="87"/>
      <c r="O80" s="71"/>
    </row>
    <row r="81" spans="1:15" ht="27">
      <c r="A81" s="878" t="s">
        <v>226</v>
      </c>
      <c r="B81" s="879"/>
      <c r="C81" s="88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2108</v>
      </c>
      <c r="I82" s="95"/>
      <c r="J82" s="175">
        <f>H82/DAY(B2)</f>
        <v>68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95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165.44000000000005</v>
      </c>
      <c r="I85" s="95">
        <f>G82+G83+G84+G85</f>
        <v>23.739999999997963</v>
      </c>
      <c r="J85" s="175">
        <f>H85/DAY(B2)</f>
        <v>5.336774193548389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579</v>
      </c>
      <c r="I86" s="95"/>
      <c r="J86" s="175">
        <f>H86/DAY(B2)</f>
        <v>18.677419354838708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-5.0000000002910383E-2</v>
      </c>
      <c r="I87" s="95"/>
      <c r="J87" s="175">
        <f>H87/DAY(B2)</f>
        <v>-1.6129032259003348E-3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16.430000000000291</v>
      </c>
      <c r="I88" s="95">
        <f>G86+G87+G88</f>
        <v>-5.0000000002910383E-2</v>
      </c>
      <c r="J88" s="175">
        <f>H88/DAY(B2)</f>
        <v>0.53000000000000935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228.11999999999898</v>
      </c>
      <c r="I89" s="95"/>
      <c r="J89" s="175">
        <f>H89/DAY(B2)</f>
        <v>7.3587096774193217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31.320000000006985</v>
      </c>
      <c r="I90" s="95">
        <f>G89+G90</f>
        <v>11.620000000006257</v>
      </c>
      <c r="J90" s="175">
        <f>H90/DAY(B2)</f>
        <v>1.0103225806453866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24.769999999999982</v>
      </c>
      <c r="I91" s="155"/>
      <c r="J91" s="175">
        <f>H91/DAY(B2)</f>
        <v>0.7990322580645155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303.06999999999971</v>
      </c>
      <c r="I92" s="155"/>
      <c r="J92" s="175">
        <f>H92/DAY(B2)</f>
        <v>9.776451612903216</v>
      </c>
      <c r="O92" s="71"/>
    </row>
    <row r="93" spans="1:15" ht="29.2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152912.77000000002</v>
      </c>
      <c r="I94" s="95"/>
      <c r="J94" s="175">
        <f>H94/DAY(B2)</f>
        <v>4932.670000000001</v>
      </c>
      <c r="K94" s="69"/>
      <c r="L94" s="66"/>
      <c r="O94" s="71"/>
    </row>
    <row r="95" spans="1:15" ht="27.7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0.22684897381265082</v>
      </c>
      <c r="H95" s="99">
        <f>G95+'30'!H95</f>
        <v>8.4895422180466156</v>
      </c>
      <c r="I95" s="717"/>
      <c r="J95" s="175">
        <f>H95/DAY(B2)</f>
        <v>0.27385620058214888</v>
      </c>
      <c r="K95" s="69"/>
      <c r="L95" s="66"/>
      <c r="O95" s="71"/>
    </row>
    <row r="96" spans="1:15" ht="27.7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97175.85</v>
      </c>
      <c r="I96" s="95"/>
      <c r="J96" s="175">
        <f>H96/DAY(B2)</f>
        <v>3134.7048387096775</v>
      </c>
      <c r="K96" s="69"/>
      <c r="L96" s="66"/>
      <c r="O96" s="71"/>
    </row>
    <row r="97" spans="1:15" ht="27.7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0.24519096208009153</v>
      </c>
      <c r="H97" s="99">
        <f>G97+'30'!H97</f>
        <v>5.4331594888498733</v>
      </c>
      <c r="I97" s="717"/>
      <c r="J97" s="175">
        <f>H97/DAY(B2)</f>
        <v>0.17526320931773784</v>
      </c>
      <c r="K97" s="69"/>
      <c r="L97" s="66"/>
      <c r="O97" s="71"/>
    </row>
    <row r="98" spans="1:15" ht="27.7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2649.2900000000009</v>
      </c>
      <c r="H98" s="99">
        <f>G98+'30'!H98</f>
        <v>80855.290000000008</v>
      </c>
      <c r="I98" s="656"/>
      <c r="J98" s="175">
        <f>H98/DAY(B2)</f>
        <v>2608.235161290323</v>
      </c>
      <c r="K98" s="69"/>
      <c r="L98" s="66"/>
      <c r="O98" s="71"/>
    </row>
    <row r="99" spans="1:15" ht="27.7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0.15040623405053777</v>
      </c>
      <c r="H99" s="99">
        <f>G99+'30'!H99</f>
        <v>4.515658994983232</v>
      </c>
      <c r="I99" s="656"/>
      <c r="J99" s="175">
        <f>H99/DAY(B2)</f>
        <v>0.14566641919300749</v>
      </c>
      <c r="O99" s="71"/>
    </row>
    <row r="100" spans="1:15" ht="27.7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51576.430000000008</v>
      </c>
      <c r="I100" s="95"/>
      <c r="J100" s="175">
        <f>H100/DAY(B2)</f>
        <v>1663.7558064516131</v>
      </c>
      <c r="K100" s="70"/>
      <c r="O100" s="71"/>
    </row>
    <row r="101" spans="1:15" ht="27.7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9.2392911867280145E-2</v>
      </c>
      <c r="H101" s="99">
        <f>G101+'30'!H101</f>
        <v>2.8835628274138068</v>
      </c>
      <c r="I101" s="656"/>
      <c r="J101" s="175">
        <f>H101/DAY(B2)</f>
        <v>9.3018155723026019E-2</v>
      </c>
      <c r="O101" s="71"/>
    </row>
    <row r="102" spans="1:15" ht="27.7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53668.369999999995</v>
      </c>
      <c r="I102" s="656"/>
      <c r="J102" s="175">
        <f>H102/DAY(B2)</f>
        <v>1731.2377419354837</v>
      </c>
      <c r="O102" s="71"/>
    </row>
    <row r="103" spans="1:15" ht="27.7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9.7044832501903128E-2</v>
      </c>
      <c r="H103" s="99">
        <f>G103+'30'!H103</f>
        <v>2.9837177870363401</v>
      </c>
      <c r="I103" s="95"/>
      <c r="J103" s="175">
        <f>H103/DAY(B2)</f>
        <v>9.6248960872140008E-2</v>
      </c>
      <c r="O103" s="71"/>
    </row>
    <row r="104" spans="1:15" ht="27.7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47637.09</v>
      </c>
      <c r="I104" s="95"/>
      <c r="J104" s="175">
        <f>H104/DAY(B2)</f>
        <v>1536.680322580645</v>
      </c>
      <c r="O104" s="71"/>
    </row>
    <row r="105" spans="1:15" ht="28.5" thickBot="1">
      <c r="A105" s="857" t="s">
        <v>251</v>
      </c>
      <c r="B105" s="858"/>
      <c r="C105" s="859"/>
      <c r="D105" s="231" t="s">
        <v>23</v>
      </c>
      <c r="E105" s="185"/>
      <c r="F105" s="185"/>
      <c r="G105" s="186">
        <f>G104/G7</f>
        <v>9.0159490366595541E-2</v>
      </c>
      <c r="H105" s="99">
        <f>G105+'30'!H105</f>
        <v>2.6646689776188444</v>
      </c>
      <c r="I105" s="185"/>
      <c r="J105" s="188">
        <f>H105/DAY(B2)</f>
        <v>8.5957063794156269E-2</v>
      </c>
      <c r="O105" s="71"/>
    </row>
    <row r="106" spans="1:15" ht="29.25">
      <c r="A106" s="105"/>
      <c r="B106" s="96"/>
      <c r="C106" s="96"/>
      <c r="D106" s="169"/>
      <c r="E106" s="497"/>
      <c r="F106" s="497"/>
      <c r="G106" s="497"/>
      <c r="H106" s="170"/>
      <c r="I106" s="497"/>
      <c r="J106" s="170"/>
      <c r="O106" s="71"/>
    </row>
    <row r="107" spans="1:15" ht="29.25"/>
    <row r="108" spans="1:15" ht="31.5">
      <c r="A108" s="853" t="s">
        <v>324</v>
      </c>
      <c r="B108" s="853"/>
      <c r="C108" s="853"/>
      <c r="D108" s="853"/>
      <c r="E108" s="853"/>
      <c r="F108" s="853"/>
      <c r="G108" s="853"/>
      <c r="H108" s="853"/>
      <c r="I108" s="853"/>
      <c r="J108" s="853"/>
    </row>
    <row r="109" spans="1:15" ht="29.25">
      <c r="A109" s="881"/>
      <c r="B109" s="881"/>
    </row>
    <row r="110" spans="1:15" ht="29.25">
      <c r="A110" s="854" t="s">
        <v>165</v>
      </c>
      <c r="B110" s="855"/>
      <c r="C110" s="855"/>
      <c r="D110" s="855"/>
      <c r="E110" s="855"/>
      <c r="F110" s="855"/>
      <c r="G110" s="855"/>
      <c r="H110" s="855"/>
      <c r="I110" s="855"/>
      <c r="J110" s="856"/>
    </row>
    <row r="111" spans="1:15" ht="27.75">
      <c r="A111" s="847"/>
      <c r="B111" s="848"/>
      <c r="C111" s="849"/>
      <c r="D111" s="165"/>
      <c r="E111" s="155"/>
      <c r="F111" s="155"/>
      <c r="G111" s="155"/>
      <c r="H111" s="156"/>
      <c r="I111" s="155"/>
      <c r="J111" s="156"/>
    </row>
    <row r="112" spans="1:15" ht="27.75">
      <c r="A112" s="843" t="s">
        <v>252</v>
      </c>
      <c r="B112" s="844"/>
      <c r="C112" s="845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2373</v>
      </c>
      <c r="I112" s="155"/>
      <c r="J112" s="328">
        <f>H112/DAY(B2)</f>
        <v>76.548387096774192</v>
      </c>
    </row>
    <row r="113" spans="1:18" ht="27.75">
      <c r="A113" s="843" t="s">
        <v>253</v>
      </c>
      <c r="B113" s="844"/>
      <c r="C113" s="845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14205.89</v>
      </c>
      <c r="I113" s="155"/>
      <c r="J113" s="328">
        <f>H113/DAY(B2)</f>
        <v>458.25451612903225</v>
      </c>
    </row>
    <row r="114" spans="1:18" ht="27.75">
      <c r="A114" s="843" t="s">
        <v>254</v>
      </c>
      <c r="B114" s="844"/>
      <c r="C114" s="845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8155.4</v>
      </c>
      <c r="I114" s="155"/>
      <c r="J114" s="328">
        <f>H114/DAY(B2)</f>
        <v>263.0774193548387</v>
      </c>
    </row>
    <row r="115" spans="1:18" ht="27.75">
      <c r="A115" s="843" t="s">
        <v>255</v>
      </c>
      <c r="B115" s="844"/>
      <c r="C115" s="845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309.64999999999964</v>
      </c>
      <c r="I115" s="155"/>
      <c r="J115" s="328">
        <f>H115/DAY(B2)</f>
        <v>9.9887096774193438</v>
      </c>
    </row>
    <row r="116" spans="1:18" ht="27.75">
      <c r="A116" s="850" t="s">
        <v>96</v>
      </c>
      <c r="B116" s="851"/>
      <c r="C116" s="852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55"/>
      <c r="J116" s="328">
        <f>H116/DAY(B2)</f>
        <v>0</v>
      </c>
      <c r="Q116" s="843"/>
      <c r="R116" s="845"/>
    </row>
    <row r="117" spans="1:18" ht="27.75">
      <c r="A117" s="850" t="s">
        <v>184</v>
      </c>
      <c r="B117" s="851"/>
      <c r="C117" s="852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747.94999999999982</v>
      </c>
      <c r="I117" s="155"/>
      <c r="J117" s="328">
        <f>H117/DAY(B2)</f>
        <v>24.127419354838704</v>
      </c>
      <c r="Q117" s="843"/>
      <c r="R117" s="845"/>
    </row>
    <row r="118" spans="1:18" ht="27.75">
      <c r="A118" s="842" t="s">
        <v>97</v>
      </c>
      <c r="B118" s="842"/>
      <c r="C118" s="842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10805.309999999998</v>
      </c>
      <c r="I118" s="155"/>
      <c r="J118" s="328">
        <f>H118/DAY(B2)</f>
        <v>348.55838709677414</v>
      </c>
      <c r="Q118" s="843"/>
      <c r="R118" s="845"/>
    </row>
    <row r="119" spans="1:18" ht="27.75">
      <c r="A119" s="842" t="s">
        <v>98</v>
      </c>
      <c r="B119" s="842"/>
      <c r="C119" s="842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13022.549999999988</v>
      </c>
      <c r="I119" s="155"/>
      <c r="J119" s="328">
        <f>H119/DAY(B2)</f>
        <v>420.08225806451577</v>
      </c>
    </row>
    <row r="120" spans="1:18" ht="27.75">
      <c r="A120" s="842" t="s">
        <v>99</v>
      </c>
      <c r="B120" s="842"/>
      <c r="C120" s="842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12881.61</v>
      </c>
      <c r="I120" s="155"/>
      <c r="J120" s="328">
        <f>H120/DAY(B2)</f>
        <v>415.53580645161293</v>
      </c>
    </row>
    <row r="121" spans="1:18" ht="27.75">
      <c r="A121" s="842" t="s">
        <v>100</v>
      </c>
      <c r="B121" s="842"/>
      <c r="C121" s="842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21505.429999999993</v>
      </c>
      <c r="I121" s="155"/>
      <c r="J121" s="328">
        <f>H121/DAY(B2)</f>
        <v>693.72354838709657</v>
      </c>
    </row>
    <row r="122" spans="1:18" ht="27.75">
      <c r="A122" s="842" t="s">
        <v>101</v>
      </c>
      <c r="B122" s="842"/>
      <c r="C122" s="842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6136.179999999993</v>
      </c>
      <c r="I122" s="155"/>
      <c r="J122" s="328">
        <f>H122/DAY(B2)</f>
        <v>197.94129032258041</v>
      </c>
    </row>
    <row r="123" spans="1:18" ht="27.75">
      <c r="A123" s="842" t="s">
        <v>348</v>
      </c>
      <c r="B123" s="842"/>
      <c r="C123" s="842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8921.9500000000116</v>
      </c>
      <c r="I123" s="155"/>
      <c r="J123" s="328">
        <f>H123/DAY(B2)</f>
        <v>287.80483870967777</v>
      </c>
    </row>
    <row r="124" spans="1:18" ht="27.75">
      <c r="A124" s="847"/>
      <c r="B124" s="848"/>
      <c r="C124" s="849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>
      <c r="A125" s="827" t="s">
        <v>196</v>
      </c>
      <c r="B125" s="928"/>
      <c r="C125" s="828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ht="27.75">
      <c r="A127" s="832"/>
      <c r="B127" s="832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>
      <c r="A128" s="843" t="s">
        <v>318</v>
      </c>
      <c r="B128" s="844"/>
      <c r="C128" s="845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9742</v>
      </c>
      <c r="I128" s="155"/>
      <c r="J128" s="328">
        <f>H128/DAY(B2)</f>
        <v>314.25806451612902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6589.869999999999</v>
      </c>
      <c r="I129" s="155"/>
      <c r="J129" s="328">
        <f>H129/DAY(B2)</f>
        <v>212.57645161290318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17312</v>
      </c>
      <c r="I130" s="155"/>
      <c r="J130" s="328">
        <f>H130/DAY(B2)</f>
        <v>558.45161290322585</v>
      </c>
      <c r="N130" s="240"/>
      <c r="O130" s="241"/>
    </row>
    <row r="131" spans="1:15" ht="27.75">
      <c r="A131" s="843" t="s">
        <v>321</v>
      </c>
      <c r="B131" s="844"/>
      <c r="C131" s="845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2154.6800000000003</v>
      </c>
      <c r="I131" s="155"/>
      <c r="J131" s="328">
        <f>H131/DAY(B2)</f>
        <v>69.505806451612912</v>
      </c>
      <c r="N131" s="240"/>
      <c r="O131" s="241"/>
    </row>
    <row r="132" spans="1:15" ht="27.75">
      <c r="A132" s="843" t="s">
        <v>322</v>
      </c>
      <c r="B132" s="844"/>
      <c r="C132" s="845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10825.300000000003</v>
      </c>
      <c r="I132" s="155"/>
      <c r="J132" s="328">
        <f>H132/DAY(B2)</f>
        <v>349.20322580645171</v>
      </c>
    </row>
    <row r="133" spans="1:15" ht="27.75">
      <c r="A133" s="843" t="s">
        <v>362</v>
      </c>
      <c r="B133" s="844"/>
      <c r="C133" s="845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17640.699999999997</v>
      </c>
      <c r="I133" s="155"/>
      <c r="J133" s="328">
        <f>H133/DAY(B2)</f>
        <v>569.05483870967737</v>
      </c>
    </row>
    <row r="134" spans="1:15" ht="27.75">
      <c r="A134" s="843" t="s">
        <v>340</v>
      </c>
      <c r="B134" s="844"/>
      <c r="C134" s="845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10895.229999999998</v>
      </c>
      <c r="I134" s="155"/>
      <c r="J134" s="328">
        <f>H134/DAY(B2)</f>
        <v>351.45903225806444</v>
      </c>
    </row>
    <row r="135" spans="1:15" ht="27.75">
      <c r="A135" s="827" t="s">
        <v>196</v>
      </c>
      <c r="B135" s="928"/>
      <c r="C135" s="828"/>
      <c r="D135" s="151"/>
      <c r="E135" s="95"/>
      <c r="F135" s="155"/>
      <c r="G135" s="112">
        <f>SUM(G128:G134)</f>
        <v>1783.7799999999988</v>
      </c>
      <c r="H135" s="99">
        <f>G135+'23'!H135</f>
        <v>35143.949999999983</v>
      </c>
      <c r="I135" s="156">
        <f>G135-(G35+G49)</f>
        <v>-326.38999999999942</v>
      </c>
      <c r="J135" s="328"/>
    </row>
    <row r="136" spans="1:15" ht="31.5">
      <c r="A136" s="831" t="s">
        <v>325</v>
      </c>
      <c r="B136" s="831"/>
      <c r="C136" s="831"/>
      <c r="D136" s="831"/>
      <c r="E136" s="831"/>
      <c r="F136" s="831"/>
      <c r="G136" s="831"/>
      <c r="H136" s="831"/>
      <c r="I136" s="831"/>
      <c r="J136" s="831"/>
    </row>
    <row r="137" spans="1:15" ht="29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>
      <c r="A138" s="842" t="s">
        <v>185</v>
      </c>
      <c r="B138" s="842"/>
      <c r="C138" s="842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2002</v>
      </c>
      <c r="I138" s="95"/>
      <c r="J138" s="328">
        <f>H138/DAY(B2)</f>
        <v>64.58064516129032</v>
      </c>
    </row>
    <row r="139" spans="1:15" ht="27.75">
      <c r="A139" s="842" t="s">
        <v>186</v>
      </c>
      <c r="B139" s="842"/>
      <c r="C139" s="842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27</v>
      </c>
      <c r="I139" s="95"/>
      <c r="J139" s="328">
        <f>H139/DAY(B2)</f>
        <v>0.87096774193548387</v>
      </c>
    </row>
    <row r="140" spans="1:15" ht="27.75">
      <c r="A140" s="842" t="s">
        <v>187</v>
      </c>
      <c r="B140" s="842"/>
      <c r="C140" s="842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40</v>
      </c>
      <c r="I140" s="95"/>
      <c r="J140" s="328">
        <f>H140/DAY(B2)</f>
        <v>1.2903225806451613</v>
      </c>
    </row>
    <row r="141" spans="1:15" ht="27.75">
      <c r="A141" s="823" t="s">
        <v>188</v>
      </c>
      <c r="B141" s="823"/>
      <c r="C141" s="823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5379.5800000000017</v>
      </c>
      <c r="I141" s="95"/>
      <c r="J141" s="328">
        <f>H141/DAY(B2)</f>
        <v>173.53483870967747</v>
      </c>
    </row>
    <row r="142" spans="1:15" ht="27.75">
      <c r="A142" s="823" t="s">
        <v>189</v>
      </c>
      <c r="B142" s="823"/>
      <c r="C142" s="823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2275.0999999999985</v>
      </c>
      <c r="I142" s="712"/>
      <c r="J142" s="328">
        <f>H142/DAY(B2)</f>
        <v>73.390322580645119</v>
      </c>
    </row>
    <row r="143" spans="1:15" ht="27.75">
      <c r="A143" s="842" t="s">
        <v>91</v>
      </c>
      <c r="B143" s="842"/>
      <c r="C143" s="842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774.38999999999987</v>
      </c>
      <c r="I143" s="712"/>
      <c r="J143" s="328">
        <f>H143/DAY(B2)</f>
        <v>24.980322580645158</v>
      </c>
    </row>
    <row r="144" spans="1:15" ht="27.75">
      <c r="A144" s="823" t="s">
        <v>90</v>
      </c>
      <c r="B144" s="823"/>
      <c r="C144" s="823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6817</v>
      </c>
      <c r="I144" s="712"/>
      <c r="J144" s="328">
        <f>H144/DAY(B2)</f>
        <v>219.90322580645162</v>
      </c>
    </row>
    <row r="145" spans="1:11" ht="27.75">
      <c r="A145" s="842" t="s">
        <v>190</v>
      </c>
      <c r="B145" s="842"/>
      <c r="C145" s="842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400.84000000000015</v>
      </c>
      <c r="I145" s="712"/>
      <c r="J145" s="328">
        <f>H145/DAY(B2)</f>
        <v>12.930322580645166</v>
      </c>
    </row>
    <row r="146" spans="1:11" ht="27.75">
      <c r="A146" s="877" t="s">
        <v>191</v>
      </c>
      <c r="B146" s="862"/>
      <c r="C146" s="863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12475</v>
      </c>
      <c r="I146" s="712"/>
      <c r="J146" s="328">
        <f>H146/DAY(B2)</f>
        <v>402.41935483870969</v>
      </c>
    </row>
    <row r="147" spans="1:11" ht="27.75">
      <c r="A147" s="823" t="s">
        <v>192</v>
      </c>
      <c r="B147" s="823"/>
      <c r="C147" s="823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11330.520000000019</v>
      </c>
      <c r="I147" s="712"/>
      <c r="J147" s="328">
        <f>H147/DAY(B2)</f>
        <v>365.50064516129095</v>
      </c>
    </row>
    <row r="148" spans="1:11" ht="27.75">
      <c r="A148" s="824" t="s">
        <v>193</v>
      </c>
      <c r="B148" s="825"/>
      <c r="C148" s="826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6409.8399999999674</v>
      </c>
      <c r="I148" s="124"/>
      <c r="J148" s="328">
        <f>H148/DAY(B2)</f>
        <v>206.76903225806348</v>
      </c>
    </row>
    <row r="149" spans="1:11" ht="27.75">
      <c r="A149" s="824" t="s">
        <v>336</v>
      </c>
      <c r="B149" s="825"/>
      <c r="C149" s="826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13929.2</v>
      </c>
      <c r="I149" s="119"/>
      <c r="J149" s="328">
        <f>H149/DAY(B2)</f>
        <v>449.32903225806456</v>
      </c>
    </row>
    <row r="150" spans="1:11" ht="27.75">
      <c r="A150" s="824" t="s">
        <v>337</v>
      </c>
      <c r="B150" s="825"/>
      <c r="C150" s="826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6798.83</v>
      </c>
      <c r="I150" s="119"/>
      <c r="J150" s="328">
        <f>H150/DAY(B2)</f>
        <v>219.31709677419354</v>
      </c>
    </row>
    <row r="151" spans="1:11" ht="27.75">
      <c r="A151" s="824" t="s">
        <v>338</v>
      </c>
      <c r="B151" s="825"/>
      <c r="C151" s="826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7263</v>
      </c>
      <c r="I151" s="119"/>
      <c r="J151" s="328">
        <f>H151/DAY(B2)</f>
        <v>234.29032258064515</v>
      </c>
    </row>
    <row r="152" spans="1:11" ht="27.75">
      <c r="A152" s="824" t="s">
        <v>339</v>
      </c>
      <c r="B152" s="825"/>
      <c r="C152" s="826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533</v>
      </c>
      <c r="I152" s="119"/>
      <c r="J152" s="328">
        <f>H152/DAY(B2)</f>
        <v>17.193548387096776</v>
      </c>
    </row>
    <row r="153" spans="1:11" ht="27.75">
      <c r="A153" s="827" t="s">
        <v>196</v>
      </c>
      <c r="B153" s="928"/>
      <c r="C153" s="828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>
      <c r="A154" s="831" t="s">
        <v>344</v>
      </c>
      <c r="B154" s="831"/>
      <c r="C154" s="831"/>
      <c r="D154" s="831"/>
      <c r="E154" s="831"/>
      <c r="F154" s="831"/>
      <c r="G154" s="831"/>
      <c r="H154" s="831"/>
      <c r="I154" s="831"/>
      <c r="J154" s="831"/>
    </row>
    <row r="155" spans="1:11" ht="31.5">
      <c r="A155" s="823" t="s">
        <v>345</v>
      </c>
      <c r="B155" s="823"/>
      <c r="C155" s="823"/>
      <c r="D155" s="117" t="s">
        <v>130</v>
      </c>
      <c r="E155" s="95">
        <f>'30'!F155</f>
        <v>31715</v>
      </c>
      <c r="F155" s="473">
        <v>32385</v>
      </c>
      <c r="G155" s="112">
        <f t="shared" ref="G155:G158" si="12">F155-E155</f>
        <v>670</v>
      </c>
      <c r="H155" s="99">
        <f>G155+'30'!H155</f>
        <v>18913</v>
      </c>
      <c r="I155" s="364"/>
      <c r="J155" s="328">
        <f>H155/DAY(B2)</f>
        <v>610.09677419354841</v>
      </c>
    </row>
    <row r="156" spans="1:11" ht="27.75">
      <c r="A156" s="823" t="s">
        <v>347</v>
      </c>
      <c r="B156" s="823"/>
      <c r="C156" s="823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1648</v>
      </c>
      <c r="I156" s="155"/>
      <c r="J156" s="328">
        <f>H156/DAY(B2)</f>
        <v>53.161290322580648</v>
      </c>
    </row>
    <row r="157" spans="1:11" ht="27.75">
      <c r="A157" s="824" t="s">
        <v>364</v>
      </c>
      <c r="B157" s="825"/>
      <c r="C157" s="826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340</v>
      </c>
      <c r="I157" s="99"/>
      <c r="J157" s="155"/>
      <c r="K157" s="328"/>
    </row>
    <row r="158" spans="1:11" ht="27.75">
      <c r="A158" s="824" t="s">
        <v>365</v>
      </c>
      <c r="B158" s="825"/>
      <c r="C158" s="826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1.1099999999999994</v>
      </c>
      <c r="I158" s="155"/>
      <c r="J158" s="328"/>
    </row>
    <row r="159" spans="1:11" ht="27.75">
      <c r="A159" s="907"/>
      <c r="B159" s="908"/>
      <c r="C159" s="909"/>
      <c r="D159" s="117"/>
      <c r="E159" s="95"/>
      <c r="F159" s="155"/>
      <c r="G159" s="112"/>
      <c r="H159" s="99"/>
      <c r="I159" s="155"/>
      <c r="J159" s="328"/>
    </row>
    <row r="160" spans="1:11" ht="31.5">
      <c r="A160" s="831" t="s">
        <v>326</v>
      </c>
      <c r="B160" s="831"/>
      <c r="C160" s="831"/>
      <c r="D160" s="831"/>
      <c r="E160" s="831"/>
      <c r="F160" s="831"/>
      <c r="G160" s="831"/>
      <c r="H160" s="831"/>
      <c r="I160" s="831"/>
      <c r="J160" s="831"/>
    </row>
    <row r="161" spans="1:10" ht="29.2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900.40000000002328</v>
      </c>
      <c r="I161" s="236"/>
      <c r="J161" s="239">
        <f>H161/DAY(B2)</f>
        <v>29.045161290323332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946.39999999999418</v>
      </c>
      <c r="I162" s="236"/>
      <c r="J162" s="239">
        <f>H162/DAY(B2)</f>
        <v>30.52903225806433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1395.1000000000058</v>
      </c>
      <c r="I163" s="236"/>
      <c r="J163" s="239">
        <f>H163/DAY(B2)</f>
        <v>45.003225806451802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78</v>
      </c>
      <c r="I164" s="236"/>
      <c r="J164" s="239">
        <f>H164/DAY(B2)</f>
        <v>2.5161290322580645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211.25</v>
      </c>
      <c r="I165" s="236"/>
      <c r="J165" s="239">
        <f>H165/DAY(B2)</f>
        <v>6.814516129032258</v>
      </c>
    </row>
    <row r="166" spans="1:10" ht="29.25">
      <c r="A166" s="832"/>
      <c r="B166" s="832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>
      <c r="A167" s="832"/>
      <c r="B167" s="832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>
      <c r="A168" s="832"/>
      <c r="B168" s="832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/>
    <row r="170" spans="1:10" ht="29.25"/>
    <row r="171" spans="1:10" ht="31.5">
      <c r="A171" s="833" t="s">
        <v>330</v>
      </c>
      <c r="B171" s="834"/>
      <c r="C171" s="834"/>
      <c r="D171" s="834"/>
      <c r="E171" s="834"/>
      <c r="F171" s="834"/>
      <c r="G171" s="834"/>
      <c r="H171" s="834"/>
      <c r="I171" s="834"/>
      <c r="J171" s="835"/>
    </row>
    <row r="172" spans="1:10" ht="27.75">
      <c r="A172" s="840"/>
      <c r="B172" s="84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36" t="s">
        <v>209</v>
      </c>
      <c r="B173" s="837"/>
      <c r="C173" s="333"/>
      <c r="D173" s="228" t="s">
        <v>142</v>
      </c>
      <c r="E173" s="95">
        <f>'30'!F173</f>
        <v>8126</v>
      </c>
      <c r="F173" s="554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>
      <c r="A174" s="836" t="s">
        <v>75</v>
      </c>
      <c r="B174" s="837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322</v>
      </c>
      <c r="I174" s="155"/>
      <c r="J174" s="178">
        <f>H174/DAY(B2)</f>
        <v>10.387096774193548</v>
      </c>
    </row>
    <row r="175" spans="1:10" ht="27.75">
      <c r="A175" s="836" t="s">
        <v>76</v>
      </c>
      <c r="B175" s="876"/>
      <c r="C175" s="837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295</v>
      </c>
      <c r="I175" s="155"/>
      <c r="J175" s="178">
        <f>H175/DAY(B2)</f>
        <v>9.5161290322580641</v>
      </c>
    </row>
    <row r="176" spans="1:10" ht="27.75">
      <c r="A176" s="827" t="s">
        <v>196</v>
      </c>
      <c r="B176" s="928"/>
      <c r="C176" s="828"/>
      <c r="D176" s="228" t="s">
        <v>142</v>
      </c>
      <c r="E176" s="95"/>
      <c r="F176" s="155"/>
      <c r="G176" s="155">
        <f>SUM(G173:G175)</f>
        <v>22</v>
      </c>
      <c r="H176" s="99">
        <f>G176+'30'!H176</f>
        <v>617</v>
      </c>
      <c r="I176" s="155"/>
      <c r="J176" s="178">
        <f>H176/DAY(B2)</f>
        <v>19.903225806451612</v>
      </c>
    </row>
    <row r="177" spans="1:10" ht="27.75">
      <c r="A177" s="836" t="s">
        <v>77</v>
      </c>
      <c r="B177" s="837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>
      <c r="A178" s="836" t="s">
        <v>210</v>
      </c>
      <c r="B178" s="837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1701</v>
      </c>
      <c r="I178" s="155"/>
      <c r="J178" s="178">
        <f>H178/DAY(B2)</f>
        <v>54.87096774193548</v>
      </c>
    </row>
    <row r="179" spans="1:10" ht="27.75">
      <c r="A179" s="836" t="s">
        <v>211</v>
      </c>
      <c r="B179" s="837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888</v>
      </c>
      <c r="I179" s="155"/>
      <c r="J179" s="178">
        <f>H179/DAY(B2)</f>
        <v>28.64516129032258</v>
      </c>
    </row>
    <row r="180" spans="1:10" ht="27.75">
      <c r="A180" s="836" t="s">
        <v>212</v>
      </c>
      <c r="B180" s="837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225</v>
      </c>
      <c r="I180" s="155"/>
      <c r="J180" s="178">
        <f>H180/DAY(B2)</f>
        <v>7.258064516129032</v>
      </c>
    </row>
    <row r="181" spans="1:10" ht="27.75">
      <c r="A181" s="838" t="s">
        <v>108</v>
      </c>
      <c r="B181" s="839"/>
      <c r="C181" s="485"/>
      <c r="D181" s="228" t="s">
        <v>142</v>
      </c>
      <c r="E181" s="95"/>
      <c r="F181" s="157"/>
      <c r="G181" s="155">
        <f>SUM(G178:G180)</f>
        <v>167</v>
      </c>
      <c r="H181" s="99">
        <f>G181+'30'!H181</f>
        <v>2814</v>
      </c>
      <c r="I181" s="155"/>
      <c r="J181" s="178">
        <f>H181/DAY(B2)</f>
        <v>90.774193548387103</v>
      </c>
    </row>
    <row r="182" spans="1:10" ht="27.75">
      <c r="A182" s="836" t="s">
        <v>213</v>
      </c>
      <c r="B182" s="837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>
      <c r="A183" s="836" t="s">
        <v>214</v>
      </c>
      <c r="B183" s="837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398</v>
      </c>
      <c r="I183" s="155"/>
      <c r="J183" s="178">
        <f>H183/DAY(B2)</f>
        <v>12.838709677419354</v>
      </c>
    </row>
    <row r="184" spans="1:10" ht="27.75">
      <c r="A184" s="836" t="s">
        <v>215</v>
      </c>
      <c r="B184" s="837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217</v>
      </c>
      <c r="I184" s="155"/>
      <c r="J184" s="178">
        <f>H184/DAY(B2)</f>
        <v>7</v>
      </c>
    </row>
    <row r="185" spans="1:10" ht="27.75">
      <c r="A185" s="836" t="s">
        <v>216</v>
      </c>
      <c r="B185" s="837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>
      <c r="A186" s="827" t="s">
        <v>196</v>
      </c>
      <c r="B186" s="828"/>
      <c r="C186" s="484"/>
      <c r="D186" s="228" t="s">
        <v>142</v>
      </c>
      <c r="E186" s="95"/>
      <c r="F186" s="157"/>
      <c r="G186" s="157">
        <f>SUM(G183:G185)</f>
        <v>18</v>
      </c>
      <c r="H186" s="99">
        <f>G186+'30'!H186</f>
        <v>615</v>
      </c>
      <c r="I186" s="157"/>
      <c r="J186" s="178">
        <f>H186/DAY(B2)</f>
        <v>19.838709677419356</v>
      </c>
    </row>
    <row r="187" spans="1:10" ht="27.75">
      <c r="A187" s="829" t="s">
        <v>217</v>
      </c>
      <c r="B187" s="830"/>
      <c r="C187" s="333"/>
      <c r="D187" s="230" t="s">
        <v>142</v>
      </c>
      <c r="E187" s="95">
        <f>'30'!F187</f>
        <v>0</v>
      </c>
      <c r="F187" s="159"/>
      <c r="G187" s="462">
        <f>G62+G19</f>
        <v>139</v>
      </c>
      <c r="H187" s="99">
        <f>G187+'30'!H187</f>
        <v>3969</v>
      </c>
      <c r="I187" s="157"/>
      <c r="J187" s="179">
        <f>H187/DAY(B2)</f>
        <v>128.03225806451613</v>
      </c>
    </row>
    <row r="188" spans="1:10" ht="27.75">
      <c r="A188" s="829" t="s">
        <v>218</v>
      </c>
      <c r="B188" s="830"/>
      <c r="C188" s="333"/>
      <c r="D188" s="230" t="s">
        <v>142</v>
      </c>
      <c r="E188" s="95">
        <f>'30'!F188</f>
        <v>0</v>
      </c>
      <c r="F188" s="159"/>
      <c r="G188" s="462">
        <f>G65+G66+G67+G69+G70</f>
        <v>126</v>
      </c>
      <c r="H188" s="99">
        <f>G188+'30'!H188</f>
        <v>2349</v>
      </c>
      <c r="I188" s="157"/>
      <c r="J188" s="179">
        <f>H188/DAY(B2)</f>
        <v>75.774193548387103</v>
      </c>
    </row>
    <row r="189" spans="1:10" ht="27.75">
      <c r="A189" s="829" t="s">
        <v>219</v>
      </c>
      <c r="B189" s="830"/>
      <c r="C189" s="333"/>
      <c r="D189" s="230" t="s">
        <v>142</v>
      </c>
      <c r="E189" s="95">
        <f>'30'!F189</f>
        <v>0</v>
      </c>
      <c r="F189" s="157"/>
      <c r="G189" s="711">
        <f>G181</f>
        <v>167</v>
      </c>
      <c r="H189" s="99">
        <f>G189+'30'!H189</f>
        <v>1224</v>
      </c>
      <c r="I189" s="157"/>
      <c r="J189" s="179">
        <f>H189/DAY(B2)</f>
        <v>39.483870967741936</v>
      </c>
    </row>
    <row r="190" spans="1:10" ht="27.75">
      <c r="A190" s="750"/>
      <c r="B190" s="751"/>
      <c r="C190" s="483"/>
      <c r="D190" s="480"/>
      <c r="E190" s="499" t="s">
        <v>207</v>
      </c>
      <c r="F190" s="499"/>
      <c r="G190" s="499"/>
      <c r="H190" s="481"/>
      <c r="I190" s="499"/>
      <c r="J190" s="71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  <row r="313" ht="29.25"/>
    <row r="314" ht="29.25"/>
    <row r="315" ht="29.25"/>
    <row r="316" ht="29.25"/>
    <row r="317" ht="29.25"/>
    <row r="318" ht="29.25"/>
    <row r="319" ht="29.25"/>
    <row r="320" ht="29.2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19"/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21" t="s">
        <v>6</v>
      </c>
      <c r="F2" s="721"/>
      <c r="G2" s="721"/>
      <c r="H2" s="727" t="s">
        <v>14</v>
      </c>
      <c r="I2" s="727"/>
      <c r="J2" s="727"/>
      <c r="K2" s="264" t="s">
        <v>15</v>
      </c>
      <c r="L2" s="727" t="s">
        <v>16</v>
      </c>
      <c r="M2" s="727"/>
      <c r="N2" s="727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161334</v>
      </c>
      <c r="E4" s="19">
        <f>'1'!G97</f>
        <v>0.12153132002401244</v>
      </c>
      <c r="F4" s="19">
        <f>'1'!F142</f>
        <v>19082</v>
      </c>
      <c r="G4" s="21">
        <f>E4*F4</f>
        <v>2319.0606486982056</v>
      </c>
      <c r="H4" s="19">
        <f>'1'!G68</f>
        <v>14</v>
      </c>
      <c r="I4" s="19">
        <f>'1'!G69</f>
        <v>25</v>
      </c>
      <c r="J4" s="19">
        <f>'1'!G70</f>
        <v>13</v>
      </c>
      <c r="K4" s="23">
        <f>H4+I4</f>
        <v>39</v>
      </c>
      <c r="L4" s="19">
        <f>'1'!G71</f>
        <v>218</v>
      </c>
      <c r="M4" s="19">
        <f>'1'!G72</f>
        <v>0</v>
      </c>
      <c r="N4" s="19">
        <v>0</v>
      </c>
      <c r="O4" s="23">
        <f>L4+M4+N4</f>
        <v>218</v>
      </c>
    </row>
    <row r="5" spans="1:15">
      <c r="A5" s="16">
        <v>2</v>
      </c>
      <c r="B5" s="26">
        <v>2</v>
      </c>
      <c r="C5" s="26"/>
      <c r="D5" s="19">
        <f>'2'!F8</f>
        <v>181227</v>
      </c>
      <c r="E5" s="19">
        <f>'2'!G96</f>
        <v>3100</v>
      </c>
      <c r="F5" s="19">
        <f>'2'!F123</f>
        <v>145818.76999999999</v>
      </c>
      <c r="G5" s="21">
        <f t="shared" ref="G5:G18" si="0">E5*F5</f>
        <v>452038186.99999994</v>
      </c>
      <c r="H5" s="19">
        <f>'2'!G68</f>
        <v>10</v>
      </c>
      <c r="I5" s="19">
        <f>'2'!G69</f>
        <v>11</v>
      </c>
      <c r="J5" s="19">
        <f>'2'!G70</f>
        <v>12</v>
      </c>
      <c r="K5" s="23">
        <f t="shared" ref="K5:K18" si="1">H5+I5</f>
        <v>21</v>
      </c>
      <c r="L5" s="19">
        <f>'2'!G71</f>
        <v>159</v>
      </c>
      <c r="M5" s="19">
        <f>'2'!G72</f>
        <v>0</v>
      </c>
      <c r="N5" s="19">
        <v>0</v>
      </c>
      <c r="O5" s="23">
        <f t="shared" ref="O5:O18" si="2">L5+M5+N5</f>
        <v>159</v>
      </c>
    </row>
    <row r="6" spans="1:15">
      <c r="A6" s="16">
        <v>3</v>
      </c>
      <c r="B6" s="26">
        <v>3</v>
      </c>
      <c r="C6" s="26"/>
      <c r="D6" s="19">
        <f>'4'!F8</f>
        <v>220974.95</v>
      </c>
      <c r="E6" s="19">
        <f>'3'!G96</f>
        <v>3094.6399999999994</v>
      </c>
      <c r="F6" s="19">
        <f>'3'!F123</f>
        <v>146156.89000000001</v>
      </c>
      <c r="G6" s="21">
        <f t="shared" si="0"/>
        <v>452302958.06959999</v>
      </c>
      <c r="H6" s="19">
        <f>'4'!G68</f>
        <v>27</v>
      </c>
      <c r="I6" s="19">
        <f>'4'!G69</f>
        <v>7</v>
      </c>
      <c r="J6" s="19">
        <f>'4'!G70</f>
        <v>6</v>
      </c>
      <c r="K6" s="23">
        <f t="shared" si="1"/>
        <v>34</v>
      </c>
      <c r="L6" s="19">
        <f>'4'!G71</f>
        <v>169</v>
      </c>
      <c r="M6" s="19">
        <f>'4'!G72</f>
        <v>0</v>
      </c>
      <c r="N6" s="19">
        <v>0</v>
      </c>
      <c r="O6" s="23">
        <f t="shared" si="2"/>
        <v>169</v>
      </c>
    </row>
    <row r="7" spans="1:15">
      <c r="A7" s="16">
        <v>4</v>
      </c>
      <c r="B7" s="27">
        <v>4</v>
      </c>
      <c r="C7" s="27"/>
      <c r="D7" s="19">
        <f>'3'!F8</f>
        <v>200756</v>
      </c>
      <c r="E7" s="19">
        <f>'4'!G96</f>
        <v>3146.7900000000009</v>
      </c>
      <c r="F7" s="19">
        <f>'1'!F142</f>
        <v>19082</v>
      </c>
      <c r="G7" s="21">
        <f t="shared" si="0"/>
        <v>60047046.780000016</v>
      </c>
      <c r="H7" s="19">
        <f>'3'!G68</f>
        <v>9</v>
      </c>
      <c r="I7" s="19">
        <f>'3'!G69</f>
        <v>22</v>
      </c>
      <c r="J7" s="19">
        <f>'3'!G70</f>
        <v>7</v>
      </c>
      <c r="K7" s="23">
        <f t="shared" si="1"/>
        <v>31</v>
      </c>
      <c r="L7" s="19">
        <f>'3'!G71</f>
        <v>116</v>
      </c>
      <c r="M7" s="19">
        <f>'3'!G72</f>
        <v>0</v>
      </c>
      <c r="N7" s="19">
        <v>0</v>
      </c>
      <c r="O7" s="23">
        <f t="shared" si="2"/>
        <v>116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19082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262018</v>
      </c>
      <c r="E9" s="19">
        <f>'6'!G96</f>
        <v>3311.0800000000017</v>
      </c>
      <c r="F9" s="19">
        <f>'1'!F142</f>
        <v>19082</v>
      </c>
      <c r="G9" s="21">
        <f t="shared" si="0"/>
        <v>63182028.560000032</v>
      </c>
      <c r="H9" s="19">
        <f>'6'!G68</f>
        <v>47</v>
      </c>
      <c r="I9" s="19">
        <f>'6'!G69</f>
        <v>8</v>
      </c>
      <c r="J9" s="19">
        <f>'6'!G70</f>
        <v>6</v>
      </c>
      <c r="K9" s="23">
        <f t="shared" si="1"/>
        <v>55</v>
      </c>
      <c r="L9" s="19">
        <f>'6'!G71</f>
        <v>166</v>
      </c>
      <c r="M9" s="19">
        <f>'6'!G72</f>
        <v>0</v>
      </c>
      <c r="N9" s="19">
        <v>0</v>
      </c>
      <c r="O9" s="23">
        <f t="shared" si="2"/>
        <v>166</v>
      </c>
    </row>
    <row r="10" spans="1:15">
      <c r="A10" s="16">
        <v>7</v>
      </c>
      <c r="B10" s="26">
        <v>7</v>
      </c>
      <c r="C10" s="27"/>
      <c r="D10" s="19">
        <f>'7'!F8</f>
        <v>282279</v>
      </c>
      <c r="E10" s="19">
        <f>'7'!G96</f>
        <v>3369</v>
      </c>
      <c r="F10" s="19">
        <f>'1'!F142</f>
        <v>19082</v>
      </c>
      <c r="G10" s="21">
        <f t="shared" si="0"/>
        <v>64287258</v>
      </c>
      <c r="H10" s="19">
        <f>'7'!G68</f>
        <v>42</v>
      </c>
      <c r="I10" s="19">
        <f>'7'!G69</f>
        <v>7</v>
      </c>
      <c r="J10" s="19">
        <f>'7'!G70</f>
        <v>9</v>
      </c>
      <c r="K10" s="23">
        <f t="shared" si="1"/>
        <v>49</v>
      </c>
      <c r="L10" s="19">
        <f>'7'!G71</f>
        <v>177</v>
      </c>
      <c r="M10" s="19">
        <f>'7'!G72</f>
        <v>0</v>
      </c>
      <c r="N10" s="19">
        <v>0</v>
      </c>
      <c r="O10" s="23">
        <f t="shared" si="2"/>
        <v>177</v>
      </c>
    </row>
    <row r="11" spans="1:15">
      <c r="A11" s="16">
        <v>8</v>
      </c>
      <c r="B11" s="26">
        <v>8</v>
      </c>
      <c r="C11" s="18"/>
      <c r="D11" s="19">
        <f>'8'!F8</f>
        <v>301926</v>
      </c>
      <c r="E11" s="19">
        <f>'8'!G96</f>
        <v>3190</v>
      </c>
      <c r="F11" s="19">
        <f>'1'!F142</f>
        <v>19082</v>
      </c>
      <c r="G11" s="21">
        <f t="shared" si="0"/>
        <v>60871580</v>
      </c>
      <c r="H11" s="19">
        <f>'8'!G68</f>
        <v>30</v>
      </c>
      <c r="I11" s="19">
        <f>'8'!G69</f>
        <v>6</v>
      </c>
      <c r="J11" s="19">
        <f>'8'!G70</f>
        <v>8</v>
      </c>
      <c r="K11" s="23">
        <f t="shared" si="1"/>
        <v>36</v>
      </c>
      <c r="L11" s="19">
        <f>'8'!G71</f>
        <v>177</v>
      </c>
      <c r="M11" s="19">
        <f>'8'!G72</f>
        <v>0</v>
      </c>
      <c r="N11" s="19">
        <v>0</v>
      </c>
      <c r="O11" s="23">
        <f t="shared" si="2"/>
        <v>177</v>
      </c>
    </row>
    <row r="12" spans="1:15">
      <c r="A12" s="16">
        <v>9</v>
      </c>
      <c r="B12" s="27">
        <v>9</v>
      </c>
      <c r="C12" s="26"/>
      <c r="D12" s="19">
        <f>'9'!F8</f>
        <v>319937</v>
      </c>
      <c r="E12" s="19">
        <f>'9'!G96</f>
        <v>2762.4599999999991</v>
      </c>
      <c r="F12" s="19">
        <f>'1'!F142</f>
        <v>19082</v>
      </c>
      <c r="G12" s="21">
        <f t="shared" si="0"/>
        <v>52713261.719999984</v>
      </c>
      <c r="H12" s="19">
        <f>'9'!G68</f>
        <v>27</v>
      </c>
      <c r="I12" s="19">
        <f>'9'!G69</f>
        <v>7</v>
      </c>
      <c r="J12" s="19">
        <f>'9'!G70</f>
        <v>14</v>
      </c>
      <c r="K12" s="23">
        <f t="shared" si="1"/>
        <v>34</v>
      </c>
      <c r="L12" s="19">
        <f>'9'!G71</f>
        <v>167</v>
      </c>
      <c r="M12" s="19">
        <f>'9'!G72</f>
        <v>0</v>
      </c>
      <c r="N12" s="19">
        <v>0</v>
      </c>
      <c r="O12" s="23">
        <f t="shared" si="2"/>
        <v>167</v>
      </c>
    </row>
    <row r="13" spans="1:15">
      <c r="A13" s="16">
        <v>10</v>
      </c>
      <c r="B13" s="27">
        <v>10</v>
      </c>
      <c r="C13" s="26"/>
      <c r="D13" s="19">
        <f>'10'!F8</f>
        <v>337000</v>
      </c>
      <c r="E13" s="19">
        <f>'10'!G96</f>
        <v>2760</v>
      </c>
      <c r="F13" s="19">
        <f>'1'!F142</f>
        <v>19082</v>
      </c>
      <c r="G13" s="21">
        <f t="shared" si="0"/>
        <v>52666320</v>
      </c>
      <c r="H13" s="19">
        <f>'10'!G68</f>
        <v>26</v>
      </c>
      <c r="I13" s="19">
        <f>'10'!G69</f>
        <v>9</v>
      </c>
      <c r="J13" s="19">
        <f>'10'!G70</f>
        <v>4</v>
      </c>
      <c r="K13" s="23">
        <f t="shared" si="1"/>
        <v>35</v>
      </c>
      <c r="L13" s="19">
        <f>'10'!G71</f>
        <v>132</v>
      </c>
      <c r="M13" s="19">
        <f>'10'!G72</f>
        <v>0</v>
      </c>
      <c r="N13" s="19">
        <v>0</v>
      </c>
      <c r="O13" s="23">
        <f t="shared" si="2"/>
        <v>132</v>
      </c>
    </row>
    <row r="14" spans="1:15">
      <c r="A14" s="16">
        <v>11</v>
      </c>
      <c r="B14" s="17">
        <v>11</v>
      </c>
      <c r="C14" s="27"/>
      <c r="D14" s="19">
        <f>'11'!F8</f>
        <v>354262</v>
      </c>
      <c r="E14" s="19">
        <f>'11'!G96</f>
        <v>2906.3999999999942</v>
      </c>
      <c r="F14" s="19">
        <f>'1'!F142</f>
        <v>19082</v>
      </c>
      <c r="G14" s="21">
        <f t="shared" si="0"/>
        <v>55459924.799999885</v>
      </c>
      <c r="H14" s="19">
        <f>'11'!G68</f>
        <v>26</v>
      </c>
      <c r="I14" s="19">
        <f>'11'!G69</f>
        <v>8</v>
      </c>
      <c r="J14" s="19">
        <f>'11'!G70</f>
        <v>6</v>
      </c>
      <c r="K14" s="23">
        <f t="shared" si="1"/>
        <v>34</v>
      </c>
      <c r="L14" s="19">
        <f>'11'!G71</f>
        <v>150</v>
      </c>
      <c r="M14" s="19">
        <f>'11'!G72</f>
        <v>0</v>
      </c>
      <c r="N14" s="19">
        <v>0</v>
      </c>
      <c r="O14" s="23">
        <f t="shared" si="2"/>
        <v>150</v>
      </c>
    </row>
    <row r="15" spans="1:15">
      <c r="A15" s="16">
        <v>12</v>
      </c>
      <c r="B15" s="26">
        <v>12</v>
      </c>
      <c r="C15" s="27"/>
      <c r="D15" s="19">
        <f>'12'!F8</f>
        <v>370975</v>
      </c>
      <c r="E15" s="19">
        <f>'12'!G96</f>
        <v>2812</v>
      </c>
      <c r="F15" s="19">
        <f>'1'!F142</f>
        <v>19082</v>
      </c>
      <c r="G15" s="20">
        <f t="shared" si="0"/>
        <v>53658584</v>
      </c>
      <c r="H15" s="19">
        <f>'12'!G68</f>
        <v>23</v>
      </c>
      <c r="I15" s="19">
        <f>'12'!G69</f>
        <v>6</v>
      </c>
      <c r="J15" s="19">
        <f>'12'!G70</f>
        <v>4</v>
      </c>
      <c r="K15" s="23">
        <f t="shared" si="1"/>
        <v>29</v>
      </c>
      <c r="L15" s="19">
        <f>'12'!G71</f>
        <v>102</v>
      </c>
      <c r="M15" s="19">
        <f>'12'!G72</f>
        <v>0</v>
      </c>
      <c r="N15" s="19">
        <v>0</v>
      </c>
      <c r="O15" s="23">
        <f t="shared" si="2"/>
        <v>102</v>
      </c>
    </row>
    <row r="16" spans="1:15">
      <c r="A16" s="16">
        <v>13</v>
      </c>
      <c r="B16" s="26">
        <v>13</v>
      </c>
      <c r="C16" s="26"/>
      <c r="D16" s="19">
        <f>'13'!F8</f>
        <v>388025</v>
      </c>
      <c r="E16" s="19">
        <f>'13'!G96</f>
        <v>2861</v>
      </c>
      <c r="F16" s="19">
        <f>'1'!F142</f>
        <v>19082</v>
      </c>
      <c r="G16" s="20">
        <f t="shared" si="0"/>
        <v>54593602</v>
      </c>
      <c r="H16" s="19">
        <f>'13'!G68</f>
        <v>20</v>
      </c>
      <c r="I16" s="19">
        <f>'13'!G69</f>
        <v>5</v>
      </c>
      <c r="J16" s="19">
        <f>'13'!G70</f>
        <v>7</v>
      </c>
      <c r="K16" s="23">
        <f t="shared" si="1"/>
        <v>25</v>
      </c>
      <c r="L16" s="19">
        <f>'13'!G71</f>
        <v>131</v>
      </c>
      <c r="M16" s="19">
        <f>'13'!G72</f>
        <v>0</v>
      </c>
      <c r="N16" s="19">
        <v>0</v>
      </c>
      <c r="O16" s="23">
        <f t="shared" si="2"/>
        <v>131</v>
      </c>
    </row>
    <row r="17" spans="1:15">
      <c r="A17" s="16">
        <v>14</v>
      </c>
      <c r="B17" s="17">
        <v>14</v>
      </c>
      <c r="C17" s="27"/>
      <c r="D17" s="19">
        <f>'14'!F8</f>
        <v>405455</v>
      </c>
      <c r="E17" s="19">
        <f>'14'!G96</f>
        <v>3132</v>
      </c>
      <c r="F17" s="19">
        <f>'1'!F142</f>
        <v>19082</v>
      </c>
      <c r="G17" s="20">
        <f t="shared" si="0"/>
        <v>59764824</v>
      </c>
      <c r="H17" s="19">
        <f>'14'!G68</f>
        <v>35</v>
      </c>
      <c r="I17" s="19">
        <f>'14'!G69</f>
        <v>6</v>
      </c>
      <c r="J17" s="19">
        <f>'14'!G71</f>
        <v>134</v>
      </c>
      <c r="K17" s="23">
        <f t="shared" si="1"/>
        <v>41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422783.71</v>
      </c>
      <c r="E18" s="19">
        <f>'15'!G96</f>
        <v>3008.3700000000099</v>
      </c>
      <c r="F18" s="19">
        <f>'1'!F142</f>
        <v>19082</v>
      </c>
      <c r="G18" s="20">
        <f t="shared" si="0"/>
        <v>57405716.34000019</v>
      </c>
      <c r="H18" s="19">
        <f>'15'!G68</f>
        <v>23</v>
      </c>
      <c r="I18" s="19">
        <f>'15'!G69</f>
        <v>11</v>
      </c>
      <c r="J18" s="19">
        <f>'15'!G71</f>
        <v>151</v>
      </c>
      <c r="K18" s="23">
        <f t="shared" si="1"/>
        <v>34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539020</v>
      </c>
      <c r="I7" s="113">
        <f>'1'!I7</f>
        <v>12000</v>
      </c>
      <c r="J7" s="175">
        <f>H7/DAY(B2)</f>
        <v>17387.741935483871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549833</v>
      </c>
      <c r="I8" s="116"/>
      <c r="J8" s="175">
        <f>H8/DAY(B2)</f>
        <v>17736.548387096773</v>
      </c>
      <c r="K8" s="172">
        <v>1715917</v>
      </c>
      <c r="L8" s="76">
        <v>1728480</v>
      </c>
      <c r="M8" s="87">
        <f>L8-K8</f>
        <v>12563</v>
      </c>
      <c r="N8" s="87"/>
      <c r="O8" s="71"/>
      <c r="Q8" s="707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365731</v>
      </c>
      <c r="I9" s="124"/>
      <c r="J9" s="175">
        <f>H9/DAY(B2)</f>
        <v>11797.774193548386</v>
      </c>
      <c r="K9" s="79">
        <f>K8-100</f>
        <v>1715817</v>
      </c>
      <c r="L9" s="66"/>
      <c r="N9" s="87"/>
      <c r="O9" s="71"/>
      <c r="Q9" s="708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158091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170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706"/>
      <c r="C14" s="706"/>
      <c r="D14" s="151"/>
      <c r="E14" s="95"/>
      <c r="F14" s="95"/>
      <c r="G14" s="119">
        <f>G9+G10+G11+G12</f>
        <v>0</v>
      </c>
      <c r="H14" s="99">
        <f>G14+'30'!H13</f>
        <v>504526.74999999988</v>
      </c>
      <c r="I14" s="120">
        <f>G7-G14</f>
        <v>0</v>
      </c>
      <c r="J14" s="175">
        <f>H14/DAY(B2)</f>
        <v>16275.0564516129</v>
      </c>
      <c r="K14" s="79"/>
      <c r="L14" s="66"/>
      <c r="N14" s="87"/>
      <c r="O14" s="71"/>
    </row>
    <row r="15" spans="1:17" ht="33" customHeight="1">
      <c r="A15" s="888" t="s">
        <v>137</v>
      </c>
      <c r="B15" s="889"/>
      <c r="C15" s="890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28040</v>
      </c>
      <c r="I16" s="113">
        <f>'1'!I15</f>
        <v>800</v>
      </c>
      <c r="J16" s="175">
        <f>H16/DAY(B2)</f>
        <v>904.51612903225805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-104.51612903225805</v>
      </c>
      <c r="J17" s="176"/>
      <c r="K17" s="79"/>
      <c r="L17" s="66"/>
      <c r="N17" s="87"/>
      <c r="O17" s="71"/>
    </row>
    <row r="18" spans="1:15" ht="33" customHeight="1">
      <c r="A18" s="888" t="s">
        <v>140</v>
      </c>
      <c r="B18" s="889"/>
      <c r="C18" s="890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64" t="s">
        <v>141</v>
      </c>
      <c r="B19" s="865"/>
      <c r="C19" s="866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3680</v>
      </c>
      <c r="I19" s="113">
        <f>'1'!I18</f>
        <v>65</v>
      </c>
      <c r="J19" s="175">
        <f>H19/DAY(B2)</f>
        <v>118.70967741935483</v>
      </c>
      <c r="K19" s="79"/>
      <c r="L19" s="66"/>
      <c r="N19" s="87"/>
      <c r="O19" s="71"/>
    </row>
    <row r="20" spans="1:15" ht="33" customHeight="1">
      <c r="A20" s="864" t="s">
        <v>69</v>
      </c>
      <c r="B20" s="865"/>
      <c r="C20" s="866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-6887</v>
      </c>
      <c r="I20" s="335"/>
      <c r="J20" s="175">
        <f>H20/DAY(B2)</f>
        <v>-222.16129032258064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-3207</v>
      </c>
      <c r="I21" s="336">
        <f>I19-J21</f>
        <v>168.45161290322579</v>
      </c>
      <c r="J21" s="175">
        <f>H21/DAY(B2)</f>
        <v>-103.45161290322581</v>
      </c>
      <c r="K21" s="79"/>
      <c r="L21" s="66"/>
      <c r="N21" s="87"/>
      <c r="O21" s="71"/>
    </row>
    <row r="22" spans="1:15" ht="33" customHeight="1">
      <c r="A22" s="888" t="s">
        <v>144</v>
      </c>
      <c r="B22" s="889"/>
      <c r="C22" s="890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110</v>
      </c>
      <c r="I24" s="118"/>
      <c r="J24" s="175">
        <f>H24/DAY(B2)</f>
        <v>3.5483870967741935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110</v>
      </c>
      <c r="I25" s="118"/>
      <c r="J25" s="175">
        <f>H25/DAY(B2)</f>
        <v>3.5483870967741935</v>
      </c>
      <c r="K25" s="79"/>
      <c r="L25" s="66"/>
      <c r="N25" s="87"/>
      <c r="O25" s="71"/>
    </row>
    <row r="26" spans="1:15" s="88" customFormat="1" ht="33" customHeight="1">
      <c r="A26" s="893" t="s">
        <v>149</v>
      </c>
      <c r="B26" s="894"/>
      <c r="C26" s="895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4948497</v>
      </c>
      <c r="I28" s="138"/>
      <c r="J28" s="175">
        <f>H28/DAY(B2)</f>
        <v>159628.93548387097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1476383.35</v>
      </c>
      <c r="I29" s="140"/>
      <c r="J29" s="175">
        <f>H29/DAY(B2)</f>
        <v>47625.269354838711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7590</v>
      </c>
      <c r="I30" s="140"/>
      <c r="J30" s="175">
        <f>H30/DAY(B2)</f>
        <v>244.83870967741936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-1005214.44</v>
      </c>
      <c r="I31" s="140"/>
      <c r="J31" s="175">
        <f>H31/DAY(B2)</f>
        <v>-32426.272258064513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294400</v>
      </c>
      <c r="I32" s="140"/>
      <c r="J32" s="175">
        <f>H32/DAY(B2)</f>
        <v>9496.7741935483864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5721655.9100000001</v>
      </c>
      <c r="I33" s="144"/>
      <c r="J33" s="175">
        <f>H33/DAY(B2)</f>
        <v>184569.54548387098</v>
      </c>
      <c r="K33" s="63"/>
      <c r="L33" s="89"/>
      <c r="N33" s="87"/>
      <c r="O33" s="71"/>
    </row>
    <row r="34" spans="1:15" ht="33" customHeight="1">
      <c r="A34" s="896" t="s">
        <v>331</v>
      </c>
      <c r="B34" s="897"/>
      <c r="C34" s="897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45952</v>
      </c>
      <c r="I36" s="95"/>
      <c r="J36" s="175">
        <f>H36/DAY(B2)</f>
        <v>1482.3225806451612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21961</v>
      </c>
      <c r="I37" s="95"/>
      <c r="J37" s="175">
        <f>H37/DAY(B2)</f>
        <v>708.41935483870964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47212</v>
      </c>
      <c r="I38" s="95"/>
      <c r="J38" s="175">
        <f>H38/DAY(B2)</f>
        <v>1522.9677419354839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51617.000000000007</v>
      </c>
      <c r="I39" s="95"/>
      <c r="J39" s="175">
        <f>H39/DAY(B2)</f>
        <v>1665.0645161290324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82092</v>
      </c>
      <c r="I40" s="95"/>
      <c r="J40" s="175">
        <f>H40/DAY(B2)</f>
        <v>2648.1290322580644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15046</v>
      </c>
      <c r="I41" s="95"/>
      <c r="J41" s="175">
        <f>H41/DAY(B2)</f>
        <v>485.35483870967744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26607</v>
      </c>
      <c r="I43" s="95"/>
      <c r="J43" s="175">
        <f>H43/DAY(B2)</f>
        <v>858.29032258064512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68200</v>
      </c>
      <c r="I44" s="95"/>
      <c r="J44" s="175">
        <f>H44/DAY(B2)</f>
        <v>2200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358687.00000000006</v>
      </c>
      <c r="I48" s="95"/>
      <c r="J48" s="175">
        <f>H48/DAY(B2)</f>
        <v>11570.548387096776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432943</v>
      </c>
      <c r="I50" s="95"/>
      <c r="J50" s="175">
        <f>H50/DAY(B2)</f>
        <v>13965.903225806451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582648</v>
      </c>
      <c r="I51" s="95"/>
      <c r="J51" s="175">
        <f>H51/DAY(B2)</f>
        <v>18795.096774193549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144640</v>
      </c>
      <c r="I52" s="95"/>
      <c r="J52" s="175">
        <f>H52/DAY(B2)</f>
        <v>4665.8064516129034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539606</v>
      </c>
      <c r="I53" s="95"/>
      <c r="J53" s="175">
        <f>H53/DAY(B2)</f>
        <v>17406.645161290322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16734.080000000002</v>
      </c>
      <c r="I55" s="95"/>
      <c r="J55" s="175">
        <f>H55/DAY(B2)</f>
        <v>539.80903225806458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302757.99</v>
      </c>
      <c r="I56" s="95"/>
      <c r="J56" s="175">
        <f>H56/DAY(B2)</f>
        <v>9766.3867741935483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652408.46</v>
      </c>
      <c r="I57" s="95"/>
      <c r="J57" s="175">
        <f>H57/DAY(B2)</f>
        <v>21045.434193548386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66354.63</v>
      </c>
      <c r="I59" s="95"/>
      <c r="J59" s="175">
        <f>H59/DAY(B2)</f>
        <v>2140.4719354838712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3180035.16</v>
      </c>
      <c r="I60" s="95">
        <f>G7-G61</f>
        <v>-3044263.45</v>
      </c>
      <c r="J60" s="175">
        <f>H60/DAY(B2)</f>
        <v>102581.77935483871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3538722.16</v>
      </c>
      <c r="I61" s="95">
        <f>G14-G61</f>
        <v>-3044263.45</v>
      </c>
      <c r="J61" s="175">
        <f>H61/DAY(B2)</f>
        <v>114152.32774193549</v>
      </c>
      <c r="K61" s="79"/>
      <c r="L61" s="66"/>
      <c r="N61" s="87"/>
      <c r="O61" s="71"/>
    </row>
    <row r="62" spans="1:15" s="68" customFormat="1" ht="33" customHeight="1">
      <c r="A62" s="898" t="s">
        <v>332</v>
      </c>
      <c r="B62" s="899"/>
      <c r="C62" s="900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64" t="s">
        <v>198</v>
      </c>
      <c r="B63" s="865"/>
      <c r="C63" s="866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64" t="s">
        <v>199</v>
      </c>
      <c r="B64" s="865"/>
      <c r="C64" s="866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346576</v>
      </c>
      <c r="I64" s="118"/>
      <c r="J64" s="175">
        <f>H64/DAY(B2)</f>
        <v>11179.870967741936</v>
      </c>
      <c r="K64" s="69"/>
      <c r="L64" s="66"/>
      <c r="N64" s="87"/>
      <c r="O64" s="71"/>
    </row>
    <row r="65" spans="1:15" ht="33" customHeight="1">
      <c r="A65" s="873" t="s">
        <v>200</v>
      </c>
      <c r="B65" s="874"/>
      <c r="C65" s="875"/>
      <c r="D65" s="151"/>
      <c r="E65" s="122"/>
      <c r="F65" s="122"/>
      <c r="G65" s="112">
        <f>G63+G64</f>
        <v>451111</v>
      </c>
      <c r="H65" s="99">
        <f>G65+'30'!H95</f>
        <v>451119.26269324421</v>
      </c>
      <c r="I65" s="118"/>
      <c r="J65" s="175">
        <f>H65/DAY(B2)</f>
        <v>14552.234280427232</v>
      </c>
      <c r="K65" s="69"/>
      <c r="L65" s="66"/>
      <c r="N65" s="87"/>
      <c r="O65" s="71"/>
    </row>
    <row r="66" spans="1:15" ht="33" customHeight="1">
      <c r="A66" s="864" t="s">
        <v>201</v>
      </c>
      <c r="B66" s="865"/>
      <c r="C66" s="866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513876</v>
      </c>
      <c r="I66" s="118"/>
      <c r="J66" s="175">
        <f>H66/DAY(B2)</f>
        <v>16576.645161290322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104641.18796852676</v>
      </c>
      <c r="I67" s="118"/>
      <c r="J67" s="175">
        <f>H67/DAY(B2)</f>
        <v>3375.5221925331216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178576</v>
      </c>
      <c r="I68" s="118"/>
      <c r="J68" s="175">
        <f>H68/DAY(B2)</f>
        <v>5760.5161290322585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152139.36525276094</v>
      </c>
      <c r="I69" s="118"/>
      <c r="J69" s="175">
        <f>H69/DAY(B2)</f>
        <v>4907.7214597664815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58594.000000000007</v>
      </c>
      <c r="I70" s="118"/>
      <c r="J70" s="175">
        <f>H70/DAY(B2)</f>
        <v>1890.1290322580649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6375.7911699155466</v>
      </c>
      <c r="I71" s="118"/>
      <c r="J71" s="175">
        <f>H71/DAY(B2)</f>
        <v>205.6706829005015</v>
      </c>
      <c r="K71" s="69"/>
      <c r="L71" s="66"/>
      <c r="N71" s="87"/>
      <c r="O71" s="71"/>
    </row>
    <row r="72" spans="1:15" ht="33" customHeight="1">
      <c r="A72" s="873" t="s">
        <v>208</v>
      </c>
      <c r="B72" s="874"/>
      <c r="C72" s="875"/>
      <c r="D72" s="152"/>
      <c r="E72" s="152"/>
      <c r="F72" s="152"/>
      <c r="G72" s="153">
        <f>SUM(G66:G71)</f>
        <v>793178</v>
      </c>
      <c r="H72" s="99">
        <f>G72+'30'!H102</f>
        <v>845137</v>
      </c>
      <c r="I72" s="154"/>
      <c r="J72" s="175">
        <f>H72/DAY(B2)</f>
        <v>27262.483870967742</v>
      </c>
      <c r="K72" s="69"/>
      <c r="L72" s="66"/>
      <c r="N72" s="87"/>
      <c r="O72" s="71"/>
    </row>
    <row r="73" spans="1:15" s="88" customFormat="1" ht="33" customHeight="1">
      <c r="A73" s="860"/>
      <c r="B73" s="845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870" t="s">
        <v>333</v>
      </c>
      <c r="B74" s="871"/>
      <c r="C74" s="872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64" t="s">
        <v>220</v>
      </c>
      <c r="B75" s="865"/>
      <c r="C75" s="866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64" t="s">
        <v>221</v>
      </c>
      <c r="B76" s="865"/>
      <c r="C76" s="866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861" t="s">
        <v>222</v>
      </c>
      <c r="B77" s="862"/>
      <c r="C77" s="863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861" t="s">
        <v>223</v>
      </c>
      <c r="B78" s="862"/>
      <c r="C78" s="863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861" t="s">
        <v>224</v>
      </c>
      <c r="B79" s="862"/>
      <c r="C79" s="863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-28824</v>
      </c>
      <c r="I79" s="118"/>
      <c r="J79" s="175">
        <f>H79/DAY(B2)</f>
        <v>-929.80645161290317</v>
      </c>
      <c r="K79" s="69"/>
      <c r="L79" s="66"/>
      <c r="N79" s="87"/>
      <c r="O79" s="71"/>
    </row>
    <row r="80" spans="1:15" s="57" customFormat="1" ht="33" customHeight="1">
      <c r="A80" s="861" t="s">
        <v>225</v>
      </c>
      <c r="B80" s="862"/>
      <c r="C80" s="863"/>
      <c r="D80" s="151"/>
      <c r="E80" s="117"/>
      <c r="F80" s="117"/>
      <c r="G80" s="112">
        <f>G16-SUM(G75:G79)</f>
        <v>-1079638.3999999999</v>
      </c>
      <c r="H80" s="99">
        <f>G80+'30'!H129</f>
        <v>-1073239.3999999999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73" t="s">
        <v>329</v>
      </c>
      <c r="B81" s="874"/>
      <c r="C81" s="875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878" t="s">
        <v>226</v>
      </c>
      <c r="B82" s="879"/>
      <c r="C82" s="880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-13153</v>
      </c>
      <c r="I83" s="118"/>
      <c r="J83" s="175">
        <f>H83/DAY(B2)</f>
        <v>-424.29032258064518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-41023</v>
      </c>
      <c r="I84" s="118"/>
      <c r="J84" s="175">
        <f>H84/DAY(B2)</f>
        <v>-1323.3225806451612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-46781</v>
      </c>
      <c r="I85" s="118"/>
      <c r="J85" s="175">
        <f>H85/DAY(B2)</f>
        <v>-1509.0645161290322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3149.9999999999982</v>
      </c>
      <c r="I86" s="118">
        <f>G83+G84+G85+G86</f>
        <v>-138518</v>
      </c>
      <c r="J86" s="175">
        <f>H86/DAY(B2)</f>
        <v>101.61290322580639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77939.169999999984</v>
      </c>
      <c r="I87" s="118"/>
      <c r="J87" s="175">
        <f>H87/DAY(B2)</f>
        <v>2514.166774193548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-839038.04</v>
      </c>
      <c r="I90" s="118"/>
      <c r="J90" s="175">
        <f>H90/DAY(B2)</f>
        <v>-27065.743225806455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-816021.45</v>
      </c>
      <c r="I91" s="118">
        <f>G90+G91</f>
        <v>-1657028.49</v>
      </c>
      <c r="J91" s="175">
        <f>H91/DAY(B2)</f>
        <v>-26323.27258064516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-86254.02</v>
      </c>
      <c r="I92" s="165"/>
      <c r="J92" s="175">
        <f>H92/DAY(B2)</f>
        <v>-2782.387741935484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-44552</v>
      </c>
      <c r="I93" s="165"/>
      <c r="J93" s="175">
        <f>H93/DAY(B2)</f>
        <v>-1437.1612903225807</v>
      </c>
      <c r="O93" s="71"/>
    </row>
    <row r="94" spans="1:15" ht="33" customHeight="1">
      <c r="A94" s="867" t="s">
        <v>239</v>
      </c>
      <c r="B94" s="868"/>
      <c r="C94" s="869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64" t="s">
        <v>240</v>
      </c>
      <c r="B95" s="865"/>
      <c r="C95" s="866"/>
      <c r="D95" s="151" t="s">
        <v>130</v>
      </c>
      <c r="E95" s="151"/>
      <c r="F95" s="151"/>
      <c r="G95" s="99">
        <f>G36+G44+G50+G58</f>
        <v>405889</v>
      </c>
      <c r="H95" s="99">
        <f>G95+'30'!H143</f>
        <v>406635</v>
      </c>
      <c r="I95" s="118"/>
      <c r="J95" s="175">
        <f>H95/DAY(B2)</f>
        <v>13117.258064516129</v>
      </c>
      <c r="K95" s="69"/>
      <c r="L95" s="66"/>
      <c r="O95" s="71"/>
    </row>
    <row r="96" spans="1:15" ht="33" customHeight="1">
      <c r="A96" s="864" t="s">
        <v>241</v>
      </c>
      <c r="B96" s="865"/>
      <c r="C96" s="866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64" t="s">
        <v>242</v>
      </c>
      <c r="B97" s="865"/>
      <c r="C97" s="866"/>
      <c r="D97" s="151" t="s">
        <v>130</v>
      </c>
      <c r="E97" s="95"/>
      <c r="F97" s="95"/>
      <c r="G97" s="99">
        <f>G42+G43+G56+G57</f>
        <v>888916.45</v>
      </c>
      <c r="H97" s="99">
        <f>G97+'30'!H145</f>
        <v>889307.45</v>
      </c>
      <c r="I97" s="118"/>
      <c r="J97" s="175">
        <f>H97/DAY(B2)</f>
        <v>28687.33709677419</v>
      </c>
      <c r="K97" s="69"/>
      <c r="L97" s="66"/>
      <c r="O97" s="71"/>
    </row>
    <row r="98" spans="1:15" ht="33" customHeight="1">
      <c r="A98" s="864" t="s">
        <v>243</v>
      </c>
      <c r="B98" s="865"/>
      <c r="C98" s="866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64" t="s">
        <v>244</v>
      </c>
      <c r="B99" s="865"/>
      <c r="C99" s="866"/>
      <c r="D99" s="151" t="s">
        <v>130</v>
      </c>
      <c r="E99" s="95"/>
      <c r="F99" s="95"/>
      <c r="G99" s="99">
        <f>G40+G54</f>
        <v>438118</v>
      </c>
      <c r="H99" s="99">
        <f>G99+'30'!H147</f>
        <v>449101</v>
      </c>
      <c r="I99" s="168"/>
      <c r="J99" s="175">
        <f>H99/DAY(B2)</f>
        <v>14487.129032258064</v>
      </c>
      <c r="K99" s="69"/>
      <c r="L99" s="66"/>
      <c r="O99" s="71"/>
    </row>
    <row r="100" spans="1:15" ht="33" customHeight="1">
      <c r="A100" s="864" t="s">
        <v>245</v>
      </c>
      <c r="B100" s="865"/>
      <c r="C100" s="866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64" t="s">
        <v>246</v>
      </c>
      <c r="B101" s="865"/>
      <c r="C101" s="866"/>
      <c r="D101" s="151" t="s">
        <v>180</v>
      </c>
      <c r="E101" s="95"/>
      <c r="F101" s="95"/>
      <c r="G101" s="99">
        <f>G39+G53</f>
        <v>541274</v>
      </c>
      <c r="H101" s="99">
        <f>G101+'30'!H149</f>
        <v>554804</v>
      </c>
      <c r="I101" s="118"/>
      <c r="J101" s="175">
        <f>H101/DAY(B2)</f>
        <v>17896.903225806451</v>
      </c>
      <c r="K101" s="70"/>
      <c r="O101" s="71"/>
    </row>
    <row r="102" spans="1:15" ht="33" customHeight="1">
      <c r="A102" s="864" t="s">
        <v>247</v>
      </c>
      <c r="B102" s="865"/>
      <c r="C102" s="866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64" t="s">
        <v>248</v>
      </c>
      <c r="B103" s="865"/>
      <c r="C103" s="866"/>
      <c r="D103" s="151" t="s">
        <v>180</v>
      </c>
      <c r="E103" s="95"/>
      <c r="F103" s="95"/>
      <c r="G103" s="99">
        <f>G37+G51</f>
        <v>552650</v>
      </c>
      <c r="H103" s="99">
        <f>G103+'30'!H156</f>
        <v>554240</v>
      </c>
      <c r="I103" s="168"/>
      <c r="J103" s="175">
        <f>H103/DAY(B2)</f>
        <v>17878.709677419356</v>
      </c>
      <c r="O103" s="71"/>
    </row>
    <row r="104" spans="1:15" ht="33" customHeight="1">
      <c r="A104" s="864" t="s">
        <v>249</v>
      </c>
      <c r="B104" s="865"/>
      <c r="C104" s="866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64" t="s">
        <v>250</v>
      </c>
      <c r="B105" s="865"/>
      <c r="C105" s="866"/>
      <c r="D105" s="151" t="s">
        <v>180</v>
      </c>
      <c r="E105" s="95"/>
      <c r="F105" s="95"/>
      <c r="G105" s="99">
        <f>G38+G52</f>
        <v>145803</v>
      </c>
      <c r="H105" s="99">
        <f>G105+'30'!H161</f>
        <v>146660.84000000003</v>
      </c>
      <c r="I105" s="118"/>
      <c r="J105" s="175">
        <f>H105/DAY(B2)</f>
        <v>4730.9948387096783</v>
      </c>
      <c r="O105" s="71"/>
    </row>
    <row r="106" spans="1:15" ht="33" customHeight="1" thickBot="1">
      <c r="A106" s="857" t="s">
        <v>251</v>
      </c>
      <c r="B106" s="858"/>
      <c r="C106" s="859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853" t="s">
        <v>324</v>
      </c>
      <c r="B109" s="853"/>
      <c r="C109" s="853"/>
      <c r="D109" s="853"/>
      <c r="E109" s="853"/>
      <c r="F109" s="853"/>
      <c r="G109" s="853"/>
      <c r="H109" s="853"/>
      <c r="I109" s="853"/>
      <c r="J109" s="853"/>
    </row>
    <row r="110" spans="1:15" ht="33" customHeight="1">
      <c r="A110" s="881"/>
      <c r="B110" s="881"/>
    </row>
    <row r="111" spans="1:15" ht="33" customHeight="1">
      <c r="A111" s="854" t="s">
        <v>165</v>
      </c>
      <c r="B111" s="855"/>
      <c r="C111" s="855"/>
      <c r="D111" s="855"/>
      <c r="E111" s="855"/>
      <c r="F111" s="855"/>
      <c r="G111" s="855"/>
      <c r="H111" s="855"/>
      <c r="I111" s="855"/>
      <c r="J111" s="856"/>
    </row>
    <row r="112" spans="1:15" ht="33" customHeight="1">
      <c r="A112" s="847"/>
      <c r="B112" s="848"/>
      <c r="C112" s="849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843" t="s">
        <v>252</v>
      </c>
      <c r="B113" s="844"/>
      <c r="C113" s="845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843" t="s">
        <v>253</v>
      </c>
      <c r="B114" s="844"/>
      <c r="C114" s="845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843" t="s">
        <v>254</v>
      </c>
      <c r="B115" s="844"/>
      <c r="C115" s="845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843" t="s">
        <v>255</v>
      </c>
      <c r="B116" s="844"/>
      <c r="C116" s="845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850" t="s">
        <v>96</v>
      </c>
      <c r="B117" s="851"/>
      <c r="C117" s="852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44933</v>
      </c>
      <c r="I117" s="165"/>
      <c r="J117" s="328" t="e">
        <f t="shared" si="9"/>
        <v>#DIV/0!</v>
      </c>
      <c r="Q117" s="843" t="s">
        <v>311</v>
      </c>
      <c r="R117" s="845"/>
    </row>
    <row r="118" spans="1:18" ht="33" customHeight="1">
      <c r="A118" s="850" t="s">
        <v>184</v>
      </c>
      <c r="B118" s="851"/>
      <c r="C118" s="852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45243</v>
      </c>
      <c r="I118" s="165"/>
      <c r="J118" s="328" t="e">
        <f t="shared" si="9"/>
        <v>#DIV/0!</v>
      </c>
      <c r="Q118" s="843" t="s">
        <v>312</v>
      </c>
      <c r="R118" s="845"/>
    </row>
    <row r="119" spans="1:18" ht="33" customHeight="1">
      <c r="A119" s="842" t="s">
        <v>97</v>
      </c>
      <c r="B119" s="842"/>
      <c r="C119" s="842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45218</v>
      </c>
      <c r="I119" s="165"/>
      <c r="J119" s="328" t="e">
        <f t="shared" si="9"/>
        <v>#DIV/0!</v>
      </c>
      <c r="Q119" s="843" t="s">
        <v>311</v>
      </c>
      <c r="R119" s="845"/>
    </row>
    <row r="120" spans="1:18" ht="33" customHeight="1">
      <c r="A120" s="842" t="s">
        <v>98</v>
      </c>
      <c r="B120" s="842"/>
      <c r="C120" s="842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45528</v>
      </c>
      <c r="I120" s="165"/>
      <c r="J120" s="328" t="e">
        <f t="shared" si="9"/>
        <v>#DIV/0!</v>
      </c>
    </row>
    <row r="121" spans="1:18" ht="33" customHeight="1">
      <c r="A121" s="842" t="s">
        <v>99</v>
      </c>
      <c r="B121" s="842"/>
      <c r="C121" s="842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42" t="s">
        <v>100</v>
      </c>
      <c r="B122" s="842"/>
      <c r="C122" s="842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46525</v>
      </c>
      <c r="I122" s="165"/>
      <c r="J122" s="328" t="e">
        <f t="shared" si="9"/>
        <v>#DIV/0!</v>
      </c>
    </row>
    <row r="123" spans="1:18" ht="33" customHeight="1">
      <c r="A123" s="842" t="s">
        <v>101</v>
      </c>
      <c r="B123" s="842"/>
      <c r="C123" s="842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45772</v>
      </c>
      <c r="I123" s="165"/>
      <c r="J123" s="328" t="e">
        <f t="shared" si="9"/>
        <v>#DIV/0!</v>
      </c>
    </row>
    <row r="124" spans="1:18" ht="33" customHeight="1">
      <c r="A124" s="842" t="s">
        <v>102</v>
      </c>
      <c r="B124" s="842"/>
      <c r="C124" s="842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45149</v>
      </c>
      <c r="I124" s="165"/>
      <c r="J124" s="328" t="e">
        <f t="shared" si="9"/>
        <v>#DIV/0!</v>
      </c>
    </row>
    <row r="125" spans="1:18" ht="33" customHeight="1">
      <c r="A125" s="847"/>
      <c r="B125" s="848"/>
      <c r="C125" s="849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832"/>
      <c r="B126" s="832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846" t="s">
        <v>317</v>
      </c>
      <c r="B127" s="846"/>
      <c r="C127" s="846"/>
      <c r="D127" s="846"/>
      <c r="E127" s="846"/>
      <c r="F127" s="846"/>
      <c r="G127" s="846"/>
      <c r="H127" s="846"/>
      <c r="I127" s="846"/>
      <c r="J127" s="846"/>
    </row>
    <row r="128" spans="1:18" ht="33" customHeight="1">
      <c r="A128" s="832"/>
      <c r="B128" s="832"/>
      <c r="C128" s="245"/>
      <c r="D128" s="307"/>
      <c r="E128" s="308"/>
      <c r="F128" s="308"/>
      <c r="G128" s="309"/>
      <c r="H128" s="99">
        <f>G128+'30'!H184</f>
        <v>210</v>
      </c>
      <c r="I128" s="165"/>
      <c r="J128" s="328" t="e">
        <f t="shared" ref="J128:J136" si="10">H128/DAY(B47)</f>
        <v>#DIV/0!</v>
      </c>
    </row>
    <row r="129" spans="1:15" ht="33" customHeight="1">
      <c r="A129" s="843" t="s">
        <v>318</v>
      </c>
      <c r="B129" s="844"/>
      <c r="C129" s="845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597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3830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843" t="s">
        <v>321</v>
      </c>
      <c r="B132" s="844"/>
      <c r="C132" s="845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2223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843" t="s">
        <v>322</v>
      </c>
      <c r="B133" s="844"/>
      <c r="C133" s="845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1057</v>
      </c>
      <c r="I133" s="165"/>
      <c r="J133" s="328" t="e">
        <f t="shared" si="10"/>
        <v>#DIV/0!</v>
      </c>
    </row>
    <row r="134" spans="1:15" ht="33" customHeight="1">
      <c r="A134" s="843" t="s">
        <v>323</v>
      </c>
      <c r="B134" s="844"/>
      <c r="C134" s="845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>
      <c r="A135" s="847"/>
      <c r="B135" s="848"/>
      <c r="C135" s="849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847"/>
      <c r="B136" s="848"/>
      <c r="C136" s="849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831" t="s">
        <v>325</v>
      </c>
      <c r="B137" s="831"/>
      <c r="C137" s="831"/>
      <c r="D137" s="831"/>
      <c r="E137" s="831"/>
      <c r="F137" s="831"/>
      <c r="G137" s="831"/>
      <c r="H137" s="831"/>
      <c r="I137" s="831"/>
      <c r="J137" s="831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42" t="s">
        <v>185</v>
      </c>
      <c r="B139" s="842"/>
      <c r="C139" s="842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42" t="s">
        <v>186</v>
      </c>
      <c r="B140" s="842"/>
      <c r="C140" s="842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42" t="s">
        <v>187</v>
      </c>
      <c r="B141" s="842"/>
      <c r="C141" s="842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823" t="s">
        <v>188</v>
      </c>
      <c r="B142" s="823"/>
      <c r="C142" s="823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823" t="s">
        <v>189</v>
      </c>
      <c r="B143" s="823"/>
      <c r="C143" s="823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42" t="s">
        <v>190</v>
      </c>
      <c r="B144" s="842"/>
      <c r="C144" s="842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877" t="s">
        <v>191</v>
      </c>
      <c r="B145" s="862"/>
      <c r="C145" s="863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823" t="s">
        <v>90</v>
      </c>
      <c r="B146" s="823"/>
      <c r="C146" s="823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823" t="s">
        <v>192</v>
      </c>
      <c r="B147" s="823"/>
      <c r="C147" s="823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823" t="s">
        <v>193</v>
      </c>
      <c r="B148" s="823"/>
      <c r="C148" s="823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823" t="s">
        <v>91</v>
      </c>
      <c r="B149" s="823"/>
      <c r="C149" s="823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823" t="s">
        <v>194</v>
      </c>
      <c r="B150" s="823"/>
      <c r="C150" s="823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831" t="s">
        <v>326</v>
      </c>
      <c r="B153" s="831"/>
      <c r="C153" s="831"/>
      <c r="D153" s="831"/>
      <c r="E153" s="831"/>
      <c r="F153" s="831"/>
      <c r="G153" s="831"/>
      <c r="H153" s="831"/>
      <c r="I153" s="831"/>
      <c r="J153" s="831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832" t="s">
        <v>328</v>
      </c>
      <c r="B159" s="832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832" t="s">
        <v>327</v>
      </c>
      <c r="B160" s="832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832" t="s">
        <v>328</v>
      </c>
      <c r="B161" s="832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833" t="s">
        <v>330</v>
      </c>
      <c r="B164" s="834"/>
      <c r="C164" s="834"/>
      <c r="D164" s="834"/>
      <c r="E164" s="834"/>
      <c r="F164" s="834"/>
      <c r="G164" s="834"/>
      <c r="H164" s="834"/>
      <c r="I164" s="834"/>
      <c r="J164" s="835"/>
    </row>
    <row r="165" spans="1:10" ht="33" customHeight="1">
      <c r="A165" s="840"/>
      <c r="B165" s="841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36" t="s">
        <v>209</v>
      </c>
      <c r="B166" s="837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36" t="s">
        <v>75</v>
      </c>
      <c r="B167" s="837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36" t="s">
        <v>76</v>
      </c>
      <c r="B168" s="876"/>
      <c r="C168" s="837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36" t="s">
        <v>196</v>
      </c>
      <c r="B169" s="837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36" t="s">
        <v>77</v>
      </c>
      <c r="B170" s="837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36" t="s">
        <v>210</v>
      </c>
      <c r="B171" s="837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36" t="s">
        <v>211</v>
      </c>
      <c r="B172" s="837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36" t="s">
        <v>212</v>
      </c>
      <c r="B173" s="837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829" t="s">
        <v>108</v>
      </c>
      <c r="B174" s="830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36" t="s">
        <v>213</v>
      </c>
      <c r="B175" s="837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36" t="s">
        <v>214</v>
      </c>
      <c r="B176" s="837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36" t="s">
        <v>215</v>
      </c>
      <c r="B177" s="837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36" t="s">
        <v>216</v>
      </c>
      <c r="B178" s="837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36" t="s">
        <v>196</v>
      </c>
      <c r="B179" s="837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829" t="s">
        <v>217</v>
      </c>
      <c r="B180" s="830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829" t="s">
        <v>218</v>
      </c>
      <c r="B181" s="830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829" t="s">
        <v>219</v>
      </c>
      <c r="B182" s="830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829"/>
      <c r="B183" s="830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vikas.sardal</cp:lastModifiedBy>
  <cp:revision/>
  <cp:lastPrinted>2021-08-31T02:26:59Z</cp:lastPrinted>
  <dcterms:created xsi:type="dcterms:W3CDTF">2013-11-14T06:06:34Z</dcterms:created>
  <dcterms:modified xsi:type="dcterms:W3CDTF">2022-02-01T13:19:24Z</dcterms:modified>
</cp:coreProperties>
</file>