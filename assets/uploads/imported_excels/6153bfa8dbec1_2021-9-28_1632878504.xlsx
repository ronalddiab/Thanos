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2522B4EB-FDD2-4C9D-A2C8-BE7C69279461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D23" i="2"/>
  <c r="D22" i="4" s="1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D7" i="3" s="1"/>
  <c r="B8" i="3"/>
  <c r="L8" i="3" s="1"/>
  <c r="B9" i="3"/>
  <c r="B10" i="3"/>
  <c r="B11" i="3"/>
  <c r="B12" i="3"/>
  <c r="B13" i="3"/>
  <c r="B14" i="3"/>
  <c r="B15" i="3"/>
  <c r="B16" i="3"/>
  <c r="D16" i="3" s="1"/>
  <c r="B17" i="3"/>
  <c r="B18" i="3"/>
  <c r="B19" i="3"/>
  <c r="B20" i="3"/>
  <c r="B21" i="3"/>
  <c r="B22" i="3"/>
  <c r="D22" i="3" s="1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17" i="4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E22" i="4"/>
  <c r="H7" i="4"/>
  <c r="K22" i="4"/>
  <c r="J7" i="4"/>
  <c r="C16" i="4"/>
  <c r="C22" i="4"/>
  <c r="K8" i="4"/>
  <c r="G8" i="4"/>
  <c r="V25" i="2" l="1"/>
  <c r="V34" i="2"/>
  <c r="V24" i="2"/>
  <c r="V33" i="2"/>
  <c r="V32" i="2"/>
  <c r="M31" i="3" s="1"/>
  <c r="C28" i="3"/>
  <c r="V29" i="2"/>
  <c r="F13" i="3"/>
  <c r="V28" i="2"/>
  <c r="V27" i="2"/>
  <c r="V26" i="2"/>
  <c r="J33" i="4"/>
  <c r="V30" i="2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M29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M23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M32" i="3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M26" i="3"/>
  <c r="M28" i="3"/>
  <c r="F28" i="3"/>
  <c r="E26" i="4"/>
  <c r="M27" i="3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M25" i="3"/>
  <c r="F25" i="3"/>
  <c r="E25" i="4"/>
  <c r="M35" i="8"/>
  <c r="J23" i="8"/>
  <c r="Y24" i="8"/>
  <c r="Z24" i="8" s="1"/>
  <c r="T24" i="8"/>
  <c r="Y25" i="8"/>
  <c r="Z25" i="8" s="1"/>
  <c r="D24" i="8"/>
  <c r="G24" i="3"/>
  <c r="M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<sst xmlns="http://schemas.openxmlformats.org/spreadsheetml/2006/main" count="203" uniqueCount="130">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</sst>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</c:v>
                </c:pt>
                <c:pt idx="2">
                  <c:v>-244760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0.17109821583232288</c:v>
                </c:pt>
                <c:pt idx="2" formatCode="_(* #,##0.00_);_(* \(#,##0.00\);_(* &quot;-&quot;??_);_(@_)">
                  <c:v>-211984</c:v>
                </c:pt>
                <c:pt idx="3">
                  <c:v>0.65571255351265745</c:v>
                </c:pt>
                <c:pt idx="4" formatCode="0.00">
                  <c:v>-27660</c:v>
                </c:pt>
                <c:pt idx="5">
                  <c:v>8.5558387567741451E-2</c:v>
                </c:pt>
                <c:pt idx="6" formatCode="0.00">
                  <c:v>-37781</c:v>
                </c:pt>
                <c:pt idx="7">
                  <c:v>0.11686483878151989</c:v>
                </c:pt>
                <c:pt idx="8" formatCode="0.00">
                  <c:v>-6604</c:v>
                </c:pt>
                <c:pt idx="9">
                  <c:v>2.0427606344807107E-2</c:v>
                </c:pt>
                <c:pt idx="10" formatCode="0.00">
                  <c:v>-913</c:v>
                </c:pt>
                <c:pt idx="11">
                  <c:v>2.8241072975180026E-3</c:v>
                </c:pt>
                <c:pt idx="12" formatCode="0.00">
                  <c:v>-66981</c:v>
                </c:pt>
                <c:pt idx="13">
                  <c:v>0.20718678082700254</c:v>
                </c:pt>
                <c:pt idx="14" formatCode="_(* #,##0.00_);_(* \(#,##0.00\);_(* &quot;-&quot;??_);_(@_)">
                  <c:v>-251513</c:v>
                </c:pt>
                <c:pt idx="15">
                  <c:v>0.77798433594813299</c:v>
                </c:pt>
                <c:pt idx="16" formatCode="0.00">
                  <c:v>-112781</c:v>
                </c:pt>
                <c:pt idx="17">
                  <c:v>0.34885612828190343</c:v>
                </c:pt>
                <c:pt idx="18" formatCode="0.00">
                  <c:v>-21005</c:v>
                </c:pt>
                <c:pt idx="19">
                  <c:v>6.4973027146074086E-2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13216"/>
        <c:axId val="205114752"/>
      </c:barChart>
      <c:catAx>
        <c:axId val="205113216"/>
        <c:scaling>
          <c:orientation val="minMax"/>
        </c:scaling>
        <c:delete val="1"/>
        <c:axPos val="b"/>
        <c:majorTickMark val="none"/>
        <c:minorTickMark val="none"/>
        <c:tickLblPos val="nextTo"/>
        <c:crossAx val="205114752"/>
        <c:crosses val="autoZero"/>
        <c:auto val="1"/>
        <c:lblAlgn val="ctr"/>
        <c:lblOffset val="100"/>
        <c:noMultiLvlLbl val="0"/>
      </c:catAx>
      <c:valAx>
        <c:axId val="20511475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05113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2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22480.000000000247</v>
      </c>
      <c r="F6" s="48">
        <v>0.15</v>
      </c>
      <c r="G6" s="107">
        <v>6189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21649.999999997817</v>
      </c>
      <c r="F7" s="48">
        <v>0.15</v>
      </c>
      <c r="G7" s="107">
        <v>5954</v>
      </c>
      <c r="H7" s="48">
        <v>0.5927</v>
      </c>
      <c r="I7" s="65">
        <v>243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>
        <v>22320.000000001754</v>
      </c>
      <c r="F8" s="48">
        <v>0.15</v>
      </c>
      <c r="G8" s="107">
        <v>6009</v>
      </c>
      <c r="H8" s="48">
        <v>0.5927</v>
      </c>
      <c r="I8" s="65">
        <v>229</v>
      </c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>
        <v>20830.000000000611</v>
      </c>
      <c r="F9" s="48">
        <v>0.15</v>
      </c>
      <c r="G9" s="107">
        <v>5695</v>
      </c>
      <c r="H9" s="48">
        <v>0.5927</v>
      </c>
      <c r="I9" s="65">
        <v>232</v>
      </c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>
        <v>21529.999999997472</v>
      </c>
      <c r="F10" s="48">
        <v>0.15</v>
      </c>
      <c r="G10" s="107">
        <v>5985</v>
      </c>
      <c r="H10" s="48">
        <v>0.5927</v>
      </c>
      <c r="I10" s="65">
        <v>334</v>
      </c>
      <c r="J10" s="76">
        <v>1.133</v>
      </c>
      <c r="K10" s="108"/>
      <c r="L10" s="76"/>
      <c r="M10" s="72">
        <v>23</v>
      </c>
      <c r="N10" s="72">
        <v>52</v>
      </c>
      <c r="O10" s="72">
        <v>133</v>
      </c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>
        <v>21059.999999999945</v>
      </c>
      <c r="F11" s="48">
        <v>0.15</v>
      </c>
      <c r="G11" s="107">
        <v>5802</v>
      </c>
      <c r="H11" s="48">
        <v>0.5927</v>
      </c>
      <c r="I11" s="65">
        <v>226</v>
      </c>
      <c r="J11" s="76">
        <v>1.133</v>
      </c>
      <c r="K11" s="108"/>
      <c r="L11" s="76"/>
      <c r="M11" s="72">
        <v>23</v>
      </c>
      <c r="N11" s="72">
        <v>54</v>
      </c>
      <c r="O11" s="72">
        <v>150</v>
      </c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>
        <v>21830.000000003114</v>
      </c>
      <c r="F12" s="48">
        <v>0.15</v>
      </c>
      <c r="G12" s="107">
        <v>5894</v>
      </c>
      <c r="H12" s="48">
        <v>0.5927</v>
      </c>
      <c r="I12" s="65">
        <v>231</v>
      </c>
      <c r="J12" s="76">
        <v>1.133</v>
      </c>
      <c r="K12" s="108"/>
      <c r="L12" s="76"/>
      <c r="M12" s="72">
        <v>24</v>
      </c>
      <c r="N12" s="72">
        <v>55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>
        <v>20779.999999999291</v>
      </c>
      <c r="F13" s="48">
        <v>0.15</v>
      </c>
      <c r="G13" s="107">
        <v>5680</v>
      </c>
      <c r="H13" s="48">
        <v>0.5927</v>
      </c>
      <c r="I13" s="65">
        <v>244</v>
      </c>
      <c r="J13" s="76">
        <v>1.133</v>
      </c>
      <c r="K13" s="108"/>
      <c r="L13" s="76"/>
      <c r="M13" s="72">
        <v>22</v>
      </c>
      <c r="N13" s="72">
        <v>49</v>
      </c>
      <c r="O13" s="72">
        <v>152</v>
      </c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>
        <v>21360.000000000131</v>
      </c>
      <c r="F14" s="48">
        <v>0.15</v>
      </c>
      <c r="G14" s="107">
        <v>6005</v>
      </c>
      <c r="H14" s="48">
        <v>0.5927</v>
      </c>
      <c r="I14" s="65">
        <v>224</v>
      </c>
      <c r="J14" s="76">
        <v>1.133</v>
      </c>
      <c r="K14" s="108"/>
      <c r="L14" s="76"/>
      <c r="M14" s="72">
        <v>16</v>
      </c>
      <c r="N14" s="72">
        <v>37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>
        <v>21449.999999998457</v>
      </c>
      <c r="F15" s="48">
        <v>0.15</v>
      </c>
      <c r="G15" s="107">
        <v>5853</v>
      </c>
      <c r="H15" s="48">
        <v>0.5927</v>
      </c>
      <c r="I15" s="65">
        <v>235</v>
      </c>
      <c r="J15" s="76">
        <v>1.133</v>
      </c>
      <c r="K15" s="108"/>
      <c r="L15" s="76"/>
      <c r="M15" s="72">
        <v>15</v>
      </c>
      <c r="N15" s="72">
        <v>34</v>
      </c>
      <c r="O15" s="72">
        <v>87</v>
      </c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>
        <v>18569.999999999709</v>
      </c>
      <c r="F16" s="48">
        <v>0.15</v>
      </c>
      <c r="G16" s="107">
        <v>4985</v>
      </c>
      <c r="H16" s="48">
        <v>0.5927</v>
      </c>
      <c r="I16" s="65">
        <v>287</v>
      </c>
      <c r="J16" s="76">
        <v>1.133</v>
      </c>
      <c r="K16" s="108"/>
      <c r="L16" s="76"/>
      <c r="M16" s="72">
        <v>19</v>
      </c>
      <c r="N16" s="72">
        <v>48</v>
      </c>
      <c r="O16" s="72">
        <v>98</v>
      </c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>
        <v>21740.000000002055</v>
      </c>
      <c r="F17" s="48">
        <v>0.15</v>
      </c>
      <c r="G17" s="107">
        <v>6056</v>
      </c>
      <c r="H17" s="48">
        <v>0.5927</v>
      </c>
      <c r="I17" s="65">
        <v>273</v>
      </c>
      <c r="J17" s="76">
        <v>1.133</v>
      </c>
      <c r="K17" s="108"/>
      <c r="L17" s="76"/>
      <c r="M17" s="72">
        <v>19</v>
      </c>
      <c r="N17" s="72">
        <v>48</v>
      </c>
      <c r="O17" s="72">
        <v>119</v>
      </c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>
        <v>22409.999999998261</v>
      </c>
      <c r="F18" s="48">
        <v>0.15</v>
      </c>
      <c r="G18" s="107">
        <v>6015</v>
      </c>
      <c r="H18" s="48">
        <v>0.5927</v>
      </c>
      <c r="I18" s="65">
        <v>246</v>
      </c>
      <c r="J18" s="76">
        <v>1.133</v>
      </c>
      <c r="K18" s="108"/>
      <c r="L18" s="76"/>
      <c r="M18" s="72">
        <v>19</v>
      </c>
      <c r="N18" s="72">
        <v>49</v>
      </c>
      <c r="O18" s="72">
        <v>127</v>
      </c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>
        <v>22720.000000000029</v>
      </c>
      <c r="F19" s="48">
        <v>0.15</v>
      </c>
      <c r="G19" s="107">
        <v>6180</v>
      </c>
      <c r="H19" s="48">
        <v>0.5927</v>
      </c>
      <c r="I19" s="65">
        <v>237</v>
      </c>
      <c r="J19" s="76">
        <v>1.133</v>
      </c>
      <c r="K19" s="108"/>
      <c r="L19" s="76"/>
      <c r="M19" s="72">
        <v>18</v>
      </c>
      <c r="N19" s="72">
        <v>43</v>
      </c>
      <c r="O19" s="72">
        <v>124</v>
      </c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>
        <v>21610.000000001946</v>
      </c>
      <c r="F20" s="48">
        <v>0.15</v>
      </c>
      <c r="G20" s="107">
        <v>5921</v>
      </c>
      <c r="H20" s="48">
        <v>0.5927</v>
      </c>
      <c r="I20" s="65">
        <v>206</v>
      </c>
      <c r="J20" s="76">
        <v>1.133</v>
      </c>
      <c r="K20" s="108"/>
      <c r="L20" s="76"/>
      <c r="M20" s="72">
        <v>17</v>
      </c>
      <c r="N20" s="72">
        <v>37</v>
      </c>
      <c r="O20" s="72">
        <v>119</v>
      </c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>
        <v>21919.999999997799</v>
      </c>
      <c r="F21" s="48">
        <v>0.15</v>
      </c>
      <c r="G21" s="107">
        <v>5947</v>
      </c>
      <c r="H21" s="48">
        <v>0.5927</v>
      </c>
      <c r="I21" s="65">
        <v>271</v>
      </c>
      <c r="J21" s="76">
        <v>1.133</v>
      </c>
      <c r="K21" s="108"/>
      <c r="L21" s="76"/>
      <c r="M21" s="72">
        <v>19</v>
      </c>
      <c r="N21" s="72">
        <v>39</v>
      </c>
      <c r="O21" s="72">
        <v>119</v>
      </c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>
        <v>22870.000000001026</v>
      </c>
      <c r="F22" s="48">
        <v>0.15</v>
      </c>
      <c r="G22" s="107">
        <v>6211</v>
      </c>
      <c r="H22" s="48">
        <v>0.5927</v>
      </c>
      <c r="I22" s="65">
        <v>252</v>
      </c>
      <c r="J22" s="76">
        <v>1.133</v>
      </c>
      <c r="K22" s="108"/>
      <c r="L22" s="76"/>
      <c r="M22" s="72">
        <v>21</v>
      </c>
      <c r="N22" s="72">
        <v>47</v>
      </c>
      <c r="O22" s="72">
        <v>134</v>
      </c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>
        <v>23220.000000000255</v>
      </c>
      <c r="F23" s="48">
        <v>0.15</v>
      </c>
      <c r="G23" s="107">
        <v>6300</v>
      </c>
      <c r="H23" s="48">
        <v>0.5927</v>
      </c>
      <c r="I23" s="65">
        <v>254</v>
      </c>
      <c r="J23" s="76">
        <v>1.133</v>
      </c>
      <c r="K23" s="108"/>
      <c r="L23" s="76"/>
      <c r="M23" s="72">
        <v>24</v>
      </c>
      <c r="N23" s="72">
        <v>52</v>
      </c>
      <c r="O23" s="72">
        <v>154</v>
      </c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>
        <v>22410.000000000084</v>
      </c>
      <c r="F24" s="48">
        <v>0.15</v>
      </c>
      <c r="G24" s="107">
        <v>6941</v>
      </c>
      <c r="H24" s="48">
        <v>0.5927</v>
      </c>
      <c r="I24" s="65">
        <v>289</v>
      </c>
      <c r="J24" s="76">
        <v>1.133</v>
      </c>
      <c r="K24" s="108"/>
      <c r="L24" s="76"/>
      <c r="M24" s="72">
        <v>27</v>
      </c>
      <c r="N24" s="72">
        <v>61</v>
      </c>
      <c r="O24" s="72">
        <v>176</v>
      </c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>
        <v>22109.999999998538</v>
      </c>
      <c r="F25" s="48">
        <v>0.15</v>
      </c>
      <c r="G25" s="107">
        <v>5602</v>
      </c>
      <c r="H25" s="48">
        <v>0.5927</v>
      </c>
      <c r="I25" s="65">
        <v>259</v>
      </c>
      <c r="J25" s="76">
        <v>1.133</v>
      </c>
      <c r="K25" s="108"/>
      <c r="L25" s="76"/>
      <c r="M25" s="72">
        <v>21</v>
      </c>
      <c r="N25" s="72">
        <v>51</v>
      </c>
      <c r="O25" s="72">
        <v>161</v>
      </c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>
        <v>23100.000000001277</v>
      </c>
      <c r="F26" s="48">
        <v>0.15</v>
      </c>
      <c r="G26" s="107">
        <v>6479</v>
      </c>
      <c r="H26" s="48">
        <v>0.5927</v>
      </c>
      <c r="I26" s="65">
        <v>304</v>
      </c>
      <c r="J26" s="76">
        <v>1.133</v>
      </c>
      <c r="K26" s="108"/>
      <c r="L26" s="76"/>
      <c r="M26" s="72">
        <v>17</v>
      </c>
      <c r="N26" s="72">
        <v>40</v>
      </c>
      <c r="O26" s="72">
        <v>155</v>
      </c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>
        <v>20269.999999999753</v>
      </c>
      <c r="F27" s="48">
        <v>0.15</v>
      </c>
      <c r="G27" s="107">
        <v>5257</v>
      </c>
      <c r="H27" s="48">
        <v>0.5927</v>
      </c>
      <c r="I27" s="65">
        <v>216</v>
      </c>
      <c r="J27" s="76">
        <v>1.133</v>
      </c>
      <c r="K27" s="108"/>
      <c r="L27" s="76"/>
      <c r="M27" s="72">
        <v>11</v>
      </c>
      <c r="N27" s="72">
        <v>26</v>
      </c>
      <c r="O27" s="72">
        <v>88</v>
      </c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>
        <v>19719.99999999821</v>
      </c>
      <c r="F28" s="48">
        <v>0.15</v>
      </c>
      <c r="G28" s="107">
        <v>5257</v>
      </c>
      <c r="H28" s="48">
        <v>0.5927</v>
      </c>
      <c r="I28" s="65">
        <v>241</v>
      </c>
      <c r="J28" s="76">
        <v>1.133</v>
      </c>
      <c r="K28" s="108"/>
      <c r="L28" s="76"/>
      <c r="M28" s="72">
        <v>12</v>
      </c>
      <c r="N28" s="72">
        <v>31</v>
      </c>
      <c r="O28" s="72">
        <v>87</v>
      </c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583649.99999999884</v>
      </c>
      <c r="F33" s="104">
        <v>0</v>
      </c>
      <c r="G33" s="101">
        <f>SUM(G2:G32)</f>
        <v>159578</v>
      </c>
      <c r="H33" s="102">
        <v>0</v>
      </c>
      <c r="I33" s="103">
        <f>SUM(I2:I32)</f>
        <v>6690</v>
      </c>
      <c r="J33" s="104">
        <v>0</v>
      </c>
      <c r="K33" s="105">
        <v>0</v>
      </c>
      <c r="L33" s="102">
        <v>0</v>
      </c>
      <c r="M33" s="106">
        <f t="shared" ref="M33:O33" si="1">SUM(M2:M32)</f>
        <v>502</v>
      </c>
      <c r="N33" s="106">
        <f t="shared" si="1"/>
        <v>1149</v>
      </c>
      <c r="O33" s="106">
        <f t="shared" si="1"/>
        <v>3288</v>
      </c>
    </row>
    <row r="40" spans="1:15" x14ac:dyDescent="0.2">
      <c r="C40" s="44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3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127</v>
      </c>
      <c r="C2" s="113" t="s">
        <v>11</v>
      </c>
      <c r="D2" s="113" t="s">
        <v>12</v>
      </c>
      <c r="E2" s="113" t="s">
        <v>13</v>
      </c>
      <c r="F2" s="113" t="s">
        <v>14</v>
      </c>
      <c r="G2" s="118" t="s">
        <v>15</v>
      </c>
      <c r="H2" s="120" t="s">
        <v>16</v>
      </c>
      <c r="I2" s="113" t="s">
        <v>17</v>
      </c>
      <c r="J2" s="123" t="s">
        <v>18</v>
      </c>
      <c r="K2" s="124"/>
      <c r="L2" s="125"/>
      <c r="M2" s="118" t="s">
        <v>19</v>
      </c>
      <c r="N2" s="120" t="s">
        <v>20</v>
      </c>
      <c r="O2" s="121" t="s">
        <v>21</v>
      </c>
      <c r="P2" s="120" t="s">
        <v>22</v>
      </c>
      <c r="Q2" s="126" t="s">
        <v>23</v>
      </c>
      <c r="R2" s="113" t="s">
        <v>24</v>
      </c>
      <c r="S2" s="113" t="s">
        <v>25</v>
      </c>
      <c r="T2" s="113" t="s">
        <v>26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27</v>
      </c>
      <c r="K3" s="18" t="s">
        <v>28</v>
      </c>
      <c r="L3" s="18" t="s">
        <v>29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>
        <v>1.0748</v>
      </c>
      <c r="C11" s="1">
        <v>246.43</v>
      </c>
      <c r="D11" s="1">
        <v>7641974.4800000004</v>
      </c>
      <c r="E11" s="1">
        <v>8403004.0899999999</v>
      </c>
      <c r="F11" s="1">
        <v>2.5449000000000002</v>
      </c>
      <c r="G11" s="1">
        <v>804.29</v>
      </c>
      <c r="H11" s="1">
        <v>658.16</v>
      </c>
      <c r="I11" s="1">
        <v>257.98</v>
      </c>
      <c r="J11" s="1">
        <v>334.58</v>
      </c>
      <c r="K11" s="1">
        <v>360.22</v>
      </c>
      <c r="L11" s="1">
        <v>247.88</v>
      </c>
      <c r="M11" s="1">
        <v>570.35</v>
      </c>
      <c r="N11" s="1">
        <v>521.89</v>
      </c>
      <c r="O11" s="1">
        <v>167.11</v>
      </c>
      <c r="P11" s="1">
        <v>689.07</v>
      </c>
      <c r="Q11" s="1">
        <v>508.7</v>
      </c>
      <c r="R11" s="1">
        <v>176.31</v>
      </c>
      <c r="S11" s="1">
        <v>123.57</v>
      </c>
      <c r="T11" s="1">
        <v>452.48</v>
      </c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>
        <v>1.0762</v>
      </c>
      <c r="C12" s="1">
        <v>246.66</v>
      </c>
      <c r="D12" s="1">
        <v>7644181.9900000002</v>
      </c>
      <c r="E12" s="1">
        <v>8405554.1300000008</v>
      </c>
      <c r="F12" s="1">
        <v>2.5472999999999999</v>
      </c>
      <c r="G12" s="1">
        <v>805.07</v>
      </c>
      <c r="H12" s="1">
        <v>658.7</v>
      </c>
      <c r="I12" s="1">
        <v>258.26</v>
      </c>
      <c r="J12" s="1">
        <v>334.77</v>
      </c>
      <c r="K12" s="1">
        <v>360.46</v>
      </c>
      <c r="L12" s="1">
        <v>248.11</v>
      </c>
      <c r="M12" s="1">
        <v>571.16</v>
      </c>
      <c r="N12" s="1">
        <v>522.61</v>
      </c>
      <c r="O12" s="1">
        <v>167.31</v>
      </c>
      <c r="P12" s="1">
        <v>689.85</v>
      </c>
      <c r="Q12" s="1">
        <v>509.34</v>
      </c>
      <c r="R12" s="1">
        <v>176.55</v>
      </c>
      <c r="S12" s="1">
        <v>123.69</v>
      </c>
      <c r="T12" s="1">
        <v>452.94</v>
      </c>
      <c r="V12" s="71">
        <v>23</v>
      </c>
      <c r="W12" s="71">
        <v>52</v>
      </c>
      <c r="X12" s="71">
        <v>133</v>
      </c>
      <c r="Y12" s="17"/>
    </row>
    <row r="13" spans="1:25" ht="21" customHeight="1" x14ac:dyDescent="0.25">
      <c r="A13" s="8">
        <v>44449</v>
      </c>
      <c r="B13" s="1">
        <v>1.0777000000000001</v>
      </c>
      <c r="C13" s="1">
        <v>246.92</v>
      </c>
      <c r="D13" s="1">
        <v>7646468.4500000002</v>
      </c>
      <c r="E13" s="1">
        <v>8408231.3599999994</v>
      </c>
      <c r="F13" s="1">
        <v>2.5497000000000001</v>
      </c>
      <c r="G13" s="1">
        <v>805.87</v>
      </c>
      <c r="H13" s="1">
        <v>659.26</v>
      </c>
      <c r="I13" s="1">
        <v>258.52</v>
      </c>
      <c r="J13" s="1">
        <v>334.96</v>
      </c>
      <c r="K13" s="1">
        <v>360.69</v>
      </c>
      <c r="L13" s="1">
        <v>248.33</v>
      </c>
      <c r="M13" s="1">
        <v>571.95000000000005</v>
      </c>
      <c r="N13" s="1">
        <v>523.33000000000004</v>
      </c>
      <c r="O13" s="1">
        <v>167.5</v>
      </c>
      <c r="P13" s="1">
        <v>690.65</v>
      </c>
      <c r="Q13" s="1">
        <v>510.02</v>
      </c>
      <c r="R13" s="1">
        <v>176.77</v>
      </c>
      <c r="S13" s="1">
        <v>123.8</v>
      </c>
      <c r="T13" s="1">
        <v>453.44</v>
      </c>
      <c r="V13" s="71">
        <v>23</v>
      </c>
      <c r="W13" s="71">
        <v>54</v>
      </c>
      <c r="X13" s="71">
        <v>150</v>
      </c>
      <c r="Y13" s="17"/>
    </row>
    <row r="14" spans="1:25" ht="21" customHeight="1" x14ac:dyDescent="0.25">
      <c r="A14" s="8">
        <v>44450</v>
      </c>
      <c r="B14" s="1">
        <v>1.0790999999999999</v>
      </c>
      <c r="C14" s="1">
        <v>247.17</v>
      </c>
      <c r="D14" s="1">
        <v>7648859.3099999996</v>
      </c>
      <c r="E14" s="1">
        <v>8410781.4199999999</v>
      </c>
      <c r="F14" s="1">
        <v>2.5522</v>
      </c>
      <c r="G14" s="1">
        <v>806.67</v>
      </c>
      <c r="H14" s="1">
        <v>659.91</v>
      </c>
      <c r="I14" s="1">
        <v>258.79000000000002</v>
      </c>
      <c r="J14" s="1">
        <v>335.23</v>
      </c>
      <c r="K14" s="1">
        <v>360.96</v>
      </c>
      <c r="L14" s="1">
        <v>248.51</v>
      </c>
      <c r="M14" s="1">
        <v>572.75</v>
      </c>
      <c r="N14" s="1">
        <v>524.16</v>
      </c>
      <c r="O14" s="1">
        <v>167.7</v>
      </c>
      <c r="P14" s="1">
        <v>691.49</v>
      </c>
      <c r="Q14" s="1">
        <v>510.7</v>
      </c>
      <c r="R14" s="1">
        <v>177.01</v>
      </c>
      <c r="S14" s="1">
        <v>123.92</v>
      </c>
      <c r="T14" s="1">
        <v>453.76</v>
      </c>
      <c r="V14" s="71">
        <v>24</v>
      </c>
      <c r="W14" s="71">
        <v>55</v>
      </c>
      <c r="X14" s="71">
        <v>156</v>
      </c>
      <c r="Y14" s="17"/>
    </row>
    <row r="15" spans="1:25" ht="21" customHeight="1" x14ac:dyDescent="0.25">
      <c r="A15" s="8">
        <v>44451</v>
      </c>
      <c r="B15" s="1">
        <v>1.0805</v>
      </c>
      <c r="C15" s="1">
        <v>247.41</v>
      </c>
      <c r="D15" s="1">
        <v>7651139.1100000003</v>
      </c>
      <c r="E15" s="1">
        <v>8413411.3499999996</v>
      </c>
      <c r="F15" s="1">
        <v>2.5547</v>
      </c>
      <c r="G15" s="1">
        <v>807.48</v>
      </c>
      <c r="H15" s="1">
        <v>660.62</v>
      </c>
      <c r="I15" s="1">
        <v>259.08999999999997</v>
      </c>
      <c r="J15" s="1">
        <v>335.46</v>
      </c>
      <c r="K15" s="1">
        <v>361.27</v>
      </c>
      <c r="L15" s="1">
        <v>248.72</v>
      </c>
      <c r="M15" s="1">
        <v>573.61</v>
      </c>
      <c r="N15" s="1">
        <v>524.95000000000005</v>
      </c>
      <c r="O15" s="1">
        <v>167.88</v>
      </c>
      <c r="P15" s="1">
        <v>692.41</v>
      </c>
      <c r="Q15" s="1">
        <v>511.38</v>
      </c>
      <c r="R15" s="1">
        <v>177.26</v>
      </c>
      <c r="S15" s="1">
        <v>124.04</v>
      </c>
      <c r="T15" s="1">
        <v>454.25</v>
      </c>
      <c r="V15" s="71">
        <v>22</v>
      </c>
      <c r="W15" s="71">
        <v>49</v>
      </c>
      <c r="X15" s="71">
        <v>152</v>
      </c>
      <c r="Y15" s="17"/>
    </row>
    <row r="16" spans="1:25" ht="21" customHeight="1" x14ac:dyDescent="0.25">
      <c r="A16" s="8">
        <v>44452</v>
      </c>
      <c r="B16" s="1">
        <v>1.0819000000000001</v>
      </c>
      <c r="C16" s="1">
        <v>247.63</v>
      </c>
      <c r="D16" s="1">
        <v>7653347.8200000003</v>
      </c>
      <c r="E16" s="1">
        <v>8415883.4000000004</v>
      </c>
      <c r="F16" s="1">
        <v>2.5569999999999999</v>
      </c>
      <c r="G16" s="1">
        <v>808.31</v>
      </c>
      <c r="H16" s="1">
        <v>661.18</v>
      </c>
      <c r="I16" s="1">
        <v>259.36</v>
      </c>
      <c r="J16" s="1">
        <v>335.65</v>
      </c>
      <c r="K16" s="1">
        <v>361.47</v>
      </c>
      <c r="L16" s="1">
        <v>248.92</v>
      </c>
      <c r="M16" s="1">
        <v>574.41999999999996</v>
      </c>
      <c r="N16" s="1">
        <v>525.72</v>
      </c>
      <c r="O16" s="1">
        <v>168.1</v>
      </c>
      <c r="P16" s="1">
        <v>693.21</v>
      </c>
      <c r="Q16" s="1">
        <v>511.98</v>
      </c>
      <c r="R16" s="1">
        <v>177.48</v>
      </c>
      <c r="S16" s="1">
        <v>124.15</v>
      </c>
      <c r="T16" s="1">
        <v>454.75</v>
      </c>
      <c r="V16" s="71">
        <v>16</v>
      </c>
      <c r="W16" s="71">
        <v>37</v>
      </c>
      <c r="X16" s="71">
        <v>114</v>
      </c>
      <c r="Y16" s="17"/>
    </row>
    <row r="17" spans="1:25" ht="21" customHeight="1" x14ac:dyDescent="0.25">
      <c r="A17" s="8">
        <v>44453</v>
      </c>
      <c r="B17" s="1">
        <v>1.0833999999999999</v>
      </c>
      <c r="C17" s="1">
        <v>247.84</v>
      </c>
      <c r="D17" s="1">
        <v>7655623.9699999997</v>
      </c>
      <c r="E17" s="1">
        <v>8418323.8000000007</v>
      </c>
      <c r="F17" s="1">
        <v>2.5594000000000001</v>
      </c>
      <c r="G17" s="1">
        <v>809.07</v>
      </c>
      <c r="H17" s="1">
        <v>661.78</v>
      </c>
      <c r="I17" s="1">
        <v>259.63</v>
      </c>
      <c r="J17" s="1">
        <v>335.95</v>
      </c>
      <c r="K17" s="1">
        <v>361.75</v>
      </c>
      <c r="L17" s="1">
        <v>249.12</v>
      </c>
      <c r="M17" s="1">
        <v>575.29</v>
      </c>
      <c r="N17" s="1">
        <v>526.52</v>
      </c>
      <c r="O17" s="1">
        <v>168.3</v>
      </c>
      <c r="P17" s="1">
        <v>693.97</v>
      </c>
      <c r="Q17" s="1">
        <v>512.66999999999996</v>
      </c>
      <c r="R17" s="1">
        <v>177.72</v>
      </c>
      <c r="S17" s="1">
        <v>124.27</v>
      </c>
      <c r="T17" s="1">
        <v>455.24</v>
      </c>
      <c r="V17" s="71">
        <v>15</v>
      </c>
      <c r="W17" s="71">
        <v>34</v>
      </c>
      <c r="X17" s="71">
        <v>87</v>
      </c>
      <c r="Y17" s="17"/>
    </row>
    <row r="18" spans="1:25" ht="21" customHeight="1" x14ac:dyDescent="0.25">
      <c r="A18" s="8">
        <v>44454</v>
      </c>
      <c r="B18" s="1">
        <v>1.0849</v>
      </c>
      <c r="C18" s="1">
        <v>248.09</v>
      </c>
      <c r="D18" s="1">
        <v>7658014.9500000002</v>
      </c>
      <c r="E18" s="1">
        <v>8421082.3499999996</v>
      </c>
      <c r="F18" s="1">
        <v>2.5617999999999999</v>
      </c>
      <c r="G18" s="1">
        <v>809.81</v>
      </c>
      <c r="H18" s="1">
        <v>662.33</v>
      </c>
      <c r="I18" s="1">
        <v>259.92</v>
      </c>
      <c r="J18" s="1">
        <v>336.21</v>
      </c>
      <c r="K18" s="1">
        <v>362.07</v>
      </c>
      <c r="L18" s="1">
        <v>249.29</v>
      </c>
      <c r="M18" s="1">
        <v>576.08000000000004</v>
      </c>
      <c r="N18" s="1">
        <v>527.35</v>
      </c>
      <c r="O18" s="1">
        <v>168.48</v>
      </c>
      <c r="P18" s="1">
        <v>694.76</v>
      </c>
      <c r="Q18" s="1">
        <v>513.35</v>
      </c>
      <c r="R18" s="1">
        <v>177.96</v>
      </c>
      <c r="S18" s="1">
        <v>124.4</v>
      </c>
      <c r="T18" s="1">
        <v>455.75</v>
      </c>
      <c r="V18" s="71">
        <v>19</v>
      </c>
      <c r="W18" s="71">
        <v>48</v>
      </c>
      <c r="X18" s="71">
        <v>98</v>
      </c>
      <c r="Y18" s="17"/>
    </row>
    <row r="19" spans="1:25" ht="21" customHeight="1" x14ac:dyDescent="0.25">
      <c r="A19" s="8">
        <v>44455</v>
      </c>
      <c r="B19" s="1">
        <v>1.0860000000000001</v>
      </c>
      <c r="C19" s="1">
        <v>248.33</v>
      </c>
      <c r="D19" s="1">
        <v>7659904.0800000001</v>
      </c>
      <c r="E19" s="1">
        <v>8423172.3599999994</v>
      </c>
      <c r="F19" s="1">
        <v>2.5642</v>
      </c>
      <c r="G19" s="1">
        <v>810.42</v>
      </c>
      <c r="H19" s="1">
        <v>662.75</v>
      </c>
      <c r="I19" s="1">
        <v>260.16000000000003</v>
      </c>
      <c r="J19" s="1">
        <v>336.47</v>
      </c>
      <c r="K19" s="1">
        <v>362.3</v>
      </c>
      <c r="L19" s="1">
        <v>249.51</v>
      </c>
      <c r="M19" s="1">
        <v>576.67999999999995</v>
      </c>
      <c r="N19" s="1">
        <v>527.91</v>
      </c>
      <c r="O19" s="1">
        <v>168.66</v>
      </c>
      <c r="P19" s="1">
        <v>695.48</v>
      </c>
      <c r="Q19" s="1">
        <v>513.9</v>
      </c>
      <c r="R19" s="1">
        <v>178.2</v>
      </c>
      <c r="S19" s="1">
        <v>124.52</v>
      </c>
      <c r="T19" s="1">
        <v>456.25</v>
      </c>
      <c r="V19" s="71">
        <v>19</v>
      </c>
      <c r="W19" s="71">
        <v>48</v>
      </c>
      <c r="X19" s="71">
        <v>119</v>
      </c>
      <c r="Y19" s="17"/>
    </row>
    <row r="20" spans="1:25" ht="21" customHeight="1" x14ac:dyDescent="0.25">
      <c r="A20" s="8">
        <v>44456</v>
      </c>
      <c r="B20" s="1">
        <v>1.0872999999999999</v>
      </c>
      <c r="C20" s="1">
        <v>248.59</v>
      </c>
      <c r="D20" s="1">
        <v>7662468.7400000002</v>
      </c>
      <c r="E20" s="1">
        <v>8426021.4100000001</v>
      </c>
      <c r="F20" s="1">
        <v>2.5666000000000002</v>
      </c>
      <c r="G20" s="1">
        <v>811.25</v>
      </c>
      <c r="H20" s="1">
        <v>663.44</v>
      </c>
      <c r="I20" s="1">
        <v>260.44</v>
      </c>
      <c r="J20" s="1">
        <v>336.68</v>
      </c>
      <c r="K20" s="1">
        <v>362.58</v>
      </c>
      <c r="L20" s="1">
        <v>249.7</v>
      </c>
      <c r="M20" s="1">
        <v>577.47</v>
      </c>
      <c r="N20" s="1">
        <v>528.73</v>
      </c>
      <c r="O20" s="1">
        <v>168.85</v>
      </c>
      <c r="P20" s="1">
        <v>696.4</v>
      </c>
      <c r="Q20" s="1">
        <v>514.6</v>
      </c>
      <c r="R20" s="1">
        <v>178.43</v>
      </c>
      <c r="S20" s="1">
        <v>124.63</v>
      </c>
      <c r="T20" s="1">
        <v>456.74</v>
      </c>
      <c r="V20" s="71">
        <v>19</v>
      </c>
      <c r="W20" s="71">
        <v>49</v>
      </c>
      <c r="X20" s="71">
        <v>127</v>
      </c>
      <c r="Y20" s="17"/>
    </row>
    <row r="21" spans="1:25" ht="21" customHeight="1" x14ac:dyDescent="0.25">
      <c r="A21" s="8">
        <v>44457</v>
      </c>
      <c r="B21" s="1">
        <v>1.0886</v>
      </c>
      <c r="C21" s="1">
        <v>248.82</v>
      </c>
      <c r="D21" s="1">
        <v>7665040.75</v>
      </c>
      <c r="E21" s="1">
        <v>8428762.9800000004</v>
      </c>
      <c r="F21" s="1">
        <v>2.569</v>
      </c>
      <c r="G21" s="1">
        <v>812.08</v>
      </c>
      <c r="H21" s="1">
        <v>664.16</v>
      </c>
      <c r="I21" s="1">
        <v>260.70999999999998</v>
      </c>
      <c r="J21" s="1">
        <v>336.95</v>
      </c>
      <c r="K21" s="1">
        <v>362.89</v>
      </c>
      <c r="L21" s="1">
        <v>249.91</v>
      </c>
      <c r="M21" s="1">
        <v>578.32000000000005</v>
      </c>
      <c r="N21" s="1">
        <v>529.54999999999995</v>
      </c>
      <c r="O21" s="1">
        <v>169.06</v>
      </c>
      <c r="P21" s="1">
        <v>697.3</v>
      </c>
      <c r="Q21" s="1">
        <v>515.30999999999995</v>
      </c>
      <c r="R21" s="1">
        <v>178.67</v>
      </c>
      <c r="S21" s="1">
        <v>124.74</v>
      </c>
      <c r="T21" s="1">
        <v>457.01</v>
      </c>
      <c r="V21" s="71">
        <v>18</v>
      </c>
      <c r="W21" s="71">
        <v>43</v>
      </c>
      <c r="X21" s="71">
        <v>124</v>
      </c>
      <c r="Y21" s="17"/>
    </row>
    <row r="22" spans="1:25" ht="21" customHeight="1" x14ac:dyDescent="0.25">
      <c r="A22" s="8">
        <v>44458</v>
      </c>
      <c r="B22" s="1">
        <v>1.0900000000000001</v>
      </c>
      <c r="C22" s="1">
        <v>249.04</v>
      </c>
      <c r="D22" s="1">
        <v>7667575.6399999997</v>
      </c>
      <c r="E22" s="1">
        <v>8431781.2300000004</v>
      </c>
      <c r="F22" s="1">
        <v>2.5714000000000001</v>
      </c>
      <c r="G22" s="1">
        <v>812.9</v>
      </c>
      <c r="H22" s="1">
        <v>664.92</v>
      </c>
      <c r="I22" s="1">
        <v>261</v>
      </c>
      <c r="J22" s="1">
        <v>337.18</v>
      </c>
      <c r="K22" s="1">
        <v>363.21</v>
      </c>
      <c r="L22" s="1">
        <v>250.09</v>
      </c>
      <c r="M22" s="1">
        <v>579.12</v>
      </c>
      <c r="N22" s="1">
        <v>530.41999999999996</v>
      </c>
      <c r="O22" s="1">
        <v>169.27</v>
      </c>
      <c r="P22" s="1">
        <v>698.28</v>
      </c>
      <c r="Q22" s="1">
        <v>516.09</v>
      </c>
      <c r="R22" s="28">
        <v>178.9</v>
      </c>
      <c r="S22" s="28">
        <v>124.86</v>
      </c>
      <c r="T22" s="1">
        <v>457.51</v>
      </c>
      <c r="V22" s="71">
        <v>17</v>
      </c>
      <c r="W22" s="71">
        <v>37</v>
      </c>
      <c r="X22" s="71">
        <v>119</v>
      </c>
      <c r="Y22" s="17"/>
    </row>
    <row r="23" spans="1:25" ht="21" customHeight="1" x14ac:dyDescent="0.25">
      <c r="A23" s="8">
        <v>44459</v>
      </c>
      <c r="B23" s="1">
        <v>1.0913999999999999</v>
      </c>
      <c r="C23" s="1">
        <v>249.28</v>
      </c>
      <c r="D23" s="1">
        <v>7669893.8899999997</v>
      </c>
      <c r="E23" s="1">
        <v>8434612.7200000007</v>
      </c>
      <c r="F23" s="1">
        <v>2.5739999999999998</v>
      </c>
      <c r="G23" s="1">
        <v>813.73</v>
      </c>
      <c r="H23" s="1">
        <v>665.55</v>
      </c>
      <c r="I23" s="1">
        <v>261.29000000000002</v>
      </c>
      <c r="J23" s="1">
        <v>337.43</v>
      </c>
      <c r="K23" s="1">
        <v>363.49</v>
      </c>
      <c r="L23" s="1">
        <v>250.3</v>
      </c>
      <c r="M23" s="1">
        <v>579.9</v>
      </c>
      <c r="N23" s="1">
        <v>531.25</v>
      </c>
      <c r="O23" s="1">
        <v>169.49</v>
      </c>
      <c r="P23" s="1">
        <v>699.25</v>
      </c>
      <c r="Q23" s="1">
        <v>516.83000000000004</v>
      </c>
      <c r="R23" s="1">
        <v>179.14</v>
      </c>
      <c r="S23" s="1">
        <v>124.98</v>
      </c>
      <c r="T23" s="1">
        <v>458.05</v>
      </c>
      <c r="V23" s="71">
        <v>19</v>
      </c>
      <c r="W23" s="71">
        <v>39</v>
      </c>
      <c r="X23" s="71">
        <v>119</v>
      </c>
      <c r="Y23" s="17"/>
    </row>
    <row r="24" spans="1:25" ht="21" customHeight="1" x14ac:dyDescent="0.25">
      <c r="A24" s="8">
        <v>44460</v>
      </c>
      <c r="B24" s="1">
        <v>1.0928</v>
      </c>
      <c r="C24" s="1">
        <v>249.54</v>
      </c>
      <c r="D24" s="1">
        <v>7672150.9800000004</v>
      </c>
      <c r="E24" s="1">
        <v>8437382.9900000002</v>
      </c>
      <c r="F24" s="1">
        <v>2.5764</v>
      </c>
      <c r="G24" s="1">
        <v>814.61</v>
      </c>
      <c r="H24" s="1">
        <v>666.14</v>
      </c>
      <c r="I24" s="1">
        <v>261.56</v>
      </c>
      <c r="J24" s="1">
        <v>337.68</v>
      </c>
      <c r="K24" s="1">
        <v>363.49</v>
      </c>
      <c r="L24" s="1">
        <v>250.49</v>
      </c>
      <c r="M24" s="1">
        <v>580.75</v>
      </c>
      <c r="N24" s="1">
        <v>532.14</v>
      </c>
      <c r="O24" s="1">
        <v>169.66</v>
      </c>
      <c r="P24" s="1">
        <v>700.15</v>
      </c>
      <c r="Q24" s="1">
        <v>517.54999999999995</v>
      </c>
      <c r="R24" s="1">
        <v>179.36</v>
      </c>
      <c r="S24" s="1">
        <v>125.09</v>
      </c>
      <c r="T24" s="1">
        <v>458.54</v>
      </c>
      <c r="V24" s="71">
        <v>21</v>
      </c>
      <c r="W24" s="71">
        <v>47</v>
      </c>
      <c r="X24" s="71">
        <v>134</v>
      </c>
      <c r="Y24" s="17"/>
    </row>
    <row r="25" spans="1:25" ht="21" customHeight="1" x14ac:dyDescent="0.25">
      <c r="A25" s="8">
        <v>44461</v>
      </c>
      <c r="B25" s="1">
        <v>1.0942000000000001</v>
      </c>
      <c r="C25" s="1">
        <v>249.8</v>
      </c>
      <c r="D25" s="1">
        <v>7674681.2000000002</v>
      </c>
      <c r="E25" s="1">
        <v>8440420.3599999994</v>
      </c>
      <c r="F25" s="1">
        <v>2.5789</v>
      </c>
      <c r="G25" s="1">
        <v>815.51</v>
      </c>
      <c r="H25" s="1">
        <v>666.84</v>
      </c>
      <c r="I25" s="1">
        <v>261.85000000000002</v>
      </c>
      <c r="J25" s="1">
        <v>337.94</v>
      </c>
      <c r="K25" s="1">
        <v>364.08</v>
      </c>
      <c r="L25" s="1">
        <v>250.68</v>
      </c>
      <c r="M25" s="1">
        <v>581.66</v>
      </c>
      <c r="N25" s="1">
        <v>533.01</v>
      </c>
      <c r="O25" s="1">
        <v>169.89</v>
      </c>
      <c r="P25" s="1">
        <v>701.11</v>
      </c>
      <c r="Q25" s="1">
        <v>518.29999999999995</v>
      </c>
      <c r="R25" s="1">
        <v>179.6</v>
      </c>
      <c r="S25" s="1">
        <v>125.21</v>
      </c>
      <c r="T25" s="1">
        <v>459.05</v>
      </c>
      <c r="V25" s="71">
        <v>24</v>
      </c>
      <c r="W25" s="71">
        <v>52</v>
      </c>
      <c r="X25" s="71">
        <v>154</v>
      </c>
      <c r="Y25" s="17"/>
    </row>
    <row r="26" spans="1:25" ht="21" customHeight="1" x14ac:dyDescent="0.25">
      <c r="A26" s="8">
        <v>44462</v>
      </c>
      <c r="B26" s="1">
        <v>1.0955999999999999</v>
      </c>
      <c r="C26" s="1">
        <v>250.03</v>
      </c>
      <c r="D26" s="1">
        <v>7677366.54</v>
      </c>
      <c r="E26" s="1">
        <v>8443448.8200000003</v>
      </c>
      <c r="F26" s="1">
        <v>2.5815999999999999</v>
      </c>
      <c r="G26" s="1">
        <v>816.3</v>
      </c>
      <c r="H26" s="1">
        <v>667.6</v>
      </c>
      <c r="I26" s="1">
        <v>262.14</v>
      </c>
      <c r="J26" s="1">
        <v>338.15</v>
      </c>
      <c r="K26" s="1">
        <v>364.41</v>
      </c>
      <c r="L26" s="1">
        <v>250.88</v>
      </c>
      <c r="M26" s="1">
        <v>582.57000000000005</v>
      </c>
      <c r="N26" s="1">
        <v>533.82000000000005</v>
      </c>
      <c r="O26" s="1">
        <v>170.09</v>
      </c>
      <c r="P26" s="1">
        <v>702.06</v>
      </c>
      <c r="Q26" s="1">
        <v>519.04</v>
      </c>
      <c r="R26" s="1">
        <v>179.84</v>
      </c>
      <c r="S26" s="1">
        <v>125.33</v>
      </c>
      <c r="T26" s="1">
        <v>459.57</v>
      </c>
      <c r="V26" s="71">
        <v>27</v>
      </c>
      <c r="W26" s="71">
        <v>61</v>
      </c>
      <c r="X26" s="71">
        <v>176</v>
      </c>
      <c r="Y26" s="17"/>
    </row>
    <row r="27" spans="1:25" ht="21" customHeight="1" x14ac:dyDescent="0.25">
      <c r="A27" s="8">
        <v>44463</v>
      </c>
      <c r="B27" s="1">
        <v>1.0969</v>
      </c>
      <c r="C27" s="1">
        <v>250.28</v>
      </c>
      <c r="D27" s="1">
        <v>7680092.8700000001</v>
      </c>
      <c r="E27" s="1">
        <v>8446566.1899999995</v>
      </c>
      <c r="F27" s="1">
        <v>2.5842000000000001</v>
      </c>
      <c r="G27" s="1">
        <v>817.17</v>
      </c>
      <c r="H27" s="1">
        <v>668.36</v>
      </c>
      <c r="I27" s="1">
        <v>262.42</v>
      </c>
      <c r="J27" s="1">
        <v>338.39</v>
      </c>
      <c r="K27" s="1">
        <v>364.76</v>
      </c>
      <c r="L27" s="1">
        <v>251.09</v>
      </c>
      <c r="M27" s="1">
        <v>583.49</v>
      </c>
      <c r="N27" s="1">
        <v>534.61</v>
      </c>
      <c r="O27" s="1">
        <v>170.29</v>
      </c>
      <c r="P27" s="1">
        <v>702.97</v>
      </c>
      <c r="Q27" s="1">
        <v>519.79999999999995</v>
      </c>
      <c r="R27" s="1">
        <v>180.08</v>
      </c>
      <c r="S27" s="1">
        <v>125.44</v>
      </c>
      <c r="T27" s="1">
        <v>460</v>
      </c>
      <c r="V27" s="71">
        <v>21</v>
      </c>
      <c r="W27" s="71">
        <v>51</v>
      </c>
      <c r="X27" s="71">
        <v>161</v>
      </c>
      <c r="Y27" s="17"/>
    </row>
    <row r="28" spans="1:25" ht="21" customHeight="1" x14ac:dyDescent="0.25">
      <c r="A28" s="8">
        <v>44464</v>
      </c>
      <c r="B28" s="1">
        <v>1.0982000000000001</v>
      </c>
      <c r="C28" s="1">
        <v>250.58</v>
      </c>
      <c r="D28" s="1">
        <v>7682764.2800000003</v>
      </c>
      <c r="E28" s="1">
        <v>8449014.5899999999</v>
      </c>
      <c r="F28" s="1">
        <v>2.5870000000000002</v>
      </c>
      <c r="G28" s="1">
        <v>818.02</v>
      </c>
      <c r="H28" s="1">
        <v>669.08</v>
      </c>
      <c r="I28" s="1">
        <v>262.69</v>
      </c>
      <c r="J28" s="1">
        <v>338.69</v>
      </c>
      <c r="K28" s="1">
        <v>365.04</v>
      </c>
      <c r="L28" s="1">
        <v>251.28</v>
      </c>
      <c r="M28" s="1">
        <v>584.4</v>
      </c>
      <c r="N28" s="1">
        <v>535.29</v>
      </c>
      <c r="O28" s="1">
        <v>170.5</v>
      </c>
      <c r="P28" s="1">
        <v>703.73</v>
      </c>
      <c r="Q28" s="1">
        <v>520.54999999999995</v>
      </c>
      <c r="R28" s="1">
        <v>180.32</v>
      </c>
      <c r="S28" s="1">
        <v>125.56</v>
      </c>
      <c r="T28" s="1">
        <v>460.33</v>
      </c>
      <c r="V28" s="71">
        <v>17</v>
      </c>
      <c r="W28" s="71">
        <v>40</v>
      </c>
      <c r="X28" s="71">
        <v>155</v>
      </c>
      <c r="Y28" s="17"/>
    </row>
    <row r="29" spans="1:25" ht="21" customHeight="1" x14ac:dyDescent="0.25">
      <c r="A29" s="8">
        <v>44465</v>
      </c>
      <c r="B29" s="1">
        <v>1.0994999999999999</v>
      </c>
      <c r="C29" s="1">
        <v>250.8</v>
      </c>
      <c r="D29" s="1">
        <v>7685404.3899999997</v>
      </c>
      <c r="E29" s="1">
        <v>8452251.5600000005</v>
      </c>
      <c r="F29" s="1">
        <v>2.5895999999999999</v>
      </c>
      <c r="G29" s="1">
        <v>819.09</v>
      </c>
      <c r="H29" s="1">
        <v>669.91</v>
      </c>
      <c r="I29" s="1">
        <v>262.95999999999998</v>
      </c>
      <c r="J29" s="1">
        <v>339.01</v>
      </c>
      <c r="K29" s="1">
        <v>365.35</v>
      </c>
      <c r="L29" s="1">
        <v>251.49</v>
      </c>
      <c r="M29" s="1">
        <v>585.27</v>
      </c>
      <c r="N29" s="1">
        <v>536.12</v>
      </c>
      <c r="O29" s="1">
        <v>170.69</v>
      </c>
      <c r="P29" s="1">
        <v>704.6</v>
      </c>
      <c r="Q29" s="1">
        <v>521.22</v>
      </c>
      <c r="R29" s="1">
        <v>180.57</v>
      </c>
      <c r="S29" s="1">
        <v>125.69</v>
      </c>
      <c r="T29" s="1">
        <v>460.56</v>
      </c>
      <c r="V29" s="71">
        <v>11</v>
      </c>
      <c r="W29" s="71">
        <v>26</v>
      </c>
      <c r="X29" s="71">
        <v>88</v>
      </c>
      <c r="Y29" s="17"/>
    </row>
    <row r="30" spans="1:25" ht="21" customHeight="1" x14ac:dyDescent="0.25">
      <c r="A30" s="8">
        <v>44466</v>
      </c>
      <c r="B30" s="1">
        <v>1.1005</v>
      </c>
      <c r="C30" s="1">
        <v>251.04</v>
      </c>
      <c r="D30" s="1">
        <v>7687389.4699999997</v>
      </c>
      <c r="E30" s="1">
        <v>8454584.5899999999</v>
      </c>
      <c r="F30" s="1">
        <v>2.5920999999999998</v>
      </c>
      <c r="G30" s="1">
        <v>819.61</v>
      </c>
      <c r="H30" s="1">
        <v>670.55</v>
      </c>
      <c r="I30" s="1">
        <v>263.19</v>
      </c>
      <c r="J30" s="1">
        <v>339.28</v>
      </c>
      <c r="K30" s="1">
        <v>365.64</v>
      </c>
      <c r="L30" s="1">
        <v>251.68</v>
      </c>
      <c r="M30" s="1">
        <v>585.98</v>
      </c>
      <c r="N30" s="1">
        <v>536.70000000000005</v>
      </c>
      <c r="O30" s="1">
        <v>170.91</v>
      </c>
      <c r="P30" s="1">
        <v>705.27</v>
      </c>
      <c r="Q30" s="1">
        <v>521.74</v>
      </c>
      <c r="R30" s="1">
        <v>180.8</v>
      </c>
      <c r="S30" s="1">
        <v>125.8</v>
      </c>
      <c r="T30" s="1">
        <v>461.3</v>
      </c>
      <c r="V30" s="71">
        <v>12</v>
      </c>
      <c r="W30" s="71">
        <v>31</v>
      </c>
      <c r="X30" s="71">
        <v>87</v>
      </c>
      <c r="Y30" s="17"/>
    </row>
    <row r="31" spans="1:25" ht="21" customHeight="1" x14ac:dyDescent="0.25">
      <c r="A31" s="8">
        <v>44467</v>
      </c>
      <c r="B31" s="1">
        <v>1.1015999999999999</v>
      </c>
      <c r="C31" s="1">
        <v>251.28</v>
      </c>
      <c r="D31" s="1">
        <v>7689419.1699999999</v>
      </c>
      <c r="E31" s="1">
        <v>8456866.9199999999</v>
      </c>
      <c r="F31" s="1">
        <v>2.5945</v>
      </c>
      <c r="G31" s="1">
        <v>820.4</v>
      </c>
      <c r="H31" s="1">
        <v>671.23</v>
      </c>
      <c r="I31" s="1">
        <v>263.44</v>
      </c>
      <c r="J31" s="1">
        <v>339.51</v>
      </c>
      <c r="K31" s="1">
        <v>365.9</v>
      </c>
      <c r="L31" s="1">
        <v>251.87</v>
      </c>
      <c r="M31" s="1">
        <v>586.76</v>
      </c>
      <c r="N31" s="1">
        <v>537.35</v>
      </c>
      <c r="O31" s="1">
        <v>171.09</v>
      </c>
      <c r="P31" s="1">
        <v>705.95</v>
      </c>
      <c r="Q31" s="1">
        <v>522.29999999999995</v>
      </c>
      <c r="R31" s="1">
        <v>181.05</v>
      </c>
      <c r="S31" s="1">
        <v>125.92</v>
      </c>
      <c r="T31" s="1">
        <v>461.77</v>
      </c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502</v>
      </c>
      <c r="W35" s="78">
        <f>SUM(W4:W34)</f>
        <v>1149</v>
      </c>
      <c r="X35" s="78">
        <f>SUM(X4:X34)</f>
        <v>3288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E41" sqref="E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31</v>
      </c>
      <c r="B2" s="113" t="s">
        <v>32</v>
      </c>
      <c r="C2" s="113" t="s">
        <v>33</v>
      </c>
      <c r="D2" s="113" t="s">
        <v>119</v>
      </c>
      <c r="E2" s="121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22"/>
      <c r="B3" s="114"/>
      <c r="C3" s="114"/>
      <c r="D3" s="114"/>
      <c r="E3" s="122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11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21290.000000001783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6196.0100000007915</v>
      </c>
    </row>
    <row r="7" spans="1:22" x14ac:dyDescent="0.25">
      <c r="A7" s="3">
        <f>'Kwh Reading'!A7</f>
        <v>44443</v>
      </c>
      <c r="B7" s="26">
        <f>TOTAL!E5</f>
        <v>21480.000000000473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6333.1199999995624</v>
      </c>
    </row>
    <row r="8" spans="1:22" x14ac:dyDescent="0.25">
      <c r="A8" s="3">
        <f>'Kwh Reading'!A8</f>
        <v>44444</v>
      </c>
      <c r="B8" s="26">
        <f>TOTAL!E6</f>
        <v>22480.000000000247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6540.2200000019566</v>
      </c>
    </row>
    <row r="9" spans="1:22" x14ac:dyDescent="0.25">
      <c r="A9" s="3">
        <f>'Kwh Reading'!A9</f>
        <v>44445</v>
      </c>
      <c r="B9" s="26">
        <f>TOTAL!E7</f>
        <v>21649.999999997817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6023.6999999968393</v>
      </c>
    </row>
    <row r="10" spans="1:22" x14ac:dyDescent="0.25">
      <c r="A10" s="3">
        <f>'Kwh Reading'!A10</f>
        <v>44446</v>
      </c>
      <c r="B10" s="26">
        <v>22320.000000001754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240.00000000000909</v>
      </c>
      <c r="F10" s="2">
        <f>('Kwh Reading'!J11-'Kwh Reading'!J10)*1000</f>
        <v>219.99999999997044</v>
      </c>
      <c r="G10" s="2">
        <f>('Kwh Reading'!K11-'Kwh Reading'!K10)*1000</f>
        <v>250</v>
      </c>
      <c r="H10" s="2">
        <f>('Kwh Reading'!L11-'Kwh Reading'!L10)*1000</f>
        <v>199.99999999998863</v>
      </c>
      <c r="I10" s="2">
        <f>('Kwh Reading'!R11-'Kwh Reading'!R10)*1000</f>
        <v>250</v>
      </c>
      <c r="J10" s="2">
        <f>('Kwh Reading'!S11-'Kwh Reading'!S10)*1000</f>
        <v>119.99999999999034</v>
      </c>
      <c r="K10" s="2">
        <f>('Kwh Reading'!I11-'Kwh Reading'!I10)*1000</f>
        <v>270.00000000003865</v>
      </c>
      <c r="L10" s="2">
        <f>('Kwh Reading'!B11-'Kwh Reading'!B10)*1000000</f>
        <v>1400.0000000000678</v>
      </c>
      <c r="M10" s="2">
        <f>('Kwh Reading'!M11-'Kwh Reading'!M10)*1000</f>
        <v>810.00000000005912</v>
      </c>
      <c r="N10" s="2">
        <f>('Kwh Reading'!H11-'Kwh Reading'!H10)*1000</f>
        <v>529.99999999997272</v>
      </c>
      <c r="O10" s="2">
        <f>('Kwh Reading'!P11-'Kwh Reading'!P10)*1000</f>
        <v>940.00000000005457</v>
      </c>
      <c r="P10" s="2">
        <f>('Kwh Reading'!G11-'Kwh Reading'!G10)*1000</f>
        <v>849.99999999990905</v>
      </c>
      <c r="Q10" s="2">
        <f>('Kwh Reading'!Q11-'Kwh Reading'!Q10)*1000</f>
        <v>649.99999999997726</v>
      </c>
      <c r="R10" s="2">
        <f>('Kwh Reading'!N11-'Kwh Reading'!N10)*1000</f>
        <v>549.99999999995453</v>
      </c>
      <c r="S10" s="34">
        <f>'Kwh Reading'!E11-'Kwh Reading'!E10</f>
        <v>2789.9399999994785</v>
      </c>
      <c r="T10" s="34">
        <f>'Kwh Reading'!D11-'Kwh Reading'!D10</f>
        <v>2258.1900000004098</v>
      </c>
      <c r="U10" s="27">
        <f>('Kwh Reading'!O11-'Kwh Reading'!O10)*1000</f>
        <v>180.00000000000682</v>
      </c>
      <c r="V10" s="16">
        <f t="shared" si="0"/>
        <v>7041.8700000018707</v>
      </c>
    </row>
    <row r="11" spans="1:22" x14ac:dyDescent="0.25">
      <c r="A11" s="3">
        <f>'Kwh Reading'!A11</f>
        <v>44447</v>
      </c>
      <c r="B11" s="26">
        <v>20830.000000000611</v>
      </c>
      <c r="C11" s="4">
        <f>('Kwh Reading'!T12-'Kwh Reading'!T11)*1000</f>
        <v>459.99999999997954</v>
      </c>
      <c r="D11" s="2">
        <f>('Kwh Reading'!F12-'Kwh Reading'!F11)*1000000</f>
        <v>2399.9999999997358</v>
      </c>
      <c r="E11" s="2">
        <f>('Kwh Reading'!C12-'Kwh Reading'!C11)*1000</f>
        <v>229.99999999998977</v>
      </c>
      <c r="F11" s="2">
        <f>('Kwh Reading'!J12-'Kwh Reading'!J11)*1000</f>
        <v>189.99999999999773</v>
      </c>
      <c r="G11" s="2">
        <f>('Kwh Reading'!K12-'Kwh Reading'!K11)*1000</f>
        <v>239.99999999995225</v>
      </c>
      <c r="H11" s="2">
        <f>('Kwh Reading'!L12-'Kwh Reading'!L11)*1000</f>
        <v>230.00000000001819</v>
      </c>
      <c r="I11" s="2">
        <f>('Kwh Reading'!R12-'Kwh Reading'!R11)*1000</f>
        <v>240.00000000000909</v>
      </c>
      <c r="J11" s="2">
        <f>('Kwh Reading'!S12-'Kwh Reading'!S11)*1000</f>
        <v>120.00000000000455</v>
      </c>
      <c r="K11" s="2">
        <f>('Kwh Reading'!I12-'Kwh Reading'!I11)*1000</f>
        <v>279.99999999997272</v>
      </c>
      <c r="L11" s="2">
        <f>('Kwh Reading'!B12-'Kwh Reading'!B11)*1000000</f>
        <v>1400.0000000000678</v>
      </c>
      <c r="M11" s="2">
        <f>('Kwh Reading'!M12-'Kwh Reading'!M11)*1000</f>
        <v>809.99999999994543</v>
      </c>
      <c r="N11" s="2">
        <f>('Kwh Reading'!H12-'Kwh Reading'!H11)*1000</f>
        <v>540.00000000007731</v>
      </c>
      <c r="O11" s="2">
        <f>('Kwh Reading'!P12-'Kwh Reading'!P11)*1000</f>
        <v>779.99999999997272</v>
      </c>
      <c r="P11" s="2">
        <f>('Kwh Reading'!G12-'Kwh Reading'!G11)*1000</f>
        <v>780.0000000000864</v>
      </c>
      <c r="Q11" s="2">
        <f>('Kwh Reading'!Q12-'Kwh Reading'!Q11)*1000</f>
        <v>639.99999999998636</v>
      </c>
      <c r="R11" s="2">
        <f>('Kwh Reading'!N12-'Kwh Reading'!N11)*1000</f>
        <v>720.00000000002728</v>
      </c>
      <c r="S11" s="34">
        <f>'Kwh Reading'!E12-'Kwh Reading'!E11</f>
        <v>2550.0400000009686</v>
      </c>
      <c r="T11" s="34">
        <f>'Kwh Reading'!D12-'Kwh Reading'!D11</f>
        <v>2207.5099999997765</v>
      </c>
      <c r="U11" s="27">
        <f>('Kwh Reading'!O12-'Kwh Reading'!O11)*1000</f>
        <v>199.99999999998863</v>
      </c>
      <c r="V11" s="16">
        <f t="shared" si="0"/>
        <v>5812.4500000000535</v>
      </c>
    </row>
    <row r="12" spans="1:22" x14ac:dyDescent="0.25">
      <c r="A12" s="3">
        <f>'Kwh Reading'!A12</f>
        <v>44448</v>
      </c>
      <c r="B12" s="26">
        <v>20069.999999998345</v>
      </c>
      <c r="C12" s="4">
        <f>('Kwh Reading'!T13-'Kwh Reading'!T12)*1000</f>
        <v>500</v>
      </c>
      <c r="D12" s="2">
        <f>('Kwh Reading'!F13-'Kwh Reading'!F12)*1000000</f>
        <v>2400.0000000001796</v>
      </c>
      <c r="E12" s="2">
        <f>('Kwh Reading'!C13-'Kwh Reading'!C12)*1000</f>
        <v>259.99999999999091</v>
      </c>
      <c r="F12" s="2">
        <f>('Kwh Reading'!J13-'Kwh Reading'!J12)*1000</f>
        <v>189.99999999999773</v>
      </c>
      <c r="G12" s="2">
        <f>('Kwh Reading'!K13-'Kwh Reading'!K12)*1000</f>
        <v>230.00000000001819</v>
      </c>
      <c r="H12" s="2">
        <f>('Kwh Reading'!L13-'Kwh Reading'!L12)*1000</f>
        <v>219.99999999999886</v>
      </c>
      <c r="I12" s="2">
        <f>('Kwh Reading'!R13-'Kwh Reading'!R12)*1000</f>
        <v>219.99999999999886</v>
      </c>
      <c r="J12" s="2">
        <f>('Kwh Reading'!S13-'Kwh Reading'!S12)*1000</f>
        <v>109.99999999999943</v>
      </c>
      <c r="K12" s="2">
        <f>('Kwh Reading'!I13-'Kwh Reading'!I12)*1000</f>
        <v>259.99999999999091</v>
      </c>
      <c r="L12" s="2">
        <f>('Kwh Reading'!B13-'Kwh Reading'!B12)*1000000</f>
        <v>1500.0000000000568</v>
      </c>
      <c r="M12" s="2">
        <f>('Kwh Reading'!M13-'Kwh Reading'!M12)*1000</f>
        <v>790.00000000007731</v>
      </c>
      <c r="N12" s="2">
        <f>('Kwh Reading'!H13-'Kwh Reading'!H12)*1000</f>
        <v>559.99999999994543</v>
      </c>
      <c r="O12" s="2">
        <f>('Kwh Reading'!P13-'Kwh Reading'!P12)*1000</f>
        <v>799.99999999995453</v>
      </c>
      <c r="P12" s="2">
        <f>('Kwh Reading'!G13-'Kwh Reading'!G12)*1000</f>
        <v>799.99999999995453</v>
      </c>
      <c r="Q12" s="2">
        <f>('Kwh Reading'!Q13-'Kwh Reading'!Q12)*1000</f>
        <v>680.00000000000682</v>
      </c>
      <c r="R12" s="2">
        <f>('Kwh Reading'!N13-'Kwh Reading'!N12)*1000</f>
        <v>720.00000000002728</v>
      </c>
      <c r="S12" s="34">
        <f>'Kwh Reading'!E13-'Kwh Reading'!E12</f>
        <v>2677.2299999985844</v>
      </c>
      <c r="T12" s="34">
        <f>'Kwh Reading'!D13-'Kwh Reading'!D12</f>
        <v>2286.4599999999627</v>
      </c>
      <c r="U12" s="27">
        <f>('Kwh Reading'!O13-'Kwh Reading'!O12)*1000</f>
        <v>189.99999999999773</v>
      </c>
      <c r="V12" s="16">
        <f t="shared" ref="V12:V34" si="1">B12-(SUM(C12:U12))</f>
        <v>4676.3099999996011</v>
      </c>
    </row>
    <row r="13" spans="1:22" x14ac:dyDescent="0.25">
      <c r="A13" s="3">
        <f>'Kwh Reading'!A13</f>
        <v>44449</v>
      </c>
      <c r="B13" s="26">
        <f>TOTAL!E11</f>
        <v>21059.999999999945</v>
      </c>
      <c r="C13" s="4">
        <f>('Kwh Reading'!T14-'Kwh Reading'!T13)*1000</f>
        <v>319.99999999999318</v>
      </c>
      <c r="D13" s="2">
        <f>('Kwh Reading'!F14-'Kwh Reading'!F13)*1000000</f>
        <v>2499.9999999999468</v>
      </c>
      <c r="E13" s="2">
        <f>('Kwh Reading'!C14-'Kwh Reading'!C13)*1000</f>
        <v>250</v>
      </c>
      <c r="F13" s="2">
        <f>('Kwh Reading'!J14-'Kwh Reading'!J13)*1000</f>
        <v>270.00000000003865</v>
      </c>
      <c r="G13" s="2">
        <f>('Kwh Reading'!K14-'Kwh Reading'!K13)*1000</f>
        <v>269.99999999998181</v>
      </c>
      <c r="H13" s="2">
        <f>('Kwh Reading'!L14-'Kwh Reading'!L13)*1000</f>
        <v>179.9999999999784</v>
      </c>
      <c r="I13" s="2">
        <f>('Kwh Reading'!R14-'Kwh Reading'!R13)*1000</f>
        <v>239.99999999998067</v>
      </c>
      <c r="J13" s="2">
        <f>('Kwh Reading'!S14-'Kwh Reading'!S13)*1000</f>
        <v>120.00000000000455</v>
      </c>
      <c r="K13" s="2">
        <f>('Kwh Reading'!I14-'Kwh Reading'!I13)*1000</f>
        <v>270.00000000003865</v>
      </c>
      <c r="L13" s="2">
        <f>('Kwh Reading'!B14-'Kwh Reading'!B13)*1000000</f>
        <v>1399.9999999998458</v>
      </c>
      <c r="M13" s="2">
        <f>('Kwh Reading'!M14-'Kwh Reading'!M13)*1000</f>
        <v>799.99999999995453</v>
      </c>
      <c r="N13" s="2">
        <f>('Kwh Reading'!H14-'Kwh Reading'!H13)*1000</f>
        <v>649.99999999997726</v>
      </c>
      <c r="O13" s="2">
        <f>('Kwh Reading'!P14-'Kwh Reading'!P13)*1000</f>
        <v>840.00000000003183</v>
      </c>
      <c r="P13" s="2">
        <f>('Kwh Reading'!G14-'Kwh Reading'!G13)*1000</f>
        <v>799.99999999995453</v>
      </c>
      <c r="Q13" s="2">
        <f>('Kwh Reading'!Q14-'Kwh Reading'!Q13)*1000</f>
        <v>680.00000000000682</v>
      </c>
      <c r="R13" s="2">
        <f>('Kwh Reading'!N14-'Kwh Reading'!N13)*1000</f>
        <v>829.99999999992724</v>
      </c>
      <c r="S13" s="34">
        <f>'Kwh Reading'!E14-'Kwh Reading'!E13</f>
        <v>2550.0600000005215</v>
      </c>
      <c r="T13" s="34">
        <f>'Kwh Reading'!D14-'Kwh Reading'!D13</f>
        <v>2390.859999999404</v>
      </c>
      <c r="U13" s="27">
        <f>('Kwh Reading'!O14-'Kwh Reading'!O13)*1000</f>
        <v>199.99999999998863</v>
      </c>
      <c r="V13" s="16">
        <f t="shared" si="1"/>
        <v>5499.0800000003692</v>
      </c>
    </row>
    <row r="14" spans="1:22" x14ac:dyDescent="0.25">
      <c r="A14" s="3">
        <f>'Kwh Reading'!A14</f>
        <v>44450</v>
      </c>
      <c r="B14" s="26">
        <f>TOTAL!E12</f>
        <v>21830.000000003114</v>
      </c>
      <c r="C14" s="4">
        <f>('Kwh Reading'!T15-'Kwh Reading'!T14)*1000</f>
        <v>490.00000000000909</v>
      </c>
      <c r="D14" s="2">
        <f>('Kwh Reading'!F15-'Kwh Reading'!F14)*1000000</f>
        <v>2499.9999999999468</v>
      </c>
      <c r="E14" s="2">
        <f>('Kwh Reading'!C15-'Kwh Reading'!C14)*1000</f>
        <v>240.00000000000909</v>
      </c>
      <c r="F14" s="2">
        <f>('Kwh Reading'!J15-'Kwh Reading'!J14)*1000</f>
        <v>229.99999999996135</v>
      </c>
      <c r="G14" s="2">
        <f>('Kwh Reading'!K15-'Kwh Reading'!K14)*1000</f>
        <v>310.00000000000227</v>
      </c>
      <c r="H14" s="2">
        <f>('Kwh Reading'!L15-'Kwh Reading'!L14)*1000</f>
        <v>210.00000000000796</v>
      </c>
      <c r="I14" s="2">
        <f>('Kwh Reading'!R15-'Kwh Reading'!R14)*1000</f>
        <v>250</v>
      </c>
      <c r="J14" s="2">
        <f>('Kwh Reading'!S15-'Kwh Reading'!S14)*1000</f>
        <v>120.00000000000455</v>
      </c>
      <c r="K14" s="2">
        <f>('Kwh Reading'!I15-'Kwh Reading'!I14)*1000</f>
        <v>299.99999999995453</v>
      </c>
      <c r="L14" s="2">
        <f>('Kwh Reading'!B15-'Kwh Reading'!B14)*1000000</f>
        <v>1400.0000000000678</v>
      </c>
      <c r="M14" s="2">
        <f>('Kwh Reading'!M15-'Kwh Reading'!M14)*1000</f>
        <v>860.00000000001364</v>
      </c>
      <c r="N14" s="2">
        <f>('Kwh Reading'!H15-'Kwh Reading'!H14)*1000</f>
        <v>710.00000000003638</v>
      </c>
      <c r="O14" s="2">
        <f>('Kwh Reading'!P15-'Kwh Reading'!P14)*1000</f>
        <v>919.99999999995907</v>
      </c>
      <c r="P14" s="2">
        <f>('Kwh Reading'!G15-'Kwh Reading'!G14)*1000</f>
        <v>810.00000000005912</v>
      </c>
      <c r="Q14" s="2">
        <f>('Kwh Reading'!Q15-'Kwh Reading'!Q14)*1000</f>
        <v>680.00000000000682</v>
      </c>
      <c r="R14" s="2">
        <f>('Kwh Reading'!N15-'Kwh Reading'!N14)*1000</f>
        <v>790.00000000007731</v>
      </c>
      <c r="S14" s="34">
        <f>'Kwh Reading'!E15-'Kwh Reading'!E14</f>
        <v>2629.929999999702</v>
      </c>
      <c r="T14" s="34">
        <f>'Kwh Reading'!D15-'Kwh Reading'!D14</f>
        <v>2279.8000000007451</v>
      </c>
      <c r="U14" s="27">
        <f>('Kwh Reading'!O15-'Kwh Reading'!O14)*1000</f>
        <v>180.00000000000682</v>
      </c>
      <c r="V14" s="16">
        <f t="shared" si="1"/>
        <v>5920.2700000025434</v>
      </c>
    </row>
    <row r="15" spans="1:22" x14ac:dyDescent="0.25">
      <c r="A15" s="3">
        <f>'Kwh Reading'!A15</f>
        <v>44451</v>
      </c>
      <c r="B15" s="26">
        <f>TOTAL!E13</f>
        <v>20779.999999999291</v>
      </c>
      <c r="C15" s="4">
        <f>('Kwh Reading'!T16-'Kwh Reading'!T15)*1000</f>
        <v>500</v>
      </c>
      <c r="D15" s="2">
        <f>('Kwh Reading'!F16-'Kwh Reading'!F15)*1000000</f>
        <v>2299.9999999999686</v>
      </c>
      <c r="E15" s="2">
        <f>('Kwh Reading'!C16-'Kwh Reading'!C15)*1000</f>
        <v>219.99999999999886</v>
      </c>
      <c r="F15" s="2">
        <f>('Kwh Reading'!J16-'Kwh Reading'!J15)*1000</f>
        <v>189.99999999999773</v>
      </c>
      <c r="G15" s="2">
        <f>('Kwh Reading'!K16-'Kwh Reading'!K15)*1000</f>
        <v>200.00000000004547</v>
      </c>
      <c r="H15" s="2">
        <f>('Kwh Reading'!L16-'Kwh Reading'!L15)*1000</f>
        <v>199.99999999998863</v>
      </c>
      <c r="I15" s="2">
        <f>('Kwh Reading'!R16-'Kwh Reading'!R15)*1000</f>
        <v>219.99999999999886</v>
      </c>
      <c r="J15" s="2">
        <f>('Kwh Reading'!S16-'Kwh Reading'!S15)*1000</f>
        <v>109.99999999999943</v>
      </c>
      <c r="K15" s="2">
        <f>('Kwh Reading'!I16-'Kwh Reading'!I15)*1000</f>
        <v>270.00000000003865</v>
      </c>
      <c r="L15" s="2">
        <f>('Kwh Reading'!B16-'Kwh Reading'!B15)*1000000</f>
        <v>1400.0000000000678</v>
      </c>
      <c r="M15" s="2">
        <f>('Kwh Reading'!M16-'Kwh Reading'!M15)*1000</f>
        <v>809.99999999994543</v>
      </c>
      <c r="N15" s="2">
        <f>('Kwh Reading'!H16-'Kwh Reading'!H15)*1000</f>
        <v>559.99999999994543</v>
      </c>
      <c r="O15" s="2">
        <f>('Kwh Reading'!P16-'Kwh Reading'!P15)*1000</f>
        <v>800.00000000006821</v>
      </c>
      <c r="P15" s="2">
        <f>('Kwh Reading'!G16-'Kwh Reading'!G15)*1000</f>
        <v>829.99999999992724</v>
      </c>
      <c r="Q15" s="2">
        <f>('Kwh Reading'!Q16-'Kwh Reading'!Q15)*1000</f>
        <v>600.00000000002274</v>
      </c>
      <c r="R15" s="2">
        <f>('Kwh Reading'!N16-'Kwh Reading'!N15)*1000</f>
        <v>769.99999999998181</v>
      </c>
      <c r="S15" s="34">
        <f>'Kwh Reading'!E16-'Kwh Reading'!E15</f>
        <v>2472.0500000007451</v>
      </c>
      <c r="T15" s="34">
        <f>'Kwh Reading'!D16-'Kwh Reading'!D15</f>
        <v>2208.7099999999627</v>
      </c>
      <c r="U15" s="27">
        <f>('Kwh Reading'!O16-'Kwh Reading'!O15)*1000</f>
        <v>219.99999999999886</v>
      </c>
      <c r="V15" s="16">
        <f t="shared" si="1"/>
        <v>5899.2399999985919</v>
      </c>
    </row>
    <row r="16" spans="1:22" x14ac:dyDescent="0.25">
      <c r="A16" s="3">
        <f>'Kwh Reading'!A16</f>
        <v>44452</v>
      </c>
      <c r="B16" s="26">
        <f>TOTAL!E14</f>
        <v>21360.000000000131</v>
      </c>
      <c r="C16" s="4">
        <f>('Kwh Reading'!T17-'Kwh Reading'!T16)*1000</f>
        <v>490.00000000000909</v>
      </c>
      <c r="D16" s="2">
        <f>('Kwh Reading'!F17-'Kwh Reading'!F16)*1000000</f>
        <v>2400.0000000001796</v>
      </c>
      <c r="E16" s="2">
        <f>('Kwh Reading'!C17-'Kwh Reading'!C16)*1000</f>
        <v>210.00000000000796</v>
      </c>
      <c r="F16" s="2">
        <f>('Kwh Reading'!J17-'Kwh Reading'!J16)*1000</f>
        <v>300.00000000001137</v>
      </c>
      <c r="G16" s="2">
        <f>('Kwh Reading'!K17-'Kwh Reading'!K16)*1000</f>
        <v>279.99999999997272</v>
      </c>
      <c r="H16" s="2">
        <f>('Kwh Reading'!L17-'Kwh Reading'!L16)*1000</f>
        <v>200.00000000001705</v>
      </c>
      <c r="I16" s="2">
        <f>('Kwh Reading'!R17-'Kwh Reading'!R16)*1000</f>
        <v>240.00000000000909</v>
      </c>
      <c r="J16" s="2">
        <f>('Kwh Reading'!S17-'Kwh Reading'!S16)*1000</f>
        <v>119.99999999999034</v>
      </c>
      <c r="K16" s="2">
        <f>('Kwh Reading'!I17-'Kwh Reading'!I16)*1000</f>
        <v>269.99999999998181</v>
      </c>
      <c r="L16" s="2">
        <f>('Kwh Reading'!B17-'Kwh Reading'!B16)*1000000</f>
        <v>1499.9999999998347</v>
      </c>
      <c r="M16" s="2">
        <f>('Kwh Reading'!M17-'Kwh Reading'!M16)*1000</f>
        <v>870.00000000000455</v>
      </c>
      <c r="N16" s="2">
        <f>('Kwh Reading'!H17-'Kwh Reading'!H16)*1000</f>
        <v>600.00000000002274</v>
      </c>
      <c r="O16" s="2">
        <f>('Kwh Reading'!P17-'Kwh Reading'!P16)*1000</f>
        <v>759.99999999999091</v>
      </c>
      <c r="P16" s="2">
        <f>('Kwh Reading'!G17-'Kwh Reading'!G16)*1000</f>
        <v>760.00000000010459</v>
      </c>
      <c r="Q16" s="2">
        <f>('Kwh Reading'!Q17-'Kwh Reading'!Q16)*1000</f>
        <v>689.99999999994088</v>
      </c>
      <c r="R16" s="2">
        <f>('Kwh Reading'!N17-'Kwh Reading'!N16)*1000</f>
        <v>799.99999999995453</v>
      </c>
      <c r="S16" s="34">
        <f>'Kwh Reading'!E17-'Kwh Reading'!E16</f>
        <v>2440.4000000003725</v>
      </c>
      <c r="T16" s="34">
        <f>'Kwh Reading'!D17-'Kwh Reading'!D16</f>
        <v>2276.1499999994412</v>
      </c>
      <c r="U16" s="27">
        <f>('Kwh Reading'!O17-'Kwh Reading'!O16)*1000</f>
        <v>200.00000000001705</v>
      </c>
      <c r="V16" s="16">
        <f t="shared" si="1"/>
        <v>5953.4500000002699</v>
      </c>
    </row>
    <row r="17" spans="1:22" x14ac:dyDescent="0.25">
      <c r="A17" s="3">
        <f>'Kwh Reading'!A17</f>
        <v>44453</v>
      </c>
      <c r="B17" s="26">
        <f>TOTAL!E15</f>
        <v>21449.999999998457</v>
      </c>
      <c r="C17" s="4">
        <f>('Kwh Reading'!T18-'Kwh Reading'!T17)*1000</f>
        <v>509.99999999999091</v>
      </c>
      <c r="D17" s="2">
        <f>('Kwh Reading'!F18-'Kwh Reading'!F17)*1000000</f>
        <v>2399.9999999997358</v>
      </c>
      <c r="E17" s="2">
        <f>('Kwh Reading'!C18-'Kwh Reading'!C17)*1000</f>
        <v>250</v>
      </c>
      <c r="F17" s="2">
        <f>('Kwh Reading'!J18-'Kwh Reading'!J17)*1000</f>
        <v>259.99999999999091</v>
      </c>
      <c r="G17" s="2">
        <f>('Kwh Reading'!K18-'Kwh Reading'!K17)*1000</f>
        <v>319.99999999999318</v>
      </c>
      <c r="H17" s="2">
        <f>('Kwh Reading'!L18-'Kwh Reading'!L17)*1000</f>
        <v>169.99999999998749</v>
      </c>
      <c r="I17" s="2">
        <f>('Kwh Reading'!R18-'Kwh Reading'!R17)*1000</f>
        <v>240.00000000000909</v>
      </c>
      <c r="J17" s="2">
        <f>('Kwh Reading'!S18-'Kwh Reading'!S17)*1000</f>
        <v>130.00000000000966</v>
      </c>
      <c r="K17" s="2">
        <f>('Kwh Reading'!I18-'Kwh Reading'!I17)*1000</f>
        <v>290.00000000002046</v>
      </c>
      <c r="L17" s="2">
        <f>('Kwh Reading'!B18-'Kwh Reading'!B17)*1000000</f>
        <v>1500.0000000000568</v>
      </c>
      <c r="M17" s="2">
        <f>('Kwh Reading'!M18-'Kwh Reading'!M17)*1000</f>
        <v>790.00000000007731</v>
      </c>
      <c r="N17" s="2">
        <f>('Kwh Reading'!H18-'Kwh Reading'!H17)*1000</f>
        <v>550.00000000006821</v>
      </c>
      <c r="O17" s="2">
        <f>('Kwh Reading'!P18-'Kwh Reading'!P17)*1000</f>
        <v>789.99999999996362</v>
      </c>
      <c r="P17" s="2">
        <f>('Kwh Reading'!G18-'Kwh Reading'!G17)*1000</f>
        <v>739.99999999989541</v>
      </c>
      <c r="Q17" s="2">
        <f>('Kwh Reading'!Q18-'Kwh Reading'!Q17)*1000</f>
        <v>680.00000000006366</v>
      </c>
      <c r="R17" s="2">
        <f>('Kwh Reading'!N18-'Kwh Reading'!N17)*1000</f>
        <v>830.00000000004093</v>
      </c>
      <c r="S17" s="34">
        <f>'Kwh Reading'!E18-'Kwh Reading'!E17</f>
        <v>2758.5499999988824</v>
      </c>
      <c r="T17" s="34">
        <f>'Kwh Reading'!D18-'Kwh Reading'!D17</f>
        <v>2390.980000000447</v>
      </c>
      <c r="U17" s="27">
        <f>('Kwh Reading'!O18-'Kwh Reading'!O17)*1000</f>
        <v>179.9999999999784</v>
      </c>
      <c r="V17" s="16">
        <f t="shared" si="1"/>
        <v>5670.4699999992445</v>
      </c>
    </row>
    <row r="18" spans="1:22" x14ac:dyDescent="0.25">
      <c r="A18" s="3">
        <f>'Kwh Reading'!A18</f>
        <v>44454</v>
      </c>
      <c r="B18" s="26">
        <f>TOTAL!E16</f>
        <v>18569.999999999709</v>
      </c>
      <c r="C18" s="4">
        <f>('Kwh Reading'!T19-'Kwh Reading'!T18)*1000</f>
        <v>500</v>
      </c>
      <c r="D18" s="2">
        <f>('Kwh Reading'!F19-'Kwh Reading'!F18)*1000000</f>
        <v>2400.0000000001796</v>
      </c>
      <c r="E18" s="2">
        <f>('Kwh Reading'!C19-'Kwh Reading'!C18)*1000</f>
        <v>240.00000000000909</v>
      </c>
      <c r="F18" s="2">
        <f>('Kwh Reading'!J19-'Kwh Reading'!J18)*1000</f>
        <v>260.00000000004775</v>
      </c>
      <c r="G18" s="2">
        <f>('Kwh Reading'!K19-'Kwh Reading'!K18)*1000</f>
        <v>230.00000000001819</v>
      </c>
      <c r="H18" s="2">
        <f>('Kwh Reading'!L19-'Kwh Reading'!L18)*1000</f>
        <v>219.99999999999886</v>
      </c>
      <c r="I18" s="2">
        <f>('Kwh Reading'!R19-'Kwh Reading'!R18)*1000</f>
        <v>239.99999999998067</v>
      </c>
      <c r="J18" s="2">
        <f>('Kwh Reading'!S19-'Kwh Reading'!S18)*1000</f>
        <v>119.99999999999034</v>
      </c>
      <c r="K18" s="2">
        <f>('Kwh Reading'!I19-'Kwh Reading'!I18)*1000</f>
        <v>240.00000000000909</v>
      </c>
      <c r="L18" s="2">
        <f>('Kwh Reading'!B19-'Kwh Reading'!B18)*1000000</f>
        <v>1100.000000000101</v>
      </c>
      <c r="M18" s="2">
        <f>('Kwh Reading'!M19-'Kwh Reading'!M18)*1000</f>
        <v>599.99999999990905</v>
      </c>
      <c r="N18" s="2">
        <f>('Kwh Reading'!H19-'Kwh Reading'!H18)*1000</f>
        <v>419.99999999995907</v>
      </c>
      <c r="O18" s="2">
        <f>('Kwh Reading'!P19-'Kwh Reading'!P18)*1000</f>
        <v>720.00000000002728</v>
      </c>
      <c r="P18" s="2">
        <f>('Kwh Reading'!G19-'Kwh Reading'!G18)*1000</f>
        <v>610.00000000001364</v>
      </c>
      <c r="Q18" s="2">
        <f>('Kwh Reading'!Q19-'Kwh Reading'!Q18)*1000</f>
        <v>549.99999999995453</v>
      </c>
      <c r="R18" s="2">
        <f>('Kwh Reading'!N19-'Kwh Reading'!N18)*1000</f>
        <v>559.99999999994543</v>
      </c>
      <c r="S18" s="34">
        <f>'Kwh Reading'!E19-'Kwh Reading'!E18</f>
        <v>2090.0099999997765</v>
      </c>
      <c r="T18" s="34">
        <f>'Kwh Reading'!D19-'Kwh Reading'!D18</f>
        <v>1889.1299999998882</v>
      </c>
      <c r="U18" s="27">
        <f>('Kwh Reading'!O19-'Kwh Reading'!O18)*1000</f>
        <v>180.00000000000682</v>
      </c>
      <c r="V18" s="16">
        <f t="shared" si="1"/>
        <v>5400.8599999998933</v>
      </c>
    </row>
    <row r="19" spans="1:22" x14ac:dyDescent="0.25">
      <c r="A19" s="3">
        <f>'Kwh Reading'!A19</f>
        <v>44455</v>
      </c>
      <c r="B19" s="26">
        <f>TOTAL!E17</f>
        <v>21740.000000002055</v>
      </c>
      <c r="C19" s="4">
        <f>('Kwh Reading'!T20-'Kwh Reading'!T19)*1000</f>
        <v>490.00000000000909</v>
      </c>
      <c r="D19" s="2">
        <f>('Kwh Reading'!F20-'Kwh Reading'!F19)*1000000</f>
        <v>2400.0000000001796</v>
      </c>
      <c r="E19" s="2">
        <f>('Kwh Reading'!C20-'Kwh Reading'!C19)*1000</f>
        <v>259.99999999999091</v>
      </c>
      <c r="F19" s="2">
        <f>('Kwh Reading'!J20-'Kwh Reading'!J19)*1000</f>
        <v>209.99999999997954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230.00000000001819</v>
      </c>
      <c r="J19" s="2">
        <f>('Kwh Reading'!S20-'Kwh Reading'!S19)*1000</f>
        <v>109.99999999999943</v>
      </c>
      <c r="K19" s="2">
        <f>('Kwh Reading'!I20-'Kwh Reading'!I19)*1000</f>
        <v>279.99999999997272</v>
      </c>
      <c r="L19" s="2">
        <f>('Kwh Reading'!B20-'Kwh Reading'!B19)*1000000</f>
        <v>1299.9999999998568</v>
      </c>
      <c r="M19" s="2">
        <f>('Kwh Reading'!M20-'Kwh Reading'!M19)*1000</f>
        <v>790.00000000007731</v>
      </c>
      <c r="N19" s="2">
        <f>('Kwh Reading'!H20-'Kwh Reading'!H19)*1000</f>
        <v>690.00000000005457</v>
      </c>
      <c r="O19" s="2">
        <f>('Kwh Reading'!P20-'Kwh Reading'!P19)*1000</f>
        <v>919.99999999995907</v>
      </c>
      <c r="P19" s="2">
        <f>('Kwh Reading'!G20-'Kwh Reading'!G19)*1000</f>
        <v>830.00000000004093</v>
      </c>
      <c r="Q19" s="2">
        <f>('Kwh Reading'!Q20-'Kwh Reading'!Q19)*1000</f>
        <v>700.00000000004547</v>
      </c>
      <c r="R19" s="2">
        <f>('Kwh Reading'!N20-'Kwh Reading'!N19)*1000</f>
        <v>820.00000000005002</v>
      </c>
      <c r="S19" s="34">
        <f>'Kwh Reading'!E20-'Kwh Reading'!E19</f>
        <v>2849.0500000007451</v>
      </c>
      <c r="T19" s="34">
        <f>'Kwh Reading'!D20-'Kwh Reading'!D19</f>
        <v>2564.660000000149</v>
      </c>
      <c r="U19" s="27">
        <f>('Kwh Reading'!O20-'Kwh Reading'!O19)*1000</f>
        <v>189.99999999999773</v>
      </c>
      <c r="V19" s="16">
        <f t="shared" si="1"/>
        <v>5636.2900000009595</v>
      </c>
    </row>
    <row r="20" spans="1:22" x14ac:dyDescent="0.25">
      <c r="A20" s="3">
        <f>'Kwh Reading'!A20</f>
        <v>44456</v>
      </c>
      <c r="B20" s="26">
        <f>TOTAL!E18</f>
        <v>22409.999999998261</v>
      </c>
      <c r="C20" s="4">
        <f>('Kwh Reading'!T21-'Kwh Reading'!T20)*1000</f>
        <v>269.99999999998181</v>
      </c>
      <c r="D20" s="2">
        <f>('Kwh Reading'!F21-'Kwh Reading'!F20)*1000000</f>
        <v>2399.9999999997358</v>
      </c>
      <c r="E20" s="2">
        <f>('Kwh Reading'!C21-'Kwh Reading'!C20)*1000</f>
        <v>229.99999999998977</v>
      </c>
      <c r="F20" s="2">
        <f>('Kwh Reading'!J21-'Kwh Reading'!J20)*1000</f>
        <v>269.99999999998181</v>
      </c>
      <c r="G20" s="2">
        <f>('Kwh Reading'!K21-'Kwh Reading'!K20)*1000</f>
        <v>310.00000000000227</v>
      </c>
      <c r="H20" s="2">
        <f>('Kwh Reading'!L21-'Kwh Reading'!L20)*1000</f>
        <v>210.00000000000796</v>
      </c>
      <c r="I20" s="2">
        <f>('Kwh Reading'!R21-'Kwh Reading'!R20)*1000</f>
        <v>239.99999999998067</v>
      </c>
      <c r="J20" s="2">
        <f>('Kwh Reading'!S21-'Kwh Reading'!S20)*1000</f>
        <v>109.99999999999943</v>
      </c>
      <c r="K20" s="2">
        <f>('Kwh Reading'!I21-'Kwh Reading'!I20)*1000</f>
        <v>269.99999999998181</v>
      </c>
      <c r="L20" s="2">
        <f>('Kwh Reading'!B21-'Kwh Reading'!B20)*1000000</f>
        <v>1300.0000000000789</v>
      </c>
      <c r="M20" s="2">
        <f>('Kwh Reading'!M21-'Kwh Reading'!M20)*1000</f>
        <v>850.00000000002274</v>
      </c>
      <c r="N20" s="2">
        <f>('Kwh Reading'!H21-'Kwh Reading'!H20)*1000</f>
        <v>719.9999999999136</v>
      </c>
      <c r="O20" s="2">
        <f>('Kwh Reading'!P21-'Kwh Reading'!P20)*1000</f>
        <v>899.99999999997726</v>
      </c>
      <c r="P20" s="2">
        <f>('Kwh Reading'!G21-'Kwh Reading'!G20)*1000</f>
        <v>830.00000000004093</v>
      </c>
      <c r="Q20" s="2">
        <f>('Kwh Reading'!Q21-'Kwh Reading'!Q20)*1000</f>
        <v>709.99999999992269</v>
      </c>
      <c r="R20" s="2">
        <f>('Kwh Reading'!N21-'Kwh Reading'!N20)*1000</f>
        <v>819.99999999993634</v>
      </c>
      <c r="S20" s="34">
        <f>'Kwh Reading'!E21-'Kwh Reading'!E20</f>
        <v>2741.570000000298</v>
      </c>
      <c r="T20" s="34">
        <f>'Kwh Reading'!D21-'Kwh Reading'!D20</f>
        <v>2572.0099999997765</v>
      </c>
      <c r="U20" s="27">
        <f>('Kwh Reading'!O21-'Kwh Reading'!O20)*1000</f>
        <v>210.00000000000796</v>
      </c>
      <c r="V20" s="16">
        <f t="shared" si="1"/>
        <v>6446.4199999986249</v>
      </c>
    </row>
    <row r="21" spans="1:22" ht="16.5" customHeight="1" x14ac:dyDescent="0.25">
      <c r="A21" s="3">
        <f>'Kwh Reading'!A21</f>
        <v>44457</v>
      </c>
      <c r="B21" s="26">
        <f>TOTAL!E19</f>
        <v>22720.000000000029</v>
      </c>
      <c r="C21" s="4">
        <f>('Kwh Reading'!T22-'Kwh Reading'!T21)*1000</f>
        <v>500</v>
      </c>
      <c r="D21" s="2">
        <f>('Kwh Reading'!F22-'Kwh Reading'!F21)*1000000</f>
        <v>2400.0000000001796</v>
      </c>
      <c r="E21" s="2">
        <f>('Kwh Reading'!C22-'Kwh Reading'!C21)*1000</f>
        <v>219.99999999999886</v>
      </c>
      <c r="F21" s="2">
        <f>('Kwh Reading'!J22-'Kwh Reading'!J21)*1000</f>
        <v>230.00000000001819</v>
      </c>
      <c r="G21" s="2">
        <f>('Kwh Reading'!K22-'Kwh Reading'!K21)*1000</f>
        <v>319.99999999999318</v>
      </c>
      <c r="H21" s="2">
        <f>('Kwh Reading'!L22-'Kwh Reading'!L21)*1000</f>
        <v>180.00000000000682</v>
      </c>
      <c r="I21" s="2">
        <f>('Kwh Reading'!R22-'Kwh Reading'!R21)*1000</f>
        <v>230.00000000001819</v>
      </c>
      <c r="J21" s="2">
        <f>('Kwh Reading'!S22-'Kwh Reading'!S21)*1000</f>
        <v>120.00000000000455</v>
      </c>
      <c r="K21" s="2">
        <f>('Kwh Reading'!I22-'Kwh Reading'!I21)*1000</f>
        <v>290.00000000002046</v>
      </c>
      <c r="L21" s="2">
        <f>('Kwh Reading'!B22-'Kwh Reading'!B21)*1000000</f>
        <v>1400.0000000000678</v>
      </c>
      <c r="M21" s="2">
        <f>('Kwh Reading'!M22-'Kwh Reading'!M21)*1000</f>
        <v>799.99999999995453</v>
      </c>
      <c r="N21" s="2">
        <f>('Kwh Reading'!H22-'Kwh Reading'!H21)*1000</f>
        <v>759.99999999999091</v>
      </c>
      <c r="O21" s="2">
        <f>('Kwh Reading'!P22-'Kwh Reading'!P21)*1000</f>
        <v>980.00000000001819</v>
      </c>
      <c r="P21" s="2">
        <f>('Kwh Reading'!G22-'Kwh Reading'!G21)*1000</f>
        <v>819.99999999993634</v>
      </c>
      <c r="Q21" s="2">
        <f>('Kwh Reading'!Q22-'Kwh Reading'!Q21)*1000</f>
        <v>780.0000000000864</v>
      </c>
      <c r="R21" s="2">
        <f>('Kwh Reading'!N22-'Kwh Reading'!N21)*1000</f>
        <v>870.00000000000455</v>
      </c>
      <c r="S21" s="34">
        <f>'Kwh Reading'!E22-'Kwh Reading'!E21</f>
        <v>3018.25</v>
      </c>
      <c r="T21" s="34">
        <f>'Kwh Reading'!D22-'Kwh Reading'!D21</f>
        <v>2534.8899999996647</v>
      </c>
      <c r="U21" s="27">
        <f>('Kwh Reading'!O22-'Kwh Reading'!O21)*1000</f>
        <v>210.00000000000796</v>
      </c>
      <c r="V21" s="16">
        <f t="shared" si="1"/>
        <v>6056.8600000000588</v>
      </c>
    </row>
    <row r="22" spans="1:22" x14ac:dyDescent="0.25">
      <c r="A22" s="3">
        <f>'Kwh Reading'!A22</f>
        <v>44458</v>
      </c>
      <c r="B22" s="26">
        <f>TOTAL!E20</f>
        <v>21610.000000001946</v>
      </c>
      <c r="C22" s="4">
        <f>('Kwh Reading'!T23-'Kwh Reading'!T22)*1000</f>
        <v>540.00000000002046</v>
      </c>
      <c r="D22" s="2">
        <f>('Kwh Reading'!F23-'Kwh Reading'!F22)*1000000</f>
        <v>2599.9999999997135</v>
      </c>
      <c r="E22" s="2">
        <f>('Kwh Reading'!C23-'Kwh Reading'!C22)*1000</f>
        <v>240.00000000000909</v>
      </c>
      <c r="F22" s="2">
        <f>('Kwh Reading'!J23-'Kwh Reading'!J22)*1000</f>
        <v>250</v>
      </c>
      <c r="G22" s="2">
        <f>('Kwh Reading'!K23-'Kwh Reading'!K22)*1000</f>
        <v>280.00000000002956</v>
      </c>
      <c r="H22" s="2">
        <f>('Kwh Reading'!L23-'Kwh Reading'!L22)*1000</f>
        <v>210.00000000000796</v>
      </c>
      <c r="I22" s="2">
        <f>('Kwh Reading'!R23-'Kwh Reading'!R22)*1000</f>
        <v>239.99999999998067</v>
      </c>
      <c r="J22" s="2">
        <f>('Kwh Reading'!S23-'Kwh Reading'!S22)*1000</f>
        <v>120.00000000000455</v>
      </c>
      <c r="K22" s="2">
        <f>('Kwh Reading'!I23-'Kwh Reading'!I22)*1000</f>
        <v>290.00000000002046</v>
      </c>
      <c r="L22" s="2">
        <f>('Kwh Reading'!B23-'Kwh Reading'!B22)*1000000</f>
        <v>1399.9999999998458</v>
      </c>
      <c r="M22" s="2">
        <f>('Kwh Reading'!M23-'Kwh Reading'!M22)*1000</f>
        <v>779.99999999997272</v>
      </c>
      <c r="N22" s="2">
        <f>('Kwh Reading'!H23-'Kwh Reading'!H22)*1000</f>
        <v>629.99999999999545</v>
      </c>
      <c r="O22" s="2">
        <f>('Kwh Reading'!P23-'Kwh Reading'!P22)*1000</f>
        <v>970.00000000002728</v>
      </c>
      <c r="P22" s="2">
        <f>('Kwh Reading'!G23-'Kwh Reading'!G22)*1000</f>
        <v>830.00000000004093</v>
      </c>
      <c r="Q22" s="2">
        <f>('Kwh Reading'!Q23-'Kwh Reading'!Q22)*1000</f>
        <v>740.00000000000909</v>
      </c>
      <c r="R22" s="2">
        <f>('Kwh Reading'!N23-'Kwh Reading'!N22)*1000</f>
        <v>830.00000000004093</v>
      </c>
      <c r="S22" s="34">
        <f>'Kwh Reading'!E23-'Kwh Reading'!E22</f>
        <v>2831.4900000002235</v>
      </c>
      <c r="T22" s="34">
        <f>'Kwh Reading'!D23-'Kwh Reading'!D22</f>
        <v>2318.25</v>
      </c>
      <c r="U22" s="27">
        <f>('Kwh Reading'!O23-'Kwh Reading'!O22)*1000</f>
        <v>219.99999999999886</v>
      </c>
      <c r="V22" s="16">
        <f t="shared" si="1"/>
        <v>5290.2600000020047</v>
      </c>
    </row>
    <row r="23" spans="1:22" x14ac:dyDescent="0.25">
      <c r="A23" s="3">
        <f>'Kwh Reading'!A23</f>
        <v>44459</v>
      </c>
      <c r="B23" s="26">
        <f>TOTAL!E21</f>
        <v>21919.999999997799</v>
      </c>
      <c r="C23" s="4">
        <f>('Kwh Reading'!T24-'Kwh Reading'!T23)*1000</f>
        <v>490.00000000000909</v>
      </c>
      <c r="D23" s="2">
        <f>('Kwh Reading'!F24-'Kwh Reading'!F23)*1000000</f>
        <v>2400.0000000001796</v>
      </c>
      <c r="E23" s="2">
        <f>('Kwh Reading'!C24-'Kwh Reading'!C23)*1000</f>
        <v>259.99999999999091</v>
      </c>
      <c r="F23" s="2">
        <f>('Kwh Reading'!J24-'Kwh Reading'!J23)*1000</f>
        <v>250</v>
      </c>
      <c r="G23" s="2">
        <f>('Kwh Reading'!K24-'Kwh Reading'!K23)*1000</f>
        <v>0</v>
      </c>
      <c r="H23" s="2">
        <f>('Kwh Reading'!L24-'Kwh Reading'!L23)*1000</f>
        <v>189.99999999999773</v>
      </c>
      <c r="I23" s="2">
        <f>('Kwh Reading'!R24-'Kwh Reading'!R23)*1000</f>
        <v>220.00000000002728</v>
      </c>
      <c r="J23" s="2">
        <f>('Kwh Reading'!S24-'Kwh Reading'!S23)*1000</f>
        <v>109.99999999999943</v>
      </c>
      <c r="K23" s="2">
        <f>('Kwh Reading'!I24-'Kwh Reading'!I23)*1000</f>
        <v>269.99999999998181</v>
      </c>
      <c r="L23" s="2">
        <f>('Kwh Reading'!B24-'Kwh Reading'!B23)*1000000</f>
        <v>1400.0000000000678</v>
      </c>
      <c r="M23" s="2">
        <f>('Kwh Reading'!M24-'Kwh Reading'!M23)*1000</f>
        <v>850.00000000002274</v>
      </c>
      <c r="N23" s="2">
        <f>('Kwh Reading'!H24-'Kwh Reading'!H23)*1000</f>
        <v>590.00000000003183</v>
      </c>
      <c r="O23" s="2">
        <f>('Kwh Reading'!P24-'Kwh Reading'!P23)*1000</f>
        <v>899.99999999997726</v>
      </c>
      <c r="P23" s="2">
        <f>('Kwh Reading'!G24-'Kwh Reading'!G23)*1000</f>
        <v>879.99999999999545</v>
      </c>
      <c r="Q23" s="2">
        <f>('Kwh Reading'!Q24-'Kwh Reading'!Q23)*1000</f>
        <v>719.9999999999136</v>
      </c>
      <c r="R23" s="2">
        <f>('Kwh Reading'!N24-'Kwh Reading'!N23)*1000</f>
        <v>889.99999999998636</v>
      </c>
      <c r="S23" s="34">
        <f>'Kwh Reading'!E24-'Kwh Reading'!E23</f>
        <v>2770.269999999553</v>
      </c>
      <c r="T23" s="34">
        <f>'Kwh Reading'!D24-'Kwh Reading'!D23</f>
        <v>2257.0900000007823</v>
      </c>
      <c r="U23" s="27">
        <f>('Kwh Reading'!O24-'Kwh Reading'!O23)*1000</f>
        <v>169.99999999998749</v>
      </c>
      <c r="V23" s="16">
        <f t="shared" si="1"/>
        <v>6302.6399999972982</v>
      </c>
    </row>
    <row r="24" spans="1:22" x14ac:dyDescent="0.25">
      <c r="A24" s="3">
        <f>'Kwh Reading'!A24</f>
        <v>44460</v>
      </c>
      <c r="B24" s="26">
        <f>TOTAL!E22</f>
        <v>22870.000000001026</v>
      </c>
      <c r="C24" s="4">
        <f>('Kwh Reading'!T25-'Kwh Reading'!T24)*1000</f>
        <v>509.99999999999091</v>
      </c>
      <c r="D24" s="2">
        <f>('Kwh Reading'!F25-'Kwh Reading'!F24)*1000000</f>
        <v>2499.9999999999468</v>
      </c>
      <c r="E24" s="2">
        <f>('Kwh Reading'!C25-'Kwh Reading'!C24)*1000</f>
        <v>260.00000000001933</v>
      </c>
      <c r="F24" s="2">
        <f>('Kwh Reading'!J25-'Kwh Reading'!J24)*1000</f>
        <v>259.99999999999091</v>
      </c>
      <c r="G24" s="2">
        <f>('Kwh Reading'!K25-'Kwh Reading'!K24)*1000</f>
        <v>589.99999999997499</v>
      </c>
      <c r="H24" s="2">
        <f>('Kwh Reading'!L25-'Kwh Reading'!L24)*1000</f>
        <v>189.99999999999773</v>
      </c>
      <c r="I24" s="2">
        <f>('Kwh Reading'!R25-'Kwh Reading'!R24)*1000</f>
        <v>239.99999999998067</v>
      </c>
      <c r="J24" s="2">
        <f>('Kwh Reading'!S25-'Kwh Reading'!S24)*1000</f>
        <v>119.99999999999034</v>
      </c>
      <c r="K24" s="2">
        <f>('Kwh Reading'!I25-'Kwh Reading'!I24)*1000</f>
        <v>290.00000000002046</v>
      </c>
      <c r="L24" s="2">
        <f>('Kwh Reading'!B25-'Kwh Reading'!B24)*1000000</f>
        <v>1400.0000000000678</v>
      </c>
      <c r="M24" s="2">
        <f>('Kwh Reading'!M25-'Kwh Reading'!M24)*1000</f>
        <v>909.99999999996817</v>
      </c>
      <c r="N24" s="2">
        <f>('Kwh Reading'!H25-'Kwh Reading'!H24)*1000</f>
        <v>700.00000000004547</v>
      </c>
      <c r="O24" s="2">
        <f>('Kwh Reading'!P25-'Kwh Reading'!P24)*1000</f>
        <v>960.00000000003638</v>
      </c>
      <c r="P24" s="2">
        <f>('Kwh Reading'!G25-'Kwh Reading'!G24)*1000</f>
        <v>899.99999999997726</v>
      </c>
      <c r="Q24" s="2">
        <f>('Kwh Reading'!Q25-'Kwh Reading'!Q24)*1000</f>
        <v>750</v>
      </c>
      <c r="R24" s="2">
        <f>('Kwh Reading'!N25-'Kwh Reading'!N24)*1000</f>
        <v>870.00000000000455</v>
      </c>
      <c r="S24" s="2">
        <f>'Kwh Reading'!E25-'Kwh Reading'!E24</f>
        <v>3037.3699999991804</v>
      </c>
      <c r="T24" s="2">
        <f>'Kwh Reading'!D25-'Kwh Reading'!D24</f>
        <v>2530.2199999997392</v>
      </c>
      <c r="U24" s="27">
        <f>('Kwh Reading'!O25-'Kwh Reading'!O24)*1000</f>
        <v>229.99999999998977</v>
      </c>
      <c r="V24" s="16">
        <f t="shared" si="1"/>
        <v>5622.4100000021062</v>
      </c>
    </row>
    <row r="25" spans="1:22" x14ac:dyDescent="0.25">
      <c r="A25" s="3">
        <f>'Kwh Reading'!A25</f>
        <v>44461</v>
      </c>
      <c r="B25" s="26">
        <f>TOTAL!E23</f>
        <v>23220.000000000255</v>
      </c>
      <c r="C25" s="4">
        <f>('Kwh Reading'!T26-'Kwh Reading'!T25)*1000</f>
        <v>519.99999999998181</v>
      </c>
      <c r="D25" s="2">
        <f>('Kwh Reading'!F26-'Kwh Reading'!F25)*1000000</f>
        <v>2699.9999999999245</v>
      </c>
      <c r="E25" s="2">
        <f>('Kwh Reading'!C26-'Kwh Reading'!C25)*1000</f>
        <v>229.99999999998977</v>
      </c>
      <c r="F25" s="2">
        <f>('Kwh Reading'!J26-'Kwh Reading'!J25)*1000</f>
        <v>209.99999999997954</v>
      </c>
      <c r="G25" s="2">
        <f>('Kwh Reading'!K26-'Kwh Reading'!K25)*1000</f>
        <v>330.00000000004093</v>
      </c>
      <c r="H25" s="2">
        <f>('Kwh Reading'!L26-'Kwh Reading'!L25)*1000</f>
        <v>199.99999999998863</v>
      </c>
      <c r="I25" s="2">
        <f>('Kwh Reading'!R26-'Kwh Reading'!R25)*1000</f>
        <v>240.00000000000909</v>
      </c>
      <c r="J25" s="2">
        <f>('Kwh Reading'!S26-'Kwh Reading'!S25)*1000</f>
        <v>120.00000000000455</v>
      </c>
      <c r="K25" s="2">
        <f>('Kwh Reading'!I26-'Kwh Reading'!I25)*1000</f>
        <v>289.99999999996362</v>
      </c>
      <c r="L25" s="2">
        <f>('Kwh Reading'!B26-'Kwh Reading'!B25)*1000000</f>
        <v>1399.9999999998458</v>
      </c>
      <c r="M25" s="2">
        <f>('Kwh Reading'!M26-'Kwh Reading'!M25)*1000</f>
        <v>910.00000000008185</v>
      </c>
      <c r="N25" s="2">
        <f>('Kwh Reading'!H26-'Kwh Reading'!H25)*1000</f>
        <v>759.99999999999091</v>
      </c>
      <c r="O25" s="2">
        <f>('Kwh Reading'!P26-'Kwh Reading'!P25)*1000</f>
        <v>949.99999999993179</v>
      </c>
      <c r="P25" s="2">
        <f>('Kwh Reading'!G26-'Kwh Reading'!G25)*1000</f>
        <v>789.99999999996362</v>
      </c>
      <c r="Q25" s="2">
        <f>('Kwh Reading'!Q26-'Kwh Reading'!Q25)*1000</f>
        <v>740.00000000000909</v>
      </c>
      <c r="R25" s="2">
        <f>('Kwh Reading'!N26-'Kwh Reading'!N25)*1000</f>
        <v>810.00000000005912</v>
      </c>
      <c r="S25" s="2">
        <f>'Kwh Reading'!E26-'Kwh Reading'!E25</f>
        <v>3028.4600000008941</v>
      </c>
      <c r="T25" s="2">
        <f>'Kwh Reading'!D26-'Kwh Reading'!D25</f>
        <v>2685.339999999851</v>
      </c>
      <c r="U25" s="27">
        <f>('Kwh Reading'!O26-'Kwh Reading'!O25)*1000</f>
        <v>200.00000000001705</v>
      </c>
      <c r="V25" s="16">
        <f t="shared" si="1"/>
        <v>6106.1999999997242</v>
      </c>
    </row>
    <row r="26" spans="1:22" x14ac:dyDescent="0.25">
      <c r="A26" s="3">
        <f>'Kwh Reading'!A26</f>
        <v>44462</v>
      </c>
      <c r="B26" s="26">
        <f>TOTAL!E24</f>
        <v>22410.000000000084</v>
      </c>
      <c r="C26" s="4">
        <f>('Kwh Reading'!T27-'Kwh Reading'!T26)*1000</f>
        <v>430.00000000000682</v>
      </c>
      <c r="D26" s="2">
        <f>('Kwh Reading'!F27-'Kwh Reading'!F26)*1000000</f>
        <v>2600.0000000001578</v>
      </c>
      <c r="E26" s="2">
        <f>('Kwh Reading'!C27-'Kwh Reading'!C26)*1000</f>
        <v>250</v>
      </c>
      <c r="F26" s="2">
        <f>('Kwh Reading'!J27-'Kwh Reading'!J26)*1000</f>
        <v>240.00000000000909</v>
      </c>
      <c r="G26" s="2">
        <f>('Kwh Reading'!K27-'Kwh Reading'!K26)*1000</f>
        <v>349.99999999996589</v>
      </c>
      <c r="H26" s="2">
        <f>('Kwh Reading'!L27-'Kwh Reading'!L26)*1000</f>
        <v>210.00000000000796</v>
      </c>
      <c r="I26" s="2">
        <f>('Kwh Reading'!R27-'Kwh Reading'!R26)*1000</f>
        <v>240.00000000000909</v>
      </c>
      <c r="J26" s="2">
        <f>('Kwh Reading'!S27-'Kwh Reading'!S26)*1000</f>
        <v>109.99999999999943</v>
      </c>
      <c r="K26" s="2">
        <f>('Kwh Reading'!I27-'Kwh Reading'!I26)*1000</f>
        <v>280.00000000002956</v>
      </c>
      <c r="L26" s="2">
        <f>('Kwh Reading'!B27-'Kwh Reading'!B26)*1000000</f>
        <v>1300.0000000000789</v>
      </c>
      <c r="M26" s="2">
        <f>('Kwh Reading'!M27-'Kwh Reading'!M26)*1000</f>
        <v>919.99999999995907</v>
      </c>
      <c r="N26" s="2">
        <f>('Kwh Reading'!H27-'Kwh Reading'!H26)*1000</f>
        <v>759.99999999999091</v>
      </c>
      <c r="O26" s="2">
        <f>('Kwh Reading'!P27-'Kwh Reading'!P26)*1000</f>
        <v>910.00000000008185</v>
      </c>
      <c r="P26" s="2">
        <f>('Kwh Reading'!G27-'Kwh Reading'!G26)*1000</f>
        <v>870.00000000000455</v>
      </c>
      <c r="Q26" s="2">
        <f>('Kwh Reading'!Q27-'Kwh Reading'!Q26)*1000</f>
        <v>759.99999999999091</v>
      </c>
      <c r="R26" s="2">
        <f>('Kwh Reading'!N27-'Kwh Reading'!N26)*1000</f>
        <v>789.99999999996362</v>
      </c>
      <c r="S26" s="2">
        <f>'Kwh Reading'!E27-'Kwh Reading'!E26</f>
        <v>3117.3699999991804</v>
      </c>
      <c r="T26" s="2">
        <f>'Kwh Reading'!D27-'Kwh Reading'!D26</f>
        <v>2726.3300000000745</v>
      </c>
      <c r="U26" s="27">
        <f>('Kwh Reading'!O27-'Kwh Reading'!O26)*1000</f>
        <v>199.99999999998863</v>
      </c>
      <c r="V26" s="16">
        <f t="shared" si="1"/>
        <v>5346.300000000585</v>
      </c>
    </row>
    <row r="27" spans="1:22" x14ac:dyDescent="0.25">
      <c r="A27" s="3">
        <f>'Kwh Reading'!A27</f>
        <v>44463</v>
      </c>
      <c r="B27" s="26">
        <f>TOTAL!E25</f>
        <v>22109.999999998538</v>
      </c>
      <c r="C27" s="4">
        <f>('Kwh Reading'!T28-'Kwh Reading'!T27)*1000</f>
        <v>329.99999999998408</v>
      </c>
      <c r="D27" s="2">
        <f>('Kwh Reading'!F28-'Kwh Reading'!F27)*1000000</f>
        <v>2800.0000000001355</v>
      </c>
      <c r="E27" s="2">
        <f>('Kwh Reading'!C28-'Kwh Reading'!C27)*1000</f>
        <v>300.00000000001137</v>
      </c>
      <c r="F27" s="2">
        <f>('Kwh Reading'!J28-'Kwh Reading'!J27)*1000</f>
        <v>300.00000000001137</v>
      </c>
      <c r="G27" s="2">
        <f>('Kwh Reading'!K28-'Kwh Reading'!K27)*1000</f>
        <v>280.00000000002956</v>
      </c>
      <c r="H27" s="2">
        <f>('Kwh Reading'!L28-'Kwh Reading'!L27)*1000</f>
        <v>189.99999999999773</v>
      </c>
      <c r="I27" s="2">
        <f>('Kwh Reading'!R28-'Kwh Reading'!R27)*1000</f>
        <v>239.99999999998067</v>
      </c>
      <c r="J27" s="2">
        <f>('Kwh Reading'!S28-'Kwh Reading'!S27)*1000</f>
        <v>120.00000000000455</v>
      </c>
      <c r="K27" s="2">
        <f>('Kwh Reading'!I28-'Kwh Reading'!I27)*1000</f>
        <v>269.99999999998181</v>
      </c>
      <c r="L27" s="2">
        <f>('Kwh Reading'!B28-'Kwh Reading'!B27)*1000000</f>
        <v>1300.0000000000789</v>
      </c>
      <c r="M27" s="2">
        <f>('Kwh Reading'!M28-'Kwh Reading'!M27)*1000</f>
        <v>909.99999999996817</v>
      </c>
      <c r="N27" s="2">
        <f>('Kwh Reading'!H28-'Kwh Reading'!H27)*1000</f>
        <v>720.00000000002728</v>
      </c>
      <c r="O27" s="2">
        <f>('Kwh Reading'!P28-'Kwh Reading'!P27)*1000</f>
        <v>759.99999999999091</v>
      </c>
      <c r="P27" s="2">
        <f>('Kwh Reading'!G28-'Kwh Reading'!G27)*1000</f>
        <v>850.00000000002274</v>
      </c>
      <c r="Q27" s="2">
        <f>('Kwh Reading'!Q28-'Kwh Reading'!Q27)*1000</f>
        <v>750</v>
      </c>
      <c r="R27" s="2">
        <f>('Kwh Reading'!N28-'Kwh Reading'!N27)*1000</f>
        <v>679.99999999994998</v>
      </c>
      <c r="S27" s="2">
        <f>'Kwh Reading'!E28-'Kwh Reading'!E27</f>
        <v>2448.4000000003725</v>
      </c>
      <c r="T27" s="2">
        <f>'Kwh Reading'!D28-'Kwh Reading'!D27</f>
        <v>2671.410000000149</v>
      </c>
      <c r="U27" s="27">
        <f>('Kwh Reading'!O28-'Kwh Reading'!O27)*1000</f>
        <v>210.00000000000796</v>
      </c>
      <c r="V27" s="16">
        <f t="shared" si="1"/>
        <v>5980.1899999978341</v>
      </c>
    </row>
    <row r="28" spans="1:22" x14ac:dyDescent="0.25">
      <c r="A28" s="3">
        <f>'Kwh Reading'!A28</f>
        <v>44464</v>
      </c>
      <c r="B28" s="26">
        <f>TOTAL!E26</f>
        <v>23100.000000001277</v>
      </c>
      <c r="C28" s="4">
        <f>('Kwh Reading'!T29-'Kwh Reading'!T28)*1000</f>
        <v>230.00000000001819</v>
      </c>
      <c r="D28" s="2">
        <f>('Kwh Reading'!F29-'Kwh Reading'!F28)*1000000</f>
        <v>2599.9999999997135</v>
      </c>
      <c r="E28" s="2">
        <f>('Kwh Reading'!C29-'Kwh Reading'!C28)*1000</f>
        <v>219.99999999999886</v>
      </c>
      <c r="F28" s="2">
        <f>('Kwh Reading'!J29-'Kwh Reading'!J28)*1000</f>
        <v>319.99999999999318</v>
      </c>
      <c r="G28" s="2">
        <f>('Kwh Reading'!K29-'Kwh Reading'!K28)*1000</f>
        <v>310.00000000000227</v>
      </c>
      <c r="H28" s="2">
        <f>('Kwh Reading'!L29-'Kwh Reading'!L28)*1000</f>
        <v>210.00000000000796</v>
      </c>
      <c r="I28" s="2">
        <f>('Kwh Reading'!R29-'Kwh Reading'!R28)*1000</f>
        <v>250</v>
      </c>
      <c r="J28" s="2">
        <f>('Kwh Reading'!S29-'Kwh Reading'!S28)*1000</f>
        <v>129.99999999999545</v>
      </c>
      <c r="K28" s="2">
        <f>('Kwh Reading'!I29-'Kwh Reading'!I28)*1000</f>
        <v>269.99999999998181</v>
      </c>
      <c r="L28" s="2">
        <f>('Kwh Reading'!B29-'Kwh Reading'!B28)*1000000</f>
        <v>1299.9999999998568</v>
      </c>
      <c r="M28" s="2">
        <f>('Kwh Reading'!M29-'Kwh Reading'!M28)*1000</f>
        <v>870.00000000000455</v>
      </c>
      <c r="N28" s="2">
        <f>('Kwh Reading'!H29-'Kwh Reading'!H28)*1000</f>
        <v>829.99999999992724</v>
      </c>
      <c r="O28" s="2">
        <f>('Kwh Reading'!P29-'Kwh Reading'!P28)*1000</f>
        <v>870.00000000000455</v>
      </c>
      <c r="P28" s="2">
        <f>('Kwh Reading'!G29-'Kwh Reading'!G28)*1000</f>
        <v>1070.00000000005</v>
      </c>
      <c r="Q28" s="2">
        <f>('Kwh Reading'!Q29-'Kwh Reading'!Q28)*1000</f>
        <v>670.00000000007276</v>
      </c>
      <c r="R28" s="2">
        <f>('Kwh Reading'!N29-'Kwh Reading'!N28)*1000</f>
        <v>830.00000000004093</v>
      </c>
      <c r="S28" s="2">
        <f>'Kwh Reading'!E29-'Kwh Reading'!E28</f>
        <v>3236.9700000006706</v>
      </c>
      <c r="T28" s="2">
        <f>'Kwh Reading'!D29-'Kwh Reading'!D28</f>
        <v>2640.109999999404</v>
      </c>
      <c r="U28" s="27">
        <f>('Kwh Reading'!O29-'Kwh Reading'!O28)*1000</f>
        <v>189.99999999999773</v>
      </c>
      <c r="V28" s="16">
        <f t="shared" si="1"/>
        <v>6052.9200000015371</v>
      </c>
    </row>
    <row r="29" spans="1:22" x14ac:dyDescent="0.25">
      <c r="A29" s="3">
        <f>'Kwh Reading'!A29</f>
        <v>44465</v>
      </c>
      <c r="B29" s="26">
        <f>TOTAL!E27</f>
        <v>20269.999999999753</v>
      </c>
      <c r="C29" s="4">
        <f>('Kwh Reading'!T30-'Kwh Reading'!T29)*1000</f>
        <v>740.00000000000909</v>
      </c>
      <c r="D29" s="2">
        <f>('Kwh Reading'!F30-'Kwh Reading'!F29)*1000000</f>
        <v>2499.9999999999468</v>
      </c>
      <c r="E29" s="2">
        <f>('Kwh Reading'!C30-'Kwh Reading'!C29)*1000</f>
        <v>239.99999999998067</v>
      </c>
      <c r="F29" s="2">
        <f>('Kwh Reading'!J30-'Kwh Reading'!J29)*1000</f>
        <v>269.99999999998181</v>
      </c>
      <c r="G29" s="2">
        <f>('Kwh Reading'!K30-'Kwh Reading'!K29)*1000</f>
        <v>289.99999999996362</v>
      </c>
      <c r="H29" s="2">
        <f>('Kwh Reading'!L30-'Kwh Reading'!L29)*1000</f>
        <v>189.99999999999773</v>
      </c>
      <c r="I29" s="2">
        <f>('Kwh Reading'!R30-'Kwh Reading'!R29)*1000</f>
        <v>230.00000000001819</v>
      </c>
      <c r="J29" s="2">
        <f>('Kwh Reading'!S30-'Kwh Reading'!S29)*1000</f>
        <v>109.99999999999943</v>
      </c>
      <c r="K29" s="2">
        <f>('Kwh Reading'!I30-'Kwh Reading'!I29)*1000</f>
        <v>230.00000000001819</v>
      </c>
      <c r="L29" s="2">
        <f>('Kwh Reading'!B30-'Kwh Reading'!B29)*1000000</f>
        <v>1000.0000000001119</v>
      </c>
      <c r="M29" s="2">
        <f>('Kwh Reading'!M30-'Kwh Reading'!M29)*1000</f>
        <v>710.00000000003638</v>
      </c>
      <c r="N29" s="2">
        <f>('Kwh Reading'!H30-'Kwh Reading'!H29)*1000</f>
        <v>639.99999999998636</v>
      </c>
      <c r="O29" s="2">
        <f>('Kwh Reading'!P30-'Kwh Reading'!P29)*1000</f>
        <v>669.99999999995907</v>
      </c>
      <c r="P29" s="2">
        <f>('Kwh Reading'!G30-'Kwh Reading'!G29)*1000</f>
        <v>519.99999999998181</v>
      </c>
      <c r="Q29" s="2">
        <f>('Kwh Reading'!Q30-'Kwh Reading'!Q29)*1000</f>
        <v>519.99999999998181</v>
      </c>
      <c r="R29" s="2">
        <f>('Kwh Reading'!N30-'Kwh Reading'!N29)*1000</f>
        <v>580.00000000004093</v>
      </c>
      <c r="S29" s="2">
        <f>'Kwh Reading'!E30-'Kwh Reading'!E29</f>
        <v>2333.0299999993294</v>
      </c>
      <c r="T29" s="2">
        <f>'Kwh Reading'!D30-'Kwh Reading'!D29</f>
        <v>1985.0800000000745</v>
      </c>
      <c r="U29" s="27">
        <f>('Kwh Reading'!O30-'Kwh Reading'!O29)*1000</f>
        <v>219.99999999999886</v>
      </c>
      <c r="V29" s="16">
        <f t="shared" si="1"/>
        <v>6291.8900000003359</v>
      </c>
    </row>
    <row r="30" spans="1:22" x14ac:dyDescent="0.25">
      <c r="A30" s="3">
        <f>'Kwh Reading'!A30</f>
        <v>44466</v>
      </c>
      <c r="B30" s="26">
        <f>TOTAL!E28</f>
        <v>19719.99999999821</v>
      </c>
      <c r="C30" s="4">
        <f>('Kwh Reading'!T31-'Kwh Reading'!T30)*1000</f>
        <v>469.99999999997044</v>
      </c>
      <c r="D30" s="2">
        <f>('Kwh Reading'!F31-'Kwh Reading'!F30)*1000000</f>
        <v>2400.0000000001796</v>
      </c>
      <c r="E30" s="2">
        <f>('Kwh Reading'!C31-'Kwh Reading'!C30)*1000</f>
        <v>240.00000000000909</v>
      </c>
      <c r="F30" s="2">
        <f>('Kwh Reading'!J31-'Kwh Reading'!J30)*1000</f>
        <v>230.00000000001819</v>
      </c>
      <c r="G30" s="2">
        <f>('Kwh Reading'!K31-'Kwh Reading'!K30)*1000</f>
        <v>259.99999999999091</v>
      </c>
      <c r="H30" s="2">
        <f>('Kwh Reading'!L31-'Kwh Reading'!L30)*1000</f>
        <v>189.99999999999773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250</v>
      </c>
      <c r="L30" s="2">
        <f>('Kwh Reading'!B31-'Kwh Reading'!B30)*1000000</f>
        <v>1099.9999999998788</v>
      </c>
      <c r="M30" s="2">
        <f>('Kwh Reading'!M31-'Kwh Reading'!M30)*1000</f>
        <v>779.99999999997272</v>
      </c>
      <c r="N30" s="2">
        <f>('Kwh Reading'!H31-'Kwh Reading'!H30)*1000</f>
        <v>680.00000000006366</v>
      </c>
      <c r="O30" s="2">
        <f>('Kwh Reading'!P31-'Kwh Reading'!P30)*1000</f>
        <v>680.00000000006366</v>
      </c>
      <c r="P30" s="2">
        <f>('Kwh Reading'!G31-'Kwh Reading'!G30)*1000</f>
        <v>789.99999999996362</v>
      </c>
      <c r="Q30" s="2">
        <f>('Kwh Reading'!Q31-'Kwh Reading'!Q30)*1000</f>
        <v>559.99999999994543</v>
      </c>
      <c r="R30" s="2">
        <f>('Kwh Reading'!N31-'Kwh Reading'!N30)*1000</f>
        <v>649.99999999997726</v>
      </c>
      <c r="S30" s="2">
        <f>'Kwh Reading'!E31-'Kwh Reading'!E30</f>
        <v>2282.3300000000745</v>
      </c>
      <c r="T30" s="2">
        <f>'Kwh Reading'!D31-'Kwh Reading'!D30</f>
        <v>2029.7000000001863</v>
      </c>
      <c r="U30" s="27">
        <f>('Kwh Reading'!O31-'Kwh Reading'!O30)*1000</f>
        <v>180.00000000000682</v>
      </c>
      <c r="V30" s="16">
        <f t="shared" si="1"/>
        <v>5577.9699999979057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-461770</v>
      </c>
      <c r="D31" s="2">
        <f>('Kwh Reading'!F32-'Kwh Reading'!F31)*1000000</f>
        <v>-2594500</v>
      </c>
      <c r="E31" s="2">
        <f>('Kwh Reading'!C32-'Kwh Reading'!C31)*1000</f>
        <v>-251280</v>
      </c>
      <c r="F31" s="2">
        <f>('Kwh Reading'!J32-'Kwh Reading'!J31)*1000</f>
        <v>-339510</v>
      </c>
      <c r="G31" s="2">
        <f>('Kwh Reading'!K32-'Kwh Reading'!K31)*1000</f>
        <v>-365900</v>
      </c>
      <c r="H31" s="2">
        <f>('Kwh Reading'!L32-'Kwh Reading'!L31)*1000</f>
        <v>-251870</v>
      </c>
      <c r="I31" s="2">
        <f>('Kwh Reading'!R32-'Kwh Reading'!R31)*1000</f>
        <v>-181050</v>
      </c>
      <c r="J31" s="2">
        <f>('Kwh Reading'!S32-'Kwh Reading'!S31)*1000</f>
        <v>-125920</v>
      </c>
      <c r="K31" s="2">
        <f>('Kwh Reading'!I32-'Kwh Reading'!I31)*1000</f>
        <v>-263440</v>
      </c>
      <c r="L31" s="2">
        <f>('Kwh Reading'!B32-'Kwh Reading'!B31)*1000000</f>
        <v>-1101600</v>
      </c>
      <c r="M31" s="2">
        <f>('Kwh Reading'!M32-'Kwh Reading'!M31)*1000</f>
        <v>-586760</v>
      </c>
      <c r="N31" s="2">
        <f>('Kwh Reading'!H32-'Kwh Reading'!H31)*1000</f>
        <v>-671230</v>
      </c>
      <c r="O31" s="2">
        <f>('Kwh Reading'!P32-'Kwh Reading'!P31)*1000</f>
        <v>-705950</v>
      </c>
      <c r="P31" s="2">
        <f>('Kwh Reading'!G32-'Kwh Reading'!G31)*1000</f>
        <v>-820400</v>
      </c>
      <c r="Q31" s="2">
        <f>('Kwh Reading'!Q32-'Kwh Reading'!Q31)*1000</f>
        <v>-522299.99999999994</v>
      </c>
      <c r="R31" s="2">
        <f>('Kwh Reading'!N32-'Kwh Reading'!N31)*1000</f>
        <v>-537350</v>
      </c>
      <c r="S31" s="2">
        <f>'Kwh Reading'!E32-'Kwh Reading'!E31</f>
        <v>-8456866.9199999999</v>
      </c>
      <c r="T31" s="2">
        <f>'Kwh Reading'!D32-'Kwh Reading'!D31</f>
        <v>-7689419.1699999999</v>
      </c>
      <c r="U31" s="27">
        <f>('Kwh Reading'!O32-'Kwh Reading'!O31)*1000</f>
        <v>-171090</v>
      </c>
      <c r="V31" s="16">
        <f t="shared" si="1"/>
        <v>26098206.090000004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585979.9999999993</v>
      </c>
      <c r="C35" s="75">
        <f t="shared" ref="C35" si="2">SUM(C4:C34)</f>
        <v>-449370</v>
      </c>
      <c r="D35" s="75">
        <f t="shared" ref="D35" si="3">SUM(D4:D34)</f>
        <v>-2528500</v>
      </c>
      <c r="E35" s="75">
        <f t="shared" ref="E35" si="4">SUM(E4:E34)</f>
        <v>-244760</v>
      </c>
      <c r="F35" s="75">
        <f t="shared" ref="F35" si="5">SUM(F4:F34)</f>
        <v>-333200</v>
      </c>
      <c r="G35" s="75">
        <f t="shared" ref="G35:U35" si="6">SUM(G4:G34)</f>
        <v>-358670.00000000006</v>
      </c>
      <c r="H35" s="75">
        <f t="shared" si="6"/>
        <v>-246580</v>
      </c>
      <c r="I35" s="75">
        <f t="shared" si="6"/>
        <v>-174590</v>
      </c>
      <c r="J35" s="75">
        <f t="shared" si="6"/>
        <v>-122739.99999999999</v>
      </c>
      <c r="K35" s="75">
        <f t="shared" si="6"/>
        <v>-256100.00000000003</v>
      </c>
      <c r="L35" s="75">
        <f t="shared" si="6"/>
        <v>-1065000</v>
      </c>
      <c r="M35" s="75">
        <f t="shared" si="6"/>
        <v>-564620</v>
      </c>
      <c r="N35" s="75">
        <f t="shared" si="6"/>
        <v>-653780</v>
      </c>
      <c r="O35" s="75">
        <f t="shared" si="6"/>
        <v>-682279.99999999988</v>
      </c>
      <c r="P35" s="75">
        <f t="shared" si="6"/>
        <v>-798320.00000000012</v>
      </c>
      <c r="Q35" s="75">
        <f t="shared" si="6"/>
        <v>-503899.99999999994</v>
      </c>
      <c r="R35" s="75">
        <f t="shared" si="6"/>
        <v>-517909.99999999994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</v>
      </c>
      <c r="V35" s="75">
        <f>SUM(V4:V34)</f>
        <v>26261797.480000004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21290.000000001783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6196.0100000007906</v>
      </c>
    </row>
    <row r="6" spans="1:12" x14ac:dyDescent="0.25">
      <c r="A6" s="14">
        <f>'Kwh Reading'!A7</f>
        <v>44443</v>
      </c>
      <c r="B6" s="83">
        <f>TOTAL!E5</f>
        <v>21480.000000000473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6333.1199999995633</v>
      </c>
    </row>
    <row r="7" spans="1:12" x14ac:dyDescent="0.25">
      <c r="A7" s="14">
        <f>'Kwh Reading'!A8</f>
        <v>44444</v>
      </c>
      <c r="B7" s="83">
        <f>TOTAL!E6</f>
        <v>22480.000000000247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6540.2200000019584</v>
      </c>
    </row>
    <row r="8" spans="1:12" x14ac:dyDescent="0.25">
      <c r="A8" s="14">
        <f>'Kwh Reading'!A9</f>
        <v>44445</v>
      </c>
      <c r="B8" s="83">
        <f>TOTAL!E7</f>
        <v>21649.999999997817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6023.6999999968448</v>
      </c>
    </row>
    <row r="9" spans="1:12" x14ac:dyDescent="0.25">
      <c r="A9" s="14">
        <f>'Kwh Reading'!A10</f>
        <v>44446</v>
      </c>
      <c r="B9" s="83">
        <f>TOTAL!E8</f>
        <v>22320.000000001754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240.00000000000909</v>
      </c>
      <c r="F9" s="1">
        <f>('Kwh Consumption'!F10+'Kwh Consumption'!G10+'Kwh Consumption'!H10)</f>
        <v>669.99999999995907</v>
      </c>
      <c r="G9" s="16">
        <f>('Kwh Consumption'!I10+'Kwh Consumption'!J10)</f>
        <v>369.99999999999034</v>
      </c>
      <c r="H9" s="1">
        <f>('Kwh Consumption'!K10+'Kwh Consumption'!L10)</f>
        <v>1670.0000000001064</v>
      </c>
      <c r="I9" s="1">
        <f>('Kwh Consumption'!M10+'Kwh Consumption'!N10+'Kwh Consumption'!O10+'Kwh Consumption'!P10+'Kwh Consumption'!Q10+'Kwh Consumption'!R10)</f>
        <v>4329.9999999999272</v>
      </c>
      <c r="J9" s="1">
        <f>('Kwh Consumption'!S10+'Kwh Consumption'!T10)</f>
        <v>5048.1299999998882</v>
      </c>
      <c r="K9" s="1">
        <f>'Kwh Consumption'!U10</f>
        <v>180.00000000000682</v>
      </c>
      <c r="L9" s="32">
        <f t="shared" si="0"/>
        <v>7041.8700000018689</v>
      </c>
    </row>
    <row r="10" spans="1:12" x14ac:dyDescent="0.25">
      <c r="A10" s="14">
        <f>'Kwh Reading'!A11</f>
        <v>44447</v>
      </c>
      <c r="B10" s="83">
        <f>TOTAL!E9</f>
        <v>20830.000000000611</v>
      </c>
      <c r="C10" s="1">
        <f>'Kwh Consumption'!C11</f>
        <v>459.99999999997954</v>
      </c>
      <c r="D10" s="1">
        <f>'Kwh Consumption'!D11</f>
        <v>2399.9999999997358</v>
      </c>
      <c r="E10" s="1">
        <f>'Kwh Consumption'!E11</f>
        <v>229.99999999998977</v>
      </c>
      <c r="F10" s="1">
        <f>('Kwh Consumption'!F11+'Kwh Consumption'!G11+'Kwh Consumption'!H11)</f>
        <v>659.99999999996817</v>
      </c>
      <c r="G10" s="16">
        <f>('Kwh Consumption'!I11+'Kwh Consumption'!J11)</f>
        <v>360.00000000001364</v>
      </c>
      <c r="H10" s="1">
        <f>('Kwh Consumption'!K11+'Kwh Consumption'!L11)</f>
        <v>1680.0000000000405</v>
      </c>
      <c r="I10" s="1">
        <f>('Kwh Consumption'!M11+'Kwh Consumption'!N11+'Kwh Consumption'!O11+'Kwh Consumption'!P11+'Kwh Consumption'!Q11+'Kwh Consumption'!R11)</f>
        <v>4270.0000000000955</v>
      </c>
      <c r="J10" s="1">
        <f>('Kwh Consumption'!S11+'Kwh Consumption'!T11)</f>
        <v>4757.5500000007451</v>
      </c>
      <c r="K10" s="1">
        <f>'Kwh Consumption'!U11</f>
        <v>199.99999999998863</v>
      </c>
      <c r="L10" s="32">
        <f t="shared" si="0"/>
        <v>5812.4500000000589</v>
      </c>
    </row>
    <row r="11" spans="1:12" x14ac:dyDescent="0.25">
      <c r="A11" s="14">
        <f>'Kwh Reading'!A12</f>
        <v>44448</v>
      </c>
      <c r="B11" s="83">
        <f>TOTAL!E10</f>
        <v>21529.999999997472</v>
      </c>
      <c r="C11" s="1">
        <f>'Kwh Consumption'!C12</f>
        <v>500</v>
      </c>
      <c r="D11" s="1">
        <f>'Kwh Consumption'!D12</f>
        <v>2400.0000000001796</v>
      </c>
      <c r="E11" s="1">
        <f>'Kwh Consumption'!E12</f>
        <v>259.99999999999091</v>
      </c>
      <c r="F11" s="1">
        <f>('Kwh Consumption'!F12+'Kwh Consumption'!G12+'Kwh Consumption'!H12)</f>
        <v>640.00000000001478</v>
      </c>
      <c r="G11" s="16">
        <f>('Kwh Consumption'!I12+'Kwh Consumption'!J12)</f>
        <v>329.99999999999829</v>
      </c>
      <c r="H11" s="1">
        <f>('Kwh Consumption'!K12+'Kwh Consumption'!L12)</f>
        <v>1760.0000000000477</v>
      </c>
      <c r="I11" s="1">
        <f>('Kwh Consumption'!M12+'Kwh Consumption'!N12+'Kwh Consumption'!O12+'Kwh Consumption'!P12+'Kwh Consumption'!Q12+'Kwh Consumption'!R12)</f>
        <v>4349.9999999999654</v>
      </c>
      <c r="J11" s="1">
        <f>('Kwh Consumption'!S12+'Kwh Consumption'!T12)</f>
        <v>4963.6899999985471</v>
      </c>
      <c r="K11" s="1">
        <f>'Kwh Consumption'!U12</f>
        <v>189.99999999999773</v>
      </c>
      <c r="L11" s="32">
        <f t="shared" si="0"/>
        <v>6136.309999998728</v>
      </c>
    </row>
    <row r="12" spans="1:12" x14ac:dyDescent="0.25">
      <c r="A12" s="14">
        <f>'Kwh Reading'!A13</f>
        <v>44449</v>
      </c>
      <c r="B12" s="83">
        <f>TOTAL!E11</f>
        <v>21059.999999999945</v>
      </c>
      <c r="C12" s="1">
        <f>'Kwh Consumption'!C13</f>
        <v>319.99999999999318</v>
      </c>
      <c r="D12" s="1">
        <f>'Kwh Consumption'!D13</f>
        <v>2499.9999999999468</v>
      </c>
      <c r="E12" s="1">
        <f>'Kwh Consumption'!E13</f>
        <v>250</v>
      </c>
      <c r="F12" s="1">
        <f>('Kwh Consumption'!F13+'Kwh Consumption'!G13+'Kwh Consumption'!H13)</f>
        <v>719.99999999999886</v>
      </c>
      <c r="G12" s="16">
        <f>('Kwh Consumption'!I13+'Kwh Consumption'!J13)</f>
        <v>359.99999999998522</v>
      </c>
      <c r="H12" s="1">
        <f>('Kwh Consumption'!K13+'Kwh Consumption'!L13)</f>
        <v>1669.9999999998845</v>
      </c>
      <c r="I12" s="1">
        <f>('Kwh Consumption'!M13+'Kwh Consumption'!N13+'Kwh Consumption'!O13+'Kwh Consumption'!P13+'Kwh Consumption'!Q13+'Kwh Consumption'!R13)</f>
        <v>4599.9999999998527</v>
      </c>
      <c r="J12" s="1">
        <f>('Kwh Consumption'!S13+'Kwh Consumption'!T13)</f>
        <v>4940.9199999999255</v>
      </c>
      <c r="K12" s="1">
        <f>'Kwh Consumption'!U13</f>
        <v>199.99999999998863</v>
      </c>
      <c r="L12" s="32">
        <f t="shared" si="0"/>
        <v>5499.080000000371</v>
      </c>
    </row>
    <row r="13" spans="1:12" x14ac:dyDescent="0.25">
      <c r="A13" s="14">
        <f>'Kwh Reading'!A14</f>
        <v>44450</v>
      </c>
      <c r="B13" s="83">
        <f>TOTAL!E12</f>
        <v>21830.000000003114</v>
      </c>
      <c r="C13" s="1">
        <f>'Kwh Consumption'!C14</f>
        <v>490.00000000000909</v>
      </c>
      <c r="D13" s="1">
        <f>'Kwh Consumption'!D14</f>
        <v>2499.9999999999468</v>
      </c>
      <c r="E13" s="1">
        <f>'Kwh Consumption'!E14</f>
        <v>240.00000000000909</v>
      </c>
      <c r="F13" s="1">
        <f>('Kwh Consumption'!F14+'Kwh Consumption'!G14+'Kwh Consumption'!H14)</f>
        <v>749.99999999997158</v>
      </c>
      <c r="G13" s="16">
        <f>('Kwh Consumption'!I14+'Kwh Consumption'!J14)</f>
        <v>370.00000000000455</v>
      </c>
      <c r="H13" s="1">
        <f>('Kwh Consumption'!K14+'Kwh Consumption'!L14)</f>
        <v>1700.0000000000223</v>
      </c>
      <c r="I13" s="1">
        <f>('Kwh Consumption'!M14+'Kwh Consumption'!N14+'Kwh Consumption'!O14+'Kwh Consumption'!P14+'Kwh Consumption'!Q14+'Kwh Consumption'!R14)</f>
        <v>4770.0000000001528</v>
      </c>
      <c r="J13" s="1">
        <f>('Kwh Consumption'!S14+'Kwh Consumption'!T14)</f>
        <v>4909.730000000447</v>
      </c>
      <c r="K13" s="1">
        <f>'Kwh Consumption'!U14</f>
        <v>180.00000000000682</v>
      </c>
      <c r="L13" s="32">
        <f t="shared" si="0"/>
        <v>5920.270000002547</v>
      </c>
    </row>
    <row r="14" spans="1:12" x14ac:dyDescent="0.25">
      <c r="A14" s="14">
        <f>'Kwh Reading'!A15</f>
        <v>44451</v>
      </c>
      <c r="B14" s="83">
        <f>TOTAL!E13</f>
        <v>20779.999999999291</v>
      </c>
      <c r="C14" s="1">
        <f>'Kwh Consumption'!C15</f>
        <v>500</v>
      </c>
      <c r="D14" s="1">
        <f>'Kwh Consumption'!D15</f>
        <v>2299.9999999999686</v>
      </c>
      <c r="E14" s="1">
        <f>'Kwh Consumption'!E15</f>
        <v>219.99999999999886</v>
      </c>
      <c r="F14" s="1">
        <f>('Kwh Consumption'!F15+'Kwh Consumption'!G15+'Kwh Consumption'!H15)</f>
        <v>590.00000000003183</v>
      </c>
      <c r="G14" s="16">
        <f>('Kwh Consumption'!I15+'Kwh Consumption'!J15)</f>
        <v>329.99999999999829</v>
      </c>
      <c r="H14" s="1">
        <f>('Kwh Consumption'!K15+'Kwh Consumption'!L15)</f>
        <v>1670.0000000001064</v>
      </c>
      <c r="I14" s="1">
        <f>('Kwh Consumption'!M15+'Kwh Consumption'!N15+'Kwh Consumption'!O15+'Kwh Consumption'!P15+'Kwh Consumption'!Q15+'Kwh Consumption'!R15)</f>
        <v>4369.9999999998909</v>
      </c>
      <c r="J14" s="1">
        <f>('Kwh Consumption'!S15+'Kwh Consumption'!T15)</f>
        <v>4680.7600000007078</v>
      </c>
      <c r="K14" s="1">
        <f>'Kwh Consumption'!U15</f>
        <v>219.99999999999886</v>
      </c>
      <c r="L14" s="32">
        <f t="shared" si="0"/>
        <v>5899.2399999985873</v>
      </c>
    </row>
    <row r="15" spans="1:12" x14ac:dyDescent="0.25">
      <c r="A15" s="14">
        <f>'Kwh Reading'!A16</f>
        <v>44452</v>
      </c>
      <c r="B15" s="83">
        <f>TOTAL!E14</f>
        <v>21360.000000000131</v>
      </c>
      <c r="C15" s="1">
        <f>'Kwh Consumption'!C16</f>
        <v>490.00000000000909</v>
      </c>
      <c r="D15" s="1">
        <f>'Kwh Consumption'!D16</f>
        <v>2400.0000000001796</v>
      </c>
      <c r="E15" s="1">
        <f>'Kwh Consumption'!E16</f>
        <v>210.00000000000796</v>
      </c>
      <c r="F15" s="1">
        <f>('Kwh Consumption'!F16+'Kwh Consumption'!G16+'Kwh Consumption'!H16)</f>
        <v>780.00000000000114</v>
      </c>
      <c r="G15" s="16">
        <f>('Kwh Consumption'!I16+'Kwh Consumption'!J16)</f>
        <v>359.99999999999943</v>
      </c>
      <c r="H15" s="1">
        <f>('Kwh Consumption'!K16+'Kwh Consumption'!L16)</f>
        <v>1769.9999999998165</v>
      </c>
      <c r="I15" s="1">
        <f>('Kwh Consumption'!M16+'Kwh Consumption'!N16+'Kwh Consumption'!O16+'Kwh Consumption'!P16+'Kwh Consumption'!Q16+'Kwh Consumption'!R16)</f>
        <v>4480.0000000000182</v>
      </c>
      <c r="J15" s="1">
        <f>('Kwh Consumption'!S16+'Kwh Consumption'!T16)</f>
        <v>4716.5499999998137</v>
      </c>
      <c r="K15" s="1">
        <f>'Kwh Consumption'!U16</f>
        <v>200.00000000001705</v>
      </c>
      <c r="L15" s="32">
        <f t="shared" si="0"/>
        <v>5953.4500000002727</v>
      </c>
    </row>
    <row r="16" spans="1:12" x14ac:dyDescent="0.25">
      <c r="A16" s="14">
        <f>'Kwh Reading'!A17</f>
        <v>44453</v>
      </c>
      <c r="B16" s="83">
        <f>TOTAL!E15</f>
        <v>21449.999999998457</v>
      </c>
      <c r="C16" s="1">
        <f>'Kwh Consumption'!C17</f>
        <v>509.99999999999091</v>
      </c>
      <c r="D16" s="1">
        <f>'Kwh Consumption'!D17</f>
        <v>2399.9999999997358</v>
      </c>
      <c r="E16" s="1">
        <f>'Kwh Consumption'!E17</f>
        <v>250</v>
      </c>
      <c r="F16" s="1">
        <f>('Kwh Consumption'!F17+'Kwh Consumption'!G17+'Kwh Consumption'!H17)</f>
        <v>749.99999999997158</v>
      </c>
      <c r="G16" s="16">
        <f>('Kwh Consumption'!I17+'Kwh Consumption'!J17)</f>
        <v>370.00000000001876</v>
      </c>
      <c r="H16" s="1">
        <f>('Kwh Consumption'!K17+'Kwh Consumption'!L17)</f>
        <v>1790.0000000000773</v>
      </c>
      <c r="I16" s="1">
        <f>('Kwh Consumption'!M17+'Kwh Consumption'!N17+'Kwh Consumption'!O17+'Kwh Consumption'!P17+'Kwh Consumption'!Q17+'Kwh Consumption'!R17)</f>
        <v>4380.0000000001091</v>
      </c>
      <c r="J16" s="1">
        <f>('Kwh Consumption'!S17+'Kwh Consumption'!T17)</f>
        <v>5149.5299999993294</v>
      </c>
      <c r="K16" s="1">
        <f>'Kwh Consumption'!U17</f>
        <v>179.9999999999784</v>
      </c>
      <c r="L16" s="32">
        <f t="shared" si="0"/>
        <v>5670.4699999992481</v>
      </c>
    </row>
    <row r="17" spans="1:12" x14ac:dyDescent="0.25">
      <c r="A17" s="14">
        <f>'Kwh Reading'!A18</f>
        <v>44454</v>
      </c>
      <c r="B17" s="83">
        <f>TOTAL!E16</f>
        <v>18569.999999999709</v>
      </c>
      <c r="C17" s="1">
        <f>'Kwh Consumption'!C18</f>
        <v>500</v>
      </c>
      <c r="D17" s="1">
        <f>'Kwh Consumption'!D18</f>
        <v>2400.0000000001796</v>
      </c>
      <c r="E17" s="1">
        <f>'Kwh Consumption'!E18</f>
        <v>240.00000000000909</v>
      </c>
      <c r="F17" s="1">
        <f>('Kwh Consumption'!F18+'Kwh Consumption'!G18+'Kwh Consumption'!H18)</f>
        <v>710.0000000000648</v>
      </c>
      <c r="G17" s="16">
        <f>('Kwh Consumption'!I18+'Kwh Consumption'!J18)</f>
        <v>359.99999999997101</v>
      </c>
      <c r="H17" s="1">
        <f>('Kwh Consumption'!K18+'Kwh Consumption'!L18)</f>
        <v>1340.00000000011</v>
      </c>
      <c r="I17" s="1">
        <f>('Kwh Consumption'!M18+'Kwh Consumption'!N18+'Kwh Consumption'!O18+'Kwh Consumption'!P18+'Kwh Consumption'!Q18+'Kwh Consumption'!R18)</f>
        <v>3459.999999999809</v>
      </c>
      <c r="J17" s="1">
        <f>('Kwh Consumption'!S18+'Kwh Consumption'!T18)</f>
        <v>3979.1399999996647</v>
      </c>
      <c r="K17" s="31">
        <f>'Kwh Consumption'!U18</f>
        <v>180.00000000000682</v>
      </c>
      <c r="L17" s="32">
        <f t="shared" si="0"/>
        <v>5400.8599999998933</v>
      </c>
    </row>
    <row r="18" spans="1:12" x14ac:dyDescent="0.25">
      <c r="A18" s="14">
        <f>'Kwh Reading'!A19</f>
        <v>44455</v>
      </c>
      <c r="B18" s="83">
        <f>TOTAL!E17</f>
        <v>21740.000000002055</v>
      </c>
      <c r="C18" s="1">
        <f>'Kwh Consumption'!C19</f>
        <v>490.00000000000909</v>
      </c>
      <c r="D18" s="1">
        <f>'Kwh Consumption'!D19</f>
        <v>2400.0000000001796</v>
      </c>
      <c r="E18" s="1">
        <f>'Kwh Consumption'!E19</f>
        <v>259.99999999999091</v>
      </c>
      <c r="F18" s="1">
        <f>('Kwh Consumption'!F19+'Kwh Consumption'!G19+'Kwh Consumption'!H19)</f>
        <v>679.99999999994998</v>
      </c>
      <c r="G18" s="16">
        <f>('Kwh Consumption'!I19+'Kwh Consumption'!J19)</f>
        <v>340.00000000001762</v>
      </c>
      <c r="H18" s="1">
        <f>('Kwh Consumption'!K19+'Kwh Consumption'!L19)</f>
        <v>1579.9999999998295</v>
      </c>
      <c r="I18" s="1">
        <f>('Kwh Consumption'!M19+'Kwh Consumption'!N19+'Kwh Consumption'!O19+'Kwh Consumption'!P19+'Kwh Consumption'!Q19+'Kwh Consumption'!R19)</f>
        <v>4750.0000000002274</v>
      </c>
      <c r="J18" s="1">
        <f>('Kwh Consumption'!S19+'Kwh Consumption'!T19)</f>
        <v>5413.7100000008941</v>
      </c>
      <c r="K18" s="31">
        <f>'Kwh Consumption'!U19</f>
        <v>189.99999999999773</v>
      </c>
      <c r="L18" s="32">
        <f t="shared" si="0"/>
        <v>5636.2900000009613</v>
      </c>
    </row>
    <row r="19" spans="1:12" x14ac:dyDescent="0.25">
      <c r="A19" s="14">
        <f>'Kwh Reading'!A20</f>
        <v>44456</v>
      </c>
      <c r="B19" s="83">
        <f>TOTAL!E18</f>
        <v>22409.999999998261</v>
      </c>
      <c r="C19" s="1">
        <f>'Kwh Consumption'!C20</f>
        <v>269.99999999998181</v>
      </c>
      <c r="D19" s="1">
        <f>'Kwh Consumption'!D20</f>
        <v>2399.9999999997358</v>
      </c>
      <c r="E19" s="1">
        <f>'Kwh Consumption'!E20</f>
        <v>229.99999999998977</v>
      </c>
      <c r="F19" s="1">
        <f>('Kwh Consumption'!F20+'Kwh Consumption'!G20+'Kwh Consumption'!H20)</f>
        <v>789.99999999999204</v>
      </c>
      <c r="G19" s="16">
        <f>('Kwh Consumption'!I20+'Kwh Consumption'!J20)</f>
        <v>349.9999999999801</v>
      </c>
      <c r="H19" s="1">
        <f>('Kwh Consumption'!K20+'Kwh Consumption'!L20)</f>
        <v>1570.0000000000607</v>
      </c>
      <c r="I19" s="1">
        <f>('Kwh Consumption'!M20+'Kwh Consumption'!N20+'Kwh Consumption'!O20+'Kwh Consumption'!P20+'Kwh Consumption'!Q20+'Kwh Consumption'!R20)</f>
        <v>4829.9999999998136</v>
      </c>
      <c r="J19" s="1">
        <f>('Kwh Consumption'!S20+'Kwh Consumption'!T20)</f>
        <v>5313.5800000000745</v>
      </c>
      <c r="K19" s="1">
        <f>'Kwh Consumption'!U20</f>
        <v>210.00000000000796</v>
      </c>
      <c r="L19" s="32">
        <f t="shared" si="0"/>
        <v>6446.4199999986222</v>
      </c>
    </row>
    <row r="20" spans="1:12" x14ac:dyDescent="0.25">
      <c r="A20" s="14">
        <f>'Kwh Reading'!A21</f>
        <v>44457</v>
      </c>
      <c r="B20" s="83">
        <f>TOTAL!E19</f>
        <v>22720.000000000029</v>
      </c>
      <c r="C20" s="1">
        <f>'Kwh Consumption'!C21</f>
        <v>500</v>
      </c>
      <c r="D20" s="1">
        <f>'Kwh Consumption'!D21</f>
        <v>2400.0000000001796</v>
      </c>
      <c r="E20" s="1">
        <f>'Kwh Consumption'!E21</f>
        <v>219.99999999999886</v>
      </c>
      <c r="F20" s="1">
        <f>('Kwh Consumption'!F21+'Kwh Consumption'!G21+'Kwh Consumption'!H21)</f>
        <v>730.00000000001819</v>
      </c>
      <c r="G20" s="16">
        <f>('Kwh Consumption'!I21+'Kwh Consumption'!J21)</f>
        <v>350.00000000002274</v>
      </c>
      <c r="H20" s="1">
        <f>('Kwh Consumption'!K21+'Kwh Consumption'!L21)</f>
        <v>1690.0000000000882</v>
      </c>
      <c r="I20" s="1">
        <f>('Kwh Consumption'!M21+'Kwh Consumption'!N21+'Kwh Consumption'!O21+'Kwh Consumption'!P21+'Kwh Consumption'!Q21+'Kwh Consumption'!R21)</f>
        <v>5009.9999999999909</v>
      </c>
      <c r="J20" s="1">
        <f>('Kwh Consumption'!S21+'Kwh Consumption'!T21)</f>
        <v>5553.1399999996647</v>
      </c>
      <c r="K20" s="1">
        <f>'Kwh Consumption'!U21</f>
        <v>210.00000000000796</v>
      </c>
      <c r="L20" s="32">
        <f t="shared" si="0"/>
        <v>6056.8600000000597</v>
      </c>
    </row>
    <row r="21" spans="1:12" x14ac:dyDescent="0.25">
      <c r="A21" s="14">
        <f>'Kwh Reading'!A22</f>
        <v>44458</v>
      </c>
      <c r="B21" s="83">
        <f>TOTAL!E20</f>
        <v>21610.000000001946</v>
      </c>
      <c r="C21" s="1">
        <f>'Kwh Consumption'!C22</f>
        <v>540.00000000002046</v>
      </c>
      <c r="D21" s="1">
        <f>'Kwh Consumption'!D22</f>
        <v>2599.9999999997135</v>
      </c>
      <c r="E21" s="1">
        <f>'Kwh Consumption'!E22</f>
        <v>240.00000000000909</v>
      </c>
      <c r="F21" s="1">
        <f>('Kwh Consumption'!F22+'Kwh Consumption'!G22+'Kwh Consumption'!H22)</f>
        <v>740.00000000003752</v>
      </c>
      <c r="G21" s="16">
        <f>('Kwh Consumption'!I22+'Kwh Consumption'!J22)</f>
        <v>359.99999999998522</v>
      </c>
      <c r="H21" s="1">
        <f>('Kwh Consumption'!K22+'Kwh Consumption'!L22)</f>
        <v>1689.9999999998663</v>
      </c>
      <c r="I21" s="1">
        <f>('Kwh Consumption'!M22+'Kwh Consumption'!N22+'Kwh Consumption'!O22+'Kwh Consumption'!P22+'Kwh Consumption'!Q22+'Kwh Consumption'!R22)</f>
        <v>4780.0000000000864</v>
      </c>
      <c r="J21" s="1">
        <f>('Kwh Consumption'!S22+'Kwh Consumption'!T22)</f>
        <v>5149.7400000002235</v>
      </c>
      <c r="K21" s="1">
        <f>'Kwh Consumption'!U22</f>
        <v>219.99999999999886</v>
      </c>
      <c r="L21" s="32">
        <f t="shared" si="0"/>
        <v>5290.2600000020075</v>
      </c>
    </row>
    <row r="22" spans="1:12" x14ac:dyDescent="0.25">
      <c r="A22" s="14">
        <f>'Kwh Reading'!A23</f>
        <v>44459</v>
      </c>
      <c r="B22" s="83">
        <f>TOTAL!E21</f>
        <v>21919.999999997799</v>
      </c>
      <c r="C22" s="1">
        <f>'Kwh Consumption'!C23</f>
        <v>490.00000000000909</v>
      </c>
      <c r="D22" s="1">
        <f>'Kwh Consumption'!D23</f>
        <v>2400.0000000001796</v>
      </c>
      <c r="E22" s="1">
        <f>'Kwh Consumption'!E23</f>
        <v>259.99999999999091</v>
      </c>
      <c r="F22" s="1">
        <f>('Kwh Consumption'!F23+'Kwh Consumption'!G23+'Kwh Consumption'!H23)</f>
        <v>439.99999999999773</v>
      </c>
      <c r="G22" s="16">
        <f>('Kwh Consumption'!I23+'Kwh Consumption'!J23)</f>
        <v>330.00000000002672</v>
      </c>
      <c r="H22" s="1">
        <f>('Kwh Consumption'!K23+'Kwh Consumption'!L23)</f>
        <v>1670.0000000000496</v>
      </c>
      <c r="I22" s="1">
        <f>('Kwh Consumption'!M23+'Kwh Consumption'!N23+'Kwh Consumption'!O23+'Kwh Consumption'!P23+'Kwh Consumption'!Q23+'Kwh Consumption'!R23)</f>
        <v>4829.9999999999272</v>
      </c>
      <c r="J22" s="1">
        <f>('Kwh Consumption'!S23+'Kwh Consumption'!T23)</f>
        <v>5027.3600000003353</v>
      </c>
      <c r="K22" s="1">
        <f>'Kwh Consumption'!U23</f>
        <v>169.99999999998749</v>
      </c>
      <c r="L22" s="32">
        <f t="shared" si="0"/>
        <v>6302.6399999973</v>
      </c>
    </row>
    <row r="23" spans="1:12" x14ac:dyDescent="0.25">
      <c r="A23" s="14">
        <f>'Kwh Reading'!A24</f>
        <v>44460</v>
      </c>
      <c r="B23" s="83">
        <f>TOTAL!E22</f>
        <v>22870.000000001026</v>
      </c>
      <c r="C23" s="1">
        <f>'Kwh Consumption'!C24</f>
        <v>509.99999999999091</v>
      </c>
      <c r="D23" s="1">
        <f>'Kwh Consumption'!D24</f>
        <v>2499.9999999999468</v>
      </c>
      <c r="E23" s="1">
        <f>'Kwh Consumption'!E24</f>
        <v>260.00000000001933</v>
      </c>
      <c r="F23" s="1">
        <f>('Kwh Consumption'!F24+'Kwh Consumption'!G24+'Kwh Consumption'!H24)</f>
        <v>1039.9999999999636</v>
      </c>
      <c r="G23" s="16">
        <f>('Kwh Consumption'!I24+'Kwh Consumption'!J24)</f>
        <v>359.99999999997101</v>
      </c>
      <c r="H23" s="1">
        <f>('Kwh Consumption'!K24+'Kwh Consumption'!L24)</f>
        <v>1690.0000000000882</v>
      </c>
      <c r="I23" s="1">
        <f>('Kwh Consumption'!M24+'Kwh Consumption'!N24+'Kwh Consumption'!O24+'Kwh Consumption'!P24+'Kwh Consumption'!Q24+'Kwh Consumption'!R24)</f>
        <v>5090.0000000000318</v>
      </c>
      <c r="J23" s="1">
        <f>('Kwh Consumption'!S24+'Kwh Consumption'!T24)</f>
        <v>5567.5899999989197</v>
      </c>
      <c r="K23" s="1">
        <f>'Kwh Consumption'!U24</f>
        <v>229.99999999998977</v>
      </c>
      <c r="L23" s="32">
        <f t="shared" si="0"/>
        <v>5622.4100000021053</v>
      </c>
    </row>
    <row r="24" spans="1:12" x14ac:dyDescent="0.25">
      <c r="A24" s="14">
        <f>'Kwh Reading'!A25</f>
        <v>44461</v>
      </c>
      <c r="B24" s="83">
        <f>TOTAL!E23</f>
        <v>23220.000000000255</v>
      </c>
      <c r="C24" s="1">
        <f>'Kwh Consumption'!C25</f>
        <v>519.99999999998181</v>
      </c>
      <c r="D24" s="1">
        <f>'Kwh Consumption'!D25</f>
        <v>2699.9999999999245</v>
      </c>
      <c r="E24" s="1">
        <f>'Kwh Consumption'!E25</f>
        <v>229.99999999998977</v>
      </c>
      <c r="F24" s="1">
        <f>('Kwh Consumption'!F25+'Kwh Consumption'!G25+'Kwh Consumption'!H25)</f>
        <v>740.00000000000909</v>
      </c>
      <c r="G24" s="16">
        <f>('Kwh Consumption'!I25+'Kwh Consumption'!J25)</f>
        <v>360.00000000001364</v>
      </c>
      <c r="H24" s="1">
        <f>('Kwh Consumption'!K25+'Kwh Consumption'!L25)</f>
        <v>1689.9999999998095</v>
      </c>
      <c r="I24" s="1">
        <f>('Kwh Consumption'!M25+'Kwh Consumption'!N25+'Kwh Consumption'!O25+'Kwh Consumption'!P25+'Kwh Consumption'!Q25+'Kwh Consumption'!R25)</f>
        <v>4960.0000000000364</v>
      </c>
      <c r="J24" s="1">
        <f>('Kwh Consumption'!S25+'Kwh Consumption'!T25)</f>
        <v>5713.8000000007451</v>
      </c>
      <c r="K24" s="1">
        <f>'Kwh Consumption'!U25</f>
        <v>200.00000000001705</v>
      </c>
      <c r="L24" s="32">
        <f t="shared" si="0"/>
        <v>6106.1999999997252</v>
      </c>
    </row>
    <row r="25" spans="1:12" x14ac:dyDescent="0.25">
      <c r="A25" s="14">
        <f>'Kwh Reading'!A26</f>
        <v>44462</v>
      </c>
      <c r="B25" s="83">
        <f>TOTAL!E24</f>
        <v>22410.000000000084</v>
      </c>
      <c r="C25" s="1">
        <f>'Kwh Consumption'!C26</f>
        <v>430.00000000000682</v>
      </c>
      <c r="D25" s="1">
        <f>'Kwh Consumption'!D26</f>
        <v>2600.0000000001578</v>
      </c>
      <c r="E25" s="1">
        <f>'Kwh Consumption'!E26</f>
        <v>250</v>
      </c>
      <c r="F25" s="1">
        <f>('Kwh Consumption'!F26+'Kwh Consumption'!G26+'Kwh Consumption'!H26)</f>
        <v>799.99999999998295</v>
      </c>
      <c r="G25" s="16">
        <f>('Kwh Consumption'!I26+'Kwh Consumption'!J26)</f>
        <v>350.00000000000853</v>
      </c>
      <c r="H25" s="1">
        <f>('Kwh Consumption'!K26+'Kwh Consumption'!L26)</f>
        <v>1580.0000000001085</v>
      </c>
      <c r="I25" s="1">
        <f>('Kwh Consumption'!M26+'Kwh Consumption'!N26+'Kwh Consumption'!O26+'Kwh Consumption'!P26+'Kwh Consumption'!Q26+'Kwh Consumption'!R26)</f>
        <v>5009.9999999999909</v>
      </c>
      <c r="J25" s="1">
        <f>('Kwh Consumption'!S26+'Kwh Consumption'!T26)</f>
        <v>5843.6999999992549</v>
      </c>
      <c r="K25" s="1">
        <f>'Kwh Consumption'!U26</f>
        <v>199.99999999998863</v>
      </c>
      <c r="L25" s="32">
        <f t="shared" si="0"/>
        <v>5346.3000000005868</v>
      </c>
    </row>
    <row r="26" spans="1:12" x14ac:dyDescent="0.25">
      <c r="A26" s="14">
        <f>'Kwh Reading'!A27</f>
        <v>44463</v>
      </c>
      <c r="B26" s="83">
        <f>TOTAL!E25</f>
        <v>22109.999999998538</v>
      </c>
      <c r="C26" s="1">
        <f>'Kwh Consumption'!C27</f>
        <v>329.99999999998408</v>
      </c>
      <c r="D26" s="1">
        <f>'Kwh Consumption'!D27</f>
        <v>2800.0000000001355</v>
      </c>
      <c r="E26" s="1">
        <f>'Kwh Consumption'!E27</f>
        <v>300.00000000001137</v>
      </c>
      <c r="F26" s="1">
        <f>('Kwh Consumption'!F27+'Kwh Consumption'!G27+'Kwh Consumption'!H27)</f>
        <v>770.00000000003865</v>
      </c>
      <c r="G26" s="16">
        <f>('Kwh Consumption'!I27+'Kwh Consumption'!J27)</f>
        <v>359.99999999998522</v>
      </c>
      <c r="H26" s="1">
        <f>('Kwh Consumption'!K27+'Kwh Consumption'!L27)</f>
        <v>1570.0000000000607</v>
      </c>
      <c r="I26" s="1">
        <f>('Kwh Consumption'!M27+'Kwh Consumption'!N27+'Kwh Consumption'!O27+'Kwh Consumption'!P27+'Kwh Consumption'!Q27+'Kwh Consumption'!R27)</f>
        <v>4669.9999999999591</v>
      </c>
      <c r="J26" s="1">
        <f>('Kwh Consumption'!S27+'Kwh Consumption'!T27)</f>
        <v>5119.8100000005215</v>
      </c>
      <c r="K26" s="1">
        <f>'Kwh Consumption'!U27</f>
        <v>210.00000000000796</v>
      </c>
      <c r="L26" s="32">
        <f t="shared" si="0"/>
        <v>5980.1899999978332</v>
      </c>
    </row>
    <row r="27" spans="1:12" x14ac:dyDescent="0.25">
      <c r="A27" s="14">
        <f>'Kwh Reading'!A28</f>
        <v>44464</v>
      </c>
      <c r="B27" s="83">
        <f>TOTAL!E26</f>
        <v>23100.000000001277</v>
      </c>
      <c r="C27" s="1">
        <f>'Kwh Consumption'!C28</f>
        <v>230.00000000001819</v>
      </c>
      <c r="D27" s="1">
        <f>'Kwh Consumption'!D28</f>
        <v>2599.9999999997135</v>
      </c>
      <c r="E27" s="1">
        <f>'Kwh Consumption'!E28</f>
        <v>219.99999999999886</v>
      </c>
      <c r="F27" s="1">
        <f>('Kwh Consumption'!F28+'Kwh Consumption'!G28+'Kwh Consumption'!H28)</f>
        <v>840.00000000000341</v>
      </c>
      <c r="G27" s="16">
        <f>('Kwh Consumption'!I28+'Kwh Consumption'!J28)</f>
        <v>379.99999999999545</v>
      </c>
      <c r="H27" s="1">
        <f>('Kwh Consumption'!K28+'Kwh Consumption'!L28)</f>
        <v>1569.9999999998386</v>
      </c>
      <c r="I27" s="1">
        <f>('Kwh Consumption'!M28+'Kwh Consumption'!N28+'Kwh Consumption'!O28+'Kwh Consumption'!P28+'Kwh Consumption'!Q28+'Kwh Consumption'!R28)</f>
        <v>5140.0000000001</v>
      </c>
      <c r="J27" s="1">
        <f>('Kwh Consumption'!S28+'Kwh Consumption'!T28)</f>
        <v>5877.0800000000745</v>
      </c>
      <c r="K27" s="1">
        <f>'Kwh Consumption'!U28</f>
        <v>189.99999999999773</v>
      </c>
      <c r="L27" s="32">
        <f t="shared" si="0"/>
        <v>6052.9200000015335</v>
      </c>
    </row>
    <row r="28" spans="1:12" x14ac:dyDescent="0.25">
      <c r="A28" s="14">
        <f>'Kwh Reading'!A29</f>
        <v>44465</v>
      </c>
      <c r="B28" s="83">
        <f>TOTAL!E27</f>
        <v>20269.999999999753</v>
      </c>
      <c r="C28" s="1">
        <f>'Kwh Consumption'!C29</f>
        <v>740.00000000000909</v>
      </c>
      <c r="D28" s="1">
        <f>'Kwh Consumption'!D29</f>
        <v>2499.9999999999468</v>
      </c>
      <c r="E28" s="1">
        <f>'Kwh Consumption'!E29</f>
        <v>239.99999999998067</v>
      </c>
      <c r="F28" s="1">
        <f>('Kwh Consumption'!F29+'Kwh Consumption'!G29+'Kwh Consumption'!H29)</f>
        <v>749.99999999994316</v>
      </c>
      <c r="G28" s="16">
        <f>('Kwh Consumption'!I29+'Kwh Consumption'!J29)</f>
        <v>340.00000000001762</v>
      </c>
      <c r="H28" s="1">
        <f>('Kwh Consumption'!K29+'Kwh Consumption'!L29)</f>
        <v>1230.0000000001301</v>
      </c>
      <c r="I28" s="1">
        <f>('Kwh Consumption'!M29+'Kwh Consumption'!N29+'Kwh Consumption'!O29+'Kwh Consumption'!P29+'Kwh Consumption'!Q29+'Kwh Consumption'!R29)</f>
        <v>3639.9999999999864</v>
      </c>
      <c r="J28" s="1">
        <f>('Kwh Consumption'!S29+'Kwh Consumption'!T29)</f>
        <v>4318.109999999404</v>
      </c>
      <c r="K28" s="1">
        <f>'Kwh Consumption'!U29</f>
        <v>219.99999999999886</v>
      </c>
      <c r="L28" s="32">
        <f t="shared" si="0"/>
        <v>6291.8900000003387</v>
      </c>
    </row>
    <row r="29" spans="1:12" x14ac:dyDescent="0.25">
      <c r="A29" s="14">
        <f>'Kwh Reading'!A30</f>
        <v>44466</v>
      </c>
      <c r="B29" s="83">
        <f>TOTAL!E28</f>
        <v>19719.99999999821</v>
      </c>
      <c r="C29" s="1">
        <f>'Kwh Consumption'!C30</f>
        <v>469.99999999997044</v>
      </c>
      <c r="D29" s="1">
        <f>'Kwh Consumption'!D30</f>
        <v>2400.0000000001796</v>
      </c>
      <c r="E29" s="1">
        <f>'Kwh Consumption'!E30</f>
        <v>240.00000000000909</v>
      </c>
      <c r="F29" s="1">
        <f>('Kwh Consumption'!F30+'Kwh Consumption'!G30+'Kwh Consumption'!H30)</f>
        <v>680.00000000000682</v>
      </c>
      <c r="G29" s="16">
        <f>('Kwh Consumption'!I30+'Kwh Consumption'!J30)</f>
        <v>370.00000000000455</v>
      </c>
      <c r="H29" s="1">
        <f>('Kwh Consumption'!K30+'Kwh Consumption'!L30)</f>
        <v>1349.9999999998788</v>
      </c>
      <c r="I29" s="1">
        <f>('Kwh Consumption'!M30+'Kwh Consumption'!N30+'Kwh Consumption'!O30+'Kwh Consumption'!P30+'Kwh Consumption'!Q30+'Kwh Consumption'!R30)</f>
        <v>4139.9999999999864</v>
      </c>
      <c r="J29" s="1">
        <f>('Kwh Consumption'!S30+'Kwh Consumption'!T30)</f>
        <v>4312.0300000002608</v>
      </c>
      <c r="K29" s="1">
        <f>'Kwh Consumption'!U30</f>
        <v>180.00000000000682</v>
      </c>
      <c r="L29" s="32">
        <f t="shared" si="0"/>
        <v>5577.9699999979057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-461770</v>
      </c>
      <c r="D30" s="1">
        <f>'Kwh Consumption'!D31</f>
        <v>-2594500</v>
      </c>
      <c r="E30" s="1">
        <f>'Kwh Consumption'!E31</f>
        <v>-251280</v>
      </c>
      <c r="F30" s="1">
        <f>('Kwh Consumption'!F31+'Kwh Consumption'!G31+'Kwh Consumption'!H31)</f>
        <v>-957280</v>
      </c>
      <c r="G30" s="16">
        <f>('Kwh Consumption'!I31+'Kwh Consumption'!J31)</f>
        <v>-306970</v>
      </c>
      <c r="H30" s="1">
        <f>('Kwh Consumption'!K31+'Kwh Consumption'!L31)</f>
        <v>-1365040</v>
      </c>
      <c r="I30" s="1">
        <f>('Kwh Consumption'!M31+'Kwh Consumption'!N31+'Kwh Consumption'!O31+'Kwh Consumption'!P31+'Kwh Consumption'!Q31+'Kwh Consumption'!R31)</f>
        <v>-3843990</v>
      </c>
      <c r="J30" s="1">
        <f>('Kwh Consumption'!S31+'Kwh Consumption'!T31)</f>
        <v>-16146286.09</v>
      </c>
      <c r="K30" s="1">
        <f>'Kwh Consumption'!U31</f>
        <v>-171090</v>
      </c>
      <c r="L30" s="32">
        <f t="shared" si="0"/>
        <v>26098206.09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583649.99999999884</v>
      </c>
      <c r="C34" s="75">
        <f>SUM(C3:C33)</f>
        <v>-449370</v>
      </c>
      <c r="D34" s="75">
        <f t="shared" ref="D34:L34" si="1">SUM(D3:D33)</f>
        <v>-2528500</v>
      </c>
      <c r="E34" s="75">
        <f t="shared" si="1"/>
        <v>-244760</v>
      </c>
      <c r="F34" s="75">
        <f t="shared" si="1"/>
        <v>-938450</v>
      </c>
      <c r="G34" s="75">
        <f t="shared" si="1"/>
        <v>-297330</v>
      </c>
      <c r="H34" s="75">
        <f t="shared" si="1"/>
        <v>-1321100</v>
      </c>
      <c r="I34" s="75">
        <f t="shared" si="1"/>
        <v>-3720810</v>
      </c>
      <c r="J34" s="75">
        <f t="shared" si="1"/>
        <v>-16009947.48</v>
      </c>
      <c r="K34" s="75">
        <f t="shared" si="1"/>
        <v>-165550</v>
      </c>
      <c r="L34" s="75">
        <f t="shared" si="1"/>
        <v>26259467.48</v>
      </c>
      <c r="M34" s="84">
        <f>C34+D34+E34+F34+G34+H34+I34+J34+K34+L34</f>
        <v>583650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</v>
      </c>
      <c r="E36" s="75">
        <f>E34*B36</f>
        <v>-36714</v>
      </c>
      <c r="F36" s="75">
        <f>F34*B36</f>
        <v>-140767.5</v>
      </c>
      <c r="G36" s="75">
        <f>G34*B36</f>
        <v>-44599.5</v>
      </c>
      <c r="H36" s="75">
        <f>H34*B36</f>
        <v>-198165</v>
      </c>
      <c r="I36" s="75">
        <f>I34*B36</f>
        <v>-558121.5</v>
      </c>
      <c r="J36" s="75">
        <f>J34*B36</f>
        <v>-2401492.122</v>
      </c>
      <c r="K36" s="75">
        <f>K34*B36</f>
        <v>-24832.5</v>
      </c>
      <c r="L36" s="75">
        <f>L34*B36</f>
        <v>3938920.122</v>
      </c>
      <c r="M36" s="84">
        <f>C36+D36+E36+F36+G36+H36+I36+J36+K36+L36</f>
        <v>87547.5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3193.5000000002674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929.40150000011863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949.96799999993436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3372.0000000000368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981.03300000029344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3247.4999999996726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903.55499999952588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100.49999999999386</v>
      </c>
      <c r="H9" s="16">
        <f>('Kwh Consumption'!I10+'Kwh Consumption'!J10)*' Kwh area wise $ '!B9</f>
        <v>55.49999999999855</v>
      </c>
      <c r="I9" s="1">
        <f>('Kwh Consumption'!K10+'Kwh Consumption'!L10)*' Kwh area wise $ '!B9</f>
        <v>250.50000000001594</v>
      </c>
      <c r="J9" s="1">
        <f>('Kwh Consumption'!M10+'Kwh Consumption'!N10+'Kwh Consumption'!O10+'Kwh Consumption'!P10+'Kwh Consumption'!Q10+'Kwh Consumption'!R10)*' Kwh area wise $ '!B9</f>
        <v>649.49999999998909</v>
      </c>
      <c r="K9" s="1">
        <f>('Kwh Consumption'!S10+'Kwh Consumption'!T10)*' Kwh area wise $ '!B9</f>
        <v>757.21949999998321</v>
      </c>
      <c r="L9" s="1">
        <f>'Kwh Consumption'!U10*' Kwh area wise $ '!B9</f>
        <v>27.000000000001023</v>
      </c>
      <c r="M9" s="1">
        <f>'Kwh Consumption'!V10*' Kwh area wise $ '!B9</f>
        <v>1056.2805000002807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68.99999999999693</v>
      </c>
      <c r="E10" s="1">
        <f>'Kwh Consumption'!D11*' Kwh area wise $ '!B10</f>
        <v>359.99999999996038</v>
      </c>
      <c r="F10" s="1">
        <f>'Kwh Consumption'!E11*' Kwh area wise $ '!B10</f>
        <v>34.499999999998465</v>
      </c>
      <c r="G10" s="1">
        <f>('Kwh Consumption'!F11+'Kwh Consumption'!G11+'Kwh Consumption'!H11)*' Kwh area wise $ '!B10</f>
        <v>98.999999999995225</v>
      </c>
      <c r="H10" s="16">
        <f>('Kwh Consumption'!I11+'Kwh Consumption'!J11)*' Kwh area wise $ '!B10</f>
        <v>54.000000000002046</v>
      </c>
      <c r="I10" s="1">
        <f>('Kwh Consumption'!K11+'Kwh Consumption'!L11)*' Kwh area wise $ '!B10</f>
        <v>252.00000000000605</v>
      </c>
      <c r="J10" s="1">
        <f>('Kwh Consumption'!M11+'Kwh Consumption'!N11+'Kwh Consumption'!O11+'Kwh Consumption'!P11+'Kwh Consumption'!Q11+'Kwh Consumption'!R11)*' Kwh area wise $ '!B10</f>
        <v>640.50000000001432</v>
      </c>
      <c r="K10" s="1">
        <f>('Kwh Consumption'!S11+'Kwh Consumption'!T11)*' Kwh area wise $ '!B10</f>
        <v>713.63250000011169</v>
      </c>
      <c r="L10" s="1">
        <f>'Kwh Consumption'!U11*' Kwh area wise $ '!B10</f>
        <v>29.999999999998295</v>
      </c>
      <c r="M10" s="1">
        <f>'Kwh Consumption'!V11*' Kwh area wise $ '!B10</f>
        <v>871.86750000000802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75</v>
      </c>
      <c r="E11" s="1">
        <f>'Kwh Consumption'!D12*' Kwh area wise $ '!B11</f>
        <v>360.00000000002694</v>
      </c>
      <c r="F11" s="1">
        <f>'Kwh Consumption'!E12*' Kwh area wise $ '!B11</f>
        <v>38.999999999998636</v>
      </c>
      <c r="G11" s="1">
        <f>('Kwh Consumption'!F12+'Kwh Consumption'!G12+'Kwh Consumption'!H12)*' Kwh area wise $ '!B11</f>
        <v>96.000000000002217</v>
      </c>
      <c r="H11" s="16">
        <f>('Kwh Consumption'!I12+'Kwh Consumption'!J12)*' Kwh area wise $ '!B11</f>
        <v>49.499999999999744</v>
      </c>
      <c r="I11" s="1">
        <f>('Kwh Consumption'!K12+'Kwh Consumption'!L12)*' Kwh area wise $ '!B11</f>
        <v>264.00000000000716</v>
      </c>
      <c r="J11" s="1">
        <f>('Kwh Consumption'!M12+'Kwh Consumption'!N12+'Kwh Consumption'!O12+'Kwh Consumption'!P12+'Kwh Consumption'!Q12+'Kwh Consumption'!R12)*' Kwh area wise $ '!B11</f>
        <v>652.49999999999477</v>
      </c>
      <c r="K11" s="1">
        <f>('Kwh Consumption'!S12+'Kwh Consumption'!T12)*' Kwh area wise $ '!B11</f>
        <v>744.55349999978205</v>
      </c>
      <c r="L11" s="1">
        <f>'Kwh Consumption'!U12*' Kwh area wise $ '!B11</f>
        <v>28.499999999999659</v>
      </c>
      <c r="M11" s="1">
        <f>'Kwh Consumption'!V12*' Kwh area wise $ '!B11</f>
        <v>701.4464999999401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3158.9999999999918</v>
      </c>
      <c r="D12" s="1">
        <f>'Kwh Consumption'!C13*' Kwh area wise $ '!B12</f>
        <v>47.999999999998977</v>
      </c>
      <c r="E12" s="1">
        <f>'Kwh Consumption'!D13*' Kwh area wise $ '!B12</f>
        <v>374.99999999999199</v>
      </c>
      <c r="F12" s="1">
        <f>'Kwh Consumption'!E13*' Kwh area wise $ '!B12</f>
        <v>37.5</v>
      </c>
      <c r="G12" s="1">
        <f>('Kwh Consumption'!F13+'Kwh Consumption'!G13+'Kwh Consumption'!H13)*' Kwh area wise $ '!B12</f>
        <v>107.99999999999983</v>
      </c>
      <c r="H12" s="16">
        <f>('Kwh Consumption'!I13+'Kwh Consumption'!J13)*' Kwh area wise $ '!B12</f>
        <v>53.999999999997783</v>
      </c>
      <c r="I12" s="1">
        <f>('Kwh Consumption'!K13+'Kwh Consumption'!L13)*' Kwh area wise $ '!B12</f>
        <v>250.49999999998266</v>
      </c>
      <c r="J12" s="1">
        <f>('Kwh Consumption'!M13+'Kwh Consumption'!N13+'Kwh Consumption'!O13+'Kwh Consumption'!P13+'Kwh Consumption'!Q13+'Kwh Consumption'!R13)*' Kwh area wise $ '!B12</f>
        <v>689.99999999997783</v>
      </c>
      <c r="K12" s="1">
        <f>('Kwh Consumption'!S13+'Kwh Consumption'!T13)*' Kwh area wise $ '!B12</f>
        <v>741.13799999998878</v>
      </c>
      <c r="L12" s="1">
        <f>'Kwh Consumption'!U13*' Kwh area wise $ '!B12</f>
        <v>29.999999999998295</v>
      </c>
      <c r="M12" s="1">
        <f>'Kwh Consumption'!V13*' Kwh area wise $ '!B12</f>
        <v>824.86200000005533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3274.500000000467</v>
      </c>
      <c r="D13" s="1">
        <f>'Kwh Consumption'!C14*' Kwh area wise $ '!B13</f>
        <v>73.500000000001364</v>
      </c>
      <c r="E13" s="1">
        <f>'Kwh Consumption'!D14*' Kwh area wise $ '!B13</f>
        <v>374.99999999999199</v>
      </c>
      <c r="F13" s="1">
        <f>'Kwh Consumption'!E14*' Kwh area wise $ '!B13</f>
        <v>36.000000000001364</v>
      </c>
      <c r="G13" s="1">
        <f>('Kwh Consumption'!F14+'Kwh Consumption'!G14+'Kwh Consumption'!H14)*' Kwh area wise $ '!B13</f>
        <v>112.49999999999574</v>
      </c>
      <c r="H13" s="16">
        <f>('Kwh Consumption'!I14+'Kwh Consumption'!J14)*' Kwh area wise $ '!B13</f>
        <v>55.500000000000682</v>
      </c>
      <c r="I13" s="1">
        <f>('Kwh Consumption'!K14+'Kwh Consumption'!L14)*' Kwh area wise $ '!B13</f>
        <v>255.00000000000333</v>
      </c>
      <c r="J13" s="1">
        <f>('Kwh Consumption'!M14+'Kwh Consumption'!N14+'Kwh Consumption'!O14+'Kwh Consumption'!P14+'Kwh Consumption'!Q14+'Kwh Consumption'!R14)*' Kwh area wise $ '!B13</f>
        <v>715.50000000002285</v>
      </c>
      <c r="K13" s="1">
        <f>('Kwh Consumption'!S14+'Kwh Consumption'!T14)*' Kwh area wise $ '!B13</f>
        <v>736.45950000006701</v>
      </c>
      <c r="L13" s="1">
        <f>'Kwh Consumption'!U14*' Kwh area wise $ '!B13</f>
        <v>27.000000000001023</v>
      </c>
      <c r="M13" s="1">
        <f>'Kwh Consumption'!V14*' Kwh area wise $ '!B13</f>
        <v>888.04050000038148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3116.9999999998936</v>
      </c>
      <c r="D14" s="1">
        <f>'Kwh Consumption'!C15*' Kwh area wise $ '!B14</f>
        <v>75</v>
      </c>
      <c r="E14" s="1">
        <f>'Kwh Consumption'!D15*' Kwh area wise $ '!B14</f>
        <v>344.99999999999528</v>
      </c>
      <c r="F14" s="1">
        <f>'Kwh Consumption'!E15*' Kwh area wise $ '!B14</f>
        <v>32.999999999999829</v>
      </c>
      <c r="G14" s="1">
        <f>('Kwh Consumption'!F15+'Kwh Consumption'!G15+'Kwh Consumption'!H15)*' Kwh area wise $ '!B14</f>
        <v>88.500000000004775</v>
      </c>
      <c r="H14" s="16">
        <f>('Kwh Consumption'!I15+'Kwh Consumption'!J15)*' Kwh area wise $ '!B14</f>
        <v>49.499999999999744</v>
      </c>
      <c r="I14" s="1">
        <f>('Kwh Consumption'!K15+'Kwh Consumption'!L15)*' Kwh area wise $ '!B14</f>
        <v>250.50000000001594</v>
      </c>
      <c r="J14" s="1">
        <f>('Kwh Consumption'!M15+'Kwh Consumption'!N15+'Kwh Consumption'!O15+'Kwh Consumption'!P15+'Kwh Consumption'!Q15+'Kwh Consumption'!R15)*' Kwh area wise $ '!B14</f>
        <v>655.49999999998363</v>
      </c>
      <c r="K14" s="1">
        <f>('Kwh Consumption'!S15+'Kwh Consumption'!T15)*' Kwh area wise $ '!B14</f>
        <v>702.1140000001061</v>
      </c>
      <c r="L14" s="1">
        <f>'Kwh Consumption'!U15*' Kwh area wise $ '!B14</f>
        <v>32.999999999999829</v>
      </c>
      <c r="M14" s="1">
        <f>'Kwh Consumption'!V15*' Kwh area wise $ '!B14</f>
        <v>884.88599999978874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3204.0000000000196</v>
      </c>
      <c r="D15" s="1">
        <f>'Kwh Consumption'!C16*' Kwh area wise $ '!B15</f>
        <v>73.500000000001364</v>
      </c>
      <c r="E15" s="1">
        <f>'Kwh Consumption'!D16*' Kwh area wise $ '!B15</f>
        <v>360.00000000002694</v>
      </c>
      <c r="F15" s="1">
        <f>'Kwh Consumption'!E16*' Kwh area wise $ '!B15</f>
        <v>31.500000000001194</v>
      </c>
      <c r="G15" s="1">
        <f>('Kwh Consumption'!F16+'Kwh Consumption'!G16+'Kwh Consumption'!H16)*' Kwh area wise $ '!B15</f>
        <v>117.00000000000017</v>
      </c>
      <c r="H15" s="16">
        <f>('Kwh Consumption'!I16+'Kwh Consumption'!J16)*' Kwh area wise $ '!B15</f>
        <v>53.999999999999915</v>
      </c>
      <c r="I15" s="1">
        <f>('Kwh Consumption'!K16+'Kwh Consumption'!L16)*' Kwh area wise $ '!B15</f>
        <v>265.49999999997249</v>
      </c>
      <c r="J15" s="1">
        <f>('Kwh Consumption'!M16+'Kwh Consumption'!N16+'Kwh Consumption'!O16+'Kwh Consumption'!P16+'Kwh Consumption'!Q16+'Kwh Consumption'!R16)*' Kwh area wise $ '!B15</f>
        <v>672.00000000000273</v>
      </c>
      <c r="K15" s="1">
        <f>('Kwh Consumption'!S16+'Kwh Consumption'!T16)*' Kwh area wise $ '!B15</f>
        <v>707.48249999997199</v>
      </c>
      <c r="L15" s="1">
        <f>'Kwh Consumption'!U16*' Kwh area wise $ '!B15</f>
        <v>30.000000000002558</v>
      </c>
      <c r="M15" s="1">
        <f>'Kwh Consumption'!V16*' Kwh area wise $ '!B15</f>
        <v>893.01750000004051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3217.4999999997685</v>
      </c>
      <c r="D16" s="1">
        <f>'Kwh Consumption'!C17*' Kwh area wise $ '!B16</f>
        <v>76.499999999998636</v>
      </c>
      <c r="E16" s="1">
        <f>'Kwh Consumption'!D17*' Kwh area wise $ '!B16</f>
        <v>359.99999999996038</v>
      </c>
      <c r="F16" s="1">
        <f>'Kwh Consumption'!E17*' Kwh area wise $ '!B16</f>
        <v>37.5</v>
      </c>
      <c r="G16" s="1">
        <f>('Kwh Consumption'!F17+'Kwh Consumption'!G17+'Kwh Consumption'!H17)*' Kwh area wise $ '!B16</f>
        <v>112.49999999999574</v>
      </c>
      <c r="H16" s="16">
        <f>('Kwh Consumption'!I17+'Kwh Consumption'!J17)*' Kwh area wise $ '!B16</f>
        <v>55.500000000002814</v>
      </c>
      <c r="I16" s="1">
        <f>('Kwh Consumption'!K17+'Kwh Consumption'!L17)*' Kwh area wise $ '!B16</f>
        <v>268.5000000000116</v>
      </c>
      <c r="J16" s="1">
        <f>('Kwh Consumption'!M17+'Kwh Consumption'!N17+'Kwh Consumption'!O17+'Kwh Consumption'!P17+'Kwh Consumption'!Q17+'Kwh Consumption'!R17)*' Kwh area wise $ '!B16</f>
        <v>657.00000000001637</v>
      </c>
      <c r="K16" s="1">
        <f>('Kwh Consumption'!S17+'Kwh Consumption'!T17)*' Kwh area wise $ '!B16</f>
        <v>772.42949999989935</v>
      </c>
      <c r="L16" s="1">
        <f>'Kwh Consumption'!U17*' Kwh area wise $ '!B16</f>
        <v>26.99999999999676</v>
      </c>
      <c r="M16" s="1">
        <f>'Kwh Consumption'!V17*' Kwh area wise $ '!B16</f>
        <v>850.57049999988669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2785.4999999999563</v>
      </c>
      <c r="D17" s="1">
        <f>'Kwh Consumption'!C18*' Kwh area wise $ '!B17</f>
        <v>75</v>
      </c>
      <c r="E17" s="1">
        <f>'Kwh Consumption'!D18*' Kwh area wise $ '!B17</f>
        <v>360.00000000002694</v>
      </c>
      <c r="F17" s="1">
        <f>'Kwh Consumption'!E18*' Kwh area wise $ '!B17</f>
        <v>36.000000000001364</v>
      </c>
      <c r="G17" s="1">
        <f>('Kwh Consumption'!F18+'Kwh Consumption'!G18+'Kwh Consumption'!H18)*' Kwh area wise $ '!B17</f>
        <v>106.50000000000972</v>
      </c>
      <c r="H17" s="16">
        <f>('Kwh Consumption'!I18+'Kwh Consumption'!J18)*' Kwh area wise $ '!B17</f>
        <v>53.999999999995651</v>
      </c>
      <c r="I17" s="1">
        <f>('Kwh Consumption'!K18+'Kwh Consumption'!L18)*' Kwh area wise $ '!B17</f>
        <v>201.00000000001651</v>
      </c>
      <c r="J17" s="1">
        <f>('Kwh Consumption'!M18+'Kwh Consumption'!N18+'Kwh Consumption'!O18+'Kwh Consumption'!P18+'Kwh Consumption'!Q18+'Kwh Consumption'!R18)*' Kwh area wise $ '!B17</f>
        <v>518.99999999997135</v>
      </c>
      <c r="K17" s="1">
        <f>('Kwh Consumption'!S18+'Kwh Consumption'!T18)*' Kwh area wise $ '!B17</f>
        <v>596.87099999994973</v>
      </c>
      <c r="L17" s="1">
        <f>'Kwh Consumption'!U18*' Kwh area wise $ '!B17</f>
        <v>27.000000000001023</v>
      </c>
      <c r="M17" s="1">
        <f>'Kwh Consumption'!V18*' Kwh area wise $ '!B17</f>
        <v>810.12899999998399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3261.0000000003083</v>
      </c>
      <c r="D18" s="1">
        <f>'Kwh Consumption'!C19*' Kwh area wise $ '!B18</f>
        <v>73.500000000001364</v>
      </c>
      <c r="E18" s="1">
        <f>'Kwh Consumption'!D19*' Kwh area wise $ '!B18</f>
        <v>360.00000000002694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101.9999999999925</v>
      </c>
      <c r="H18" s="16">
        <f>('Kwh Consumption'!I19+'Kwh Consumption'!J19)*' Kwh area wise $ '!B18</f>
        <v>51.000000000002643</v>
      </c>
      <c r="I18" s="1">
        <f>('Kwh Consumption'!K19+'Kwh Consumption'!L19)*' Kwh area wise $ '!B18</f>
        <v>236.99999999997442</v>
      </c>
      <c r="J18" s="1">
        <f>('Kwh Consumption'!M19+'Kwh Consumption'!N19+'Kwh Consumption'!O19+'Kwh Consumption'!P19+'Kwh Consumption'!Q19+'Kwh Consumption'!R19)*' Kwh area wise $ '!B18</f>
        <v>712.50000000003411</v>
      </c>
      <c r="K18" s="1">
        <f>('Kwh Consumption'!S19+'Kwh Consumption'!T19)*' Kwh area wise $ '!B18</f>
        <v>812.05650000013406</v>
      </c>
      <c r="L18" s="1">
        <f>'Kwh Consumption'!U19*' Kwh area wise $ '!B18</f>
        <v>28.499999999999659</v>
      </c>
      <c r="M18" s="1">
        <f>'Kwh Consumption'!V19*' Kwh area wise $ '!B18</f>
        <v>845.4435000001439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3361.499999999739</v>
      </c>
      <c r="D19" s="1">
        <f>'Kwh Consumption'!C20*' Kwh area wise $ '!B19</f>
        <v>40.499999999997272</v>
      </c>
      <c r="E19" s="1">
        <f>'Kwh Consumption'!D20*' Kwh area wise $ '!B19</f>
        <v>359.99999999996038</v>
      </c>
      <c r="F19" s="1">
        <f>'Kwh Consumption'!E20*' Kwh area wise $ '!B19</f>
        <v>34.499999999998465</v>
      </c>
      <c r="G19" s="1">
        <f>('Kwh Consumption'!F20+'Kwh Consumption'!G20+'Kwh Consumption'!H20)*' Kwh area wise $ '!B19</f>
        <v>118.49999999999881</v>
      </c>
      <c r="H19" s="16">
        <f>('Kwh Consumption'!I20+'Kwh Consumption'!J20)*' Kwh area wise $ '!B19</f>
        <v>52.499999999997016</v>
      </c>
      <c r="I19" s="1">
        <f>('Kwh Consumption'!K20+'Kwh Consumption'!L20)*' Kwh area wise $ '!B19</f>
        <v>235.50000000000909</v>
      </c>
      <c r="J19" s="1">
        <f>('Kwh Consumption'!M20+'Kwh Consumption'!N20+'Kwh Consumption'!O20+'Kwh Consumption'!P20+'Kwh Consumption'!Q20+'Kwh Consumption'!R20)*' Kwh area wise $ '!B19</f>
        <v>724.49999999997203</v>
      </c>
      <c r="K19" s="1">
        <f>('Kwh Consumption'!S20+'Kwh Consumption'!T20)*' Kwh area wise $ '!B19</f>
        <v>797.03700000001118</v>
      </c>
      <c r="L19" s="1">
        <f>'Kwh Consumption'!U20*' Kwh area wise $ '!B19</f>
        <v>31.500000000001194</v>
      </c>
      <c r="M19" s="1">
        <f>'Kwh Consumption'!V20*' Kwh area wise $ '!B19</f>
        <v>966.96299999979374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3408.0000000000041</v>
      </c>
      <c r="D20" s="1">
        <f>'Kwh Consumption'!C21*' Kwh area wise $ '!B20</f>
        <v>75</v>
      </c>
      <c r="E20" s="1">
        <f>'Kwh Consumption'!D21*' Kwh area wise $ '!B20</f>
        <v>360.00000000002694</v>
      </c>
      <c r="F20" s="1">
        <f>'Kwh Consumption'!E21*' Kwh area wise $ '!B20</f>
        <v>32.999999999999829</v>
      </c>
      <c r="G20" s="1">
        <f>('Kwh Consumption'!F21+'Kwh Consumption'!G21+'Kwh Consumption'!H21)*' Kwh area wise $ '!B20</f>
        <v>109.50000000000273</v>
      </c>
      <c r="H20" s="16">
        <f>('Kwh Consumption'!I21+'Kwh Consumption'!J21)*' Kwh area wise $ '!B20</f>
        <v>52.500000000003411</v>
      </c>
      <c r="I20" s="1">
        <f>('Kwh Consumption'!K21+'Kwh Consumption'!L21)*' Kwh area wise $ '!B20</f>
        <v>253.50000000001322</v>
      </c>
      <c r="J20" s="1">
        <f>('Kwh Consumption'!M21+'Kwh Consumption'!N21+'Kwh Consumption'!O21+'Kwh Consumption'!P21+'Kwh Consumption'!Q21+'Kwh Consumption'!R21)*' Kwh area wise $ '!B20</f>
        <v>751.49999999999864</v>
      </c>
      <c r="K20" s="1">
        <f>('Kwh Consumption'!S21+'Kwh Consumption'!T21)*' Kwh area wise $ '!B20</f>
        <v>832.97099999994964</v>
      </c>
      <c r="L20" s="1">
        <f>'Kwh Consumption'!U21*' Kwh area wise $ '!B20</f>
        <v>31.500000000001194</v>
      </c>
      <c r="M20" s="1">
        <f>'Kwh Consumption'!V21*' Kwh area wise $ '!B20</f>
        <v>908.52900000000875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3241.5000000002919</v>
      </c>
      <c r="D21" s="1">
        <f>'Kwh Consumption'!C22*' Kwh area wise $ '!B21</f>
        <v>81.00000000000307</v>
      </c>
      <c r="E21" s="1">
        <f>'Kwh Consumption'!D22*' Kwh area wise $ '!B21</f>
        <v>389.99999999995703</v>
      </c>
      <c r="F21" s="1">
        <f>'Kwh Consumption'!E22*' Kwh area wise $ '!B21</f>
        <v>36.000000000001364</v>
      </c>
      <c r="G21" s="1">
        <f>('Kwh Consumption'!F22+'Kwh Consumption'!G22+'Kwh Consumption'!H22)*' Kwh area wise $ '!B21</f>
        <v>111.00000000000563</v>
      </c>
      <c r="H21" s="16">
        <f>('Kwh Consumption'!I22+'Kwh Consumption'!J22)*' Kwh area wise $ '!B21</f>
        <v>53.999999999997783</v>
      </c>
      <c r="I21" s="1">
        <f>('Kwh Consumption'!K22+'Kwh Consumption'!L22)*' Kwh area wise $ '!B21</f>
        <v>253.49999999997993</v>
      </c>
      <c r="J21" s="1">
        <f>('Kwh Consumption'!M22+'Kwh Consumption'!N22+'Kwh Consumption'!O22+'Kwh Consumption'!P22+'Kwh Consumption'!Q22+'Kwh Consumption'!R22)*' Kwh area wise $ '!B21</f>
        <v>717.00000000001296</v>
      </c>
      <c r="K21" s="1">
        <f>('Kwh Consumption'!S22+'Kwh Consumption'!T22)*' Kwh area wise $ '!B21</f>
        <v>772.46100000003355</v>
      </c>
      <c r="L21" s="1">
        <f>'Kwh Consumption'!U22*' Kwh area wise $ '!B21</f>
        <v>32.999999999999829</v>
      </c>
      <c r="M21" s="1">
        <f>'Kwh Consumption'!V22*' Kwh area wise $ '!B21</f>
        <v>793.53900000030069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3287.9999999996699</v>
      </c>
      <c r="D22" s="1">
        <f>'Kwh Consumption'!C23*' Kwh area wise $ '!B22</f>
        <v>73.500000000001364</v>
      </c>
      <c r="E22" s="1">
        <f>'Kwh Consumption'!D23*' Kwh area wise $ '!B22</f>
        <v>360.00000000002694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65.999999999999659</v>
      </c>
      <c r="H22" s="16">
        <f>('Kwh Consumption'!I23+'Kwh Consumption'!J23)*' Kwh area wise $ '!B22</f>
        <v>49.500000000004007</v>
      </c>
      <c r="I22" s="1">
        <f>('Kwh Consumption'!K23+'Kwh Consumption'!L23)*' Kwh area wise $ '!B22</f>
        <v>250.50000000000742</v>
      </c>
      <c r="J22" s="1">
        <f>('Kwh Consumption'!M23+'Kwh Consumption'!N23+'Kwh Consumption'!O23+'Kwh Consumption'!P23+'Kwh Consumption'!Q23+'Kwh Consumption'!R23)*' Kwh area wise $ '!B22</f>
        <v>724.49999999998909</v>
      </c>
      <c r="K22" s="1">
        <f>('Kwh Consumption'!S23+'Kwh Consumption'!T23)*' Kwh area wise $ '!B22</f>
        <v>754.10400000005029</v>
      </c>
      <c r="L22" s="1">
        <f>'Kwh Consumption'!U23*' Kwh area wise $ '!B22</f>
        <v>25.499999999998124</v>
      </c>
      <c r="M22" s="1">
        <f>'Kwh Consumption'!V23*' Kwh area wise $ '!B22</f>
        <v>945.39599999959466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3430.5000000001537</v>
      </c>
      <c r="D23" s="1">
        <f>'Kwh Consumption'!C24*' Kwh area wise $ '!B23</f>
        <v>76.499999999998636</v>
      </c>
      <c r="E23" s="1">
        <f>'Kwh Consumption'!D24*' Kwh area wise $ '!B23</f>
        <v>374.99999999999199</v>
      </c>
      <c r="F23" s="1">
        <f>'Kwh Consumption'!E24*' Kwh area wise $ '!B23</f>
        <v>39.000000000002899</v>
      </c>
      <c r="G23" s="1">
        <f>('Kwh Consumption'!F24+'Kwh Consumption'!G24+'Kwh Consumption'!H24)*' Kwh area wise $ '!B23</f>
        <v>155.99999999999454</v>
      </c>
      <c r="H23" s="16">
        <f>('Kwh Consumption'!I24+'Kwh Consumption'!J24)*' Kwh area wise $ '!B23</f>
        <v>53.999999999995651</v>
      </c>
      <c r="I23" s="1">
        <f>('Kwh Consumption'!K24+'Kwh Consumption'!L24)*' Kwh area wise $ '!B23</f>
        <v>253.50000000001322</v>
      </c>
      <c r="J23" s="1">
        <f>('Kwh Consumption'!M24+'Kwh Consumption'!N24+'Kwh Consumption'!O24+'Kwh Consumption'!P24+'Kwh Consumption'!Q24+'Kwh Consumption'!R24)*' Kwh area wise $ '!B23</f>
        <v>763.50000000000477</v>
      </c>
      <c r="K23" s="1">
        <f>('Kwh Consumption'!S24+'Kwh Consumption'!T24)*' Kwh area wise $ '!B23</f>
        <v>835.1384999998379</v>
      </c>
      <c r="L23" s="1">
        <f>'Kwh Consumption'!U24*' Kwh area wise $ '!B23</f>
        <v>34.499999999998465</v>
      </c>
      <c r="M23" s="1">
        <f>'Kwh Consumption'!V24*' Kwh area wise $ '!B23</f>
        <v>843.36150000031591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3483.0000000000382</v>
      </c>
      <c r="D24" s="1">
        <f>'Kwh Consumption'!C25*' Kwh area wise $ '!B24</f>
        <v>77.999999999997272</v>
      </c>
      <c r="E24" s="1">
        <f>'Kwh Consumption'!D25*' Kwh area wise $ '!B24</f>
        <v>404.99999999998869</v>
      </c>
      <c r="F24" s="1">
        <f>'Kwh Consumption'!E25*' Kwh area wise $ '!B24</f>
        <v>34.499999999998465</v>
      </c>
      <c r="G24" s="1">
        <f>('Kwh Consumption'!F25+'Kwh Consumption'!G25+'Kwh Consumption'!H25)*' Kwh area wise $ '!B24</f>
        <v>111.00000000000136</v>
      </c>
      <c r="H24" s="16">
        <f>('Kwh Consumption'!I25+'Kwh Consumption'!J25)*' Kwh area wise $ '!B24</f>
        <v>54.000000000002046</v>
      </c>
      <c r="I24" s="1">
        <f>('Kwh Consumption'!K25+'Kwh Consumption'!L25)*' Kwh area wise $ '!B24</f>
        <v>253.49999999997141</v>
      </c>
      <c r="J24" s="1">
        <f>('Kwh Consumption'!M25+'Kwh Consumption'!N25+'Kwh Consumption'!O25+'Kwh Consumption'!P25+'Kwh Consumption'!Q25+'Kwh Consumption'!R25)*' Kwh area wise $ '!B24</f>
        <v>744.00000000000546</v>
      </c>
      <c r="K24" s="1">
        <f>('Kwh Consumption'!S25+'Kwh Consumption'!T25)*' Kwh area wise $ '!B24</f>
        <v>857.07000000011169</v>
      </c>
      <c r="L24" s="1">
        <f>'Kwh Consumption'!U25*' Kwh area wise $ '!B24</f>
        <v>30.000000000002558</v>
      </c>
      <c r="M24" s="1">
        <f>'Kwh Consumption'!V25*' Kwh area wise $ '!B24</f>
        <v>915.92999999995857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3361.5000000000123</v>
      </c>
      <c r="D25" s="1">
        <f>'Kwh Consumption'!C26*' Kwh area wise $ '!B25</f>
        <v>64.500000000001023</v>
      </c>
      <c r="E25" s="1">
        <f>'Kwh Consumption'!D26*' Kwh area wise $ '!B25</f>
        <v>390.00000000002365</v>
      </c>
      <c r="F25" s="1">
        <f>'Kwh Consumption'!E26*' Kwh area wise $ '!B25</f>
        <v>37.5</v>
      </c>
      <c r="G25" s="1">
        <f>('Kwh Consumption'!F26+'Kwh Consumption'!G26+'Kwh Consumption'!H26)*' Kwh area wise $ '!B25</f>
        <v>119.99999999999744</v>
      </c>
      <c r="H25" s="16">
        <f>('Kwh Consumption'!I26+'Kwh Consumption'!J26)*' Kwh area wise $ '!B25</f>
        <v>52.500000000001279</v>
      </c>
      <c r="I25" s="1">
        <f>('Kwh Consumption'!K26+'Kwh Consumption'!L26)*' Kwh area wise $ '!B25</f>
        <v>237.00000000001626</v>
      </c>
      <c r="J25" s="1">
        <f>('Kwh Consumption'!M26+'Kwh Consumption'!N26+'Kwh Consumption'!O26+'Kwh Consumption'!P26+'Kwh Consumption'!Q26+'Kwh Consumption'!R26)*' Kwh area wise $ '!B25</f>
        <v>751.49999999999864</v>
      </c>
      <c r="K25" s="1">
        <f>('Kwh Consumption'!S26+'Kwh Consumption'!T26)*' Kwh area wise $ '!B25</f>
        <v>876.5549999998882</v>
      </c>
      <c r="L25" s="1">
        <f>'Kwh Consumption'!U26*' Kwh area wise $ '!B25</f>
        <v>29.999999999998295</v>
      </c>
      <c r="M25" s="1">
        <f>'Kwh Consumption'!V26*' Kwh area wise $ '!B25</f>
        <v>801.9450000000877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3316.4999999997804</v>
      </c>
      <c r="D26" s="1">
        <f>'Kwh Consumption'!C27*' Kwh area wise $ '!B26</f>
        <v>49.499999999997613</v>
      </c>
      <c r="E26" s="1">
        <f>'Kwh Consumption'!D27*' Kwh area wise $ '!B26</f>
        <v>420.00000000002029</v>
      </c>
      <c r="F26" s="1">
        <f>'Kwh Consumption'!E27*' Kwh area wise $ '!B26</f>
        <v>45.000000000001705</v>
      </c>
      <c r="G26" s="1">
        <f>('Kwh Consumption'!F27+'Kwh Consumption'!G27+'Kwh Consumption'!H27)*' Kwh area wise $ '!B26</f>
        <v>115.5000000000058</v>
      </c>
      <c r="H26" s="16">
        <f>('Kwh Consumption'!I27+'Kwh Consumption'!J27)*' Kwh area wise $ '!B26</f>
        <v>53.999999999997783</v>
      </c>
      <c r="I26" s="1">
        <f>('Kwh Consumption'!K27+'Kwh Consumption'!L27)*' Kwh area wise $ '!B26</f>
        <v>235.50000000000909</v>
      </c>
      <c r="J26" s="1">
        <f>('Kwh Consumption'!M27+'Kwh Consumption'!N27+'Kwh Consumption'!O27+'Kwh Consumption'!P27+'Kwh Consumption'!Q27+'Kwh Consumption'!R27)*' Kwh area wise $ '!B26</f>
        <v>700.49999999999386</v>
      </c>
      <c r="K26" s="1">
        <f>('Kwh Consumption'!S27+'Kwh Consumption'!T27)*' Kwh area wise $ '!B26</f>
        <v>767.97150000007821</v>
      </c>
      <c r="L26" s="1">
        <f>'Kwh Consumption'!U27*' Kwh area wise $ '!B26</f>
        <v>31.500000000001194</v>
      </c>
      <c r="M26" s="1">
        <f>'Kwh Consumption'!V27*' Kwh area wise $ '!B26</f>
        <v>897.02849999967509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3465.0000000001914</v>
      </c>
      <c r="D27" s="1">
        <f>'Kwh Consumption'!C28*' Kwh area wise $ '!B27</f>
        <v>34.500000000002728</v>
      </c>
      <c r="E27" s="1">
        <f>'Kwh Consumption'!D28*' Kwh area wise $ '!B27</f>
        <v>389.99999999995703</v>
      </c>
      <c r="F27" s="1">
        <f>'Kwh Consumption'!E28*' Kwh area wise $ '!B27</f>
        <v>32.999999999999829</v>
      </c>
      <c r="G27" s="1">
        <f>('Kwh Consumption'!F28+'Kwh Consumption'!G28+'Kwh Consumption'!H28)*' Kwh area wise $ '!B27</f>
        <v>126.00000000000051</v>
      </c>
      <c r="H27" s="16">
        <f>('Kwh Consumption'!I28+'Kwh Consumption'!J28)*' Kwh area wise $ '!B27</f>
        <v>56.999999999999318</v>
      </c>
      <c r="I27" s="1">
        <f>('Kwh Consumption'!K28+'Kwh Consumption'!L28)*' Kwh area wise $ '!B27</f>
        <v>235.49999999997578</v>
      </c>
      <c r="J27" s="1">
        <f>('Kwh Consumption'!M28+'Kwh Consumption'!N28+'Kwh Consumption'!O28+'Kwh Consumption'!P28+'Kwh Consumption'!Q28+'Kwh Consumption'!R28)*' Kwh area wise $ '!B27</f>
        <v>771.00000000001501</v>
      </c>
      <c r="K27" s="1">
        <f>('Kwh Consumption'!S28+'Kwh Consumption'!T28)*' Kwh area wise $ '!B27</f>
        <v>881.56200000001115</v>
      </c>
      <c r="L27" s="1">
        <f>'Kwh Consumption'!U28*' Kwh area wise $ '!B27</f>
        <v>28.499999999999659</v>
      </c>
      <c r="M27" s="1">
        <f>'Kwh Consumption'!V28*' Kwh area wise $ '!B27</f>
        <v>907.93800000023055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3040.4999999999627</v>
      </c>
      <c r="D28" s="1">
        <f>'Kwh Consumption'!C29*' Kwh area wise $ '!B28</f>
        <v>111.00000000000136</v>
      </c>
      <c r="E28" s="1">
        <f>'Kwh Consumption'!D29*' Kwh area wise $ '!B28</f>
        <v>374.99999999999199</v>
      </c>
      <c r="F28" s="1">
        <f>'Kwh Consumption'!E29*' Kwh area wise $ '!B28</f>
        <v>35.999999999997101</v>
      </c>
      <c r="G28" s="1">
        <f>('Kwh Consumption'!F29+'Kwh Consumption'!G29+'Kwh Consumption'!H29)*' Kwh area wise $ '!B28</f>
        <v>112.49999999999147</v>
      </c>
      <c r="H28" s="16">
        <f>('Kwh Consumption'!I29+'Kwh Consumption'!J29)*' Kwh area wise $ '!B28</f>
        <v>51.000000000002643</v>
      </c>
      <c r="I28" s="1">
        <f>('Kwh Consumption'!K29+'Kwh Consumption'!L29)*' Kwh area wise $ '!B28</f>
        <v>184.5000000000195</v>
      </c>
      <c r="J28" s="1">
        <f>('Kwh Consumption'!M29+'Kwh Consumption'!N29+'Kwh Consumption'!O29+'Kwh Consumption'!P29+'Kwh Consumption'!Q29+'Kwh Consumption'!R29)*' Kwh area wise $ '!B28</f>
        <v>545.99999999999795</v>
      </c>
      <c r="K28" s="1">
        <f>('Kwh Consumption'!S29+'Kwh Consumption'!T29)*' Kwh area wise $ '!B28</f>
        <v>647.71649999991052</v>
      </c>
      <c r="L28" s="1">
        <f>'Kwh Consumption'!U29*' Kwh area wise $ '!B28</f>
        <v>32.999999999999829</v>
      </c>
      <c r="M28" s="1">
        <f>'Kwh Consumption'!V29*' Kwh area wise $ '!B28</f>
        <v>943.78350000005037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2957.9999999997312</v>
      </c>
      <c r="D29" s="1">
        <f>'Kwh Consumption'!C30*' Kwh area wise $ '!B29</f>
        <v>70.499999999995566</v>
      </c>
      <c r="E29" s="1">
        <f>'Kwh Consumption'!D30*' Kwh area wise $ '!B29</f>
        <v>360.00000000002694</v>
      </c>
      <c r="F29" s="1">
        <f>'Kwh Consumption'!E30*' Kwh area wise $ '!B29</f>
        <v>36.000000000001364</v>
      </c>
      <c r="G29" s="1">
        <f>('Kwh Consumption'!F30+'Kwh Consumption'!G30+'Kwh Consumption'!H30)*' Kwh area wise $ '!B29</f>
        <v>102.00000000000102</v>
      </c>
      <c r="H29" s="16">
        <f>('Kwh Consumption'!I30+'Kwh Consumption'!J30)*' Kwh area wise $ '!B29</f>
        <v>55.500000000000682</v>
      </c>
      <c r="I29" s="1">
        <f>('Kwh Consumption'!K30+'Kwh Consumption'!L30)*' Kwh area wise $ '!B29</f>
        <v>202.49999999998181</v>
      </c>
      <c r="J29" s="1">
        <f>('Kwh Consumption'!M30+'Kwh Consumption'!N30+'Kwh Consumption'!O30+'Kwh Consumption'!P30+'Kwh Consumption'!Q30+'Kwh Consumption'!R30)*' Kwh area wise $ '!B29</f>
        <v>620.99999999999795</v>
      </c>
      <c r="K29" s="1">
        <f>('Kwh Consumption'!S30+'Kwh Consumption'!T30)*' Kwh area wise $ '!B29</f>
        <v>646.80450000003907</v>
      </c>
      <c r="L29" s="1">
        <f>'Kwh Consumption'!U30*' Kwh area wise $ '!B29</f>
        <v>27.000000000001023</v>
      </c>
      <c r="M29" s="1">
        <f>'Kwh Consumption'!V30*' Kwh area wise $ '!B29</f>
        <v>836.69549999968581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-69265.5</v>
      </c>
      <c r="E30" s="1">
        <f>'Kwh Consumption'!D31*' Kwh area wise $ '!B30</f>
        <v>-389175</v>
      </c>
      <c r="F30" s="1">
        <f>'Kwh Consumption'!E31*' Kwh area wise $ '!B30</f>
        <v>-37692</v>
      </c>
      <c r="G30" s="1">
        <f>('Kwh Consumption'!F31+'Kwh Consumption'!G31+'Kwh Consumption'!H31)*' Kwh area wise $ '!B30</f>
        <v>-143592</v>
      </c>
      <c r="H30" s="16">
        <f>('Kwh Consumption'!I31+'Kwh Consumption'!J31)*' Kwh area wise $ '!B30</f>
        <v>-46045.5</v>
      </c>
      <c r="I30" s="1">
        <f>('Kwh Consumption'!K31+'Kwh Consumption'!L31)*' Kwh area wise $ '!B30</f>
        <v>-204756</v>
      </c>
      <c r="J30" s="1">
        <f>('Kwh Consumption'!M31+'Kwh Consumption'!N31+'Kwh Consumption'!O31+'Kwh Consumption'!P31+'Kwh Consumption'!Q31+'Kwh Consumption'!R31)*' Kwh area wise $ '!B30</f>
        <v>-576598.5</v>
      </c>
      <c r="K30" s="1">
        <f>('Kwh Consumption'!S31+'Kwh Consumption'!T31)*' Kwh area wise $ '!B30</f>
        <v>-2421942.9134999998</v>
      </c>
      <c r="L30" s="1">
        <f>'Kwh Consumption'!U31*' Kwh area wise $ '!B30</f>
        <v>-25663.5</v>
      </c>
      <c r="M30" s="1">
        <f>'Kwh Consumption'!V31*' Kwh area wise $ '!B30</f>
        <v>3914730.9135000003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87896.999999999913</v>
      </c>
      <c r="D34" s="75">
        <f t="shared" si="0"/>
        <v>-67405.5</v>
      </c>
      <c r="E34" s="75">
        <f t="shared" si="0"/>
        <v>-379275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-198165</v>
      </c>
      <c r="J34" s="75">
        <f t="shared" si="0"/>
        <v>-558121.5</v>
      </c>
      <c r="K34" s="75">
        <f t="shared" si="0"/>
        <v>-2401492.1219999995</v>
      </c>
      <c r="L34" s="75">
        <f t="shared" si="0"/>
        <v>-24832.5</v>
      </c>
      <c r="M34" s="75">
        <f>SUM(M3:M33)</f>
        <v>3939269.622</v>
      </c>
      <c r="N34" s="84">
        <f>D34+E34+F34+G34+H34+I34+J34+K34+L34+M34</f>
        <v>87897.000000000466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11" sqref="B1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1742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>
        <v>181771</v>
      </c>
      <c r="C10" s="56">
        <v>144102</v>
      </c>
      <c r="D10" s="55">
        <v>220397</v>
      </c>
      <c r="E10" s="55">
        <v>251922</v>
      </c>
      <c r="F10" s="55">
        <v>66985</v>
      </c>
      <c r="G10" s="55">
        <v>112881</v>
      </c>
      <c r="H10" s="33">
        <v>55487</v>
      </c>
      <c r="I10" s="55">
        <v>65645</v>
      </c>
      <c r="J10" s="55">
        <v>21078</v>
      </c>
      <c r="K10" s="55">
        <v>1024</v>
      </c>
      <c r="L10" s="55">
        <v>17759</v>
      </c>
      <c r="M10" s="55">
        <v>25258</v>
      </c>
      <c r="N10" s="55">
        <v>7618</v>
      </c>
      <c r="O10" s="55">
        <v>1743</v>
      </c>
      <c r="P10" s="55">
        <v>27748</v>
      </c>
      <c r="Q10" s="33">
        <v>943</v>
      </c>
      <c r="R10" s="55">
        <v>6630</v>
      </c>
    </row>
    <row r="11" spans="1:21" x14ac:dyDescent="0.25">
      <c r="A11" s="54">
        <v>44448</v>
      </c>
      <c r="B11" s="56">
        <v>181869</v>
      </c>
      <c r="C11" s="33">
        <v>144276</v>
      </c>
      <c r="D11" s="55">
        <v>220485</v>
      </c>
      <c r="E11" s="55">
        <v>251980</v>
      </c>
      <c r="F11" s="55">
        <v>66985</v>
      </c>
      <c r="G11" s="55">
        <v>112898</v>
      </c>
      <c r="H11" s="33">
        <v>55507</v>
      </c>
      <c r="I11" s="55">
        <v>65682</v>
      </c>
      <c r="J11" s="55">
        <v>21088</v>
      </c>
      <c r="K11" s="55">
        <v>1024</v>
      </c>
      <c r="L11" s="55">
        <v>17766</v>
      </c>
      <c r="M11" s="55">
        <v>25273</v>
      </c>
      <c r="N11" s="55">
        <v>7618</v>
      </c>
      <c r="O11" s="55">
        <v>1744</v>
      </c>
      <c r="P11" s="55">
        <v>27763</v>
      </c>
      <c r="Q11" s="33">
        <v>951</v>
      </c>
      <c r="R11" s="55">
        <v>6634</v>
      </c>
    </row>
    <row r="12" spans="1:21" x14ac:dyDescent="0.25">
      <c r="A12" s="54">
        <v>44449</v>
      </c>
      <c r="B12" s="33">
        <v>181655</v>
      </c>
      <c r="C12" s="56">
        <v>144376</v>
      </c>
      <c r="D12" s="55">
        <v>220574</v>
      </c>
      <c r="E12" s="55">
        <v>252035</v>
      </c>
      <c r="F12" s="55">
        <v>66986</v>
      </c>
      <c r="G12" s="55">
        <v>112913</v>
      </c>
      <c r="H12" s="33">
        <v>55532</v>
      </c>
      <c r="I12" s="55">
        <v>65714</v>
      </c>
      <c r="J12" s="55">
        <v>21099</v>
      </c>
      <c r="K12" s="55">
        <v>1024</v>
      </c>
      <c r="L12" s="55">
        <v>17772</v>
      </c>
      <c r="M12" s="55">
        <v>25287</v>
      </c>
      <c r="N12" s="55">
        <v>7625</v>
      </c>
      <c r="O12" s="55">
        <v>1744</v>
      </c>
      <c r="P12" s="55">
        <v>27779</v>
      </c>
      <c r="Q12" s="33">
        <v>953</v>
      </c>
      <c r="R12" s="55">
        <v>6640</v>
      </c>
    </row>
    <row r="13" spans="1:21" x14ac:dyDescent="0.25">
      <c r="A13" s="54">
        <v>44450</v>
      </c>
      <c r="B13" s="56">
        <v>181756</v>
      </c>
      <c r="C13" s="33">
        <v>144476</v>
      </c>
      <c r="D13" s="55">
        <v>220674</v>
      </c>
      <c r="E13" s="55">
        <v>252092</v>
      </c>
      <c r="F13" s="55">
        <v>66986</v>
      </c>
      <c r="G13" s="55">
        <v>112932</v>
      </c>
      <c r="H13" s="33">
        <v>55576</v>
      </c>
      <c r="I13" s="55">
        <v>65733</v>
      </c>
      <c r="J13" s="55">
        <v>21110</v>
      </c>
      <c r="K13" s="55">
        <v>1024</v>
      </c>
      <c r="L13" s="55">
        <v>17780</v>
      </c>
      <c r="M13" s="55">
        <v>25303</v>
      </c>
      <c r="N13" s="55">
        <v>7630</v>
      </c>
      <c r="O13" s="55">
        <v>1747</v>
      </c>
      <c r="P13" s="55">
        <v>27779</v>
      </c>
      <c r="Q13" s="33">
        <v>953</v>
      </c>
      <c r="R13" s="55">
        <v>6643</v>
      </c>
    </row>
    <row r="14" spans="1:21" x14ac:dyDescent="0.25">
      <c r="A14" s="54">
        <v>44451</v>
      </c>
      <c r="B14" s="33">
        <v>181855</v>
      </c>
      <c r="C14" s="56">
        <v>144514</v>
      </c>
      <c r="D14" s="55">
        <v>220769</v>
      </c>
      <c r="E14" s="55">
        <v>252153</v>
      </c>
      <c r="F14" s="55">
        <v>66987</v>
      </c>
      <c r="G14" s="55">
        <v>112947</v>
      </c>
      <c r="H14" s="33">
        <v>55624</v>
      </c>
      <c r="I14" s="55">
        <v>65767</v>
      </c>
      <c r="J14" s="55">
        <v>21120</v>
      </c>
      <c r="K14" s="55">
        <v>1024</v>
      </c>
      <c r="L14" s="55">
        <v>17788</v>
      </c>
      <c r="M14" s="55">
        <v>25317</v>
      </c>
      <c r="N14" s="55">
        <v>7634</v>
      </c>
      <c r="O14" s="55">
        <v>1748</v>
      </c>
      <c r="P14" s="55">
        <v>27790</v>
      </c>
      <c r="Q14" s="33">
        <v>960</v>
      </c>
      <c r="R14" s="55">
        <v>6648</v>
      </c>
    </row>
    <row r="15" spans="1:21" x14ac:dyDescent="0.25">
      <c r="A15" s="54">
        <v>44452</v>
      </c>
      <c r="B15" s="33">
        <v>181952</v>
      </c>
      <c r="C15" s="33">
        <v>144606</v>
      </c>
      <c r="D15" s="55">
        <v>220881</v>
      </c>
      <c r="E15" s="55">
        <v>252205</v>
      </c>
      <c r="F15" s="55">
        <v>66987</v>
      </c>
      <c r="G15" s="55">
        <v>112965</v>
      </c>
      <c r="H15" s="33">
        <v>55662</v>
      </c>
      <c r="I15" s="55">
        <v>65804</v>
      </c>
      <c r="J15" s="55">
        <v>21131</v>
      </c>
      <c r="K15" s="55">
        <v>1024</v>
      </c>
      <c r="L15" s="55">
        <v>17795</v>
      </c>
      <c r="M15" s="55">
        <v>25331</v>
      </c>
      <c r="N15" s="55">
        <v>7637</v>
      </c>
      <c r="O15" s="55">
        <v>1748</v>
      </c>
      <c r="P15" s="55">
        <v>27809</v>
      </c>
      <c r="Q15" s="33">
        <v>964</v>
      </c>
      <c r="R15" s="55">
        <v>6653</v>
      </c>
      <c r="T15" s="110"/>
      <c r="U15" s="110"/>
    </row>
    <row r="16" spans="1:21" x14ac:dyDescent="0.25">
      <c r="A16" s="54">
        <v>44453</v>
      </c>
      <c r="B16" s="33">
        <v>182047</v>
      </c>
      <c r="C16" s="56">
        <v>144790</v>
      </c>
      <c r="D16" s="55">
        <v>220984</v>
      </c>
      <c r="E16" s="55">
        <v>252265</v>
      </c>
      <c r="F16" s="55">
        <v>66987</v>
      </c>
      <c r="G16" s="55">
        <v>112983</v>
      </c>
      <c r="H16" s="33">
        <v>55697</v>
      </c>
      <c r="I16" s="55">
        <v>65838</v>
      </c>
      <c r="J16" s="55">
        <v>21142</v>
      </c>
      <c r="K16" s="55">
        <v>1024</v>
      </c>
      <c r="L16" s="55">
        <v>17802</v>
      </c>
      <c r="M16" s="55">
        <v>25345</v>
      </c>
      <c r="N16" s="55">
        <v>7639</v>
      </c>
      <c r="O16" s="55">
        <v>1750</v>
      </c>
      <c r="P16" s="55">
        <v>27822</v>
      </c>
      <c r="Q16" s="33">
        <v>968</v>
      </c>
      <c r="R16" s="55">
        <v>6659</v>
      </c>
    </row>
    <row r="17" spans="1:22" x14ac:dyDescent="0.25">
      <c r="A17" s="54">
        <v>44454</v>
      </c>
      <c r="B17" s="33">
        <v>182295</v>
      </c>
      <c r="C17" s="33">
        <v>145389</v>
      </c>
      <c r="D17" s="55">
        <v>221120</v>
      </c>
      <c r="E17" s="55">
        <v>252322</v>
      </c>
      <c r="F17" s="55">
        <v>66988</v>
      </c>
      <c r="G17" s="55">
        <v>112999</v>
      </c>
      <c r="H17" s="33">
        <v>55724</v>
      </c>
      <c r="I17" s="55">
        <v>65868</v>
      </c>
      <c r="J17" s="55">
        <v>21152</v>
      </c>
      <c r="K17" s="55">
        <v>1024</v>
      </c>
      <c r="L17" s="55">
        <v>17811</v>
      </c>
      <c r="M17" s="55">
        <v>25363</v>
      </c>
      <c r="N17" s="55">
        <v>7644</v>
      </c>
      <c r="O17" s="55">
        <v>1751</v>
      </c>
      <c r="P17" s="55">
        <v>27835</v>
      </c>
      <c r="Q17" s="33">
        <v>970</v>
      </c>
      <c r="R17" s="55">
        <v>6666</v>
      </c>
    </row>
    <row r="18" spans="1:22" x14ac:dyDescent="0.25">
      <c r="A18" s="54">
        <v>44455</v>
      </c>
      <c r="B18" s="33">
        <v>182713</v>
      </c>
      <c r="C18" s="56">
        <v>145420</v>
      </c>
      <c r="D18" s="55">
        <v>221290</v>
      </c>
      <c r="E18" s="55">
        <v>252380</v>
      </c>
      <c r="F18" s="55">
        <v>66988</v>
      </c>
      <c r="G18" s="55">
        <v>113015</v>
      </c>
      <c r="H18" s="33">
        <v>55758</v>
      </c>
      <c r="I18" s="55">
        <v>65897</v>
      </c>
      <c r="J18" s="33">
        <v>21163</v>
      </c>
      <c r="K18" s="55">
        <v>1024</v>
      </c>
      <c r="L18" s="55">
        <v>17819</v>
      </c>
      <c r="M18" s="55">
        <v>25381</v>
      </c>
      <c r="N18" s="55">
        <v>7645</v>
      </c>
      <c r="O18" s="55">
        <v>1751</v>
      </c>
      <c r="P18" s="55">
        <v>27843</v>
      </c>
      <c r="Q18" s="33">
        <v>972</v>
      </c>
      <c r="R18" s="55">
        <v>6672</v>
      </c>
      <c r="U18" s="110"/>
    </row>
    <row r="19" spans="1:22" x14ac:dyDescent="0.25">
      <c r="A19" s="54">
        <v>44456</v>
      </c>
      <c r="B19" s="33">
        <v>183085</v>
      </c>
      <c r="C19" s="33">
        <v>145409</v>
      </c>
      <c r="D19" s="55">
        <v>221402</v>
      </c>
      <c r="E19" s="55">
        <v>252429</v>
      </c>
      <c r="F19" s="55">
        <v>66989</v>
      </c>
      <c r="G19" s="55">
        <v>113031</v>
      </c>
      <c r="H19" s="33">
        <v>55810</v>
      </c>
      <c r="I19" s="55">
        <v>65922</v>
      </c>
      <c r="J19" s="55">
        <v>21173</v>
      </c>
      <c r="K19" s="55">
        <v>1024</v>
      </c>
      <c r="L19" s="55">
        <v>17826</v>
      </c>
      <c r="M19" s="55">
        <v>25392</v>
      </c>
      <c r="N19" s="55">
        <v>7648</v>
      </c>
      <c r="O19" s="55">
        <v>1754</v>
      </c>
      <c r="P19" s="55">
        <v>27851</v>
      </c>
      <c r="Q19" s="33">
        <v>973</v>
      </c>
      <c r="R19" s="55">
        <v>6680</v>
      </c>
    </row>
    <row r="20" spans="1:22" x14ac:dyDescent="0.25">
      <c r="A20" s="54">
        <v>44457</v>
      </c>
      <c r="B20" s="33">
        <v>183300</v>
      </c>
      <c r="C20" s="56">
        <v>145498</v>
      </c>
      <c r="D20" s="10">
        <v>221519</v>
      </c>
      <c r="E20" s="55">
        <v>252482</v>
      </c>
      <c r="F20" s="55">
        <v>66989</v>
      </c>
      <c r="G20" s="55">
        <v>113048</v>
      </c>
      <c r="H20" s="33">
        <v>55849</v>
      </c>
      <c r="I20" s="55">
        <v>65952</v>
      </c>
      <c r="J20" s="55">
        <v>21183</v>
      </c>
      <c r="K20" s="55">
        <v>1024</v>
      </c>
      <c r="L20" s="55">
        <v>17832</v>
      </c>
      <c r="M20" s="55">
        <v>25404</v>
      </c>
      <c r="N20" s="55">
        <v>7653</v>
      </c>
      <c r="O20" s="55">
        <v>1755</v>
      </c>
      <c r="P20" s="55">
        <v>27866</v>
      </c>
      <c r="Q20" s="33">
        <v>978</v>
      </c>
      <c r="R20" s="55">
        <v>6685</v>
      </c>
    </row>
    <row r="21" spans="1:22" x14ac:dyDescent="0.25">
      <c r="A21" s="54">
        <v>44458</v>
      </c>
      <c r="B21" s="33">
        <v>183488</v>
      </c>
      <c r="C21" s="33">
        <v>146171</v>
      </c>
      <c r="D21" s="55">
        <v>221630</v>
      </c>
      <c r="E21" s="55">
        <v>252530</v>
      </c>
      <c r="F21" s="55">
        <v>66989</v>
      </c>
      <c r="G21" s="55">
        <v>113066</v>
      </c>
      <c r="H21" s="33">
        <v>55881</v>
      </c>
      <c r="I21" s="55">
        <v>65969</v>
      </c>
      <c r="J21" s="55">
        <v>21193</v>
      </c>
      <c r="K21" s="55">
        <v>1024</v>
      </c>
      <c r="L21" s="55">
        <v>17837</v>
      </c>
      <c r="M21" s="55">
        <v>25416</v>
      </c>
      <c r="N21" s="55">
        <v>7658</v>
      </c>
      <c r="O21" s="55">
        <v>1756</v>
      </c>
      <c r="P21" s="55">
        <v>27866</v>
      </c>
      <c r="Q21" s="33">
        <v>979</v>
      </c>
      <c r="R21" s="55">
        <v>6692</v>
      </c>
    </row>
    <row r="22" spans="1:22" x14ac:dyDescent="0.25">
      <c r="A22" s="54">
        <v>44459</v>
      </c>
      <c r="B22" s="33">
        <v>183790</v>
      </c>
      <c r="C22" s="56">
        <v>146467</v>
      </c>
      <c r="D22" s="55">
        <v>221736</v>
      </c>
      <c r="E22" s="55">
        <v>252581</v>
      </c>
      <c r="F22" s="55">
        <v>66990</v>
      </c>
      <c r="G22" s="55">
        <v>113084</v>
      </c>
      <c r="H22" s="33">
        <v>55939</v>
      </c>
      <c r="I22" s="55">
        <v>66000</v>
      </c>
      <c r="J22" s="55">
        <v>21204</v>
      </c>
      <c r="K22" s="55">
        <v>1024</v>
      </c>
      <c r="L22" s="55">
        <v>17844</v>
      </c>
      <c r="M22" s="55">
        <v>25430</v>
      </c>
      <c r="N22" s="55">
        <v>7661</v>
      </c>
      <c r="O22" s="55">
        <v>1756</v>
      </c>
      <c r="P22" s="55">
        <v>27882</v>
      </c>
      <c r="Q22" s="33">
        <v>983</v>
      </c>
      <c r="R22" s="55">
        <v>6699</v>
      </c>
    </row>
    <row r="23" spans="1:22" x14ac:dyDescent="0.25">
      <c r="A23" s="54">
        <v>44460</v>
      </c>
      <c r="B23" s="33">
        <v>183908</v>
      </c>
      <c r="C23" s="33">
        <v>146556</v>
      </c>
      <c r="D23" s="55">
        <v>221839</v>
      </c>
      <c r="E23" s="55">
        <v>252633</v>
      </c>
      <c r="F23" s="55">
        <v>66990</v>
      </c>
      <c r="G23" s="55">
        <v>113103</v>
      </c>
      <c r="H23" s="33">
        <v>55983</v>
      </c>
      <c r="I23" s="55">
        <v>66033</v>
      </c>
      <c r="J23" s="55">
        <v>21214</v>
      </c>
      <c r="K23" s="55">
        <v>1024</v>
      </c>
      <c r="L23" s="55">
        <v>17851</v>
      </c>
      <c r="M23" s="55">
        <v>25442</v>
      </c>
      <c r="N23" s="55">
        <v>7667</v>
      </c>
      <c r="O23" s="55">
        <v>1757</v>
      </c>
      <c r="P23" s="55">
        <v>27897</v>
      </c>
      <c r="Q23" s="33">
        <v>987</v>
      </c>
      <c r="R23" s="55">
        <v>6708</v>
      </c>
      <c r="S23" s="10" t="s">
        <v>128</v>
      </c>
    </row>
    <row r="24" spans="1:22" x14ac:dyDescent="0.25">
      <c r="A24" s="54">
        <v>44461</v>
      </c>
      <c r="B24" s="33">
        <v>184168</v>
      </c>
      <c r="C24" s="56">
        <v>146654</v>
      </c>
      <c r="D24" s="55">
        <v>221958</v>
      </c>
      <c r="E24" s="55">
        <v>252684</v>
      </c>
      <c r="F24" s="55">
        <v>66991</v>
      </c>
      <c r="G24" s="55">
        <v>113119</v>
      </c>
      <c r="H24" s="33">
        <v>56027</v>
      </c>
      <c r="I24" s="55">
        <v>66068</v>
      </c>
      <c r="J24" s="55">
        <v>21224</v>
      </c>
      <c r="K24" s="55">
        <v>1024</v>
      </c>
      <c r="L24" s="55">
        <v>17858</v>
      </c>
      <c r="M24" s="55">
        <v>25455</v>
      </c>
      <c r="N24" s="55">
        <v>7670</v>
      </c>
      <c r="O24" s="55">
        <v>1758</v>
      </c>
      <c r="P24" s="55">
        <v>27911</v>
      </c>
      <c r="Q24" s="33">
        <v>991</v>
      </c>
      <c r="R24" s="55">
        <v>6713</v>
      </c>
    </row>
    <row r="25" spans="1:22" x14ac:dyDescent="0.25">
      <c r="A25" s="54">
        <v>44462</v>
      </c>
      <c r="B25" s="33">
        <v>184477</v>
      </c>
      <c r="C25" s="33">
        <v>146844</v>
      </c>
      <c r="D25" s="55">
        <v>222089</v>
      </c>
      <c r="E25" s="55">
        <v>252737</v>
      </c>
      <c r="F25" s="55">
        <v>66991</v>
      </c>
      <c r="G25" s="55">
        <v>113137</v>
      </c>
      <c r="H25" s="33">
        <v>56082</v>
      </c>
      <c r="I25" s="55">
        <v>66101</v>
      </c>
      <c r="J25" s="55">
        <v>21224</v>
      </c>
      <c r="K25" s="55">
        <v>1024</v>
      </c>
      <c r="L25" s="55">
        <v>17864</v>
      </c>
      <c r="M25" s="55">
        <v>25471</v>
      </c>
      <c r="N25" s="55">
        <v>7675</v>
      </c>
      <c r="O25" s="55">
        <v>1759</v>
      </c>
      <c r="P25" s="55">
        <v>27927</v>
      </c>
      <c r="Q25" s="33">
        <v>993</v>
      </c>
      <c r="R25" s="55">
        <v>6721</v>
      </c>
    </row>
    <row r="26" spans="1:22" x14ac:dyDescent="0.25">
      <c r="A26" s="54">
        <v>44463</v>
      </c>
      <c r="B26" s="33">
        <v>184631</v>
      </c>
      <c r="C26" s="56">
        <v>147030</v>
      </c>
      <c r="D26" s="55">
        <v>222222</v>
      </c>
      <c r="E26" s="55">
        <v>252790</v>
      </c>
      <c r="F26" s="55">
        <v>66991</v>
      </c>
      <c r="G26" s="55">
        <v>113155</v>
      </c>
      <c r="H26" s="33">
        <v>56113</v>
      </c>
      <c r="I26" s="55">
        <v>66132</v>
      </c>
      <c r="J26" s="55">
        <v>21244</v>
      </c>
      <c r="K26" s="55">
        <v>1024</v>
      </c>
      <c r="L26" s="55">
        <v>17870</v>
      </c>
      <c r="M26" s="55">
        <v>25484</v>
      </c>
      <c r="N26" s="55">
        <v>7678</v>
      </c>
      <c r="O26" s="55">
        <v>1761</v>
      </c>
      <c r="P26" s="55">
        <v>27942</v>
      </c>
      <c r="Q26" s="33">
        <v>994</v>
      </c>
      <c r="R26" s="55">
        <v>6727</v>
      </c>
    </row>
    <row r="27" spans="1:22" x14ac:dyDescent="0.25">
      <c r="A27" s="54">
        <v>44464</v>
      </c>
      <c r="B27" s="33">
        <v>185456</v>
      </c>
      <c r="C27" s="33">
        <v>147210</v>
      </c>
      <c r="D27" s="55">
        <v>222332</v>
      </c>
      <c r="E27" s="55">
        <v>252842</v>
      </c>
      <c r="F27" s="55">
        <v>66991</v>
      </c>
      <c r="G27" s="55">
        <v>113173</v>
      </c>
      <c r="H27" s="33">
        <v>56163</v>
      </c>
      <c r="I27" s="55">
        <v>66174</v>
      </c>
      <c r="J27" s="55">
        <v>21254</v>
      </c>
      <c r="K27" s="55">
        <v>1024</v>
      </c>
      <c r="L27" s="55">
        <v>17877</v>
      </c>
      <c r="M27" s="55">
        <v>25496</v>
      </c>
      <c r="N27" s="55">
        <v>7685</v>
      </c>
      <c r="O27" s="55">
        <v>1762</v>
      </c>
      <c r="P27" s="55">
        <v>27959</v>
      </c>
      <c r="Q27" s="33">
        <v>998</v>
      </c>
      <c r="R27" s="55">
        <v>6728</v>
      </c>
    </row>
    <row r="28" spans="1:22" x14ac:dyDescent="0.25">
      <c r="A28" s="54">
        <v>44465</v>
      </c>
      <c r="B28" s="33">
        <v>185586</v>
      </c>
      <c r="C28" s="56">
        <v>147506</v>
      </c>
      <c r="D28" s="55">
        <v>222538</v>
      </c>
      <c r="E28" s="55">
        <v>252900</v>
      </c>
      <c r="F28" s="55">
        <v>66992</v>
      </c>
      <c r="G28" s="55">
        <v>113192</v>
      </c>
      <c r="H28" s="33">
        <v>56210</v>
      </c>
      <c r="I28" s="55">
        <v>66195</v>
      </c>
      <c r="J28" s="55">
        <v>21264</v>
      </c>
      <c r="K28" s="55">
        <v>1024</v>
      </c>
      <c r="L28" s="55">
        <v>17880</v>
      </c>
      <c r="M28" s="55">
        <v>25508</v>
      </c>
      <c r="N28" s="55">
        <v>7686</v>
      </c>
      <c r="O28" s="55">
        <v>1763</v>
      </c>
      <c r="P28" s="55">
        <v>27959</v>
      </c>
      <c r="Q28" s="33">
        <v>1000</v>
      </c>
      <c r="R28" s="55">
        <v>6735</v>
      </c>
    </row>
    <row r="29" spans="1:22" x14ac:dyDescent="0.25">
      <c r="A29" s="54">
        <v>44466</v>
      </c>
      <c r="B29" s="33">
        <v>185714</v>
      </c>
      <c r="C29" s="33">
        <v>147680</v>
      </c>
      <c r="D29" s="55">
        <v>222635</v>
      </c>
      <c r="E29" s="55">
        <v>252947</v>
      </c>
      <c r="F29" s="55">
        <v>66994</v>
      </c>
      <c r="G29" s="55">
        <v>113208</v>
      </c>
      <c r="H29" s="33">
        <v>56239</v>
      </c>
      <c r="I29" s="10">
        <v>66228</v>
      </c>
      <c r="J29" s="55">
        <v>21274</v>
      </c>
      <c r="K29" s="55">
        <v>1024</v>
      </c>
      <c r="L29" s="55">
        <v>17889</v>
      </c>
      <c r="M29" s="55">
        <v>25520</v>
      </c>
      <c r="N29" s="55">
        <v>7690</v>
      </c>
      <c r="O29" s="55">
        <v>1764</v>
      </c>
      <c r="P29" s="55">
        <v>27977</v>
      </c>
      <c r="Q29" s="55">
        <v>1001</v>
      </c>
      <c r="R29" s="55">
        <v>6740</v>
      </c>
    </row>
    <row r="30" spans="1:22" x14ac:dyDescent="0.25">
      <c r="A30" s="54">
        <v>44467</v>
      </c>
      <c r="B30" s="33">
        <v>185817</v>
      </c>
      <c r="C30" s="56">
        <v>147773</v>
      </c>
      <c r="D30" s="55">
        <v>222759</v>
      </c>
      <c r="E30" s="55">
        <v>252999</v>
      </c>
      <c r="F30" s="55">
        <v>66995</v>
      </c>
      <c r="G30" s="55">
        <v>113227</v>
      </c>
      <c r="H30" s="33">
        <v>56264</v>
      </c>
      <c r="I30" s="55">
        <v>66265</v>
      </c>
      <c r="J30" s="55">
        <v>21283</v>
      </c>
      <c r="K30" s="55">
        <v>1024</v>
      </c>
      <c r="L30" s="55">
        <v>17900</v>
      </c>
      <c r="M30" s="55">
        <v>25533</v>
      </c>
      <c r="N30" s="55">
        <v>7693</v>
      </c>
      <c r="O30" s="55">
        <v>1765</v>
      </c>
      <c r="P30" s="55">
        <v>27985</v>
      </c>
      <c r="Q30" s="55">
        <v>1004</v>
      </c>
      <c r="R30" s="55">
        <v>6745</v>
      </c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3" sqref="C1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31</v>
      </c>
      <c r="B2" s="140" t="s">
        <v>108</v>
      </c>
      <c r="C2" s="140" t="s">
        <v>109</v>
      </c>
      <c r="D2" s="140"/>
      <c r="E2" s="141" t="s">
        <v>97</v>
      </c>
      <c r="F2" s="138"/>
      <c r="G2" s="135" t="s">
        <v>112</v>
      </c>
      <c r="H2" s="138"/>
      <c r="I2" s="135" t="s">
        <v>110</v>
      </c>
      <c r="J2" s="138"/>
      <c r="K2" s="135" t="s">
        <v>111</v>
      </c>
      <c r="L2" s="138"/>
      <c r="M2" s="135" t="s">
        <v>107</v>
      </c>
      <c r="N2" s="138"/>
      <c r="O2" s="135" t="s">
        <v>106</v>
      </c>
      <c r="P2" s="138"/>
      <c r="Q2" s="135" t="s">
        <v>113</v>
      </c>
      <c r="R2" s="138"/>
      <c r="S2" s="135" t="s">
        <v>114</v>
      </c>
      <c r="T2" s="138"/>
      <c r="U2" s="135" t="s">
        <v>115</v>
      </c>
      <c r="V2" s="138"/>
      <c r="W2" s="135" t="s">
        <v>99</v>
      </c>
      <c r="X2" s="136"/>
      <c r="Y2" s="137" t="s">
        <v>52</v>
      </c>
      <c r="Z2" s="137"/>
    </row>
    <row r="3" spans="1:26" ht="30" x14ac:dyDescent="0.35">
      <c r="A3" s="139"/>
      <c r="B3" s="140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243</v>
      </c>
      <c r="C9" s="66">
        <f>('Water Reading'!B9-'Water Reading'!B8)+('Water Reading'!C9-'Water Reading'!C8)</f>
        <v>222</v>
      </c>
      <c r="D9" s="67">
        <f t="shared" si="2"/>
        <v>0.9135802469135802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1.131687242798354</v>
      </c>
    </row>
    <row r="10" spans="1:26" x14ac:dyDescent="0.25">
      <c r="A10" s="8">
        <f>'Water Reading'!A9</f>
        <v>44446</v>
      </c>
      <c r="B10" s="65">
        <f>TOTAL!I8</f>
        <v>229</v>
      </c>
      <c r="C10" s="66">
        <f>('Water Reading'!B10-'Water Reading'!B9)+('Water Reading'!C10-'Water Reading'!C9)</f>
        <v>398</v>
      </c>
      <c r="D10" s="67">
        <f t="shared" si="2"/>
        <v>1.7379912663755459</v>
      </c>
      <c r="E10" s="88">
        <f>'Water Reading'!H10-'Water Reading'!H9</f>
        <v>15</v>
      </c>
      <c r="F10" s="89">
        <f t="shared" si="3"/>
        <v>3.7688442211055273E-2</v>
      </c>
      <c r="G10" s="93">
        <f>('Water Reading'!D10-'Water Reading'!D9)-('Water Reading'!R10-'Water Reading'!R9)-('Water Reading'!Q10-'Water Reading'!Q9)</f>
        <v>113</v>
      </c>
      <c r="H10" s="89">
        <f t="shared" si="4"/>
        <v>0.28391959798994976</v>
      </c>
      <c r="I10" s="90">
        <f>'Water Reading'!P10-'Water Reading'!P9</f>
        <v>16</v>
      </c>
      <c r="J10" s="68">
        <f t="shared" si="5"/>
        <v>4.0201005025125629E-2</v>
      </c>
      <c r="K10" s="91">
        <f>('Water Reading'!I10-'Water Reading'!I9)-('Water Reading'!P10-'Water Reading'!P9)</f>
        <v>15</v>
      </c>
      <c r="L10" s="68">
        <f t="shared" si="6"/>
        <v>3.7688442211055273E-2</v>
      </c>
      <c r="M10" s="90">
        <f>'Water Reading'!R10-'Water Reading'!R9</f>
        <v>4</v>
      </c>
      <c r="N10" s="92">
        <f t="shared" si="7"/>
        <v>1.0050251256281407E-2</v>
      </c>
      <c r="O10" s="90">
        <f>'Water Reading'!Q10-'Water Reading'!Q9</f>
        <v>5</v>
      </c>
      <c r="P10" s="99">
        <f t="shared" si="8"/>
        <v>1.2562814070351759E-2</v>
      </c>
      <c r="Q10" s="91">
        <f>'Water Reading'!F10-'Water Reading'!F9</f>
        <v>1</v>
      </c>
      <c r="R10" s="100">
        <f t="shared" si="9"/>
        <v>2.5125628140703518E-3</v>
      </c>
      <c r="S10" s="90">
        <f>'Water Reading'!E10-'Water Reading'!E9</f>
        <v>56</v>
      </c>
      <c r="T10" s="100">
        <f t="shared" si="10"/>
        <v>0.1407035175879397</v>
      </c>
      <c r="U10" s="90">
        <f>'Water Reading'!G10-'Water Reading'!G9</f>
        <v>17</v>
      </c>
      <c r="V10" s="100">
        <f t="shared" si="11"/>
        <v>4.2713567839195977E-2</v>
      </c>
      <c r="W10" s="90">
        <f>'Water Reading'!J10-'Water Reading'!J9</f>
        <v>10</v>
      </c>
      <c r="X10" s="100">
        <f t="shared" si="12"/>
        <v>2.5125628140703519E-2</v>
      </c>
      <c r="Y10" s="66">
        <f t="shared" si="0"/>
        <v>252</v>
      </c>
      <c r="Z10" s="67">
        <f t="shared" si="1"/>
        <v>1.1004366812227073</v>
      </c>
    </row>
    <row r="11" spans="1:26" x14ac:dyDescent="0.25">
      <c r="A11" s="8">
        <f>'Water Reading'!A10</f>
        <v>44447</v>
      </c>
      <c r="B11" s="65">
        <f>TOTAL!I9</f>
        <v>232</v>
      </c>
      <c r="C11" s="66">
        <f>('Water Reading'!B11-'Water Reading'!B10)+('Water Reading'!C11-'Water Reading'!C10)</f>
        <v>272</v>
      </c>
      <c r="D11" s="67">
        <f t="shared" si="2"/>
        <v>1.1724137931034482</v>
      </c>
      <c r="E11" s="88">
        <f>'Water Reading'!H11-'Water Reading'!H10</f>
        <v>20</v>
      </c>
      <c r="F11" s="89">
        <f t="shared" si="3"/>
        <v>7.3529411764705885E-2</v>
      </c>
      <c r="G11" s="93">
        <f>('Water Reading'!D11-'Water Reading'!D10)-('Water Reading'!R11-'Water Reading'!R10)-('Water Reading'!Q11-'Water Reading'!Q10)</f>
        <v>76</v>
      </c>
      <c r="H11" s="89">
        <f t="shared" si="4"/>
        <v>0.27941176470588236</v>
      </c>
      <c r="I11" s="90">
        <f>'Water Reading'!P11-'Water Reading'!P10</f>
        <v>15</v>
      </c>
      <c r="J11" s="68">
        <f t="shared" si="5"/>
        <v>5.514705882352941E-2</v>
      </c>
      <c r="K11" s="91">
        <f>('Water Reading'!I11-'Water Reading'!I10)-('Water Reading'!P11-'Water Reading'!P10)</f>
        <v>22</v>
      </c>
      <c r="L11" s="68">
        <f t="shared" si="6"/>
        <v>8.0882352941176475E-2</v>
      </c>
      <c r="M11" s="90">
        <f>'Water Reading'!R11-'Water Reading'!R10</f>
        <v>4</v>
      </c>
      <c r="N11" s="92">
        <f t="shared" si="7"/>
        <v>1.4705882352941176E-2</v>
      </c>
      <c r="O11" s="98">
        <f>'Water Reading'!Q11-'Water Reading'!Q10</f>
        <v>8</v>
      </c>
      <c r="P11" s="99">
        <f t="shared" si="8"/>
        <v>2.9411764705882353E-2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0.21323529411764705</v>
      </c>
      <c r="U11" s="90">
        <f>'Water Reading'!G11-'Water Reading'!G10</f>
        <v>17</v>
      </c>
      <c r="V11" s="100">
        <f t="shared" si="11"/>
        <v>6.25E-2</v>
      </c>
      <c r="W11" s="90">
        <f>'Water Reading'!J11-'Water Reading'!J10</f>
        <v>10</v>
      </c>
      <c r="X11" s="100">
        <f t="shared" si="12"/>
        <v>3.6764705882352942E-2</v>
      </c>
      <c r="Y11" s="66">
        <f t="shared" si="0"/>
        <v>230</v>
      </c>
      <c r="Z11" s="67">
        <f t="shared" si="1"/>
        <v>0.99137931034482762</v>
      </c>
    </row>
    <row r="12" spans="1:26" x14ac:dyDescent="0.25">
      <c r="A12" s="8">
        <f>'Water Reading'!A11</f>
        <v>44448</v>
      </c>
      <c r="B12" s="65">
        <f>TOTAL!I10</f>
        <v>334</v>
      </c>
      <c r="C12" s="66">
        <v>250</v>
      </c>
      <c r="D12" s="67">
        <f t="shared" si="2"/>
        <v>0.74850299401197606</v>
      </c>
      <c r="E12" s="88">
        <f>'Water Reading'!H12-'Water Reading'!H11</f>
        <v>25</v>
      </c>
      <c r="F12" s="89">
        <f t="shared" si="3"/>
        <v>0.1</v>
      </c>
      <c r="G12" s="93">
        <f>('Water Reading'!D12-'Water Reading'!D11)-('Water Reading'!R12-'Water Reading'!R11)-('Water Reading'!Q12-'Water Reading'!Q11)</f>
        <v>81</v>
      </c>
      <c r="H12" s="89">
        <f t="shared" si="4"/>
        <v>0.32400000000000001</v>
      </c>
      <c r="I12" s="90">
        <f>'Water Reading'!P12-'Water Reading'!P11</f>
        <v>16</v>
      </c>
      <c r="J12" s="68">
        <f t="shared" si="5"/>
        <v>6.4000000000000001E-2</v>
      </c>
      <c r="K12" s="91">
        <f>('Water Reading'!I12-'Water Reading'!I11)-('Water Reading'!P12-'Water Reading'!P11)</f>
        <v>16</v>
      </c>
      <c r="L12" s="68">
        <f t="shared" si="6"/>
        <v>6.4000000000000001E-2</v>
      </c>
      <c r="M12" s="90">
        <f>'Water Reading'!R12-'Water Reading'!R11</f>
        <v>6</v>
      </c>
      <c r="N12" s="92">
        <f t="shared" si="7"/>
        <v>2.4E-2</v>
      </c>
      <c r="O12" s="98">
        <f>'Water Reading'!Q12-'Water Reading'!Q11</f>
        <v>2</v>
      </c>
      <c r="P12" s="99">
        <f t="shared" si="8"/>
        <v>8.0000000000000002E-3</v>
      </c>
      <c r="Q12" s="91">
        <f>'Water Reading'!F12-'Water Reading'!F11</f>
        <v>1</v>
      </c>
      <c r="R12" s="100">
        <f t="shared" si="9"/>
        <v>4.0000000000000001E-3</v>
      </c>
      <c r="S12" s="90">
        <f>'Water Reading'!E12-'Water Reading'!E11</f>
        <v>55</v>
      </c>
      <c r="T12" s="100">
        <f t="shared" si="10"/>
        <v>0.22</v>
      </c>
      <c r="U12" s="90">
        <f>'Water Reading'!G12-'Water Reading'!G11</f>
        <v>15</v>
      </c>
      <c r="V12" s="100">
        <f t="shared" si="11"/>
        <v>0.06</v>
      </c>
      <c r="W12" s="90">
        <f>'Water Reading'!J12-'Water Reading'!J11</f>
        <v>11</v>
      </c>
      <c r="X12" s="100">
        <f t="shared" si="12"/>
        <v>4.3999999999999997E-2</v>
      </c>
      <c r="Y12" s="66">
        <f t="shared" si="0"/>
        <v>228</v>
      </c>
      <c r="Z12" s="67">
        <f t="shared" si="1"/>
        <v>0.68263473053892221</v>
      </c>
    </row>
    <row r="13" spans="1:26" x14ac:dyDescent="0.25">
      <c r="A13" s="8">
        <f>'Water Reading'!A12</f>
        <v>44449</v>
      </c>
      <c r="B13" s="65">
        <f>TOTAL!I11</f>
        <v>226</v>
      </c>
      <c r="C13" s="66">
        <f>('Water Reading'!B13-'Water Reading'!B12)+('Water Reading'!C13-'Water Reading'!C12)</f>
        <v>201</v>
      </c>
      <c r="D13" s="67">
        <f t="shared" si="2"/>
        <v>0.88938053097345138</v>
      </c>
      <c r="E13" s="87">
        <f>'Water Reading'!H13-'Water Reading'!H12</f>
        <v>44</v>
      </c>
      <c r="F13" s="89">
        <f t="shared" si="3"/>
        <v>0.21890547263681592</v>
      </c>
      <c r="G13" s="93">
        <f>('Water Reading'!D13-'Water Reading'!D12)-('Water Reading'!R13-'Water Reading'!R12)-('Water Reading'!Q13-'Water Reading'!Q12)</f>
        <v>97</v>
      </c>
      <c r="H13" s="89">
        <f t="shared" si="4"/>
        <v>0.48258706467661694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9.4527363184079602E-2</v>
      </c>
      <c r="M13" s="90">
        <f>'Water Reading'!R13-'Water Reading'!R12</f>
        <v>3</v>
      </c>
      <c r="N13" s="92">
        <f t="shared" si="7"/>
        <v>1.4925373134328358E-2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57</v>
      </c>
      <c r="T13" s="100">
        <f t="shared" si="10"/>
        <v>0.28358208955223879</v>
      </c>
      <c r="U13" s="90">
        <f>'Water Reading'!G13-'Water Reading'!G12</f>
        <v>19</v>
      </c>
      <c r="V13" s="100">
        <f t="shared" si="11"/>
        <v>9.4527363184079602E-2</v>
      </c>
      <c r="W13" s="90">
        <f>'Water Reading'!J13-'Water Reading'!J12</f>
        <v>11</v>
      </c>
      <c r="X13" s="100">
        <f t="shared" si="12"/>
        <v>5.4726368159203981E-2</v>
      </c>
      <c r="Y13" s="66">
        <f t="shared" si="0"/>
        <v>250</v>
      </c>
      <c r="Z13" s="67">
        <f t="shared" si="1"/>
        <v>1.1061946902654867</v>
      </c>
    </row>
    <row r="14" spans="1:26" x14ac:dyDescent="0.25">
      <c r="A14" s="8">
        <f>'Water Reading'!A13</f>
        <v>44450</v>
      </c>
      <c r="B14" s="65">
        <f>TOTAL!I12</f>
        <v>231</v>
      </c>
      <c r="C14" s="66">
        <f>('Water Reading'!B14-'Water Reading'!B13)+('Water Reading'!C14-'Water Reading'!C13)</f>
        <v>137</v>
      </c>
      <c r="D14" s="67">
        <f t="shared" si="2"/>
        <v>0.59307359307359309</v>
      </c>
      <c r="E14" s="88">
        <f>'Water Reading'!H14-'Water Reading'!H13</f>
        <v>48</v>
      </c>
      <c r="F14" s="89">
        <f t="shared" si="3"/>
        <v>0.35036496350364965</v>
      </c>
      <c r="G14" s="93">
        <f>('Water Reading'!D14-'Water Reading'!D13)-('Water Reading'!R14-'Water Reading'!R13)-('Water Reading'!Q14-'Water Reading'!Q13)</f>
        <v>83</v>
      </c>
      <c r="H14" s="89">
        <f t="shared" si="4"/>
        <v>0.6058394160583942</v>
      </c>
      <c r="I14" s="90">
        <f>'Water Reading'!P14-'Water Reading'!P13</f>
        <v>11</v>
      </c>
      <c r="J14" s="68">
        <f t="shared" si="5"/>
        <v>8.0291970802919707E-2</v>
      </c>
      <c r="K14" s="91">
        <f>('Water Reading'!I14-'Water Reading'!I13)-('Water Reading'!P14-'Water Reading'!P13)</f>
        <v>23</v>
      </c>
      <c r="L14" s="68">
        <f t="shared" si="6"/>
        <v>0.16788321167883211</v>
      </c>
      <c r="M14" s="90">
        <f>'Water Reading'!R14-'Water Reading'!R13</f>
        <v>5</v>
      </c>
      <c r="N14" s="92">
        <f t="shared" si="7"/>
        <v>3.6496350364963501E-2</v>
      </c>
      <c r="O14" s="90">
        <f>'Water Reading'!Q14-'Water Reading'!Q13</f>
        <v>7</v>
      </c>
      <c r="P14" s="99">
        <f t="shared" si="8"/>
        <v>5.1094890510948905E-2</v>
      </c>
      <c r="Q14" s="91">
        <f>'Water Reading'!F14-'Water Reading'!F13</f>
        <v>1</v>
      </c>
      <c r="R14" s="100">
        <f t="shared" si="9"/>
        <v>7.2992700729927005E-3</v>
      </c>
      <c r="S14" s="94">
        <f>'Water Reading'!E14-'Water Reading'!E13</f>
        <v>61</v>
      </c>
      <c r="T14" s="100">
        <f t="shared" si="10"/>
        <v>0.44525547445255476</v>
      </c>
      <c r="U14" s="90">
        <f>'Water Reading'!G14-'Water Reading'!G13</f>
        <v>15</v>
      </c>
      <c r="V14" s="100">
        <f t="shared" si="11"/>
        <v>0.10948905109489052</v>
      </c>
      <c r="W14" s="90">
        <f>'Water Reading'!J14-'Water Reading'!J13</f>
        <v>10</v>
      </c>
      <c r="X14" s="100">
        <f t="shared" si="12"/>
        <v>7.2992700729927001E-2</v>
      </c>
      <c r="Y14" s="66">
        <f t="shared" si="0"/>
        <v>264</v>
      </c>
      <c r="Z14" s="67">
        <f t="shared" si="1"/>
        <v>1.1428571428571428</v>
      </c>
    </row>
    <row r="15" spans="1:26" x14ac:dyDescent="0.25">
      <c r="A15" s="8">
        <f>'Water Reading'!A14</f>
        <v>44451</v>
      </c>
      <c r="B15" s="65">
        <f>TOTAL!I13</f>
        <v>244</v>
      </c>
      <c r="C15" s="66">
        <f>('Water Reading'!B15-'Water Reading'!B14)+('Water Reading'!C15-'Water Reading'!C14)</f>
        <v>189</v>
      </c>
      <c r="D15" s="67">
        <f t="shared" si="2"/>
        <v>0.77459016393442626</v>
      </c>
      <c r="E15" s="87">
        <f>'Water Reading'!H15-'Water Reading'!H14</f>
        <v>38</v>
      </c>
      <c r="F15" s="89">
        <f t="shared" si="3"/>
        <v>0.20105820105820105</v>
      </c>
      <c r="G15" s="93">
        <f>('Water Reading'!D15-'Water Reading'!D14)-('Water Reading'!R15-'Water Reading'!R14)-('Water Reading'!Q15-'Water Reading'!Q14)</f>
        <v>103</v>
      </c>
      <c r="H15" s="89">
        <f t="shared" si="4"/>
        <v>0.544973544973545</v>
      </c>
      <c r="I15" s="90">
        <f>'Water Reading'!P15-'Water Reading'!P14</f>
        <v>19</v>
      </c>
      <c r="J15" s="68">
        <f t="shared" si="5"/>
        <v>0.10052910052910052</v>
      </c>
      <c r="K15" s="91">
        <f>('Water Reading'!I15-'Water Reading'!I14)-('Water Reading'!P15-'Water Reading'!P14)</f>
        <v>18</v>
      </c>
      <c r="L15" s="68">
        <f t="shared" si="6"/>
        <v>9.5238095238095233E-2</v>
      </c>
      <c r="M15" s="90">
        <f>'Water Reading'!R15-'Water Reading'!R14</f>
        <v>5</v>
      </c>
      <c r="N15" s="92">
        <f t="shared" si="7"/>
        <v>2.6455026455026454E-2</v>
      </c>
      <c r="O15" s="90">
        <f>'Water Reading'!Q15-'Water Reading'!Q14</f>
        <v>4</v>
      </c>
      <c r="P15" s="99">
        <f t="shared" si="8"/>
        <v>2.1164021164021163E-2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52</v>
      </c>
      <c r="T15" s="100">
        <f t="shared" si="10"/>
        <v>0.27513227513227512</v>
      </c>
      <c r="U15" s="90">
        <f>'Water Reading'!G15-'Water Reading'!G14</f>
        <v>18</v>
      </c>
      <c r="V15" s="100">
        <f t="shared" si="11"/>
        <v>9.5238095238095233E-2</v>
      </c>
      <c r="W15" s="90">
        <f>'Water Reading'!J15-'Water Reading'!J14</f>
        <v>11</v>
      </c>
      <c r="X15" s="100">
        <f t="shared" si="12"/>
        <v>5.8201058201058198E-2</v>
      </c>
      <c r="Y15" s="66">
        <f t="shared" si="0"/>
        <v>268</v>
      </c>
      <c r="Z15" s="67">
        <f t="shared" si="1"/>
        <v>1.098360655737705</v>
      </c>
    </row>
    <row r="16" spans="1:26" x14ac:dyDescent="0.25">
      <c r="A16" s="8">
        <f>'Water Reading'!A15</f>
        <v>44452</v>
      </c>
      <c r="B16" s="65">
        <f>TOTAL!I14</f>
        <v>224</v>
      </c>
      <c r="C16" s="66">
        <f>('Water Reading'!B16-'Water Reading'!B15)+('Water Reading'!C16-'Water Reading'!C15)</f>
        <v>279</v>
      </c>
      <c r="D16" s="67">
        <f t="shared" si="2"/>
        <v>1.2455357142857142</v>
      </c>
      <c r="E16" s="87">
        <f>'Water Reading'!H16-'Water Reading'!H15</f>
        <v>35</v>
      </c>
      <c r="F16" s="89">
        <f t="shared" si="3"/>
        <v>0.12544802867383512</v>
      </c>
      <c r="G16" s="93">
        <f>('Water Reading'!D16-'Water Reading'!D15)-('Water Reading'!R16-'Water Reading'!R15)-('Water Reading'!Q16-'Water Reading'!Q15)</f>
        <v>93</v>
      </c>
      <c r="H16" s="89">
        <f t="shared" si="4"/>
        <v>0.33333333333333331</v>
      </c>
      <c r="I16" s="90">
        <f>'Water Reading'!P16-'Water Reading'!P15</f>
        <v>13</v>
      </c>
      <c r="J16" s="68">
        <f t="shared" si="5"/>
        <v>4.6594982078853049E-2</v>
      </c>
      <c r="K16" s="91">
        <f>('Water Reading'!I16-'Water Reading'!I15)-('Water Reading'!P16-'Water Reading'!P15)</f>
        <v>21</v>
      </c>
      <c r="L16" s="68">
        <f t="shared" si="6"/>
        <v>7.5268817204301078E-2</v>
      </c>
      <c r="M16" s="90">
        <f>'Water Reading'!R16-'Water Reading'!R15</f>
        <v>6</v>
      </c>
      <c r="N16" s="92">
        <f t="shared" si="7"/>
        <v>2.1505376344086023E-2</v>
      </c>
      <c r="O16" s="90">
        <f>'Water Reading'!Q16-'Water Reading'!Q15</f>
        <v>4</v>
      </c>
      <c r="P16" s="99">
        <f t="shared" si="8"/>
        <v>1.4336917562724014E-2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60</v>
      </c>
      <c r="T16" s="100">
        <f t="shared" si="10"/>
        <v>0.21505376344086022</v>
      </c>
      <c r="U16" s="90">
        <f>'Water Reading'!G16-'Water Reading'!G15</f>
        <v>18</v>
      </c>
      <c r="V16" s="100">
        <f t="shared" si="11"/>
        <v>6.4516129032258063E-2</v>
      </c>
      <c r="W16" s="90">
        <f>'Water Reading'!J16-'Water Reading'!J15</f>
        <v>11</v>
      </c>
      <c r="X16" s="100">
        <f t="shared" si="12"/>
        <v>3.9426523297491037E-2</v>
      </c>
      <c r="Y16" s="66">
        <f t="shared" si="0"/>
        <v>261</v>
      </c>
      <c r="Z16" s="67">
        <f t="shared" si="1"/>
        <v>1.1651785714285714</v>
      </c>
    </row>
    <row r="17" spans="1:26" x14ac:dyDescent="0.25">
      <c r="A17" s="8">
        <f>'Water Reading'!A16</f>
        <v>44453</v>
      </c>
      <c r="B17" s="65">
        <f>TOTAL!I15</f>
        <v>235</v>
      </c>
      <c r="C17" s="66">
        <f>('Water Reading'!B17-'Water Reading'!B16)+('Water Reading'!C17-'Water Reading'!C16)</f>
        <v>847</v>
      </c>
      <c r="D17" s="67">
        <f t="shared" si="2"/>
        <v>3.6042553191489364</v>
      </c>
      <c r="E17" s="87">
        <f>'Water Reading'!H17-'Water Reading'!H16</f>
        <v>27</v>
      </c>
      <c r="F17" s="89">
        <f t="shared" si="3"/>
        <v>3.1877213695395513E-2</v>
      </c>
      <c r="G17" s="93">
        <f>('Water Reading'!D17-'Water Reading'!D16)-('Water Reading'!R17-'Water Reading'!R16)-('Water Reading'!Q17-'Water Reading'!Q16)</f>
        <v>127</v>
      </c>
      <c r="H17" s="89">
        <f t="shared" si="4"/>
        <v>0.14994096812278632</v>
      </c>
      <c r="I17" s="90">
        <f>'Water Reading'!P17-'Water Reading'!P16</f>
        <v>13</v>
      </c>
      <c r="J17" s="68">
        <f t="shared" si="5"/>
        <v>1.5348288075560802E-2</v>
      </c>
      <c r="K17" s="91">
        <f>('Water Reading'!I17-'Water Reading'!I16)-('Water Reading'!P17-'Water Reading'!P16)</f>
        <v>17</v>
      </c>
      <c r="L17" s="68">
        <f t="shared" si="6"/>
        <v>2.0070838252656435E-2</v>
      </c>
      <c r="M17" s="90">
        <f>'Water Reading'!R17-'Water Reading'!R16</f>
        <v>7</v>
      </c>
      <c r="N17" s="92">
        <f t="shared" si="7"/>
        <v>8.2644628099173556E-3</v>
      </c>
      <c r="O17" s="90">
        <f>'Water Reading'!Q17-'Water Reading'!Q16</f>
        <v>2</v>
      </c>
      <c r="P17" s="99">
        <f t="shared" si="8"/>
        <v>2.3612750885478157E-3</v>
      </c>
      <c r="Q17" s="91">
        <f>'Water Reading'!F17-'Water Reading'!F16</f>
        <v>1</v>
      </c>
      <c r="R17" s="100">
        <f t="shared" si="9"/>
        <v>1.1806375442739079E-3</v>
      </c>
      <c r="S17" s="94">
        <f>'Water Reading'!E17-'Water Reading'!E16</f>
        <v>57</v>
      </c>
      <c r="T17" s="100">
        <f t="shared" si="10"/>
        <v>6.7296340023612747E-2</v>
      </c>
      <c r="U17" s="90">
        <f>'Water Reading'!G17-'Water Reading'!G16</f>
        <v>16</v>
      </c>
      <c r="V17" s="100">
        <f t="shared" si="11"/>
        <v>1.8890200708382526E-2</v>
      </c>
      <c r="W17" s="90">
        <f>'Water Reading'!J17-'Water Reading'!J16</f>
        <v>10</v>
      </c>
      <c r="X17" s="100">
        <f t="shared" si="12"/>
        <v>1.1806375442739079E-2</v>
      </c>
      <c r="Y17" s="66">
        <f t="shared" si="0"/>
        <v>277</v>
      </c>
      <c r="Z17" s="67">
        <f t="shared" si="1"/>
        <v>1.1787234042553192</v>
      </c>
    </row>
    <row r="18" spans="1:26" x14ac:dyDescent="0.25">
      <c r="A18" s="8">
        <f>'Water Reading'!A17</f>
        <v>44454</v>
      </c>
      <c r="B18" s="65">
        <f>TOTAL!I16</f>
        <v>287</v>
      </c>
      <c r="C18" s="66">
        <f>('Water Reading'!B18-'Water Reading'!B17)+('Water Reading'!C18-'Water Reading'!C17)</f>
        <v>449</v>
      </c>
      <c r="D18" s="67">
        <f t="shared" si="2"/>
        <v>1.5644599303135889</v>
      </c>
      <c r="E18" s="87">
        <f>'Water Reading'!H18-'Water Reading'!H17</f>
        <v>34</v>
      </c>
      <c r="F18" s="89">
        <f t="shared" si="3"/>
        <v>7.5723830734966593E-2</v>
      </c>
      <c r="G18" s="93">
        <f>('Water Reading'!D18-'Water Reading'!D17)-('Water Reading'!R18-'Water Reading'!R17)-('Water Reading'!Q18-'Water Reading'!Q17)</f>
        <v>162</v>
      </c>
      <c r="H18" s="89">
        <f t="shared" si="4"/>
        <v>0.36080178173719374</v>
      </c>
      <c r="I18" s="90">
        <f>'Water Reading'!P18-'Water Reading'!P17</f>
        <v>8</v>
      </c>
      <c r="J18" s="68">
        <f t="shared" si="5"/>
        <v>1.7817371937639197E-2</v>
      </c>
      <c r="K18" s="91">
        <f>('Water Reading'!I18-'Water Reading'!I17)-('Water Reading'!P18-'Water Reading'!P17)</f>
        <v>21</v>
      </c>
      <c r="L18" s="68">
        <f t="shared" si="6"/>
        <v>4.6770601336302897E-2</v>
      </c>
      <c r="M18" s="90">
        <f>'Water Reading'!R18-'Water Reading'!R17</f>
        <v>6</v>
      </c>
      <c r="N18" s="92">
        <f t="shared" si="7"/>
        <v>1.3363028953229399E-2</v>
      </c>
      <c r="O18" s="90">
        <f>'Water Reading'!Q18-'Water Reading'!Q17</f>
        <v>2</v>
      </c>
      <c r="P18" s="99">
        <f t="shared" si="8"/>
        <v>4.4543429844097994E-3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58</v>
      </c>
      <c r="T18" s="100">
        <f t="shared" si="10"/>
        <v>0.1291759465478842</v>
      </c>
      <c r="U18" s="90">
        <f>'Water Reading'!G18-'Water Reading'!G17</f>
        <v>16</v>
      </c>
      <c r="V18" s="100">
        <f t="shared" si="11"/>
        <v>3.5634743875278395E-2</v>
      </c>
      <c r="W18" s="90">
        <f>'Water Reading'!J18-'Water Reading'!J17</f>
        <v>11</v>
      </c>
      <c r="X18" s="100">
        <f t="shared" si="12"/>
        <v>2.4498886414253896E-2</v>
      </c>
      <c r="Y18" s="66">
        <f t="shared" si="0"/>
        <v>318</v>
      </c>
      <c r="Z18" s="67">
        <f t="shared" si="1"/>
        <v>1.10801393728223</v>
      </c>
    </row>
    <row r="19" spans="1:26" x14ac:dyDescent="0.25">
      <c r="A19" s="8">
        <f>'Water Reading'!A18</f>
        <v>44455</v>
      </c>
      <c r="B19" s="65">
        <f>TOTAL!I17</f>
        <v>273</v>
      </c>
      <c r="C19" s="66">
        <f>('Water Reading'!B19-'Water Reading'!B18)+('Water Reading'!C19-'Water Reading'!C18)</f>
        <v>361</v>
      </c>
      <c r="D19" s="67">
        <f t="shared" si="2"/>
        <v>1.3223443223443223</v>
      </c>
      <c r="E19" s="87">
        <f>'Water Reading'!H19-'Water Reading'!H18</f>
        <v>52</v>
      </c>
      <c r="F19" s="89">
        <f t="shared" si="3"/>
        <v>0.1440443213296399</v>
      </c>
      <c r="G19" s="93">
        <f>('Water Reading'!D19-'Water Reading'!D18)-('Water Reading'!R19-'Water Reading'!R18)-('Water Reading'!Q19-'Water Reading'!Q18)</f>
        <v>103</v>
      </c>
      <c r="H19" s="89">
        <f t="shared" si="4"/>
        <v>0.2853185595567867</v>
      </c>
      <c r="I19" s="90">
        <f>'Water Reading'!P19-'Water Reading'!P18</f>
        <v>8</v>
      </c>
      <c r="J19" s="68">
        <f t="shared" si="5"/>
        <v>2.2160664819944598E-2</v>
      </c>
      <c r="K19" s="91">
        <f>('Water Reading'!I19-'Water Reading'!I18)-('Water Reading'!P19-'Water Reading'!P18)</f>
        <v>17</v>
      </c>
      <c r="L19" s="68">
        <f t="shared" si="6"/>
        <v>4.7091412742382273E-2</v>
      </c>
      <c r="M19" s="90">
        <f>'Water Reading'!R19-'Water Reading'!R18</f>
        <v>8</v>
      </c>
      <c r="N19" s="92">
        <f t="shared" si="7"/>
        <v>2.2160664819944598E-2</v>
      </c>
      <c r="O19" s="90">
        <f>'Water Reading'!Q19-'Water Reading'!Q18</f>
        <v>1</v>
      </c>
      <c r="P19" s="99">
        <f t="shared" si="8"/>
        <v>2.7700831024930748E-3</v>
      </c>
      <c r="Q19" s="91">
        <f>'Water Reading'!F19-'Water Reading'!F18</f>
        <v>1</v>
      </c>
      <c r="R19" s="100">
        <f t="shared" si="9"/>
        <v>2.7700831024930748E-3</v>
      </c>
      <c r="S19" s="94">
        <f>'Water Reading'!E19-'Water Reading'!E18</f>
        <v>49</v>
      </c>
      <c r="T19" s="100">
        <f t="shared" si="10"/>
        <v>0.13573407202216067</v>
      </c>
      <c r="U19" s="90">
        <f>'Water Reading'!G19-'Water Reading'!G18</f>
        <v>16</v>
      </c>
      <c r="V19" s="100">
        <f t="shared" si="11"/>
        <v>4.4321329639889197E-2</v>
      </c>
      <c r="W19" s="90">
        <f>'Water Reading'!J19-'Water Reading'!J18</f>
        <v>10</v>
      </c>
      <c r="X19" s="100">
        <f t="shared" si="12"/>
        <v>2.7700831024930747E-2</v>
      </c>
      <c r="Y19" s="66">
        <f t="shared" si="0"/>
        <v>265</v>
      </c>
      <c r="Z19" s="67">
        <f t="shared" si="1"/>
        <v>0.97069597069597069</v>
      </c>
    </row>
    <row r="20" spans="1:26" x14ac:dyDescent="0.25">
      <c r="A20" s="8">
        <f>'Water Reading'!A19</f>
        <v>44456</v>
      </c>
      <c r="B20" s="65">
        <f>TOTAL!I18</f>
        <v>246</v>
      </c>
      <c r="C20" s="66">
        <f>('Water Reading'!B20-'Water Reading'!B19)+('Water Reading'!C20-'Water Reading'!C19)</f>
        <v>304</v>
      </c>
      <c r="D20" s="67">
        <f t="shared" si="2"/>
        <v>1.2357723577235773</v>
      </c>
      <c r="E20" s="87">
        <f>'Water Reading'!H20-'Water Reading'!H19</f>
        <v>39</v>
      </c>
      <c r="F20" s="89">
        <f t="shared" si="3"/>
        <v>0.12828947368421054</v>
      </c>
      <c r="G20" s="93">
        <f>('Water Reading'!D20-'Water Reading'!D19)-('Water Reading'!R20-'Water Reading'!R19)-('Water Reading'!Q20-'Water Reading'!Q19)</f>
        <v>107</v>
      </c>
      <c r="H20" s="89">
        <f t="shared" si="4"/>
        <v>0.35197368421052633</v>
      </c>
      <c r="I20" s="90">
        <f>'Water Reading'!P20-'Water Reading'!P19</f>
        <v>15</v>
      </c>
      <c r="J20" s="68">
        <f t="shared" si="5"/>
        <v>4.9342105263157895E-2</v>
      </c>
      <c r="K20" s="91">
        <f>('Water Reading'!I20-'Water Reading'!I19)-('Water Reading'!P20-'Water Reading'!P19)</f>
        <v>15</v>
      </c>
      <c r="L20" s="68">
        <f t="shared" si="6"/>
        <v>4.9342105263157895E-2</v>
      </c>
      <c r="M20" s="90">
        <f>'Water Reading'!R20-'Water Reading'!R19</f>
        <v>5</v>
      </c>
      <c r="N20" s="92">
        <f t="shared" si="7"/>
        <v>1.6447368421052631E-2</v>
      </c>
      <c r="O20" s="90">
        <f>'Water Reading'!Q20-'Water Reading'!Q19</f>
        <v>5</v>
      </c>
      <c r="P20" s="99">
        <f t="shared" si="8"/>
        <v>1.6447368421052631E-2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53</v>
      </c>
      <c r="T20" s="100">
        <f t="shared" si="10"/>
        <v>0.17434210526315788</v>
      </c>
      <c r="U20" s="90">
        <f>'Water Reading'!G20-'Water Reading'!G19</f>
        <v>17</v>
      </c>
      <c r="V20" s="100">
        <f t="shared" si="11"/>
        <v>5.5921052631578948E-2</v>
      </c>
      <c r="W20" s="90">
        <f>'Water Reading'!J20-'Water Reading'!J19</f>
        <v>10</v>
      </c>
      <c r="X20" s="100">
        <f t="shared" si="12"/>
        <v>3.2894736842105261E-2</v>
      </c>
      <c r="Y20" s="66">
        <f t="shared" si="0"/>
        <v>266</v>
      </c>
      <c r="Z20" s="67">
        <f t="shared" si="1"/>
        <v>1.0813008130081301</v>
      </c>
    </row>
    <row r="21" spans="1:26" x14ac:dyDescent="0.25">
      <c r="A21" s="8">
        <f>'Water Reading'!A20</f>
        <v>44457</v>
      </c>
      <c r="B21" s="65">
        <f>TOTAL!I19</f>
        <v>237</v>
      </c>
      <c r="C21" s="66">
        <f>('Water Reading'!B21-'Water Reading'!B20)+('Water Reading'!C21-'Water Reading'!C20)</f>
        <v>861</v>
      </c>
      <c r="D21" s="67">
        <f t="shared" si="2"/>
        <v>3.6329113924050631</v>
      </c>
      <c r="E21" s="87">
        <f>'Water Reading'!H21-'Water Reading'!H20</f>
        <v>32</v>
      </c>
      <c r="F21" s="89">
        <f t="shared" si="3"/>
        <v>3.7166085946573751E-2</v>
      </c>
      <c r="G21" s="93">
        <f>('Water Reading'!D21-'Water Reading'!D20)-('Water Reading'!R21-'Water Reading'!R20)-('Water Reading'!Q21-'Water Reading'!Q20)</f>
        <v>103</v>
      </c>
      <c r="H21" s="89">
        <f t="shared" si="4"/>
        <v>0.11962833914053426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17</v>
      </c>
      <c r="L21" s="68">
        <f t="shared" si="6"/>
        <v>1.9744483159117306E-2</v>
      </c>
      <c r="M21" s="90">
        <f>'Water Reading'!R21-'Water Reading'!R20</f>
        <v>7</v>
      </c>
      <c r="N21" s="92">
        <f t="shared" si="7"/>
        <v>8.130081300813009E-3</v>
      </c>
      <c r="O21" s="90">
        <f>'Water Reading'!Q21-'Water Reading'!Q20</f>
        <v>1</v>
      </c>
      <c r="P21" s="99">
        <f t="shared" si="8"/>
        <v>1.1614401858304297E-3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48</v>
      </c>
      <c r="T21" s="100">
        <f t="shared" si="10"/>
        <v>5.5749128919860627E-2</v>
      </c>
      <c r="U21" s="90">
        <f>'Water Reading'!G21-'Water Reading'!G20</f>
        <v>18</v>
      </c>
      <c r="V21" s="100">
        <f t="shared" si="11"/>
        <v>2.0905923344947737E-2</v>
      </c>
      <c r="W21" s="90">
        <f>'Water Reading'!J21-'Water Reading'!J20</f>
        <v>10</v>
      </c>
      <c r="X21" s="100">
        <f t="shared" si="12"/>
        <v>1.1614401858304297E-2</v>
      </c>
      <c r="Y21" s="66">
        <f t="shared" si="0"/>
        <v>236</v>
      </c>
      <c r="Z21" s="67">
        <f t="shared" si="1"/>
        <v>0.99578059071729963</v>
      </c>
    </row>
    <row r="22" spans="1:26" x14ac:dyDescent="0.25">
      <c r="A22" s="8">
        <f>'Water Reading'!A21</f>
        <v>44458</v>
      </c>
      <c r="B22" s="65">
        <f>TOTAL!I20</f>
        <v>206</v>
      </c>
      <c r="C22" s="66">
        <f>('Water Reading'!B22-'Water Reading'!B21)+('Water Reading'!C22-'Water Reading'!C21)</f>
        <v>598</v>
      </c>
      <c r="D22" s="67">
        <f t="shared" si="2"/>
        <v>2.9029126213592233</v>
      </c>
      <c r="E22" s="87">
        <f>'Water Reading'!H22-'Water Reading'!H21</f>
        <v>58</v>
      </c>
      <c r="F22" s="89">
        <f t="shared" si="3"/>
        <v>9.6989966555183951E-2</v>
      </c>
      <c r="G22" s="93">
        <f>('Water Reading'!D22-'Water Reading'!D21)-('Water Reading'!R22-'Water Reading'!R21)-('Water Reading'!Q22-'Water Reading'!Q21)</f>
        <v>95</v>
      </c>
      <c r="H22" s="89">
        <f t="shared" si="4"/>
        <v>0.15886287625418061</v>
      </c>
      <c r="I22" s="90">
        <f>'Water Reading'!P22-'Water Reading'!P21</f>
        <v>16</v>
      </c>
      <c r="J22" s="68">
        <f t="shared" si="5"/>
        <v>2.6755852842809364E-2</v>
      </c>
      <c r="K22" s="91">
        <f>('Water Reading'!I22-'Water Reading'!I21)-('Water Reading'!P22-'Water Reading'!P21)</f>
        <v>15</v>
      </c>
      <c r="L22" s="68">
        <f t="shared" si="6"/>
        <v>2.508361204013378E-2</v>
      </c>
      <c r="M22" s="90">
        <f>'Water Reading'!R22-'Water Reading'!R21</f>
        <v>7</v>
      </c>
      <c r="N22" s="92">
        <f t="shared" si="7"/>
        <v>1.1705685618729096E-2</v>
      </c>
      <c r="O22" s="90">
        <f>'Water Reading'!Q22-'Water Reading'!Q21</f>
        <v>4</v>
      </c>
      <c r="P22" s="99">
        <f t="shared" si="8"/>
        <v>6.688963210702341E-3</v>
      </c>
      <c r="Q22" s="91">
        <f>'Water Reading'!F22-'Water Reading'!F21</f>
        <v>1</v>
      </c>
      <c r="R22" s="100">
        <f t="shared" si="9"/>
        <v>1.6722408026755853E-3</v>
      </c>
      <c r="S22" s="94">
        <f>'Water Reading'!E22-'Water Reading'!E21</f>
        <v>51</v>
      </c>
      <c r="T22" s="100">
        <f t="shared" si="10"/>
        <v>8.5284280936454848E-2</v>
      </c>
      <c r="U22" s="90">
        <f>'Water Reading'!G22-'Water Reading'!G21</f>
        <v>18</v>
      </c>
      <c r="V22" s="100">
        <f t="shared" si="11"/>
        <v>3.0100334448160536E-2</v>
      </c>
      <c r="W22" s="90">
        <f>'Water Reading'!J22-'Water Reading'!J21</f>
        <v>11</v>
      </c>
      <c r="X22" s="100">
        <f t="shared" si="12"/>
        <v>1.839464882943144E-2</v>
      </c>
      <c r="Y22" s="66">
        <f t="shared" si="0"/>
        <v>276</v>
      </c>
      <c r="Z22" s="67">
        <f t="shared" si="1"/>
        <v>1.3398058252427185</v>
      </c>
    </row>
    <row r="23" spans="1:26" x14ac:dyDescent="0.25">
      <c r="A23" s="8">
        <f>'Water Reading'!A22</f>
        <v>44459</v>
      </c>
      <c r="B23" s="65">
        <f>TOTAL!I21</f>
        <v>271</v>
      </c>
      <c r="C23" s="66">
        <f>('Water Reading'!B23-'Water Reading'!B22)+('Water Reading'!C23-'Water Reading'!C22)</f>
        <v>207</v>
      </c>
      <c r="D23" s="67">
        <f t="shared" si="2"/>
        <v>0.76383763837638374</v>
      </c>
      <c r="E23" s="87">
        <f>'Water Reading'!H23-'Water Reading'!H22</f>
        <v>44</v>
      </c>
      <c r="F23" s="89">
        <f t="shared" si="3"/>
        <v>0.21256038647342995</v>
      </c>
      <c r="G23" s="93">
        <f>('Water Reading'!D23-'Water Reading'!D22)-('Water Reading'!R23-'Water Reading'!R22)-('Water Reading'!Q23-'Water Reading'!Q22)</f>
        <v>90</v>
      </c>
      <c r="H23" s="89">
        <f t="shared" si="4"/>
        <v>0.43478260869565216</v>
      </c>
      <c r="I23" s="90">
        <f>'Water Reading'!P23-'Water Reading'!P22</f>
        <v>15</v>
      </c>
      <c r="J23" s="68">
        <f t="shared" si="5"/>
        <v>7.2463768115942032E-2</v>
      </c>
      <c r="K23" s="91">
        <f>('Water Reading'!I23-'Water Reading'!I22)-('Water Reading'!P23-'Water Reading'!P22)</f>
        <v>18</v>
      </c>
      <c r="L23" s="68">
        <f t="shared" si="6"/>
        <v>8.6956521739130432E-2</v>
      </c>
      <c r="M23" s="90">
        <f>'Water Reading'!R23-'Water Reading'!R22</f>
        <v>9</v>
      </c>
      <c r="N23" s="92">
        <f t="shared" si="7"/>
        <v>4.3478260869565216E-2</v>
      </c>
      <c r="O23" s="90">
        <f>'Water Reading'!Q23-'Water Reading'!Q22</f>
        <v>4</v>
      </c>
      <c r="P23" s="99">
        <f t="shared" si="8"/>
        <v>1.932367149758454E-2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0.25120772946859904</v>
      </c>
      <c r="U23" s="90">
        <f>'Water Reading'!G23-'Water Reading'!G22</f>
        <v>19</v>
      </c>
      <c r="V23" s="100">
        <f t="shared" si="11"/>
        <v>9.1787439613526575E-2</v>
      </c>
      <c r="W23" s="90">
        <f>'Water Reading'!J23-'Water Reading'!J22</f>
        <v>10</v>
      </c>
      <c r="X23" s="100">
        <f t="shared" si="12"/>
        <v>4.8309178743961352E-2</v>
      </c>
      <c r="Y23" s="66">
        <f t="shared" si="0"/>
        <v>261</v>
      </c>
      <c r="Z23" s="67">
        <f t="shared" si="1"/>
        <v>0.96309963099630991</v>
      </c>
    </row>
    <row r="24" spans="1:26" x14ac:dyDescent="0.25">
      <c r="A24" s="8">
        <f>'Water Reading'!A23</f>
        <v>44460</v>
      </c>
      <c r="B24" s="65">
        <f>TOTAL!I22</f>
        <v>252</v>
      </c>
      <c r="C24" s="66">
        <f>('Water Reading'!B24-'Water Reading'!B23)+('Water Reading'!C24-'Water Reading'!C23)</f>
        <v>358</v>
      </c>
      <c r="D24" s="67">
        <f t="shared" si="2"/>
        <v>1.4206349206349207</v>
      </c>
      <c r="E24" s="87">
        <f>'Water Reading'!H24-'Water Reading'!H23</f>
        <v>44</v>
      </c>
      <c r="F24" s="89">
        <f t="shared" si="3"/>
        <v>0.12290502793296089</v>
      </c>
      <c r="G24" s="93">
        <f>('Water Reading'!D24-'Water Reading'!D23)-('Water Reading'!R24-'Water Reading'!R23)-('Water Reading'!Q24-'Water Reading'!Q23)</f>
        <v>110</v>
      </c>
      <c r="H24" s="89">
        <f t="shared" si="4"/>
        <v>0.30726256983240224</v>
      </c>
      <c r="I24" s="90">
        <f>'Water Reading'!P24-'Water Reading'!P23</f>
        <v>14</v>
      </c>
      <c r="J24" s="68">
        <f t="shared" si="5"/>
        <v>3.9106145251396648E-2</v>
      </c>
      <c r="K24" s="91">
        <f>('Water Reading'!I24-'Water Reading'!I23)-('Water Reading'!P24-'Water Reading'!P23)</f>
        <v>21</v>
      </c>
      <c r="L24" s="68">
        <f t="shared" si="6"/>
        <v>5.8659217877094973E-2</v>
      </c>
      <c r="M24" s="90">
        <f>'Water Reading'!R24-'Water Reading'!R23</f>
        <v>5</v>
      </c>
      <c r="N24" s="92">
        <f t="shared" si="7"/>
        <v>1.3966480446927373E-2</v>
      </c>
      <c r="O24" s="90">
        <f>'Water Reading'!Q24-'Water Reading'!Q23</f>
        <v>4</v>
      </c>
      <c r="P24" s="99">
        <f t="shared" si="8"/>
        <v>1.11731843575419E-2</v>
      </c>
      <c r="Q24" s="91">
        <f>'Water Reading'!F24-'Water Reading'!F23</f>
        <v>1</v>
      </c>
      <c r="R24" s="100">
        <f t="shared" si="9"/>
        <v>2.7932960893854749E-3</v>
      </c>
      <c r="S24" s="94">
        <f>'Water Reading'!E24-'Water Reading'!E23</f>
        <v>51</v>
      </c>
      <c r="T24" s="100">
        <f t="shared" si="10"/>
        <v>0.14245810055865921</v>
      </c>
      <c r="U24" s="90">
        <f>'Water Reading'!G24-'Water Reading'!G23</f>
        <v>16</v>
      </c>
      <c r="V24" s="100">
        <f t="shared" si="11"/>
        <v>4.4692737430167599E-2</v>
      </c>
      <c r="W24" s="90">
        <f>'Water Reading'!J24-'Water Reading'!J23</f>
        <v>10</v>
      </c>
      <c r="X24" s="100">
        <f t="shared" si="12"/>
        <v>2.7932960893854747E-2</v>
      </c>
      <c r="Y24" s="66">
        <f t="shared" si="0"/>
        <v>276</v>
      </c>
      <c r="Z24" s="67">
        <f t="shared" si="1"/>
        <v>1.0952380952380953</v>
      </c>
    </row>
    <row r="25" spans="1:26" x14ac:dyDescent="0.25">
      <c r="A25" s="8">
        <f>'Water Reading'!A24</f>
        <v>44461</v>
      </c>
      <c r="B25" s="65">
        <f>TOTAL!I23</f>
        <v>254</v>
      </c>
      <c r="C25" s="66">
        <f>('Water Reading'!B25-'Water Reading'!B24)+('Water Reading'!C25-'Water Reading'!C24)</f>
        <v>499</v>
      </c>
      <c r="D25" s="67">
        <f t="shared" si="2"/>
        <v>1.9645669291338583</v>
      </c>
      <c r="E25" s="87">
        <f>'Water Reading'!H25-'Water Reading'!H24</f>
        <v>55</v>
      </c>
      <c r="F25" s="89">
        <f t="shared" si="3"/>
        <v>0.11022044088176353</v>
      </c>
      <c r="G25" s="93">
        <f>('Water Reading'!D25-'Water Reading'!D24)-('Water Reading'!R25-'Water Reading'!R24)-('Water Reading'!Q25-'Water Reading'!Q24)</f>
        <v>121</v>
      </c>
      <c r="H25" s="89">
        <f t="shared" si="4"/>
        <v>0.24248496993987975</v>
      </c>
      <c r="I25" s="90">
        <f>'Water Reading'!P25-'Water Reading'!P24</f>
        <v>16</v>
      </c>
      <c r="J25" s="68">
        <f t="shared" si="5"/>
        <v>3.2064128256513023E-2</v>
      </c>
      <c r="K25" s="91">
        <f>('Water Reading'!I25-'Water Reading'!I24)-('Water Reading'!P25-'Water Reading'!P24)</f>
        <v>17</v>
      </c>
      <c r="L25" s="68">
        <f t="shared" si="6"/>
        <v>3.406813627254509E-2</v>
      </c>
      <c r="M25" s="90">
        <f>'Water Reading'!R25-'Water Reading'!R24</f>
        <v>8</v>
      </c>
      <c r="N25" s="92">
        <f t="shared" si="7"/>
        <v>1.6032064128256512E-2</v>
      </c>
      <c r="O25" s="90">
        <f>'Water Reading'!Q25-'Water Reading'!Q24</f>
        <v>2</v>
      </c>
      <c r="P25" s="99">
        <f t="shared" si="8"/>
        <v>4.0080160320641279E-3</v>
      </c>
      <c r="Q25" s="91">
        <f>'Water Reading'!F25-'Water Reading'!F24</f>
        <v>0</v>
      </c>
      <c r="R25" s="100">
        <f t="shared" si="9"/>
        <v>0</v>
      </c>
      <c r="S25" s="94">
        <f>'Water Reading'!E25-'Water Reading'!E24</f>
        <v>53</v>
      </c>
      <c r="T25" s="100">
        <f t="shared" si="10"/>
        <v>0.10621242484969939</v>
      </c>
      <c r="U25" s="90">
        <f>'Water Reading'!G25-'Water Reading'!G24</f>
        <v>18</v>
      </c>
      <c r="V25" s="100">
        <f t="shared" si="11"/>
        <v>3.6072144288577156E-2</v>
      </c>
      <c r="W25" s="90">
        <f>'Water Reading'!J25-'Water Reading'!J24</f>
        <v>0</v>
      </c>
      <c r="X25" s="100">
        <f t="shared" si="12"/>
        <v>0</v>
      </c>
      <c r="Y25" s="66">
        <f t="shared" si="0"/>
        <v>290</v>
      </c>
      <c r="Z25" s="67">
        <f t="shared" si="1"/>
        <v>1.1417322834645669</v>
      </c>
    </row>
    <row r="26" spans="1:26" x14ac:dyDescent="0.25">
      <c r="A26" s="8">
        <f>'Water Reading'!A25</f>
        <v>44462</v>
      </c>
      <c r="B26" s="65">
        <f>TOTAL!I24</f>
        <v>289</v>
      </c>
      <c r="C26" s="66">
        <f>('Water Reading'!B26-'Water Reading'!B25)+('Water Reading'!C26-'Water Reading'!C25)</f>
        <v>340</v>
      </c>
      <c r="D26" s="67">
        <f t="shared" si="2"/>
        <v>1.1764705882352942</v>
      </c>
      <c r="E26" s="87">
        <f>'Water Reading'!H26-'Water Reading'!H25</f>
        <v>31</v>
      </c>
      <c r="F26" s="89">
        <f t="shared" si="3"/>
        <v>9.1176470588235289E-2</v>
      </c>
      <c r="G26" s="93">
        <f>('Water Reading'!D26-'Water Reading'!D25)-('Water Reading'!R26-'Water Reading'!R25)-('Water Reading'!Q26-'Water Reading'!Q25)</f>
        <v>126</v>
      </c>
      <c r="H26" s="89">
        <f t="shared" si="4"/>
        <v>0.37058823529411766</v>
      </c>
      <c r="I26" s="90">
        <f>'Water Reading'!P26-'Water Reading'!P25</f>
        <v>15</v>
      </c>
      <c r="J26" s="68">
        <f t="shared" si="5"/>
        <v>4.4117647058823532E-2</v>
      </c>
      <c r="K26" s="91">
        <f>('Water Reading'!I26-'Water Reading'!I25)-('Water Reading'!P26-'Water Reading'!P25)</f>
        <v>16</v>
      </c>
      <c r="L26" s="68">
        <f t="shared" si="6"/>
        <v>4.7058823529411764E-2</v>
      </c>
      <c r="M26" s="90">
        <f>'Water Reading'!R26-'Water Reading'!R25</f>
        <v>6</v>
      </c>
      <c r="N26" s="92">
        <f t="shared" si="7"/>
        <v>1.7647058823529412E-2</v>
      </c>
      <c r="O26" s="90">
        <f>'Water Reading'!Q26-'Water Reading'!Q25</f>
        <v>1</v>
      </c>
      <c r="P26" s="99">
        <f t="shared" si="8"/>
        <v>2.9411764705882353E-3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53</v>
      </c>
      <c r="T26" s="100">
        <f t="shared" si="10"/>
        <v>0.15588235294117647</v>
      </c>
      <c r="U26" s="90">
        <f>'Water Reading'!G26-'Water Reading'!G25</f>
        <v>18</v>
      </c>
      <c r="V26" s="100">
        <f t="shared" si="11"/>
        <v>5.2941176470588235E-2</v>
      </c>
      <c r="W26" s="90">
        <f>'Water Reading'!J26-'Water Reading'!J25</f>
        <v>20</v>
      </c>
      <c r="X26" s="100">
        <f t="shared" si="12"/>
        <v>5.8823529411764705E-2</v>
      </c>
      <c r="Y26" s="66">
        <f t="shared" si="0"/>
        <v>286</v>
      </c>
      <c r="Z26" s="67">
        <f t="shared" si="1"/>
        <v>0.98961937716262971</v>
      </c>
    </row>
    <row r="27" spans="1:26" x14ac:dyDescent="0.25">
      <c r="A27" s="8">
        <f>'Water Reading'!A26</f>
        <v>44463</v>
      </c>
      <c r="B27" s="65">
        <f>TOTAL!I25</f>
        <v>259</v>
      </c>
      <c r="C27" s="66">
        <f>('Water Reading'!B27-'Water Reading'!B26)+('Water Reading'!C27-'Water Reading'!C26)</f>
        <v>1005</v>
      </c>
      <c r="D27" s="67">
        <f t="shared" si="2"/>
        <v>3.8803088803088803</v>
      </c>
      <c r="E27" s="87">
        <f>'Water Reading'!H27-'Water Reading'!H26</f>
        <v>50</v>
      </c>
      <c r="F27" s="89">
        <f t="shared" si="3"/>
        <v>4.975124378109453E-2</v>
      </c>
      <c r="G27" s="93">
        <f>('Water Reading'!D27-'Water Reading'!D26)-('Water Reading'!R27-'Water Reading'!R26)-('Water Reading'!Q27-'Water Reading'!Q26)</f>
        <v>105</v>
      </c>
      <c r="H27" s="89">
        <f t="shared" si="4"/>
        <v>0.1044776119402985</v>
      </c>
      <c r="I27" s="90">
        <f>'Water Reading'!P27-'Water Reading'!P26</f>
        <v>17</v>
      </c>
      <c r="J27" s="68">
        <f t="shared" si="5"/>
        <v>1.6915422885572139E-2</v>
      </c>
      <c r="K27" s="91">
        <f>('Water Reading'!I27-'Water Reading'!I26)-('Water Reading'!P27-'Water Reading'!P26)</f>
        <v>25</v>
      </c>
      <c r="L27" s="68">
        <f t="shared" si="6"/>
        <v>2.4875621890547265E-2</v>
      </c>
      <c r="M27" s="90">
        <f>'Water Reading'!R27-'Water Reading'!R26</f>
        <v>1</v>
      </c>
      <c r="N27" s="92">
        <f t="shared" si="7"/>
        <v>9.9502487562189048E-4</v>
      </c>
      <c r="O27" s="90">
        <f>'Water Reading'!Q27-'Water Reading'!Q26</f>
        <v>4</v>
      </c>
      <c r="P27" s="99">
        <f t="shared" si="8"/>
        <v>3.9800995024875619E-3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52</v>
      </c>
      <c r="T27" s="100">
        <f t="shared" si="10"/>
        <v>5.1741293532338306E-2</v>
      </c>
      <c r="U27" s="90">
        <f>'Water Reading'!G27-'Water Reading'!G26</f>
        <v>18</v>
      </c>
      <c r="V27" s="100">
        <f t="shared" si="11"/>
        <v>1.7910447761194031E-2</v>
      </c>
      <c r="W27" s="90">
        <f>'Water Reading'!J27-'Water Reading'!J26</f>
        <v>10</v>
      </c>
      <c r="X27" s="100">
        <f t="shared" si="12"/>
        <v>9.9502487562189053E-3</v>
      </c>
      <c r="Y27" s="66">
        <f t="shared" si="0"/>
        <v>282</v>
      </c>
      <c r="Z27" s="67">
        <f t="shared" si="1"/>
        <v>1.0888030888030888</v>
      </c>
    </row>
    <row r="28" spans="1:26" x14ac:dyDescent="0.25">
      <c r="A28" s="8">
        <f>'Water Reading'!A27</f>
        <v>44464</v>
      </c>
      <c r="B28" s="65">
        <f>TOTAL!I26</f>
        <v>304</v>
      </c>
      <c r="C28" s="66">
        <f>('Water Reading'!B28-'Water Reading'!B27)+('Water Reading'!C28-'Water Reading'!C27)</f>
        <v>426</v>
      </c>
      <c r="D28" s="67">
        <f t="shared" si="2"/>
        <v>1.4013157894736843</v>
      </c>
      <c r="E28" s="87">
        <f>'Water Reading'!H28-'Water Reading'!H27</f>
        <v>47</v>
      </c>
      <c r="F28" s="89">
        <f t="shared" si="3"/>
        <v>0.11032863849765258</v>
      </c>
      <c r="G28" s="93">
        <f>('Water Reading'!D28-'Water Reading'!D27)-('Water Reading'!R28-'Water Reading'!R27)-('Water Reading'!Q28-'Water Reading'!Q27)</f>
        <v>197</v>
      </c>
      <c r="H28" s="89">
        <f t="shared" si="4"/>
        <v>0.46244131455399062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21</v>
      </c>
      <c r="L28" s="68">
        <f t="shared" si="6"/>
        <v>4.9295774647887321E-2</v>
      </c>
      <c r="M28" s="90">
        <f>'Water Reading'!R28-'Water Reading'!R27</f>
        <v>7</v>
      </c>
      <c r="N28" s="92">
        <f t="shared" si="7"/>
        <v>1.6431924882629109E-2</v>
      </c>
      <c r="O28" s="90">
        <f>'Water Reading'!Q28-'Water Reading'!Q27</f>
        <v>2</v>
      </c>
      <c r="P28" s="99">
        <f t="shared" si="8"/>
        <v>4.6948356807511738E-3</v>
      </c>
      <c r="Q28" s="91">
        <f>'Water Reading'!F28-'Water Reading'!F27</f>
        <v>1</v>
      </c>
      <c r="R28" s="100">
        <f t="shared" si="9"/>
        <v>2.3474178403755869E-3</v>
      </c>
      <c r="S28" s="94">
        <f>'Water Reading'!E28-'Water Reading'!E27</f>
        <v>58</v>
      </c>
      <c r="T28" s="100">
        <f t="shared" si="10"/>
        <v>0.13615023474178403</v>
      </c>
      <c r="U28" s="90">
        <f>'Water Reading'!G28-'Water Reading'!G27</f>
        <v>19</v>
      </c>
      <c r="V28" s="100">
        <f t="shared" si="11"/>
        <v>4.4600938967136149E-2</v>
      </c>
      <c r="W28" s="90">
        <f>'Water Reading'!J28-'Water Reading'!J27</f>
        <v>10</v>
      </c>
      <c r="X28" s="100">
        <f t="shared" si="12"/>
        <v>2.3474178403755867E-2</v>
      </c>
      <c r="Y28" s="66">
        <f t="shared" si="0"/>
        <v>362</v>
      </c>
      <c r="Z28" s="67">
        <f t="shared" si="1"/>
        <v>1.1907894736842106</v>
      </c>
    </row>
    <row r="29" spans="1:26" x14ac:dyDescent="0.25">
      <c r="A29" s="8">
        <f>'Water Reading'!A28</f>
        <v>44465</v>
      </c>
      <c r="B29" s="65">
        <f>TOTAL!I27</f>
        <v>216</v>
      </c>
      <c r="C29" s="66">
        <f>('Water Reading'!B29-'Water Reading'!B28)+('Water Reading'!C29-'Water Reading'!C28)</f>
        <v>302</v>
      </c>
      <c r="D29" s="67">
        <f t="shared" si="2"/>
        <v>1.3981481481481481</v>
      </c>
      <c r="E29" s="87">
        <f>'Water Reading'!H29-'Water Reading'!H28</f>
        <v>29</v>
      </c>
      <c r="F29" s="89">
        <f t="shared" si="3"/>
        <v>9.602649006622517E-2</v>
      </c>
      <c r="G29" s="93">
        <f>('Water Reading'!D29-'Water Reading'!D28)-('Water Reading'!R29-'Water Reading'!R28)-('Water Reading'!Q29-'Water Reading'!Q28)</f>
        <v>91</v>
      </c>
      <c r="H29" s="89">
        <f t="shared" si="4"/>
        <v>0.30132450331125826</v>
      </c>
      <c r="I29" s="90">
        <f>'Water Reading'!P29-'Water Reading'!P28</f>
        <v>18</v>
      </c>
      <c r="J29" s="68">
        <f t="shared" si="5"/>
        <v>5.9602649006622516E-2</v>
      </c>
      <c r="K29" s="91">
        <f>('Water Reading'!I29-'Water Reading'!I28)-('Water Reading'!P29-'Water Reading'!P28)</f>
        <v>15</v>
      </c>
      <c r="L29" s="68">
        <f t="shared" si="6"/>
        <v>4.9668874172185427E-2</v>
      </c>
      <c r="M29" s="90">
        <f>'Water Reading'!R29-'Water Reading'!R28</f>
        <v>5</v>
      </c>
      <c r="N29" s="92">
        <f t="shared" si="7"/>
        <v>1.6556291390728478E-2</v>
      </c>
      <c r="O29" s="90">
        <f>'Water Reading'!Q29-'Water Reading'!Q28</f>
        <v>1</v>
      </c>
      <c r="P29" s="99">
        <f t="shared" si="8"/>
        <v>3.3112582781456954E-3</v>
      </c>
      <c r="Q29" s="91">
        <f>'Water Reading'!F29-'Water Reading'!F28</f>
        <v>2</v>
      </c>
      <c r="R29" s="100">
        <f t="shared" si="9"/>
        <v>6.6225165562913907E-3</v>
      </c>
      <c r="S29" s="94">
        <f>'Water Reading'!E29-'Water Reading'!E28</f>
        <v>47</v>
      </c>
      <c r="T29" s="100">
        <f t="shared" si="10"/>
        <v>0.15562913907284767</v>
      </c>
      <c r="U29" s="90">
        <f>'Water Reading'!G29-'Water Reading'!G28</f>
        <v>16</v>
      </c>
      <c r="V29" s="100">
        <f t="shared" si="11"/>
        <v>5.2980132450331126E-2</v>
      </c>
      <c r="W29" s="90">
        <f>'Water Reading'!J29-'Water Reading'!J28</f>
        <v>10</v>
      </c>
      <c r="X29" s="100">
        <f t="shared" si="12"/>
        <v>3.3112582781456956E-2</v>
      </c>
      <c r="Y29" s="66">
        <f t="shared" si="0"/>
        <v>234</v>
      </c>
      <c r="Z29" s="67">
        <f t="shared" si="1"/>
        <v>1.0833333333333333</v>
      </c>
    </row>
    <row r="30" spans="1:26" x14ac:dyDescent="0.25">
      <c r="A30" s="8">
        <f>'Water Reading'!A29</f>
        <v>44466</v>
      </c>
      <c r="B30" s="65">
        <f>TOTAL!I28</f>
        <v>241</v>
      </c>
      <c r="C30" s="66">
        <f>('Water Reading'!B30-'Water Reading'!B29)+('Water Reading'!C30-'Water Reading'!C29)</f>
        <v>196</v>
      </c>
      <c r="D30" s="67">
        <f t="shared" si="2"/>
        <v>0.81327800829875518</v>
      </c>
      <c r="E30" s="87">
        <f>'Water Reading'!H30-'Water Reading'!H29</f>
        <v>25</v>
      </c>
      <c r="F30" s="89">
        <f t="shared" si="3"/>
        <v>0.12755102040816327</v>
      </c>
      <c r="G30" s="93">
        <f>('Water Reading'!D30-'Water Reading'!D29)-('Water Reading'!R30-'Water Reading'!R29)-('Water Reading'!Q30-'Water Reading'!Q29)</f>
        <v>116</v>
      </c>
      <c r="H30" s="89">
        <f t="shared" si="4"/>
        <v>0.59183673469387754</v>
      </c>
      <c r="I30" s="90">
        <f>'Water Reading'!P30-'Water Reading'!P29</f>
        <v>8</v>
      </c>
      <c r="J30" s="68">
        <f t="shared" si="5"/>
        <v>4.0816326530612242E-2</v>
      </c>
      <c r="K30" s="91">
        <f>('Water Reading'!I30-'Water Reading'!I29)-('Water Reading'!P30-'Water Reading'!P29)</f>
        <v>29</v>
      </c>
      <c r="L30" s="68">
        <f t="shared" si="6"/>
        <v>0.14795918367346939</v>
      </c>
      <c r="M30" s="90">
        <f>'Water Reading'!R30-'Water Reading'!R29</f>
        <v>5</v>
      </c>
      <c r="N30" s="92">
        <f t="shared" si="7"/>
        <v>2.5510204081632654E-2</v>
      </c>
      <c r="O30" s="90">
        <f>'Water Reading'!Q30-'Water Reading'!Q29</f>
        <v>3</v>
      </c>
      <c r="P30" s="99">
        <f t="shared" si="8"/>
        <v>1.5306122448979591E-2</v>
      </c>
      <c r="Q30" s="91">
        <f>'Water Reading'!F30-'Water Reading'!F29</f>
        <v>1</v>
      </c>
      <c r="R30" s="100">
        <f t="shared" si="9"/>
        <v>5.1020408163265302E-3</v>
      </c>
      <c r="S30" s="94">
        <f>'Water Reading'!E30-'Water Reading'!E29</f>
        <v>52</v>
      </c>
      <c r="T30" s="100">
        <f t="shared" si="10"/>
        <v>0.26530612244897961</v>
      </c>
      <c r="U30" s="90">
        <f>'Water Reading'!G30-'Water Reading'!G29</f>
        <v>19</v>
      </c>
      <c r="V30" s="100">
        <f t="shared" si="11"/>
        <v>9.6938775510204078E-2</v>
      </c>
      <c r="W30" s="90">
        <f>'Water Reading'!J30-'Water Reading'!J29</f>
        <v>9</v>
      </c>
      <c r="X30" s="100">
        <f t="shared" si="12"/>
        <v>4.5918367346938778E-2</v>
      </c>
      <c r="Y30" s="66">
        <f t="shared" si="0"/>
        <v>267</v>
      </c>
      <c r="Z30" s="67">
        <f t="shared" si="1"/>
        <v>1.107883817427386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-333590</v>
      </c>
      <c r="D31" s="67" t="e">
        <f t="shared" si="2"/>
        <v>#DIV/0!</v>
      </c>
      <c r="E31" s="87">
        <f>'Water Reading'!H31-'Water Reading'!H30</f>
        <v>-56264</v>
      </c>
      <c r="F31" s="89">
        <f t="shared" si="3"/>
        <v>0.16866213015977696</v>
      </c>
      <c r="G31" s="93">
        <f>('Water Reading'!D31-'Water Reading'!D30)-('Water Reading'!R31-'Water Reading'!R30)-('Water Reading'!Q31-'Water Reading'!Q30)</f>
        <v>-215010</v>
      </c>
      <c r="H31" s="89">
        <f t="shared" si="4"/>
        <v>0.64453370904403606</v>
      </c>
      <c r="I31" s="90">
        <f>'Water Reading'!P31-'Water Reading'!P30</f>
        <v>-27985</v>
      </c>
      <c r="J31" s="68">
        <f t="shared" si="5"/>
        <v>8.3890404388620762E-2</v>
      </c>
      <c r="K31" s="91">
        <f>('Water Reading'!I31-'Water Reading'!I30)-('Water Reading'!P31-'Water Reading'!P30)</f>
        <v>-38280</v>
      </c>
      <c r="L31" s="68">
        <f t="shared" si="6"/>
        <v>0.11475164123624809</v>
      </c>
      <c r="M31" s="90">
        <f>'Water Reading'!R31-'Water Reading'!R30</f>
        <v>-6745</v>
      </c>
      <c r="N31" s="92">
        <f t="shared" si="7"/>
        <v>2.0219431038100661E-2</v>
      </c>
      <c r="O31" s="90">
        <f>'Water Reading'!Q31-'Water Reading'!Q30</f>
        <v>-1004</v>
      </c>
      <c r="P31" s="99">
        <f t="shared" si="8"/>
        <v>3.0096825444407807E-3</v>
      </c>
      <c r="Q31" s="91">
        <f>'Water Reading'!F31-'Water Reading'!F30</f>
        <v>-66995</v>
      </c>
      <c r="R31" s="100">
        <f t="shared" si="9"/>
        <v>0.20083036062232082</v>
      </c>
      <c r="S31" s="94">
        <f>'Water Reading'!E31-'Water Reading'!E30</f>
        <v>-252999</v>
      </c>
      <c r="T31" s="100">
        <f t="shared" si="10"/>
        <v>0.75841302197308069</v>
      </c>
      <c r="U31" s="90">
        <f>'Water Reading'!G31-'Water Reading'!G30</f>
        <v>-113227</v>
      </c>
      <c r="V31" s="100">
        <f t="shared" si="11"/>
        <v>0.33941964687190862</v>
      </c>
      <c r="W31" s="90">
        <f>'Water Reading'!J31-'Water Reading'!J30</f>
        <v>-21283</v>
      </c>
      <c r="X31" s="100">
        <f t="shared" si="12"/>
        <v>6.3799874096945347E-2</v>
      </c>
      <c r="Y31" s="66">
        <f t="shared" si="0"/>
        <v>-799792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6939</v>
      </c>
      <c r="C35" s="75">
        <f>SUM(C4:C34)</f>
        <v>-323288</v>
      </c>
      <c r="D35" s="96">
        <f>C35/B35</f>
        <v>-46.589998558870157</v>
      </c>
      <c r="E35" s="7">
        <f>SUM(E4:E34)</f>
        <v>-55314</v>
      </c>
      <c r="F35" s="95">
        <f>E35/C35</f>
        <v>0.17109821583232288</v>
      </c>
      <c r="G35" s="75">
        <f>SUM(G4:G34)</f>
        <v>-211984</v>
      </c>
      <c r="H35" s="95">
        <f>G35/C35</f>
        <v>0.65571255351265745</v>
      </c>
      <c r="I35" s="7">
        <f>SUM(I4:I34)</f>
        <v>-27660</v>
      </c>
      <c r="J35" s="95">
        <f>I35/C35</f>
        <v>8.5558387567741451E-2</v>
      </c>
      <c r="K35" s="7">
        <f>SUM(K4:K34)</f>
        <v>-37781</v>
      </c>
      <c r="L35" s="95">
        <f>K35/C35</f>
        <v>0.11686483878151989</v>
      </c>
      <c r="M35" s="7">
        <f>SUM(M4:M34)</f>
        <v>-6604</v>
      </c>
      <c r="N35" s="95">
        <f>M35/C35</f>
        <v>2.0427606344807107E-2</v>
      </c>
      <c r="O35" s="7">
        <f>SUM(O4:O34)</f>
        <v>-913</v>
      </c>
      <c r="P35" s="95">
        <f>O35/C35</f>
        <v>2.8241072975180026E-3</v>
      </c>
      <c r="Q35" s="7">
        <f>SUM(Q4:Q34)</f>
        <v>-66981</v>
      </c>
      <c r="R35" s="95">
        <f>Q35/C35</f>
        <v>0.20718678082700254</v>
      </c>
      <c r="S35" s="75">
        <f>SUM(S4:S34)</f>
        <v>-251513</v>
      </c>
      <c r="T35" s="95">
        <f>S35/C35</f>
        <v>0.77798433594813299</v>
      </c>
      <c r="U35" s="7">
        <f>SUM(U4:U34)</f>
        <v>-112781</v>
      </c>
      <c r="V35" s="95">
        <f>U35/C35</f>
        <v>0.34885612828190343</v>
      </c>
      <c r="W35" s="7">
        <f>SUM(W4:W34)</f>
        <v>-21005</v>
      </c>
      <c r="X35" s="95">
        <f>W35/C35</f>
        <v>6.4973027146074086E-2</v>
      </c>
      <c r="Y35" s="75">
        <f>SUM(Y4:Y34)</f>
        <v>-792536</v>
      </c>
      <c r="Z35" s="95">
        <f t="shared" si="1"/>
        <v>-114.21472834702406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2021-09-29T01:21:09Z</dcterms:modified>
  <cp:category/>
  <cp:contentStatus/>
</cp:coreProperties>
</file>