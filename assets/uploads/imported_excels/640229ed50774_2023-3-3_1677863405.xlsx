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971935B7-1DB0-4834-BE09-E71A22982C44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Sheet1" sheetId="1" r:id="rId1"/>
    <sheet name="Insert in SCR" sheetId="3" r:id="rId2"/>
    <sheet name="Calculation Foodwas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7" i="1"/>
  <c r="R6" i="1"/>
  <c r="S2" i="1"/>
  <c r="K3" i="1"/>
  <c r="M8" i="1"/>
  <c r="M9" i="1"/>
  <c r="G11" i="1"/>
  <c r="G12" i="1"/>
  <c r="F12" i="1"/>
  <c r="M48" i="2"/>
  <c r="L48" i="2"/>
  <c r="M47" i="2"/>
  <c r="M41" i="2"/>
  <c r="M42" i="2"/>
  <c r="M43" i="2"/>
  <c r="M44" i="2"/>
  <c r="M45" i="2"/>
  <c r="M46" i="2"/>
  <c r="M49" i="2"/>
  <c r="M50" i="2"/>
  <c r="M51" i="2"/>
  <c r="M40" i="2"/>
  <c r="L41" i="2"/>
  <c r="L42" i="2"/>
  <c r="L43" i="2"/>
  <c r="L44" i="2"/>
  <c r="L45" i="2"/>
  <c r="L46" i="2"/>
  <c r="L47" i="2"/>
  <c r="L49" i="2"/>
  <c r="L50" i="2"/>
  <c r="L51" i="2"/>
  <c r="L40" i="2"/>
  <c r="Q82" i="2"/>
  <c r="R82" i="2"/>
  <c r="P82" i="2"/>
  <c r="O63" i="2"/>
  <c r="O82" i="2" s="1"/>
  <c r="M3" i="1"/>
  <c r="M4" i="1"/>
  <c r="M5" i="1"/>
  <c r="M6" i="1"/>
  <c r="M7" i="1"/>
  <c r="M10" i="1"/>
  <c r="M11" i="1"/>
  <c r="M12" i="1"/>
  <c r="M13" i="1"/>
  <c r="M2" i="1"/>
  <c r="S10" i="1"/>
  <c r="S11" i="1"/>
  <c r="S12" i="1"/>
  <c r="S13" i="1"/>
  <c r="R10" i="1"/>
  <c r="R11" i="1"/>
  <c r="R12" i="1"/>
  <c r="R13" i="1"/>
  <c r="Q10" i="1"/>
  <c r="Q11" i="1"/>
  <c r="Q12" i="1"/>
  <c r="Q13" i="1"/>
  <c r="P10" i="1"/>
  <c r="P11" i="1"/>
  <c r="P12" i="1"/>
  <c r="K10" i="1"/>
  <c r="K11" i="1"/>
  <c r="K12" i="1"/>
  <c r="K13" i="1"/>
  <c r="J10" i="1"/>
  <c r="J11" i="1"/>
  <c r="J12" i="1"/>
  <c r="I10" i="1"/>
  <c r="I11" i="1"/>
  <c r="I12" i="1"/>
  <c r="I13" i="1"/>
  <c r="I9" i="1"/>
  <c r="H10" i="1"/>
  <c r="H11" i="1"/>
  <c r="H12" i="1"/>
  <c r="H13" i="1"/>
  <c r="U13" i="1" s="1"/>
  <c r="E49" i="2"/>
  <c r="C49" i="2"/>
  <c r="C48" i="2"/>
  <c r="E48" i="2"/>
  <c r="J41" i="2"/>
  <c r="J42" i="2"/>
  <c r="J43" i="2"/>
  <c r="J44" i="2"/>
  <c r="J45" i="2"/>
  <c r="J46" i="2"/>
  <c r="J47" i="2"/>
  <c r="J48" i="2"/>
  <c r="J49" i="2"/>
  <c r="J50" i="2"/>
  <c r="J51" i="2"/>
  <c r="J40" i="2"/>
  <c r="G41" i="2"/>
  <c r="G42" i="2"/>
  <c r="G43" i="2"/>
  <c r="G44" i="2"/>
  <c r="G45" i="2"/>
  <c r="G46" i="2"/>
  <c r="G47" i="2"/>
  <c r="G48" i="2"/>
  <c r="G49" i="2"/>
  <c r="G50" i="2"/>
  <c r="G51" i="2"/>
  <c r="G40" i="2"/>
  <c r="D41" i="2"/>
  <c r="D42" i="2"/>
  <c r="D43" i="2"/>
  <c r="D44" i="2"/>
  <c r="D45" i="2"/>
  <c r="D46" i="2"/>
  <c r="D47" i="2"/>
  <c r="D48" i="2"/>
  <c r="D49" i="2"/>
  <c r="D50" i="2"/>
  <c r="D51" i="2"/>
  <c r="D40" i="2"/>
  <c r="F11" i="1"/>
  <c r="U11" i="1" s="1"/>
  <c r="F10" i="1"/>
  <c r="U10" i="1" s="1"/>
  <c r="G10" i="1"/>
  <c r="G3" i="1"/>
  <c r="G4" i="1"/>
  <c r="G5" i="1"/>
  <c r="G6" i="1"/>
  <c r="G7" i="1"/>
  <c r="G8" i="1"/>
  <c r="G9" i="1"/>
  <c r="G2" i="1"/>
  <c r="F4" i="1"/>
  <c r="F5" i="1"/>
  <c r="F6" i="1"/>
  <c r="F7" i="1"/>
  <c r="F8" i="1"/>
  <c r="F9" i="1"/>
  <c r="F2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S3" i="1"/>
  <c r="S4" i="1"/>
  <c r="S5" i="1"/>
  <c r="S6" i="1"/>
  <c r="S7" i="1"/>
  <c r="S8" i="1"/>
  <c r="S9" i="1"/>
  <c r="R3" i="1"/>
  <c r="R4" i="1"/>
  <c r="R5" i="1"/>
  <c r="R9" i="1"/>
  <c r="R2" i="1"/>
  <c r="Q3" i="1"/>
  <c r="Q4" i="1"/>
  <c r="Q5" i="1"/>
  <c r="Q6" i="1"/>
  <c r="Q7" i="1"/>
  <c r="Q8" i="1"/>
  <c r="Q9" i="1"/>
  <c r="Q2" i="1"/>
  <c r="P4" i="1"/>
  <c r="P5" i="1"/>
  <c r="P6" i="1"/>
  <c r="P7" i="1"/>
  <c r="P8" i="1"/>
  <c r="P9" i="1"/>
  <c r="P2" i="1"/>
  <c r="I3" i="1"/>
  <c r="I4" i="1"/>
  <c r="I5" i="1"/>
  <c r="I6" i="1"/>
  <c r="I7" i="1"/>
  <c r="I8" i="1"/>
  <c r="I2" i="1"/>
  <c r="H9" i="1"/>
  <c r="H3" i="1"/>
  <c r="H4" i="1"/>
  <c r="H5" i="1"/>
  <c r="H6" i="1"/>
  <c r="H7" i="1"/>
  <c r="H8" i="1"/>
  <c r="H2" i="1"/>
  <c r="U8" i="2"/>
  <c r="U7" i="2"/>
  <c r="U6" i="2"/>
  <c r="U5" i="2"/>
  <c r="U4" i="2"/>
  <c r="U9" i="2" s="1"/>
  <c r="S8" i="2"/>
  <c r="S7" i="2"/>
  <c r="S6" i="2"/>
  <c r="S5" i="2"/>
  <c r="S4" i="2"/>
  <c r="S9" i="2" s="1"/>
  <c r="Q8" i="2"/>
  <c r="Q7" i="2"/>
  <c r="Q6" i="2"/>
  <c r="Q5" i="2"/>
  <c r="Q4" i="2"/>
  <c r="Q9" i="2" s="1"/>
  <c r="O8" i="2"/>
  <c r="O7" i="2"/>
  <c r="O6" i="2"/>
  <c r="O5" i="2"/>
  <c r="O4" i="2"/>
  <c r="O9" i="2" s="1"/>
  <c r="K8" i="2"/>
  <c r="K7" i="2"/>
  <c r="K6" i="2"/>
  <c r="K5" i="2"/>
  <c r="K4" i="2"/>
  <c r="K9" i="2" s="1"/>
  <c r="I8" i="2"/>
  <c r="I7" i="2"/>
  <c r="I6" i="2"/>
  <c r="I5" i="2"/>
  <c r="I4" i="2"/>
  <c r="I9" i="2" s="1"/>
  <c r="T7" i="2"/>
  <c r="T8" i="2"/>
  <c r="T6" i="2"/>
  <c r="T5" i="2"/>
  <c r="T4" i="2"/>
  <c r="T9" i="2" s="1"/>
  <c r="R8" i="2"/>
  <c r="R7" i="2"/>
  <c r="R6" i="2"/>
  <c r="R5" i="2"/>
  <c r="R4" i="2"/>
  <c r="R9" i="2" s="1"/>
  <c r="P8" i="2"/>
  <c r="P7" i="2"/>
  <c r="P6" i="2"/>
  <c r="P5" i="2"/>
  <c r="P4" i="2"/>
  <c r="P9" i="2" s="1"/>
  <c r="N8" i="2"/>
  <c r="N7" i="2"/>
  <c r="N6" i="2"/>
  <c r="N5" i="2"/>
  <c r="N4" i="2"/>
  <c r="N9" i="2" s="1"/>
  <c r="J8" i="2"/>
  <c r="J7" i="2"/>
  <c r="J6" i="2"/>
  <c r="J4" i="2"/>
  <c r="J5" i="2"/>
  <c r="H7" i="2"/>
  <c r="H5" i="2"/>
  <c r="H4" i="2"/>
  <c r="H9" i="2" s="1"/>
  <c r="H19" i="2"/>
  <c r="J19" i="2"/>
  <c r="N19" i="2"/>
  <c r="P19" i="2"/>
  <c r="R19" i="2"/>
  <c r="T19" i="2"/>
  <c r="W19" i="2"/>
  <c r="V16" i="2"/>
  <c r="V15" i="2"/>
  <c r="V14" i="2"/>
  <c r="V13" i="2"/>
  <c r="V12" i="2"/>
  <c r="V19" i="2" s="1"/>
  <c r="W6" i="2"/>
  <c r="V8" i="2"/>
  <c r="W8" i="2" s="1"/>
  <c r="V7" i="2"/>
  <c r="W7" i="2" s="1"/>
  <c r="V5" i="2"/>
  <c r="W5" i="2" s="1"/>
  <c r="V4" i="2"/>
  <c r="X16" i="2"/>
  <c r="X15" i="2"/>
  <c r="X14" i="2"/>
  <c r="X13" i="2"/>
  <c r="X12" i="2"/>
  <c r="X19" i="2" s="1"/>
  <c r="E10" i="2"/>
  <c r="E9" i="2"/>
  <c r="X8" i="2"/>
  <c r="Y8" i="2" s="1"/>
  <c r="E8" i="2"/>
  <c r="X7" i="2"/>
  <c r="Y7" i="2" s="1"/>
  <c r="E7" i="2"/>
  <c r="X6" i="2"/>
  <c r="Y6" i="2" s="1"/>
  <c r="E6" i="2"/>
  <c r="X5" i="2"/>
  <c r="Y5" i="2" s="1"/>
  <c r="E5" i="2"/>
  <c r="X4" i="2"/>
  <c r="X11" i="2" s="1"/>
  <c r="E4" i="2"/>
  <c r="U12" i="1" l="1"/>
  <c r="U2" i="1"/>
  <c r="U9" i="1"/>
  <c r="U8" i="1"/>
  <c r="U7" i="1"/>
  <c r="U6" i="1"/>
  <c r="U5" i="1"/>
  <c r="U4" i="1"/>
  <c r="U3" i="1"/>
  <c r="V9" i="2"/>
  <c r="V11" i="2"/>
  <c r="J9" i="2"/>
  <c r="W4" i="2"/>
  <c r="Y4" i="2"/>
  <c r="Y11" i="2" s="1"/>
  <c r="W9" i="2" l="1"/>
  <c r="W11" i="2" s="1"/>
</calcChain>
</file>

<file path=xl/sharedStrings.xml><?xml version="1.0" encoding="utf-8"?>
<sst xmlns="http://schemas.openxmlformats.org/spreadsheetml/2006/main" count="183" uniqueCount="99">
  <si>
    <t>Site Name</t>
  </si>
  <si>
    <t>Month</t>
  </si>
  <si>
    <t>Year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</si>
  <si>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</si>
  <si>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</si>
  <si>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</si>
  <si>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</si>
  <si>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</si>
  <si>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</si>
  <si>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</si>
  <si>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</si>
  <si>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</si>
  <si>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</si>
  <si>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mixed metals</t>
  </si>
  <si>
    <t>Total cost mixed metals</t>
  </si>
  <si>
    <t>Total (per Unit) food waste</t>
  </si>
  <si>
    <t>Total cost food waste</t>
  </si>
  <si>
    <t>Total (per Unit) general municipal solid waste</t>
  </si>
  <si>
    <t>Total cost general municipal solid waste</t>
  </si>
  <si>
    <t>Seychelles</t>
  </si>
  <si>
    <t>Assigned Team member</t>
  </si>
  <si>
    <t>Collected by third party for recycling, not going landfill</t>
  </si>
  <si>
    <t>Collected third party, getting to scr value</t>
  </si>
  <si>
    <t>Collected by Wastea, data from Birthstreet invoice</t>
  </si>
  <si>
    <t>Collected by LWMA, data from Birthstreet invoice</t>
  </si>
  <si>
    <t>Collected by third party scrap meter licence, getting scr65 value per battery</t>
  </si>
  <si>
    <t>Clemance to weight and share data</t>
  </si>
  <si>
    <t>Collected by third party (animal farm). Clemence to share data</t>
  </si>
  <si>
    <t>Collected by Wastea, data from Birthstreet invoice. (Skip + Compactor)</t>
  </si>
  <si>
    <t>Weight</t>
  </si>
  <si>
    <t>Trojan battery 145</t>
  </si>
  <si>
    <t>Trojan battery 875</t>
  </si>
  <si>
    <t>Step 3-IN SEYCHELLES RUPEE</t>
  </si>
  <si>
    <t xml:space="preserve">Total cost liquid hazardous waste </t>
  </si>
  <si>
    <t>Total cost batteries (scr65)</t>
  </si>
  <si>
    <t>OIL WASTE</t>
  </si>
  <si>
    <t>GREASE TRAP</t>
  </si>
  <si>
    <t>ENGINE OIL</t>
  </si>
  <si>
    <t>BATTERIES</t>
  </si>
  <si>
    <t>SCRAP METAL</t>
  </si>
  <si>
    <t>FOOD WASTE</t>
  </si>
  <si>
    <t>COMPACTOR+WOOD SKIP</t>
  </si>
  <si>
    <t>Outlet</t>
  </si>
  <si>
    <t>Bin per day</t>
  </si>
  <si>
    <t>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</si>
  <si>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</si>
  <si>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</si>
  <si>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</si>
  <si>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</si>
  <si>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</si>
  <si>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</si>
  <si>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</si>
  <si>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</si>
  <si>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</si>
  <si>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</si>
  <si>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</si>
  <si>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</si>
  <si>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Kannel</t>
  </si>
  <si>
    <t>Zez</t>
  </si>
  <si>
    <t>IVD</t>
  </si>
  <si>
    <t>Buther</t>
  </si>
  <si>
    <t>Sitronel</t>
  </si>
  <si>
    <t>E-housing</t>
  </si>
  <si>
    <t>Residence</t>
  </si>
  <si>
    <t>KG</t>
  </si>
  <si>
    <t>jan</t>
  </si>
  <si>
    <t>feb</t>
  </si>
  <si>
    <t>mar</t>
  </si>
  <si>
    <t>apr</t>
  </si>
  <si>
    <t>may</t>
  </si>
  <si>
    <t>jun</t>
  </si>
  <si>
    <t>jul</t>
  </si>
  <si>
    <t>aug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</si>
  <si>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</si>
  <si>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</si>
  <si>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</si>
  <si>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</si>
  <si>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</si>
  <si>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</si>
  <si>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</si>
  <si>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</si>
  <si>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</si>
  <si>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</si>
  <si>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</si>
  <si>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Step2- Information gathered from Step1 to insert on "Insert in SCR sheet"</t>
  </si>
  <si>
    <t>Step1- Information gathered from Birthstreet POs</t>
  </si>
  <si>
    <t>Grease Trap (Kitchen Outlets)</t>
  </si>
  <si>
    <t>Compactor (STP)</t>
  </si>
  <si>
    <t xml:space="preserve">Skip (BOH) </t>
  </si>
  <si>
    <t>Grease Trap</t>
  </si>
  <si>
    <t>Tonnes</t>
  </si>
  <si>
    <t>Convert in Kg</t>
  </si>
  <si>
    <t>Total price SCR</t>
  </si>
  <si>
    <t>Total Kg of Compactor + Skip</t>
  </si>
  <si>
    <t>Total Price of Compactor + Skip</t>
  </si>
  <si>
    <t>No. of Request</t>
  </si>
  <si>
    <t>Total price</t>
  </si>
  <si>
    <t>Not available on PO</t>
  </si>
  <si>
    <t>Food waste No. of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</si>
</sst>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SCR]\ #,##0.00"/>
    <numFmt numFmtId="165" formatCode="_([$€-2]\ * #,##0.00_);_([$€-2]\ * \(#,##0.00\);_([$€-2]\ * &quot;-&quot;??_);_(@_)"/>
    <numFmt numFmtId="166" formatCode="_([$SCR]\ * #,##0.00_);_([$SCR]\ * \(#,##0.00\);_([$SCR]\ 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00"/>
      <name val="Arial"/>
      <family val="2"/>
    </font>
    <font>
      <sz val="10"/>
      <color rgb="FFFFFF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3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right"/>
    </xf>
    <xf numFmtId="16" fontId="3" fillId="3" borderId="1" xfId="0" applyNumberFormat="1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9" fontId="5" fillId="4" borderId="1" xfId="0" applyNumberFormat="1" applyFont="1" applyFill="1" applyBorder="1" applyAlignment="1">
      <alignment horizontal="right"/>
    </xf>
    <xf numFmtId="9" fontId="5" fillId="4" borderId="2" xfId="0" applyNumberFormat="1" applyFont="1" applyFill="1" applyBorder="1" applyAlignment="1">
      <alignment horizontal="right"/>
    </xf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5" fillId="4" borderId="11" xfId="0" applyFont="1" applyFill="1" applyBorder="1" applyAlignment="1">
      <alignment horizontal="right"/>
    </xf>
    <xf numFmtId="0" fontId="0" fillId="0" borderId="11" xfId="0" applyBorder="1"/>
    <xf numFmtId="2" fontId="2" fillId="0" borderId="1" xfId="0" applyNumberFormat="1" applyFont="1" applyBorder="1"/>
    <xf numFmtId="0" fontId="7" fillId="0" borderId="1" xfId="0" applyFont="1" applyBorder="1"/>
    <xf numFmtId="0" fontId="0" fillId="3" borderId="8" xfId="0" applyFill="1" applyBorder="1"/>
    <xf numFmtId="0" fontId="3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0" fillId="0" borderId="3" xfId="0" applyBorder="1"/>
    <xf numFmtId="1" fontId="0" fillId="5" borderId="2" xfId="0" applyNumberFormat="1" applyFill="1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2" fillId="0" borderId="12" xfId="0" applyNumberFormat="1" applyFont="1" applyBorder="1" applyAlignment="1">
      <alignment horizontal="right"/>
    </xf>
    <xf numFmtId="1" fontId="0" fillId="0" borderId="13" xfId="0" applyNumberFormat="1" applyBorder="1"/>
    <xf numFmtId="0" fontId="1" fillId="0" borderId="2" xfId="0" applyFont="1" applyBorder="1" applyAlignment="1">
      <alignment wrapText="1"/>
    </xf>
    <xf numFmtId="165" fontId="0" fillId="0" borderId="1" xfId="0" applyNumberFormat="1" applyBorder="1"/>
    <xf numFmtId="0" fontId="0" fillId="0" borderId="13" xfId="0" applyBorder="1"/>
    <xf numFmtId="0" fontId="3" fillId="2" borderId="2" xfId="0" applyFont="1" applyFill="1" applyBorder="1"/>
    <xf numFmtId="2" fontId="0" fillId="0" borderId="0" xfId="0" applyNumberFormat="1"/>
    <xf numFmtId="16" fontId="3" fillId="3" borderId="3" xfId="0" applyNumberFormat="1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2" fillId="2" borderId="5" xfId="0" applyNumberFormat="1" applyFont="1" applyFill="1" applyBorder="1" applyAlignment="1">
      <alignment horizontal="right"/>
    </xf>
    <xf numFmtId="164" fontId="2" fillId="2" borderId="12" xfId="0" applyNumberFormat="1" applyFont="1" applyFill="1" applyBorder="1" applyAlignment="1">
      <alignment horizontal="right"/>
    </xf>
    <xf numFmtId="1" fontId="0" fillId="6" borderId="4" xfId="0" applyNumberFormat="1" applyFill="1" applyBorder="1"/>
    <xf numFmtId="1" fontId="0" fillId="6" borderId="13" xfId="0" applyNumberFormat="1" applyFill="1" applyBorder="1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0" fillId="0" borderId="8" xfId="0" applyBorder="1"/>
    <xf numFmtId="1" fontId="0" fillId="0" borderId="0" xfId="0" applyNumberFormat="1"/>
    <xf numFmtId="1" fontId="0" fillId="0" borderId="3" xfId="0" applyNumberFormat="1" applyBorder="1"/>
    <xf numFmtId="0" fontId="1" fillId="0" borderId="5" xfId="0" applyFont="1" applyBorder="1" applyAlignment="1">
      <alignment wrapText="1"/>
    </xf>
    <xf numFmtId="164" fontId="2" fillId="0" borderId="0" xfId="0" applyNumberFormat="1" applyFont="1" applyAlignment="1">
      <alignment horizontal="right"/>
    </xf>
    <xf numFmtId="166" fontId="0" fillId="0" borderId="0" xfId="0" applyNumberFormat="1"/>
    <xf numFmtId="164" fontId="2" fillId="0" borderId="14" xfId="0" applyNumberFormat="1" applyFont="1" applyBorder="1" applyAlignment="1">
      <alignment horizontal="right"/>
    </xf>
    <xf numFmtId="1" fontId="0" fillId="0" borderId="14" xfId="0" applyNumberFormat="1" applyBorder="1"/>
    <xf numFmtId="0" fontId="0" fillId="0" borderId="14" xfId="0" applyBorder="1"/>
    <xf numFmtId="166" fontId="0" fillId="0" borderId="14" xfId="0" applyNumberFormat="1" applyBorder="1"/>
    <xf numFmtId="0" fontId="0" fillId="0" borderId="9" xfId="0" applyBorder="1"/>
    <xf numFmtId="164" fontId="2" fillId="6" borderId="14" xfId="0" applyNumberFormat="1" applyFont="1" applyFill="1" applyBorder="1" applyAlignment="1">
      <alignment horizontal="right"/>
    </xf>
    <xf numFmtId="164" fontId="2" fillId="6" borderId="0" xfId="0" applyNumberFormat="1" applyFont="1" applyFill="1" applyAlignment="1">
      <alignment horizontal="right"/>
    </xf>
    <xf numFmtId="0" fontId="0" fillId="6" borderId="13" xfId="0" applyFill="1" applyBorder="1"/>
    <xf numFmtId="0" fontId="0" fillId="6" borderId="0" xfId="0" applyFill="1"/>
    <xf numFmtId="0" fontId="0" fillId="6" borderId="7" xfId="0" applyFill="1" applyBorder="1"/>
    <xf numFmtId="0" fontId="0" fillId="6" borderId="9" xfId="0" applyFill="1" applyBorder="1"/>
    <xf numFmtId="164" fontId="10" fillId="0" borderId="14" xfId="0" applyNumberFormat="1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166" fontId="10" fillId="0" borderId="14" xfId="0" applyNumberFormat="1" applyFont="1" applyBorder="1" applyAlignment="1">
      <alignment horizontal="right"/>
    </xf>
    <xf numFmtId="166" fontId="10" fillId="0" borderId="0" xfId="0" applyNumberFormat="1" applyFont="1" applyAlignment="1">
      <alignment horizontal="right"/>
    </xf>
    <xf numFmtId="166" fontId="9" fillId="0" borderId="0" xfId="0" applyNumberFormat="1" applyFont="1"/>
    <xf numFmtId="166" fontId="9" fillId="0" borderId="9" xfId="0" applyNumberFormat="1" applyFont="1" applyBorder="1"/>
    <xf numFmtId="1" fontId="0" fillId="6" borderId="14" xfId="0" applyNumberFormat="1" applyFill="1" applyBorder="1"/>
    <xf numFmtId="1" fontId="0" fillId="6" borderId="0" xfId="0" applyNumberFormat="1" applyFill="1"/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1" fillId="7" borderId="1" xfId="0" applyFont="1" applyFill="1" applyBorder="1"/>
    <xf numFmtId="0" fontId="1" fillId="0" borderId="6" xfId="0" applyFont="1" applyBorder="1"/>
    <xf numFmtId="0" fontId="1" fillId="5" borderId="1" xfId="0" applyFont="1" applyFill="1" applyBorder="1"/>
    <xf numFmtId="0" fontId="8" fillId="5" borderId="1" xfId="0" applyFont="1" applyFill="1" applyBorder="1"/>
    <xf numFmtId="0" fontId="7" fillId="0" borderId="0" xfId="0" applyFont="1"/>
    <xf numFmtId="1" fontId="0" fillId="0" borderId="8" xfId="0" applyNumberFormat="1" applyBorder="1"/>
    <xf numFmtId="164" fontId="2" fillId="0" borderId="9" xfId="0" applyNumberFormat="1" applyFont="1" applyBorder="1" applyAlignment="1">
      <alignment horizontal="right"/>
    </xf>
    <xf numFmtId="166" fontId="0" fillId="0" borderId="9" xfId="0" applyNumberFormat="1" applyBorder="1"/>
    <xf numFmtId="164" fontId="10" fillId="0" borderId="9" xfId="0" applyNumberFormat="1" applyFont="1" applyBorder="1" applyAlignment="1">
      <alignment horizontal="right"/>
    </xf>
    <xf numFmtId="2" fontId="0" fillId="0" borderId="12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4" xfId="0" applyNumberFormat="1" applyBorder="1"/>
    <xf numFmtId="2" fontId="0" fillId="0" borderId="14" xfId="0" applyNumberFormat="1" applyBorder="1"/>
    <xf numFmtId="2" fontId="0" fillId="0" borderId="13" xfId="0" applyNumberFormat="1" applyBorder="1"/>
    <xf numFmtId="2" fontId="0" fillId="0" borderId="7" xfId="0" applyNumberFormat="1" applyBorder="1"/>
    <xf numFmtId="2" fontId="0" fillId="0" borderId="5" xfId="0" applyNumberFormat="1" applyBorder="1"/>
    <xf numFmtId="0" fontId="0" fillId="5" borderId="2" xfId="0" applyFill="1" applyBorder="1"/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0" borderId="0" xfId="0" applyFont="1"/>
    <xf numFmtId="0" fontId="8" fillId="0" borderId="1" xfId="0" applyFont="1" applyBorder="1"/>
    <xf numFmtId="166" fontId="9" fillId="0" borderId="12" xfId="0" applyNumberFormat="1" applyFont="1" applyBorder="1"/>
    <xf numFmtId="166" fontId="9" fillId="0" borderId="10" xfId="0" applyNumberFormat="1" applyFont="1" applyBorder="1"/>
    <xf numFmtId="166" fontId="10" fillId="0" borderId="5" xfId="0" applyNumberFormat="1" applyFont="1" applyBorder="1" applyAlignment="1">
      <alignment horizontal="right"/>
    </xf>
    <xf numFmtId="166" fontId="10" fillId="0" borderId="12" xfId="0" applyNumberFormat="1" applyFont="1" applyBorder="1" applyAlignment="1">
      <alignment horizontal="right"/>
    </xf>
    <xf numFmtId="2" fontId="10" fillId="0" borderId="5" xfId="0" applyNumberFormat="1" applyFont="1" applyBorder="1" applyAlignment="1">
      <alignment horizontal="right"/>
    </xf>
    <xf numFmtId="2" fontId="10" fillId="0" borderId="12" xfId="0" applyNumberFormat="1" applyFont="1" applyBorder="1" applyAlignment="1">
      <alignment horizontal="right"/>
    </xf>
    <xf numFmtId="2" fontId="10" fillId="0" borderId="10" xfId="0" applyNumberFormat="1" applyFont="1" applyBorder="1" applyAlignment="1">
      <alignment horizontal="right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" fillId="5" borderId="0" xfId="0" applyFont="1" applyFill="1" applyAlignment="1">
      <alignment horizontal="center"/>
    </xf>
    <xf numFmtId="16" fontId="3" fillId="3" borderId="3" xfId="0" applyNumberFormat="1" applyFont="1" applyFill="1" applyBorder="1" applyAlignment="1">
      <alignment horizontal="center"/>
    </xf>
    <xf numFmtId="16" fontId="3" fillId="3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pane xSplit="3" topLeftCell="D1" activePane="topRight" state="frozen"/>
      <selection pane="topRight" activeCell="E5" sqref="E5"/>
    </sheetView>
  </sheetViews>
  <sheetFormatPr defaultRowHeight="14.4" x14ac:dyDescent="0.3"/>
  <cols>
    <col min="1" max="1" width="10" customWidth="1"/>
    <col min="2" max="2" width="7" customWidth="1"/>
    <col min="3" max="3" width="6.6640625" customWidth="1"/>
    <col min="4" max="5" width="15.44140625" customWidth="1"/>
    <col min="6" max="6" width="18.6640625" customWidth="1"/>
    <col min="7" max="7" width="16.44140625" customWidth="1"/>
    <col min="8" max="8" width="20.33203125" customWidth="1"/>
    <col min="9" max="9" width="16.5546875" customWidth="1"/>
    <col min="10" max="10" width="20.109375" customWidth="1"/>
    <col min="11" max="11" width="18.88671875" customWidth="1"/>
    <col min="12" max="12" width="13.44140625" customWidth="1"/>
    <col min="13" max="13" width="15.5546875" customWidth="1"/>
    <col min="14" max="14" width="15.109375" customWidth="1"/>
    <col min="15" max="15" width="15.44140625" customWidth="1"/>
    <col min="16" max="16" width="14.109375" customWidth="1"/>
    <col min="17" max="17" width="13.88671875" customWidth="1"/>
    <col min="18" max="18" width="21.6640625" customWidth="1"/>
    <col min="19" max="19" width="20.44140625" customWidth="1"/>
    <col min="24" max="24" width="10.109375" customWidth="1"/>
  </cols>
  <sheetData>
    <row r="1" spans="1:21" ht="28.8" x14ac:dyDescent="0.3">
      <c r="A1" s="24" t="s">
        <v>0</v>
      </c>
      <c r="B1" s="24" t="s">
        <v>1</v>
      </c>
      <c r="C1" s="24" t="s">
        <v>2</v>
      </c>
      <c r="D1" s="46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</row>
    <row r="2" spans="1:21" x14ac:dyDescent="0.3">
      <c r="A2" s="9" t="s">
        <v>19</v>
      </c>
      <c r="B2" s="10">
        <v>1</v>
      </c>
      <c r="C2" s="45">
        <v>2023</v>
      </c>
      <c r="D2" s="82">
        <v>0</v>
      </c>
      <c r="E2" s="83">
        <v>0</v>
      </c>
      <c r="F2" s="82">
        <f>'Insert in SCR'!F5</f>
        <v>675</v>
      </c>
      <c r="G2" s="83">
        <f>'Insert in SCR'!G5</f>
        <v>0</v>
      </c>
      <c r="H2" s="82">
        <f>'Insert in SCR'!H5</f>
        <v>0</v>
      </c>
      <c r="I2" s="83">
        <f>'Insert in SCR'!I5/13.68</f>
        <v>0</v>
      </c>
      <c r="J2" s="82">
        <f>'Insert in SCR'!J5</f>
        <v>0</v>
      </c>
      <c r="K2" s="83">
        <f>'Insert in SCR'!K5/13.68</f>
        <v>0</v>
      </c>
      <c r="L2" s="82">
        <v>0</v>
      </c>
      <c r="M2" s="86">
        <f>'Insert in SCR'!M5/13.68</f>
        <v>0</v>
      </c>
      <c r="N2" s="83">
        <v>0</v>
      </c>
      <c r="O2" s="83">
        <v>0</v>
      </c>
      <c r="P2" s="82">
        <f>'Insert in SCR'!P5</f>
        <v>2853</v>
      </c>
      <c r="Q2" s="86">
        <f>'Insert in SCR'!Q5/13.68</f>
        <v>0</v>
      </c>
      <c r="R2" s="83">
        <f>'Insert in SCR'!R5</f>
        <v>0</v>
      </c>
      <c r="S2" s="98">
        <f>'Insert in SCR'!S5/13.68</f>
        <v>0</v>
      </c>
      <c r="U2" s="32">
        <f>SUM(D2,F2,H2,J2,L2,N2,P2,R2)</f>
        <v>3528</v>
      </c>
    </row>
    <row r="3" spans="1:21" x14ac:dyDescent="0.3">
      <c r="A3" s="9" t="s">
        <v>19</v>
      </c>
      <c r="B3" s="10">
        <v>2</v>
      </c>
      <c r="C3" s="45">
        <v>2023</v>
      </c>
      <c r="D3" s="84">
        <v>0</v>
      </c>
      <c r="E3" s="32">
        <v>0</v>
      </c>
      <c r="F3" s="84">
        <v>425</v>
      </c>
      <c r="G3" s="32">
        <f>'Insert in SCR'!G6</f>
        <v>0</v>
      </c>
      <c r="H3" s="84">
        <f>'Insert in SCR'!H6</f>
        <v>0</v>
      </c>
      <c r="I3" s="32">
        <f>'Insert in SCR'!I6/13.68</f>
        <v>0</v>
      </c>
      <c r="J3" s="84">
        <f>'Insert in SCR'!J6</f>
        <v>0</v>
      </c>
      <c r="K3" s="32">
        <f>'Insert in SCR'!K6/13.68</f>
        <v>0</v>
      </c>
      <c r="L3" s="84">
        <v>1023</v>
      </c>
      <c r="M3" s="79">
        <f>'Insert in SCR'!M6/13.68</f>
        <v>0</v>
      </c>
      <c r="N3" s="32">
        <v>0</v>
      </c>
      <c r="O3" s="32">
        <v>0</v>
      </c>
      <c r="P3" s="84">
        <v>2311</v>
      </c>
      <c r="Q3" s="79">
        <f>'Insert in SCR'!Q6/13.68</f>
        <v>0</v>
      </c>
      <c r="R3" s="32">
        <f>'Insert in SCR'!R6</f>
        <v>0</v>
      </c>
      <c r="S3" s="99">
        <f>'Insert in SCR'!S6/13.68</f>
        <v>0</v>
      </c>
      <c r="U3" s="32">
        <f>SUM(D3,F3,H3,J3,L3,N3,P3,R3)</f>
        <v>3759</v>
      </c>
    </row>
    <row r="4" spans="1:21" x14ac:dyDescent="0.3">
      <c r="A4" s="9" t="s">
        <v>19</v>
      </c>
      <c r="B4" s="10">
        <v>3</v>
      </c>
      <c r="C4" s="45">
        <v>2023</v>
      </c>
      <c r="D4" s="84">
        <v>0</v>
      </c>
      <c r="E4" s="32">
        <v>0</v>
      </c>
      <c r="F4" s="84">
        <f>'Insert in SCR'!F7</f>
        <v>0</v>
      </c>
      <c r="G4" s="32">
        <f>'Insert in SCR'!G7</f>
        <v>0</v>
      </c>
      <c r="H4" s="84">
        <f>'Insert in SCR'!H7</f>
        <v>0</v>
      </c>
      <c r="I4" s="32">
        <f>'Insert in SCR'!I7/13.68</f>
        <v>0</v>
      </c>
      <c r="J4" s="84">
        <f>'Insert in SCR'!J7</f>
        <v>0</v>
      </c>
      <c r="K4" s="32">
        <f>'Insert in SCR'!K7/13.68</f>
        <v>0</v>
      </c>
      <c r="L4" s="84">
        <v>660</v>
      </c>
      <c r="M4" s="79">
        <f>'Insert in SCR'!M7/13.68</f>
        <v>0</v>
      </c>
      <c r="N4" s="32">
        <v>0</v>
      </c>
      <c r="O4" s="32">
        <v>0</v>
      </c>
      <c r="P4" s="84">
        <f>'Insert in SCR'!P7</f>
        <v>0</v>
      </c>
      <c r="Q4" s="79">
        <f>'Insert in SCR'!Q7/13.68</f>
        <v>0</v>
      </c>
      <c r="R4" s="32">
        <f>'Insert in SCR'!R7</f>
        <v>0</v>
      </c>
      <c r="S4" s="99">
        <f>'Insert in SCR'!S7/13.68</f>
        <v>0</v>
      </c>
      <c r="U4" s="32">
        <f t="shared" ref="U4:U13" si="0">SUM(D4,F4,H4,J4,L4,N4,P4,R4)</f>
        <v>660</v>
      </c>
    </row>
    <row r="5" spans="1:21" x14ac:dyDescent="0.3">
      <c r="A5" s="9" t="s">
        <v>19</v>
      </c>
      <c r="B5" s="10">
        <v>4</v>
      </c>
      <c r="C5" s="45">
        <v>2023</v>
      </c>
      <c r="D5" s="84">
        <v>0</v>
      </c>
      <c r="E5" s="32">
        <v>0</v>
      </c>
      <c r="F5" s="84">
        <f>'Insert in SCR'!F8</f>
        <v>0</v>
      </c>
      <c r="G5" s="32">
        <f>'Insert in SCR'!G8</f>
        <v>0</v>
      </c>
      <c r="H5" s="84">
        <f>'Insert in SCR'!H8</f>
        <v>0</v>
      </c>
      <c r="I5" s="32">
        <f>'Insert in SCR'!I8/13.68</f>
        <v>0</v>
      </c>
      <c r="J5" s="84">
        <f>'Insert in SCR'!J8</f>
        <v>0</v>
      </c>
      <c r="K5" s="32">
        <f>'Insert in SCR'!K8/13.68</f>
        <v>0</v>
      </c>
      <c r="L5" s="84">
        <v>1650</v>
      </c>
      <c r="M5" s="79">
        <f>'Insert in SCR'!M8/13.68</f>
        <v>0</v>
      </c>
      <c r="N5" s="32">
        <v>0</v>
      </c>
      <c r="O5" s="32">
        <v>0</v>
      </c>
      <c r="P5" s="84">
        <f>'Insert in SCR'!P8</f>
        <v>0</v>
      </c>
      <c r="Q5" s="79">
        <f>'Insert in SCR'!Q8/13.68</f>
        <v>0</v>
      </c>
      <c r="R5" s="32">
        <f>'Insert in SCR'!R8</f>
        <v>0</v>
      </c>
      <c r="S5" s="99">
        <f>'Insert in SCR'!S8/13.68</f>
        <v>0</v>
      </c>
      <c r="U5" s="32">
        <f t="shared" si="0"/>
        <v>1650</v>
      </c>
    </row>
    <row r="6" spans="1:21" x14ac:dyDescent="0.3">
      <c r="A6" s="9" t="s">
        <v>19</v>
      </c>
      <c r="B6" s="10">
        <v>5</v>
      </c>
      <c r="C6" s="45">
        <v>2023</v>
      </c>
      <c r="D6" s="84">
        <v>0</v>
      </c>
      <c r="E6" s="32">
        <v>0</v>
      </c>
      <c r="F6" s="84">
        <f>'Insert in SCR'!F9</f>
        <v>0</v>
      </c>
      <c r="G6" s="32">
        <f>'Insert in SCR'!G9</f>
        <v>0</v>
      </c>
      <c r="H6" s="84">
        <f>'Insert in SCR'!H9</f>
        <v>0</v>
      </c>
      <c r="I6" s="32">
        <f>'Insert in SCR'!I9/13.68</f>
        <v>0</v>
      </c>
      <c r="J6" s="84">
        <f>'Insert in SCR'!J9</f>
        <v>0</v>
      </c>
      <c r="K6" s="32">
        <f>'Insert in SCR'!K9/13.68</f>
        <v>0</v>
      </c>
      <c r="L6" s="84">
        <v>2178</v>
      </c>
      <c r="M6" s="79">
        <f>'Insert in SCR'!M9/13.68</f>
        <v>0</v>
      </c>
      <c r="N6" s="32">
        <v>0</v>
      </c>
      <c r="O6" s="32">
        <v>0</v>
      </c>
      <c r="P6" s="84">
        <f>'Insert in SCR'!P9</f>
        <v>0</v>
      </c>
      <c r="Q6" s="79">
        <f>'Insert in SCR'!Q9/13.68</f>
        <v>0</v>
      </c>
      <c r="R6" s="32">
        <f>'Insert in SCR'!R9</f>
        <v>0</v>
      </c>
      <c r="S6" s="99">
        <f>'Insert in SCR'!S9/13.68</f>
        <v>0</v>
      </c>
      <c r="U6" s="32">
        <f t="shared" si="0"/>
        <v>2178</v>
      </c>
    </row>
    <row r="7" spans="1:21" x14ac:dyDescent="0.3">
      <c r="A7" s="9" t="s">
        <v>19</v>
      </c>
      <c r="B7" s="10">
        <v>6</v>
      </c>
      <c r="C7" s="45">
        <v>2023</v>
      </c>
      <c r="D7" s="84">
        <v>0</v>
      </c>
      <c r="E7" s="32">
        <v>0</v>
      </c>
      <c r="F7" s="84">
        <f>'Insert in SCR'!F10</f>
        <v>0</v>
      </c>
      <c r="G7" s="32">
        <f>'Insert in SCR'!G10</f>
        <v>0</v>
      </c>
      <c r="H7" s="84">
        <f>'Insert in SCR'!H10</f>
        <v>0</v>
      </c>
      <c r="I7" s="32">
        <f>'Insert in SCR'!I10/13.68</f>
        <v>0</v>
      </c>
      <c r="J7" s="84">
        <f>'Insert in SCR'!J10</f>
        <v>0</v>
      </c>
      <c r="K7" s="32">
        <f>'Insert in SCR'!K10/13.68</f>
        <v>0</v>
      </c>
      <c r="L7" s="84">
        <v>4420</v>
      </c>
      <c r="M7" s="79">
        <f>'Insert in SCR'!M10/13.68</f>
        <v>0</v>
      </c>
      <c r="N7" s="32">
        <v>0</v>
      </c>
      <c r="O7" s="32">
        <v>0</v>
      </c>
      <c r="P7" s="84">
        <f>'Insert in SCR'!P10</f>
        <v>0</v>
      </c>
      <c r="Q7" s="79">
        <f>'Insert in SCR'!Q10/13.68</f>
        <v>0</v>
      </c>
      <c r="R7" s="32">
        <f>'Insert in SCR'!R10</f>
        <v>0</v>
      </c>
      <c r="S7" s="99">
        <f>'Insert in SCR'!S10/13.68</f>
        <v>0</v>
      </c>
      <c r="U7" s="32">
        <f t="shared" si="0"/>
        <v>4420</v>
      </c>
    </row>
    <row r="8" spans="1:21" x14ac:dyDescent="0.3">
      <c r="A8" s="9" t="s">
        <v>19</v>
      </c>
      <c r="B8" s="10">
        <v>7</v>
      </c>
      <c r="C8" s="45">
        <v>2023</v>
      </c>
      <c r="D8" s="84">
        <v>0</v>
      </c>
      <c r="E8" s="32">
        <v>0</v>
      </c>
      <c r="F8" s="84">
        <f>'Insert in SCR'!F11</f>
        <v>0</v>
      </c>
      <c r="G8" s="32">
        <f>'Insert in SCR'!G11</f>
        <v>0</v>
      </c>
      <c r="H8" s="84">
        <f>'Insert in SCR'!H11</f>
        <v>0</v>
      </c>
      <c r="I8" s="32">
        <f>'Insert in SCR'!I11/13.68</f>
        <v>0</v>
      </c>
      <c r="J8" s="84">
        <f>'Insert in SCR'!J11</f>
        <v>0</v>
      </c>
      <c r="K8" s="32">
        <f>'Insert in SCR'!K11/13.68</f>
        <v>0</v>
      </c>
      <c r="L8" s="84">
        <v>1452</v>
      </c>
      <c r="M8" s="79">
        <f>'Insert in SCR'!M11/13.68</f>
        <v>0</v>
      </c>
      <c r="N8" s="32">
        <v>0</v>
      </c>
      <c r="O8" s="32">
        <v>0</v>
      </c>
      <c r="P8" s="84">
        <f>'Insert in SCR'!P11</f>
        <v>0</v>
      </c>
      <c r="Q8" s="79">
        <f>'Insert in SCR'!Q11/13.68</f>
        <v>0</v>
      </c>
      <c r="R8" s="32">
        <f>'Insert in SCR'!R11</f>
        <v>0</v>
      </c>
      <c r="S8" s="99">
        <f>'Insert in SCR'!S11/13.68</f>
        <v>0</v>
      </c>
      <c r="U8" s="32">
        <f t="shared" si="0"/>
        <v>1452</v>
      </c>
    </row>
    <row r="9" spans="1:21" x14ac:dyDescent="0.3">
      <c r="A9" s="9" t="s">
        <v>19</v>
      </c>
      <c r="B9" s="10">
        <v>8</v>
      </c>
      <c r="C9" s="45">
        <v>2023</v>
      </c>
      <c r="D9" s="84">
        <v>0</v>
      </c>
      <c r="E9" s="32">
        <v>0</v>
      </c>
      <c r="F9" s="84">
        <f>'Insert in SCR'!F12</f>
        <v>0</v>
      </c>
      <c r="G9" s="32">
        <f>'Insert in SCR'!G12</f>
        <v>0</v>
      </c>
      <c r="H9" s="84">
        <f>'Insert in SCR'!H12</f>
        <v>0</v>
      </c>
      <c r="I9" s="32">
        <f>'Insert in SCR'!I12/13.68</f>
        <v>0</v>
      </c>
      <c r="J9" s="84">
        <f>'Insert in SCR'!J12</f>
        <v>0</v>
      </c>
      <c r="K9" s="32">
        <f>'Insert in SCR'!K12/13.68</f>
        <v>0</v>
      </c>
      <c r="L9" s="84">
        <v>1320</v>
      </c>
      <c r="M9" s="79">
        <f>'Insert in SCR'!M12/13.68</f>
        <v>0</v>
      </c>
      <c r="N9" s="32">
        <v>0</v>
      </c>
      <c r="O9" s="32">
        <v>0</v>
      </c>
      <c r="P9" s="84">
        <f>'Insert in SCR'!P12</f>
        <v>0</v>
      </c>
      <c r="Q9" s="79">
        <f>'Insert in SCR'!Q12/13.68</f>
        <v>0</v>
      </c>
      <c r="R9" s="32">
        <f>'Insert in SCR'!R12</f>
        <v>0</v>
      </c>
      <c r="S9" s="99">
        <f>'Insert in SCR'!S12/13.68</f>
        <v>0</v>
      </c>
      <c r="U9" s="32">
        <f t="shared" si="0"/>
        <v>1320</v>
      </c>
    </row>
    <row r="10" spans="1:21" x14ac:dyDescent="0.3">
      <c r="A10" s="9" t="s">
        <v>19</v>
      </c>
      <c r="B10" s="10">
        <v>9</v>
      </c>
      <c r="C10" s="45">
        <v>2023</v>
      </c>
      <c r="D10" s="84">
        <v>0</v>
      </c>
      <c r="E10" s="32">
        <v>0</v>
      </c>
      <c r="F10" s="84">
        <f>'Insert in SCR'!F13</f>
        <v>0</v>
      </c>
      <c r="G10" s="32">
        <f>'Insert in SCR'!G13</f>
        <v>0</v>
      </c>
      <c r="H10" s="84">
        <f>'Insert in SCR'!H13</f>
        <v>0</v>
      </c>
      <c r="I10" s="32">
        <f>'Insert in SCR'!I13/13.68</f>
        <v>0</v>
      </c>
      <c r="J10" s="84">
        <f>'Insert in SCR'!J13</f>
        <v>0</v>
      </c>
      <c r="K10" s="32">
        <f>'Insert in SCR'!K13/13.68</f>
        <v>0</v>
      </c>
      <c r="L10" s="84">
        <v>0</v>
      </c>
      <c r="M10" s="79">
        <f>'Insert in SCR'!M13/13.68</f>
        <v>0</v>
      </c>
      <c r="N10" s="32">
        <v>0</v>
      </c>
      <c r="O10" s="32">
        <v>0</v>
      </c>
      <c r="P10" s="84">
        <f>'Insert in SCR'!P13</f>
        <v>0</v>
      </c>
      <c r="Q10" s="79">
        <f>'Insert in SCR'!Q13/13.68</f>
        <v>0</v>
      </c>
      <c r="R10" s="32">
        <f>'Insert in SCR'!R13</f>
        <v>0</v>
      </c>
      <c r="S10" s="99">
        <f>'Insert in SCR'!S13/13.68</f>
        <v>0</v>
      </c>
      <c r="U10" s="32">
        <f t="shared" si="0"/>
        <v>0</v>
      </c>
    </row>
    <row r="11" spans="1:21" x14ac:dyDescent="0.3">
      <c r="A11" s="9" t="s">
        <v>19</v>
      </c>
      <c r="B11" s="10">
        <v>10</v>
      </c>
      <c r="C11" s="45">
        <v>2023</v>
      </c>
      <c r="D11" s="84">
        <v>1360</v>
      </c>
      <c r="E11" s="32">
        <v>0</v>
      </c>
      <c r="F11" s="84">
        <f>'Insert in SCR'!F14</f>
        <v>0</v>
      </c>
      <c r="G11" s="32">
        <f>'Insert in SCR'!G14</f>
        <v>0</v>
      </c>
      <c r="H11" s="84">
        <f>'Insert in SCR'!H14</f>
        <v>0</v>
      </c>
      <c r="I11" s="32">
        <f>'Insert in SCR'!I14/13.68</f>
        <v>0</v>
      </c>
      <c r="J11" s="84">
        <f>'Insert in SCR'!J14</f>
        <v>0</v>
      </c>
      <c r="K11" s="32">
        <f>'Insert in SCR'!K14/13.68</f>
        <v>0</v>
      </c>
      <c r="L11" s="84">
        <v>0</v>
      </c>
      <c r="M11" s="79">
        <f>'Insert in SCR'!M14/13.68</f>
        <v>0</v>
      </c>
      <c r="N11" s="32">
        <v>0</v>
      </c>
      <c r="O11" s="32">
        <v>0</v>
      </c>
      <c r="P11" s="84">
        <f>'Insert in SCR'!P14</f>
        <v>0</v>
      </c>
      <c r="Q11" s="79">
        <f>'Insert in SCR'!Q14/13.68</f>
        <v>0</v>
      </c>
      <c r="R11" s="32">
        <f>'Insert in SCR'!R14</f>
        <v>0</v>
      </c>
      <c r="S11" s="99">
        <f>'Insert in SCR'!S14/13.68</f>
        <v>0</v>
      </c>
      <c r="U11" s="32">
        <f t="shared" si="0"/>
        <v>1360</v>
      </c>
    </row>
    <row r="12" spans="1:21" x14ac:dyDescent="0.3">
      <c r="A12" s="9" t="s">
        <v>19</v>
      </c>
      <c r="B12" s="10">
        <v>11</v>
      </c>
      <c r="C12" s="45">
        <v>2023</v>
      </c>
      <c r="D12" s="84"/>
      <c r="E12" s="32"/>
      <c r="F12" s="84">
        <f>'Insert in SCR'!F15</f>
        <v>0</v>
      </c>
      <c r="G12" s="32">
        <f>'Insert in SCR'!G15</f>
        <v>0</v>
      </c>
      <c r="H12" s="84">
        <f>'Insert in SCR'!H15</f>
        <v>0</v>
      </c>
      <c r="I12" s="32">
        <f>'Insert in SCR'!I15/13.68</f>
        <v>0</v>
      </c>
      <c r="J12" s="84">
        <f>'Insert in SCR'!J15</f>
        <v>0</v>
      </c>
      <c r="K12" s="32">
        <f>'Insert in SCR'!K15/13.68</f>
        <v>0</v>
      </c>
      <c r="L12" s="84">
        <v>0</v>
      </c>
      <c r="M12" s="79">
        <f>'Insert in SCR'!M15/13.68</f>
        <v>0</v>
      </c>
      <c r="N12" s="32">
        <v>0</v>
      </c>
      <c r="O12" s="32">
        <v>0</v>
      </c>
      <c r="P12" s="84">
        <f>'Insert in SCR'!P15</f>
        <v>0</v>
      </c>
      <c r="Q12" s="79">
        <f>'Insert in SCR'!Q15/13.68</f>
        <v>0</v>
      </c>
      <c r="R12" s="32">
        <f>'Insert in SCR'!R15</f>
        <v>0</v>
      </c>
      <c r="S12" s="99">
        <f>'Insert in SCR'!S15/13.68</f>
        <v>0</v>
      </c>
      <c r="U12" s="32">
        <f t="shared" si="0"/>
        <v>0</v>
      </c>
    </row>
    <row r="13" spans="1:21" x14ac:dyDescent="0.3">
      <c r="A13" s="9" t="s">
        <v>19</v>
      </c>
      <c r="B13" s="10">
        <v>12</v>
      </c>
      <c r="C13" s="45">
        <v>2023</v>
      </c>
      <c r="D13" s="85"/>
      <c r="E13" s="80"/>
      <c r="F13" s="85">
        <v>500</v>
      </c>
      <c r="G13" s="80">
        <v>0</v>
      </c>
      <c r="H13" s="85">
        <f>'Insert in SCR'!H16</f>
        <v>0</v>
      </c>
      <c r="I13" s="80">
        <f>'Insert in SCR'!I16/13.68</f>
        <v>0</v>
      </c>
      <c r="J13" s="85">
        <v>2680</v>
      </c>
      <c r="K13" s="80">
        <f>'Insert in SCR'!K16/13.68</f>
        <v>0</v>
      </c>
      <c r="L13" s="85">
        <v>0</v>
      </c>
      <c r="M13" s="81">
        <f>'Insert in SCR'!M16/13.68</f>
        <v>0</v>
      </c>
      <c r="N13" s="80">
        <v>0</v>
      </c>
      <c r="O13" s="80">
        <v>0</v>
      </c>
      <c r="P13" s="85">
        <v>2583</v>
      </c>
      <c r="Q13" s="81">
        <f>'Insert in SCR'!Q16/13.68</f>
        <v>0</v>
      </c>
      <c r="R13" s="80">
        <f>'Insert in SCR'!R16</f>
        <v>0</v>
      </c>
      <c r="S13" s="100">
        <f>'Insert in SCR'!S16/13.68</f>
        <v>0</v>
      </c>
      <c r="U13" s="32">
        <f t="shared" si="0"/>
        <v>5763</v>
      </c>
    </row>
    <row r="15" spans="1:21" s="40" customFormat="1" ht="45.75" customHeight="1" x14ac:dyDescent="0.3">
      <c r="A15" s="104" t="s">
        <v>20</v>
      </c>
      <c r="B15" s="104"/>
      <c r="C15" s="104"/>
      <c r="D15" s="103" t="s">
        <v>21</v>
      </c>
      <c r="E15" s="103"/>
      <c r="F15" s="103" t="s">
        <v>22</v>
      </c>
      <c r="G15" s="103"/>
      <c r="H15" s="103" t="s">
        <v>23</v>
      </c>
      <c r="I15" s="103"/>
      <c r="J15" s="103" t="s">
        <v>24</v>
      </c>
      <c r="K15" s="103"/>
      <c r="L15" s="103" t="s">
        <v>25</v>
      </c>
      <c r="M15" s="103"/>
      <c r="N15" s="103" t="s">
        <v>26</v>
      </c>
      <c r="O15" s="103"/>
      <c r="P15" s="103" t="s">
        <v>27</v>
      </c>
      <c r="Q15" s="103"/>
      <c r="R15" s="103" t="s">
        <v>28</v>
      </c>
      <c r="S15" s="103"/>
    </row>
    <row r="18" spans="4:19" x14ac:dyDescent="0.3">
      <c r="D18" s="32"/>
      <c r="E18" s="32"/>
      <c r="F18" s="32"/>
      <c r="G18" s="32"/>
      <c r="H18" s="32"/>
      <c r="I18" s="32"/>
      <c r="J18" s="32"/>
      <c r="K18" s="101" t="s">
        <v>11</v>
      </c>
      <c r="L18" s="102" t="s">
        <v>29</v>
      </c>
      <c r="M18" s="32"/>
      <c r="N18" s="32"/>
      <c r="O18" s="32"/>
      <c r="P18" s="32"/>
      <c r="Q18" s="32"/>
      <c r="R18" s="32"/>
      <c r="S18" s="32"/>
    </row>
    <row r="19" spans="4:19" x14ac:dyDescent="0.3">
      <c r="D19" s="32"/>
      <c r="K19" s="101" t="s">
        <v>30</v>
      </c>
      <c r="L19" s="9">
        <v>33</v>
      </c>
    </row>
    <row r="20" spans="4:19" x14ac:dyDescent="0.3">
      <c r="K20" s="101" t="s">
        <v>31</v>
      </c>
      <c r="L20" s="9">
        <v>29</v>
      </c>
    </row>
  </sheetData>
  <mergeCells count="9">
    <mergeCell ref="N15:O15"/>
    <mergeCell ref="P15:Q15"/>
    <mergeCell ref="R15:S15"/>
    <mergeCell ref="A15:C15"/>
    <mergeCell ref="D15:E15"/>
    <mergeCell ref="F15:G15"/>
    <mergeCell ref="H15:I15"/>
    <mergeCell ref="J15:K15"/>
    <mergeCell ref="L15:M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DE3-0DC4-4977-9E60-70C75C8B94D9}">
  <dimension ref="A2:S18"/>
  <sheetViews>
    <sheetView workbookViewId="0">
      <pane xSplit="3" topLeftCell="D1" activePane="topRight" state="frozen"/>
      <selection pane="topRight" activeCell="F22" sqref="F22"/>
    </sheetView>
  </sheetViews>
  <sheetFormatPr defaultRowHeight="14.4" x14ac:dyDescent="0.3"/>
  <cols>
    <col min="1" max="1" width="10" customWidth="1"/>
    <col min="2" max="2" width="7" customWidth="1"/>
    <col min="3" max="3" width="6.6640625" customWidth="1"/>
    <col min="4" max="5" width="15.44140625" customWidth="1"/>
    <col min="6" max="6" width="18.6640625" customWidth="1"/>
    <col min="7" max="7" width="16.44140625" customWidth="1"/>
    <col min="8" max="8" width="20.33203125" customWidth="1"/>
    <col min="9" max="9" width="16.5546875" customWidth="1"/>
    <col min="10" max="10" width="20.109375" customWidth="1"/>
    <col min="11" max="11" width="18.88671875" customWidth="1"/>
    <col min="12" max="12" width="13.44140625" customWidth="1"/>
    <col min="13" max="13" width="15.5546875" customWidth="1"/>
    <col min="14" max="14" width="15.109375" customWidth="1"/>
    <col min="15" max="15" width="15.44140625" customWidth="1"/>
    <col min="16" max="16" width="14.109375" customWidth="1"/>
    <col min="17" max="17" width="13.88671875" customWidth="1"/>
    <col min="18" max="18" width="21.6640625" customWidth="1"/>
    <col min="19" max="19" width="20.44140625" customWidth="1"/>
  </cols>
  <sheetData>
    <row r="2" spans="1:19" x14ac:dyDescent="0.3">
      <c r="D2" s="106" t="s">
        <v>32</v>
      </c>
      <c r="E2" s="106"/>
      <c r="F2" s="106"/>
    </row>
    <row r="4" spans="1:19" ht="28.8" x14ac:dyDescent="0.3">
      <c r="A4" s="24" t="s">
        <v>0</v>
      </c>
      <c r="B4" s="24" t="s">
        <v>1</v>
      </c>
      <c r="C4" s="24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  <c r="K4" s="28" t="s">
        <v>33</v>
      </c>
      <c r="L4" s="28" t="s">
        <v>11</v>
      </c>
      <c r="M4" s="28" t="s">
        <v>34</v>
      </c>
      <c r="N4" s="28" t="s">
        <v>13</v>
      </c>
      <c r="O4" s="28" t="s">
        <v>14</v>
      </c>
      <c r="P4" s="28" t="s">
        <v>15</v>
      </c>
      <c r="Q4" s="28" t="s">
        <v>16</v>
      </c>
      <c r="R4" s="28" t="s">
        <v>17</v>
      </c>
      <c r="S4" s="28" t="s">
        <v>18</v>
      </c>
    </row>
    <row r="5" spans="1:19" x14ac:dyDescent="0.3">
      <c r="A5" s="43" t="s">
        <v>19</v>
      </c>
      <c r="B5" s="75">
        <v>1</v>
      </c>
      <c r="C5" s="45">
        <v>2023</v>
      </c>
      <c r="D5" s="38"/>
      <c r="E5" s="54"/>
      <c r="F5" s="50">
        <v>675</v>
      </c>
      <c r="G5" s="49">
        <v>0</v>
      </c>
      <c r="H5" s="51"/>
      <c r="I5" s="52"/>
      <c r="J5" s="50"/>
      <c r="K5" s="62"/>
      <c r="L5" s="83"/>
      <c r="M5" s="60"/>
      <c r="N5" s="66"/>
      <c r="O5" s="54"/>
      <c r="P5" s="51">
        <v>2853</v>
      </c>
      <c r="Q5" s="52">
        <v>0</v>
      </c>
      <c r="R5" s="50"/>
      <c r="S5" s="96"/>
    </row>
    <row r="6" spans="1:19" x14ac:dyDescent="0.3">
      <c r="A6" s="9" t="s">
        <v>19</v>
      </c>
      <c r="B6" s="10">
        <v>2</v>
      </c>
      <c r="C6" s="45">
        <v>2023</v>
      </c>
      <c r="D6" s="39"/>
      <c r="E6" s="55"/>
      <c r="F6" s="44"/>
      <c r="G6" s="47">
        <v>0</v>
      </c>
      <c r="I6" s="48"/>
      <c r="J6" s="44"/>
      <c r="K6" s="63"/>
      <c r="L6" s="32"/>
      <c r="M6" s="61"/>
      <c r="N6" s="67"/>
      <c r="O6" s="55"/>
      <c r="Q6" s="48">
        <v>0</v>
      </c>
      <c r="R6" s="44"/>
      <c r="S6" s="97"/>
    </row>
    <row r="7" spans="1:19" x14ac:dyDescent="0.3">
      <c r="A7" s="9" t="s">
        <v>19</v>
      </c>
      <c r="B7" s="10">
        <v>3</v>
      </c>
      <c r="C7" s="45">
        <v>2023</v>
      </c>
      <c r="D7" s="39"/>
      <c r="E7" s="55"/>
      <c r="F7" s="44"/>
      <c r="G7" s="47">
        <v>0</v>
      </c>
      <c r="I7" s="48"/>
      <c r="J7" s="44"/>
      <c r="K7" s="63"/>
      <c r="L7" s="32"/>
      <c r="M7" s="61"/>
      <c r="N7" s="67"/>
      <c r="O7" s="55"/>
      <c r="Q7" s="48">
        <v>0</v>
      </c>
      <c r="R7" s="44"/>
      <c r="S7" s="97"/>
    </row>
    <row r="8" spans="1:19" x14ac:dyDescent="0.3">
      <c r="A8" s="9" t="s">
        <v>19</v>
      </c>
      <c r="B8" s="10">
        <v>4</v>
      </c>
      <c r="C8" s="45">
        <v>2023</v>
      </c>
      <c r="D8" s="39"/>
      <c r="E8" s="55"/>
      <c r="F8" s="44"/>
      <c r="G8" s="47">
        <v>0</v>
      </c>
      <c r="I8" s="48"/>
      <c r="J8" s="44"/>
      <c r="K8" s="63"/>
      <c r="L8" s="32"/>
      <c r="M8" s="61"/>
      <c r="N8" s="67"/>
      <c r="O8" s="55"/>
      <c r="Q8" s="48">
        <v>0</v>
      </c>
      <c r="R8" s="44"/>
      <c r="S8" s="97"/>
    </row>
    <row r="9" spans="1:19" x14ac:dyDescent="0.3">
      <c r="A9" s="9" t="s">
        <v>19</v>
      </c>
      <c r="B9" s="10">
        <v>5</v>
      </c>
      <c r="C9" s="45">
        <v>2023</v>
      </c>
      <c r="D9" s="39"/>
      <c r="E9" s="55"/>
      <c r="F9" s="44"/>
      <c r="G9" s="47">
        <v>0</v>
      </c>
      <c r="I9" s="48"/>
      <c r="J9" s="44"/>
      <c r="K9" s="63"/>
      <c r="L9" s="32"/>
      <c r="M9" s="61"/>
      <c r="N9" s="67"/>
      <c r="O9" s="55"/>
      <c r="Q9" s="48">
        <v>0</v>
      </c>
      <c r="R9" s="44"/>
      <c r="S9" s="97"/>
    </row>
    <row r="10" spans="1:19" x14ac:dyDescent="0.3">
      <c r="A10" s="9" t="s">
        <v>19</v>
      </c>
      <c r="B10" s="10">
        <v>6</v>
      </c>
      <c r="C10" s="45">
        <v>2023</v>
      </c>
      <c r="D10" s="39"/>
      <c r="E10" s="55"/>
      <c r="F10" s="44"/>
      <c r="G10" s="47">
        <v>0</v>
      </c>
      <c r="I10" s="48"/>
      <c r="J10" s="44"/>
      <c r="K10" s="63"/>
      <c r="L10" s="32"/>
      <c r="M10" s="61"/>
      <c r="N10" s="67"/>
      <c r="O10" s="55"/>
      <c r="Q10" s="48">
        <v>0</v>
      </c>
      <c r="R10" s="44"/>
      <c r="S10" s="97"/>
    </row>
    <row r="11" spans="1:19" x14ac:dyDescent="0.3">
      <c r="A11" s="9" t="s">
        <v>19</v>
      </c>
      <c r="B11" s="10">
        <v>7</v>
      </c>
      <c r="C11" s="45">
        <v>2023</v>
      </c>
      <c r="D11" s="39"/>
      <c r="E11" s="55"/>
      <c r="F11" s="44"/>
      <c r="G11" s="47">
        <v>0</v>
      </c>
      <c r="I11" s="48"/>
      <c r="J11" s="44"/>
      <c r="K11" s="63"/>
      <c r="L11" s="32"/>
      <c r="M11" s="61"/>
      <c r="N11" s="67"/>
      <c r="O11" s="55"/>
      <c r="Q11" s="48">
        <v>0</v>
      </c>
      <c r="R11" s="44"/>
      <c r="S11" s="97"/>
    </row>
    <row r="12" spans="1:19" x14ac:dyDescent="0.3">
      <c r="A12" s="9" t="s">
        <v>19</v>
      </c>
      <c r="B12" s="10">
        <v>8</v>
      </c>
      <c r="C12" s="45">
        <v>2023</v>
      </c>
      <c r="D12" s="39"/>
      <c r="E12" s="55"/>
      <c r="F12" s="44"/>
      <c r="G12" s="47">
        <v>0</v>
      </c>
      <c r="I12" s="48"/>
      <c r="J12" s="44"/>
      <c r="K12" s="63"/>
      <c r="L12" s="32"/>
      <c r="M12" s="61"/>
      <c r="N12" s="67"/>
      <c r="O12" s="55"/>
      <c r="P12" s="44"/>
      <c r="Q12" s="48">
        <v>0</v>
      </c>
      <c r="R12" s="44"/>
      <c r="S12" s="97"/>
    </row>
    <row r="13" spans="1:19" x14ac:dyDescent="0.3">
      <c r="A13" s="9" t="s">
        <v>19</v>
      </c>
      <c r="B13" s="10">
        <v>9</v>
      </c>
      <c r="C13" s="45">
        <v>2023</v>
      </c>
      <c r="D13" s="56"/>
      <c r="E13" s="57"/>
      <c r="F13" s="44"/>
      <c r="G13" s="47">
        <v>0</v>
      </c>
      <c r="I13" s="48"/>
      <c r="J13" s="44"/>
      <c r="K13" s="63"/>
      <c r="L13" s="32"/>
      <c r="M13" s="61"/>
      <c r="N13" s="57"/>
      <c r="O13" s="57"/>
      <c r="Q13" s="48">
        <v>0</v>
      </c>
      <c r="S13" s="94"/>
    </row>
    <row r="14" spans="1:19" x14ac:dyDescent="0.3">
      <c r="A14" s="9" t="s">
        <v>19</v>
      </c>
      <c r="B14" s="10">
        <v>10</v>
      </c>
      <c r="C14" s="45">
        <v>2023</v>
      </c>
      <c r="D14" s="56"/>
      <c r="E14" s="57"/>
      <c r="F14" s="44"/>
      <c r="G14" s="47">
        <v>0</v>
      </c>
      <c r="H14" s="74"/>
      <c r="I14" s="48"/>
      <c r="K14" s="64"/>
      <c r="L14" s="32"/>
      <c r="M14" s="61"/>
      <c r="N14" s="57"/>
      <c r="O14" s="57"/>
      <c r="Q14" s="48">
        <v>0</v>
      </c>
      <c r="S14" s="94"/>
    </row>
    <row r="15" spans="1:19" x14ac:dyDescent="0.3">
      <c r="A15" s="9" t="s">
        <v>19</v>
      </c>
      <c r="B15" s="10">
        <v>11</v>
      </c>
      <c r="C15" s="45">
        <v>2023</v>
      </c>
      <c r="D15" s="56"/>
      <c r="E15" s="57"/>
      <c r="G15" s="47">
        <v>0</v>
      </c>
      <c r="I15" s="48"/>
      <c r="K15" s="64"/>
      <c r="M15" s="61"/>
      <c r="N15" s="57"/>
      <c r="O15" s="57"/>
      <c r="Q15" s="48">
        <v>0</v>
      </c>
      <c r="S15" s="94"/>
    </row>
    <row r="16" spans="1:19" x14ac:dyDescent="0.3">
      <c r="A16" s="9" t="s">
        <v>19</v>
      </c>
      <c r="B16" s="10">
        <v>12</v>
      </c>
      <c r="C16" s="45">
        <v>2023</v>
      </c>
      <c r="D16" s="58"/>
      <c r="E16" s="59"/>
      <c r="F16" s="53"/>
      <c r="G16" s="76"/>
      <c r="H16" s="53"/>
      <c r="I16" s="77"/>
      <c r="J16" s="53"/>
      <c r="K16" s="65"/>
      <c r="L16" s="53"/>
      <c r="M16" s="78"/>
      <c r="N16" s="59"/>
      <c r="O16" s="59"/>
      <c r="P16" s="53"/>
      <c r="Q16" s="77">
        <v>0</v>
      </c>
      <c r="R16" s="53"/>
      <c r="S16" s="95"/>
    </row>
    <row r="17" spans="6:19" x14ac:dyDescent="0.3">
      <c r="F17" s="105" t="s">
        <v>35</v>
      </c>
      <c r="G17" s="105"/>
      <c r="H17" s="105" t="s">
        <v>36</v>
      </c>
      <c r="I17" s="105"/>
      <c r="J17" s="105" t="s">
        <v>37</v>
      </c>
      <c r="K17" s="105"/>
      <c r="L17" s="105" t="s">
        <v>38</v>
      </c>
      <c r="M17" s="105"/>
      <c r="N17" s="105" t="s">
        <v>39</v>
      </c>
      <c r="O17" s="105"/>
      <c r="P17" s="105" t="s">
        <v>40</v>
      </c>
      <c r="Q17" s="105"/>
      <c r="R17" s="105" t="s">
        <v>41</v>
      </c>
      <c r="S17" s="105"/>
    </row>
    <row r="18" spans="6:19" x14ac:dyDescent="0.3">
      <c r="N18" s="92"/>
      <c r="O18" s="92"/>
    </row>
  </sheetData>
  <mergeCells count="8">
    <mergeCell ref="N17:O17"/>
    <mergeCell ref="P17:Q17"/>
    <mergeCell ref="R17:S17"/>
    <mergeCell ref="D2:F2"/>
    <mergeCell ref="F17:G17"/>
    <mergeCell ref="H17:I17"/>
    <mergeCell ref="J17:K17"/>
    <mergeCell ref="L17:M1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4D8F-DFA1-48BE-9961-DBCEFE7F8A31}">
  <dimension ref="A3:AE82"/>
  <sheetViews>
    <sheetView workbookViewId="0">
      <selection activeCell="M44" sqref="M44"/>
    </sheetView>
  </sheetViews>
  <sheetFormatPr defaultRowHeight="14.4" x14ac:dyDescent="0.3"/>
  <cols>
    <col min="2" max="2" width="13.33203125" customWidth="1"/>
    <col min="4" max="4" width="17.6640625" customWidth="1"/>
    <col min="5" max="5" width="13" customWidth="1"/>
    <col min="6" max="6" width="15.5546875" customWidth="1"/>
    <col min="7" max="7" width="21.109375" customWidth="1"/>
    <col min="8" max="25" width="13.44140625" customWidth="1"/>
    <col min="26" max="29" width="10.44140625" customWidth="1"/>
  </cols>
  <sheetData>
    <row r="3" spans="2:29" x14ac:dyDescent="0.3">
      <c r="B3" s="1"/>
      <c r="C3" s="2" t="s">
        <v>42</v>
      </c>
      <c r="D3" s="2" t="s">
        <v>43</v>
      </c>
      <c r="E3" s="2"/>
      <c r="F3" s="3" t="s">
        <v>44</v>
      </c>
      <c r="G3" s="3"/>
      <c r="H3" s="4" t="s">
        <v>45</v>
      </c>
      <c r="I3" s="4"/>
      <c r="J3" s="4" t="s">
        <v>46</v>
      </c>
      <c r="K3" s="4"/>
      <c r="L3" s="4"/>
      <c r="M3" s="4"/>
      <c r="N3" s="4" t="s">
        <v>47</v>
      </c>
      <c r="O3" s="4"/>
      <c r="P3" s="4" t="s">
        <v>48</v>
      </c>
      <c r="Q3" s="4"/>
      <c r="R3" s="4" t="s">
        <v>49</v>
      </c>
      <c r="S3" s="4"/>
      <c r="T3" s="4" t="s">
        <v>50</v>
      </c>
      <c r="U3" s="33"/>
      <c r="V3" s="107" t="s">
        <v>51</v>
      </c>
      <c r="W3" s="108"/>
      <c r="X3" s="107" t="s">
        <v>52</v>
      </c>
      <c r="Y3" s="108"/>
      <c r="Z3" s="4" t="s">
        <v>53</v>
      </c>
      <c r="AA3" s="4" t="s">
        <v>54</v>
      </c>
      <c r="AB3" s="4" t="s">
        <v>55</v>
      </c>
      <c r="AC3" s="4" t="s">
        <v>56</v>
      </c>
    </row>
    <row r="4" spans="2:29" x14ac:dyDescent="0.3">
      <c r="B4" s="5">
        <v>1</v>
      </c>
      <c r="C4" s="5" t="s">
        <v>57</v>
      </c>
      <c r="D4" s="5">
        <v>5</v>
      </c>
      <c r="E4" s="6" t="e">
        <f>D4*100/D11</f>
        <v>#DIV/0!</v>
      </c>
      <c r="F4" s="7">
        <v>0.17</v>
      </c>
      <c r="G4" s="7"/>
      <c r="H4" s="34">
        <f>D21*F4</f>
        <v>677.28000000000009</v>
      </c>
      <c r="I4" s="9">
        <f>F21*E21</f>
        <v>6772.8</v>
      </c>
      <c r="J4" s="34">
        <f>D22*E21</f>
        <v>600.78000000000009</v>
      </c>
      <c r="K4" s="9">
        <f>F22*E21</f>
        <v>6007.8</v>
      </c>
      <c r="L4" s="9"/>
      <c r="M4" s="9"/>
      <c r="N4" s="34">
        <f>D23*E21</f>
        <v>681.0200000000001</v>
      </c>
      <c r="O4" s="9">
        <f>F23*E21</f>
        <v>6810.2000000000007</v>
      </c>
      <c r="P4" s="34">
        <f>D24*E21</f>
        <v>820.33500000000004</v>
      </c>
      <c r="Q4" s="9">
        <f>F24*E21</f>
        <v>5468.9000000000005</v>
      </c>
      <c r="R4" s="34">
        <f>D25*E21</f>
        <v>1012.35</v>
      </c>
      <c r="S4" s="9">
        <f>F25*E21</f>
        <v>6749.0000000000009</v>
      </c>
      <c r="T4" s="34">
        <f>D26*E21</f>
        <v>996.56550000000004</v>
      </c>
      <c r="U4" s="9">
        <f>F26*E21</f>
        <v>6643.6</v>
      </c>
      <c r="V4" s="9">
        <f>D27*F4</f>
        <v>5.0388000000000002</v>
      </c>
      <c r="W4" s="23">
        <f>V4*1000</f>
        <v>5038.8</v>
      </c>
      <c r="X4" s="9">
        <f>D28*F4</f>
        <v>8.702300000000001</v>
      </c>
      <c r="Y4" s="9">
        <f>X4*1000</f>
        <v>8702.3000000000011</v>
      </c>
      <c r="Z4" s="9"/>
      <c r="AA4" s="9"/>
      <c r="AB4" s="9"/>
      <c r="AC4" s="9"/>
    </row>
    <row r="5" spans="2:29" x14ac:dyDescent="0.3">
      <c r="B5" s="5">
        <v>2</v>
      </c>
      <c r="C5" s="5" t="s">
        <v>58</v>
      </c>
      <c r="D5" s="5">
        <v>4</v>
      </c>
      <c r="E5" s="6" t="e">
        <f>D5*100/D11</f>
        <v>#DIV/0!</v>
      </c>
      <c r="F5" s="7">
        <v>0.13</v>
      </c>
      <c r="G5" s="7"/>
      <c r="H5" s="34">
        <f>D22*F5</f>
        <v>459.42</v>
      </c>
      <c r="I5" s="9">
        <f>F21*E22</f>
        <v>5179.2</v>
      </c>
      <c r="J5" s="34">
        <f>D22*E22</f>
        <v>459.42</v>
      </c>
      <c r="K5" s="9">
        <f>F22*E22</f>
        <v>4594.2</v>
      </c>
      <c r="L5" s="9"/>
      <c r="M5" s="9"/>
      <c r="N5" s="34">
        <f>D23*E22</f>
        <v>520.78</v>
      </c>
      <c r="O5" s="9">
        <f>F23*E22</f>
        <v>5207.8</v>
      </c>
      <c r="P5" s="34">
        <f>D24*E22</f>
        <v>627.31500000000005</v>
      </c>
      <c r="Q5" s="9">
        <f>F24*E22</f>
        <v>4182.1000000000004</v>
      </c>
      <c r="R5" s="34">
        <f>D25*E22</f>
        <v>774.15</v>
      </c>
      <c r="S5" s="9">
        <f>F25*E22</f>
        <v>5161</v>
      </c>
      <c r="T5" s="34">
        <f>D26*E22</f>
        <v>762.07949999999994</v>
      </c>
      <c r="U5" s="9">
        <f>F26*E22</f>
        <v>5080.4000000000005</v>
      </c>
      <c r="V5" s="9">
        <f>D27*F5</f>
        <v>3.8532000000000002</v>
      </c>
      <c r="W5" s="23">
        <f t="shared" ref="W5:W8" si="0">V5*1000</f>
        <v>3853.2000000000003</v>
      </c>
      <c r="X5" s="9">
        <f>D28*F5</f>
        <v>6.6547000000000001</v>
      </c>
      <c r="Y5" s="9">
        <f>X5*1000</f>
        <v>6654.7</v>
      </c>
      <c r="Z5" s="9"/>
      <c r="AA5" s="9"/>
      <c r="AB5" s="9"/>
      <c r="AC5" s="9"/>
    </row>
    <row r="6" spans="2:29" x14ac:dyDescent="0.3">
      <c r="B6" s="5">
        <v>3</v>
      </c>
      <c r="C6" s="5" t="s">
        <v>59</v>
      </c>
      <c r="D6" s="5">
        <v>5</v>
      </c>
      <c r="E6" s="6" t="e">
        <f>D6*100/D11</f>
        <v>#DIV/0!</v>
      </c>
      <c r="F6" s="7">
        <v>0.17</v>
      </c>
      <c r="G6" s="7"/>
      <c r="H6" s="34">
        <v>677.28</v>
      </c>
      <c r="I6" s="9">
        <f>F21*E23</f>
        <v>6772.8</v>
      </c>
      <c r="J6" s="34">
        <f>D22*E23</f>
        <v>600.78000000000009</v>
      </c>
      <c r="K6" s="9">
        <f>F22*E23</f>
        <v>6007.8</v>
      </c>
      <c r="L6" s="9"/>
      <c r="M6" s="9"/>
      <c r="N6" s="34">
        <f>D23*E23</f>
        <v>681.0200000000001</v>
      </c>
      <c r="O6" s="9">
        <f>F23*E23</f>
        <v>6810.2000000000007</v>
      </c>
      <c r="P6" s="34">
        <f>D24*E23</f>
        <v>820.33500000000004</v>
      </c>
      <c r="Q6" s="9">
        <f>F24*E23</f>
        <v>5468.9000000000005</v>
      </c>
      <c r="R6" s="34">
        <f>D25*E23</f>
        <v>1012.35</v>
      </c>
      <c r="S6" s="9">
        <f>F25*E23</f>
        <v>6749.0000000000009</v>
      </c>
      <c r="T6" s="34">
        <f>D26*E23</f>
        <v>996.56550000000004</v>
      </c>
      <c r="U6" s="9">
        <f>F26*E23</f>
        <v>6643.6</v>
      </c>
      <c r="V6" s="9">
        <v>5.0388000000000002</v>
      </c>
      <c r="W6" s="23">
        <f t="shared" si="0"/>
        <v>5038.8</v>
      </c>
      <c r="X6" s="9">
        <f>D28*F6</f>
        <v>8.702300000000001</v>
      </c>
      <c r="Y6" s="9">
        <f>X6*1000</f>
        <v>8702.3000000000011</v>
      </c>
      <c r="Z6" s="9"/>
      <c r="AA6" s="9"/>
      <c r="AB6" s="9"/>
      <c r="AC6" s="9"/>
    </row>
    <row r="7" spans="2:29" x14ac:dyDescent="0.3">
      <c r="B7" s="5">
        <v>4</v>
      </c>
      <c r="C7" s="5" t="s">
        <v>60</v>
      </c>
      <c r="D7" s="5">
        <v>2</v>
      </c>
      <c r="E7" s="6" t="e">
        <f>D7*100/D11</f>
        <v>#DIV/0!</v>
      </c>
      <c r="F7" s="7">
        <v>7.0000000000000007E-2</v>
      </c>
      <c r="G7" s="7"/>
      <c r="H7" s="34">
        <f>D21*F7</f>
        <v>278.88000000000005</v>
      </c>
      <c r="I7" s="9">
        <f>F21*E24</f>
        <v>2788.8</v>
      </c>
      <c r="J7" s="34">
        <f>D22*E24</f>
        <v>247.38000000000002</v>
      </c>
      <c r="K7" s="9">
        <f>F22*E24</f>
        <v>2473.8000000000002</v>
      </c>
      <c r="L7" s="9"/>
      <c r="M7" s="9"/>
      <c r="N7" s="34">
        <f>D23*E24</f>
        <v>280.42</v>
      </c>
      <c r="O7" s="9">
        <f>F23*E24</f>
        <v>2804.2000000000003</v>
      </c>
      <c r="P7" s="34">
        <f>D24*E24</f>
        <v>337.78500000000003</v>
      </c>
      <c r="Q7" s="9">
        <f>F24*E24</f>
        <v>2251.9</v>
      </c>
      <c r="R7" s="34">
        <f>D25*E24</f>
        <v>416.85</v>
      </c>
      <c r="S7" s="9">
        <f>F25*E24</f>
        <v>2779.0000000000005</v>
      </c>
      <c r="T7" s="34">
        <f>D26*E24</f>
        <v>410.35050000000001</v>
      </c>
      <c r="U7" s="9">
        <f>F26*E24</f>
        <v>2735.6000000000004</v>
      </c>
      <c r="V7" s="9">
        <f>D27*F7</f>
        <v>2.0748000000000002</v>
      </c>
      <c r="W7" s="23">
        <f t="shared" si="0"/>
        <v>2074.8000000000002</v>
      </c>
      <c r="X7" s="9">
        <f>D28*F7</f>
        <v>3.5833000000000004</v>
      </c>
      <c r="Y7" s="9">
        <f>X7*1000</f>
        <v>3583.3</v>
      </c>
      <c r="Z7" s="9"/>
      <c r="AA7" s="9"/>
      <c r="AB7" s="9"/>
      <c r="AC7" s="9"/>
    </row>
    <row r="8" spans="2:29" x14ac:dyDescent="0.3">
      <c r="B8" s="5">
        <v>5</v>
      </c>
      <c r="C8" s="5" t="s">
        <v>61</v>
      </c>
      <c r="D8" s="5">
        <v>4</v>
      </c>
      <c r="E8" s="22" t="e">
        <f>D8*100/D11</f>
        <v>#DIV/0!</v>
      </c>
      <c r="F8" s="8">
        <v>0.13</v>
      </c>
      <c r="G8" s="8"/>
      <c r="H8" s="34">
        <v>459.42</v>
      </c>
      <c r="I8" s="11">
        <f>F21*E25</f>
        <v>5179.2</v>
      </c>
      <c r="J8" s="35">
        <f>D22*E25</f>
        <v>459.42</v>
      </c>
      <c r="K8" s="11">
        <f>F22*E25</f>
        <v>4594.2</v>
      </c>
      <c r="L8" s="11"/>
      <c r="M8" s="11"/>
      <c r="N8" s="35">
        <f>D23*E25</f>
        <v>520.78</v>
      </c>
      <c r="O8" s="11">
        <f>F23*E25</f>
        <v>5207.8</v>
      </c>
      <c r="P8" s="35">
        <f>D24*E25</f>
        <v>627.31500000000005</v>
      </c>
      <c r="Q8" s="11">
        <f>F24*E25</f>
        <v>4182.1000000000004</v>
      </c>
      <c r="R8" s="35">
        <f>D25*E25</f>
        <v>774.15</v>
      </c>
      <c r="S8" s="11">
        <f>F25*E25</f>
        <v>5161</v>
      </c>
      <c r="T8" s="35">
        <f>D26*E25</f>
        <v>762.07949999999994</v>
      </c>
      <c r="U8" s="11">
        <f>F26*E25</f>
        <v>5080.4000000000005</v>
      </c>
      <c r="V8" s="11">
        <f>D27*F8</f>
        <v>3.8532000000000002</v>
      </c>
      <c r="W8" s="23">
        <f t="shared" si="0"/>
        <v>3853.2000000000003</v>
      </c>
      <c r="X8" s="11">
        <f>D28*F8</f>
        <v>6.6547000000000001</v>
      </c>
      <c r="Y8" s="9">
        <f>X8*1000</f>
        <v>6654.7</v>
      </c>
      <c r="Z8" s="9"/>
      <c r="AA8" s="9"/>
      <c r="AB8" s="9"/>
      <c r="AC8" s="9"/>
    </row>
    <row r="9" spans="2:29" x14ac:dyDescent="0.3">
      <c r="B9" s="9">
        <v>6</v>
      </c>
      <c r="C9" s="9" t="s">
        <v>62</v>
      </c>
      <c r="D9" s="21">
        <v>10</v>
      </c>
      <c r="E9" s="10" t="e">
        <f>D9*100/D11</f>
        <v>#DIV/0!</v>
      </c>
      <c r="F9" s="7">
        <v>0.33</v>
      </c>
      <c r="G9" s="7"/>
      <c r="H9" s="34">
        <f>SUM(H4:H8)</f>
        <v>2552.2800000000002</v>
      </c>
      <c r="I9" s="34">
        <f t="shared" ref="I9:W9" si="1">SUM(I4:I8)</f>
        <v>26692.799999999999</v>
      </c>
      <c r="J9" s="34">
        <f t="shared" si="1"/>
        <v>2367.7800000000002</v>
      </c>
      <c r="K9" s="34">
        <f t="shared" si="1"/>
        <v>23677.8</v>
      </c>
      <c r="L9" s="34"/>
      <c r="M9" s="34"/>
      <c r="N9" s="34">
        <f t="shared" si="1"/>
        <v>2684.0200000000004</v>
      </c>
      <c r="O9" s="34">
        <f t="shared" si="1"/>
        <v>26840.2</v>
      </c>
      <c r="P9" s="34">
        <f t="shared" si="1"/>
        <v>3233.085</v>
      </c>
      <c r="Q9" s="34">
        <f t="shared" si="1"/>
        <v>21553.9</v>
      </c>
      <c r="R9" s="34">
        <f t="shared" si="1"/>
        <v>3989.85</v>
      </c>
      <c r="S9" s="34">
        <f t="shared" si="1"/>
        <v>26599</v>
      </c>
      <c r="T9" s="34">
        <f t="shared" si="1"/>
        <v>3927.6405</v>
      </c>
      <c r="U9" s="34">
        <f t="shared" si="1"/>
        <v>26183.599999999999</v>
      </c>
      <c r="V9" s="34">
        <f t="shared" si="1"/>
        <v>19.858800000000002</v>
      </c>
      <c r="W9" s="34">
        <f t="shared" si="1"/>
        <v>19858.8</v>
      </c>
      <c r="X9" s="9"/>
      <c r="Y9" s="13"/>
      <c r="Z9" s="13"/>
      <c r="AA9" s="9"/>
      <c r="AB9" s="9"/>
      <c r="AC9" s="9"/>
    </row>
    <row r="10" spans="2:29" x14ac:dyDescent="0.3">
      <c r="B10" s="9">
        <v>7</v>
      </c>
      <c r="C10" s="9" t="s">
        <v>63</v>
      </c>
      <c r="D10" s="21">
        <v>0</v>
      </c>
      <c r="E10" s="10" t="e">
        <f>D10*100/D11</f>
        <v>#DIV/0!</v>
      </c>
      <c r="F10" s="7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9"/>
      <c r="Y10" s="12"/>
      <c r="Z10" s="13"/>
      <c r="AA10" s="9"/>
      <c r="AB10" s="9"/>
      <c r="AC10" s="9"/>
    </row>
    <row r="11" spans="2:29" x14ac:dyDescent="0.3">
      <c r="B11" s="11"/>
      <c r="C11" s="31" t="s">
        <v>64</v>
      </c>
      <c r="D11" s="11"/>
      <c r="E11" s="15"/>
      <c r="F11" s="14"/>
      <c r="G11" s="14" t="s">
        <v>65</v>
      </c>
      <c r="H11" s="15">
        <v>2552.2800000000002</v>
      </c>
      <c r="I11" s="15">
        <v>26692.799999999999</v>
      </c>
      <c r="J11" s="15">
        <v>28070</v>
      </c>
      <c r="K11" s="15">
        <v>4142.5</v>
      </c>
      <c r="L11" s="15"/>
      <c r="M11" s="15"/>
      <c r="N11" s="15"/>
      <c r="O11" s="15"/>
      <c r="P11" s="15"/>
      <c r="Q11" s="15"/>
      <c r="R11" s="15"/>
      <c r="S11" s="15"/>
      <c r="T11" s="15"/>
      <c r="U11" s="30"/>
      <c r="V11" s="30">
        <f>SUM(V4:V10)</f>
        <v>39.717600000000004</v>
      </c>
      <c r="W11" s="23">
        <f>SUM(W4:W10)</f>
        <v>39717.599999999999</v>
      </c>
      <c r="X11" s="30">
        <f>SUM(X4:X10)</f>
        <v>34.2973</v>
      </c>
      <c r="Y11" s="9">
        <f>SUM(Y4:Y10)</f>
        <v>34297.300000000003</v>
      </c>
      <c r="Z11" s="13"/>
      <c r="AA11" s="9"/>
      <c r="AB11" s="9"/>
      <c r="AC11" s="9"/>
    </row>
    <row r="12" spans="2:29" x14ac:dyDescent="0.3">
      <c r="B12" s="5">
        <v>1</v>
      </c>
      <c r="C12" s="5" t="s">
        <v>57</v>
      </c>
      <c r="D12" s="9"/>
      <c r="E12" s="9"/>
      <c r="F12" s="9"/>
      <c r="G12" s="14" t="s">
        <v>66</v>
      </c>
      <c r="H12" s="9">
        <v>2367.6799999999998</v>
      </c>
      <c r="I12" s="9">
        <v>23677.8</v>
      </c>
      <c r="J12" s="9">
        <v>35820</v>
      </c>
      <c r="K12" s="9">
        <v>3582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>
        <f>E27*F4</f>
        <v>755.82</v>
      </c>
      <c r="W12" s="9"/>
      <c r="X12" s="13">
        <f>E28*F4</f>
        <v>1305.345</v>
      </c>
    </row>
    <row r="13" spans="2:29" x14ac:dyDescent="0.3">
      <c r="B13" s="5">
        <v>2</v>
      </c>
      <c r="C13" s="5" t="s">
        <v>58</v>
      </c>
      <c r="D13" s="9"/>
      <c r="E13" s="9"/>
      <c r="F13" s="9"/>
      <c r="G13" s="14" t="s">
        <v>67</v>
      </c>
      <c r="H13" s="9">
        <v>2684.02</v>
      </c>
      <c r="I13" s="9">
        <v>26840.2</v>
      </c>
      <c r="J13" s="9">
        <v>26600</v>
      </c>
      <c r="K13" s="9">
        <v>2510.5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>
        <f>E27*F5</f>
        <v>577.98</v>
      </c>
      <c r="W13" s="9"/>
      <c r="X13" s="13">
        <f>E28*F5</f>
        <v>998.20500000000004</v>
      </c>
    </row>
    <row r="14" spans="2:29" x14ac:dyDescent="0.3">
      <c r="B14" s="5">
        <v>3</v>
      </c>
      <c r="C14" s="5" t="s">
        <v>59</v>
      </c>
      <c r="D14" s="9"/>
      <c r="E14" s="9"/>
      <c r="F14" s="9"/>
      <c r="G14" s="14" t="s">
        <v>68</v>
      </c>
      <c r="H14" s="9">
        <v>3233.09</v>
      </c>
      <c r="I14" s="9">
        <v>21553.9</v>
      </c>
      <c r="J14" s="9">
        <v>19560</v>
      </c>
      <c r="K14" s="9">
        <v>2780.5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f>E27*F6</f>
        <v>755.82</v>
      </c>
      <c r="W14" s="9"/>
      <c r="X14" s="13">
        <f>E28*F6</f>
        <v>1305.345</v>
      </c>
    </row>
    <row r="15" spans="2:29" x14ac:dyDescent="0.3">
      <c r="B15" s="5">
        <v>4</v>
      </c>
      <c r="C15" s="5" t="s">
        <v>60</v>
      </c>
      <c r="D15" s="9"/>
      <c r="E15" s="9"/>
      <c r="F15" s="9"/>
      <c r="G15" s="14" t="s">
        <v>69</v>
      </c>
      <c r="H15" s="9">
        <v>3989.85</v>
      </c>
      <c r="I15" s="9">
        <v>26599</v>
      </c>
      <c r="J15" s="9">
        <v>12920</v>
      </c>
      <c r="K15" s="9">
        <v>1833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>
        <f>E27*F7</f>
        <v>311.22000000000003</v>
      </c>
      <c r="W15" s="9"/>
      <c r="X15" s="13">
        <f>E28*F7</f>
        <v>537.495</v>
      </c>
    </row>
    <row r="16" spans="2:29" x14ac:dyDescent="0.3">
      <c r="B16" s="5">
        <v>5</v>
      </c>
      <c r="C16" s="5" t="s">
        <v>61</v>
      </c>
      <c r="D16" s="9"/>
      <c r="E16" s="9"/>
      <c r="F16" s="9"/>
      <c r="G16" s="14" t="s">
        <v>70</v>
      </c>
      <c r="H16" s="9">
        <v>3927.64</v>
      </c>
      <c r="I16" s="9">
        <v>26183.599999999999</v>
      </c>
      <c r="J16" s="9">
        <v>20380</v>
      </c>
      <c r="K16" s="9">
        <v>2967.75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>
        <f>E27*F8</f>
        <v>577.98</v>
      </c>
      <c r="W16" s="9"/>
      <c r="X16" s="13">
        <f>E28*F8</f>
        <v>998.20500000000004</v>
      </c>
    </row>
    <row r="17" spans="2:31" x14ac:dyDescent="0.3">
      <c r="B17" s="9">
        <v>6</v>
      </c>
      <c r="C17" s="9" t="s">
        <v>62</v>
      </c>
      <c r="D17" s="9"/>
      <c r="E17" s="9"/>
      <c r="F17" s="9"/>
      <c r="G17" s="14" t="s">
        <v>71</v>
      </c>
      <c r="H17" s="9"/>
      <c r="I17" s="9">
        <v>19852.8</v>
      </c>
      <c r="J17" s="9">
        <v>16870</v>
      </c>
      <c r="K17" s="9">
        <v>3031.5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3"/>
    </row>
    <row r="18" spans="2:31" x14ac:dyDescent="0.3">
      <c r="B18" s="11">
        <v>7</v>
      </c>
      <c r="C18" s="11" t="s">
        <v>63</v>
      </c>
      <c r="D18" s="11"/>
      <c r="E18" s="11"/>
      <c r="F18" s="11"/>
      <c r="G18" s="14" t="s">
        <v>72</v>
      </c>
      <c r="H18" s="11"/>
      <c r="I18" s="11"/>
      <c r="J18" s="11">
        <v>8910</v>
      </c>
      <c r="K18" s="11">
        <v>1869.5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</row>
    <row r="19" spans="2:31" x14ac:dyDescent="0.3">
      <c r="B19" s="9"/>
      <c r="C19" s="9"/>
      <c r="D19" s="9"/>
      <c r="E19" s="9"/>
      <c r="F19" s="9"/>
      <c r="G19" s="9"/>
      <c r="H19" s="29">
        <f t="shared" ref="H19:W19" si="2">SUM(H12:H16)</f>
        <v>16202.28</v>
      </c>
      <c r="I19" s="29"/>
      <c r="J19" s="29">
        <f t="shared" si="2"/>
        <v>115280</v>
      </c>
      <c r="K19" s="29"/>
      <c r="L19" s="29"/>
      <c r="M19" s="29"/>
      <c r="N19" s="29">
        <f t="shared" si="2"/>
        <v>0</v>
      </c>
      <c r="O19" s="29"/>
      <c r="P19" s="29">
        <f t="shared" si="2"/>
        <v>0</v>
      </c>
      <c r="Q19" s="29"/>
      <c r="R19" s="29">
        <f t="shared" si="2"/>
        <v>0</v>
      </c>
      <c r="S19" s="29"/>
      <c r="T19" s="29">
        <f t="shared" si="2"/>
        <v>0</v>
      </c>
      <c r="U19" s="29"/>
      <c r="V19" s="29">
        <f t="shared" si="2"/>
        <v>2978.82</v>
      </c>
      <c r="W19" s="29">
        <f t="shared" si="2"/>
        <v>0</v>
      </c>
      <c r="X19" s="29">
        <f>SUM(X12:X16)</f>
        <v>5144.5950000000003</v>
      </c>
      <c r="Y19" s="9"/>
    </row>
    <row r="20" spans="2:31" x14ac:dyDescent="0.3">
      <c r="B20" s="18"/>
      <c r="C20" s="18"/>
      <c r="D20" s="18"/>
      <c r="E20" s="19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2:31" x14ac:dyDescent="0.3">
      <c r="B21" s="9">
        <v>2022</v>
      </c>
      <c r="C21" s="9" t="s">
        <v>73</v>
      </c>
      <c r="D21" s="36">
        <v>3984</v>
      </c>
      <c r="E21" s="7">
        <v>0.17</v>
      </c>
      <c r="F21" s="38">
        <v>39840</v>
      </c>
      <c r="G21" s="17"/>
    </row>
    <row r="22" spans="2:31" x14ac:dyDescent="0.3">
      <c r="B22" s="9">
        <v>2022</v>
      </c>
      <c r="C22" s="9" t="s">
        <v>74</v>
      </c>
      <c r="D22" s="37">
        <v>3534</v>
      </c>
      <c r="E22" s="7">
        <v>0.13</v>
      </c>
      <c r="F22" s="39">
        <v>35340</v>
      </c>
      <c r="G22" s="17"/>
    </row>
    <row r="23" spans="2:31" x14ac:dyDescent="0.3">
      <c r="B23" s="9">
        <v>2022</v>
      </c>
      <c r="C23" s="9" t="s">
        <v>75</v>
      </c>
      <c r="D23" s="37">
        <v>4006</v>
      </c>
      <c r="E23" s="7">
        <v>0.17</v>
      </c>
      <c r="F23" s="39">
        <v>40060</v>
      </c>
      <c r="G23" s="17"/>
    </row>
    <row r="24" spans="2:31" x14ac:dyDescent="0.3">
      <c r="B24" s="9">
        <v>2022</v>
      </c>
      <c r="C24" s="9" t="s">
        <v>76</v>
      </c>
      <c r="D24" s="37">
        <v>4825.5</v>
      </c>
      <c r="E24" s="7">
        <v>7.0000000000000007E-2</v>
      </c>
      <c r="F24" s="39">
        <v>32170</v>
      </c>
      <c r="G24" s="17"/>
    </row>
    <row r="25" spans="2:31" x14ac:dyDescent="0.3">
      <c r="B25" s="9">
        <v>2022</v>
      </c>
      <c r="C25" s="9" t="s">
        <v>49</v>
      </c>
      <c r="D25" s="26">
        <v>5955</v>
      </c>
      <c r="E25" s="8">
        <v>0.13</v>
      </c>
      <c r="F25" s="39">
        <v>39700</v>
      </c>
      <c r="G25" s="17"/>
    </row>
    <row r="26" spans="2:31" x14ac:dyDescent="0.3">
      <c r="B26" s="9">
        <v>2022</v>
      </c>
      <c r="C26" s="9" t="s">
        <v>77</v>
      </c>
      <c r="D26" s="26">
        <v>5862.15</v>
      </c>
      <c r="E26" s="7"/>
      <c r="F26" s="27">
        <v>39080</v>
      </c>
      <c r="G26" s="17"/>
    </row>
    <row r="27" spans="2:31" hidden="1" x14ac:dyDescent="0.3">
      <c r="B27" s="9">
        <v>2022</v>
      </c>
      <c r="C27" s="9" t="s">
        <v>78</v>
      </c>
      <c r="D27" s="16">
        <v>29.64</v>
      </c>
      <c r="E27" s="17">
        <v>4446</v>
      </c>
      <c r="F27" s="17"/>
      <c r="G27" s="17"/>
      <c r="H27" s="32"/>
    </row>
    <row r="28" spans="2:31" hidden="1" x14ac:dyDescent="0.3">
      <c r="B28" s="9">
        <v>2022</v>
      </c>
      <c r="C28" s="9" t="s">
        <v>79</v>
      </c>
      <c r="D28" s="16">
        <v>51.19</v>
      </c>
      <c r="E28" s="17">
        <v>7678.5</v>
      </c>
      <c r="F28" s="17"/>
      <c r="G28" s="17"/>
    </row>
    <row r="29" spans="2:31" hidden="1" x14ac:dyDescent="0.3">
      <c r="B29" s="9">
        <v>2022</v>
      </c>
      <c r="C29" s="9" t="s">
        <v>80</v>
      </c>
      <c r="D29" s="16"/>
      <c r="E29" s="17"/>
      <c r="F29" s="17"/>
      <c r="G29" s="17"/>
    </row>
    <row r="30" spans="2:31" hidden="1" x14ac:dyDescent="0.3">
      <c r="B30" s="9">
        <v>2022</v>
      </c>
      <c r="C30" s="9" t="s">
        <v>81</v>
      </c>
      <c r="D30" s="16"/>
      <c r="E30" s="17"/>
      <c r="F30" s="17"/>
      <c r="G30" s="17"/>
    </row>
    <row r="31" spans="2:31" hidden="1" x14ac:dyDescent="0.3">
      <c r="B31" s="9">
        <v>2022</v>
      </c>
      <c r="C31" s="9" t="s">
        <v>82</v>
      </c>
      <c r="D31" s="16"/>
      <c r="E31" s="17"/>
      <c r="F31" s="17"/>
      <c r="G31" s="17"/>
    </row>
    <row r="32" spans="2:31" hidden="1" x14ac:dyDescent="0.3">
      <c r="B32" s="9">
        <v>2022</v>
      </c>
      <c r="C32" s="9" t="s">
        <v>83</v>
      </c>
      <c r="D32" s="16"/>
      <c r="E32" s="17"/>
      <c r="F32" s="17"/>
      <c r="G32" s="17"/>
    </row>
    <row r="33" spans="1:22" hidden="1" x14ac:dyDescent="0.3"/>
    <row r="37" spans="1:22" x14ac:dyDescent="0.3">
      <c r="B37" s="69"/>
      <c r="C37" s="112" t="s">
        <v>84</v>
      </c>
      <c r="D37" s="113"/>
      <c r="E37" s="113"/>
      <c r="F37" s="113"/>
      <c r="G37" s="113"/>
      <c r="H37" s="113"/>
      <c r="I37" s="113"/>
      <c r="J37" s="113"/>
      <c r="K37" s="113"/>
      <c r="L37" s="68"/>
      <c r="M37" s="68"/>
      <c r="N37" s="111" t="s">
        <v>85</v>
      </c>
      <c r="O37" s="111"/>
      <c r="P37" s="111"/>
      <c r="Q37" s="111"/>
      <c r="R37" s="111"/>
      <c r="S37" s="111"/>
      <c r="T37" s="111"/>
      <c r="U37" s="111"/>
      <c r="V37" s="111"/>
    </row>
    <row r="38" spans="1:22" x14ac:dyDescent="0.3">
      <c r="A38" s="41"/>
      <c r="B38" s="70"/>
      <c r="C38" s="109" t="s">
        <v>86</v>
      </c>
      <c r="D38" s="110"/>
      <c r="E38" s="110"/>
      <c r="F38" s="110" t="s">
        <v>87</v>
      </c>
      <c r="G38" s="110"/>
      <c r="H38" s="110"/>
      <c r="I38" s="110" t="s">
        <v>88</v>
      </c>
      <c r="J38" s="110"/>
      <c r="K38" s="110"/>
      <c r="L38" s="42"/>
      <c r="M38" s="42"/>
      <c r="N38" s="72" t="s">
        <v>89</v>
      </c>
      <c r="O38" s="110" t="s">
        <v>80</v>
      </c>
      <c r="P38" s="110"/>
      <c r="Q38" s="110" t="s">
        <v>81</v>
      </c>
      <c r="R38" s="110"/>
      <c r="S38" s="110" t="s">
        <v>82</v>
      </c>
      <c r="T38" s="110"/>
      <c r="U38" s="110" t="s">
        <v>83</v>
      </c>
      <c r="V38" s="110"/>
    </row>
    <row r="39" spans="1:22" ht="43.2" x14ac:dyDescent="0.3">
      <c r="A39" s="41"/>
      <c r="B39" s="70"/>
      <c r="C39" s="71" t="s">
        <v>90</v>
      </c>
      <c r="D39" s="24" t="s">
        <v>91</v>
      </c>
      <c r="E39" s="24" t="s">
        <v>92</v>
      </c>
      <c r="F39" s="24" t="s">
        <v>90</v>
      </c>
      <c r="G39" s="24" t="s">
        <v>91</v>
      </c>
      <c r="H39" s="24" t="s">
        <v>92</v>
      </c>
      <c r="I39" s="24" t="s">
        <v>90</v>
      </c>
      <c r="J39" s="24" t="s">
        <v>91</v>
      </c>
      <c r="K39" s="24" t="s">
        <v>92</v>
      </c>
      <c r="L39" s="25" t="s">
        <v>93</v>
      </c>
      <c r="M39" s="25" t="s">
        <v>94</v>
      </c>
      <c r="N39" s="72" t="s">
        <v>95</v>
      </c>
      <c r="O39" s="42" t="s">
        <v>90</v>
      </c>
      <c r="P39" s="42" t="s">
        <v>92</v>
      </c>
      <c r="Q39" s="42" t="s">
        <v>90</v>
      </c>
      <c r="R39" s="42" t="s">
        <v>92</v>
      </c>
      <c r="S39" s="42" t="s">
        <v>90</v>
      </c>
      <c r="T39" s="42" t="s">
        <v>96</v>
      </c>
      <c r="U39" s="42" t="s">
        <v>90</v>
      </c>
      <c r="V39" s="42" t="s">
        <v>96</v>
      </c>
    </row>
    <row r="40" spans="1:22" x14ac:dyDescent="0.3">
      <c r="A40" s="21">
        <v>2022</v>
      </c>
      <c r="B40" s="69" t="s">
        <v>73</v>
      </c>
      <c r="C40" s="13">
        <v>28.07</v>
      </c>
      <c r="D40" s="9">
        <f>C40*1000</f>
        <v>28070</v>
      </c>
      <c r="E40" s="9">
        <v>4142.5</v>
      </c>
      <c r="F40" s="9">
        <v>39.840000000000003</v>
      </c>
      <c r="G40" s="9">
        <f>F40*1000</f>
        <v>39840</v>
      </c>
      <c r="H40" s="9">
        <v>3984</v>
      </c>
      <c r="I40" s="9">
        <v>5.41</v>
      </c>
      <c r="J40" s="9">
        <f>I40*1000</f>
        <v>5410</v>
      </c>
      <c r="K40" s="9">
        <v>541</v>
      </c>
      <c r="L40" s="9">
        <f>G40+J40</f>
        <v>45250</v>
      </c>
      <c r="M40" s="9">
        <f>H40+K40</f>
        <v>4525</v>
      </c>
      <c r="N40" s="5">
        <v>1</v>
      </c>
      <c r="O40" s="9">
        <v>1.07</v>
      </c>
      <c r="P40" s="9">
        <v>160.5</v>
      </c>
      <c r="Q40" s="9">
        <v>5.37</v>
      </c>
      <c r="R40" s="9">
        <v>805.5</v>
      </c>
      <c r="S40" s="9"/>
      <c r="T40" s="9"/>
      <c r="U40" s="9"/>
      <c r="V40" s="9"/>
    </row>
    <row r="41" spans="1:22" x14ac:dyDescent="0.3">
      <c r="A41" s="21">
        <v>2022</v>
      </c>
      <c r="B41" s="69" t="s">
        <v>74</v>
      </c>
      <c r="C41" s="13">
        <v>35.82</v>
      </c>
      <c r="D41" s="9">
        <f t="shared" ref="D41:D51" si="3">C41*1000</f>
        <v>35820</v>
      </c>
      <c r="E41" s="9">
        <v>3582</v>
      </c>
      <c r="F41" s="9">
        <v>35.340000000000003</v>
      </c>
      <c r="G41" s="9">
        <f t="shared" ref="G41:G51" si="4">F41*1000</f>
        <v>35340</v>
      </c>
      <c r="H41" s="9">
        <v>3534</v>
      </c>
      <c r="I41" s="9">
        <v>6.53</v>
      </c>
      <c r="J41" s="9">
        <f t="shared" ref="J41:J51" si="5">I41*1000</f>
        <v>6530</v>
      </c>
      <c r="K41" s="9">
        <v>653</v>
      </c>
      <c r="L41" s="9">
        <f t="shared" ref="L41:L51" si="6">G41+J41</f>
        <v>41870</v>
      </c>
      <c r="M41" s="9">
        <f t="shared" ref="M41:M51" si="7">H41+K41</f>
        <v>4187</v>
      </c>
      <c r="N41" s="5">
        <v>2</v>
      </c>
      <c r="O41" s="9">
        <v>1.07</v>
      </c>
      <c r="P41" s="9">
        <v>160.5</v>
      </c>
      <c r="Q41" s="9">
        <v>1.86</v>
      </c>
      <c r="R41" s="9">
        <v>279</v>
      </c>
      <c r="S41" s="9"/>
      <c r="T41" s="9"/>
      <c r="U41" s="9"/>
      <c r="V41" s="9"/>
    </row>
    <row r="42" spans="1:22" x14ac:dyDescent="0.3">
      <c r="A42" s="21">
        <v>2022</v>
      </c>
      <c r="B42" s="69" t="s">
        <v>75</v>
      </c>
      <c r="C42" s="13">
        <v>26.6</v>
      </c>
      <c r="D42" s="9">
        <f t="shared" si="3"/>
        <v>26600</v>
      </c>
      <c r="E42" s="9">
        <v>2510.5</v>
      </c>
      <c r="F42" s="9">
        <v>40.06</v>
      </c>
      <c r="G42" s="9">
        <f t="shared" si="4"/>
        <v>40060</v>
      </c>
      <c r="H42" s="9">
        <v>4006</v>
      </c>
      <c r="I42" s="9">
        <v>8.3699999999999992</v>
      </c>
      <c r="J42" s="9">
        <f t="shared" si="5"/>
        <v>8370</v>
      </c>
      <c r="K42" s="9">
        <v>837</v>
      </c>
      <c r="L42" s="9">
        <f t="shared" si="6"/>
        <v>48430</v>
      </c>
      <c r="M42" s="9">
        <f t="shared" si="7"/>
        <v>4843</v>
      </c>
      <c r="N42" s="5">
        <v>3</v>
      </c>
      <c r="O42" s="9">
        <v>1.1000000000000001</v>
      </c>
      <c r="P42" s="9">
        <v>165</v>
      </c>
      <c r="Q42" s="9">
        <v>1.34</v>
      </c>
      <c r="R42" s="9">
        <v>201</v>
      </c>
      <c r="S42" s="9"/>
      <c r="T42" s="9"/>
      <c r="U42" s="9"/>
      <c r="V42" s="9"/>
    </row>
    <row r="43" spans="1:22" x14ac:dyDescent="0.3">
      <c r="A43" s="21">
        <v>2022</v>
      </c>
      <c r="B43" s="69" t="s">
        <v>76</v>
      </c>
      <c r="C43" s="13">
        <v>19.559999999999999</v>
      </c>
      <c r="D43" s="9">
        <f t="shared" si="3"/>
        <v>19560</v>
      </c>
      <c r="E43" s="9">
        <v>2780.5</v>
      </c>
      <c r="F43" s="9">
        <v>32.17</v>
      </c>
      <c r="G43" s="9">
        <f t="shared" si="4"/>
        <v>32170</v>
      </c>
      <c r="H43" s="9">
        <v>4825.5</v>
      </c>
      <c r="I43" s="9">
        <v>7.65</v>
      </c>
      <c r="J43" s="9">
        <f t="shared" si="5"/>
        <v>7650</v>
      </c>
      <c r="K43" s="9">
        <v>1147.5</v>
      </c>
      <c r="L43" s="9">
        <f t="shared" si="6"/>
        <v>39820</v>
      </c>
      <c r="M43" s="9">
        <f t="shared" si="7"/>
        <v>5973</v>
      </c>
      <c r="N43" s="5">
        <v>4</v>
      </c>
      <c r="O43" s="9">
        <v>5.78</v>
      </c>
      <c r="P43" s="9">
        <v>867</v>
      </c>
      <c r="Q43" s="9">
        <v>1.28</v>
      </c>
      <c r="R43" s="9">
        <v>192</v>
      </c>
      <c r="S43" s="9"/>
      <c r="T43" s="9"/>
      <c r="U43" s="9"/>
      <c r="V43" s="9"/>
    </row>
    <row r="44" spans="1:22" x14ac:dyDescent="0.3">
      <c r="A44" s="21">
        <v>2022</v>
      </c>
      <c r="B44" s="69" t="s">
        <v>49</v>
      </c>
      <c r="C44" s="13">
        <v>12.92</v>
      </c>
      <c r="D44" s="9">
        <f t="shared" si="3"/>
        <v>12920</v>
      </c>
      <c r="E44" s="9">
        <v>1833</v>
      </c>
      <c r="F44" s="9">
        <v>39.700000000000003</v>
      </c>
      <c r="G44" s="9">
        <f t="shared" si="4"/>
        <v>39700</v>
      </c>
      <c r="H44" s="9">
        <v>5955</v>
      </c>
      <c r="I44" s="9">
        <v>11.33</v>
      </c>
      <c r="J44" s="9">
        <f t="shared" si="5"/>
        <v>11330</v>
      </c>
      <c r="K44" s="9">
        <v>1699.5</v>
      </c>
      <c r="L44" s="9">
        <f t="shared" si="6"/>
        <v>51030</v>
      </c>
      <c r="M44" s="9">
        <f t="shared" si="7"/>
        <v>7654.5</v>
      </c>
      <c r="N44" s="5">
        <v>5</v>
      </c>
      <c r="O44" s="9">
        <v>5.77</v>
      </c>
      <c r="P44" s="9">
        <v>865.5</v>
      </c>
      <c r="Q44" s="9">
        <v>5.56</v>
      </c>
      <c r="R44" s="9">
        <v>834</v>
      </c>
      <c r="S44" s="9"/>
      <c r="T44" s="9"/>
      <c r="U44" s="9"/>
      <c r="V44" s="9"/>
    </row>
    <row r="45" spans="1:22" x14ac:dyDescent="0.3">
      <c r="A45" s="21">
        <v>2022</v>
      </c>
      <c r="B45" s="69" t="s">
        <v>77</v>
      </c>
      <c r="C45" s="13">
        <v>20.38</v>
      </c>
      <c r="D45" s="9">
        <f t="shared" si="3"/>
        <v>20380</v>
      </c>
      <c r="E45" s="9">
        <v>2967.75</v>
      </c>
      <c r="F45" s="9">
        <v>39.08</v>
      </c>
      <c r="G45" s="9">
        <f t="shared" si="4"/>
        <v>39080</v>
      </c>
      <c r="H45" s="9">
        <v>5862.15</v>
      </c>
      <c r="I45" s="9">
        <v>8.49</v>
      </c>
      <c r="J45" s="9">
        <f t="shared" si="5"/>
        <v>8490</v>
      </c>
      <c r="K45" s="9">
        <v>1273.5</v>
      </c>
      <c r="L45" s="9">
        <f t="shared" si="6"/>
        <v>47570</v>
      </c>
      <c r="M45" s="9">
        <f t="shared" si="7"/>
        <v>7135.65</v>
      </c>
      <c r="N45" s="5">
        <v>6</v>
      </c>
      <c r="O45" s="9">
        <v>1.03</v>
      </c>
      <c r="P45" s="9">
        <v>154.5</v>
      </c>
      <c r="Q45" s="9">
        <v>1.4</v>
      </c>
      <c r="R45" s="9">
        <v>210</v>
      </c>
      <c r="S45" s="9"/>
      <c r="T45" s="9"/>
      <c r="U45" s="9"/>
      <c r="V45" s="9"/>
    </row>
    <row r="46" spans="1:22" x14ac:dyDescent="0.3">
      <c r="A46" s="21">
        <v>2022</v>
      </c>
      <c r="B46" s="69" t="s">
        <v>78</v>
      </c>
      <c r="C46" s="13">
        <v>16.87</v>
      </c>
      <c r="D46" s="9">
        <f t="shared" si="3"/>
        <v>16870</v>
      </c>
      <c r="E46" s="9">
        <v>3031.5</v>
      </c>
      <c r="F46" s="9">
        <v>29.64</v>
      </c>
      <c r="G46" s="9">
        <f t="shared" si="4"/>
        <v>29640</v>
      </c>
      <c r="H46" s="9">
        <v>4446</v>
      </c>
      <c r="I46" s="9">
        <v>10.98</v>
      </c>
      <c r="J46" s="9">
        <f t="shared" si="5"/>
        <v>10980</v>
      </c>
      <c r="K46" s="9">
        <v>17667</v>
      </c>
      <c r="L46" s="9">
        <f t="shared" si="6"/>
        <v>40620</v>
      </c>
      <c r="M46" s="9">
        <f t="shared" si="7"/>
        <v>22113</v>
      </c>
      <c r="N46" s="5">
        <v>7</v>
      </c>
      <c r="O46" s="9">
        <v>1.1000000000000001</v>
      </c>
      <c r="P46" s="9">
        <v>165</v>
      </c>
      <c r="Q46" s="9">
        <v>1.43</v>
      </c>
      <c r="R46" s="9">
        <v>214.5</v>
      </c>
      <c r="S46" s="9"/>
      <c r="T46" s="9"/>
      <c r="U46" s="9"/>
      <c r="V46" s="9"/>
    </row>
    <row r="47" spans="1:22" x14ac:dyDescent="0.3">
      <c r="A47" s="21">
        <v>2022</v>
      </c>
      <c r="B47" s="69" t="s">
        <v>79</v>
      </c>
      <c r="C47" s="13">
        <v>8.91</v>
      </c>
      <c r="D47" s="9">
        <f t="shared" si="3"/>
        <v>8910</v>
      </c>
      <c r="E47" s="9">
        <v>1869.5</v>
      </c>
      <c r="F47" s="9">
        <v>51.19</v>
      </c>
      <c r="G47" s="9">
        <f t="shared" si="4"/>
        <v>51190</v>
      </c>
      <c r="H47" s="9">
        <v>7678.5</v>
      </c>
      <c r="I47" s="9">
        <v>7.69</v>
      </c>
      <c r="J47" s="9">
        <f t="shared" si="5"/>
        <v>7690</v>
      </c>
      <c r="K47" s="9">
        <v>13403.5</v>
      </c>
      <c r="L47" s="9">
        <f t="shared" si="6"/>
        <v>58880</v>
      </c>
      <c r="M47" s="9">
        <f>H47+K47</f>
        <v>21082</v>
      </c>
      <c r="N47" s="5">
        <v>8</v>
      </c>
      <c r="O47" s="9">
        <v>0.84</v>
      </c>
      <c r="P47" s="9">
        <v>63</v>
      </c>
      <c r="Q47" s="9">
        <v>0.51</v>
      </c>
      <c r="R47" s="9">
        <v>38.25</v>
      </c>
      <c r="S47" s="9"/>
      <c r="T47" s="9"/>
      <c r="U47" s="9"/>
      <c r="V47" s="9"/>
    </row>
    <row r="48" spans="1:22" x14ac:dyDescent="0.3">
      <c r="A48" s="21">
        <v>2022</v>
      </c>
      <c r="B48" s="69" t="s">
        <v>80</v>
      </c>
      <c r="C48" s="13">
        <f>SUM(O40:O51)</f>
        <v>21.409999999999997</v>
      </c>
      <c r="D48" s="9">
        <f t="shared" si="3"/>
        <v>21409.999999999996</v>
      </c>
      <c r="E48" s="9">
        <f>SUM(P40:P51)</f>
        <v>3148.5</v>
      </c>
      <c r="F48" s="9">
        <v>28.95</v>
      </c>
      <c r="G48" s="9">
        <f t="shared" si="4"/>
        <v>28950</v>
      </c>
      <c r="H48" s="9">
        <v>4342.5</v>
      </c>
      <c r="I48" s="93" t="s">
        <v>97</v>
      </c>
      <c r="J48" s="9" t="e">
        <f t="shared" si="5"/>
        <v>#VALUE!</v>
      </c>
      <c r="K48" s="9"/>
      <c r="L48" s="9" t="e">
        <f>G48+J48</f>
        <v>#VALUE!</v>
      </c>
      <c r="M48" s="9">
        <f>H48+K48</f>
        <v>4342.5</v>
      </c>
      <c r="N48" s="5">
        <v>9</v>
      </c>
      <c r="O48" s="9">
        <v>1.47</v>
      </c>
      <c r="P48" s="9">
        <v>220.5</v>
      </c>
      <c r="Q48" s="9">
        <v>1.59</v>
      </c>
      <c r="R48" s="9">
        <v>238.5</v>
      </c>
      <c r="S48" s="9"/>
      <c r="T48" s="9"/>
      <c r="U48" s="9"/>
      <c r="V48" s="9"/>
    </row>
    <row r="49" spans="1:22" x14ac:dyDescent="0.3">
      <c r="A49" s="21">
        <v>2022</v>
      </c>
      <c r="B49" s="69" t="s">
        <v>81</v>
      </c>
      <c r="C49" s="13">
        <f>SUM(Q40:Q51)</f>
        <v>22.14</v>
      </c>
      <c r="D49" s="9">
        <f t="shared" si="3"/>
        <v>22140</v>
      </c>
      <c r="E49" s="9">
        <f>SUM(R40:R51)</f>
        <v>3822.75</v>
      </c>
      <c r="F49" s="73" t="s">
        <v>97</v>
      </c>
      <c r="G49" s="9" t="e">
        <f t="shared" si="4"/>
        <v>#VALUE!</v>
      </c>
      <c r="H49" s="9"/>
      <c r="I49" s="93" t="s">
        <v>97</v>
      </c>
      <c r="J49" s="9" t="e">
        <f t="shared" si="5"/>
        <v>#VALUE!</v>
      </c>
      <c r="K49" s="9"/>
      <c r="L49" s="9" t="e">
        <f t="shared" si="6"/>
        <v>#VALUE!</v>
      </c>
      <c r="M49" s="9">
        <f t="shared" si="7"/>
        <v>0</v>
      </c>
      <c r="N49" s="5">
        <v>10</v>
      </c>
      <c r="O49" s="9">
        <v>1.18</v>
      </c>
      <c r="P49" s="9">
        <v>177</v>
      </c>
      <c r="Q49" s="9">
        <v>1</v>
      </c>
      <c r="R49" s="9">
        <v>750</v>
      </c>
      <c r="S49" s="9"/>
      <c r="T49" s="9"/>
      <c r="U49" s="9"/>
      <c r="V49" s="9"/>
    </row>
    <row r="50" spans="1:22" x14ac:dyDescent="0.3">
      <c r="A50" s="21">
        <v>2022</v>
      </c>
      <c r="B50" s="69" t="s">
        <v>82</v>
      </c>
      <c r="C50" s="13"/>
      <c r="D50" s="9">
        <f t="shared" si="3"/>
        <v>0</v>
      </c>
      <c r="E50" s="9"/>
      <c r="F50" s="9"/>
      <c r="G50" s="9">
        <f t="shared" si="4"/>
        <v>0</v>
      </c>
      <c r="H50" s="9"/>
      <c r="I50" s="9"/>
      <c r="J50" s="9">
        <f t="shared" si="5"/>
        <v>0</v>
      </c>
      <c r="K50" s="9"/>
      <c r="L50" s="9">
        <f t="shared" si="6"/>
        <v>0</v>
      </c>
      <c r="M50" s="9">
        <f t="shared" si="7"/>
        <v>0</v>
      </c>
      <c r="N50" s="5">
        <v>11</v>
      </c>
      <c r="O50" s="9">
        <v>1</v>
      </c>
      <c r="P50" s="9">
        <v>150</v>
      </c>
      <c r="Q50" s="9">
        <v>0.8</v>
      </c>
      <c r="R50" s="9">
        <v>60</v>
      </c>
      <c r="S50" s="9"/>
      <c r="T50" s="9"/>
      <c r="U50" s="9"/>
      <c r="V50" s="9"/>
    </row>
    <row r="51" spans="1:22" x14ac:dyDescent="0.3">
      <c r="A51" s="21">
        <v>2022</v>
      </c>
      <c r="B51" s="69" t="s">
        <v>83</v>
      </c>
      <c r="C51" s="13"/>
      <c r="D51" s="9">
        <f t="shared" si="3"/>
        <v>0</v>
      </c>
      <c r="E51" s="9"/>
      <c r="F51" s="9"/>
      <c r="G51" s="9">
        <f t="shared" si="4"/>
        <v>0</v>
      </c>
      <c r="H51" s="9"/>
      <c r="I51" s="9"/>
      <c r="J51" s="9">
        <f t="shared" si="5"/>
        <v>0</v>
      </c>
      <c r="K51" s="9"/>
      <c r="L51" s="9">
        <f t="shared" si="6"/>
        <v>0</v>
      </c>
      <c r="M51" s="9">
        <f t="shared" si="7"/>
        <v>0</v>
      </c>
      <c r="N51" s="87">
        <v>12</v>
      </c>
      <c r="O51" s="11"/>
      <c r="P51" s="11"/>
      <c r="Q51" s="11"/>
      <c r="R51" s="11"/>
      <c r="S51" s="9"/>
      <c r="T51" s="9"/>
      <c r="U51" s="9"/>
      <c r="V51" s="9"/>
    </row>
    <row r="52" spans="1:22" ht="43.2" x14ac:dyDescent="0.3">
      <c r="N52" s="90" t="s">
        <v>98</v>
      </c>
      <c r="O52" s="91" t="s">
        <v>80</v>
      </c>
      <c r="P52" s="91" t="s">
        <v>81</v>
      </c>
      <c r="Q52" s="91" t="s">
        <v>82</v>
      </c>
      <c r="R52" s="91" t="s">
        <v>83</v>
      </c>
    </row>
    <row r="53" spans="1:22" ht="15" customHeight="1" x14ac:dyDescent="0.3">
      <c r="N53" s="89">
        <v>1</v>
      </c>
      <c r="O53" s="43">
        <v>28</v>
      </c>
      <c r="P53" s="43">
        <v>33</v>
      </c>
      <c r="Q53" s="43"/>
      <c r="R53" s="43"/>
    </row>
    <row r="54" spans="1:22" x14ac:dyDescent="0.3">
      <c r="N54" s="88">
        <v>2</v>
      </c>
      <c r="O54" s="9">
        <v>26</v>
      </c>
      <c r="P54" s="9">
        <v>61</v>
      </c>
      <c r="Q54" s="9"/>
      <c r="R54" s="9"/>
    </row>
    <row r="55" spans="1:22" x14ac:dyDescent="0.3">
      <c r="N55" s="88">
        <v>3</v>
      </c>
      <c r="O55" s="9">
        <v>121</v>
      </c>
      <c r="P55" s="9">
        <v>49</v>
      </c>
      <c r="Q55" s="9"/>
      <c r="R55" s="9"/>
    </row>
    <row r="56" spans="1:22" x14ac:dyDescent="0.3">
      <c r="N56" s="88">
        <v>4</v>
      </c>
      <c r="O56" s="9">
        <v>53</v>
      </c>
      <c r="P56" s="9">
        <v>78</v>
      </c>
      <c r="Q56" s="9"/>
      <c r="R56" s="9"/>
    </row>
    <row r="57" spans="1:22" x14ac:dyDescent="0.3">
      <c r="N57" s="88">
        <v>5</v>
      </c>
      <c r="O57" s="9">
        <v>85</v>
      </c>
      <c r="P57" s="9">
        <v>74</v>
      </c>
      <c r="Q57" s="9"/>
      <c r="R57" s="9"/>
    </row>
    <row r="58" spans="1:22" x14ac:dyDescent="0.3">
      <c r="N58" s="88">
        <v>6</v>
      </c>
      <c r="O58" s="9">
        <v>33</v>
      </c>
      <c r="P58" s="9">
        <v>59</v>
      </c>
      <c r="Q58" s="9"/>
      <c r="R58" s="9"/>
    </row>
    <row r="59" spans="1:22" x14ac:dyDescent="0.3">
      <c r="N59" s="88">
        <v>7</v>
      </c>
      <c r="O59" s="9">
        <v>39</v>
      </c>
      <c r="P59" s="9">
        <v>96</v>
      </c>
      <c r="Q59" s="9"/>
      <c r="R59" s="9"/>
    </row>
    <row r="60" spans="1:22" x14ac:dyDescent="0.3">
      <c r="N60" s="88">
        <v>8</v>
      </c>
      <c r="O60" s="9">
        <v>46</v>
      </c>
      <c r="P60" s="9">
        <v>95</v>
      </c>
      <c r="Q60" s="9"/>
      <c r="R60" s="9"/>
    </row>
    <row r="61" spans="1:22" x14ac:dyDescent="0.3">
      <c r="N61" s="88">
        <v>9</v>
      </c>
      <c r="O61" s="9">
        <v>80</v>
      </c>
      <c r="P61" s="9">
        <v>86</v>
      </c>
      <c r="Q61" s="9"/>
      <c r="R61" s="9"/>
    </row>
    <row r="62" spans="1:22" x14ac:dyDescent="0.3">
      <c r="N62" s="88">
        <v>10</v>
      </c>
      <c r="O62" s="9">
        <v>105</v>
      </c>
      <c r="P62" s="9">
        <v>81</v>
      </c>
      <c r="Q62" s="9"/>
      <c r="R62" s="9"/>
    </row>
    <row r="63" spans="1:22" x14ac:dyDescent="0.3">
      <c r="N63" s="88">
        <v>11</v>
      </c>
      <c r="O63" s="9">
        <f>SUM(O53:O62)</f>
        <v>616</v>
      </c>
      <c r="P63" s="9">
        <v>88</v>
      </c>
      <c r="Q63" s="9"/>
      <c r="R63" s="9"/>
    </row>
    <row r="64" spans="1:22" x14ac:dyDescent="0.3">
      <c r="N64" s="88">
        <v>12</v>
      </c>
      <c r="O64" s="9"/>
      <c r="P64" s="9">
        <v>62</v>
      </c>
      <c r="Q64" s="9"/>
      <c r="R64" s="9"/>
    </row>
    <row r="65" spans="14:18" x14ac:dyDescent="0.3">
      <c r="N65" s="88">
        <v>13</v>
      </c>
      <c r="O65" s="9"/>
      <c r="P65" s="9">
        <v>76</v>
      </c>
      <c r="Q65" s="9"/>
      <c r="R65" s="9"/>
    </row>
    <row r="66" spans="14:18" x14ac:dyDescent="0.3">
      <c r="N66" s="88">
        <v>14</v>
      </c>
      <c r="O66" s="9"/>
      <c r="P66" s="9">
        <v>85</v>
      </c>
      <c r="Q66" s="9"/>
      <c r="R66" s="9"/>
    </row>
    <row r="67" spans="14:18" x14ac:dyDescent="0.3">
      <c r="N67" s="88">
        <v>15</v>
      </c>
      <c r="O67" s="9"/>
      <c r="P67" s="9">
        <v>92</v>
      </c>
      <c r="Q67" s="9"/>
      <c r="R67" s="9"/>
    </row>
    <row r="68" spans="14:18" x14ac:dyDescent="0.3">
      <c r="N68" s="88">
        <v>16</v>
      </c>
      <c r="O68" s="9"/>
      <c r="P68" s="9">
        <v>77</v>
      </c>
      <c r="Q68" s="9"/>
      <c r="R68" s="9"/>
    </row>
    <row r="69" spans="14:18" x14ac:dyDescent="0.3">
      <c r="N69" s="88">
        <v>17</v>
      </c>
      <c r="O69" s="9"/>
      <c r="P69" s="9">
        <v>103</v>
      </c>
      <c r="Q69" s="9"/>
      <c r="R69" s="9"/>
    </row>
    <row r="70" spans="14:18" x14ac:dyDescent="0.3">
      <c r="N70" s="88">
        <v>18</v>
      </c>
      <c r="O70" s="9"/>
      <c r="P70" s="9">
        <v>86</v>
      </c>
      <c r="Q70" s="9"/>
      <c r="R70" s="9"/>
    </row>
    <row r="71" spans="14:18" x14ac:dyDescent="0.3">
      <c r="N71" s="88">
        <v>19</v>
      </c>
      <c r="O71" s="9"/>
      <c r="P71" s="9">
        <v>110</v>
      </c>
      <c r="Q71" s="9"/>
      <c r="R71" s="9"/>
    </row>
    <row r="72" spans="14:18" x14ac:dyDescent="0.3">
      <c r="N72" s="88">
        <v>20</v>
      </c>
      <c r="O72" s="9"/>
      <c r="P72" s="9">
        <v>98</v>
      </c>
      <c r="Q72" s="9"/>
      <c r="R72" s="9"/>
    </row>
    <row r="73" spans="14:18" x14ac:dyDescent="0.3">
      <c r="N73" s="88">
        <v>21</v>
      </c>
      <c r="O73" s="9"/>
      <c r="P73" s="9">
        <v>54</v>
      </c>
      <c r="Q73" s="9"/>
      <c r="R73" s="9"/>
    </row>
    <row r="74" spans="14:18" x14ac:dyDescent="0.3">
      <c r="N74" s="88">
        <v>22</v>
      </c>
      <c r="O74" s="9"/>
      <c r="P74" s="9">
        <v>98</v>
      </c>
      <c r="Q74" s="9"/>
      <c r="R74" s="9"/>
    </row>
    <row r="75" spans="14:18" x14ac:dyDescent="0.3">
      <c r="N75" s="88">
        <v>23</v>
      </c>
      <c r="O75" s="9"/>
      <c r="P75" s="9">
        <v>58</v>
      </c>
      <c r="Q75" s="9"/>
      <c r="R75" s="9"/>
    </row>
    <row r="76" spans="14:18" x14ac:dyDescent="0.3">
      <c r="N76" s="88">
        <v>24</v>
      </c>
      <c r="O76" s="9"/>
      <c r="P76" s="9">
        <v>110</v>
      </c>
      <c r="Q76" s="9"/>
      <c r="R76" s="9"/>
    </row>
    <row r="77" spans="14:18" x14ac:dyDescent="0.3">
      <c r="N77" s="88">
        <v>25</v>
      </c>
      <c r="O77" s="9"/>
      <c r="P77" s="9">
        <v>98</v>
      </c>
      <c r="Q77" s="9"/>
      <c r="R77" s="9"/>
    </row>
    <row r="78" spans="14:18" x14ac:dyDescent="0.3">
      <c r="N78" s="88">
        <v>26</v>
      </c>
      <c r="O78" s="9"/>
      <c r="P78" s="9">
        <v>79</v>
      </c>
      <c r="Q78" s="9"/>
      <c r="R78" s="9"/>
    </row>
    <row r="79" spans="14:18" x14ac:dyDescent="0.3">
      <c r="N79" s="88">
        <v>27</v>
      </c>
      <c r="O79" s="9"/>
      <c r="P79" s="9">
        <v>86</v>
      </c>
      <c r="Q79" s="9"/>
      <c r="R79" s="9"/>
    </row>
    <row r="80" spans="14:18" x14ac:dyDescent="0.3">
      <c r="N80" s="88">
        <v>28</v>
      </c>
      <c r="O80" s="9"/>
      <c r="P80" s="9">
        <v>92</v>
      </c>
      <c r="Q80" s="9"/>
      <c r="R80" s="9"/>
    </row>
    <row r="81" spans="14:18" x14ac:dyDescent="0.3">
      <c r="N81" s="88">
        <v>29</v>
      </c>
      <c r="O81" s="9"/>
      <c r="P81" s="9">
        <v>74</v>
      </c>
      <c r="Q81" s="9"/>
      <c r="R81" s="9"/>
    </row>
    <row r="82" spans="14:18" x14ac:dyDescent="0.3">
      <c r="N82" s="9"/>
      <c r="O82" s="24">
        <f>SUM(O53:O81)</f>
        <v>1232</v>
      </c>
      <c r="P82" s="24">
        <f>SUM(P53:P81)</f>
        <v>2338</v>
      </c>
      <c r="Q82" s="24">
        <f t="shared" ref="Q82:R82" si="8">SUM(Q53:Q81)</f>
        <v>0</v>
      </c>
      <c r="R82" s="24">
        <f t="shared" si="8"/>
        <v>0</v>
      </c>
    </row>
  </sheetData>
  <mergeCells count="11">
    <mergeCell ref="X3:Y3"/>
    <mergeCell ref="V3:W3"/>
    <mergeCell ref="C38:E38"/>
    <mergeCell ref="F38:H38"/>
    <mergeCell ref="I38:K38"/>
    <mergeCell ref="O38:P38"/>
    <mergeCell ref="Q38:R38"/>
    <mergeCell ref="S38:T38"/>
    <mergeCell ref="U38:V38"/>
    <mergeCell ref="N37:V37"/>
    <mergeCell ref="C37:K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Guilliano Morel</DisplayName>
        <AccountId>83</AccountId>
        <AccountType/>
      </UserInfo>
      <UserInfo>
        <DisplayName>Clemence Duvent</DisplayName>
        <AccountId>70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76D9C9-2FD9-4A4B-8871-03EAC458CB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3D3BB1-03D9-4265-B993-D055E72C7323}">
  <ds:schemaRefs>
    <ds:schemaRef ds:uri="http://schemas.microsoft.com/office/2006/metadata/properties"/>
    <ds:schemaRef ds:uri="http://schemas.microsoft.com/office/infopath/2007/PartnerControls"/>
    <ds:schemaRef ds:uri="c0bb2215-5bf3-43e0-9dce-b3effc6cb50f"/>
    <ds:schemaRef ds:uri="8c44e1e5-30d2-450a-b924-ac87e029a220"/>
  </ds:schemaRefs>
</ds:datastoreItem>
</file>

<file path=customXml/itemProps3.xml><?xml version="1.0" encoding="utf-8"?>
<ds:datastoreItem xmlns:ds="http://schemas.openxmlformats.org/officeDocument/2006/customXml" ds:itemID="{BD611911-9776-4963-A146-A5021ADA04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Insert in SCR</vt:lpstr>
      <vt:lpstr>Calculation Foodwaste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Joe Khoury</cp:lastModifiedBy>
  <cp:revision/>
  <dcterms:created xsi:type="dcterms:W3CDTF">2022-01-28T13:49:17Z</dcterms:created>
  <dcterms:modified xsi:type="dcterms:W3CDTF">2023-03-03T17:09:38Z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