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<sst xmlns="http://schemas.openxmlformats.org/spreadsheetml/2006/main" count="315" uniqueCount="148">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</sst>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11049.999999999742</v>
      </c>
      <c r="F18" s="11">
        <f t="shared" si="0"/>
        <v>0.58765030286592534</v>
      </c>
      <c r="G18" s="12">
        <f>(Submetering!AX18+Submetering!AY18+Submetering!AZ18+Submetering!BA18+Submetering!BB18)</f>
        <v>14.651999999999999</v>
      </c>
      <c r="H18" s="11">
        <f t="shared" si="1"/>
        <v>0.99</v>
      </c>
      <c r="I18" s="12">
        <f>'FS Desroches Daily'!CM20</f>
        <v>96</v>
      </c>
      <c r="J18" s="11">
        <f t="shared" si="2"/>
        <v>10.487297712684205</v>
      </c>
      <c r="K18" s="13">
        <f>'FS Desroches Daily'!CN20</f>
        <v>38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13089.9999999996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92</v>
      </c>
      <c r="J19" s="11">
        <f t="shared" si="2"/>
        <v>10.487297712684205</v>
      </c>
      <c r="K19" s="13">
        <f>'FS Desroches Daily'!CN21</f>
        <v>40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12880.000000000662</v>
      </c>
      <c r="F20" s="11">
        <f t="shared" si="0"/>
        <v>0.58765030286592534</v>
      </c>
      <c r="G20" s="12">
        <f>(Submetering!AX20+Submetering!AY20+Submetering!AZ20+Submetering!BA20+Submetering!BB20)</f>
        <v>25.640999999999998</v>
      </c>
      <c r="H20" s="11">
        <f t="shared" si="1"/>
        <v>0.99</v>
      </c>
      <c r="I20" s="12">
        <f>'FS Desroches Daily'!CM22</f>
        <v>98</v>
      </c>
      <c r="J20" s="11">
        <f t="shared" si="2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12739.999999999189</v>
      </c>
      <c r="F21" s="11">
        <f t="shared" si="0"/>
        <v>0.58765030286592534</v>
      </c>
      <c r="G21" s="12">
        <f>(Submetering!AX21+Submetering!AY21+Submetering!AZ21+Submetering!BA21+Submetering!BB21)</f>
        <v>7.3259999999999996</v>
      </c>
      <c r="H21" s="11">
        <f t="shared" si="1"/>
        <v>0.99</v>
      </c>
      <c r="I21" s="12">
        <f>'FS Desroches Daily'!CM23</f>
        <v>99</v>
      </c>
      <c r="J21" s="11">
        <f t="shared" si="2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11750.000000001699</v>
      </c>
      <c r="F22" s="11">
        <f t="shared" si="0"/>
        <v>0.58765030286592534</v>
      </c>
      <c r="G22" s="12">
        <f>(Submetering!AX22+Submetering!AY22+Submetering!AZ22+Submetering!BA22+Submetering!BB22)</f>
        <v>20.146499999999996</v>
      </c>
      <c r="H22" s="11">
        <f t="shared" si="1"/>
        <v>0.99</v>
      </c>
      <c r="I22" s="12">
        <f>'FS Desroches Daily'!CM24</f>
        <v>96.299999999999272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10989.999999998754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94.700000000000728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11980.000000000317</v>
      </c>
      <c r="F24" s="11">
        <f t="shared" si="0"/>
        <v>0.58765030286592534</v>
      </c>
      <c r="G24" s="12">
        <f>(Submetering!AX24+Submetering!AY24+Submetering!AZ24+Submetering!BA24+Submetering!BB24)</f>
        <v>12.820499999999999</v>
      </c>
      <c r="H24" s="11">
        <f t="shared" si="1"/>
        <v>0.99</v>
      </c>
      <c r="I24" s="12">
        <f>'FS Desroches Daily'!CM26</f>
        <v>101</v>
      </c>
      <c r="J24" s="11">
        <f t="shared" si="2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12239.999999999432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94</v>
      </c>
      <c r="J25" s="11">
        <f t="shared" si="2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 t="e">
        <f>Submetering!E26+Submetering!F26+Submetering!G26+Submetering!H26+Submetering!J26-Submetering!AV26</f>
        <v>#VALUE!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 t="e">
        <f>'FS Desroches Daily'!CM28</f>
        <v>#VALUE!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346.72</v>
      </c>
      <c r="AA17" s="35">
        <f>'FS Desroches Daily'!AU20</f>
        <v>346.72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2699.9999999999245</v>
      </c>
      <c r="F18" s="32">
        <f>'FS Desroches Daily'!F20</f>
        <v>2699.9999999999245</v>
      </c>
      <c r="G18" s="31">
        <f>'FS Desroches Daily'!H20</f>
        <v>3499.9999999998367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1600.0000000000459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1.2000000000000455</v>
      </c>
      <c r="N18" s="31">
        <f>'FS Desroches Daily'!V20</f>
        <v>421.59999999997672</v>
      </c>
      <c r="O18" s="31">
        <f>'FS Desroches Daily'!X20</f>
        <v>300.00000000001137</v>
      </c>
      <c r="P18" s="31">
        <f>'FS Desroches Daily'!Z20</f>
        <v>2899.9999999999027</v>
      </c>
      <c r="Q18" s="31">
        <f>'FS Desroches Daily'!AB20</f>
        <v>220.00000000002728</v>
      </c>
      <c r="R18" s="31">
        <f>'FS Desroches Daily'!AD20</f>
        <v>439.99999999999773</v>
      </c>
      <c r="S18" s="31">
        <f>'FS Desroches Daily'!AF20</f>
        <v>859.99999999989996</v>
      </c>
      <c r="T18" s="31">
        <f>'FS Desroches Daily'!AH20</f>
        <v>30</v>
      </c>
      <c r="U18" s="35">
        <f>'FS Desroches Daily'!AJ20</f>
        <v>660.00000000008185</v>
      </c>
      <c r="V18" s="35">
        <f>'FS Desroches Daily'!AL20</f>
        <v>189.99999999999773</v>
      </c>
      <c r="W18" s="35">
        <f>'FS Desroches Daily'!AN20</f>
        <v>189.99999999999773</v>
      </c>
      <c r="X18" s="35">
        <f>'FS Desroches Daily'!AP20</f>
        <v>179.99999999994998</v>
      </c>
      <c r="Y18" s="35">
        <f>'FS Desroches Daily'!AR20</f>
        <v>239.99999999995225</v>
      </c>
      <c r="Z18" s="35">
        <f>'FS Desroches Daily'!AT20</f>
        <v>299.99999999995453</v>
      </c>
      <c r="AA18" s="35">
        <f>'FS Desroches Daily'!AT20</f>
        <v>299.99999999995453</v>
      </c>
      <c r="AB18" s="35">
        <f>'FS Desroches Daily'!AV20</f>
        <v>260.00000000004775</v>
      </c>
      <c r="AC18" s="35">
        <f>'FS Desroches Daily'!AZ20</f>
        <v>160.00000000002501</v>
      </c>
      <c r="AD18" s="35">
        <f>'FS Desroches Daily'!BB20</f>
        <v>149.99999999997726</v>
      </c>
      <c r="AE18" s="35">
        <f>'FS Desroches Daily'!BD20</f>
        <v>49.999999999954525</v>
      </c>
      <c r="AF18" s="31">
        <f>'FS Desroches Daily'!BF20</f>
        <v>36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60.000000000002274</v>
      </c>
      <c r="AJ18" s="32">
        <f>'FS Desroches Daily'!BN20</f>
        <v>50.000000000011369</v>
      </c>
      <c r="AK18" s="32">
        <f>'FS Desroches Daily'!BP20</f>
        <v>50.000000000011369</v>
      </c>
      <c r="AL18" s="32">
        <f>'FS Desroches Daily'!BR20</f>
        <v>38</v>
      </c>
      <c r="AM18" s="32">
        <f>'FS Desroches Daily'!BT20</f>
        <v>39.999999999992042</v>
      </c>
      <c r="AN18" s="32">
        <f>'FS Desroches Daily'!BV20</f>
        <v>43</v>
      </c>
      <c r="AO18" s="32">
        <f>'FS Desroches Daily'!BX20</f>
        <v>30.000000000001137</v>
      </c>
      <c r="AP18" s="32">
        <f>'FS Desroches Daily'!BZ20</f>
        <v>39</v>
      </c>
      <c r="AQ18" s="31">
        <f>'FS Desroches Daily'!CB20</f>
        <v>50.299999999995634</v>
      </c>
      <c r="AR18" s="31">
        <f>'FS Desroches Daily'!CD20</f>
        <v>10.600000000000364</v>
      </c>
      <c r="AS18" s="31">
        <f>'FS Desroches Daily'!CF20</f>
        <v>2.6000000000003638</v>
      </c>
      <c r="AT18" s="31">
        <f>'FS Desroches Daily'!CH20</f>
        <v>49.100000000005821</v>
      </c>
      <c r="AU18" s="31">
        <f>'FS Desroches Daily'!CJ20</f>
        <v>280</v>
      </c>
      <c r="AV18" s="31">
        <f>'FS Desroches Daily'!CL20</f>
        <v>950.00000000004547</v>
      </c>
      <c r="AW18" s="31">
        <f>'FS Desroches Daily'!CM20</f>
        <v>96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5.4944999999999995</v>
      </c>
      <c r="BA18" s="31">
        <f>IF(LPG!M25-LPG!M24&lt;0,"0",(LPG!M25-LPG!M24)*1.8315)</f>
        <v>1.8314999999999999</v>
      </c>
      <c r="BB18" s="31">
        <f>IF(LPG!Q25-LPG!Q24&lt;0,"0",(LPG!Q25-LPG!Q24)*1.8315)</f>
        <v>7.3259999999999996</v>
      </c>
      <c r="BC18" s="13">
        <f>'FS Desroches Daily'!CN20</f>
        <v>38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3400.0000000000696</v>
      </c>
      <c r="F19" s="32">
        <f>'FS Desroches Daily'!F21</f>
        <v>3299.9999999994143</v>
      </c>
      <c r="G19" s="31">
        <f>'FS Desroches Daily'!H21</f>
        <v>3300.0000000003029</v>
      </c>
      <c r="H19" s="32">
        <f>'FS Desroches Daily'!J21</f>
        <v>1799.9999999998017</v>
      </c>
      <c r="I19" s="31">
        <f>'FS Desroches Daily'!L21</f>
        <v>2100.0000000004347</v>
      </c>
      <c r="J19" s="32">
        <f>'FS Desroches Daily'!N21</f>
        <v>2199.9999999999795</v>
      </c>
      <c r="K19" s="13">
        <f>'FS Desroches Daily'!P21</f>
        <v>29</v>
      </c>
      <c r="L19" s="31">
        <f>'FS Desroches Daily'!R21</f>
        <v>6</v>
      </c>
      <c r="M19" s="31">
        <f>'FS Desroches Daily'!T21</f>
        <v>1.2000000000000455</v>
      </c>
      <c r="N19" s="31">
        <f>'FS Desroches Daily'!V21</f>
        <v>464.59999999997672</v>
      </c>
      <c r="O19" s="31">
        <f>'FS Desroches Daily'!X21</f>
        <v>340.00000000003183</v>
      </c>
      <c r="P19" s="31">
        <f>'FS Desroches Daily'!Z21</f>
        <v>2900.0000000003465</v>
      </c>
      <c r="Q19" s="31">
        <f>'FS Desroches Daily'!AB21</f>
        <v>399.99999999997726</v>
      </c>
      <c r="R19" s="31">
        <f>'FS Desroches Daily'!AD21</f>
        <v>540.00000000002046</v>
      </c>
      <c r="S19" s="31">
        <f>'FS Desroches Daily'!AF21</f>
        <v>1060.0000000000591</v>
      </c>
      <c r="T19" s="31">
        <f>'FS Desroches Daily'!AH21</f>
        <v>35</v>
      </c>
      <c r="U19" s="35">
        <f>'FS Desroches Daily'!AJ21</f>
        <v>769.99999999998181</v>
      </c>
      <c r="V19" s="35">
        <f>'FS Desroches Daily'!AL21</f>
        <v>250</v>
      </c>
      <c r="W19" s="35">
        <f>'FS Desroches Daily'!AN21</f>
        <v>340.00000000003183</v>
      </c>
      <c r="X19" s="35">
        <f>'FS Desroches Daily'!AP21</f>
        <v>240.00000000000909</v>
      </c>
      <c r="Y19" s="35">
        <f>'FS Desroches Daily'!AR21</f>
        <v>330.00000000004093</v>
      </c>
      <c r="Z19" s="35">
        <f>'FS Desroches Daily'!AT21</f>
        <v>350.00000000002274</v>
      </c>
      <c r="AA19" s="35">
        <f>'FS Desroches Daily'!AT21</f>
        <v>350.00000000002274</v>
      </c>
      <c r="AB19" s="35">
        <f>'FS Desroches Daily'!AV21</f>
        <v>349.99999999996589</v>
      </c>
      <c r="AC19" s="35">
        <f>'FS Desroches Daily'!AZ21</f>
        <v>180.00000000000682</v>
      </c>
      <c r="AD19" s="35">
        <f>'FS Desroches Daily'!BB21</f>
        <v>199.99999999998863</v>
      </c>
      <c r="AE19" s="35">
        <f>'FS Desroches Daily'!BD21</f>
        <v>70.000000000050022</v>
      </c>
      <c r="AF19" s="31">
        <f>'FS Desroches Daily'!BF21</f>
        <v>27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69.999999999993179</v>
      </c>
      <c r="AJ19" s="32">
        <f>'FS Desroches Daily'!BN21</f>
        <v>60.000000000002274</v>
      </c>
      <c r="AK19" s="32">
        <f>'FS Desroches Daily'!BP21</f>
        <v>69.999999999993179</v>
      </c>
      <c r="AL19" s="32">
        <f>'FS Desroches Daily'!BR21</f>
        <v>43</v>
      </c>
      <c r="AM19" s="32">
        <f>'FS Desroches Daily'!BT21</f>
        <v>50.000000000011369</v>
      </c>
      <c r="AN19" s="32">
        <f>'FS Desroches Daily'!BV21</f>
        <v>53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47</v>
      </c>
      <c r="AR19" s="31">
        <f>'FS Desroches Daily'!CD21</f>
        <v>9.7000000000007276</v>
      </c>
      <c r="AS19" s="31">
        <f>'FS Desroches Daily'!CF21</f>
        <v>5.6999999999998181</v>
      </c>
      <c r="AT19" s="31">
        <f>'FS Desroches Daily'!CH21</f>
        <v>47.099999999991269</v>
      </c>
      <c r="AU19" s="31">
        <f>'FS Desroches Daily'!CJ21</f>
        <v>295</v>
      </c>
      <c r="AV19" s="31">
        <f>'FS Desroches Daily'!CL21</f>
        <v>909.99999999996817</v>
      </c>
      <c r="AW19" s="31">
        <f>'FS Desroches Daily'!CM21</f>
        <v>92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3.6629999999999998</v>
      </c>
      <c r="BA19" s="31">
        <f>IF(LPG!M26-LPG!M25&lt;0,"0",(LPG!M26-LPG!M25)*1.8315)</f>
        <v>3.6629999999999998</v>
      </c>
      <c r="BB19" s="31">
        <f>IF(LPG!Q26-LPG!Q25&lt;0,"0",(LPG!Q26-LPG!Q25)*1.8315)</f>
        <v>3.6629999999999998</v>
      </c>
      <c r="BC19" s="13">
        <f>'FS Desroches Daily'!CN21</f>
        <v>40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3300.0000000003029</v>
      </c>
      <c r="F20" s="32">
        <f>'FS Desroches Daily'!F22</f>
        <v>3000.0000000001137</v>
      </c>
      <c r="G20" s="31">
        <f>'FS Desroches Daily'!H22</f>
        <v>3700.0000000002588</v>
      </c>
      <c r="H20" s="32">
        <f>'FS Desroches Daily'!J22</f>
        <v>1700.0000000000348</v>
      </c>
      <c r="I20" s="31">
        <f>'FS Desroches Daily'!L22</f>
        <v>2099.9999999999909</v>
      </c>
      <c r="J20" s="32">
        <f>'FS Desroches Daily'!N22</f>
        <v>2000.0000000000018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1.5999999999999091</v>
      </c>
      <c r="N20" s="31">
        <f>'FS Desroches Daily'!V22</f>
        <v>636.40000000002328</v>
      </c>
      <c r="O20" s="31">
        <f>'FS Desroches Daily'!X22</f>
        <v>359.9999999999568</v>
      </c>
      <c r="P20" s="31">
        <f>'FS Desroches Daily'!Z22</f>
        <v>2799.9999999996917</v>
      </c>
      <c r="Q20" s="31">
        <f>'FS Desroches Daily'!AB22</f>
        <v>450.00000000004547</v>
      </c>
      <c r="R20" s="31">
        <f>'FS Desroches Daily'!AD22</f>
        <v>419.99999999995907</v>
      </c>
      <c r="S20" s="31">
        <f>'FS Desroches Daily'!AF22</f>
        <v>1049.9999999999545</v>
      </c>
      <c r="T20" s="31">
        <f>'FS Desroches Daily'!AH22</f>
        <v>32</v>
      </c>
      <c r="U20" s="35">
        <f>'FS Desroches Daily'!AJ22</f>
        <v>730.00000000001819</v>
      </c>
      <c r="V20" s="35">
        <f>'FS Desroches Daily'!AL22</f>
        <v>290.00000000002046</v>
      </c>
      <c r="W20" s="35">
        <f>'FS Desroches Daily'!AN22</f>
        <v>269.99999999998181</v>
      </c>
      <c r="X20" s="35">
        <f>'FS Desroches Daily'!AP22</f>
        <v>189.99999999999773</v>
      </c>
      <c r="Y20" s="35">
        <f>'FS Desroches Daily'!AR22</f>
        <v>180.00000000000682</v>
      </c>
      <c r="Z20" s="35">
        <f>'FS Desroches Daily'!AT22</f>
        <v>379.99999999999545</v>
      </c>
      <c r="AA20" s="35">
        <f>'FS Desroches Daily'!AT22</f>
        <v>379.99999999999545</v>
      </c>
      <c r="AB20" s="35">
        <f>'FS Desroches Daily'!AV22</f>
        <v>350.00000000002274</v>
      </c>
      <c r="AC20" s="35">
        <f>'FS Desroches Daily'!AZ22</f>
        <v>149.99999999997726</v>
      </c>
      <c r="AD20" s="35">
        <f>'FS Desroches Daily'!BB22</f>
        <v>160.00000000002501</v>
      </c>
      <c r="AE20" s="35">
        <f>'FS Desroches Daily'!BD22</f>
        <v>60.000000000002274</v>
      </c>
      <c r="AF20" s="31">
        <f>'FS Desroches Daily'!BF22</f>
        <v>34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60.000000000002274</v>
      </c>
      <c r="AJ20" s="32">
        <f>'FS Desroches Daily'!BN22</f>
        <v>49.999999999982947</v>
      </c>
      <c r="AK20" s="32">
        <f>'FS Desroches Daily'!BP22</f>
        <v>69.999999999993179</v>
      </c>
      <c r="AL20" s="32">
        <f>'FS Desroches Daily'!BR22</f>
        <v>40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42</v>
      </c>
      <c r="AQ20" s="31">
        <f>'FS Desroches Daily'!CB22</f>
        <v>36.30000000000291</v>
      </c>
      <c r="AR20" s="31">
        <f>'FS Desroches Daily'!CD22</f>
        <v>8.5999999999985448</v>
      </c>
      <c r="AS20" s="31">
        <f>'FS Desroches Daily'!CF22</f>
        <v>4.6999999999998181</v>
      </c>
      <c r="AT20" s="31">
        <f>'FS Desroches Daily'!CH22</f>
        <v>35.5</v>
      </c>
      <c r="AU20" s="31">
        <f>'FS Desroches Daily'!CJ22</f>
        <v>269</v>
      </c>
      <c r="AV20" s="31">
        <f>'FS Desroches Daily'!CL22</f>
        <v>820.00000000005002</v>
      </c>
      <c r="AW20" s="31">
        <f>'FS Desroches Daily'!CM22</f>
        <v>98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16.483499999999999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3199.9999999996476</v>
      </c>
      <c r="F21" s="32">
        <f>'FS Desroches Daily'!F23</f>
        <v>3499.9999999998367</v>
      </c>
      <c r="G21" s="31">
        <f>'FS Desroches Daily'!H23</f>
        <v>3199.9999999996476</v>
      </c>
      <c r="H21" s="32">
        <f>'FS Desroches Daily'!J23</f>
        <v>1700.0000000000348</v>
      </c>
      <c r="I21" s="31">
        <f>'FS Desroches Daily'!L23</f>
        <v>1999.9999999997797</v>
      </c>
      <c r="J21" s="32">
        <f>'FS Desroches Daily'!N23</f>
        <v>1900.0000000000127</v>
      </c>
      <c r="K21" s="13">
        <f>'FS Desroches Daily'!P23</f>
        <v>27</v>
      </c>
      <c r="L21" s="31">
        <f>'FS Desroches Daily'!R23</f>
        <v>4</v>
      </c>
      <c r="M21" s="31">
        <f>'FS Desroches Daily'!T23</f>
        <v>1.3000000000001819</v>
      </c>
      <c r="N21" s="31">
        <f>'FS Desroches Daily'!V23</f>
        <v>560.79999999993015</v>
      </c>
      <c r="O21" s="31">
        <f>'FS Desroches Daily'!X23</f>
        <v>330.00000000004093</v>
      </c>
      <c r="P21" s="31">
        <f>'FS Desroches Daily'!Z23</f>
        <v>2800.0000000001355</v>
      </c>
      <c r="Q21" s="31">
        <f>'FS Desroches Daily'!AB23</f>
        <v>419.99999999995907</v>
      </c>
      <c r="R21" s="31">
        <f>'FS Desroches Daily'!AD23</f>
        <v>370.00000000000455</v>
      </c>
      <c r="S21" s="31">
        <f>'FS Desroches Daily'!AF23</f>
        <v>950.00000000004547</v>
      </c>
      <c r="T21" s="31">
        <f>'FS Desroches Daily'!AH23</f>
        <v>36</v>
      </c>
      <c r="U21" s="35">
        <f>'FS Desroches Daily'!AJ23</f>
        <v>879.99999999999545</v>
      </c>
      <c r="V21" s="35">
        <f>'FS Desroches Daily'!AL23</f>
        <v>279.99999999997272</v>
      </c>
      <c r="W21" s="35">
        <f>'FS Desroches Daily'!AN23</f>
        <v>250</v>
      </c>
      <c r="X21" s="35">
        <f>'FS Desroches Daily'!AP23</f>
        <v>200.00000000004547</v>
      </c>
      <c r="Y21" s="35">
        <f>'FS Desroches Daily'!AR23</f>
        <v>169.99999999995907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339.99999999997499</v>
      </c>
      <c r="AC21" s="35">
        <f>'FS Desroches Daily'!AZ23</f>
        <v>160.00000000002501</v>
      </c>
      <c r="AD21" s="35">
        <f>'FS Desroches Daily'!BB23</f>
        <v>149.99999999997726</v>
      </c>
      <c r="AE21" s="35">
        <f>'FS Desroches Daily'!BD23</f>
        <v>119.9999999999477</v>
      </c>
      <c r="AF21" s="31">
        <f>'FS Desroches Daily'!BF23</f>
        <v>32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70.0000000000216</v>
      </c>
      <c r="AJ21" s="32">
        <f>'FS Desroches Daily'!BN23</f>
        <v>40.000000000020464</v>
      </c>
      <c r="AK21" s="32">
        <f>'FS Desroches Daily'!BP23</f>
        <v>69.999999999993179</v>
      </c>
      <c r="AL21" s="32">
        <f>'FS Desroches Daily'!BR23</f>
        <v>44</v>
      </c>
      <c r="AM21" s="32">
        <f>'FS Desroches Daily'!BT23</f>
        <v>60.000000000002274</v>
      </c>
      <c r="AN21" s="32">
        <f>'FS Desroches Daily'!BV23</f>
        <v>47</v>
      </c>
      <c r="AO21" s="32">
        <f>'FS Desroches Daily'!BX23</f>
        <v>49.999999999982947</v>
      </c>
      <c r="AP21" s="32">
        <f>'FS Desroches Daily'!BZ23</f>
        <v>45</v>
      </c>
      <c r="AQ21" s="31">
        <f>'FS Desroches Daily'!CB23</f>
        <v>41.69999999999709</v>
      </c>
      <c r="AR21" s="31">
        <f>'FS Desroches Daily'!CD23</f>
        <v>11.400000000001455</v>
      </c>
      <c r="AS21" s="31">
        <f>'FS Desroches Daily'!CF23</f>
        <v>2</v>
      </c>
      <c r="AT21" s="31">
        <f>'FS Desroches Daily'!CH23</f>
        <v>55.700000000011642</v>
      </c>
      <c r="AU21" s="31">
        <f>'FS Desroches Daily'!CJ23</f>
        <v>318</v>
      </c>
      <c r="AV21" s="31">
        <f>'FS Desroches Daily'!CL23</f>
        <v>759.99999999999091</v>
      </c>
      <c r="AW21" s="31">
        <f>'FS Desroches Daily'!CM23</f>
        <v>99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7.3259999999999996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2900.0000000003465</v>
      </c>
      <c r="F22" s="32">
        <f>'FS Desroches Daily'!F24</f>
        <v>3100.000000000769</v>
      </c>
      <c r="G22" s="31">
        <f>'FS Desroches Daily'!H24</f>
        <v>3200.0000000005357</v>
      </c>
      <c r="H22" s="32">
        <f>'FS Desroches Daily'!J24</f>
        <v>1700.0000000000348</v>
      </c>
      <c r="I22" s="31">
        <f>'FS Desroches Daily'!L24</f>
        <v>2200.0000000002019</v>
      </c>
      <c r="J22" s="32">
        <f>'FS Desroches Daily'!N24</f>
        <v>1700.0000000000348</v>
      </c>
      <c r="K22" s="13">
        <f>'FS Desroches Daily'!P24</f>
        <v>25</v>
      </c>
      <c r="L22" s="31">
        <f>'FS Desroches Daily'!R24</f>
        <v>5</v>
      </c>
      <c r="M22" s="31">
        <f>'FS Desroches Daily'!T24</f>
        <v>1.0999999999999091</v>
      </c>
      <c r="N22" s="31">
        <f>'FS Desroches Daily'!V24</f>
        <v>465.5</v>
      </c>
      <c r="O22" s="31">
        <f>'FS Desroches Daily'!X24</f>
        <v>349.99999999996589</v>
      </c>
      <c r="P22" s="31">
        <f>'FS Desroches Daily'!Z24</f>
        <v>3000.0000000001137</v>
      </c>
      <c r="Q22" s="31">
        <f>'FS Desroches Daily'!AB24</f>
        <v>269.99999999998181</v>
      </c>
      <c r="R22" s="31">
        <f>'FS Desroches Daily'!AD24</f>
        <v>439.99999999999773</v>
      </c>
      <c r="S22" s="31">
        <f>'FS Desroches Daily'!AF24</f>
        <v>990.00000000000909</v>
      </c>
      <c r="T22" s="31">
        <f>'FS Desroches Daily'!AH24</f>
        <v>30</v>
      </c>
      <c r="U22" s="35">
        <f>'FS Desroches Daily'!AJ24</f>
        <v>879.99999999999545</v>
      </c>
      <c r="V22" s="35">
        <f>'FS Desroches Daily'!AL24</f>
        <v>310.00000000000227</v>
      </c>
      <c r="W22" s="35">
        <f>'FS Desroches Daily'!AN24</f>
        <v>259.99999999999091</v>
      </c>
      <c r="X22" s="35">
        <f>'FS Desroches Daily'!AP24</f>
        <v>189.99999999999773</v>
      </c>
      <c r="Y22" s="35">
        <f>'FS Desroches Daily'!AR24</f>
        <v>180.00000000000682</v>
      </c>
      <c r="Z22" s="35">
        <f>'FS Desroches Daily'!AT24</f>
        <v>140.0000000000432</v>
      </c>
      <c r="AA22" s="35">
        <f>'FS Desroches Daily'!AT24</f>
        <v>140.0000000000432</v>
      </c>
      <c r="AB22" s="35">
        <f>'FS Desroches Daily'!AV24</f>
        <v>139.99999999998636</v>
      </c>
      <c r="AC22" s="35">
        <f>'FS Desroches Daily'!AZ24</f>
        <v>149.99999999997726</v>
      </c>
      <c r="AD22" s="35">
        <f>'FS Desroches Daily'!BB24</f>
        <v>140.0000000000432</v>
      </c>
      <c r="AE22" s="35">
        <f>'FS Desroches Daily'!BD24</f>
        <v>120.00000000000455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60.000000000002274</v>
      </c>
      <c r="AJ22" s="32">
        <f>'FS Desroches Daily'!BN24</f>
        <v>49.999999999982947</v>
      </c>
      <c r="AK22" s="32">
        <f>'FS Desroches Daily'!BP24</f>
        <v>69.999999999993179</v>
      </c>
      <c r="AL22" s="32">
        <f>'FS Desroches Daily'!BR24</f>
        <v>39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46.5</v>
      </c>
      <c r="AR22" s="31">
        <f>'FS Desroches Daily'!CD24</f>
        <v>11.599999999998545</v>
      </c>
      <c r="AS22" s="31">
        <f>'FS Desroches Daily'!CF24</f>
        <v>4</v>
      </c>
      <c r="AT22" s="31">
        <f>'FS Desroches Daily'!CH24</f>
        <v>45.5</v>
      </c>
      <c r="AU22" s="31">
        <f>'FS Desroches Daily'!CJ24</f>
        <v>289</v>
      </c>
      <c r="AV22" s="31">
        <f>'FS Desroches Daily'!CL24</f>
        <v>850.00000000002274</v>
      </c>
      <c r="AW22" s="31">
        <f>'FS Desroches Daily'!CM24</f>
        <v>96.299999999999272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2299.9999999999686</v>
      </c>
      <c r="F23" s="32">
        <f>'FS Desroches Daily'!F25</f>
        <v>2999.9999999992256</v>
      </c>
      <c r="G23" s="31">
        <f>'FS Desroches Daily'!H25</f>
        <v>2999.9999999992256</v>
      </c>
      <c r="H23" s="32">
        <f>'FS Desroches Daily'!J25</f>
        <v>1600.0000000002678</v>
      </c>
      <c r="I23" s="31">
        <f>'FS Desroches Daily'!L25</f>
        <v>1999.9999999997797</v>
      </c>
      <c r="J23" s="32">
        <f>'FS Desroches Daily'!N25</f>
        <v>1900.0000000000127</v>
      </c>
      <c r="K23" s="13">
        <f>'FS Desroches Daily'!P25</f>
        <v>44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418.90000000002328</v>
      </c>
      <c r="O23" s="31">
        <f>'FS Desroches Daily'!X25</f>
        <v>310.00000000000227</v>
      </c>
      <c r="P23" s="31">
        <f>'FS Desroches Daily'!Z25</f>
        <v>2799.9999999996917</v>
      </c>
      <c r="Q23" s="31">
        <f>'FS Desroches Daily'!AB25</f>
        <v>419.99999999995907</v>
      </c>
      <c r="R23" s="31">
        <f>'FS Desroches Daily'!AD25</f>
        <v>439.99999999999773</v>
      </c>
      <c r="S23" s="31">
        <f>'FS Desroches Daily'!AF25</f>
        <v>1059.9999999999454</v>
      </c>
      <c r="T23" s="31">
        <f>'FS Desroches Daily'!AH25</f>
        <v>27</v>
      </c>
      <c r="U23" s="35">
        <f>'FS Desroches Daily'!AJ25</f>
        <v>799.99999999995453</v>
      </c>
      <c r="V23" s="35">
        <f>'FS Desroches Daily'!AL25</f>
        <v>280.00000000002956</v>
      </c>
      <c r="W23" s="35">
        <f>'FS Desroches Daily'!AN25</f>
        <v>230.00000000001819</v>
      </c>
      <c r="X23" s="35">
        <f>'FS Desroches Daily'!AP25</f>
        <v>159.99999999996817</v>
      </c>
      <c r="Y23" s="35">
        <f>'FS Desroches Daily'!AR25</f>
        <v>139.99999999998636</v>
      </c>
      <c r="Z23" s="35">
        <f>'FS Desroches Daily'!AT25</f>
        <v>89.999999999974989</v>
      </c>
      <c r="AA23" s="35">
        <f>'FS Desroches Daily'!AT25</f>
        <v>89.999999999974989</v>
      </c>
      <c r="AB23" s="35">
        <f>'FS Desroches Daily'!AV25</f>
        <v>50.000000000011369</v>
      </c>
      <c r="AC23" s="35">
        <f>'FS Desroches Daily'!AZ25</f>
        <v>139.99999999998636</v>
      </c>
      <c r="AD23" s="35">
        <f>'FS Desroches Daily'!BB25</f>
        <v>119.9999999999477</v>
      </c>
      <c r="AE23" s="35">
        <f>'FS Desroches Daily'!BD25</f>
        <v>110.00000000001364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39.99999999996362</v>
      </c>
      <c r="AI23" s="32">
        <f>'FS Desroches Daily'!BL25</f>
        <v>49.999999999982947</v>
      </c>
      <c r="AJ23" s="32">
        <f>'FS Desroches Daily'!BN25</f>
        <v>40.000000000020464</v>
      </c>
      <c r="AK23" s="32">
        <f>'FS Desroches Daily'!BP25</f>
        <v>60.000000000002274</v>
      </c>
      <c r="AL23" s="32">
        <f>'FS Desroches Daily'!BR25</f>
        <v>37</v>
      </c>
      <c r="AM23" s="32">
        <f>'FS Desroches Daily'!BT25</f>
        <v>49.999999999982947</v>
      </c>
      <c r="AN23" s="32">
        <f>'FS Desroches Daily'!BV25</f>
        <v>42</v>
      </c>
      <c r="AO23" s="32">
        <f>'FS Desroches Daily'!BX25</f>
        <v>39.999999999992042</v>
      </c>
      <c r="AP23" s="32">
        <f>'FS Desroches Daily'!BZ25</f>
        <v>46</v>
      </c>
      <c r="AQ23" s="31">
        <f>'FS Desroches Daily'!CB25</f>
        <v>46.5</v>
      </c>
      <c r="AR23" s="31">
        <f>'FS Desroches Daily'!CD25</f>
        <v>8.5</v>
      </c>
      <c r="AS23" s="31">
        <f>'FS Desroches Daily'!CF25</f>
        <v>9.1999999999998181</v>
      </c>
      <c r="AT23" s="31">
        <f>'FS Desroches Daily'!CH25</f>
        <v>47.399999999994179</v>
      </c>
      <c r="AU23" s="31">
        <f>'FS Desroches Daily'!CJ25</f>
        <v>280</v>
      </c>
      <c r="AV23" s="31">
        <f>'FS Desroches Daily'!CL25</f>
        <v>809.99999999994543</v>
      </c>
      <c r="AW23" s="31">
        <f>'FS Desroches Daily'!CM25</f>
        <v>94.700000000000728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2599.9999999997135</v>
      </c>
      <c r="F24" s="32">
        <f>'FS Desroches Daily'!F26</f>
        <v>3300.0000000003029</v>
      </c>
      <c r="G24" s="31">
        <f>'FS Desroches Daily'!H26</f>
        <v>3200.0000000005357</v>
      </c>
      <c r="H24" s="32">
        <f>'FS Desroches Daily'!J26</f>
        <v>1599.9999999998238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8</v>
      </c>
      <c r="L24" s="31">
        <f>'FS Desroches Daily'!R26</f>
        <v>5</v>
      </c>
      <c r="M24" s="31">
        <f>'FS Desroches Daily'!T26</f>
        <v>1.0999999999999091</v>
      </c>
      <c r="N24" s="31">
        <f>'FS Desroches Daily'!V26</f>
        <v>411</v>
      </c>
      <c r="O24" s="31">
        <f>'FS Desroches Daily'!X26</f>
        <v>280.00000000002956</v>
      </c>
      <c r="P24" s="31">
        <f>'FS Desroches Daily'!Z26</f>
        <v>2700.0000000003688</v>
      </c>
      <c r="Q24" s="31">
        <f>'FS Desroches Daily'!AB26</f>
        <v>390.00000000010004</v>
      </c>
      <c r="R24" s="31">
        <f>'FS Desroches Daily'!AD26</f>
        <v>500</v>
      </c>
      <c r="S24" s="31">
        <f>'FS Desroches Daily'!AF26</f>
        <v>920.00000000007276</v>
      </c>
      <c r="T24" s="31">
        <f>'FS Desroches Daily'!AH26</f>
        <v>26</v>
      </c>
      <c r="U24" s="35">
        <f>'FS Desroches Daily'!AJ26</f>
        <v>710.00000000003638</v>
      </c>
      <c r="V24" s="35">
        <f>'FS Desroches Daily'!AL26</f>
        <v>250</v>
      </c>
      <c r="W24" s="35">
        <f>'FS Desroches Daily'!AN26</f>
        <v>189.99999999999773</v>
      </c>
      <c r="X24" s="35">
        <f>'FS Desroches Daily'!AP26</f>
        <v>129.99999999999545</v>
      </c>
      <c r="Y24" s="35">
        <f>'FS Desroches Daily'!AR26</f>
        <v>140.0000000000432</v>
      </c>
      <c r="Z24" s="35">
        <f>'FS Desroches Daily'!AT26</f>
        <v>129.99999999999545</v>
      </c>
      <c r="AA24" s="35">
        <f>'FS Desroches Daily'!AT26</f>
        <v>129.99999999999545</v>
      </c>
      <c r="AB24" s="35">
        <f>'FS Desroches Daily'!AV26</f>
        <v>100.00000000002274</v>
      </c>
      <c r="AC24" s="35">
        <f>'FS Desroches Daily'!AZ26</f>
        <v>100.00000000002274</v>
      </c>
      <c r="AD24" s="35">
        <f>'FS Desroches Daily'!BB26</f>
        <v>110.00000000001364</v>
      </c>
      <c r="AE24" s="35">
        <f>'FS Desroches Daily'!BD26</f>
        <v>69.999999999993179</v>
      </c>
      <c r="AF24" s="31">
        <f>'FS Desroches Daily'!BF26</f>
        <v>39</v>
      </c>
      <c r="AG24" s="32">
        <f>'FS Desroches Daily'!BH26</f>
        <v>40.000000000020464</v>
      </c>
      <c r="AH24" s="32">
        <f>'FS Desroches Daily'!BJ26</f>
        <v>30.000000000029559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60.000000000002274</v>
      </c>
      <c r="AL24" s="32">
        <f>'FS Desroches Daily'!BR26</f>
        <v>35</v>
      </c>
      <c r="AM24" s="32">
        <f>'FS Desroches Daily'!BT26</f>
        <v>60.000000000002274</v>
      </c>
      <c r="AN24" s="32">
        <f>'FS Desroches Daily'!BV26</f>
        <v>47</v>
      </c>
      <c r="AO24" s="32">
        <f>'FS Desroches Daily'!BX26</f>
        <v>50.000000000011369</v>
      </c>
      <c r="AP24" s="32">
        <f>'FS Desroches Daily'!BZ26</f>
        <v>44</v>
      </c>
      <c r="AQ24" s="31">
        <f>'FS Desroches Daily'!CB26</f>
        <v>46</v>
      </c>
      <c r="AR24" s="31">
        <f>'FS Desroches Daily'!CD26</f>
        <v>8.9000000000014552</v>
      </c>
      <c r="AS24" s="31">
        <f>'FS Desroches Daily'!CF26</f>
        <v>4.9000000000005457</v>
      </c>
      <c r="AT24" s="31">
        <f>'FS Desroches Daily'!CH26</f>
        <v>40.80000000000291</v>
      </c>
      <c r="AU24" s="31">
        <f>'FS Desroches Daily'!CJ26</f>
        <v>300</v>
      </c>
      <c r="AV24" s="31">
        <f>'FS Desroches Daily'!CL26</f>
        <v>820.00000000005002</v>
      </c>
      <c r="AW24" s="31">
        <f>'FS Desroches Daily'!CM26</f>
        <v>101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35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3000.0000000001137</v>
      </c>
      <c r="F25" s="32">
        <f>'FS Desroches Daily'!F27</f>
        <v>3099.9999999998809</v>
      </c>
      <c r="G25" s="31">
        <f>'FS Desroches Daily'!H27</f>
        <v>3599.9999999996035</v>
      </c>
      <c r="H25" s="32">
        <f>'FS Desroches Daily'!J27</f>
        <v>1599.9999999998238</v>
      </c>
      <c r="I25" s="31">
        <f>'FS Desroches Daily'!L27</f>
        <v>1700.0000000000348</v>
      </c>
      <c r="J25" s="32">
        <f>'FS Desroches Daily'!N27</f>
        <v>1800.0000000000239</v>
      </c>
      <c r="K25" s="13">
        <f>'FS Desroches Daily'!P27</f>
        <v>22</v>
      </c>
      <c r="L25" s="31">
        <f>'FS Desroches Daily'!R27</f>
        <v>4</v>
      </c>
      <c r="M25" s="31">
        <f>'FS Desroches Daily'!T27</f>
        <v>1</v>
      </c>
      <c r="N25" s="31">
        <f>'FS Desroches Daily'!V27</f>
        <v>409.5</v>
      </c>
      <c r="O25" s="31">
        <f>'FS Desroches Daily'!X27</f>
        <v>329.99999999998408</v>
      </c>
      <c r="P25" s="31">
        <f>'FS Desroches Daily'!Z27</f>
        <v>2899.9999999999027</v>
      </c>
      <c r="Q25" s="31">
        <f>'FS Desroches Daily'!AB27</f>
        <v>289.99999999996362</v>
      </c>
      <c r="R25" s="31">
        <f>'FS Desroches Daily'!AD27</f>
        <v>470.00000000002728</v>
      </c>
      <c r="S25" s="31">
        <f>'FS Desroches Daily'!AF27</f>
        <v>929.99999999994998</v>
      </c>
      <c r="T25" s="31">
        <f>'FS Desroches Daily'!AH27</f>
        <v>31</v>
      </c>
      <c r="U25" s="35">
        <f>'FS Desroches Daily'!AJ27</f>
        <v>769.99999999998181</v>
      </c>
      <c r="V25" s="35">
        <f>'FS Desroches Daily'!AL27</f>
        <v>310.00000000000227</v>
      </c>
      <c r="W25" s="35">
        <f>'FS Desroches Daily'!AN27</f>
        <v>240.00000000000909</v>
      </c>
      <c r="X25" s="35">
        <f>'FS Desroches Daily'!AP27</f>
        <v>230.00000000001819</v>
      </c>
      <c r="Y25" s="35">
        <f>'FS Desroches Daily'!AR27</f>
        <v>159.99999999996817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159.99999999996817</v>
      </c>
      <c r="AC25" s="35">
        <f>'FS Desroches Daily'!AZ27</f>
        <v>129.99999999999545</v>
      </c>
      <c r="AD25" s="35">
        <f>'FS Desroches Daily'!BB27</f>
        <v>120.00000000000455</v>
      </c>
      <c r="AE25" s="35">
        <f>'FS Desroches Daily'!BD27</f>
        <v>69.999999999993179</v>
      </c>
      <c r="AF25" s="31">
        <f>'FS Desroches Daily'!BF27</f>
        <v>26</v>
      </c>
      <c r="AG25" s="32">
        <f>'FS Desroches Daily'!BH27</f>
        <v>30.000000000001137</v>
      </c>
      <c r="AH25" s="32">
        <f>'FS Desroches Daily'!BJ27</f>
        <v>29.999999999972715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36</v>
      </c>
      <c r="AM25" s="32">
        <f>'FS Desroches Daily'!BT27</f>
        <v>40.000000000020464</v>
      </c>
      <c r="AN25" s="32">
        <f>'FS Desroches Daily'!BV27</f>
        <v>44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38.80000000000291</v>
      </c>
      <c r="AR25" s="31">
        <f>'FS Desroches Daily'!CD27</f>
        <v>10.899999999999636</v>
      </c>
      <c r="AS25" s="31">
        <f>'FS Desroches Daily'!CF27</f>
        <v>2.0999999999994543</v>
      </c>
      <c r="AT25" s="31">
        <f>'FS Desroches Daily'!CH27</f>
        <v>48</v>
      </c>
      <c r="AU25" s="31">
        <f>'FS Desroches Daily'!CJ27</f>
        <v>302</v>
      </c>
      <c r="AV25" s="31">
        <f>'FS Desroches Daily'!CL27</f>
        <v>860.00000000001364</v>
      </c>
      <c r="AW25" s="31">
        <f>'FS Desroches Daily'!CM27</f>
        <v>94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 t="str">
        <f>'FS Desroches Daily'!CB28</f>
        <v/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86799.999999999753</v>
      </c>
      <c r="F33" s="17">
        <f t="shared" ref="F33:BC33" si="0">SUM(F2:F32)</f>
        <v>82399.99999999984</v>
      </c>
      <c r="G33" s="17">
        <f t="shared" si="0"/>
        <v>85499.999999999738</v>
      </c>
      <c r="H33" s="17">
        <f t="shared" si="0"/>
        <v>43299.99999999992</v>
      </c>
      <c r="I33" s="17">
        <f t="shared" si="0"/>
        <v>57400.000000000364</v>
      </c>
      <c r="J33" s="17">
        <f t="shared" si="0"/>
        <v>52599.999999999978</v>
      </c>
      <c r="K33" s="17">
        <f t="shared" si="0"/>
        <v>817</v>
      </c>
      <c r="L33" s="17">
        <f t="shared" si="0"/>
        <v>136</v>
      </c>
      <c r="M33" s="17">
        <f t="shared" si="0"/>
        <v>33.299999999999955</v>
      </c>
      <c r="N33" s="17">
        <f t="shared" si="0"/>
        <v>12466.5</v>
      </c>
      <c r="O33" s="17">
        <f t="shared" si="0"/>
        <v>8839.9999999999745</v>
      </c>
      <c r="P33" s="17">
        <f t="shared" si="0"/>
        <v>73800.00000000032</v>
      </c>
      <c r="Q33" s="17">
        <f t="shared" si="0"/>
        <v>10160.000000000027</v>
      </c>
      <c r="R33" s="17">
        <f t="shared" si="0"/>
        <v>13360.000000000016</v>
      </c>
      <c r="S33" s="17">
        <f t="shared" si="0"/>
        <v>26569.999999999931</v>
      </c>
      <c r="T33" s="17">
        <f t="shared" si="0"/>
        <v>920</v>
      </c>
      <c r="U33" s="35">
        <f t="shared" si="0"/>
        <v>22259.999999999989</v>
      </c>
      <c r="V33" s="35">
        <f t="shared" si="0"/>
        <v>6830.00000000004</v>
      </c>
      <c r="W33" s="35">
        <f t="shared" si="0"/>
        <v>7160.0000000000255</v>
      </c>
      <c r="X33" s="35">
        <f t="shared" si="0"/>
        <v>5740.0000000000091</v>
      </c>
      <c r="Y33" s="35">
        <f t="shared" si="0"/>
        <v>5676.4999999999518</v>
      </c>
      <c r="Z33" s="35">
        <f t="shared" si="0"/>
        <v>7026.7199999999502</v>
      </c>
      <c r="AA33" s="35">
        <f t="shared" si="0"/>
        <v>7026.7199999999502</v>
      </c>
      <c r="AB33" s="35">
        <f t="shared" si="0"/>
        <v>6560.0000000000018</v>
      </c>
      <c r="AC33" s="35">
        <f t="shared" si="0"/>
        <v>4759.9999999999909</v>
      </c>
      <c r="AD33" s="35">
        <f t="shared" si="0"/>
        <v>5250</v>
      </c>
      <c r="AE33" s="35">
        <f t="shared" si="0"/>
        <v>3239.9999999999523</v>
      </c>
      <c r="AF33" s="17">
        <f t="shared" si="0"/>
        <v>833</v>
      </c>
      <c r="AG33" s="32">
        <f t="shared" si="0"/>
        <v>1070.0000000000216</v>
      </c>
      <c r="AH33" s="32">
        <f t="shared" si="0"/>
        <v>899.99999999997726</v>
      </c>
      <c r="AI33" s="32">
        <f t="shared" si="0"/>
        <v>1509.9999999999909</v>
      </c>
      <c r="AJ33" s="32">
        <f t="shared" si="0"/>
        <v>1169.9999999999875</v>
      </c>
      <c r="AK33" s="32">
        <f t="shared" si="0"/>
        <v>1599.9999999999659</v>
      </c>
      <c r="AL33" s="32">
        <f t="shared" si="0"/>
        <v>1081</v>
      </c>
      <c r="AM33" s="32">
        <f t="shared" si="0"/>
        <v>1340.0000000000034</v>
      </c>
      <c r="AN33" s="32">
        <f t="shared" si="0"/>
        <v>1164</v>
      </c>
      <c r="AO33" s="32">
        <f t="shared" si="0"/>
        <v>1180.0000000000068</v>
      </c>
      <c r="AP33" s="32">
        <f t="shared" si="0"/>
        <v>1182</v>
      </c>
      <c r="AQ33" s="17">
        <f t="shared" si="0"/>
        <v>1346.6999999999971</v>
      </c>
      <c r="AR33" s="17">
        <f t="shared" si="0"/>
        <v>278.60000000000036</v>
      </c>
      <c r="AS33" s="17">
        <f t="shared" si="0"/>
        <v>127.09999999999945</v>
      </c>
      <c r="AT33" s="17">
        <f t="shared" si="0"/>
        <v>1210.1000000000058</v>
      </c>
      <c r="AU33" s="17">
        <f t="shared" si="0"/>
        <v>7472</v>
      </c>
      <c r="AV33" s="17">
        <f t="shared" si="0"/>
        <v>22030.000000000091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150.18299999999999</v>
      </c>
      <c r="BC33" s="17">
        <f t="shared" si="0"/>
        <v>795</v>
      </c>
    </row>
    <row r="35" spans="5:55" x14ac:dyDescent="0.25">
      <c r="E35" s="38">
        <f>E33/E37</f>
        <v>0.25399575113098322</v>
      </c>
      <c r="G35" s="29">
        <f>G33-M36</f>
        <v>73000.199999999735</v>
      </c>
      <c r="AE35" s="35">
        <f>SUM(U33:AE33)</f>
        <v>81529.939999999857</v>
      </c>
      <c r="AG35" s="32">
        <f>SUM(AG33:AP33)</f>
        <v>12196.999999999955</v>
      </c>
    </row>
    <row r="36" spans="5:55" x14ac:dyDescent="0.25">
      <c r="G36" s="29">
        <f>G35-633*14</f>
        <v>64138.199999999735</v>
      </c>
      <c r="M36" s="29">
        <f>M33+N33</f>
        <v>12499.8</v>
      </c>
    </row>
    <row r="37" spans="5:55" x14ac:dyDescent="0.25">
      <c r="E37" s="17">
        <f>E33+F33+G33+H33+J33-633*14</f>
        <v>341737.99999999924</v>
      </c>
      <c r="G37" s="37">
        <f>M36/E37</f>
        <v>3.6577143893860291E-2</v>
      </c>
      <c r="M37" s="35">
        <f>AE35</f>
        <v>81529.939999999857</v>
      </c>
    </row>
    <row r="38" spans="5:55" x14ac:dyDescent="0.25">
      <c r="L38" s="27">
        <f>M38/E37</f>
        <v>3.5691084983232715E-2</v>
      </c>
      <c r="M38" s="29">
        <f>AG35</f>
        <v>12196.999999999955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V1" zoomScale="82" zoomScaleNormal="82" workbookViewId="0">
      <pane ySplit="1" topLeftCell="A14" activePane="bottomLeft" state="frozen"/>
      <selection pane="bottomLeft" activeCell="CE28" sqref="CE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>
        <v>3.2092999999999998</v>
      </c>
      <c r="D20" s="64">
        <f t="shared" si="50"/>
        <v>2699.9999999999245</v>
      </c>
      <c r="E20" s="58">
        <v>4.3017000000000003</v>
      </c>
      <c r="F20" s="64">
        <f t="shared" si="51"/>
        <v>2699.9999999999245</v>
      </c>
      <c r="G20" s="58">
        <v>4.2607999999999997</v>
      </c>
      <c r="H20" s="64">
        <f t="shared" si="52"/>
        <v>3499.9999999998367</v>
      </c>
      <c r="I20" s="58">
        <v>2.1408</v>
      </c>
      <c r="J20" s="64">
        <f t="shared" si="53"/>
        <v>1500.0000000000568</v>
      </c>
      <c r="K20" s="58">
        <v>3.3426999999999998</v>
      </c>
      <c r="L20" s="64">
        <f t="shared" si="54"/>
        <v>1999.9999999997797</v>
      </c>
      <c r="M20" s="58">
        <v>1.9254</v>
      </c>
      <c r="N20" s="64">
        <f t="shared" si="55"/>
        <v>1600.0000000000459</v>
      </c>
      <c r="O20" s="58">
        <v>20823</v>
      </c>
      <c r="P20" s="67">
        <f t="shared" si="56"/>
        <v>18</v>
      </c>
      <c r="Q20" s="58">
        <v>2548</v>
      </c>
      <c r="R20" s="67">
        <f t="shared" si="57"/>
        <v>3</v>
      </c>
      <c r="S20" s="58">
        <v>1342.8</v>
      </c>
      <c r="T20" s="67">
        <f t="shared" si="58"/>
        <v>1.2000000000000455</v>
      </c>
      <c r="U20" s="58">
        <v>548661.4</v>
      </c>
      <c r="V20" s="67">
        <f t="shared" si="59"/>
        <v>421.59999999997672</v>
      </c>
      <c r="W20" s="58">
        <v>509.33</v>
      </c>
      <c r="X20" s="65">
        <f t="shared" si="60"/>
        <v>300.00000000001137</v>
      </c>
      <c r="Y20" s="58">
        <v>3.7816999999999998</v>
      </c>
      <c r="Z20" s="65">
        <f t="shared" si="61"/>
        <v>2899.9999999999027</v>
      </c>
      <c r="AA20" s="58">
        <v>512.72</v>
      </c>
      <c r="AB20" s="65">
        <f t="shared" si="62"/>
        <v>220.00000000002728</v>
      </c>
      <c r="AC20" s="58">
        <v>504.82</v>
      </c>
      <c r="AD20" s="65">
        <f t="shared" si="63"/>
        <v>439.99999999999773</v>
      </c>
      <c r="AE20" s="58">
        <v>749.81</v>
      </c>
      <c r="AF20" s="65">
        <f t="shared" si="64"/>
        <v>859.99999999989996</v>
      </c>
      <c r="AG20" s="58">
        <v>17202</v>
      </c>
      <c r="AH20" s="67">
        <f t="shared" si="65"/>
        <v>30</v>
      </c>
      <c r="AI20" s="58">
        <v>852.32</v>
      </c>
      <c r="AJ20" s="65">
        <f t="shared" si="66"/>
        <v>660.00000000008185</v>
      </c>
      <c r="AK20" s="58">
        <v>284.44</v>
      </c>
      <c r="AL20" s="65">
        <f t="shared" si="67"/>
        <v>189.99999999999773</v>
      </c>
      <c r="AM20" s="58">
        <v>266.20999999999998</v>
      </c>
      <c r="AN20" s="65">
        <f t="shared" si="68"/>
        <v>189.99999999999773</v>
      </c>
      <c r="AO20" s="58">
        <v>256.33999999999997</v>
      </c>
      <c r="AP20" s="65">
        <f t="shared" si="69"/>
        <v>179.99999999994998</v>
      </c>
      <c r="AQ20" s="58">
        <v>312.27999999999997</v>
      </c>
      <c r="AR20" s="65">
        <f t="shared" si="70"/>
        <v>239.99999999995225</v>
      </c>
      <c r="AS20" s="58">
        <v>437.52</v>
      </c>
      <c r="AT20" s="65">
        <f t="shared" si="71"/>
        <v>299.99999999995453</v>
      </c>
      <c r="AU20" s="58">
        <v>346.72</v>
      </c>
      <c r="AV20" s="65">
        <f t="shared" si="72"/>
        <v>260.00000000004775</v>
      </c>
      <c r="AW20" s="58">
        <v>376.63</v>
      </c>
      <c r="AX20" s="65">
        <f t="shared" si="73"/>
        <v>139.99999999998636</v>
      </c>
      <c r="AY20" s="58">
        <v>409.73</v>
      </c>
      <c r="AZ20" s="65">
        <f t="shared" si="74"/>
        <v>160.00000000002501</v>
      </c>
      <c r="BA20" s="58">
        <v>430.26</v>
      </c>
      <c r="BB20" s="65">
        <f t="shared" si="75"/>
        <v>149.99999999997726</v>
      </c>
      <c r="BC20" s="58">
        <v>276.27999999999997</v>
      </c>
      <c r="BD20" s="65">
        <f t="shared" si="76"/>
        <v>49.999999999954525</v>
      </c>
      <c r="BE20" s="59">
        <v>51245</v>
      </c>
      <c r="BF20" s="67">
        <f t="shared" si="77"/>
        <v>36</v>
      </c>
      <c r="BG20" s="60">
        <v>248.26</v>
      </c>
      <c r="BH20" s="65">
        <f t="shared" si="78"/>
        <v>39.999999999992042</v>
      </c>
      <c r="BI20" s="60">
        <v>303.02</v>
      </c>
      <c r="BJ20" s="65">
        <f t="shared" si="79"/>
        <v>29.999999999972715</v>
      </c>
      <c r="BK20" s="60">
        <v>251.6</v>
      </c>
      <c r="BL20" s="65">
        <f t="shared" si="80"/>
        <v>60.000000000002274</v>
      </c>
      <c r="BM20" s="60">
        <v>237.87</v>
      </c>
      <c r="BN20" s="65">
        <f t="shared" si="81"/>
        <v>50.000000000011369</v>
      </c>
      <c r="BO20" s="60">
        <v>305.61</v>
      </c>
      <c r="BP20" s="65">
        <f t="shared" si="82"/>
        <v>50.000000000011369</v>
      </c>
      <c r="BQ20" s="60">
        <v>56426</v>
      </c>
      <c r="BR20" s="65">
        <f t="shared" si="83"/>
        <v>38</v>
      </c>
      <c r="BS20" s="60">
        <v>215.47</v>
      </c>
      <c r="BT20" s="65">
        <f t="shared" si="84"/>
        <v>39.999999999992042</v>
      </c>
      <c r="BU20" s="60">
        <v>53991</v>
      </c>
      <c r="BV20" s="65">
        <f t="shared" si="85"/>
        <v>43</v>
      </c>
      <c r="BW20" s="60">
        <v>243.74</v>
      </c>
      <c r="BX20" s="65">
        <f t="shared" si="86"/>
        <v>30.000000000001137</v>
      </c>
      <c r="BY20" s="60">
        <v>73658</v>
      </c>
      <c r="BZ20" s="67">
        <f t="shared" si="87"/>
        <v>39</v>
      </c>
      <c r="CA20" s="60">
        <v>48040.7</v>
      </c>
      <c r="CB20" s="67">
        <f t="shared" si="88"/>
        <v>50.299999999995634</v>
      </c>
      <c r="CC20" s="60">
        <v>15654.5</v>
      </c>
      <c r="CD20" s="67">
        <f t="shared" si="89"/>
        <v>10.600000000000364</v>
      </c>
      <c r="CE20" s="60">
        <v>8107.6</v>
      </c>
      <c r="CF20" s="67">
        <f t="shared" si="90"/>
        <v>2.6000000000003638</v>
      </c>
      <c r="CG20" s="60">
        <v>74309.8</v>
      </c>
      <c r="CH20" s="67">
        <f t="shared" si="91"/>
        <v>49.100000000005821</v>
      </c>
      <c r="CI20" s="60">
        <v>1045286</v>
      </c>
      <c r="CJ20" s="67">
        <f t="shared" si="92"/>
        <v>280</v>
      </c>
      <c r="CK20" s="60">
        <v>988.76</v>
      </c>
      <c r="CL20" s="64">
        <f t="shared" si="93"/>
        <v>950.00000000004547</v>
      </c>
      <c r="CM20" s="65">
        <f t="shared" si="94"/>
        <v>96</v>
      </c>
      <c r="CN20" s="62">
        <v>38</v>
      </c>
      <c r="CO20" s="62">
        <v>80</v>
      </c>
      <c r="CP20" s="68">
        <v>30251</v>
      </c>
      <c r="CQ20" s="67">
        <f t="shared" si="97"/>
        <v>75</v>
      </c>
      <c r="CR20" s="68">
        <v>21478</v>
      </c>
      <c r="CS20" s="67">
        <f t="shared" si="45"/>
        <v>21</v>
      </c>
      <c r="CT20" s="75">
        <v>10093</v>
      </c>
      <c r="CU20" s="67">
        <f t="shared" si="47"/>
        <v>15</v>
      </c>
      <c r="CV20" s="68">
        <v>24247</v>
      </c>
      <c r="CW20" s="67">
        <f t="shared" si="95"/>
        <v>20</v>
      </c>
      <c r="CX20" s="58">
        <v>2960.1</v>
      </c>
      <c r="CY20" s="67">
        <f t="shared" si="96"/>
        <v>6.4000000000000909</v>
      </c>
    </row>
    <row r="21" spans="1:103" ht="25.5" customHeight="1" thickBot="1" x14ac:dyDescent="0.45">
      <c r="A21" s="63">
        <v>44699</v>
      </c>
      <c r="B21" s="44"/>
      <c r="C21" s="58">
        <v>3.2126999999999999</v>
      </c>
      <c r="D21" s="64">
        <f t="shared" si="50"/>
        <v>3400.0000000000696</v>
      </c>
      <c r="E21" s="58">
        <v>4.3049999999999997</v>
      </c>
      <c r="F21" s="64">
        <f t="shared" si="51"/>
        <v>3299.9999999994143</v>
      </c>
      <c r="G21" s="58">
        <v>4.2641</v>
      </c>
      <c r="H21" s="64">
        <f t="shared" si="52"/>
        <v>3300.0000000003029</v>
      </c>
      <c r="I21" s="58">
        <v>2.1425999999999998</v>
      </c>
      <c r="J21" s="64">
        <f t="shared" si="53"/>
        <v>1799.9999999998017</v>
      </c>
      <c r="K21" s="58">
        <v>3.3448000000000002</v>
      </c>
      <c r="L21" s="64">
        <f t="shared" si="54"/>
        <v>2100.0000000004347</v>
      </c>
      <c r="M21" s="58">
        <v>1.9276</v>
      </c>
      <c r="N21" s="64">
        <f t="shared" si="55"/>
        <v>2199.9999999999795</v>
      </c>
      <c r="O21" s="58">
        <v>20852</v>
      </c>
      <c r="P21" s="67">
        <f t="shared" si="56"/>
        <v>29</v>
      </c>
      <c r="Q21" s="58">
        <v>2554</v>
      </c>
      <c r="R21" s="67">
        <f t="shared" si="57"/>
        <v>6</v>
      </c>
      <c r="S21" s="58">
        <v>1344</v>
      </c>
      <c r="T21" s="67">
        <f t="shared" si="58"/>
        <v>1.2000000000000455</v>
      </c>
      <c r="U21" s="58">
        <v>549126</v>
      </c>
      <c r="V21" s="67">
        <f t="shared" si="59"/>
        <v>464.59999999997672</v>
      </c>
      <c r="W21" s="58">
        <v>509.67</v>
      </c>
      <c r="X21" s="65">
        <f t="shared" si="60"/>
        <v>340.00000000003183</v>
      </c>
      <c r="Y21" s="58">
        <v>3.7846000000000002</v>
      </c>
      <c r="Z21" s="65">
        <f t="shared" si="61"/>
        <v>2900.0000000003465</v>
      </c>
      <c r="AA21" s="58">
        <v>513.12</v>
      </c>
      <c r="AB21" s="65">
        <f t="shared" si="62"/>
        <v>399.99999999997726</v>
      </c>
      <c r="AC21" s="58">
        <v>505.36</v>
      </c>
      <c r="AD21" s="65">
        <f t="shared" si="63"/>
        <v>540.00000000002046</v>
      </c>
      <c r="AE21" s="58">
        <v>750.87</v>
      </c>
      <c r="AF21" s="65">
        <f t="shared" si="64"/>
        <v>1060.0000000000591</v>
      </c>
      <c r="AG21" s="58">
        <v>17237</v>
      </c>
      <c r="AH21" s="67">
        <f t="shared" si="65"/>
        <v>35</v>
      </c>
      <c r="AI21" s="58">
        <v>853.09</v>
      </c>
      <c r="AJ21" s="65">
        <f t="shared" si="66"/>
        <v>769.99999999998181</v>
      </c>
      <c r="AK21" s="58">
        <v>284.69</v>
      </c>
      <c r="AL21" s="65">
        <f t="shared" si="67"/>
        <v>250</v>
      </c>
      <c r="AM21" s="58">
        <v>266.55</v>
      </c>
      <c r="AN21" s="65">
        <f t="shared" si="68"/>
        <v>340.00000000003183</v>
      </c>
      <c r="AO21" s="58">
        <v>256.58</v>
      </c>
      <c r="AP21" s="65">
        <f t="shared" si="69"/>
        <v>240.00000000000909</v>
      </c>
      <c r="AQ21" s="58">
        <v>312.61</v>
      </c>
      <c r="AR21" s="65">
        <f t="shared" si="70"/>
        <v>330.00000000004093</v>
      </c>
      <c r="AS21" s="58">
        <v>437.87</v>
      </c>
      <c r="AT21" s="65">
        <f t="shared" si="71"/>
        <v>350.00000000002274</v>
      </c>
      <c r="AU21" s="58">
        <v>347.07</v>
      </c>
      <c r="AV21" s="65">
        <f t="shared" si="72"/>
        <v>349.99999999996589</v>
      </c>
      <c r="AW21" s="58">
        <v>376.82</v>
      </c>
      <c r="AX21" s="65">
        <f t="shared" si="73"/>
        <v>189.99999999999773</v>
      </c>
      <c r="AY21" s="58">
        <v>409.91</v>
      </c>
      <c r="AZ21" s="65">
        <f t="shared" si="74"/>
        <v>180.00000000000682</v>
      </c>
      <c r="BA21" s="58">
        <v>430.46</v>
      </c>
      <c r="BB21" s="65">
        <f t="shared" si="75"/>
        <v>199.99999999998863</v>
      </c>
      <c r="BC21" s="58">
        <v>276.35000000000002</v>
      </c>
      <c r="BD21" s="65">
        <f t="shared" si="76"/>
        <v>70.000000000050022</v>
      </c>
      <c r="BE21" s="59">
        <v>51272</v>
      </c>
      <c r="BF21" s="67">
        <f t="shared" si="77"/>
        <v>27</v>
      </c>
      <c r="BG21" s="60">
        <v>248.31</v>
      </c>
      <c r="BH21" s="65">
        <f t="shared" si="78"/>
        <v>50.000000000011369</v>
      </c>
      <c r="BI21" s="60">
        <v>303.06</v>
      </c>
      <c r="BJ21" s="65">
        <f t="shared" si="79"/>
        <v>40.000000000020464</v>
      </c>
      <c r="BK21" s="60">
        <v>251.67</v>
      </c>
      <c r="BL21" s="65">
        <f t="shared" si="80"/>
        <v>69.999999999993179</v>
      </c>
      <c r="BM21" s="60">
        <v>237.93</v>
      </c>
      <c r="BN21" s="65">
        <f t="shared" si="81"/>
        <v>60.000000000002274</v>
      </c>
      <c r="BO21" s="60">
        <v>305.68</v>
      </c>
      <c r="BP21" s="65">
        <f t="shared" si="82"/>
        <v>69.999999999993179</v>
      </c>
      <c r="BQ21" s="60">
        <v>56469</v>
      </c>
      <c r="BR21" s="65">
        <f t="shared" si="83"/>
        <v>43</v>
      </c>
      <c r="BS21" s="60">
        <v>215.52</v>
      </c>
      <c r="BT21" s="65">
        <f t="shared" si="84"/>
        <v>50.000000000011369</v>
      </c>
      <c r="BU21" s="60">
        <v>54044</v>
      </c>
      <c r="BV21" s="65">
        <f t="shared" si="85"/>
        <v>53</v>
      </c>
      <c r="BW21" s="60">
        <v>243.79</v>
      </c>
      <c r="BX21" s="65">
        <f t="shared" si="86"/>
        <v>49.999999999982947</v>
      </c>
      <c r="BY21" s="60">
        <v>73706</v>
      </c>
      <c r="BZ21" s="67">
        <f t="shared" si="87"/>
        <v>48</v>
      </c>
      <c r="CA21" s="60">
        <v>48087.7</v>
      </c>
      <c r="CB21" s="67">
        <f t="shared" si="88"/>
        <v>47</v>
      </c>
      <c r="CC21" s="60">
        <v>15664.2</v>
      </c>
      <c r="CD21" s="67">
        <f t="shared" si="89"/>
        <v>9.7000000000007276</v>
      </c>
      <c r="CE21" s="60">
        <v>8113.3</v>
      </c>
      <c r="CF21" s="67">
        <f t="shared" si="90"/>
        <v>5.6999999999998181</v>
      </c>
      <c r="CG21" s="60">
        <v>74356.899999999994</v>
      </c>
      <c r="CH21" s="67">
        <f t="shared" si="91"/>
        <v>47.099999999991269</v>
      </c>
      <c r="CI21" s="60">
        <v>1045581</v>
      </c>
      <c r="CJ21" s="67">
        <f t="shared" si="92"/>
        <v>295</v>
      </c>
      <c r="CK21" s="60">
        <v>989.67</v>
      </c>
      <c r="CL21" s="64">
        <f t="shared" si="93"/>
        <v>909.99999999996817</v>
      </c>
      <c r="CM21" s="65">
        <f t="shared" si="94"/>
        <v>92</v>
      </c>
      <c r="CN21" s="62">
        <v>40</v>
      </c>
      <c r="CO21" s="62">
        <v>87</v>
      </c>
      <c r="CP21" s="68">
        <v>30323</v>
      </c>
      <c r="CQ21" s="67">
        <f t="shared" si="97"/>
        <v>72</v>
      </c>
      <c r="CR21" s="68">
        <v>21498</v>
      </c>
      <c r="CS21" s="67">
        <f t="shared" si="45"/>
        <v>20</v>
      </c>
      <c r="CT21" s="75">
        <v>10107</v>
      </c>
      <c r="CU21" s="67">
        <f t="shared" si="47"/>
        <v>14</v>
      </c>
      <c r="CV21" s="68">
        <v>24267</v>
      </c>
      <c r="CW21" s="67">
        <f t="shared" si="95"/>
        <v>20</v>
      </c>
      <c r="CX21" s="58">
        <v>2972.1</v>
      </c>
      <c r="CY21" s="67">
        <f t="shared" si="96"/>
        <v>12</v>
      </c>
    </row>
    <row r="22" spans="1:103" ht="25.5" customHeight="1" thickBot="1" x14ac:dyDescent="0.45">
      <c r="A22" s="63">
        <v>44700</v>
      </c>
      <c r="B22" s="44"/>
      <c r="C22" s="58">
        <v>3.2160000000000002</v>
      </c>
      <c r="D22" s="64">
        <f t="shared" si="50"/>
        <v>3300.0000000003029</v>
      </c>
      <c r="E22" s="58">
        <v>4.3079999999999998</v>
      </c>
      <c r="F22" s="64">
        <f t="shared" si="51"/>
        <v>3000.0000000001137</v>
      </c>
      <c r="G22" s="58">
        <v>4.2678000000000003</v>
      </c>
      <c r="H22" s="64">
        <f t="shared" si="52"/>
        <v>3700.0000000002588</v>
      </c>
      <c r="I22" s="58">
        <v>2.1442999999999999</v>
      </c>
      <c r="J22" s="64">
        <f t="shared" si="53"/>
        <v>1700.0000000000348</v>
      </c>
      <c r="K22" s="58">
        <v>3.3469000000000002</v>
      </c>
      <c r="L22" s="64">
        <f t="shared" si="54"/>
        <v>2099.9999999999909</v>
      </c>
      <c r="M22" s="58">
        <v>1.9296</v>
      </c>
      <c r="N22" s="64">
        <f t="shared" si="55"/>
        <v>2000.0000000000018</v>
      </c>
      <c r="O22" s="58">
        <v>20882</v>
      </c>
      <c r="P22" s="67">
        <f t="shared" si="56"/>
        <v>30</v>
      </c>
      <c r="Q22" s="58">
        <v>2559</v>
      </c>
      <c r="R22" s="67">
        <f t="shared" si="57"/>
        <v>5</v>
      </c>
      <c r="S22" s="58">
        <v>1345.6</v>
      </c>
      <c r="T22" s="67">
        <f t="shared" si="58"/>
        <v>1.5999999999999091</v>
      </c>
      <c r="U22" s="58">
        <v>549762.4</v>
      </c>
      <c r="V22" s="67">
        <f t="shared" si="59"/>
        <v>636.40000000002328</v>
      </c>
      <c r="W22" s="58">
        <v>510.03</v>
      </c>
      <c r="X22" s="65">
        <f t="shared" si="60"/>
        <v>359.9999999999568</v>
      </c>
      <c r="Y22" s="58">
        <v>3.7873999999999999</v>
      </c>
      <c r="Z22" s="65">
        <f t="shared" si="61"/>
        <v>2799.9999999996917</v>
      </c>
      <c r="AA22" s="58">
        <v>513.57000000000005</v>
      </c>
      <c r="AB22" s="65">
        <f t="shared" si="62"/>
        <v>450.00000000004547</v>
      </c>
      <c r="AC22" s="58">
        <v>505.78</v>
      </c>
      <c r="AD22" s="65">
        <f t="shared" si="63"/>
        <v>419.99999999995907</v>
      </c>
      <c r="AE22" s="58">
        <v>751.92</v>
      </c>
      <c r="AF22" s="65">
        <f t="shared" si="64"/>
        <v>1049.9999999999545</v>
      </c>
      <c r="AG22" s="58">
        <v>17269</v>
      </c>
      <c r="AH22" s="67">
        <f t="shared" si="65"/>
        <v>32</v>
      </c>
      <c r="AI22" s="58">
        <v>853.82</v>
      </c>
      <c r="AJ22" s="65">
        <f t="shared" si="66"/>
        <v>730.00000000001819</v>
      </c>
      <c r="AK22" s="58">
        <v>284.98</v>
      </c>
      <c r="AL22" s="65">
        <f t="shared" si="67"/>
        <v>290.00000000002046</v>
      </c>
      <c r="AM22" s="58">
        <v>266.82</v>
      </c>
      <c r="AN22" s="65">
        <f t="shared" si="68"/>
        <v>269.99999999998181</v>
      </c>
      <c r="AO22" s="58">
        <v>256.77</v>
      </c>
      <c r="AP22" s="65">
        <f t="shared" si="69"/>
        <v>189.99999999999773</v>
      </c>
      <c r="AQ22" s="58">
        <v>312.79000000000002</v>
      </c>
      <c r="AR22" s="65">
        <f t="shared" si="70"/>
        <v>180.00000000000682</v>
      </c>
      <c r="AS22" s="58">
        <v>438.25</v>
      </c>
      <c r="AT22" s="65">
        <f t="shared" si="71"/>
        <v>379.99999999999545</v>
      </c>
      <c r="AU22" s="58">
        <v>347.42</v>
      </c>
      <c r="AV22" s="65">
        <f t="shared" si="72"/>
        <v>350.00000000002274</v>
      </c>
      <c r="AW22" s="58">
        <v>377.01</v>
      </c>
      <c r="AX22" s="65">
        <f t="shared" si="73"/>
        <v>189.99999999999773</v>
      </c>
      <c r="AY22" s="58">
        <v>410.06</v>
      </c>
      <c r="AZ22" s="65">
        <f t="shared" si="74"/>
        <v>149.99999999997726</v>
      </c>
      <c r="BA22" s="58">
        <v>430.62</v>
      </c>
      <c r="BB22" s="65">
        <f t="shared" si="75"/>
        <v>160.00000000002501</v>
      </c>
      <c r="BC22" s="58">
        <v>276.41000000000003</v>
      </c>
      <c r="BD22" s="65">
        <f t="shared" si="76"/>
        <v>60.000000000002274</v>
      </c>
      <c r="BE22" s="59">
        <v>51306</v>
      </c>
      <c r="BF22" s="67">
        <f t="shared" si="77"/>
        <v>34</v>
      </c>
      <c r="BG22" s="60">
        <v>248.35</v>
      </c>
      <c r="BH22" s="65">
        <f t="shared" si="78"/>
        <v>39.999999999992042</v>
      </c>
      <c r="BI22" s="60">
        <v>303.08999999999997</v>
      </c>
      <c r="BJ22" s="65">
        <f t="shared" si="79"/>
        <v>29.999999999972715</v>
      </c>
      <c r="BK22" s="60">
        <v>251.73</v>
      </c>
      <c r="BL22" s="65">
        <f t="shared" si="80"/>
        <v>60.000000000002274</v>
      </c>
      <c r="BM22" s="60">
        <v>237.98</v>
      </c>
      <c r="BN22" s="65">
        <f t="shared" si="81"/>
        <v>49.999999999982947</v>
      </c>
      <c r="BO22" s="60">
        <v>305.75</v>
      </c>
      <c r="BP22" s="65">
        <f t="shared" si="82"/>
        <v>69.999999999993179</v>
      </c>
      <c r="BQ22" s="60">
        <v>56509</v>
      </c>
      <c r="BR22" s="65">
        <f t="shared" si="83"/>
        <v>40</v>
      </c>
      <c r="BS22" s="60">
        <v>215.57</v>
      </c>
      <c r="BT22" s="65">
        <f t="shared" si="84"/>
        <v>49.999999999982947</v>
      </c>
      <c r="BU22" s="60">
        <v>54087</v>
      </c>
      <c r="BV22" s="65">
        <f t="shared" si="85"/>
        <v>43</v>
      </c>
      <c r="BW22" s="60">
        <v>243.84</v>
      </c>
      <c r="BX22" s="65">
        <f t="shared" si="86"/>
        <v>50.000000000011369</v>
      </c>
      <c r="BY22" s="60">
        <v>73748</v>
      </c>
      <c r="BZ22" s="67">
        <f t="shared" si="87"/>
        <v>42</v>
      </c>
      <c r="CA22" s="60">
        <v>48124</v>
      </c>
      <c r="CB22" s="67">
        <f t="shared" si="88"/>
        <v>36.30000000000291</v>
      </c>
      <c r="CC22" s="60">
        <v>15672.8</v>
      </c>
      <c r="CD22" s="67">
        <f t="shared" si="89"/>
        <v>8.5999999999985448</v>
      </c>
      <c r="CE22" s="60">
        <v>8118</v>
      </c>
      <c r="CF22" s="67">
        <f t="shared" si="90"/>
        <v>4.6999999999998181</v>
      </c>
      <c r="CG22" s="60">
        <v>74392.399999999994</v>
      </c>
      <c r="CH22" s="67">
        <f t="shared" si="91"/>
        <v>35.5</v>
      </c>
      <c r="CI22" s="60">
        <v>1045850</v>
      </c>
      <c r="CJ22" s="67">
        <f t="shared" si="92"/>
        <v>269</v>
      </c>
      <c r="CK22" s="60">
        <v>990.49</v>
      </c>
      <c r="CL22" s="64">
        <f t="shared" si="93"/>
        <v>820.00000000005002</v>
      </c>
      <c r="CM22" s="65">
        <f t="shared" si="94"/>
        <v>98</v>
      </c>
      <c r="CN22" s="62">
        <v>27</v>
      </c>
      <c r="CO22" s="62">
        <v>57</v>
      </c>
      <c r="CP22" s="68">
        <v>30407</v>
      </c>
      <c r="CQ22" s="67">
        <f t="shared" si="97"/>
        <v>84</v>
      </c>
      <c r="CR22" s="68">
        <v>21512</v>
      </c>
      <c r="CS22" s="67">
        <f t="shared" si="45"/>
        <v>14</v>
      </c>
      <c r="CT22" s="75">
        <v>10120</v>
      </c>
      <c r="CU22" s="67">
        <f t="shared" si="47"/>
        <v>13</v>
      </c>
      <c r="CV22" s="68">
        <v>24289</v>
      </c>
      <c r="CW22" s="67">
        <f t="shared" si="95"/>
        <v>22</v>
      </c>
      <c r="CX22" s="58">
        <v>2983.5</v>
      </c>
      <c r="CY22" s="67">
        <f t="shared" si="96"/>
        <v>11.400000000000091</v>
      </c>
    </row>
    <row r="23" spans="1:103" ht="25.5" customHeight="1" thickBot="1" x14ac:dyDescent="0.45">
      <c r="A23" s="63">
        <v>44701</v>
      </c>
      <c r="B23" s="44"/>
      <c r="C23" s="58">
        <v>3.2191999999999998</v>
      </c>
      <c r="D23" s="64">
        <f t="shared" si="50"/>
        <v>3199.9999999996476</v>
      </c>
      <c r="E23" s="58">
        <v>4.3114999999999997</v>
      </c>
      <c r="F23" s="64">
        <f t="shared" si="51"/>
        <v>3499.9999999998367</v>
      </c>
      <c r="G23" s="58">
        <v>4.2709999999999999</v>
      </c>
      <c r="H23" s="64">
        <f t="shared" si="52"/>
        <v>3199.9999999996476</v>
      </c>
      <c r="I23" s="58">
        <v>2.1459999999999999</v>
      </c>
      <c r="J23" s="64">
        <f t="shared" si="53"/>
        <v>1700.0000000000348</v>
      </c>
      <c r="K23" s="58">
        <v>3.3489</v>
      </c>
      <c r="L23" s="64">
        <f t="shared" si="54"/>
        <v>1999.9999999997797</v>
      </c>
      <c r="M23" s="58">
        <v>1.9315</v>
      </c>
      <c r="N23" s="64">
        <f t="shared" si="55"/>
        <v>1900.0000000000127</v>
      </c>
      <c r="O23" s="58">
        <v>20909</v>
      </c>
      <c r="P23" s="67">
        <f t="shared" si="56"/>
        <v>27</v>
      </c>
      <c r="Q23" s="58">
        <v>2563</v>
      </c>
      <c r="R23" s="67">
        <f t="shared" si="57"/>
        <v>4</v>
      </c>
      <c r="S23" s="58">
        <v>1346.9</v>
      </c>
      <c r="T23" s="67">
        <f t="shared" si="58"/>
        <v>1.3000000000001819</v>
      </c>
      <c r="U23" s="58">
        <v>550323.19999999995</v>
      </c>
      <c r="V23" s="67">
        <f t="shared" si="59"/>
        <v>560.79999999993015</v>
      </c>
      <c r="W23" s="58">
        <v>510.36</v>
      </c>
      <c r="X23" s="65">
        <f t="shared" si="60"/>
        <v>330.00000000004093</v>
      </c>
      <c r="Y23" s="58">
        <v>3.7902</v>
      </c>
      <c r="Z23" s="65">
        <f t="shared" si="61"/>
        <v>2800.0000000001355</v>
      </c>
      <c r="AA23" s="58">
        <v>513.99</v>
      </c>
      <c r="AB23" s="65">
        <f t="shared" si="62"/>
        <v>419.99999999995907</v>
      </c>
      <c r="AC23" s="58">
        <v>506.15</v>
      </c>
      <c r="AD23" s="65">
        <f t="shared" si="63"/>
        <v>370.00000000000455</v>
      </c>
      <c r="AE23" s="58">
        <v>752.87</v>
      </c>
      <c r="AF23" s="65">
        <f t="shared" si="64"/>
        <v>950.00000000004547</v>
      </c>
      <c r="AG23" s="58">
        <v>17305</v>
      </c>
      <c r="AH23" s="67">
        <f t="shared" si="65"/>
        <v>36</v>
      </c>
      <c r="AI23" s="58">
        <v>854.7</v>
      </c>
      <c r="AJ23" s="65">
        <f t="shared" si="66"/>
        <v>879.99999999999545</v>
      </c>
      <c r="AK23" s="58">
        <v>285.26</v>
      </c>
      <c r="AL23" s="65">
        <f t="shared" si="67"/>
        <v>279.99999999997272</v>
      </c>
      <c r="AM23" s="58">
        <v>267.07</v>
      </c>
      <c r="AN23" s="65">
        <f t="shared" si="68"/>
        <v>250</v>
      </c>
      <c r="AO23" s="58">
        <v>256.97000000000003</v>
      </c>
      <c r="AP23" s="65">
        <f t="shared" si="69"/>
        <v>200.00000000004547</v>
      </c>
      <c r="AQ23" s="58">
        <v>312.95999999999998</v>
      </c>
      <c r="AR23" s="65">
        <f t="shared" si="70"/>
        <v>169.99999999995907</v>
      </c>
      <c r="AS23" s="58">
        <v>438.53</v>
      </c>
      <c r="AT23" s="65">
        <f t="shared" si="71"/>
        <v>279.99999999997272</v>
      </c>
      <c r="AU23" s="58">
        <v>347.76</v>
      </c>
      <c r="AV23" s="65">
        <f t="shared" si="72"/>
        <v>339.99999999997499</v>
      </c>
      <c r="AW23" s="58">
        <v>377.18</v>
      </c>
      <c r="AX23" s="65">
        <f t="shared" si="73"/>
        <v>170.00000000001592</v>
      </c>
      <c r="AY23" s="58">
        <v>410.22</v>
      </c>
      <c r="AZ23" s="65">
        <f t="shared" si="74"/>
        <v>160.00000000002501</v>
      </c>
      <c r="BA23" s="58">
        <v>430.77</v>
      </c>
      <c r="BB23" s="65">
        <f t="shared" si="75"/>
        <v>149.99999999997726</v>
      </c>
      <c r="BC23" s="58">
        <v>276.52999999999997</v>
      </c>
      <c r="BD23" s="65">
        <f t="shared" si="76"/>
        <v>119.9999999999477</v>
      </c>
      <c r="BE23" s="59">
        <v>51338</v>
      </c>
      <c r="BF23" s="67">
        <f t="shared" si="77"/>
        <v>32</v>
      </c>
      <c r="BG23" s="60">
        <v>248.39</v>
      </c>
      <c r="BH23" s="65">
        <f t="shared" si="78"/>
        <v>39.999999999992042</v>
      </c>
      <c r="BI23" s="60">
        <v>303.13</v>
      </c>
      <c r="BJ23" s="65">
        <f t="shared" si="79"/>
        <v>40.000000000020464</v>
      </c>
      <c r="BK23" s="60">
        <v>251.8</v>
      </c>
      <c r="BL23" s="65">
        <f t="shared" si="80"/>
        <v>70.0000000000216</v>
      </c>
      <c r="BM23" s="60">
        <v>238.02</v>
      </c>
      <c r="BN23" s="65">
        <f t="shared" si="81"/>
        <v>40.000000000020464</v>
      </c>
      <c r="BO23" s="60">
        <v>305.82</v>
      </c>
      <c r="BP23" s="65">
        <f t="shared" si="82"/>
        <v>69.999999999993179</v>
      </c>
      <c r="BQ23" s="60">
        <v>56553</v>
      </c>
      <c r="BR23" s="65">
        <f t="shared" si="83"/>
        <v>44</v>
      </c>
      <c r="BS23" s="60">
        <v>215.63</v>
      </c>
      <c r="BT23" s="65">
        <f t="shared" si="84"/>
        <v>60.000000000002274</v>
      </c>
      <c r="BU23" s="60">
        <v>54134</v>
      </c>
      <c r="BV23" s="65">
        <f t="shared" si="85"/>
        <v>47</v>
      </c>
      <c r="BW23" s="60">
        <v>243.89</v>
      </c>
      <c r="BX23" s="65">
        <f t="shared" si="86"/>
        <v>49.999999999982947</v>
      </c>
      <c r="BY23" s="60">
        <v>73793</v>
      </c>
      <c r="BZ23" s="67">
        <f t="shared" si="87"/>
        <v>45</v>
      </c>
      <c r="CA23" s="60">
        <v>48165.7</v>
      </c>
      <c r="CB23" s="67">
        <f t="shared" si="88"/>
        <v>41.69999999999709</v>
      </c>
      <c r="CC23" s="60">
        <v>15684.2</v>
      </c>
      <c r="CD23" s="67">
        <f t="shared" si="89"/>
        <v>11.400000000001455</v>
      </c>
      <c r="CE23" s="60">
        <v>8120</v>
      </c>
      <c r="CF23" s="67">
        <f t="shared" si="90"/>
        <v>2</v>
      </c>
      <c r="CG23" s="60">
        <v>74448.100000000006</v>
      </c>
      <c r="CH23" s="67">
        <f t="shared" si="91"/>
        <v>55.700000000011642</v>
      </c>
      <c r="CI23" s="60">
        <v>1046168</v>
      </c>
      <c r="CJ23" s="67">
        <f t="shared" si="92"/>
        <v>318</v>
      </c>
      <c r="CK23" s="60">
        <v>991.25</v>
      </c>
      <c r="CL23" s="64">
        <f t="shared" si="93"/>
        <v>759.99999999999091</v>
      </c>
      <c r="CM23" s="65">
        <f>CQ23+CS23</f>
        <v>99</v>
      </c>
      <c r="CN23" s="62">
        <v>27</v>
      </c>
      <c r="CO23" s="62">
        <v>57</v>
      </c>
      <c r="CP23" s="68">
        <v>30491</v>
      </c>
      <c r="CQ23" s="67">
        <f t="shared" si="97"/>
        <v>84</v>
      </c>
      <c r="CR23" s="68">
        <v>21527</v>
      </c>
      <c r="CS23" s="67">
        <f t="shared" si="45"/>
        <v>15</v>
      </c>
      <c r="CT23" s="75">
        <v>10141</v>
      </c>
      <c r="CU23" s="67">
        <f t="shared" si="47"/>
        <v>21</v>
      </c>
      <c r="CV23" s="68">
        <v>24327</v>
      </c>
      <c r="CW23" s="67">
        <f t="shared" si="95"/>
        <v>38</v>
      </c>
      <c r="CX23" s="58">
        <v>2994.7</v>
      </c>
      <c r="CY23" s="67">
        <f t="shared" si="96"/>
        <v>11.199999999999818</v>
      </c>
    </row>
    <row r="24" spans="1:103" ht="25.5" customHeight="1" thickBot="1" x14ac:dyDescent="0.45">
      <c r="A24" s="63">
        <v>44702</v>
      </c>
      <c r="B24" s="44"/>
      <c r="C24" s="58">
        <v>3.2221000000000002</v>
      </c>
      <c r="D24" s="64">
        <f t="shared" si="50"/>
        <v>2900.0000000003465</v>
      </c>
      <c r="E24" s="58">
        <v>4.3146000000000004</v>
      </c>
      <c r="F24" s="64">
        <f t="shared" si="51"/>
        <v>3100.000000000769</v>
      </c>
      <c r="G24" s="58">
        <v>4.2742000000000004</v>
      </c>
      <c r="H24" s="64">
        <f t="shared" si="52"/>
        <v>3200.0000000005357</v>
      </c>
      <c r="I24" s="58">
        <v>2.1476999999999999</v>
      </c>
      <c r="J24" s="64">
        <f t="shared" si="53"/>
        <v>1700.0000000000348</v>
      </c>
      <c r="K24" s="58">
        <v>3.3511000000000002</v>
      </c>
      <c r="L24" s="64">
        <f t="shared" si="54"/>
        <v>2200.0000000002019</v>
      </c>
      <c r="M24" s="58">
        <v>1.9332</v>
      </c>
      <c r="N24" s="64">
        <f t="shared" si="55"/>
        <v>1700.0000000000348</v>
      </c>
      <c r="O24" s="58">
        <v>20934</v>
      </c>
      <c r="P24" s="67">
        <f t="shared" si="56"/>
        <v>25</v>
      </c>
      <c r="Q24" s="58">
        <v>2568</v>
      </c>
      <c r="R24" s="67">
        <f t="shared" si="57"/>
        <v>5</v>
      </c>
      <c r="S24" s="58">
        <v>1348</v>
      </c>
      <c r="T24" s="67">
        <f t="shared" si="58"/>
        <v>1.0999999999999091</v>
      </c>
      <c r="U24" s="58">
        <v>550788.69999999995</v>
      </c>
      <c r="V24" s="67">
        <f t="shared" si="59"/>
        <v>465.5</v>
      </c>
      <c r="W24" s="58">
        <v>510.71</v>
      </c>
      <c r="X24" s="65">
        <f t="shared" si="60"/>
        <v>349.99999999996589</v>
      </c>
      <c r="Y24" s="58">
        <v>3.7932000000000001</v>
      </c>
      <c r="Z24" s="65">
        <f t="shared" si="61"/>
        <v>3000.0000000001137</v>
      </c>
      <c r="AA24" s="58">
        <v>514.26</v>
      </c>
      <c r="AB24" s="65">
        <f t="shared" si="62"/>
        <v>269.99999999998181</v>
      </c>
      <c r="AC24" s="58">
        <v>506.59</v>
      </c>
      <c r="AD24" s="65">
        <f t="shared" si="63"/>
        <v>439.99999999999773</v>
      </c>
      <c r="AE24" s="58">
        <v>753.86</v>
      </c>
      <c r="AF24" s="65">
        <f t="shared" si="64"/>
        <v>990.00000000000909</v>
      </c>
      <c r="AG24" s="58">
        <v>17335</v>
      </c>
      <c r="AH24" s="67">
        <f t="shared" si="65"/>
        <v>30</v>
      </c>
      <c r="AI24" s="58">
        <v>855.58</v>
      </c>
      <c r="AJ24" s="65">
        <f t="shared" si="66"/>
        <v>879.99999999999545</v>
      </c>
      <c r="AK24" s="58">
        <v>285.57</v>
      </c>
      <c r="AL24" s="65">
        <f t="shared" si="67"/>
        <v>310.00000000000227</v>
      </c>
      <c r="AM24" s="58">
        <v>267.33</v>
      </c>
      <c r="AN24" s="65">
        <f t="shared" si="68"/>
        <v>259.99999999999091</v>
      </c>
      <c r="AO24" s="58">
        <v>257.16000000000003</v>
      </c>
      <c r="AP24" s="65">
        <f t="shared" si="69"/>
        <v>189.99999999999773</v>
      </c>
      <c r="AQ24" s="58">
        <v>313.14</v>
      </c>
      <c r="AR24" s="65">
        <f t="shared" si="70"/>
        <v>180.00000000000682</v>
      </c>
      <c r="AS24" s="58">
        <v>438.67</v>
      </c>
      <c r="AT24" s="65">
        <f t="shared" si="71"/>
        <v>140.0000000000432</v>
      </c>
      <c r="AU24" s="58">
        <v>347.9</v>
      </c>
      <c r="AV24" s="65">
        <f t="shared" si="72"/>
        <v>139.99999999998636</v>
      </c>
      <c r="AW24" s="58">
        <v>377.35</v>
      </c>
      <c r="AX24" s="65">
        <f t="shared" si="73"/>
        <v>170.00000000001592</v>
      </c>
      <c r="AY24" s="58">
        <v>410.37</v>
      </c>
      <c r="AZ24" s="65">
        <f t="shared" si="74"/>
        <v>149.99999999997726</v>
      </c>
      <c r="BA24" s="58">
        <v>430.91</v>
      </c>
      <c r="BB24" s="65">
        <f t="shared" si="75"/>
        <v>140.0000000000432</v>
      </c>
      <c r="BC24" s="58">
        <v>276.64999999999998</v>
      </c>
      <c r="BD24" s="65">
        <f t="shared" si="76"/>
        <v>120.00000000000455</v>
      </c>
      <c r="BE24" s="59">
        <v>51380</v>
      </c>
      <c r="BF24" s="67">
        <f t="shared" si="77"/>
        <v>42</v>
      </c>
      <c r="BG24" s="60">
        <v>248.44</v>
      </c>
      <c r="BH24" s="65">
        <f t="shared" si="78"/>
        <v>50.000000000011369</v>
      </c>
      <c r="BI24" s="60">
        <v>303.17</v>
      </c>
      <c r="BJ24" s="65">
        <f t="shared" si="79"/>
        <v>40.000000000020464</v>
      </c>
      <c r="BK24" s="60">
        <v>251.86</v>
      </c>
      <c r="BL24" s="65">
        <f t="shared" si="80"/>
        <v>60.000000000002274</v>
      </c>
      <c r="BM24" s="60">
        <v>238.07</v>
      </c>
      <c r="BN24" s="65">
        <f t="shared" si="81"/>
        <v>49.999999999982947</v>
      </c>
      <c r="BO24" s="60">
        <v>305.89</v>
      </c>
      <c r="BP24" s="65">
        <f t="shared" si="82"/>
        <v>69.999999999993179</v>
      </c>
      <c r="BQ24" s="60">
        <v>56592</v>
      </c>
      <c r="BR24" s="65">
        <f t="shared" si="83"/>
        <v>39</v>
      </c>
      <c r="BS24" s="60">
        <v>215.68</v>
      </c>
      <c r="BT24" s="65">
        <f t="shared" si="84"/>
        <v>50.000000000011369</v>
      </c>
      <c r="BU24" s="60">
        <v>54177</v>
      </c>
      <c r="BV24" s="65">
        <f t="shared" si="85"/>
        <v>43</v>
      </c>
      <c r="BW24" s="60">
        <v>243.93</v>
      </c>
      <c r="BX24" s="65">
        <f t="shared" si="86"/>
        <v>40.000000000020464</v>
      </c>
      <c r="BY24" s="60">
        <v>73841</v>
      </c>
      <c r="BZ24" s="67">
        <f t="shared" si="87"/>
        <v>48</v>
      </c>
      <c r="CA24" s="60">
        <v>48212.2</v>
      </c>
      <c r="CB24" s="67">
        <f t="shared" si="88"/>
        <v>46.5</v>
      </c>
      <c r="CC24" s="60">
        <v>15695.8</v>
      </c>
      <c r="CD24" s="67">
        <f t="shared" si="89"/>
        <v>11.599999999998545</v>
      </c>
      <c r="CE24" s="60">
        <v>8124</v>
      </c>
      <c r="CF24" s="67">
        <f t="shared" si="90"/>
        <v>4</v>
      </c>
      <c r="CG24" s="60">
        <v>74493.600000000006</v>
      </c>
      <c r="CH24" s="67">
        <f t="shared" si="91"/>
        <v>45.5</v>
      </c>
      <c r="CI24" s="60">
        <v>1046457</v>
      </c>
      <c r="CJ24" s="67">
        <f t="shared" si="92"/>
        <v>289</v>
      </c>
      <c r="CK24" s="60">
        <v>992.1</v>
      </c>
      <c r="CL24" s="64">
        <f t="shared" si="93"/>
        <v>850.00000000002274</v>
      </c>
      <c r="CM24" s="65">
        <f t="shared" si="94"/>
        <v>96.299999999999272</v>
      </c>
      <c r="CN24" s="62">
        <v>27</v>
      </c>
      <c r="CO24" s="62">
        <v>57</v>
      </c>
      <c r="CP24" s="68">
        <v>30567</v>
      </c>
      <c r="CQ24" s="67">
        <f t="shared" si="97"/>
        <v>76</v>
      </c>
      <c r="CR24" s="68">
        <v>21547.3</v>
      </c>
      <c r="CS24" s="67">
        <f t="shared" si="45"/>
        <v>20.299999999999272</v>
      </c>
      <c r="CT24" s="75">
        <v>10160</v>
      </c>
      <c r="CU24" s="67">
        <f t="shared" si="47"/>
        <v>19</v>
      </c>
      <c r="CV24" s="68">
        <v>24349</v>
      </c>
      <c r="CW24" s="67">
        <f t="shared" si="95"/>
        <v>22</v>
      </c>
      <c r="CX24" s="58">
        <v>3005.6</v>
      </c>
      <c r="CY24" s="67">
        <f t="shared" si="96"/>
        <v>10.900000000000091</v>
      </c>
    </row>
    <row r="25" spans="1:103" ht="25.5" customHeight="1" thickBot="1" x14ac:dyDescent="0.45">
      <c r="A25" s="63">
        <v>44703</v>
      </c>
      <c r="B25" s="44"/>
      <c r="C25" s="58">
        <v>3.2244000000000002</v>
      </c>
      <c r="D25" s="64">
        <f t="shared" si="50"/>
        <v>2299.9999999999686</v>
      </c>
      <c r="E25" s="58">
        <v>4.3175999999999997</v>
      </c>
      <c r="F25" s="64">
        <f t="shared" si="51"/>
        <v>2999.9999999992256</v>
      </c>
      <c r="G25" s="58">
        <v>4.2771999999999997</v>
      </c>
      <c r="H25" s="64">
        <f t="shared" si="52"/>
        <v>2999.9999999992256</v>
      </c>
      <c r="I25" s="58">
        <v>2.1493000000000002</v>
      </c>
      <c r="J25" s="64">
        <f t="shared" si="53"/>
        <v>1600.0000000002678</v>
      </c>
      <c r="K25" s="58">
        <v>3.3531</v>
      </c>
      <c r="L25" s="64">
        <f t="shared" si="54"/>
        <v>1999.9999999997797</v>
      </c>
      <c r="M25" s="58">
        <v>1.9351</v>
      </c>
      <c r="N25" s="64">
        <f t="shared" si="55"/>
        <v>1900.0000000000127</v>
      </c>
      <c r="O25" s="58">
        <v>20978</v>
      </c>
      <c r="P25" s="67">
        <f t="shared" si="56"/>
        <v>44</v>
      </c>
      <c r="Q25" s="58">
        <v>2572</v>
      </c>
      <c r="R25" s="67">
        <f t="shared" si="57"/>
        <v>4</v>
      </c>
      <c r="S25" s="58">
        <v>1349.2</v>
      </c>
      <c r="T25" s="67">
        <f t="shared" si="58"/>
        <v>1.2000000000000455</v>
      </c>
      <c r="U25" s="58">
        <v>551207.6</v>
      </c>
      <c r="V25" s="67">
        <f t="shared" si="59"/>
        <v>418.90000000002328</v>
      </c>
      <c r="W25" s="58">
        <v>511.02</v>
      </c>
      <c r="X25" s="65">
        <f t="shared" si="60"/>
        <v>310.00000000000227</v>
      </c>
      <c r="Y25" s="58">
        <v>3.7959999999999998</v>
      </c>
      <c r="Z25" s="65">
        <f t="shared" si="61"/>
        <v>2799.9999999996917</v>
      </c>
      <c r="AA25" s="58">
        <v>514.67999999999995</v>
      </c>
      <c r="AB25" s="65">
        <f t="shared" si="62"/>
        <v>419.99999999995907</v>
      </c>
      <c r="AC25" s="58">
        <v>507.03</v>
      </c>
      <c r="AD25" s="65">
        <f t="shared" si="63"/>
        <v>439.99999999999773</v>
      </c>
      <c r="AE25" s="58">
        <v>754.92</v>
      </c>
      <c r="AF25" s="65">
        <f t="shared" si="64"/>
        <v>1059.9999999999454</v>
      </c>
      <c r="AG25" s="58">
        <v>17362</v>
      </c>
      <c r="AH25" s="67">
        <f t="shared" si="65"/>
        <v>27</v>
      </c>
      <c r="AI25" s="58">
        <v>856.38</v>
      </c>
      <c r="AJ25" s="65">
        <f t="shared" si="66"/>
        <v>799.99999999995453</v>
      </c>
      <c r="AK25" s="58">
        <v>285.85000000000002</v>
      </c>
      <c r="AL25" s="65">
        <f t="shared" si="67"/>
        <v>280.00000000002956</v>
      </c>
      <c r="AM25" s="58">
        <v>267.56</v>
      </c>
      <c r="AN25" s="65">
        <f t="shared" si="68"/>
        <v>230.00000000001819</v>
      </c>
      <c r="AO25" s="58">
        <v>257.32</v>
      </c>
      <c r="AP25" s="65">
        <f t="shared" si="69"/>
        <v>159.99999999996817</v>
      </c>
      <c r="AQ25" s="58">
        <v>313.27999999999997</v>
      </c>
      <c r="AR25" s="65">
        <f t="shared" si="70"/>
        <v>139.99999999998636</v>
      </c>
      <c r="AS25" s="58">
        <v>438.76</v>
      </c>
      <c r="AT25" s="65">
        <f t="shared" si="71"/>
        <v>89.999999999974989</v>
      </c>
      <c r="AU25" s="58">
        <v>347.95</v>
      </c>
      <c r="AV25" s="65">
        <f t="shared" si="72"/>
        <v>50.000000000011369</v>
      </c>
      <c r="AW25" s="58">
        <v>377.49</v>
      </c>
      <c r="AX25" s="65">
        <f t="shared" si="73"/>
        <v>139.99999999998636</v>
      </c>
      <c r="AY25" s="58">
        <v>410.51</v>
      </c>
      <c r="AZ25" s="65">
        <f t="shared" si="74"/>
        <v>139.99999999998636</v>
      </c>
      <c r="BA25" s="58">
        <v>431.03</v>
      </c>
      <c r="BB25" s="65">
        <f t="shared" si="75"/>
        <v>119.9999999999477</v>
      </c>
      <c r="BC25" s="58">
        <v>276.76</v>
      </c>
      <c r="BD25" s="65">
        <f t="shared" si="76"/>
        <v>110.00000000001364</v>
      </c>
      <c r="BE25" s="59">
        <v>51397</v>
      </c>
      <c r="BF25" s="67">
        <f t="shared" si="77"/>
        <v>17</v>
      </c>
      <c r="BG25" s="60">
        <v>248.48</v>
      </c>
      <c r="BH25" s="65">
        <f t="shared" si="78"/>
        <v>39.999999999992042</v>
      </c>
      <c r="BI25" s="60">
        <v>303.20999999999998</v>
      </c>
      <c r="BJ25" s="65">
        <f t="shared" si="79"/>
        <v>39.99999999996362</v>
      </c>
      <c r="BK25" s="60">
        <v>251.91</v>
      </c>
      <c r="BL25" s="65">
        <f t="shared" si="80"/>
        <v>49.999999999982947</v>
      </c>
      <c r="BM25" s="60">
        <v>238.11</v>
      </c>
      <c r="BN25" s="65">
        <f t="shared" si="81"/>
        <v>40.000000000020464</v>
      </c>
      <c r="BO25" s="60">
        <v>305.95</v>
      </c>
      <c r="BP25" s="65">
        <f t="shared" si="82"/>
        <v>60.000000000002274</v>
      </c>
      <c r="BQ25" s="60">
        <v>56629</v>
      </c>
      <c r="BR25" s="65">
        <f t="shared" si="83"/>
        <v>37</v>
      </c>
      <c r="BS25" s="60">
        <v>215.73</v>
      </c>
      <c r="BT25" s="65">
        <f t="shared" si="84"/>
        <v>49.999999999982947</v>
      </c>
      <c r="BU25" s="60">
        <v>54219</v>
      </c>
      <c r="BV25" s="65">
        <f t="shared" si="85"/>
        <v>42</v>
      </c>
      <c r="BW25" s="60">
        <v>243.97</v>
      </c>
      <c r="BX25" s="65">
        <f t="shared" si="86"/>
        <v>39.999999999992042</v>
      </c>
      <c r="BY25" s="60">
        <v>73887</v>
      </c>
      <c r="BZ25" s="67">
        <f t="shared" si="87"/>
        <v>46</v>
      </c>
      <c r="CA25" s="60">
        <v>48258.7</v>
      </c>
      <c r="CB25" s="67">
        <f t="shared" si="88"/>
        <v>46.5</v>
      </c>
      <c r="CC25" s="60">
        <v>15704.3</v>
      </c>
      <c r="CD25" s="67">
        <f t="shared" si="89"/>
        <v>8.5</v>
      </c>
      <c r="CE25" s="60">
        <v>8133.2</v>
      </c>
      <c r="CF25" s="67">
        <f t="shared" si="90"/>
        <v>9.1999999999998181</v>
      </c>
      <c r="CG25" s="60">
        <v>74541</v>
      </c>
      <c r="CH25" s="67">
        <f t="shared" si="91"/>
        <v>47.399999999994179</v>
      </c>
      <c r="CI25" s="60">
        <v>1046737</v>
      </c>
      <c r="CJ25" s="67">
        <f t="shared" si="92"/>
        <v>280</v>
      </c>
      <c r="CK25" s="60">
        <v>992.91</v>
      </c>
      <c r="CL25" s="64">
        <f t="shared" si="93"/>
        <v>809.99999999994543</v>
      </c>
      <c r="CM25" s="65">
        <f t="shared" si="94"/>
        <v>94.700000000000728</v>
      </c>
      <c r="CN25" s="62"/>
      <c r="CO25" s="62"/>
      <c r="CP25" s="68">
        <v>30640</v>
      </c>
      <c r="CQ25" s="67">
        <f t="shared" si="97"/>
        <v>73</v>
      </c>
      <c r="CR25" s="68">
        <v>21569</v>
      </c>
      <c r="CS25" s="67">
        <f t="shared" si="45"/>
        <v>21.700000000000728</v>
      </c>
      <c r="CT25" s="75">
        <v>10179</v>
      </c>
      <c r="CU25" s="67">
        <f t="shared" si="47"/>
        <v>19</v>
      </c>
      <c r="CV25" s="68">
        <v>24372</v>
      </c>
      <c r="CW25" s="67">
        <f t="shared" si="95"/>
        <v>23</v>
      </c>
      <c r="CX25" s="58">
        <v>3013.6</v>
      </c>
      <c r="CY25" s="67">
        <f t="shared" si="96"/>
        <v>8</v>
      </c>
    </row>
    <row r="26" spans="1:103" ht="25.5" customHeight="1" thickBot="1" x14ac:dyDescent="0.45">
      <c r="A26" s="63">
        <v>44704</v>
      </c>
      <c r="B26" s="44"/>
      <c r="C26" s="58">
        <v>3.2269999999999999</v>
      </c>
      <c r="D26" s="64">
        <f t="shared" si="50"/>
        <v>2599.9999999997135</v>
      </c>
      <c r="E26" s="58">
        <v>4.3209</v>
      </c>
      <c r="F26" s="64">
        <f t="shared" si="51"/>
        <v>3300.0000000003029</v>
      </c>
      <c r="G26" s="58">
        <v>4.2804000000000002</v>
      </c>
      <c r="H26" s="64">
        <f t="shared" si="52"/>
        <v>3200.0000000005357</v>
      </c>
      <c r="I26" s="58">
        <v>2.1509</v>
      </c>
      <c r="J26" s="64">
        <f t="shared" si="53"/>
        <v>1599.9999999998238</v>
      </c>
      <c r="K26" s="58">
        <v>3.3553000000000002</v>
      </c>
      <c r="L26" s="64">
        <f t="shared" si="54"/>
        <v>2200.0000000002019</v>
      </c>
      <c r="M26" s="58">
        <v>1.9372</v>
      </c>
      <c r="N26" s="64">
        <f t="shared" si="55"/>
        <v>2099.9999999999909</v>
      </c>
      <c r="O26" s="58">
        <v>20986</v>
      </c>
      <c r="P26" s="67">
        <f t="shared" si="56"/>
        <v>8</v>
      </c>
      <c r="Q26" s="58">
        <v>2577</v>
      </c>
      <c r="R26" s="67">
        <f t="shared" si="57"/>
        <v>5</v>
      </c>
      <c r="S26" s="58">
        <v>1350.3</v>
      </c>
      <c r="T26" s="67">
        <f t="shared" si="58"/>
        <v>1.0999999999999091</v>
      </c>
      <c r="U26" s="58">
        <v>551618.6</v>
      </c>
      <c r="V26" s="67">
        <f t="shared" si="59"/>
        <v>411</v>
      </c>
      <c r="W26" s="58">
        <v>511.3</v>
      </c>
      <c r="X26" s="65">
        <f t="shared" si="60"/>
        <v>280.00000000002956</v>
      </c>
      <c r="Y26" s="58">
        <v>3.7987000000000002</v>
      </c>
      <c r="Z26" s="65">
        <f t="shared" si="61"/>
        <v>2700.0000000003688</v>
      </c>
      <c r="AA26" s="58">
        <v>515.07000000000005</v>
      </c>
      <c r="AB26" s="65">
        <f t="shared" si="62"/>
        <v>390.00000000010004</v>
      </c>
      <c r="AC26" s="58">
        <v>507.53</v>
      </c>
      <c r="AD26" s="65">
        <f t="shared" si="63"/>
        <v>500</v>
      </c>
      <c r="AE26" s="58">
        <v>755.84</v>
      </c>
      <c r="AF26" s="65">
        <f t="shared" si="64"/>
        <v>920.00000000007276</v>
      </c>
      <c r="AG26" s="58">
        <v>17388</v>
      </c>
      <c r="AH26" s="67">
        <f t="shared" si="65"/>
        <v>26</v>
      </c>
      <c r="AI26" s="58">
        <v>857.09</v>
      </c>
      <c r="AJ26" s="65">
        <f t="shared" si="66"/>
        <v>710.00000000003638</v>
      </c>
      <c r="AK26" s="58">
        <v>286.10000000000002</v>
      </c>
      <c r="AL26" s="65">
        <f t="shared" si="67"/>
        <v>250</v>
      </c>
      <c r="AM26" s="58">
        <v>267.75</v>
      </c>
      <c r="AN26" s="65">
        <f t="shared" si="68"/>
        <v>189.99999999999773</v>
      </c>
      <c r="AO26" s="58">
        <v>257.45</v>
      </c>
      <c r="AP26" s="65">
        <f t="shared" si="69"/>
        <v>129.99999999999545</v>
      </c>
      <c r="AQ26" s="58">
        <v>313.42</v>
      </c>
      <c r="AR26" s="65">
        <f t="shared" si="70"/>
        <v>140.0000000000432</v>
      </c>
      <c r="AS26" s="58">
        <v>438.89</v>
      </c>
      <c r="AT26" s="65">
        <f t="shared" si="71"/>
        <v>129.99999999999545</v>
      </c>
      <c r="AU26" s="58">
        <v>348.05</v>
      </c>
      <c r="AV26" s="65">
        <f t="shared" si="72"/>
        <v>100.00000000002274</v>
      </c>
      <c r="AW26" s="58">
        <v>377.59</v>
      </c>
      <c r="AX26" s="65">
        <f t="shared" si="73"/>
        <v>99.999999999965894</v>
      </c>
      <c r="AY26" s="58">
        <v>410.61</v>
      </c>
      <c r="AZ26" s="65">
        <f t="shared" si="74"/>
        <v>100.00000000002274</v>
      </c>
      <c r="BA26" s="58">
        <v>431.14</v>
      </c>
      <c r="BB26" s="65">
        <f t="shared" si="75"/>
        <v>110.00000000001364</v>
      </c>
      <c r="BC26" s="58">
        <v>276.83</v>
      </c>
      <c r="BD26" s="65">
        <f t="shared" si="76"/>
        <v>69.999999999993179</v>
      </c>
      <c r="BE26" s="59">
        <v>51436</v>
      </c>
      <c r="BF26" s="67">
        <f t="shared" si="77"/>
        <v>39</v>
      </c>
      <c r="BG26" s="60">
        <v>248.52</v>
      </c>
      <c r="BH26" s="65">
        <f t="shared" si="78"/>
        <v>40.000000000020464</v>
      </c>
      <c r="BI26" s="60">
        <v>303.24</v>
      </c>
      <c r="BJ26" s="65">
        <f t="shared" si="79"/>
        <v>30.000000000029559</v>
      </c>
      <c r="BK26" s="60">
        <v>251.97</v>
      </c>
      <c r="BL26" s="65">
        <f t="shared" si="80"/>
        <v>60.000000000002274</v>
      </c>
      <c r="BM26" s="60">
        <v>238.16</v>
      </c>
      <c r="BN26" s="65">
        <f t="shared" si="81"/>
        <v>49.999999999982947</v>
      </c>
      <c r="BO26" s="60">
        <v>306.01</v>
      </c>
      <c r="BP26" s="65">
        <f t="shared" si="82"/>
        <v>60.000000000002274</v>
      </c>
      <c r="BQ26" s="60">
        <v>56664</v>
      </c>
      <c r="BR26" s="65">
        <f t="shared" si="83"/>
        <v>35</v>
      </c>
      <c r="BS26" s="60">
        <v>215.79</v>
      </c>
      <c r="BT26" s="65">
        <f t="shared" si="84"/>
        <v>60.000000000002274</v>
      </c>
      <c r="BU26" s="60">
        <v>54266</v>
      </c>
      <c r="BV26" s="65">
        <f t="shared" si="85"/>
        <v>47</v>
      </c>
      <c r="BW26" s="60">
        <v>244.02</v>
      </c>
      <c r="BX26" s="65">
        <f t="shared" si="86"/>
        <v>50.000000000011369</v>
      </c>
      <c r="BY26" s="60">
        <v>73931</v>
      </c>
      <c r="BZ26" s="67">
        <f t="shared" si="87"/>
        <v>44</v>
      </c>
      <c r="CA26" s="60">
        <v>48304.7</v>
      </c>
      <c r="CB26" s="67">
        <f t="shared" si="88"/>
        <v>46</v>
      </c>
      <c r="CC26" s="60">
        <v>15713.2</v>
      </c>
      <c r="CD26" s="67">
        <f t="shared" si="89"/>
        <v>8.9000000000014552</v>
      </c>
      <c r="CE26" s="60">
        <v>8138.1</v>
      </c>
      <c r="CF26" s="67">
        <f t="shared" si="90"/>
        <v>4.9000000000005457</v>
      </c>
      <c r="CG26" s="60">
        <v>74581.8</v>
      </c>
      <c r="CH26" s="67">
        <f t="shared" si="91"/>
        <v>40.80000000000291</v>
      </c>
      <c r="CI26" s="60">
        <v>1047037</v>
      </c>
      <c r="CJ26" s="67">
        <f t="shared" si="92"/>
        <v>300</v>
      </c>
      <c r="CK26" s="60">
        <v>993.73</v>
      </c>
      <c r="CL26" s="64">
        <f t="shared" si="93"/>
        <v>820.00000000005002</v>
      </c>
      <c r="CM26" s="65">
        <f t="shared" si="94"/>
        <v>101</v>
      </c>
      <c r="CN26" s="62">
        <v>35</v>
      </c>
      <c r="CO26" s="62">
        <v>69</v>
      </c>
      <c r="CP26" s="68">
        <v>30714</v>
      </c>
      <c r="CQ26" s="67">
        <f t="shared" si="97"/>
        <v>74</v>
      </c>
      <c r="CR26" s="68">
        <v>21596</v>
      </c>
      <c r="CS26" s="67">
        <f t="shared" si="45"/>
        <v>27</v>
      </c>
      <c r="CT26" s="75">
        <v>10195</v>
      </c>
      <c r="CU26" s="67">
        <f t="shared" si="47"/>
        <v>16</v>
      </c>
      <c r="CV26" s="68">
        <v>24387</v>
      </c>
      <c r="CW26" s="67">
        <f t="shared" si="95"/>
        <v>15</v>
      </c>
      <c r="CX26" s="58">
        <v>3025.5</v>
      </c>
      <c r="CY26" s="67">
        <f t="shared" si="96"/>
        <v>11.900000000000091</v>
      </c>
    </row>
    <row r="27" spans="1:103" ht="25.5" customHeight="1" thickBot="1" x14ac:dyDescent="0.45">
      <c r="A27" s="63">
        <v>44705</v>
      </c>
      <c r="B27" s="44"/>
      <c r="C27" s="58">
        <v>3.23</v>
      </c>
      <c r="D27" s="64">
        <f t="shared" si="50"/>
        <v>3000.0000000001137</v>
      </c>
      <c r="E27" s="58">
        <v>4.3239999999999998</v>
      </c>
      <c r="F27" s="64">
        <f t="shared" si="51"/>
        <v>3099.9999999998809</v>
      </c>
      <c r="G27" s="58">
        <v>4.2839999999999998</v>
      </c>
      <c r="H27" s="64">
        <f t="shared" si="52"/>
        <v>3599.9999999996035</v>
      </c>
      <c r="I27" s="58">
        <v>2.1524999999999999</v>
      </c>
      <c r="J27" s="64">
        <f t="shared" si="53"/>
        <v>1599.9999999998238</v>
      </c>
      <c r="K27" s="58">
        <v>3.3570000000000002</v>
      </c>
      <c r="L27" s="64">
        <f t="shared" si="54"/>
        <v>1700.0000000000348</v>
      </c>
      <c r="M27" s="58">
        <v>1.9390000000000001</v>
      </c>
      <c r="N27" s="64">
        <f t="shared" si="55"/>
        <v>1800.0000000000239</v>
      </c>
      <c r="O27" s="58">
        <v>21008</v>
      </c>
      <c r="P27" s="67">
        <f t="shared" si="56"/>
        <v>22</v>
      </c>
      <c r="Q27" s="58">
        <v>2581</v>
      </c>
      <c r="R27" s="67">
        <f t="shared" si="57"/>
        <v>4</v>
      </c>
      <c r="S27" s="58">
        <v>1351.3</v>
      </c>
      <c r="T27" s="67">
        <f t="shared" si="58"/>
        <v>1</v>
      </c>
      <c r="U27" s="58">
        <v>552028.1</v>
      </c>
      <c r="V27" s="67">
        <f t="shared" si="59"/>
        <v>409.5</v>
      </c>
      <c r="W27" s="58">
        <v>511.63</v>
      </c>
      <c r="X27" s="65">
        <f t="shared" si="60"/>
        <v>329.99999999998408</v>
      </c>
      <c r="Y27" s="58">
        <v>3.8016000000000001</v>
      </c>
      <c r="Z27" s="65">
        <f t="shared" si="61"/>
        <v>2899.9999999999027</v>
      </c>
      <c r="AA27" s="58">
        <v>515.36</v>
      </c>
      <c r="AB27" s="65">
        <f t="shared" si="62"/>
        <v>289.99999999996362</v>
      </c>
      <c r="AC27" s="58">
        <v>508</v>
      </c>
      <c r="AD27" s="65">
        <f t="shared" si="63"/>
        <v>470.00000000002728</v>
      </c>
      <c r="AE27" s="58">
        <v>756.77</v>
      </c>
      <c r="AF27" s="65">
        <f t="shared" si="64"/>
        <v>929.99999999994998</v>
      </c>
      <c r="AG27" s="58">
        <v>17419</v>
      </c>
      <c r="AH27" s="67">
        <f t="shared" si="65"/>
        <v>31</v>
      </c>
      <c r="AI27" s="58">
        <v>857.86</v>
      </c>
      <c r="AJ27" s="65">
        <f t="shared" si="66"/>
        <v>769.99999999998181</v>
      </c>
      <c r="AK27" s="58">
        <v>286.41000000000003</v>
      </c>
      <c r="AL27" s="65">
        <f t="shared" si="67"/>
        <v>310.00000000000227</v>
      </c>
      <c r="AM27" s="58">
        <v>267.99</v>
      </c>
      <c r="AN27" s="65">
        <f t="shared" si="68"/>
        <v>240.00000000000909</v>
      </c>
      <c r="AO27" s="58">
        <v>257.68</v>
      </c>
      <c r="AP27" s="65">
        <f t="shared" si="69"/>
        <v>230.00000000001819</v>
      </c>
      <c r="AQ27" s="58">
        <v>313.58</v>
      </c>
      <c r="AR27" s="65">
        <f t="shared" si="70"/>
        <v>159.99999999996817</v>
      </c>
      <c r="AS27" s="58">
        <v>439.08</v>
      </c>
      <c r="AT27" s="65">
        <f t="shared" si="71"/>
        <v>189.99999999999773</v>
      </c>
      <c r="AU27" s="58">
        <v>348.21</v>
      </c>
      <c r="AV27" s="65">
        <f t="shared" si="72"/>
        <v>159.99999999996817</v>
      </c>
      <c r="AW27" s="58">
        <v>377.75</v>
      </c>
      <c r="AX27" s="65">
        <f t="shared" si="73"/>
        <v>160.00000000002501</v>
      </c>
      <c r="AY27" s="58">
        <v>410.74</v>
      </c>
      <c r="AZ27" s="65">
        <f t="shared" si="74"/>
        <v>129.99999999999545</v>
      </c>
      <c r="BA27" s="58">
        <v>431.26</v>
      </c>
      <c r="BB27" s="65">
        <f t="shared" si="75"/>
        <v>120.00000000000455</v>
      </c>
      <c r="BC27" s="58">
        <v>276.89999999999998</v>
      </c>
      <c r="BD27" s="65">
        <f t="shared" si="76"/>
        <v>69.999999999993179</v>
      </c>
      <c r="BE27" s="59">
        <v>51462</v>
      </c>
      <c r="BF27" s="67">
        <f t="shared" si="77"/>
        <v>26</v>
      </c>
      <c r="BG27" s="60">
        <v>248.55</v>
      </c>
      <c r="BH27" s="65">
        <f t="shared" si="78"/>
        <v>30.000000000001137</v>
      </c>
      <c r="BI27" s="60">
        <v>303.27</v>
      </c>
      <c r="BJ27" s="65">
        <f t="shared" si="79"/>
        <v>29.999999999972715</v>
      </c>
      <c r="BK27" s="60">
        <v>252.03</v>
      </c>
      <c r="BL27" s="65">
        <f t="shared" si="80"/>
        <v>60.000000000002274</v>
      </c>
      <c r="BM27" s="60">
        <v>238.2</v>
      </c>
      <c r="BN27" s="65">
        <f t="shared" si="81"/>
        <v>39.999999999992042</v>
      </c>
      <c r="BO27" s="60">
        <v>306.07</v>
      </c>
      <c r="BP27" s="65">
        <f t="shared" si="82"/>
        <v>60.000000000002274</v>
      </c>
      <c r="BQ27" s="60">
        <v>56700</v>
      </c>
      <c r="BR27" s="65">
        <f t="shared" si="83"/>
        <v>36</v>
      </c>
      <c r="BS27" s="60">
        <v>215.83</v>
      </c>
      <c r="BT27" s="65">
        <f t="shared" si="84"/>
        <v>40.000000000020464</v>
      </c>
      <c r="BU27" s="60">
        <v>54310</v>
      </c>
      <c r="BV27" s="65">
        <f t="shared" si="85"/>
        <v>44</v>
      </c>
      <c r="BW27" s="60">
        <v>244.06</v>
      </c>
      <c r="BX27" s="65">
        <f t="shared" si="86"/>
        <v>39.999999999992042</v>
      </c>
      <c r="BY27" s="60">
        <v>73975</v>
      </c>
      <c r="BZ27" s="67">
        <f t="shared" si="87"/>
        <v>44</v>
      </c>
      <c r="CA27" s="60">
        <v>48343.5</v>
      </c>
      <c r="CB27" s="67">
        <f t="shared" si="88"/>
        <v>38.80000000000291</v>
      </c>
      <c r="CC27" s="60">
        <v>15724.1</v>
      </c>
      <c r="CD27" s="67">
        <f t="shared" si="89"/>
        <v>10.899999999999636</v>
      </c>
      <c r="CE27" s="60">
        <v>8140.2</v>
      </c>
      <c r="CF27" s="67">
        <f t="shared" si="90"/>
        <v>2.0999999999994543</v>
      </c>
      <c r="CG27" s="60">
        <v>74629.8</v>
      </c>
      <c r="CH27" s="67">
        <f t="shared" si="91"/>
        <v>48</v>
      </c>
      <c r="CI27" s="60">
        <v>1047339</v>
      </c>
      <c r="CJ27" s="67">
        <f t="shared" si="92"/>
        <v>302</v>
      </c>
      <c r="CK27" s="60">
        <v>994.59</v>
      </c>
      <c r="CL27" s="64">
        <f t="shared" si="93"/>
        <v>860.00000000001364</v>
      </c>
      <c r="CM27" s="65">
        <f t="shared" si="94"/>
        <v>94</v>
      </c>
      <c r="CN27" s="62">
        <v>25</v>
      </c>
      <c r="CO27" s="62">
        <v>50</v>
      </c>
      <c r="CP27" s="68">
        <v>30790</v>
      </c>
      <c r="CQ27" s="67">
        <f t="shared" si="97"/>
        <v>76</v>
      </c>
      <c r="CR27" s="68">
        <v>21614</v>
      </c>
      <c r="CS27" s="67">
        <f t="shared" si="45"/>
        <v>18</v>
      </c>
      <c r="CT27" s="75">
        <v>10215</v>
      </c>
      <c r="CU27" s="67">
        <f t="shared" si="47"/>
        <v>20</v>
      </c>
      <c r="CV27" s="68">
        <v>24412</v>
      </c>
      <c r="CW27" s="67">
        <f t="shared" si="95"/>
        <v>25</v>
      </c>
      <c r="CX27" s="58">
        <v>3037.4</v>
      </c>
      <c r="CY27" s="67">
        <f t="shared" si="96"/>
        <v>11.900000000000091</v>
      </c>
    </row>
    <row r="28" spans="1:103" ht="25.5" customHeight="1" thickBot="1" x14ac:dyDescent="0.45">
      <c r="A28" s="63">
        <v>44706</v>
      </c>
      <c r="B28" s="44"/>
      <c r="C28" s="58"/>
      <c r="D28" s="64" t="str">
        <f t="shared" si="50"/>
        <v>0</v>
      </c>
      <c r="E28" s="58"/>
      <c r="F28" s="64" t="str">
        <f t="shared" si="51"/>
        <v>0</v>
      </c>
      <c r="G28" s="58"/>
      <c r="H28" s="64" t="str">
        <f t="shared" si="52"/>
        <v>0</v>
      </c>
      <c r="I28" s="58"/>
      <c r="J28" s="64" t="str">
        <f t="shared" si="53"/>
        <v>0</v>
      </c>
      <c r="K28" s="58"/>
      <c r="L28" s="64" t="str">
        <f t="shared" si="54"/>
        <v>0</v>
      </c>
      <c r="M28" s="58"/>
      <c r="N28" s="64" t="str">
        <f t="shared" si="55"/>
        <v/>
      </c>
      <c r="O28" s="58"/>
      <c r="P28" s="67" t="str">
        <f t="shared" si="56"/>
        <v/>
      </c>
      <c r="Q28" s="58"/>
      <c r="R28" s="67" t="str">
        <f t="shared" si="57"/>
        <v/>
      </c>
      <c r="S28" s="58"/>
      <c r="T28" s="67" t="str">
        <f t="shared" si="58"/>
        <v/>
      </c>
      <c r="U28" s="58"/>
      <c r="V28" s="67" t="str">
        <f t="shared" si="59"/>
        <v/>
      </c>
      <c r="W28" s="58"/>
      <c r="X28" s="65" t="str">
        <f t="shared" si="60"/>
        <v/>
      </c>
      <c r="Y28" s="58"/>
      <c r="Z28" s="65" t="str">
        <f t="shared" si="61"/>
        <v/>
      </c>
      <c r="AA28" s="58"/>
      <c r="AB28" s="65" t="str">
        <f t="shared" si="62"/>
        <v/>
      </c>
      <c r="AC28" s="58"/>
      <c r="AD28" s="65" t="str">
        <f t="shared" si="63"/>
        <v/>
      </c>
      <c r="AE28" s="58"/>
      <c r="AF28" s="65" t="str">
        <f t="shared" si="64"/>
        <v/>
      </c>
      <c r="AG28" s="58"/>
      <c r="AH28" s="67" t="str">
        <f t="shared" si="65"/>
        <v/>
      </c>
      <c r="AI28" s="58"/>
      <c r="AJ28" s="65" t="str">
        <f t="shared" si="66"/>
        <v/>
      </c>
      <c r="AK28" s="58"/>
      <c r="AL28" s="65" t="str">
        <f t="shared" si="67"/>
        <v/>
      </c>
      <c r="AM28" s="58"/>
      <c r="AN28" s="65" t="str">
        <f t="shared" si="68"/>
        <v/>
      </c>
      <c r="AO28" s="58"/>
      <c r="AP28" s="65" t="str">
        <f t="shared" si="69"/>
        <v/>
      </c>
      <c r="AQ28" s="58"/>
      <c r="AR28" s="65" t="str">
        <f t="shared" si="70"/>
        <v/>
      </c>
      <c r="AS28" s="58"/>
      <c r="AT28" s="65" t="str">
        <f t="shared" si="71"/>
        <v/>
      </c>
      <c r="AU28" s="58"/>
      <c r="AV28" s="65" t="str">
        <f t="shared" si="72"/>
        <v/>
      </c>
      <c r="AW28" s="58"/>
      <c r="AX28" s="65" t="str">
        <f t="shared" si="73"/>
        <v/>
      </c>
      <c r="AY28" s="58"/>
      <c r="AZ28" s="65" t="str">
        <f t="shared" si="74"/>
        <v/>
      </c>
      <c r="BA28" s="58"/>
      <c r="BB28" s="65" t="str">
        <f t="shared" si="75"/>
        <v/>
      </c>
      <c r="BC28" s="58"/>
      <c r="BD28" s="65" t="str">
        <f t="shared" si="76"/>
        <v/>
      </c>
      <c r="BE28" s="59"/>
      <c r="BF28" s="67" t="str">
        <f t="shared" si="77"/>
        <v/>
      </c>
      <c r="BG28" s="60"/>
      <c r="BH28" s="65" t="str">
        <f t="shared" si="78"/>
        <v/>
      </c>
      <c r="BI28" s="60"/>
      <c r="BJ28" s="65" t="str">
        <f t="shared" si="79"/>
        <v/>
      </c>
      <c r="BK28" s="60"/>
      <c r="BL28" s="65" t="str">
        <f t="shared" si="80"/>
        <v/>
      </c>
      <c r="BM28" s="60"/>
      <c r="BN28" s="65" t="str">
        <f t="shared" si="81"/>
        <v/>
      </c>
      <c r="BO28" s="60"/>
      <c r="BP28" s="65" t="str">
        <f t="shared" si="82"/>
        <v/>
      </c>
      <c r="BQ28" s="60"/>
      <c r="BR28" s="65" t="str">
        <f t="shared" si="83"/>
        <v/>
      </c>
      <c r="BS28" s="60"/>
      <c r="BT28" s="65" t="str">
        <f t="shared" si="84"/>
        <v/>
      </c>
      <c r="BU28" s="60"/>
      <c r="BV28" s="65" t="str">
        <f t="shared" si="85"/>
        <v/>
      </c>
      <c r="BW28" s="60"/>
      <c r="BX28" s="65" t="str">
        <f t="shared" si="86"/>
        <v/>
      </c>
      <c r="BY28" s="60"/>
      <c r="BZ28" s="67" t="str">
        <f t="shared" si="87"/>
        <v/>
      </c>
      <c r="CA28" s="60"/>
      <c r="CB28" s="67" t="str">
        <f t="shared" si="88"/>
        <v/>
      </c>
      <c r="CC28" s="60"/>
      <c r="CD28" s="67" t="str">
        <f t="shared" si="89"/>
        <v/>
      </c>
      <c r="CE28" s="60"/>
      <c r="CF28" s="67" t="str">
        <f t="shared" si="90"/>
        <v/>
      </c>
      <c r="CG28" s="60"/>
      <c r="CH28" s="67" t="str">
        <f t="shared" si="91"/>
        <v/>
      </c>
      <c r="CI28" s="60"/>
      <c r="CJ28" s="67" t="str">
        <f t="shared" si="92"/>
        <v/>
      </c>
      <c r="CK28" s="60"/>
      <c r="CL28" s="64" t="str">
        <f t="shared" si="93"/>
        <v/>
      </c>
      <c r="CM28" s="65" t="e">
        <f t="shared" si="94"/>
        <v>#VALUE!</v>
      </c>
      <c r="CN28" s="62"/>
      <c r="CO28" s="62"/>
      <c r="CP28" s="68"/>
      <c r="CQ28" s="67" t="str">
        <f t="shared" si="97"/>
        <v/>
      </c>
      <c r="CR28" s="68"/>
      <c r="CS28" s="67" t="str">
        <f t="shared" si="45"/>
        <v/>
      </c>
      <c r="CT28" s="75"/>
      <c r="CU28" s="67" t="str">
        <f t="shared" si="47"/>
        <v/>
      </c>
      <c r="CV28" s="68"/>
      <c r="CW28" s="67" t="str">
        <f t="shared" si="95"/>
        <v/>
      </c>
      <c r="CX28" s="58"/>
      <c r="CY28" s="67" t="str">
        <f t="shared" si="96"/>
        <v/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F35" sqref="F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>
        <v>0</v>
      </c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>
        <v>0</v>
      </c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>
        <v>0</v>
      </c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>
        <v>0</v>
      </c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>
        <v>0</v>
      </c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2212</v>
      </c>
      <c r="I22" s="41">
        <v>85</v>
      </c>
      <c r="J22" s="41">
        <v>628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2212</v>
      </c>
      <c r="I23" s="41">
        <v>85</v>
      </c>
      <c r="J23" s="41">
        <v>631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>
        <v>0</v>
      </c>
      <c r="C24" s="40">
        <v>38</v>
      </c>
      <c r="D24" s="40">
        <v>80</v>
      </c>
      <c r="E24" s="41">
        <v>85</v>
      </c>
      <c r="F24" s="41">
        <v>6834</v>
      </c>
      <c r="G24" s="41">
        <v>19</v>
      </c>
      <c r="H24" s="41">
        <v>2212</v>
      </c>
      <c r="I24" s="41">
        <v>85</v>
      </c>
      <c r="J24" s="41">
        <v>634</v>
      </c>
      <c r="K24" s="42">
        <v>85</v>
      </c>
      <c r="L24" s="42">
        <v>18</v>
      </c>
      <c r="M24" s="42">
        <v>1760</v>
      </c>
      <c r="N24" s="39">
        <v>85</v>
      </c>
      <c r="O24" s="39">
        <v>74</v>
      </c>
      <c r="P24" s="39">
        <v>85</v>
      </c>
      <c r="Q24" s="39">
        <v>5002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44699</v>
      </c>
      <c r="B25" s="40">
        <v>0</v>
      </c>
      <c r="C25" s="40">
        <v>40</v>
      </c>
      <c r="D25" s="40">
        <v>87</v>
      </c>
      <c r="E25" s="41">
        <v>85</v>
      </c>
      <c r="F25" s="41">
        <v>6834</v>
      </c>
      <c r="G25" s="41">
        <v>8</v>
      </c>
      <c r="H25" s="41">
        <v>2212</v>
      </c>
      <c r="I25" s="41">
        <v>85</v>
      </c>
      <c r="J25" s="41">
        <v>637</v>
      </c>
      <c r="K25" s="42">
        <v>85</v>
      </c>
      <c r="L25" s="42">
        <v>15</v>
      </c>
      <c r="M25" s="42">
        <v>1761</v>
      </c>
      <c r="N25" s="39">
        <v>85</v>
      </c>
      <c r="O25" s="39">
        <v>69</v>
      </c>
      <c r="P25" s="39">
        <v>85</v>
      </c>
      <c r="Q25" s="39">
        <v>5006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44700</v>
      </c>
      <c r="B26" s="40">
        <v>0</v>
      </c>
      <c r="C26" s="40">
        <v>40</v>
      </c>
      <c r="D26" s="40">
        <v>87</v>
      </c>
      <c r="E26" s="41">
        <v>76</v>
      </c>
      <c r="F26" s="41">
        <v>6834</v>
      </c>
      <c r="G26" s="41">
        <v>8</v>
      </c>
      <c r="H26" s="41">
        <v>2212</v>
      </c>
      <c r="I26" s="41">
        <v>85</v>
      </c>
      <c r="J26" s="41">
        <v>639</v>
      </c>
      <c r="K26" s="42">
        <v>85</v>
      </c>
      <c r="L26" s="42">
        <v>15</v>
      </c>
      <c r="M26" s="42">
        <v>1763</v>
      </c>
      <c r="N26" s="39">
        <v>85</v>
      </c>
      <c r="O26" s="39">
        <v>65</v>
      </c>
      <c r="P26" s="39">
        <v>85</v>
      </c>
      <c r="Q26" s="39">
        <v>5008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44701</v>
      </c>
      <c r="B27" s="40">
        <v>0</v>
      </c>
      <c r="C27" s="40">
        <v>27</v>
      </c>
      <c r="D27" s="40">
        <v>57</v>
      </c>
      <c r="E27" s="41">
        <v>62</v>
      </c>
      <c r="F27" s="41">
        <v>6834</v>
      </c>
      <c r="G27" s="41">
        <v>8</v>
      </c>
      <c r="H27" s="41">
        <v>2212</v>
      </c>
      <c r="I27" s="41">
        <v>85</v>
      </c>
      <c r="J27" s="41">
        <v>642</v>
      </c>
      <c r="K27" s="42">
        <v>85</v>
      </c>
      <c r="L27" s="42">
        <v>12</v>
      </c>
      <c r="M27" s="42">
        <v>1765</v>
      </c>
      <c r="N27" s="39">
        <v>85</v>
      </c>
      <c r="O27" s="39">
        <v>60</v>
      </c>
      <c r="P27" s="39">
        <v>85</v>
      </c>
      <c r="Q27" s="39">
        <v>5017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44702</v>
      </c>
      <c r="B28" s="40">
        <v>0</v>
      </c>
      <c r="C28" s="40">
        <v>27</v>
      </c>
      <c r="D28" s="40">
        <v>57</v>
      </c>
      <c r="E28" s="41">
        <v>45</v>
      </c>
      <c r="F28" s="41">
        <v>6834</v>
      </c>
      <c r="G28" s="41">
        <v>7</v>
      </c>
      <c r="H28" s="41">
        <v>2212</v>
      </c>
      <c r="I28" s="41">
        <v>85</v>
      </c>
      <c r="J28" s="41">
        <v>646</v>
      </c>
      <c r="K28" s="42">
        <v>85</v>
      </c>
      <c r="L28" s="42">
        <v>10</v>
      </c>
      <c r="M28" s="42">
        <v>1765</v>
      </c>
      <c r="N28" s="39">
        <v>85</v>
      </c>
      <c r="O28" s="39">
        <v>60</v>
      </c>
      <c r="P28" s="39">
        <v>85</v>
      </c>
      <c r="Q28" s="39">
        <v>5017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>
        <v>30</v>
      </c>
      <c r="F29" s="41">
        <v>6834</v>
      </c>
      <c r="G29" s="41">
        <v>7</v>
      </c>
      <c r="H29" s="41">
        <v>2212</v>
      </c>
      <c r="I29" s="41">
        <v>85</v>
      </c>
      <c r="J29" s="41">
        <v>649</v>
      </c>
      <c r="K29" s="42">
        <v>85</v>
      </c>
      <c r="L29" s="42">
        <v>10</v>
      </c>
      <c r="M29" s="42">
        <v>1768</v>
      </c>
      <c r="N29" s="39">
        <v>85</v>
      </c>
      <c r="O29" s="39">
        <v>45</v>
      </c>
      <c r="P29" s="39">
        <v>85</v>
      </c>
      <c r="Q29" s="39">
        <v>5022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44704</v>
      </c>
      <c r="B30" s="40"/>
      <c r="C30" s="40">
        <v>35</v>
      </c>
      <c r="D30" s="40">
        <v>69</v>
      </c>
      <c r="E30" s="41">
        <v>20</v>
      </c>
      <c r="F30" s="41">
        <v>6834</v>
      </c>
      <c r="G30" s="41">
        <v>7</v>
      </c>
      <c r="H30" s="41">
        <v>2212</v>
      </c>
      <c r="I30" s="41">
        <v>85</v>
      </c>
      <c r="J30" s="41">
        <v>650</v>
      </c>
      <c r="K30" s="42">
        <v>85</v>
      </c>
      <c r="L30" s="42">
        <v>7</v>
      </c>
      <c r="M30" s="42">
        <v>1770</v>
      </c>
      <c r="N30" s="39">
        <v>85</v>
      </c>
      <c r="O30" s="39">
        <v>45</v>
      </c>
      <c r="P30" s="39">
        <v>85</v>
      </c>
      <c r="Q30" s="39">
        <v>5024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44705</v>
      </c>
      <c r="B31" s="40"/>
      <c r="C31" s="40">
        <v>25</v>
      </c>
      <c r="D31" s="40">
        <v>50</v>
      </c>
      <c r="E31" s="41">
        <v>10</v>
      </c>
      <c r="F31" s="41">
        <v>6834</v>
      </c>
      <c r="G31" s="41">
        <v>7</v>
      </c>
      <c r="H31" s="41">
        <v>2212</v>
      </c>
      <c r="I31" s="41">
        <v>85</v>
      </c>
      <c r="J31" s="41">
        <v>654</v>
      </c>
      <c r="K31" s="42">
        <v>85</v>
      </c>
      <c r="L31" s="42">
        <v>7</v>
      </c>
      <c r="M31" s="42">
        <v>1770</v>
      </c>
      <c r="N31" s="39">
        <v>85</v>
      </c>
      <c r="O31" s="39">
        <v>42</v>
      </c>
      <c r="P31" s="39">
        <v>85</v>
      </c>
      <c r="Q31" s="39">
        <v>5027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-227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2022-05-25T19:06:59Z</dcterms:modified>
</cp:coreProperties>
</file>