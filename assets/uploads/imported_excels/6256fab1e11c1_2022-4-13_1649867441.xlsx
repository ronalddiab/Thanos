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3" documentId="11_8F4E39668D1FDFBE3317906E85B1B5ADC15C4B86" xr6:coauthVersionLast="47" xr6:coauthVersionMax="47" xr10:uidLastSave="{DB1A56E8-70B3-466E-ABBB-F0DCEF4698F8}"/>
  <bookViews>
    <workbookView xWindow="0" yWindow="0" windowWidth="28800" windowHeight="12435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</sheets>
  <externalReferences>
    <externalReference r:id="rId11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2" i="1"/>
  <c r="G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16" i="12" l="1"/>
  <c r="DJ61" i="6"/>
  <c r="DI61" i="6"/>
  <c r="DF61" i="6"/>
  <c r="CY61" i="6"/>
  <c r="CZ61" i="6" s="1"/>
  <c r="CW61" i="6"/>
  <c r="CT61" i="6"/>
  <c r="CU61" i="6" s="1"/>
  <c r="CR61" i="6"/>
  <c r="CN61" i="6"/>
  <c r="CK61" i="6"/>
  <c r="CL61" i="6" s="1"/>
  <c r="CI61" i="6"/>
  <c r="CE61" i="6"/>
  <c r="CF61" i="6" s="1"/>
  <c r="CC61" i="6"/>
  <c r="BZ61" i="6"/>
  <c r="BV61" i="6"/>
  <c r="BR61" i="6"/>
  <c r="BP61" i="6"/>
  <c r="BQ61" i="6" s="1"/>
  <c r="DE61" i="6" s="1"/>
  <c r="BN61" i="6"/>
  <c r="BK61" i="6"/>
  <c r="BL61" i="6" s="1"/>
  <c r="BI61" i="6"/>
  <c r="BF61" i="6"/>
  <c r="BD61" i="6"/>
  <c r="BB61" i="6"/>
  <c r="AY61" i="6"/>
  <c r="AW61" i="6"/>
  <c r="AZ61" i="6" s="1"/>
  <c r="AT61" i="6"/>
  <c r="AR61" i="6"/>
  <c r="AP61" i="6"/>
  <c r="AN61" i="6"/>
  <c r="AL61" i="6"/>
  <c r="AJ61" i="6"/>
  <c r="AH61" i="6"/>
  <c r="AF61" i="6"/>
  <c r="AD61" i="6"/>
  <c r="AB61" i="6"/>
  <c r="X61" i="6"/>
  <c r="U61" i="6"/>
  <c r="Y61" i="6" s="1"/>
  <c r="Q61" i="6"/>
  <c r="N61" i="6"/>
  <c r="K61" i="6"/>
  <c r="H61" i="6"/>
  <c r="E61" i="6"/>
  <c r="CW60" i="6"/>
  <c r="CR60" i="6"/>
  <c r="CN60" i="6"/>
  <c r="CI60" i="6"/>
  <c r="CC60" i="6"/>
  <c r="BV60" i="6"/>
  <c r="BR60" i="6"/>
  <c r="BN60" i="6"/>
  <c r="BI60" i="6"/>
  <c r="BF60" i="6"/>
  <c r="BD60" i="6"/>
  <c r="BB60" i="6"/>
  <c r="AY60" i="6"/>
  <c r="AW60" i="6"/>
  <c r="AZ60" i="6" s="1"/>
  <c r="AT60" i="6"/>
  <c r="AR60" i="6"/>
  <c r="AP60" i="6"/>
  <c r="AN60" i="6"/>
  <c r="AL60" i="6"/>
  <c r="AJ60" i="6"/>
  <c r="AH60" i="6"/>
  <c r="AF60" i="6"/>
  <c r="AD60" i="6"/>
  <c r="AB60" i="6"/>
  <c r="X60" i="6"/>
  <c r="U60" i="6"/>
  <c r="Y60" i="6" s="1"/>
  <c r="Q60" i="6"/>
  <c r="N60" i="6"/>
  <c r="K60" i="6"/>
  <c r="H60" i="6"/>
  <c r="E60" i="6"/>
  <c r="CW59" i="6"/>
  <c r="CR59" i="6"/>
  <c r="CN59" i="6"/>
  <c r="CI59" i="6"/>
  <c r="CC59" i="6"/>
  <c r="BV59" i="6"/>
  <c r="BR59" i="6"/>
  <c r="BN59" i="6"/>
  <c r="BI59" i="6"/>
  <c r="BF59" i="6"/>
  <c r="BD59" i="6"/>
  <c r="BB59" i="6"/>
  <c r="AY59" i="6"/>
  <c r="AW59" i="6"/>
  <c r="AZ59" i="6" s="1"/>
  <c r="AT59" i="6"/>
  <c r="AR59" i="6"/>
  <c r="AP59" i="6"/>
  <c r="AN59" i="6"/>
  <c r="AL59" i="6"/>
  <c r="AJ59" i="6"/>
  <c r="AH59" i="6"/>
  <c r="AF59" i="6"/>
  <c r="AD59" i="6"/>
  <c r="AB59" i="6"/>
  <c r="X59" i="6"/>
  <c r="U59" i="6"/>
  <c r="Y59" i="6" s="1"/>
  <c r="Q59" i="6"/>
  <c r="N59" i="6"/>
  <c r="K59" i="6"/>
  <c r="H59" i="6"/>
  <c r="E59" i="6"/>
  <c r="DC61" i="6" s="1"/>
  <c r="CW58" i="6"/>
  <c r="CR58" i="6"/>
  <c r="CN58" i="6"/>
  <c r="CI58" i="6"/>
  <c r="CC58" i="6"/>
  <c r="BV58" i="6"/>
  <c r="BR58" i="6"/>
  <c r="BN58" i="6"/>
  <c r="BI58" i="6"/>
  <c r="BF58" i="6"/>
  <c r="BD58" i="6"/>
  <c r="BB58" i="6"/>
  <c r="AY58" i="6"/>
  <c r="AW58" i="6"/>
  <c r="AZ58" i="6" s="1"/>
  <c r="AT58" i="6"/>
  <c r="AR58" i="6"/>
  <c r="AP58" i="6"/>
  <c r="AN58" i="6"/>
  <c r="AL58" i="6"/>
  <c r="AJ58" i="6"/>
  <c r="AH58" i="6"/>
  <c r="AF58" i="6"/>
  <c r="AD58" i="6"/>
  <c r="AB58" i="6"/>
  <c r="X58" i="6"/>
  <c r="U58" i="6"/>
  <c r="Y58" i="6" s="1"/>
  <c r="Q58" i="6"/>
  <c r="N58" i="6"/>
  <c r="K58" i="6"/>
  <c r="H58" i="6"/>
  <c r="E58" i="6"/>
  <c r="CW57" i="6"/>
  <c r="CR57" i="6"/>
  <c r="CN57" i="6"/>
  <c r="CI57" i="6"/>
  <c r="CC57" i="6"/>
  <c r="BV57" i="6"/>
  <c r="BR57" i="6"/>
  <c r="BN57" i="6"/>
  <c r="BI57" i="6"/>
  <c r="BF57" i="6"/>
  <c r="BD57" i="6"/>
  <c r="BB57" i="6"/>
  <c r="AY57" i="6"/>
  <c r="AW57" i="6"/>
  <c r="AZ57" i="6" s="1"/>
  <c r="AT57" i="6"/>
  <c r="AR57" i="6"/>
  <c r="AP57" i="6"/>
  <c r="AN57" i="6"/>
  <c r="AL57" i="6"/>
  <c r="AJ57" i="6"/>
  <c r="AH57" i="6"/>
  <c r="AF57" i="6"/>
  <c r="AD57" i="6"/>
  <c r="AB57" i="6"/>
  <c r="X57" i="6"/>
  <c r="U57" i="6"/>
  <c r="Y57" i="6" s="1"/>
  <c r="Q57" i="6"/>
  <c r="N57" i="6"/>
  <c r="K57" i="6"/>
  <c r="H57" i="6"/>
  <c r="E57" i="6"/>
  <c r="DJ56" i="6"/>
  <c r="DI56" i="6"/>
  <c r="DF56" i="6"/>
  <c r="CY56" i="6"/>
  <c r="CZ56" i="6" s="1"/>
  <c r="CW56" i="6"/>
  <c r="CT56" i="6"/>
  <c r="CU56" i="6" s="1"/>
  <c r="CR56" i="6"/>
  <c r="CN56" i="6"/>
  <c r="CK56" i="6"/>
  <c r="CL56" i="6" s="1"/>
  <c r="CI56" i="6"/>
  <c r="CE56" i="6"/>
  <c r="CF56" i="6" s="1"/>
  <c r="CC56" i="6"/>
  <c r="BZ56" i="6"/>
  <c r="BV56" i="6"/>
  <c r="BR56" i="6"/>
  <c r="BP56" i="6"/>
  <c r="BQ56" i="6" s="1"/>
  <c r="DE56" i="6" s="1"/>
  <c r="BN56" i="6"/>
  <c r="BK56" i="6"/>
  <c r="BL56" i="6" s="1"/>
  <c r="BI56" i="6"/>
  <c r="BF56" i="6"/>
  <c r="BD56" i="6"/>
  <c r="BB56" i="6"/>
  <c r="AY56" i="6"/>
  <c r="AW56" i="6"/>
  <c r="AZ56" i="6" s="1"/>
  <c r="AT56" i="6"/>
  <c r="AR56" i="6"/>
  <c r="AP56" i="6"/>
  <c r="AN56" i="6"/>
  <c r="AL56" i="6"/>
  <c r="AJ56" i="6"/>
  <c r="AH56" i="6"/>
  <c r="AF56" i="6"/>
  <c r="AD56" i="6"/>
  <c r="AB56" i="6"/>
  <c r="X56" i="6"/>
  <c r="U56" i="6"/>
  <c r="Y56" i="6" s="1"/>
  <c r="Q56" i="6"/>
  <c r="N56" i="6"/>
  <c r="K56" i="6"/>
  <c r="H56" i="6"/>
  <c r="E56" i="6"/>
  <c r="CW55" i="6"/>
  <c r="CR55" i="6"/>
  <c r="CN55" i="6"/>
  <c r="CI55" i="6"/>
  <c r="CC55" i="6"/>
  <c r="BV55" i="6"/>
  <c r="BR55" i="6"/>
  <c r="BN55" i="6"/>
  <c r="BI55" i="6"/>
  <c r="BF55" i="6"/>
  <c r="BD55" i="6"/>
  <c r="BB55" i="6"/>
  <c r="AY55" i="6"/>
  <c r="AW55" i="6"/>
  <c r="AT55" i="6"/>
  <c r="AR55" i="6"/>
  <c r="AP55" i="6"/>
  <c r="AN55" i="6"/>
  <c r="AL55" i="6"/>
  <c r="AJ55" i="6"/>
  <c r="AH55" i="6"/>
  <c r="AF55" i="6"/>
  <c r="AD55" i="6"/>
  <c r="AB55" i="6"/>
  <c r="X55" i="6"/>
  <c r="U55" i="6"/>
  <c r="Q55" i="6"/>
  <c r="N55" i="6"/>
  <c r="K55" i="6"/>
  <c r="H55" i="6"/>
  <c r="E55" i="6"/>
  <c r="CW54" i="6"/>
  <c r="CR54" i="6"/>
  <c r="CN54" i="6"/>
  <c r="CI54" i="6"/>
  <c r="CC54" i="6"/>
  <c r="BV54" i="6"/>
  <c r="BR54" i="6"/>
  <c r="BN54" i="6"/>
  <c r="BI54" i="6"/>
  <c r="BF54" i="6"/>
  <c r="BD54" i="6"/>
  <c r="BB54" i="6"/>
  <c r="AY54" i="6"/>
  <c r="AW54" i="6"/>
  <c r="AZ54" i="6" s="1"/>
  <c r="AT54" i="6"/>
  <c r="AR54" i="6"/>
  <c r="AP54" i="6"/>
  <c r="AN54" i="6"/>
  <c r="AL54" i="6"/>
  <c r="AJ54" i="6"/>
  <c r="AH54" i="6"/>
  <c r="AF54" i="6"/>
  <c r="AD54" i="6"/>
  <c r="AB54" i="6"/>
  <c r="X54" i="6"/>
  <c r="U54" i="6"/>
  <c r="Y54" i="6" s="1"/>
  <c r="Q54" i="6"/>
  <c r="N54" i="6"/>
  <c r="K54" i="6"/>
  <c r="H54" i="6"/>
  <c r="E54" i="6"/>
  <c r="DC56" i="6" s="1"/>
  <c r="CW53" i="6"/>
  <c r="CR53" i="6"/>
  <c r="CN53" i="6"/>
  <c r="CI53" i="6"/>
  <c r="CC53" i="6"/>
  <c r="BV53" i="6"/>
  <c r="BR53" i="6"/>
  <c r="BN53" i="6"/>
  <c r="BI53" i="6"/>
  <c r="BF53" i="6"/>
  <c r="BD53" i="6"/>
  <c r="BB53" i="6"/>
  <c r="AY53" i="6"/>
  <c r="AW53" i="6"/>
  <c r="AZ53" i="6" s="1"/>
  <c r="AT53" i="6"/>
  <c r="AR53" i="6"/>
  <c r="AP53" i="6"/>
  <c r="AN53" i="6"/>
  <c r="AL53" i="6"/>
  <c r="AJ53" i="6"/>
  <c r="AH53" i="6"/>
  <c r="AF53" i="6"/>
  <c r="AD53" i="6"/>
  <c r="AB53" i="6"/>
  <c r="X53" i="6"/>
  <c r="U53" i="6"/>
  <c r="Y53" i="6" s="1"/>
  <c r="Q53" i="6"/>
  <c r="N53" i="6"/>
  <c r="K53" i="6"/>
  <c r="H53" i="6"/>
  <c r="E53" i="6"/>
  <c r="CW52" i="6"/>
  <c r="CR52" i="6"/>
  <c r="CN52" i="6"/>
  <c r="CI52" i="6"/>
  <c r="CC52" i="6"/>
  <c r="BV52" i="6"/>
  <c r="BR52" i="6"/>
  <c r="BN52" i="6"/>
  <c r="BI52" i="6"/>
  <c r="BF52" i="6"/>
  <c r="BD52" i="6"/>
  <c r="BB52" i="6"/>
  <c r="AY52" i="6"/>
  <c r="AW52" i="6"/>
  <c r="AZ52" i="6" s="1"/>
  <c r="AT52" i="6"/>
  <c r="AR52" i="6"/>
  <c r="AP52" i="6"/>
  <c r="AN52" i="6"/>
  <c r="AL52" i="6"/>
  <c r="AJ52" i="6"/>
  <c r="AH52" i="6"/>
  <c r="AF52" i="6"/>
  <c r="AD52" i="6"/>
  <c r="AB52" i="6"/>
  <c r="X52" i="6"/>
  <c r="U52" i="6"/>
  <c r="Y52" i="6" s="1"/>
  <c r="Q52" i="6"/>
  <c r="N52" i="6"/>
  <c r="K52" i="6"/>
  <c r="H52" i="6"/>
  <c r="E52" i="6"/>
  <c r="DJ51" i="6"/>
  <c r="DI51" i="6"/>
  <c r="DF51" i="6"/>
  <c r="CY51" i="6"/>
  <c r="CZ51" i="6" s="1"/>
  <c r="CW51" i="6"/>
  <c r="CT51" i="6"/>
  <c r="CU51" i="6" s="1"/>
  <c r="CR51" i="6"/>
  <c r="CN51" i="6"/>
  <c r="CK51" i="6"/>
  <c r="CL51" i="6" s="1"/>
  <c r="CI51" i="6"/>
  <c r="CE51" i="6"/>
  <c r="CF51" i="6" s="1"/>
  <c r="CC51" i="6"/>
  <c r="BZ51" i="6"/>
  <c r="BV51" i="6"/>
  <c r="BR51" i="6"/>
  <c r="BP51" i="6"/>
  <c r="BQ51" i="6" s="1"/>
  <c r="BN51" i="6"/>
  <c r="BK51" i="6"/>
  <c r="BL51" i="6" s="1"/>
  <c r="BI51" i="6"/>
  <c r="BF51" i="6"/>
  <c r="BD51" i="6"/>
  <c r="BB51" i="6"/>
  <c r="AY51" i="6"/>
  <c r="AW51" i="6"/>
  <c r="AZ51" i="6" s="1"/>
  <c r="AT51" i="6"/>
  <c r="AR51" i="6"/>
  <c r="AP51" i="6"/>
  <c r="AN51" i="6"/>
  <c r="AL51" i="6"/>
  <c r="AJ51" i="6"/>
  <c r="AH51" i="6"/>
  <c r="AF51" i="6"/>
  <c r="AD51" i="6"/>
  <c r="AB51" i="6"/>
  <c r="X51" i="6"/>
  <c r="U51" i="6"/>
  <c r="Q51" i="6"/>
  <c r="N51" i="6"/>
  <c r="K51" i="6"/>
  <c r="H51" i="6"/>
  <c r="E51" i="6"/>
  <c r="CW50" i="6"/>
  <c r="CR50" i="6"/>
  <c r="CN50" i="6"/>
  <c r="CI50" i="6"/>
  <c r="CC50" i="6"/>
  <c r="BV50" i="6"/>
  <c r="BR50" i="6"/>
  <c r="BN50" i="6"/>
  <c r="BI50" i="6"/>
  <c r="BF50" i="6"/>
  <c r="BD50" i="6"/>
  <c r="BB50" i="6"/>
  <c r="AY50" i="6"/>
  <c r="AW50" i="6"/>
  <c r="AZ50" i="6" s="1"/>
  <c r="AT50" i="6"/>
  <c r="AR50" i="6"/>
  <c r="AP50" i="6"/>
  <c r="AN50" i="6"/>
  <c r="AL50" i="6"/>
  <c r="AJ50" i="6"/>
  <c r="AH50" i="6"/>
  <c r="AF50" i="6"/>
  <c r="AD50" i="6"/>
  <c r="AB50" i="6"/>
  <c r="X50" i="6"/>
  <c r="U50" i="6"/>
  <c r="Y50" i="6" s="1"/>
  <c r="Q50" i="6"/>
  <c r="N50" i="6"/>
  <c r="K50" i="6"/>
  <c r="H50" i="6"/>
  <c r="E50" i="6"/>
  <c r="CW49" i="6"/>
  <c r="CR49" i="6"/>
  <c r="CN49" i="6"/>
  <c r="CI49" i="6"/>
  <c r="CC49" i="6"/>
  <c r="BV49" i="6"/>
  <c r="BR49" i="6"/>
  <c r="BN49" i="6"/>
  <c r="BI49" i="6"/>
  <c r="BF49" i="6"/>
  <c r="BD49" i="6"/>
  <c r="BB49" i="6"/>
  <c r="AY49" i="6"/>
  <c r="AW49" i="6"/>
  <c r="AZ49" i="6" s="1"/>
  <c r="AT49" i="6"/>
  <c r="AR49" i="6"/>
  <c r="AP49" i="6"/>
  <c r="AN49" i="6"/>
  <c r="AL49" i="6"/>
  <c r="AJ49" i="6"/>
  <c r="AH49" i="6"/>
  <c r="AF49" i="6"/>
  <c r="AD49" i="6"/>
  <c r="AB49" i="6"/>
  <c r="X49" i="6"/>
  <c r="U49" i="6"/>
  <c r="Y49" i="6" s="1"/>
  <c r="Q49" i="6"/>
  <c r="N49" i="6"/>
  <c r="K49" i="6"/>
  <c r="H49" i="6"/>
  <c r="E49" i="6"/>
  <c r="DC51" i="6" s="1"/>
  <c r="CW48" i="6"/>
  <c r="CR48" i="6"/>
  <c r="CN48" i="6"/>
  <c r="CI48" i="6"/>
  <c r="CC48" i="6"/>
  <c r="BV48" i="6"/>
  <c r="BR48" i="6"/>
  <c r="BN48" i="6"/>
  <c r="BI48" i="6"/>
  <c r="BF48" i="6"/>
  <c r="BD48" i="6"/>
  <c r="BB48" i="6"/>
  <c r="AY48" i="6"/>
  <c r="AW48" i="6"/>
  <c r="AZ48" i="6" s="1"/>
  <c r="AT48" i="6"/>
  <c r="AR48" i="6"/>
  <c r="AP48" i="6"/>
  <c r="AN48" i="6"/>
  <c r="AL48" i="6"/>
  <c r="AJ48" i="6"/>
  <c r="AH48" i="6"/>
  <c r="AF48" i="6"/>
  <c r="AD48" i="6"/>
  <c r="AB48" i="6"/>
  <c r="X48" i="6"/>
  <c r="U48" i="6"/>
  <c r="Q48" i="6"/>
  <c r="N48" i="6"/>
  <c r="K48" i="6"/>
  <c r="H48" i="6"/>
  <c r="E48" i="6"/>
  <c r="CW47" i="6"/>
  <c r="CR47" i="6"/>
  <c r="CN47" i="6"/>
  <c r="CI47" i="6"/>
  <c r="CC47" i="6"/>
  <c r="BV47" i="6"/>
  <c r="BR47" i="6"/>
  <c r="BN47" i="6"/>
  <c r="BI47" i="6"/>
  <c r="BF47" i="6"/>
  <c r="BD47" i="6"/>
  <c r="BB47" i="6"/>
  <c r="AY47" i="6"/>
  <c r="AW47" i="6"/>
  <c r="AZ47" i="6" s="1"/>
  <c r="AT47" i="6"/>
  <c r="AR47" i="6"/>
  <c r="AP47" i="6"/>
  <c r="AN47" i="6"/>
  <c r="AL47" i="6"/>
  <c r="AJ47" i="6"/>
  <c r="AH47" i="6"/>
  <c r="AF47" i="6"/>
  <c r="AD47" i="6"/>
  <c r="AB47" i="6"/>
  <c r="X47" i="6"/>
  <c r="U47" i="6"/>
  <c r="Y47" i="6" s="1"/>
  <c r="Q47" i="6"/>
  <c r="N47" i="6"/>
  <c r="K47" i="6"/>
  <c r="H47" i="6"/>
  <c r="E47" i="6"/>
  <c r="DJ46" i="6"/>
  <c r="DI46" i="6"/>
  <c r="DF46" i="6"/>
  <c r="CY46" i="6"/>
  <c r="CZ46" i="6" s="1"/>
  <c r="CW46" i="6"/>
  <c r="CT46" i="6"/>
  <c r="CU46" i="6" s="1"/>
  <c r="CR46" i="6"/>
  <c r="CN46" i="6"/>
  <c r="CK46" i="6"/>
  <c r="CL46" i="6" s="1"/>
  <c r="CI46" i="6"/>
  <c r="CE46" i="6"/>
  <c r="CF46" i="6" s="1"/>
  <c r="CC46" i="6"/>
  <c r="BZ46" i="6"/>
  <c r="BV46" i="6"/>
  <c r="BR46" i="6"/>
  <c r="BP46" i="6"/>
  <c r="BQ46" i="6" s="1"/>
  <c r="BN46" i="6"/>
  <c r="BK46" i="6"/>
  <c r="BL46" i="6" s="1"/>
  <c r="DD46" i="6" s="1"/>
  <c r="DG46" i="6" s="1"/>
  <c r="BI46" i="6"/>
  <c r="BF46" i="6"/>
  <c r="BD46" i="6"/>
  <c r="BB46" i="6"/>
  <c r="AY46" i="6"/>
  <c r="AW46" i="6"/>
  <c r="AZ46" i="6" s="1"/>
  <c r="AT46" i="6"/>
  <c r="AR46" i="6"/>
  <c r="AP46" i="6"/>
  <c r="AN46" i="6"/>
  <c r="AL46" i="6"/>
  <c r="AJ46" i="6"/>
  <c r="AH46" i="6"/>
  <c r="AF46" i="6"/>
  <c r="AD46" i="6"/>
  <c r="AB46" i="6"/>
  <c r="X46" i="6"/>
  <c r="U46" i="6"/>
  <c r="Y46" i="6" s="1"/>
  <c r="Q46" i="6"/>
  <c r="N46" i="6"/>
  <c r="K46" i="6"/>
  <c r="H46" i="6"/>
  <c r="E46" i="6"/>
  <c r="CW45" i="6"/>
  <c r="CR45" i="6"/>
  <c r="CN45" i="6"/>
  <c r="CI45" i="6"/>
  <c r="CC45" i="6"/>
  <c r="BV45" i="6"/>
  <c r="BR45" i="6"/>
  <c r="BN45" i="6"/>
  <c r="BI45" i="6"/>
  <c r="BF45" i="6"/>
  <c r="BD45" i="6"/>
  <c r="BB45" i="6"/>
  <c r="AY45" i="6"/>
  <c r="AW45" i="6"/>
  <c r="AZ45" i="6" s="1"/>
  <c r="AT45" i="6"/>
  <c r="AR45" i="6"/>
  <c r="AP45" i="6"/>
  <c r="AN45" i="6"/>
  <c r="AL45" i="6"/>
  <c r="AJ45" i="6"/>
  <c r="AH45" i="6"/>
  <c r="AF45" i="6"/>
  <c r="AD45" i="6"/>
  <c r="AB45" i="6"/>
  <c r="X45" i="6"/>
  <c r="U45" i="6"/>
  <c r="Y45" i="6" s="1"/>
  <c r="Q45" i="6"/>
  <c r="N45" i="6"/>
  <c r="K45" i="6"/>
  <c r="H45" i="6"/>
  <c r="E45" i="6"/>
  <c r="CW44" i="6"/>
  <c r="CR44" i="6"/>
  <c r="CN44" i="6"/>
  <c r="CI44" i="6"/>
  <c r="CC44" i="6"/>
  <c r="BV44" i="6"/>
  <c r="BR44" i="6"/>
  <c r="BN44" i="6"/>
  <c r="BI44" i="6"/>
  <c r="BF44" i="6"/>
  <c r="BD44" i="6"/>
  <c r="BB44" i="6"/>
  <c r="AY44" i="6"/>
  <c r="AW44" i="6"/>
  <c r="AZ44" i="6" s="1"/>
  <c r="AT44" i="6"/>
  <c r="AR44" i="6"/>
  <c r="AP44" i="6"/>
  <c r="AN44" i="6"/>
  <c r="AL44" i="6"/>
  <c r="AJ44" i="6"/>
  <c r="AH44" i="6"/>
  <c r="AF44" i="6"/>
  <c r="AD44" i="6"/>
  <c r="AB44" i="6"/>
  <c r="X44" i="6"/>
  <c r="U44" i="6"/>
  <c r="Q44" i="6"/>
  <c r="N44" i="6"/>
  <c r="K44" i="6"/>
  <c r="H44" i="6"/>
  <c r="E44" i="6"/>
  <c r="DC46" i="6" s="1"/>
  <c r="CW43" i="6"/>
  <c r="CR43" i="6"/>
  <c r="CN43" i="6"/>
  <c r="CI43" i="6"/>
  <c r="CC43" i="6"/>
  <c r="BV43" i="6"/>
  <c r="BR43" i="6"/>
  <c r="BN43" i="6"/>
  <c r="BI43" i="6"/>
  <c r="BF43" i="6"/>
  <c r="BD43" i="6"/>
  <c r="BB43" i="6"/>
  <c r="AY43" i="6"/>
  <c r="AW43" i="6"/>
  <c r="AZ43" i="6" s="1"/>
  <c r="AT43" i="6"/>
  <c r="AR43" i="6"/>
  <c r="AP43" i="6"/>
  <c r="AN43" i="6"/>
  <c r="AL43" i="6"/>
  <c r="AJ43" i="6"/>
  <c r="AH43" i="6"/>
  <c r="AF43" i="6"/>
  <c r="AD43" i="6"/>
  <c r="AB43" i="6"/>
  <c r="X43" i="6"/>
  <c r="U43" i="6"/>
  <c r="Y43" i="6" s="1"/>
  <c r="Q43" i="6"/>
  <c r="N43" i="6"/>
  <c r="K43" i="6"/>
  <c r="H43" i="6"/>
  <c r="E43" i="6"/>
  <c r="DJ42" i="6"/>
  <c r="DI42" i="6"/>
  <c r="DF42" i="6"/>
  <c r="CY42" i="6"/>
  <c r="CZ42" i="6" s="1"/>
  <c r="CW42" i="6"/>
  <c r="CT42" i="6"/>
  <c r="CU42" i="6" s="1"/>
  <c r="CR42" i="6"/>
  <c r="CN42" i="6"/>
  <c r="CK42" i="6"/>
  <c r="CL42" i="6" s="1"/>
  <c r="CI42" i="6"/>
  <c r="CE42" i="6"/>
  <c r="CF42" i="6" s="1"/>
  <c r="CC42" i="6"/>
  <c r="BZ42" i="6"/>
  <c r="BV42" i="6"/>
  <c r="BR42" i="6"/>
  <c r="BP42" i="6"/>
  <c r="BQ42" i="6" s="1"/>
  <c r="DE42" i="6" s="1"/>
  <c r="BN42" i="6"/>
  <c r="BK42" i="6"/>
  <c r="BL42" i="6" s="1"/>
  <c r="DD42" i="6" s="1"/>
  <c r="DG42" i="6" s="1"/>
  <c r="BI42" i="6"/>
  <c r="BF42" i="6"/>
  <c r="BD42" i="6"/>
  <c r="BB42" i="6"/>
  <c r="AY42" i="6"/>
  <c r="AW42" i="6"/>
  <c r="AZ42" i="6" s="1"/>
  <c r="AT42" i="6"/>
  <c r="AR42" i="6"/>
  <c r="AP42" i="6"/>
  <c r="AN42" i="6"/>
  <c r="AL42" i="6"/>
  <c r="AJ42" i="6"/>
  <c r="AH42" i="6"/>
  <c r="AF42" i="6"/>
  <c r="AD42" i="6"/>
  <c r="AB42" i="6"/>
  <c r="X42" i="6"/>
  <c r="U42" i="6"/>
  <c r="Y42" i="6" s="1"/>
  <c r="Q42" i="6"/>
  <c r="N42" i="6"/>
  <c r="K42" i="6"/>
  <c r="H42" i="6"/>
  <c r="E42" i="6"/>
  <c r="CW41" i="6"/>
  <c r="CR41" i="6"/>
  <c r="CN41" i="6"/>
  <c r="CI41" i="6"/>
  <c r="CC41" i="6"/>
  <c r="BV41" i="6"/>
  <c r="BR41" i="6"/>
  <c r="BN41" i="6"/>
  <c r="BI41" i="6"/>
  <c r="BF41" i="6"/>
  <c r="BD41" i="6"/>
  <c r="BB41" i="6"/>
  <c r="AY41" i="6"/>
  <c r="AW41" i="6"/>
  <c r="AZ41" i="6" s="1"/>
  <c r="AT41" i="6"/>
  <c r="AR41" i="6"/>
  <c r="AP41" i="6"/>
  <c r="AN41" i="6"/>
  <c r="AL41" i="6"/>
  <c r="AJ41" i="6"/>
  <c r="AH41" i="6"/>
  <c r="AF41" i="6"/>
  <c r="AD41" i="6"/>
  <c r="AB41" i="6"/>
  <c r="X41" i="6"/>
  <c r="U41" i="6"/>
  <c r="Y41" i="6" s="1"/>
  <c r="Q41" i="6"/>
  <c r="N41" i="6"/>
  <c r="K41" i="6"/>
  <c r="H41" i="6"/>
  <c r="E41" i="6"/>
  <c r="CW40" i="6"/>
  <c r="CR40" i="6"/>
  <c r="CN40" i="6"/>
  <c r="CI40" i="6"/>
  <c r="CC40" i="6"/>
  <c r="BV40" i="6"/>
  <c r="BR40" i="6"/>
  <c r="BN40" i="6"/>
  <c r="BI40" i="6"/>
  <c r="BF40" i="6"/>
  <c r="BD40" i="6"/>
  <c r="BB40" i="6"/>
  <c r="AY40" i="6"/>
  <c r="AW40" i="6"/>
  <c r="AZ40" i="6" s="1"/>
  <c r="AT40" i="6"/>
  <c r="AR40" i="6"/>
  <c r="AP40" i="6"/>
  <c r="AN40" i="6"/>
  <c r="AL40" i="6"/>
  <c r="AJ40" i="6"/>
  <c r="AH40" i="6"/>
  <c r="AF40" i="6"/>
  <c r="AD40" i="6"/>
  <c r="X40" i="6"/>
  <c r="U40" i="6"/>
  <c r="Y40" i="6" s="1"/>
  <c r="Q40" i="6"/>
  <c r="N40" i="6"/>
  <c r="K40" i="6"/>
  <c r="H40" i="6"/>
  <c r="E40" i="6"/>
  <c r="DC42" i="6" s="1"/>
  <c r="CW39" i="6"/>
  <c r="CR39" i="6"/>
  <c r="CN39" i="6"/>
  <c r="CI39" i="6"/>
  <c r="CC39" i="6"/>
  <c r="BV39" i="6"/>
  <c r="BR39" i="6"/>
  <c r="BN39" i="6"/>
  <c r="BI39" i="6"/>
  <c r="BF39" i="6"/>
  <c r="BD39" i="6"/>
  <c r="BB39" i="6"/>
  <c r="AY39" i="6"/>
  <c r="AW39" i="6"/>
  <c r="AZ39" i="6" s="1"/>
  <c r="AT39" i="6"/>
  <c r="AR39" i="6"/>
  <c r="AP39" i="6"/>
  <c r="AN39" i="6"/>
  <c r="AL39" i="6"/>
  <c r="AJ39" i="6"/>
  <c r="AH39" i="6"/>
  <c r="AF39" i="6"/>
  <c r="AD39" i="6"/>
  <c r="AB39" i="6"/>
  <c r="X39" i="6"/>
  <c r="U39" i="6"/>
  <c r="Y39" i="6" s="1"/>
  <c r="Q39" i="6"/>
  <c r="N39" i="6"/>
  <c r="K39" i="6"/>
  <c r="H39" i="6"/>
  <c r="E39" i="6"/>
  <c r="CW38" i="6"/>
  <c r="CR38" i="6"/>
  <c r="CN38" i="6"/>
  <c r="CI38" i="6"/>
  <c r="CC38" i="6"/>
  <c r="BV38" i="6"/>
  <c r="BR38" i="6"/>
  <c r="BN38" i="6"/>
  <c r="BI38" i="6"/>
  <c r="BF38" i="6"/>
  <c r="BD38" i="6"/>
  <c r="BB38" i="6"/>
  <c r="AY38" i="6"/>
  <c r="AW38" i="6"/>
  <c r="AZ38" i="6" s="1"/>
  <c r="AT38" i="6"/>
  <c r="AR38" i="6"/>
  <c r="AP38" i="6"/>
  <c r="AL38" i="6"/>
  <c r="AJ38" i="6"/>
  <c r="AH38" i="6"/>
  <c r="AF38" i="6"/>
  <c r="AD38" i="6"/>
  <c r="AB38" i="6"/>
  <c r="X38" i="6"/>
  <c r="U38" i="6"/>
  <c r="Y38" i="6" s="1"/>
  <c r="Q38" i="6"/>
  <c r="N38" i="6"/>
  <c r="K38" i="6"/>
  <c r="H38" i="6"/>
  <c r="E38" i="6"/>
  <c r="DJ37" i="6"/>
  <c r="DI37" i="6"/>
  <c r="DF37" i="6"/>
  <c r="CY37" i="6"/>
  <c r="CZ37" i="6" s="1"/>
  <c r="CW37" i="6"/>
  <c r="CT37" i="6"/>
  <c r="CU37" i="6" s="1"/>
  <c r="CR37" i="6"/>
  <c r="CN37" i="6"/>
  <c r="CK37" i="6"/>
  <c r="CL37" i="6" s="1"/>
  <c r="CI37" i="6"/>
  <c r="CE37" i="6"/>
  <c r="CF37" i="6" s="1"/>
  <c r="CC37" i="6"/>
  <c r="BZ37" i="6"/>
  <c r="BV37" i="6"/>
  <c r="BR37" i="6"/>
  <c r="BP37" i="6"/>
  <c r="BQ37" i="6" s="1"/>
  <c r="BN37" i="6"/>
  <c r="BK37" i="6"/>
  <c r="BL37" i="6" s="1"/>
  <c r="BI37" i="6"/>
  <c r="BF37" i="6"/>
  <c r="BD37" i="6"/>
  <c r="BB37" i="6"/>
  <c r="AY37" i="6"/>
  <c r="AW37" i="6"/>
  <c r="AZ37" i="6" s="1"/>
  <c r="AT37" i="6"/>
  <c r="AR37" i="6"/>
  <c r="AP37" i="6"/>
  <c r="AL37" i="6"/>
  <c r="AJ37" i="6"/>
  <c r="AH37" i="6"/>
  <c r="AF37" i="6"/>
  <c r="AD37" i="6"/>
  <c r="AB37" i="6"/>
  <c r="X37" i="6"/>
  <c r="U37" i="6"/>
  <c r="Y37" i="6" s="1"/>
  <c r="Q37" i="6"/>
  <c r="N37" i="6"/>
  <c r="K37" i="6"/>
  <c r="H37" i="6"/>
  <c r="E37" i="6"/>
  <c r="CW36" i="6"/>
  <c r="CR36" i="6"/>
  <c r="CN36" i="6"/>
  <c r="CI36" i="6"/>
  <c r="CC36" i="6"/>
  <c r="BV36" i="6"/>
  <c r="BR36" i="6"/>
  <c r="BN36" i="6"/>
  <c r="BI36" i="6"/>
  <c r="BF36" i="6"/>
  <c r="BD36" i="6"/>
  <c r="BB36" i="6"/>
  <c r="AY36" i="6"/>
  <c r="AW36" i="6"/>
  <c r="AZ36" i="6" s="1"/>
  <c r="AT36" i="6"/>
  <c r="AR36" i="6"/>
  <c r="AP36" i="6"/>
  <c r="AL36" i="6"/>
  <c r="AJ36" i="6"/>
  <c r="AH36" i="6"/>
  <c r="AF36" i="6"/>
  <c r="AD36" i="6"/>
  <c r="AB36" i="6"/>
  <c r="X36" i="6"/>
  <c r="U36" i="6"/>
  <c r="Y36" i="6" s="1"/>
  <c r="Q36" i="6"/>
  <c r="N36" i="6"/>
  <c r="K36" i="6"/>
  <c r="H36" i="6"/>
  <c r="E36" i="6"/>
  <c r="CW35" i="6"/>
  <c r="CR35" i="6"/>
  <c r="CN35" i="6"/>
  <c r="CI35" i="6"/>
  <c r="CC35" i="6"/>
  <c r="BV35" i="6"/>
  <c r="BR35" i="6"/>
  <c r="BN35" i="6"/>
  <c r="BI35" i="6"/>
  <c r="BF35" i="6"/>
  <c r="BD35" i="6"/>
  <c r="BB35" i="6"/>
  <c r="AY35" i="6"/>
  <c r="AW35" i="6"/>
  <c r="AZ35" i="6" s="1"/>
  <c r="AT35" i="6"/>
  <c r="AR35" i="6"/>
  <c r="AP35" i="6"/>
  <c r="AL35" i="6"/>
  <c r="AJ35" i="6"/>
  <c r="AH35" i="6"/>
  <c r="AF35" i="6"/>
  <c r="AD35" i="6"/>
  <c r="AB35" i="6"/>
  <c r="X35" i="6"/>
  <c r="U35" i="6"/>
  <c r="Y35" i="6" s="1"/>
  <c r="Q35" i="6"/>
  <c r="N35" i="6"/>
  <c r="K35" i="6"/>
  <c r="H35" i="6"/>
  <c r="E35" i="6"/>
  <c r="DC37" i="6" s="1"/>
  <c r="CW34" i="6"/>
  <c r="CR34" i="6"/>
  <c r="CN34" i="6"/>
  <c r="CI34" i="6"/>
  <c r="CC34" i="6"/>
  <c r="BV34" i="6"/>
  <c r="BR34" i="6"/>
  <c r="BN34" i="6"/>
  <c r="BI34" i="6"/>
  <c r="BF34" i="6"/>
  <c r="BD34" i="6"/>
  <c r="BB34" i="6"/>
  <c r="AY34" i="6"/>
  <c r="AW34" i="6"/>
  <c r="AZ34" i="6" s="1"/>
  <c r="AT34" i="6"/>
  <c r="AR34" i="6"/>
  <c r="AP34" i="6"/>
  <c r="AL34" i="6"/>
  <c r="AJ34" i="6"/>
  <c r="AH34" i="6"/>
  <c r="AF34" i="6"/>
  <c r="AD34" i="6"/>
  <c r="AB34" i="6"/>
  <c r="X34" i="6"/>
  <c r="U34" i="6"/>
  <c r="Y34" i="6" s="1"/>
  <c r="Q34" i="6"/>
  <c r="N34" i="6"/>
  <c r="K34" i="6"/>
  <c r="H34" i="6"/>
  <c r="E34" i="6"/>
  <c r="CW33" i="6"/>
  <c r="CR33" i="6"/>
  <c r="CN33" i="6"/>
  <c r="CI33" i="6"/>
  <c r="CC33" i="6"/>
  <c r="BV33" i="6"/>
  <c r="BR33" i="6"/>
  <c r="BN33" i="6"/>
  <c r="BI33" i="6"/>
  <c r="BF33" i="6"/>
  <c r="BD33" i="6"/>
  <c r="BB33" i="6"/>
  <c r="AY33" i="6"/>
  <c r="AW33" i="6"/>
  <c r="AZ33" i="6" s="1"/>
  <c r="AT33" i="6"/>
  <c r="AR33" i="6"/>
  <c r="AP33" i="6"/>
  <c r="AL33" i="6"/>
  <c r="AJ33" i="6"/>
  <c r="AH33" i="6"/>
  <c r="AF33" i="6"/>
  <c r="AD33" i="6"/>
  <c r="AB33" i="6"/>
  <c r="X33" i="6"/>
  <c r="U33" i="6"/>
  <c r="Y33" i="6" s="1"/>
  <c r="Q33" i="6"/>
  <c r="N33" i="6"/>
  <c r="K33" i="6"/>
  <c r="H33" i="6"/>
  <c r="E33" i="6"/>
  <c r="DJ32" i="6"/>
  <c r="DI32" i="6"/>
  <c r="DF32" i="6"/>
  <c r="CY32" i="6"/>
  <c r="CZ32" i="6" s="1"/>
  <c r="CW32" i="6"/>
  <c r="CT32" i="6"/>
  <c r="CU32" i="6" s="1"/>
  <c r="CR32" i="6"/>
  <c r="CN32" i="6"/>
  <c r="CK32" i="6"/>
  <c r="CL32" i="6" s="1"/>
  <c r="CI32" i="6"/>
  <c r="CE32" i="6"/>
  <c r="CF32" i="6" s="1"/>
  <c r="CC32" i="6"/>
  <c r="BZ32" i="6"/>
  <c r="BV32" i="6"/>
  <c r="BR32" i="6"/>
  <c r="BP32" i="6"/>
  <c r="BQ32" i="6" s="1"/>
  <c r="DE32" i="6" s="1"/>
  <c r="BN32" i="6"/>
  <c r="BK32" i="6"/>
  <c r="BL32" i="6" s="1"/>
  <c r="DD32" i="6" s="1"/>
  <c r="DG32" i="6" s="1"/>
  <c r="BI32" i="6"/>
  <c r="BF32" i="6"/>
  <c r="BD32" i="6"/>
  <c r="BB32" i="6"/>
  <c r="AY32" i="6"/>
  <c r="AW32" i="6"/>
  <c r="AZ32" i="6" s="1"/>
  <c r="AT32" i="6"/>
  <c r="AR32" i="6"/>
  <c r="AP32" i="6"/>
  <c r="AL32" i="6"/>
  <c r="AJ32" i="6"/>
  <c r="AH32" i="6"/>
  <c r="AF32" i="6"/>
  <c r="AD32" i="6"/>
  <c r="AB32" i="6"/>
  <c r="X32" i="6"/>
  <c r="U32" i="6"/>
  <c r="Y32" i="6" s="1"/>
  <c r="Q32" i="6"/>
  <c r="N32" i="6"/>
  <c r="K32" i="6"/>
  <c r="H32" i="6"/>
  <c r="E32" i="6"/>
  <c r="CW31" i="6"/>
  <c r="CR31" i="6"/>
  <c r="CN31" i="6"/>
  <c r="CI31" i="6"/>
  <c r="CC31" i="6"/>
  <c r="BV31" i="6"/>
  <c r="BR31" i="6"/>
  <c r="BN31" i="6"/>
  <c r="BI31" i="6"/>
  <c r="BF31" i="6"/>
  <c r="BD31" i="6"/>
  <c r="BB31" i="6"/>
  <c r="AY31" i="6"/>
  <c r="AW31" i="6"/>
  <c r="AZ31" i="6" s="1"/>
  <c r="AT31" i="6"/>
  <c r="AR31" i="6"/>
  <c r="AP31" i="6"/>
  <c r="AL31" i="6"/>
  <c r="AJ31" i="6"/>
  <c r="AH31" i="6"/>
  <c r="AF31" i="6"/>
  <c r="AD31" i="6"/>
  <c r="AB31" i="6"/>
  <c r="X31" i="6"/>
  <c r="U31" i="6"/>
  <c r="Y31" i="6" s="1"/>
  <c r="Q31" i="6"/>
  <c r="N31" i="6"/>
  <c r="K31" i="6"/>
  <c r="H31" i="6"/>
  <c r="E31" i="6"/>
  <c r="CW30" i="6"/>
  <c r="CR30" i="6"/>
  <c r="CN30" i="6"/>
  <c r="CI30" i="6"/>
  <c r="CC30" i="6"/>
  <c r="BV30" i="6"/>
  <c r="BR30" i="6"/>
  <c r="BN30" i="6"/>
  <c r="BI30" i="6"/>
  <c r="BF30" i="6"/>
  <c r="BD30" i="6"/>
  <c r="BB30" i="6"/>
  <c r="AY30" i="6"/>
  <c r="AW30" i="6"/>
  <c r="AZ30" i="6" s="1"/>
  <c r="AT30" i="6"/>
  <c r="AR30" i="6"/>
  <c r="AP30" i="6"/>
  <c r="AL30" i="6"/>
  <c r="AJ30" i="6"/>
  <c r="AH30" i="6"/>
  <c r="AF30" i="6"/>
  <c r="AB30" i="6"/>
  <c r="X30" i="6"/>
  <c r="U30" i="6"/>
  <c r="Y30" i="6" s="1"/>
  <c r="Q30" i="6"/>
  <c r="N30" i="6"/>
  <c r="K30" i="6"/>
  <c r="H30" i="6"/>
  <c r="E30" i="6"/>
  <c r="DC32" i="6" s="1"/>
  <c r="CW29" i="6"/>
  <c r="CR29" i="6"/>
  <c r="CN29" i="6"/>
  <c r="CI29" i="6"/>
  <c r="CC29" i="6"/>
  <c r="BV29" i="6"/>
  <c r="BR29" i="6"/>
  <c r="BN29" i="6"/>
  <c r="BI29" i="6"/>
  <c r="BF29" i="6"/>
  <c r="BD29" i="6"/>
  <c r="BB29" i="6"/>
  <c r="AW29" i="6"/>
  <c r="AZ29" i="6" s="1"/>
  <c r="AT29" i="6"/>
  <c r="AR29" i="6"/>
  <c r="AP29" i="6"/>
  <c r="AL29" i="6"/>
  <c r="AJ29" i="6"/>
  <c r="AH29" i="6"/>
  <c r="AF29" i="6"/>
  <c r="AD29" i="6"/>
  <c r="AB29" i="6"/>
  <c r="X29" i="6"/>
  <c r="U29" i="6"/>
  <c r="Y29" i="6" s="1"/>
  <c r="Q29" i="6"/>
  <c r="N29" i="6"/>
  <c r="K29" i="6"/>
  <c r="H29" i="6"/>
  <c r="E29" i="6"/>
  <c r="DJ28" i="6"/>
  <c r="DI28" i="6"/>
  <c r="DF28" i="6"/>
  <c r="CY28" i="6"/>
  <c r="CZ28" i="6" s="1"/>
  <c r="CW28" i="6"/>
  <c r="CT28" i="6"/>
  <c r="CU28" i="6" s="1"/>
  <c r="CR28" i="6"/>
  <c r="CN28" i="6"/>
  <c r="CK28" i="6"/>
  <c r="CL28" i="6" s="1"/>
  <c r="CI28" i="6"/>
  <c r="CE28" i="6"/>
  <c r="CF28" i="6" s="1"/>
  <c r="CC28" i="6"/>
  <c r="BZ28" i="6"/>
  <c r="BV28" i="6"/>
  <c r="BR28" i="6"/>
  <c r="BP28" i="6"/>
  <c r="BQ28" i="6" s="1"/>
  <c r="DE28" i="6" s="1"/>
  <c r="BN28" i="6"/>
  <c r="BK28" i="6"/>
  <c r="BL28" i="6" s="1"/>
  <c r="BI28" i="6"/>
  <c r="BF28" i="6"/>
  <c r="BD28" i="6"/>
  <c r="BB28" i="6"/>
  <c r="AW28" i="6"/>
  <c r="AZ28" i="6" s="1"/>
  <c r="AT28" i="6"/>
  <c r="AR28" i="6"/>
  <c r="AP28" i="6"/>
  <c r="AL28" i="6"/>
  <c r="AJ28" i="6"/>
  <c r="AH28" i="6"/>
  <c r="AF28" i="6"/>
  <c r="AD28" i="6"/>
  <c r="AB28" i="6"/>
  <c r="X28" i="6"/>
  <c r="U28" i="6"/>
  <c r="Y28" i="6" s="1"/>
  <c r="Q28" i="6"/>
  <c r="N28" i="6"/>
  <c r="K28" i="6"/>
  <c r="H28" i="6"/>
  <c r="E28" i="6"/>
  <c r="CW27" i="6"/>
  <c r="CR27" i="6"/>
  <c r="CN27" i="6"/>
  <c r="CI27" i="6"/>
  <c r="CC27" i="6"/>
  <c r="BV27" i="6"/>
  <c r="BR27" i="6"/>
  <c r="BN27" i="6"/>
  <c r="BI27" i="6"/>
  <c r="BF27" i="6"/>
  <c r="BD27" i="6"/>
  <c r="BB27" i="6"/>
  <c r="AW27" i="6"/>
  <c r="AZ27" i="6" s="1"/>
  <c r="AT27" i="6"/>
  <c r="AR27" i="6"/>
  <c r="AP27" i="6"/>
  <c r="AL27" i="6"/>
  <c r="AJ27" i="6"/>
  <c r="AH27" i="6"/>
  <c r="AF27" i="6"/>
  <c r="AD27" i="6"/>
  <c r="AB27" i="6"/>
  <c r="X27" i="6"/>
  <c r="U27" i="6"/>
  <c r="Y27" i="6" s="1"/>
  <c r="Q27" i="6"/>
  <c r="N27" i="6"/>
  <c r="K27" i="6"/>
  <c r="H27" i="6"/>
  <c r="E27" i="6"/>
  <c r="CW26" i="6"/>
  <c r="CR26" i="6"/>
  <c r="CN26" i="6"/>
  <c r="CI26" i="6"/>
  <c r="CC26" i="6"/>
  <c r="BV26" i="6"/>
  <c r="BR26" i="6"/>
  <c r="BN26" i="6"/>
  <c r="BI26" i="6"/>
  <c r="BF26" i="6"/>
  <c r="BD26" i="6"/>
  <c r="BB26" i="6"/>
  <c r="AW26" i="6"/>
  <c r="AZ26" i="6" s="1"/>
  <c r="AT26" i="6"/>
  <c r="AR26" i="6"/>
  <c r="AP26" i="6"/>
  <c r="AN26" i="6"/>
  <c r="AL26" i="6"/>
  <c r="AJ26" i="6"/>
  <c r="AH26" i="6"/>
  <c r="AF26" i="6"/>
  <c r="AD26" i="6"/>
  <c r="AB26" i="6"/>
  <c r="X26" i="6"/>
  <c r="U26" i="6"/>
  <c r="Y26" i="6" s="1"/>
  <c r="Q26" i="6"/>
  <c r="N26" i="6"/>
  <c r="K26" i="6"/>
  <c r="H26" i="6"/>
  <c r="E26" i="6"/>
  <c r="DC28" i="6" s="1"/>
  <c r="CW25" i="6"/>
  <c r="CR25" i="6"/>
  <c r="CN25" i="6"/>
  <c r="CI25" i="6"/>
  <c r="CC25" i="6"/>
  <c r="BV25" i="6"/>
  <c r="BR25" i="6"/>
  <c r="BN25" i="6"/>
  <c r="BI25" i="6"/>
  <c r="BF25" i="6"/>
  <c r="BD25" i="6"/>
  <c r="BB25" i="6"/>
  <c r="AW25" i="6"/>
  <c r="AZ25" i="6" s="1"/>
  <c r="AT25" i="6"/>
  <c r="AR25" i="6"/>
  <c r="AP25" i="6"/>
  <c r="AN25" i="6"/>
  <c r="AL25" i="6"/>
  <c r="AJ25" i="6"/>
  <c r="AH25" i="6"/>
  <c r="AF25" i="6"/>
  <c r="AD25" i="6"/>
  <c r="AB25" i="6"/>
  <c r="X25" i="6"/>
  <c r="U25" i="6"/>
  <c r="Y25" i="6" s="1"/>
  <c r="Q25" i="6"/>
  <c r="N25" i="6"/>
  <c r="K25" i="6"/>
  <c r="H25" i="6"/>
  <c r="E25" i="6"/>
  <c r="CW24" i="6"/>
  <c r="CR24" i="6"/>
  <c r="CN24" i="6"/>
  <c r="CI24" i="6"/>
  <c r="CC24" i="6"/>
  <c r="BV24" i="6"/>
  <c r="BR24" i="6"/>
  <c r="BN24" i="6"/>
  <c r="BI24" i="6"/>
  <c r="BF24" i="6"/>
  <c r="BD24" i="6"/>
  <c r="BB24" i="6"/>
  <c r="AY24" i="6"/>
  <c r="AW24" i="6"/>
  <c r="AZ24" i="6" s="1"/>
  <c r="AT24" i="6"/>
  <c r="AR24" i="6"/>
  <c r="AP24" i="6"/>
  <c r="AN24" i="6"/>
  <c r="AL24" i="6"/>
  <c r="AJ24" i="6"/>
  <c r="AH24" i="6"/>
  <c r="AF24" i="6"/>
  <c r="AD24" i="6"/>
  <c r="AB24" i="6"/>
  <c r="X24" i="6"/>
  <c r="U24" i="6"/>
  <c r="Y24" i="6" s="1"/>
  <c r="Q24" i="6"/>
  <c r="N24" i="6"/>
  <c r="K24" i="6"/>
  <c r="H24" i="6"/>
  <c r="E24" i="6"/>
  <c r="CW23" i="6"/>
  <c r="CR23" i="6"/>
  <c r="CN23" i="6"/>
  <c r="CI23" i="6"/>
  <c r="CC23" i="6"/>
  <c r="BV23" i="6"/>
  <c r="BR23" i="6"/>
  <c r="BN23" i="6"/>
  <c r="BI23" i="6"/>
  <c r="BF23" i="6"/>
  <c r="BD23" i="6"/>
  <c r="BB23" i="6"/>
  <c r="AY23" i="6"/>
  <c r="AW23" i="6"/>
  <c r="AZ23" i="6" s="1"/>
  <c r="AT23" i="6"/>
  <c r="AR23" i="6"/>
  <c r="AP23" i="6"/>
  <c r="AN23" i="6"/>
  <c r="AL23" i="6"/>
  <c r="AJ23" i="6"/>
  <c r="AH23" i="6"/>
  <c r="AF23" i="6"/>
  <c r="AD23" i="6"/>
  <c r="AB23" i="6"/>
  <c r="X23" i="6"/>
  <c r="U23" i="6"/>
  <c r="Q23" i="6"/>
  <c r="N23" i="6"/>
  <c r="K23" i="6"/>
  <c r="H23" i="6"/>
  <c r="E23" i="6"/>
  <c r="DJ22" i="6"/>
  <c r="DI22" i="6"/>
  <c r="DF22" i="6"/>
  <c r="CY22" i="6"/>
  <c r="CZ22" i="6" s="1"/>
  <c r="CW22" i="6"/>
  <c r="CT22" i="6"/>
  <c r="CU22" i="6" s="1"/>
  <c r="CR22" i="6"/>
  <c r="CN22" i="6"/>
  <c r="CK22" i="6"/>
  <c r="CL22" i="6" s="1"/>
  <c r="CI22" i="6"/>
  <c r="CE22" i="6"/>
  <c r="CF22" i="6" s="1"/>
  <c r="CC22" i="6"/>
  <c r="BZ22" i="6"/>
  <c r="BV22" i="6"/>
  <c r="BR22" i="6"/>
  <c r="BP22" i="6"/>
  <c r="BQ22" i="6" s="1"/>
  <c r="BN22" i="6"/>
  <c r="BK22" i="6"/>
  <c r="BL22" i="6" s="1"/>
  <c r="DD22" i="6" s="1"/>
  <c r="DG22" i="6" s="1"/>
  <c r="BI22" i="6"/>
  <c r="BF22" i="6"/>
  <c r="BD22" i="6"/>
  <c r="BB22" i="6"/>
  <c r="AY22" i="6"/>
  <c r="AW22" i="6"/>
  <c r="AZ22" i="6" s="1"/>
  <c r="AT22" i="6"/>
  <c r="AR22" i="6"/>
  <c r="AP22" i="6"/>
  <c r="AN22" i="6"/>
  <c r="AL22" i="6"/>
  <c r="AJ22" i="6"/>
  <c r="AH22" i="6"/>
  <c r="AF22" i="6"/>
  <c r="AD22" i="6"/>
  <c r="AB22" i="6"/>
  <c r="X22" i="6"/>
  <c r="U22" i="6"/>
  <c r="Y22" i="6" s="1"/>
  <c r="Q22" i="6"/>
  <c r="N22" i="6"/>
  <c r="K22" i="6"/>
  <c r="H22" i="6"/>
  <c r="E22" i="6"/>
  <c r="CW21" i="6"/>
  <c r="CR21" i="6"/>
  <c r="CN21" i="6"/>
  <c r="CI21" i="6"/>
  <c r="CC21" i="6"/>
  <c r="BV21" i="6"/>
  <c r="BR21" i="6"/>
  <c r="BN21" i="6"/>
  <c r="BI21" i="6"/>
  <c r="BF21" i="6"/>
  <c r="BD21" i="6"/>
  <c r="BB21" i="6"/>
  <c r="AY21" i="6"/>
  <c r="AW21" i="6"/>
  <c r="AZ21" i="6" s="1"/>
  <c r="AT21" i="6"/>
  <c r="AR21" i="6"/>
  <c r="AP21" i="6"/>
  <c r="AN21" i="6"/>
  <c r="AL21" i="6"/>
  <c r="AJ21" i="6"/>
  <c r="AH21" i="6"/>
  <c r="AF21" i="6"/>
  <c r="AD21" i="6"/>
  <c r="AB21" i="6"/>
  <c r="X21" i="6"/>
  <c r="U21" i="6"/>
  <c r="Y21" i="6" s="1"/>
  <c r="Q21" i="6"/>
  <c r="N21" i="6"/>
  <c r="K21" i="6"/>
  <c r="H21" i="6"/>
  <c r="E21" i="6"/>
  <c r="CW20" i="6"/>
  <c r="CR20" i="6"/>
  <c r="CN20" i="6"/>
  <c r="CI20" i="6"/>
  <c r="CC20" i="6"/>
  <c r="BV20" i="6"/>
  <c r="BR20" i="6"/>
  <c r="BN20" i="6"/>
  <c r="BI20" i="6"/>
  <c r="BF20" i="6"/>
  <c r="BD20" i="6"/>
  <c r="BB20" i="6"/>
  <c r="AY20" i="6"/>
  <c r="AW20" i="6"/>
  <c r="AZ20" i="6" s="1"/>
  <c r="AT20" i="6"/>
  <c r="AR20" i="6"/>
  <c r="AP20" i="6"/>
  <c r="AN20" i="6"/>
  <c r="AL20" i="6"/>
  <c r="AJ20" i="6"/>
  <c r="AH20" i="6"/>
  <c r="AF20" i="6"/>
  <c r="AD20" i="6"/>
  <c r="AB20" i="6"/>
  <c r="X20" i="6"/>
  <c r="U20" i="6"/>
  <c r="Y20" i="6" s="1"/>
  <c r="Q20" i="6"/>
  <c r="N20" i="6"/>
  <c r="K20" i="6"/>
  <c r="H20" i="6"/>
  <c r="E20" i="6"/>
  <c r="DC22" i="6" s="1"/>
  <c r="CW19" i="6"/>
  <c r="CR19" i="6"/>
  <c r="CN19" i="6"/>
  <c r="CI19" i="6"/>
  <c r="CC19" i="6"/>
  <c r="BV19" i="6"/>
  <c r="BR19" i="6"/>
  <c r="BN19" i="6"/>
  <c r="BI19" i="6"/>
  <c r="BF19" i="6"/>
  <c r="BD19" i="6"/>
  <c r="BB19" i="6"/>
  <c r="AY19" i="6"/>
  <c r="AW19" i="6"/>
  <c r="AZ19" i="6" s="1"/>
  <c r="AT19" i="6"/>
  <c r="AR19" i="6"/>
  <c r="AP19" i="6"/>
  <c r="AN19" i="6"/>
  <c r="AL19" i="6"/>
  <c r="AJ19" i="6"/>
  <c r="AH19" i="6"/>
  <c r="AF19" i="6"/>
  <c r="AD19" i="6"/>
  <c r="AB19" i="6"/>
  <c r="X19" i="6"/>
  <c r="U19" i="6"/>
  <c r="Y19" i="6" s="1"/>
  <c r="Q19" i="6"/>
  <c r="N19" i="6"/>
  <c r="K19" i="6"/>
  <c r="H19" i="6"/>
  <c r="E19" i="6"/>
  <c r="DJ18" i="6"/>
  <c r="DI18" i="6"/>
  <c r="DF18" i="6"/>
  <c r="CY18" i="6"/>
  <c r="CZ18" i="6" s="1"/>
  <c r="CW18" i="6"/>
  <c r="CT18" i="6"/>
  <c r="CU18" i="6" s="1"/>
  <c r="CR18" i="6"/>
  <c r="CN18" i="6"/>
  <c r="CK18" i="6"/>
  <c r="CL18" i="6" s="1"/>
  <c r="CI18" i="6"/>
  <c r="CE18" i="6"/>
  <c r="CF18" i="6" s="1"/>
  <c r="CC18" i="6"/>
  <c r="BZ18" i="6"/>
  <c r="BV18" i="6"/>
  <c r="BR18" i="6"/>
  <c r="BP18" i="6"/>
  <c r="BQ18" i="6" s="1"/>
  <c r="DE18" i="6" s="1"/>
  <c r="BN18" i="6"/>
  <c r="BK18" i="6"/>
  <c r="BL18" i="6" s="1"/>
  <c r="BI18" i="6"/>
  <c r="BF18" i="6"/>
  <c r="BD18" i="6"/>
  <c r="BB18" i="6"/>
  <c r="AY18" i="6"/>
  <c r="AW18" i="6"/>
  <c r="AZ18" i="6" s="1"/>
  <c r="AT18" i="6"/>
  <c r="AR18" i="6"/>
  <c r="AP18" i="6"/>
  <c r="AN18" i="6"/>
  <c r="AL18" i="6"/>
  <c r="AJ18" i="6"/>
  <c r="AH18" i="6"/>
  <c r="AF18" i="6"/>
  <c r="AD18" i="6"/>
  <c r="AB18" i="6"/>
  <c r="X18" i="6"/>
  <c r="U18" i="6"/>
  <c r="Y18" i="6" s="1"/>
  <c r="Q18" i="6"/>
  <c r="N18" i="6"/>
  <c r="K18" i="6"/>
  <c r="H18" i="6"/>
  <c r="E18" i="6"/>
  <c r="CW17" i="6"/>
  <c r="CR17" i="6"/>
  <c r="CN17" i="6"/>
  <c r="CI17" i="6"/>
  <c r="CC17" i="6"/>
  <c r="BV17" i="6"/>
  <c r="BR17" i="6"/>
  <c r="BN17" i="6"/>
  <c r="BI17" i="6"/>
  <c r="BF17" i="6"/>
  <c r="BD17" i="6"/>
  <c r="BB17" i="6"/>
  <c r="AY17" i="6"/>
  <c r="AW17" i="6"/>
  <c r="AZ17" i="6" s="1"/>
  <c r="AT17" i="6"/>
  <c r="AR17" i="6"/>
  <c r="AP17" i="6"/>
  <c r="AN17" i="6"/>
  <c r="AL17" i="6"/>
  <c r="AJ17" i="6"/>
  <c r="AH17" i="6"/>
  <c r="AF17" i="6"/>
  <c r="AD17" i="6"/>
  <c r="AB17" i="6"/>
  <c r="X17" i="6"/>
  <c r="U17" i="6"/>
  <c r="Y17" i="6" s="1"/>
  <c r="Q17" i="6"/>
  <c r="N17" i="6"/>
  <c r="K17" i="6"/>
  <c r="H17" i="6"/>
  <c r="E17" i="6"/>
  <c r="CW16" i="6"/>
  <c r="CR16" i="6"/>
  <c r="CN16" i="6"/>
  <c r="CI16" i="6"/>
  <c r="CC16" i="6"/>
  <c r="BV16" i="6"/>
  <c r="BR16" i="6"/>
  <c r="BN16" i="6"/>
  <c r="BI16" i="6"/>
  <c r="BF16" i="6"/>
  <c r="BD16" i="6"/>
  <c r="BB16" i="6"/>
  <c r="AY16" i="6"/>
  <c r="AW16" i="6"/>
  <c r="AZ16" i="6" s="1"/>
  <c r="AT16" i="6"/>
  <c r="AR16" i="6"/>
  <c r="AP16" i="6"/>
  <c r="AN16" i="6"/>
  <c r="AL16" i="6"/>
  <c r="AJ16" i="6"/>
  <c r="AH16" i="6"/>
  <c r="AF16" i="6"/>
  <c r="AD16" i="6"/>
  <c r="AB16" i="6"/>
  <c r="X16" i="6"/>
  <c r="U16" i="6"/>
  <c r="Y16" i="6" s="1"/>
  <c r="N16" i="6"/>
  <c r="K16" i="6"/>
  <c r="H16" i="6"/>
  <c r="E16" i="6"/>
  <c r="CW15" i="6"/>
  <c r="CR15" i="6"/>
  <c r="CN15" i="6"/>
  <c r="CI15" i="6"/>
  <c r="CC15" i="6"/>
  <c r="BV15" i="6"/>
  <c r="BR15" i="6"/>
  <c r="BN15" i="6"/>
  <c r="BI15" i="6"/>
  <c r="BF15" i="6"/>
  <c r="BD15" i="6"/>
  <c r="BB15" i="6"/>
  <c r="AY15" i="6"/>
  <c r="AW15" i="6"/>
  <c r="AZ15" i="6" s="1"/>
  <c r="AT15" i="6"/>
  <c r="AR15" i="6"/>
  <c r="AP15" i="6"/>
  <c r="AN15" i="6"/>
  <c r="AL15" i="6"/>
  <c r="AJ15" i="6"/>
  <c r="AH15" i="6"/>
  <c r="AF15" i="6"/>
  <c r="AD15" i="6"/>
  <c r="AB15" i="6"/>
  <c r="X15" i="6"/>
  <c r="U15" i="6"/>
  <c r="Y15" i="6" s="1"/>
  <c r="Q15" i="6"/>
  <c r="N15" i="6"/>
  <c r="K15" i="6"/>
  <c r="H15" i="6"/>
  <c r="E15" i="6"/>
  <c r="CW14" i="6"/>
  <c r="CR14" i="6"/>
  <c r="CN14" i="6"/>
  <c r="CI14" i="6"/>
  <c r="CC14" i="6"/>
  <c r="BV14" i="6"/>
  <c r="BR14" i="6"/>
  <c r="BN14" i="6"/>
  <c r="BI14" i="6"/>
  <c r="BF14" i="6"/>
  <c r="BD14" i="6"/>
  <c r="BB14" i="6"/>
  <c r="AY14" i="6"/>
  <c r="AW14" i="6"/>
  <c r="AZ14" i="6" s="1"/>
  <c r="AT14" i="6"/>
  <c r="AR14" i="6"/>
  <c r="AP14" i="6"/>
  <c r="AN14" i="6"/>
  <c r="AL14" i="6"/>
  <c r="AJ14" i="6"/>
  <c r="AH14" i="6"/>
  <c r="AF14" i="6"/>
  <c r="AD14" i="6"/>
  <c r="AB14" i="6"/>
  <c r="X14" i="6"/>
  <c r="U14" i="6"/>
  <c r="Y14" i="6" s="1"/>
  <c r="Q14" i="6"/>
  <c r="N14" i="6"/>
  <c r="K14" i="6"/>
  <c r="H14" i="6"/>
  <c r="E14" i="6"/>
  <c r="DC18" i="6" s="1"/>
  <c r="DJ13" i="6"/>
  <c r="DI13" i="6"/>
  <c r="DF13" i="6"/>
  <c r="CY13" i="6"/>
  <c r="CZ13" i="6" s="1"/>
  <c r="CW13" i="6"/>
  <c r="CT13" i="6"/>
  <c r="CU13" i="6" s="1"/>
  <c r="CR13" i="6"/>
  <c r="CN13" i="6"/>
  <c r="CK13" i="6"/>
  <c r="CL13" i="6" s="1"/>
  <c r="CI13" i="6"/>
  <c r="CE13" i="6"/>
  <c r="CF13" i="6" s="1"/>
  <c r="CC13" i="6"/>
  <c r="BZ13" i="6"/>
  <c r="BV13" i="6"/>
  <c r="BR13" i="6"/>
  <c r="BP13" i="6"/>
  <c r="BQ13" i="6" s="1"/>
  <c r="BN13" i="6"/>
  <c r="BK13" i="6"/>
  <c r="BL13" i="6" s="1"/>
  <c r="DD13" i="6" s="1"/>
  <c r="DG13" i="6" s="1"/>
  <c r="BI13" i="6"/>
  <c r="BF13" i="6"/>
  <c r="BD13" i="6"/>
  <c r="BB13" i="6"/>
  <c r="AY13" i="6"/>
  <c r="AW13" i="6"/>
  <c r="AZ13" i="6" s="1"/>
  <c r="AT13" i="6"/>
  <c r="AP13" i="6"/>
  <c r="AN13" i="6"/>
  <c r="AL13" i="6"/>
  <c r="AJ13" i="6"/>
  <c r="AH13" i="6"/>
  <c r="AF13" i="6"/>
  <c r="AD13" i="6"/>
  <c r="AB13" i="6"/>
  <c r="X13" i="6"/>
  <c r="U13" i="6"/>
  <c r="Y13" i="6" s="1"/>
  <c r="Q13" i="6"/>
  <c r="N13" i="6"/>
  <c r="K13" i="6"/>
  <c r="H13" i="6"/>
  <c r="E13" i="6"/>
  <c r="CW12" i="6"/>
  <c r="CR12" i="6"/>
  <c r="CN12" i="6"/>
  <c r="CI12" i="6"/>
  <c r="CC12" i="6"/>
  <c r="BV12" i="6"/>
  <c r="BR12" i="6"/>
  <c r="BN12" i="6"/>
  <c r="BI12" i="6"/>
  <c r="BF12" i="6"/>
  <c r="BD12" i="6"/>
  <c r="BB12" i="6"/>
  <c r="AY12" i="6"/>
  <c r="AW12" i="6"/>
  <c r="AZ12" i="6" s="1"/>
  <c r="AT12" i="6"/>
  <c r="AP12" i="6"/>
  <c r="AN12" i="6"/>
  <c r="AL12" i="6"/>
  <c r="AJ12" i="6"/>
  <c r="AH12" i="6"/>
  <c r="AF12" i="6"/>
  <c r="AD12" i="6"/>
  <c r="AB12" i="6"/>
  <c r="X12" i="6"/>
  <c r="U12" i="6"/>
  <c r="Y12" i="6" s="1"/>
  <c r="Q12" i="6"/>
  <c r="N12" i="6"/>
  <c r="K12" i="6"/>
  <c r="H12" i="6"/>
  <c r="E12" i="6"/>
  <c r="CW11" i="6"/>
  <c r="CR11" i="6"/>
  <c r="CN11" i="6"/>
  <c r="CI11" i="6"/>
  <c r="CC11" i="6"/>
  <c r="BV11" i="6"/>
  <c r="BR11" i="6"/>
  <c r="BN11" i="6"/>
  <c r="BI11" i="6"/>
  <c r="BF11" i="6"/>
  <c r="BD11" i="6"/>
  <c r="BB11" i="6"/>
  <c r="AY11" i="6"/>
  <c r="AW11" i="6"/>
  <c r="AZ11" i="6" s="1"/>
  <c r="AT11" i="6"/>
  <c r="AP11" i="6"/>
  <c r="AN11" i="6"/>
  <c r="AL11" i="6"/>
  <c r="AJ11" i="6"/>
  <c r="AH11" i="6"/>
  <c r="AF11" i="6"/>
  <c r="AD11" i="6"/>
  <c r="AB11" i="6"/>
  <c r="X11" i="6"/>
  <c r="U11" i="6"/>
  <c r="Y11" i="6" s="1"/>
  <c r="Q11" i="6"/>
  <c r="N11" i="6"/>
  <c r="K11" i="6"/>
  <c r="H11" i="6"/>
  <c r="E11" i="6"/>
  <c r="CW10" i="6"/>
  <c r="CR10" i="6"/>
  <c r="CN10" i="6"/>
  <c r="CI10" i="6"/>
  <c r="CC10" i="6"/>
  <c r="BV10" i="6"/>
  <c r="BR10" i="6"/>
  <c r="BN10" i="6"/>
  <c r="BI10" i="6"/>
  <c r="BF10" i="6"/>
  <c r="BD10" i="6"/>
  <c r="BB10" i="6"/>
  <c r="AY10" i="6"/>
  <c r="AW10" i="6"/>
  <c r="AZ10" i="6" s="1"/>
  <c r="AT10" i="6"/>
  <c r="AP10" i="6"/>
  <c r="AN10" i="6"/>
  <c r="AL10" i="6"/>
  <c r="AJ10" i="6"/>
  <c r="AH10" i="6"/>
  <c r="AF10" i="6"/>
  <c r="AD10" i="6"/>
  <c r="AB10" i="6"/>
  <c r="X10" i="6"/>
  <c r="U10" i="6"/>
  <c r="Y10" i="6" s="1"/>
  <c r="Q10" i="6"/>
  <c r="N10" i="6"/>
  <c r="K10" i="6"/>
  <c r="H10" i="6"/>
  <c r="E10" i="6"/>
  <c r="CW9" i="6"/>
  <c r="CR9" i="6"/>
  <c r="CN9" i="6"/>
  <c r="CI9" i="6"/>
  <c r="CC9" i="6"/>
  <c r="BV9" i="6"/>
  <c r="BR9" i="6"/>
  <c r="BN9" i="6"/>
  <c r="BI9" i="6"/>
  <c r="BF9" i="6"/>
  <c r="BD9" i="6"/>
  <c r="BB9" i="6"/>
  <c r="AY9" i="6"/>
  <c r="AW9" i="6"/>
  <c r="AZ9" i="6" s="1"/>
  <c r="AT9" i="6"/>
  <c r="AP9" i="6"/>
  <c r="AN9" i="6"/>
  <c r="AL9" i="6"/>
  <c r="AJ9" i="6"/>
  <c r="AH9" i="6"/>
  <c r="AF9" i="6"/>
  <c r="AD9" i="6"/>
  <c r="AB9" i="6"/>
  <c r="X9" i="6"/>
  <c r="U9" i="6"/>
  <c r="Y9" i="6" s="1"/>
  <c r="Q9" i="6"/>
  <c r="N9" i="6"/>
  <c r="K9" i="6"/>
  <c r="H9" i="6"/>
  <c r="E9" i="6"/>
  <c r="DC13" i="6" s="1"/>
  <c r="CW8" i="6"/>
  <c r="CR8" i="6"/>
  <c r="CN8" i="6"/>
  <c r="CI8" i="6"/>
  <c r="CC8" i="6"/>
  <c r="BV8" i="6"/>
  <c r="BR8" i="6"/>
  <c r="BN8" i="6"/>
  <c r="BI8" i="6"/>
  <c r="BF8" i="6"/>
  <c r="BD8" i="6"/>
  <c r="BB8" i="6"/>
  <c r="AY8" i="6"/>
  <c r="AW8" i="6"/>
  <c r="AZ8" i="6" s="1"/>
  <c r="AT8" i="6"/>
  <c r="AP8" i="6"/>
  <c r="AN8" i="6"/>
  <c r="AL8" i="6"/>
  <c r="AJ8" i="6"/>
  <c r="AH8" i="6"/>
  <c r="AF8" i="6"/>
  <c r="AD8" i="6"/>
  <c r="AB8" i="6"/>
  <c r="X8" i="6"/>
  <c r="U8" i="6"/>
  <c r="Y8" i="6" s="1"/>
  <c r="Q8" i="6"/>
  <c r="N8" i="6"/>
  <c r="K8" i="6"/>
  <c r="H8" i="6"/>
  <c r="E8" i="6"/>
  <c r="DJ7" i="6"/>
  <c r="DI7" i="6"/>
  <c r="DF7" i="6"/>
  <c r="CY7" i="6"/>
  <c r="CZ7" i="6" s="1"/>
  <c r="CW7" i="6"/>
  <c r="CT7" i="6"/>
  <c r="CU7" i="6" s="1"/>
  <c r="CR7" i="6"/>
  <c r="CN7" i="6"/>
  <c r="CK7" i="6"/>
  <c r="CL7" i="6" s="1"/>
  <c r="CI7" i="6"/>
  <c r="CE7" i="6"/>
  <c r="CF7" i="6" s="1"/>
  <c r="CC7" i="6"/>
  <c r="BZ7" i="6"/>
  <c r="BV7" i="6"/>
  <c r="BR7" i="6"/>
  <c r="BP7" i="6"/>
  <c r="BQ7" i="6" s="1"/>
  <c r="DE7" i="6" s="1"/>
  <c r="BN7" i="6"/>
  <c r="BK7" i="6"/>
  <c r="BL7" i="6" s="1"/>
  <c r="DD7" i="6" s="1"/>
  <c r="DG7" i="6" s="1"/>
  <c r="BI7" i="6"/>
  <c r="BF7" i="6"/>
  <c r="BD7" i="6"/>
  <c r="BB7" i="6"/>
  <c r="AY7" i="6"/>
  <c r="AW7" i="6"/>
  <c r="AZ7" i="6" s="1"/>
  <c r="AT7" i="6"/>
  <c r="AP7" i="6"/>
  <c r="AN7" i="6"/>
  <c r="AL7" i="6"/>
  <c r="AJ7" i="6"/>
  <c r="AH7" i="6"/>
  <c r="AF7" i="6"/>
  <c r="AD7" i="6"/>
  <c r="AB7" i="6"/>
  <c r="X7" i="6"/>
  <c r="U7" i="6"/>
  <c r="Y7" i="6" s="1"/>
  <c r="Q7" i="6"/>
  <c r="N7" i="6"/>
  <c r="K7" i="6"/>
  <c r="H7" i="6"/>
  <c r="E7" i="6"/>
  <c r="CW6" i="6"/>
  <c r="CR6" i="6"/>
  <c r="CN6" i="6"/>
  <c r="CI6" i="6"/>
  <c r="CC6" i="6"/>
  <c r="BV6" i="6"/>
  <c r="BR6" i="6"/>
  <c r="BN6" i="6"/>
  <c r="BI6" i="6"/>
  <c r="BF6" i="6"/>
  <c r="BD6" i="6"/>
  <c r="BB6" i="6"/>
  <c r="AY6" i="6"/>
  <c r="AW6" i="6"/>
  <c r="AZ6" i="6" s="1"/>
  <c r="AT6" i="6"/>
  <c r="AP6" i="6"/>
  <c r="AN6" i="6"/>
  <c r="AL6" i="6"/>
  <c r="AJ6" i="6"/>
  <c r="AH6" i="6"/>
  <c r="AF6" i="6"/>
  <c r="AD6" i="6"/>
  <c r="AB6" i="6"/>
  <c r="X6" i="6"/>
  <c r="U6" i="6"/>
  <c r="Y6" i="6" s="1"/>
  <c r="Q6" i="6"/>
  <c r="N6" i="6"/>
  <c r="K6" i="6"/>
  <c r="H6" i="6"/>
  <c r="E6" i="6"/>
  <c r="CW5" i="6"/>
  <c r="CR5" i="6"/>
  <c r="CN5" i="6"/>
  <c r="CI5" i="6"/>
  <c r="CC5" i="6"/>
  <c r="BV5" i="6"/>
  <c r="BR5" i="6"/>
  <c r="BN5" i="6"/>
  <c r="BI5" i="6"/>
  <c r="BF5" i="6"/>
  <c r="BD5" i="6"/>
  <c r="BB5" i="6"/>
  <c r="AY5" i="6"/>
  <c r="AW5" i="6"/>
  <c r="AZ5" i="6" s="1"/>
  <c r="AT5" i="6"/>
  <c r="AP5" i="6"/>
  <c r="AN5" i="6"/>
  <c r="AL5" i="6"/>
  <c r="AJ5" i="6"/>
  <c r="AH5" i="6"/>
  <c r="AF5" i="6"/>
  <c r="AD5" i="6"/>
  <c r="AB5" i="6"/>
  <c r="X5" i="6"/>
  <c r="U5" i="6"/>
  <c r="Y5" i="6" s="1"/>
  <c r="Q5" i="6"/>
  <c r="N5" i="6"/>
  <c r="K5" i="6"/>
  <c r="H5" i="6"/>
  <c r="E5" i="6"/>
  <c r="DC7" i="6" s="1"/>
  <c r="CW4" i="6"/>
  <c r="CR4" i="6"/>
  <c r="CN4" i="6"/>
  <c r="CI4" i="6"/>
  <c r="CC4" i="6"/>
  <c r="BV4" i="6"/>
  <c r="BR4" i="6"/>
  <c r="BN4" i="6"/>
  <c r="BI4" i="6"/>
  <c r="HG61" i="5"/>
  <c r="HJ61" i="5" s="1"/>
  <c r="HF61" i="5"/>
  <c r="HC61" i="5"/>
  <c r="GY61" i="5"/>
  <c r="GW61" i="5"/>
  <c r="GR61" i="5"/>
  <c r="GU61" i="5" s="1"/>
  <c r="GQ61" i="5"/>
  <c r="GN61" i="5"/>
  <c r="GI61" i="5"/>
  <c r="GL61" i="5" s="1"/>
  <c r="HN61" i="5" s="1"/>
  <c r="GH61" i="5"/>
  <c r="GK61" i="5" s="1"/>
  <c r="GE61" i="5"/>
  <c r="FS61" i="5"/>
  <c r="FV61" i="5" s="1"/>
  <c r="FR61" i="5"/>
  <c r="FO61" i="5"/>
  <c r="FJ61" i="5"/>
  <c r="FM61" i="5" s="1"/>
  <c r="FI61" i="5"/>
  <c r="FF61" i="5"/>
  <c r="FA61" i="5"/>
  <c r="FD61" i="5" s="1"/>
  <c r="EZ61" i="5"/>
  <c r="EW61" i="5"/>
  <c r="ER61" i="5"/>
  <c r="EU61" i="5" s="1"/>
  <c r="EQ61" i="5"/>
  <c r="ET61" i="5" s="1"/>
  <c r="EN61" i="5"/>
  <c r="EI61" i="5"/>
  <c r="EL61" i="5" s="1"/>
  <c r="EH61" i="5"/>
  <c r="EE61" i="5"/>
  <c r="DZ61" i="5"/>
  <c r="EC61" i="5" s="1"/>
  <c r="DY61" i="5"/>
  <c r="DV61" i="5"/>
  <c r="DQ61" i="5"/>
  <c r="DT61" i="5" s="1"/>
  <c r="DP61" i="5"/>
  <c r="DM61" i="5"/>
  <c r="DH61" i="5"/>
  <c r="DK61" i="5" s="1"/>
  <c r="DG61" i="5"/>
  <c r="DJ61" i="5" s="1"/>
  <c r="DD61" i="5"/>
  <c r="CY61" i="5"/>
  <c r="DB61" i="5" s="1"/>
  <c r="CX61" i="5"/>
  <c r="CU61" i="5"/>
  <c r="CP61" i="5"/>
  <c r="CS61" i="5" s="1"/>
  <c r="CO61" i="5"/>
  <c r="CL61" i="5"/>
  <c r="CG61" i="5"/>
  <c r="CJ61" i="5" s="1"/>
  <c r="CF61" i="5"/>
  <c r="CC61" i="5"/>
  <c r="CA61" i="5"/>
  <c r="CB61" i="5" s="1"/>
  <c r="BY61" i="5"/>
  <c r="BP61" i="5"/>
  <c r="BM61" i="5"/>
  <c r="BJ61" i="5"/>
  <c r="BG61" i="5"/>
  <c r="BS61" i="5" s="1"/>
  <c r="BE61" i="5"/>
  <c r="AW61" i="5"/>
  <c r="AS61" i="5"/>
  <c r="AO61" i="5"/>
  <c r="BA61" i="5" s="1"/>
  <c r="AK61" i="5"/>
  <c r="AG61" i="5"/>
  <c r="AC61" i="5"/>
  <c r="Y61" i="5"/>
  <c r="U61" i="5"/>
  <c r="Q61" i="5"/>
  <c r="M61" i="5"/>
  <c r="I61" i="5"/>
  <c r="E61" i="5"/>
  <c r="HC60" i="5"/>
  <c r="GW60" i="5"/>
  <c r="GN60" i="5"/>
  <c r="GE60" i="5"/>
  <c r="FO60" i="5"/>
  <c r="FF60" i="5"/>
  <c r="EW60" i="5"/>
  <c r="EN60" i="5"/>
  <c r="EE60" i="5"/>
  <c r="DV60" i="5"/>
  <c r="DM60" i="5"/>
  <c r="DD60" i="5"/>
  <c r="CU60" i="5"/>
  <c r="CL60" i="5"/>
  <c r="CC60" i="5"/>
  <c r="BY60" i="5"/>
  <c r="BP60" i="5"/>
  <c r="BM60" i="5"/>
  <c r="BJ60" i="5"/>
  <c r="BG60" i="5"/>
  <c r="BS60" i="5" s="1"/>
  <c r="BE60" i="5"/>
  <c r="AW60" i="5"/>
  <c r="AS60" i="5"/>
  <c r="AO60" i="5"/>
  <c r="BA60" i="5" s="1"/>
  <c r="AK60" i="5"/>
  <c r="AG60" i="5"/>
  <c r="AC60" i="5"/>
  <c r="Y60" i="5"/>
  <c r="U60" i="5"/>
  <c r="Q60" i="5"/>
  <c r="M60" i="5"/>
  <c r="I60" i="5"/>
  <c r="E60" i="5"/>
  <c r="HC59" i="5"/>
  <c r="GW59" i="5"/>
  <c r="GN59" i="5"/>
  <c r="GE59" i="5"/>
  <c r="FO59" i="5"/>
  <c r="FF59" i="5"/>
  <c r="EW59" i="5"/>
  <c r="EN59" i="5"/>
  <c r="EE59" i="5"/>
  <c r="DV59" i="5"/>
  <c r="DM59" i="5"/>
  <c r="DD59" i="5"/>
  <c r="CU59" i="5"/>
  <c r="CL59" i="5"/>
  <c r="CC59" i="5"/>
  <c r="BY59" i="5"/>
  <c r="BP59" i="5"/>
  <c r="BM59" i="5"/>
  <c r="BJ59" i="5"/>
  <c r="BG59" i="5"/>
  <c r="BS59" i="5" s="1"/>
  <c r="BE59" i="5"/>
  <c r="AW59" i="5"/>
  <c r="AS59" i="5"/>
  <c r="AO59" i="5"/>
  <c r="AK59" i="5"/>
  <c r="AG59" i="5"/>
  <c r="AC59" i="5"/>
  <c r="Y59" i="5"/>
  <c r="U59" i="5"/>
  <c r="Q59" i="5"/>
  <c r="M59" i="5"/>
  <c r="I59" i="5"/>
  <c r="E59" i="5"/>
  <c r="HC58" i="5"/>
  <c r="GW58" i="5"/>
  <c r="GN58" i="5"/>
  <c r="GE58" i="5"/>
  <c r="FO58" i="5"/>
  <c r="FF58" i="5"/>
  <c r="EW58" i="5"/>
  <c r="EN58" i="5"/>
  <c r="EE58" i="5"/>
  <c r="DV58" i="5"/>
  <c r="DM58" i="5"/>
  <c r="DD58" i="5"/>
  <c r="CU58" i="5"/>
  <c r="CL58" i="5"/>
  <c r="CC58" i="5"/>
  <c r="BY58" i="5"/>
  <c r="BP58" i="5"/>
  <c r="BM58" i="5"/>
  <c r="BJ58" i="5"/>
  <c r="BG58" i="5"/>
  <c r="BS58" i="5" s="1"/>
  <c r="BE58" i="5"/>
  <c r="AW58" i="5"/>
  <c r="AS58" i="5"/>
  <c r="AO58" i="5"/>
  <c r="BA58" i="5" s="1"/>
  <c r="AK58" i="5"/>
  <c r="AG58" i="5"/>
  <c r="AC58" i="5"/>
  <c r="Y58" i="5"/>
  <c r="U58" i="5"/>
  <c r="Q58" i="5"/>
  <c r="M58" i="5"/>
  <c r="I58" i="5"/>
  <c r="E58" i="5"/>
  <c r="HC57" i="5"/>
  <c r="GW57" i="5"/>
  <c r="GN57" i="5"/>
  <c r="GE57" i="5"/>
  <c r="FO57" i="5"/>
  <c r="FF57" i="5"/>
  <c r="EW57" i="5"/>
  <c r="EN57" i="5"/>
  <c r="EE57" i="5"/>
  <c r="DV57" i="5"/>
  <c r="DM57" i="5"/>
  <c r="DD57" i="5"/>
  <c r="CU57" i="5"/>
  <c r="CL57" i="5"/>
  <c r="CC57" i="5"/>
  <c r="BY57" i="5"/>
  <c r="BP57" i="5"/>
  <c r="BM57" i="5"/>
  <c r="BJ57" i="5"/>
  <c r="BG57" i="5"/>
  <c r="BS57" i="5" s="1"/>
  <c r="BE57" i="5"/>
  <c r="AW57" i="5"/>
  <c r="AS57" i="5"/>
  <c r="AO57" i="5"/>
  <c r="AK57" i="5"/>
  <c r="AG57" i="5"/>
  <c r="AC57" i="5"/>
  <c r="Y57" i="5"/>
  <c r="U57" i="5"/>
  <c r="Q57" i="5"/>
  <c r="M57" i="5"/>
  <c r="I57" i="5"/>
  <c r="E57" i="5"/>
  <c r="HG56" i="5"/>
  <c r="HJ56" i="5" s="1"/>
  <c r="HF56" i="5"/>
  <c r="HC56" i="5"/>
  <c r="GY56" i="5"/>
  <c r="HA56" i="5" s="1"/>
  <c r="GW56" i="5"/>
  <c r="GR56" i="5"/>
  <c r="GU56" i="5" s="1"/>
  <c r="GQ56" i="5"/>
  <c r="GN56" i="5"/>
  <c r="GI56" i="5"/>
  <c r="GL56" i="5" s="1"/>
  <c r="GH56" i="5"/>
  <c r="GE56" i="5"/>
  <c r="FS56" i="5"/>
  <c r="FV56" i="5" s="1"/>
  <c r="FR56" i="5"/>
  <c r="FO56" i="5"/>
  <c r="FJ56" i="5"/>
  <c r="FM56" i="5" s="1"/>
  <c r="FI56" i="5"/>
  <c r="FL56" i="5" s="1"/>
  <c r="FF56" i="5"/>
  <c r="FA56" i="5"/>
  <c r="FD56" i="5" s="1"/>
  <c r="EZ56" i="5"/>
  <c r="EW56" i="5"/>
  <c r="ER56" i="5"/>
  <c r="EU56" i="5" s="1"/>
  <c r="EQ56" i="5"/>
  <c r="EN56" i="5"/>
  <c r="EI56" i="5"/>
  <c r="EL56" i="5" s="1"/>
  <c r="EH56" i="5"/>
  <c r="EE56" i="5"/>
  <c r="DZ56" i="5"/>
  <c r="EC56" i="5" s="1"/>
  <c r="DY56" i="5"/>
  <c r="EB56" i="5" s="1"/>
  <c r="DV56" i="5"/>
  <c r="DQ56" i="5"/>
  <c r="DT56" i="5" s="1"/>
  <c r="DP56" i="5"/>
  <c r="DM56" i="5"/>
  <c r="DH56" i="5"/>
  <c r="DK56" i="5" s="1"/>
  <c r="DG56" i="5"/>
  <c r="DD56" i="5"/>
  <c r="CY56" i="5"/>
  <c r="DB56" i="5" s="1"/>
  <c r="CX56" i="5"/>
  <c r="CU56" i="5"/>
  <c r="CP56" i="5"/>
  <c r="CS56" i="5" s="1"/>
  <c r="CO56" i="5"/>
  <c r="CR56" i="5" s="1"/>
  <c r="CL56" i="5"/>
  <c r="CG56" i="5"/>
  <c r="CJ56" i="5" s="1"/>
  <c r="CF56" i="5"/>
  <c r="CC56" i="5"/>
  <c r="CA56" i="5"/>
  <c r="CB56" i="5" s="1"/>
  <c r="BY56" i="5"/>
  <c r="BP56" i="5"/>
  <c r="BM56" i="5"/>
  <c r="BJ56" i="5"/>
  <c r="BG56" i="5"/>
  <c r="BE56" i="5"/>
  <c r="AW56" i="5"/>
  <c r="AS56" i="5"/>
  <c r="AO56" i="5"/>
  <c r="AK56" i="5"/>
  <c r="AG56" i="5"/>
  <c r="AC56" i="5"/>
  <c r="Y56" i="5"/>
  <c r="U56" i="5"/>
  <c r="Q56" i="5"/>
  <c r="M56" i="5"/>
  <c r="I56" i="5"/>
  <c r="E56" i="5"/>
  <c r="HC55" i="5"/>
  <c r="GW55" i="5"/>
  <c r="GN55" i="5"/>
  <c r="GE55" i="5"/>
  <c r="FO55" i="5"/>
  <c r="FF55" i="5"/>
  <c r="EW55" i="5"/>
  <c r="EN55" i="5"/>
  <c r="EE55" i="5"/>
  <c r="DV55" i="5"/>
  <c r="DM55" i="5"/>
  <c r="DD55" i="5"/>
  <c r="CU55" i="5"/>
  <c r="CL55" i="5"/>
  <c r="CC55" i="5"/>
  <c r="BY55" i="5"/>
  <c r="BP55" i="5"/>
  <c r="BM55" i="5"/>
  <c r="BJ55" i="5"/>
  <c r="BG55" i="5"/>
  <c r="BS55" i="5" s="1"/>
  <c r="BE55" i="5"/>
  <c r="AW55" i="5"/>
  <c r="AS55" i="5"/>
  <c r="AO55" i="5"/>
  <c r="BA55" i="5" s="1"/>
  <c r="AK55" i="5"/>
  <c r="AG55" i="5"/>
  <c r="AC55" i="5"/>
  <c r="Y55" i="5"/>
  <c r="U55" i="5"/>
  <c r="Q55" i="5"/>
  <c r="M55" i="5"/>
  <c r="I55" i="5"/>
  <c r="E55" i="5"/>
  <c r="HC54" i="5"/>
  <c r="GW54" i="5"/>
  <c r="GN54" i="5"/>
  <c r="GE54" i="5"/>
  <c r="FO54" i="5"/>
  <c r="FF54" i="5"/>
  <c r="EW54" i="5"/>
  <c r="EN54" i="5"/>
  <c r="EE54" i="5"/>
  <c r="DV54" i="5"/>
  <c r="DM54" i="5"/>
  <c r="DD54" i="5"/>
  <c r="CU54" i="5"/>
  <c r="CL54" i="5"/>
  <c r="CC54" i="5"/>
  <c r="BY54" i="5"/>
  <c r="BP54" i="5"/>
  <c r="BM54" i="5"/>
  <c r="BJ54" i="5"/>
  <c r="BG54" i="5"/>
  <c r="BS54" i="5" s="1"/>
  <c r="BE54" i="5"/>
  <c r="AW54" i="5"/>
  <c r="AS54" i="5"/>
  <c r="AO54" i="5"/>
  <c r="AK54" i="5"/>
  <c r="AG54" i="5"/>
  <c r="AC54" i="5"/>
  <c r="Y54" i="5"/>
  <c r="U54" i="5"/>
  <c r="Q54" i="5"/>
  <c r="M54" i="5"/>
  <c r="I54" i="5"/>
  <c r="E54" i="5"/>
  <c r="HC53" i="5"/>
  <c r="GW53" i="5"/>
  <c r="GN53" i="5"/>
  <c r="GE53" i="5"/>
  <c r="FO53" i="5"/>
  <c r="FF53" i="5"/>
  <c r="EW53" i="5"/>
  <c r="EN53" i="5"/>
  <c r="EE53" i="5"/>
  <c r="DV53" i="5"/>
  <c r="DM53" i="5"/>
  <c r="DD53" i="5"/>
  <c r="CU53" i="5"/>
  <c r="CL53" i="5"/>
  <c r="CC53" i="5"/>
  <c r="BY53" i="5"/>
  <c r="BP53" i="5"/>
  <c r="BM53" i="5"/>
  <c r="BJ53" i="5"/>
  <c r="BG53" i="5"/>
  <c r="BE53" i="5"/>
  <c r="AW53" i="5"/>
  <c r="AS53" i="5"/>
  <c r="AO53" i="5"/>
  <c r="BA53" i="5" s="1"/>
  <c r="AK53" i="5"/>
  <c r="AG53" i="5"/>
  <c r="AC53" i="5"/>
  <c r="Y53" i="5"/>
  <c r="U53" i="5"/>
  <c r="Q53" i="5"/>
  <c r="M53" i="5"/>
  <c r="I53" i="5"/>
  <c r="E53" i="5"/>
  <c r="HC52" i="5"/>
  <c r="GW52" i="5"/>
  <c r="GN52" i="5"/>
  <c r="GE52" i="5"/>
  <c r="FO52" i="5"/>
  <c r="FF52" i="5"/>
  <c r="EW52" i="5"/>
  <c r="EN52" i="5"/>
  <c r="EE52" i="5"/>
  <c r="DV52" i="5"/>
  <c r="DM52" i="5"/>
  <c r="DD52" i="5"/>
  <c r="CU52" i="5"/>
  <c r="CL52" i="5"/>
  <c r="CC52" i="5"/>
  <c r="BY52" i="5"/>
  <c r="BP52" i="5"/>
  <c r="BM52" i="5"/>
  <c r="BJ52" i="5"/>
  <c r="BG52" i="5"/>
  <c r="BE52" i="5"/>
  <c r="AW52" i="5"/>
  <c r="AS52" i="5"/>
  <c r="AO52" i="5"/>
  <c r="BA52" i="5" s="1"/>
  <c r="AK52" i="5"/>
  <c r="AG52" i="5"/>
  <c r="AC52" i="5"/>
  <c r="Y52" i="5"/>
  <c r="U52" i="5"/>
  <c r="Q52" i="5"/>
  <c r="M52" i="5"/>
  <c r="I52" i="5"/>
  <c r="E52" i="5"/>
  <c r="HG51" i="5"/>
  <c r="HJ51" i="5" s="1"/>
  <c r="HF51" i="5"/>
  <c r="HC51" i="5"/>
  <c r="GY51" i="5"/>
  <c r="GW51" i="5"/>
  <c r="GR51" i="5"/>
  <c r="GU51" i="5" s="1"/>
  <c r="GQ51" i="5"/>
  <c r="GN51" i="5"/>
  <c r="GI51" i="5"/>
  <c r="GL51" i="5" s="1"/>
  <c r="HN51" i="5" s="1"/>
  <c r="GH51" i="5"/>
  <c r="GK51" i="5" s="1"/>
  <c r="GE51" i="5"/>
  <c r="FS51" i="5"/>
  <c r="FV51" i="5" s="1"/>
  <c r="FR51" i="5"/>
  <c r="FO51" i="5"/>
  <c r="FJ51" i="5"/>
  <c r="FM51" i="5" s="1"/>
  <c r="FI51" i="5"/>
  <c r="FF51" i="5"/>
  <c r="FA51" i="5"/>
  <c r="FD51" i="5" s="1"/>
  <c r="EZ51" i="5"/>
  <c r="EW51" i="5"/>
  <c r="ER51" i="5"/>
  <c r="EU51" i="5" s="1"/>
  <c r="EQ51" i="5"/>
  <c r="ET51" i="5" s="1"/>
  <c r="EN51" i="5"/>
  <c r="EI51" i="5"/>
  <c r="EL51" i="5" s="1"/>
  <c r="EH51" i="5"/>
  <c r="EE51" i="5"/>
  <c r="DZ51" i="5"/>
  <c r="EC51" i="5" s="1"/>
  <c r="DY51" i="5"/>
  <c r="DV51" i="5"/>
  <c r="DQ51" i="5"/>
  <c r="DT51" i="5" s="1"/>
  <c r="DP51" i="5"/>
  <c r="DM51" i="5"/>
  <c r="DH51" i="5"/>
  <c r="DK51" i="5" s="1"/>
  <c r="DG51" i="5"/>
  <c r="DJ51" i="5" s="1"/>
  <c r="DD51" i="5"/>
  <c r="CY51" i="5"/>
  <c r="DB51" i="5" s="1"/>
  <c r="CX51" i="5"/>
  <c r="CU51" i="5"/>
  <c r="CP51" i="5"/>
  <c r="CS51" i="5" s="1"/>
  <c r="CO51" i="5"/>
  <c r="CL51" i="5"/>
  <c r="CG51" i="5"/>
  <c r="CJ51" i="5" s="1"/>
  <c r="GA51" i="5" s="1"/>
  <c r="CF51" i="5"/>
  <c r="CC51" i="5"/>
  <c r="CA51" i="5"/>
  <c r="FY51" i="5" s="1"/>
  <c r="BY51" i="5"/>
  <c r="BP51" i="5"/>
  <c r="BM51" i="5"/>
  <c r="BJ51" i="5"/>
  <c r="BG51" i="5"/>
  <c r="BS51" i="5" s="1"/>
  <c r="BE51" i="5"/>
  <c r="AW51" i="5"/>
  <c r="AS51" i="5"/>
  <c r="AO51" i="5"/>
  <c r="AK51" i="5"/>
  <c r="AG51" i="5"/>
  <c r="AC51" i="5"/>
  <c r="Y51" i="5"/>
  <c r="U51" i="5"/>
  <c r="Q51" i="5"/>
  <c r="M51" i="5"/>
  <c r="I51" i="5"/>
  <c r="E51" i="5"/>
  <c r="HC50" i="5"/>
  <c r="GW50" i="5"/>
  <c r="GN50" i="5"/>
  <c r="GE50" i="5"/>
  <c r="FO50" i="5"/>
  <c r="FF50" i="5"/>
  <c r="EW50" i="5"/>
  <c r="EN50" i="5"/>
  <c r="EE50" i="5"/>
  <c r="DV50" i="5"/>
  <c r="DM50" i="5"/>
  <c r="DD50" i="5"/>
  <c r="CU50" i="5"/>
  <c r="CL50" i="5"/>
  <c r="CC50" i="5"/>
  <c r="BY50" i="5"/>
  <c r="BP50" i="5"/>
  <c r="BM50" i="5"/>
  <c r="BJ50" i="5"/>
  <c r="BG50" i="5"/>
  <c r="BE50" i="5"/>
  <c r="AW50" i="5"/>
  <c r="AS50" i="5"/>
  <c r="AO50" i="5"/>
  <c r="BA50" i="5" s="1"/>
  <c r="AK50" i="5"/>
  <c r="AG50" i="5"/>
  <c r="AC50" i="5"/>
  <c r="Y50" i="5"/>
  <c r="U50" i="5"/>
  <c r="Q50" i="5"/>
  <c r="M50" i="5"/>
  <c r="I50" i="5"/>
  <c r="E50" i="5"/>
  <c r="HC49" i="5"/>
  <c r="GW49" i="5"/>
  <c r="GN49" i="5"/>
  <c r="GE49" i="5"/>
  <c r="FO49" i="5"/>
  <c r="FF49" i="5"/>
  <c r="EW49" i="5"/>
  <c r="EN49" i="5"/>
  <c r="EE49" i="5"/>
  <c r="DV49" i="5"/>
  <c r="DM49" i="5"/>
  <c r="DD49" i="5"/>
  <c r="CU49" i="5"/>
  <c r="CL49" i="5"/>
  <c r="CC49" i="5"/>
  <c r="BY49" i="5"/>
  <c r="BP49" i="5"/>
  <c r="BM49" i="5"/>
  <c r="BJ49" i="5"/>
  <c r="BG49" i="5"/>
  <c r="BE49" i="5"/>
  <c r="AW49" i="5"/>
  <c r="AS49" i="5"/>
  <c r="AO49" i="5"/>
  <c r="BA49" i="5" s="1"/>
  <c r="AK49" i="5"/>
  <c r="AG49" i="5"/>
  <c r="AC49" i="5"/>
  <c r="Y49" i="5"/>
  <c r="U49" i="5"/>
  <c r="Q49" i="5"/>
  <c r="M49" i="5"/>
  <c r="I49" i="5"/>
  <c r="E49" i="5"/>
  <c r="HC48" i="5"/>
  <c r="GW48" i="5"/>
  <c r="GN48" i="5"/>
  <c r="GE48" i="5"/>
  <c r="FO48" i="5"/>
  <c r="FF48" i="5"/>
  <c r="EW48" i="5"/>
  <c r="EN48" i="5"/>
  <c r="EE48" i="5"/>
  <c r="DV48" i="5"/>
  <c r="DM48" i="5"/>
  <c r="DD48" i="5"/>
  <c r="CU48" i="5"/>
  <c r="CL48" i="5"/>
  <c r="CC48" i="5"/>
  <c r="BY48" i="5"/>
  <c r="BP48" i="5"/>
  <c r="BM48" i="5"/>
  <c r="BJ48" i="5"/>
  <c r="BG48" i="5"/>
  <c r="BS48" i="5" s="1"/>
  <c r="BE48" i="5"/>
  <c r="AW48" i="5"/>
  <c r="AS48" i="5"/>
  <c r="AO48" i="5"/>
  <c r="BA48" i="5" s="1"/>
  <c r="AK48" i="5"/>
  <c r="AG48" i="5"/>
  <c r="AC48" i="5"/>
  <c r="Y48" i="5"/>
  <c r="U48" i="5"/>
  <c r="Q48" i="5"/>
  <c r="M48" i="5"/>
  <c r="I48" i="5"/>
  <c r="E48" i="5"/>
  <c r="HC47" i="5"/>
  <c r="GW47" i="5"/>
  <c r="GN47" i="5"/>
  <c r="GE47" i="5"/>
  <c r="FO47" i="5"/>
  <c r="FF47" i="5"/>
  <c r="EW47" i="5"/>
  <c r="EN47" i="5"/>
  <c r="EE47" i="5"/>
  <c r="DV47" i="5"/>
  <c r="DM47" i="5"/>
  <c r="DD47" i="5"/>
  <c r="CU47" i="5"/>
  <c r="CL47" i="5"/>
  <c r="CC47" i="5"/>
  <c r="BY47" i="5"/>
  <c r="BP47" i="5"/>
  <c r="BM47" i="5"/>
  <c r="BJ47" i="5"/>
  <c r="BG47" i="5"/>
  <c r="BS47" i="5" s="1"/>
  <c r="BE47" i="5"/>
  <c r="AW47" i="5"/>
  <c r="AS47" i="5"/>
  <c r="AO47" i="5"/>
  <c r="AK47" i="5"/>
  <c r="AG47" i="5"/>
  <c r="AC47" i="5"/>
  <c r="Y47" i="5"/>
  <c r="U47" i="5"/>
  <c r="Q47" i="5"/>
  <c r="M47" i="5"/>
  <c r="I47" i="5"/>
  <c r="E47" i="5"/>
  <c r="HG46" i="5"/>
  <c r="HJ46" i="5" s="1"/>
  <c r="HF46" i="5"/>
  <c r="HC46" i="5"/>
  <c r="GY46" i="5"/>
  <c r="HA46" i="5" s="1"/>
  <c r="GW46" i="5"/>
  <c r="GR46" i="5"/>
  <c r="GU46" i="5" s="1"/>
  <c r="GQ46" i="5"/>
  <c r="GN46" i="5"/>
  <c r="GI46" i="5"/>
  <c r="GL46" i="5" s="1"/>
  <c r="GH46" i="5"/>
  <c r="GE46" i="5"/>
  <c r="FS46" i="5"/>
  <c r="FV46" i="5" s="1"/>
  <c r="FR46" i="5"/>
  <c r="FO46" i="5"/>
  <c r="FJ46" i="5"/>
  <c r="FM46" i="5" s="1"/>
  <c r="FI46" i="5"/>
  <c r="FL46" i="5" s="1"/>
  <c r="FF46" i="5"/>
  <c r="FA46" i="5"/>
  <c r="FD46" i="5" s="1"/>
  <c r="EZ46" i="5"/>
  <c r="EW46" i="5"/>
  <c r="ER46" i="5"/>
  <c r="EU46" i="5" s="1"/>
  <c r="EQ46" i="5"/>
  <c r="EN46" i="5"/>
  <c r="EI46" i="5"/>
  <c r="EL46" i="5" s="1"/>
  <c r="EH46" i="5"/>
  <c r="EE46" i="5"/>
  <c r="DZ46" i="5"/>
  <c r="EC46" i="5" s="1"/>
  <c r="DY46" i="5"/>
  <c r="DV46" i="5"/>
  <c r="DQ46" i="5"/>
  <c r="DT46" i="5" s="1"/>
  <c r="DP46" i="5"/>
  <c r="DM46" i="5"/>
  <c r="DH46" i="5"/>
  <c r="DK46" i="5" s="1"/>
  <c r="DG46" i="5"/>
  <c r="DD46" i="5"/>
  <c r="CY46" i="5"/>
  <c r="DB46" i="5" s="1"/>
  <c r="CX46" i="5"/>
  <c r="CU46" i="5"/>
  <c r="CP46" i="5"/>
  <c r="CS46" i="5" s="1"/>
  <c r="CO46" i="5"/>
  <c r="CL46" i="5"/>
  <c r="CG46" i="5"/>
  <c r="CJ46" i="5" s="1"/>
  <c r="GA46" i="5" s="1"/>
  <c r="CF46" i="5"/>
  <c r="CC46" i="5"/>
  <c r="CA46" i="5"/>
  <c r="CB46" i="5" s="1"/>
  <c r="BY46" i="5"/>
  <c r="BP46" i="5"/>
  <c r="BM46" i="5"/>
  <c r="BJ46" i="5"/>
  <c r="BG46" i="5"/>
  <c r="BE46" i="5"/>
  <c r="AW46" i="5"/>
  <c r="AS46" i="5"/>
  <c r="AO46" i="5"/>
  <c r="BA46" i="5" s="1"/>
  <c r="AK46" i="5"/>
  <c r="AG46" i="5"/>
  <c r="AC46" i="5"/>
  <c r="Y46" i="5"/>
  <c r="U46" i="5"/>
  <c r="Q46" i="5"/>
  <c r="M46" i="5"/>
  <c r="I46" i="5"/>
  <c r="E46" i="5"/>
  <c r="HC45" i="5"/>
  <c r="GW45" i="5"/>
  <c r="GN45" i="5"/>
  <c r="GE45" i="5"/>
  <c r="FO45" i="5"/>
  <c r="FF45" i="5"/>
  <c r="EW45" i="5"/>
  <c r="EN45" i="5"/>
  <c r="EE45" i="5"/>
  <c r="DV45" i="5"/>
  <c r="DM45" i="5"/>
  <c r="DD45" i="5"/>
  <c r="CU45" i="5"/>
  <c r="CL45" i="5"/>
  <c r="CC45" i="5"/>
  <c r="BY45" i="5"/>
  <c r="BP45" i="5"/>
  <c r="BM45" i="5"/>
  <c r="BJ45" i="5"/>
  <c r="BG45" i="5"/>
  <c r="BS45" i="5" s="1"/>
  <c r="BE45" i="5"/>
  <c r="AW45" i="5"/>
  <c r="AS45" i="5"/>
  <c r="AO45" i="5"/>
  <c r="BA45" i="5" s="1"/>
  <c r="AK45" i="5"/>
  <c r="AG45" i="5"/>
  <c r="AC45" i="5"/>
  <c r="Y45" i="5"/>
  <c r="U45" i="5"/>
  <c r="Q45" i="5"/>
  <c r="M45" i="5"/>
  <c r="I45" i="5"/>
  <c r="E45" i="5"/>
  <c r="HC44" i="5"/>
  <c r="GW44" i="5"/>
  <c r="GN44" i="5"/>
  <c r="GE44" i="5"/>
  <c r="FO44" i="5"/>
  <c r="FF44" i="5"/>
  <c r="EW44" i="5"/>
  <c r="EN44" i="5"/>
  <c r="EE44" i="5"/>
  <c r="DV44" i="5"/>
  <c r="DM44" i="5"/>
  <c r="DD44" i="5"/>
  <c r="CU44" i="5"/>
  <c r="CL44" i="5"/>
  <c r="CC44" i="5"/>
  <c r="BY44" i="5"/>
  <c r="BP44" i="5"/>
  <c r="BM44" i="5"/>
  <c r="BJ44" i="5"/>
  <c r="BG44" i="5"/>
  <c r="BE44" i="5"/>
  <c r="AW44" i="5"/>
  <c r="AS44" i="5"/>
  <c r="AO44" i="5"/>
  <c r="BA44" i="5" s="1"/>
  <c r="AK44" i="5"/>
  <c r="AG44" i="5"/>
  <c r="AC44" i="5"/>
  <c r="Y44" i="5"/>
  <c r="U44" i="5"/>
  <c r="Q44" i="5"/>
  <c r="M44" i="5"/>
  <c r="I44" i="5"/>
  <c r="E44" i="5"/>
  <c r="HC43" i="5"/>
  <c r="GW43" i="5"/>
  <c r="GN43" i="5"/>
  <c r="GE43" i="5"/>
  <c r="FO43" i="5"/>
  <c r="FF43" i="5"/>
  <c r="EW43" i="5"/>
  <c r="EN43" i="5"/>
  <c r="EE43" i="5"/>
  <c r="DV43" i="5"/>
  <c r="DM43" i="5"/>
  <c r="DD43" i="5"/>
  <c r="CU43" i="5"/>
  <c r="CL43" i="5"/>
  <c r="CC43" i="5"/>
  <c r="BY43" i="5"/>
  <c r="BP43" i="5"/>
  <c r="BM43" i="5"/>
  <c r="BJ43" i="5"/>
  <c r="BG43" i="5"/>
  <c r="BS43" i="5" s="1"/>
  <c r="BE43" i="5"/>
  <c r="AW43" i="5"/>
  <c r="AS43" i="5"/>
  <c r="AO43" i="5"/>
  <c r="BA43" i="5" s="1"/>
  <c r="AK43" i="5"/>
  <c r="AG43" i="5"/>
  <c r="AC43" i="5"/>
  <c r="Y43" i="5"/>
  <c r="U43" i="5"/>
  <c r="Q43" i="5"/>
  <c r="M43" i="5"/>
  <c r="I43" i="5"/>
  <c r="E43" i="5"/>
  <c r="HG42" i="5"/>
  <c r="HJ42" i="5" s="1"/>
  <c r="HF42" i="5"/>
  <c r="HC42" i="5"/>
  <c r="GY42" i="5"/>
  <c r="GW42" i="5"/>
  <c r="GR42" i="5"/>
  <c r="GU42" i="5" s="1"/>
  <c r="GQ42" i="5"/>
  <c r="GN42" i="5"/>
  <c r="GI42" i="5"/>
  <c r="GL42" i="5" s="1"/>
  <c r="GH42" i="5"/>
  <c r="GE42" i="5"/>
  <c r="FS42" i="5"/>
  <c r="FV42" i="5" s="1"/>
  <c r="FR42" i="5"/>
  <c r="FO42" i="5"/>
  <c r="FJ42" i="5"/>
  <c r="FM42" i="5" s="1"/>
  <c r="FI42" i="5"/>
  <c r="FF42" i="5"/>
  <c r="FA42" i="5"/>
  <c r="FD42" i="5" s="1"/>
  <c r="EZ42" i="5"/>
  <c r="EW42" i="5"/>
  <c r="ER42" i="5"/>
  <c r="EU42" i="5" s="1"/>
  <c r="EQ42" i="5"/>
  <c r="EN42" i="5"/>
  <c r="EI42" i="5"/>
  <c r="EL42" i="5" s="1"/>
  <c r="EH42" i="5"/>
  <c r="EE42" i="5"/>
  <c r="DZ42" i="5"/>
  <c r="EC42" i="5" s="1"/>
  <c r="DY42" i="5"/>
  <c r="DV42" i="5"/>
  <c r="DQ42" i="5"/>
  <c r="DT42" i="5" s="1"/>
  <c r="DP42" i="5"/>
  <c r="DM42" i="5"/>
  <c r="DH42" i="5"/>
  <c r="DK42" i="5" s="1"/>
  <c r="DG42" i="5"/>
  <c r="DD42" i="5"/>
  <c r="CY42" i="5"/>
  <c r="DB42" i="5" s="1"/>
  <c r="CX42" i="5"/>
  <c r="CU42" i="5"/>
  <c r="CP42" i="5"/>
  <c r="CS42" i="5" s="1"/>
  <c r="CO42" i="5"/>
  <c r="CL42" i="5"/>
  <c r="CG42" i="5"/>
  <c r="CJ42" i="5" s="1"/>
  <c r="CF42" i="5"/>
  <c r="CC42" i="5"/>
  <c r="CA42" i="5"/>
  <c r="CB42" i="5" s="1"/>
  <c r="BY42" i="5"/>
  <c r="BP42" i="5"/>
  <c r="BM42" i="5"/>
  <c r="BJ42" i="5"/>
  <c r="BG42" i="5"/>
  <c r="BE42" i="5"/>
  <c r="AW42" i="5"/>
  <c r="AS42" i="5"/>
  <c r="AO42" i="5"/>
  <c r="AK42" i="5"/>
  <c r="AG42" i="5"/>
  <c r="AC42" i="5"/>
  <c r="Y42" i="5"/>
  <c r="U42" i="5"/>
  <c r="Q42" i="5"/>
  <c r="M42" i="5"/>
  <c r="I42" i="5"/>
  <c r="E42" i="5"/>
  <c r="HC41" i="5"/>
  <c r="GW41" i="5"/>
  <c r="GN41" i="5"/>
  <c r="GE41" i="5"/>
  <c r="FO41" i="5"/>
  <c r="FF41" i="5"/>
  <c r="EW41" i="5"/>
  <c r="EN41" i="5"/>
  <c r="EE41" i="5"/>
  <c r="DV41" i="5"/>
  <c r="DM41" i="5"/>
  <c r="DD41" i="5"/>
  <c r="CU41" i="5"/>
  <c r="CL41" i="5"/>
  <c r="CC41" i="5"/>
  <c r="BY41" i="5"/>
  <c r="BP41" i="5"/>
  <c r="BM41" i="5"/>
  <c r="BJ41" i="5"/>
  <c r="BG41" i="5"/>
  <c r="BE41" i="5"/>
  <c r="AW41" i="5"/>
  <c r="AS41" i="5"/>
  <c r="AO41" i="5"/>
  <c r="BA41" i="5" s="1"/>
  <c r="AK41" i="5"/>
  <c r="AG41" i="5"/>
  <c r="AC41" i="5"/>
  <c r="Y41" i="5"/>
  <c r="U41" i="5"/>
  <c r="Q41" i="5"/>
  <c r="M41" i="5"/>
  <c r="I41" i="5"/>
  <c r="E41" i="5"/>
  <c r="HC40" i="5"/>
  <c r="GW40" i="5"/>
  <c r="GN40" i="5"/>
  <c r="GE40" i="5"/>
  <c r="FO40" i="5"/>
  <c r="FF40" i="5"/>
  <c r="EW40" i="5"/>
  <c r="EN40" i="5"/>
  <c r="EE40" i="5"/>
  <c r="DV40" i="5"/>
  <c r="DM40" i="5"/>
  <c r="DD40" i="5"/>
  <c r="CU40" i="5"/>
  <c r="CL40" i="5"/>
  <c r="CC40" i="5"/>
  <c r="BY40" i="5"/>
  <c r="BP40" i="5"/>
  <c r="BM40" i="5"/>
  <c r="BJ40" i="5"/>
  <c r="BG40" i="5"/>
  <c r="BE40" i="5"/>
  <c r="AW40" i="5"/>
  <c r="AS40" i="5"/>
  <c r="AO40" i="5"/>
  <c r="BA40" i="5" s="1"/>
  <c r="AK40" i="5"/>
  <c r="AG40" i="5"/>
  <c r="AC40" i="5"/>
  <c r="Y40" i="5"/>
  <c r="U40" i="5"/>
  <c r="Q40" i="5"/>
  <c r="M40" i="5"/>
  <c r="I40" i="5"/>
  <c r="E40" i="5"/>
  <c r="HC39" i="5"/>
  <c r="GW39" i="5"/>
  <c r="GN39" i="5"/>
  <c r="GE39" i="5"/>
  <c r="FO39" i="5"/>
  <c r="FF39" i="5"/>
  <c r="EW39" i="5"/>
  <c r="EN39" i="5"/>
  <c r="EE39" i="5"/>
  <c r="DV39" i="5"/>
  <c r="DM39" i="5"/>
  <c r="DD39" i="5"/>
  <c r="CU39" i="5"/>
  <c r="CL39" i="5"/>
  <c r="CC39" i="5"/>
  <c r="BY39" i="5"/>
  <c r="BP39" i="5"/>
  <c r="BM39" i="5"/>
  <c r="BJ39" i="5"/>
  <c r="BG39" i="5"/>
  <c r="BE39" i="5"/>
  <c r="AW39" i="5"/>
  <c r="AS39" i="5"/>
  <c r="AO39" i="5"/>
  <c r="AK39" i="5"/>
  <c r="AG39" i="5"/>
  <c r="AC39" i="5"/>
  <c r="Y39" i="5"/>
  <c r="U39" i="5"/>
  <c r="Q39" i="5"/>
  <c r="M39" i="5"/>
  <c r="I39" i="5"/>
  <c r="E39" i="5"/>
  <c r="HC38" i="5"/>
  <c r="GW38" i="5"/>
  <c r="GN38" i="5"/>
  <c r="GE38" i="5"/>
  <c r="FO38" i="5"/>
  <c r="FF38" i="5"/>
  <c r="EW38" i="5"/>
  <c r="EN38" i="5"/>
  <c r="EE38" i="5"/>
  <c r="DV38" i="5"/>
  <c r="DM38" i="5"/>
  <c r="DD38" i="5"/>
  <c r="CU38" i="5"/>
  <c r="CL38" i="5"/>
  <c r="CC38" i="5"/>
  <c r="BY38" i="5"/>
  <c r="BP38" i="5"/>
  <c r="BM38" i="5"/>
  <c r="BJ38" i="5"/>
  <c r="BG38" i="5"/>
  <c r="BS38" i="5" s="1"/>
  <c r="BE38" i="5"/>
  <c r="AW38" i="5"/>
  <c r="AS38" i="5"/>
  <c r="AO38" i="5"/>
  <c r="BA38" i="5" s="1"/>
  <c r="AK38" i="5"/>
  <c r="AG38" i="5"/>
  <c r="AC38" i="5"/>
  <c r="Y38" i="5"/>
  <c r="U38" i="5"/>
  <c r="Q38" i="5"/>
  <c r="M38" i="5"/>
  <c r="I38" i="5"/>
  <c r="E38" i="5"/>
  <c r="HG37" i="5"/>
  <c r="HJ37" i="5" s="1"/>
  <c r="HF37" i="5"/>
  <c r="HC37" i="5"/>
  <c r="GY37" i="5"/>
  <c r="GW37" i="5"/>
  <c r="GR37" i="5"/>
  <c r="GU37" i="5" s="1"/>
  <c r="GQ37" i="5"/>
  <c r="GT37" i="5" s="1"/>
  <c r="GN37" i="5"/>
  <c r="GI37" i="5"/>
  <c r="GL37" i="5" s="1"/>
  <c r="GH37" i="5"/>
  <c r="GE37" i="5"/>
  <c r="FS37" i="5"/>
  <c r="FV37" i="5" s="1"/>
  <c r="FR37" i="5"/>
  <c r="FU37" i="5" s="1"/>
  <c r="FO37" i="5"/>
  <c r="FJ37" i="5"/>
  <c r="FM37" i="5" s="1"/>
  <c r="FI37" i="5"/>
  <c r="FF37" i="5"/>
  <c r="FA37" i="5"/>
  <c r="FD37" i="5" s="1"/>
  <c r="EZ37" i="5"/>
  <c r="FC37" i="5" s="1"/>
  <c r="EW37" i="5"/>
  <c r="ER37" i="5"/>
  <c r="EU37" i="5" s="1"/>
  <c r="EQ37" i="5"/>
  <c r="EN37" i="5"/>
  <c r="EI37" i="5"/>
  <c r="EL37" i="5" s="1"/>
  <c r="EH37" i="5"/>
  <c r="EE37" i="5"/>
  <c r="DZ37" i="5"/>
  <c r="EC37" i="5" s="1"/>
  <c r="DY37" i="5"/>
  <c r="DV37" i="5"/>
  <c r="DQ37" i="5"/>
  <c r="DT37" i="5" s="1"/>
  <c r="DP37" i="5"/>
  <c r="DM37" i="5"/>
  <c r="DH37" i="5"/>
  <c r="DK37" i="5" s="1"/>
  <c r="DG37" i="5"/>
  <c r="DD37" i="5"/>
  <c r="CY37" i="5"/>
  <c r="DB37" i="5" s="1"/>
  <c r="CX37" i="5"/>
  <c r="DA37" i="5" s="1"/>
  <c r="CU37" i="5"/>
  <c r="CP37" i="5"/>
  <c r="CS37" i="5" s="1"/>
  <c r="CO37" i="5"/>
  <c r="CL37" i="5"/>
  <c r="CG37" i="5"/>
  <c r="CJ37" i="5" s="1"/>
  <c r="CF37" i="5"/>
  <c r="CH37" i="5" s="1"/>
  <c r="CC37" i="5"/>
  <c r="CA37" i="5"/>
  <c r="CB37" i="5" s="1"/>
  <c r="BY37" i="5"/>
  <c r="BP37" i="5"/>
  <c r="BM37" i="5"/>
  <c r="BJ37" i="5"/>
  <c r="BG37" i="5"/>
  <c r="BE37" i="5"/>
  <c r="AW37" i="5"/>
  <c r="AS37" i="5"/>
  <c r="AO37" i="5"/>
  <c r="AK37" i="5"/>
  <c r="AG37" i="5"/>
  <c r="AC37" i="5"/>
  <c r="Y37" i="5"/>
  <c r="U37" i="5"/>
  <c r="Q37" i="5"/>
  <c r="M37" i="5"/>
  <c r="I37" i="5"/>
  <c r="E37" i="5"/>
  <c r="HC36" i="5"/>
  <c r="GW36" i="5"/>
  <c r="GN36" i="5"/>
  <c r="GE36" i="5"/>
  <c r="FO36" i="5"/>
  <c r="FF36" i="5"/>
  <c r="EW36" i="5"/>
  <c r="EN36" i="5"/>
  <c r="EE36" i="5"/>
  <c r="DV36" i="5"/>
  <c r="DM36" i="5"/>
  <c r="DD36" i="5"/>
  <c r="CU36" i="5"/>
  <c r="CL36" i="5"/>
  <c r="CC36" i="5"/>
  <c r="BY36" i="5"/>
  <c r="BP36" i="5"/>
  <c r="BM36" i="5"/>
  <c r="BJ36" i="5"/>
  <c r="BG36" i="5"/>
  <c r="BE36" i="5"/>
  <c r="AW36" i="5"/>
  <c r="AS36" i="5"/>
  <c r="AO36" i="5"/>
  <c r="AK36" i="5"/>
  <c r="AG36" i="5"/>
  <c r="AC36" i="5"/>
  <c r="Y36" i="5"/>
  <c r="U36" i="5"/>
  <c r="Q36" i="5"/>
  <c r="M36" i="5"/>
  <c r="I36" i="5"/>
  <c r="E36" i="5"/>
  <c r="HC35" i="5"/>
  <c r="GW35" i="5"/>
  <c r="GN35" i="5"/>
  <c r="GE35" i="5"/>
  <c r="FO35" i="5"/>
  <c r="FF35" i="5"/>
  <c r="EW35" i="5"/>
  <c r="EN35" i="5"/>
  <c r="EE35" i="5"/>
  <c r="DV35" i="5"/>
  <c r="DM35" i="5"/>
  <c r="DD35" i="5"/>
  <c r="CU35" i="5"/>
  <c r="CL35" i="5"/>
  <c r="CC35" i="5"/>
  <c r="BY35" i="5"/>
  <c r="BP35" i="5"/>
  <c r="BM35" i="5"/>
  <c r="BJ35" i="5"/>
  <c r="BG35" i="5"/>
  <c r="BS35" i="5" s="1"/>
  <c r="BE35" i="5"/>
  <c r="AW35" i="5"/>
  <c r="AS35" i="5"/>
  <c r="AO35" i="5"/>
  <c r="AK35" i="5"/>
  <c r="AG35" i="5"/>
  <c r="AC35" i="5"/>
  <c r="Y35" i="5"/>
  <c r="U35" i="5"/>
  <c r="Q35" i="5"/>
  <c r="M35" i="5"/>
  <c r="I35" i="5"/>
  <c r="E35" i="5"/>
  <c r="HC34" i="5"/>
  <c r="GW34" i="5"/>
  <c r="GN34" i="5"/>
  <c r="GE34" i="5"/>
  <c r="FO34" i="5"/>
  <c r="FF34" i="5"/>
  <c r="EW34" i="5"/>
  <c r="EN34" i="5"/>
  <c r="EE34" i="5"/>
  <c r="DV34" i="5"/>
  <c r="DM34" i="5"/>
  <c r="DD34" i="5"/>
  <c r="CU34" i="5"/>
  <c r="CL34" i="5"/>
  <c r="CC34" i="5"/>
  <c r="BY34" i="5"/>
  <c r="BP34" i="5"/>
  <c r="BM34" i="5"/>
  <c r="BJ34" i="5"/>
  <c r="BG34" i="5"/>
  <c r="BE34" i="5"/>
  <c r="AW34" i="5"/>
  <c r="AS34" i="5"/>
  <c r="AO34" i="5"/>
  <c r="BA34" i="5" s="1"/>
  <c r="AK34" i="5"/>
  <c r="AG34" i="5"/>
  <c r="AC34" i="5"/>
  <c r="Y34" i="5"/>
  <c r="U34" i="5"/>
  <c r="Q34" i="5"/>
  <c r="M34" i="5"/>
  <c r="I34" i="5"/>
  <c r="E34" i="5"/>
  <c r="HC33" i="5"/>
  <c r="GW33" i="5"/>
  <c r="GN33" i="5"/>
  <c r="GE33" i="5"/>
  <c r="FO33" i="5"/>
  <c r="FF33" i="5"/>
  <c r="EW33" i="5"/>
  <c r="EN33" i="5"/>
  <c r="EE33" i="5"/>
  <c r="DV33" i="5"/>
  <c r="DM33" i="5"/>
  <c r="DD33" i="5"/>
  <c r="CU33" i="5"/>
  <c r="CL33" i="5"/>
  <c r="CC33" i="5"/>
  <c r="BY33" i="5"/>
  <c r="BP33" i="5"/>
  <c r="BM33" i="5"/>
  <c r="BJ33" i="5"/>
  <c r="BG33" i="5"/>
  <c r="BS33" i="5" s="1"/>
  <c r="BE33" i="5"/>
  <c r="AW33" i="5"/>
  <c r="AS33" i="5"/>
  <c r="AO33" i="5"/>
  <c r="AK33" i="5"/>
  <c r="AG33" i="5"/>
  <c r="AC33" i="5"/>
  <c r="Y33" i="5"/>
  <c r="U33" i="5"/>
  <c r="Q33" i="5"/>
  <c r="M33" i="5"/>
  <c r="I33" i="5"/>
  <c r="E33" i="5"/>
  <c r="HG32" i="5"/>
  <c r="HJ32" i="5" s="1"/>
  <c r="HF32" i="5"/>
  <c r="HC32" i="5"/>
  <c r="GY32" i="5"/>
  <c r="GW32" i="5"/>
  <c r="GR32" i="5"/>
  <c r="GU32" i="5" s="1"/>
  <c r="GQ32" i="5"/>
  <c r="GT32" i="5" s="1"/>
  <c r="GN32" i="5"/>
  <c r="GI32" i="5"/>
  <c r="GL32" i="5" s="1"/>
  <c r="HN32" i="5" s="1"/>
  <c r="GH32" i="5"/>
  <c r="GE32" i="5"/>
  <c r="FS32" i="5"/>
  <c r="FV32" i="5" s="1"/>
  <c r="FR32" i="5"/>
  <c r="FO32" i="5"/>
  <c r="FJ32" i="5"/>
  <c r="FM32" i="5" s="1"/>
  <c r="FI32" i="5"/>
  <c r="FF32" i="5"/>
  <c r="FA32" i="5"/>
  <c r="FD32" i="5" s="1"/>
  <c r="EZ32" i="5"/>
  <c r="FC32" i="5" s="1"/>
  <c r="EW32" i="5"/>
  <c r="ER32" i="5"/>
  <c r="EU32" i="5" s="1"/>
  <c r="EQ32" i="5"/>
  <c r="EN32" i="5"/>
  <c r="EI32" i="5"/>
  <c r="EL32" i="5" s="1"/>
  <c r="EH32" i="5"/>
  <c r="EK32" i="5" s="1"/>
  <c r="EE32" i="5"/>
  <c r="DZ32" i="5"/>
  <c r="EC32" i="5" s="1"/>
  <c r="DY32" i="5"/>
  <c r="DV32" i="5"/>
  <c r="DQ32" i="5"/>
  <c r="DT32" i="5" s="1"/>
  <c r="DP32" i="5"/>
  <c r="DM32" i="5"/>
  <c r="DH32" i="5"/>
  <c r="DK32" i="5" s="1"/>
  <c r="DG32" i="5"/>
  <c r="DD32" i="5"/>
  <c r="CY32" i="5"/>
  <c r="DB32" i="5" s="1"/>
  <c r="CX32" i="5"/>
  <c r="CU32" i="5"/>
  <c r="CP32" i="5"/>
  <c r="CS32" i="5" s="1"/>
  <c r="CO32" i="5"/>
  <c r="CL32" i="5"/>
  <c r="CG32" i="5"/>
  <c r="CJ32" i="5" s="1"/>
  <c r="GA32" i="5" s="1"/>
  <c r="HS32" i="5" s="1"/>
  <c r="CF32" i="5"/>
  <c r="CI32" i="5" s="1"/>
  <c r="CC32" i="5"/>
  <c r="CA32" i="5"/>
  <c r="CB32" i="5" s="1"/>
  <c r="BY32" i="5"/>
  <c r="BP32" i="5"/>
  <c r="BM32" i="5"/>
  <c r="BJ32" i="5"/>
  <c r="BG32" i="5"/>
  <c r="BE32" i="5"/>
  <c r="AW32" i="5"/>
  <c r="AS32" i="5"/>
  <c r="AO32" i="5"/>
  <c r="BA32" i="5" s="1"/>
  <c r="AK32" i="5"/>
  <c r="AG32" i="5"/>
  <c r="AC32" i="5"/>
  <c r="Y32" i="5"/>
  <c r="U32" i="5"/>
  <c r="Q32" i="5"/>
  <c r="M32" i="5"/>
  <c r="I32" i="5"/>
  <c r="E32" i="5"/>
  <c r="HC31" i="5"/>
  <c r="GW31" i="5"/>
  <c r="GN31" i="5"/>
  <c r="GE31" i="5"/>
  <c r="FO31" i="5"/>
  <c r="FF31" i="5"/>
  <c r="EW31" i="5"/>
  <c r="EN31" i="5"/>
  <c r="EE31" i="5"/>
  <c r="DV31" i="5"/>
  <c r="DM31" i="5"/>
  <c r="DD31" i="5"/>
  <c r="CU31" i="5"/>
  <c r="CL31" i="5"/>
  <c r="CC31" i="5"/>
  <c r="BY31" i="5"/>
  <c r="BP31" i="5"/>
  <c r="BM31" i="5"/>
  <c r="BJ31" i="5"/>
  <c r="BG31" i="5"/>
  <c r="BE31" i="5"/>
  <c r="AW31" i="5"/>
  <c r="AS31" i="5"/>
  <c r="AO31" i="5"/>
  <c r="BA31" i="5" s="1"/>
  <c r="AK31" i="5"/>
  <c r="AG31" i="5"/>
  <c r="AC31" i="5"/>
  <c r="Y31" i="5"/>
  <c r="U31" i="5"/>
  <c r="Q31" i="5"/>
  <c r="M31" i="5"/>
  <c r="I31" i="5"/>
  <c r="E31" i="5"/>
  <c r="HC30" i="5"/>
  <c r="GW30" i="5"/>
  <c r="GN30" i="5"/>
  <c r="GE30" i="5"/>
  <c r="FO30" i="5"/>
  <c r="FF30" i="5"/>
  <c r="EW30" i="5"/>
  <c r="EN30" i="5"/>
  <c r="EE30" i="5"/>
  <c r="DV30" i="5"/>
  <c r="DM30" i="5"/>
  <c r="DD30" i="5"/>
  <c r="CU30" i="5"/>
  <c r="CL30" i="5"/>
  <c r="CC30" i="5"/>
  <c r="BY30" i="5"/>
  <c r="BP30" i="5"/>
  <c r="BM30" i="5"/>
  <c r="BJ30" i="5"/>
  <c r="BG30" i="5"/>
  <c r="BS30" i="5" s="1"/>
  <c r="BE30" i="5"/>
  <c r="AW30" i="5"/>
  <c r="AS30" i="5"/>
  <c r="AO30" i="5"/>
  <c r="AK30" i="5"/>
  <c r="AG30" i="5"/>
  <c r="AC30" i="5"/>
  <c r="Y30" i="5"/>
  <c r="U30" i="5"/>
  <c r="Q30" i="5"/>
  <c r="M30" i="5"/>
  <c r="I30" i="5"/>
  <c r="E30" i="5"/>
  <c r="HC29" i="5"/>
  <c r="GW29" i="5"/>
  <c r="GN29" i="5"/>
  <c r="GE29" i="5"/>
  <c r="FO29" i="5"/>
  <c r="FF29" i="5"/>
  <c r="EW29" i="5"/>
  <c r="EN29" i="5"/>
  <c r="EE29" i="5"/>
  <c r="DV29" i="5"/>
  <c r="DM29" i="5"/>
  <c r="DD29" i="5"/>
  <c r="CU29" i="5"/>
  <c r="CL29" i="5"/>
  <c r="CC29" i="5"/>
  <c r="BY29" i="5"/>
  <c r="BP29" i="5"/>
  <c r="BM29" i="5"/>
  <c r="BJ29" i="5"/>
  <c r="BG29" i="5"/>
  <c r="BE29" i="5"/>
  <c r="AW29" i="5"/>
  <c r="AS29" i="5"/>
  <c r="AO29" i="5"/>
  <c r="BA29" i="5" s="1"/>
  <c r="AK29" i="5"/>
  <c r="AG29" i="5"/>
  <c r="AC29" i="5"/>
  <c r="Y29" i="5"/>
  <c r="U29" i="5"/>
  <c r="Q29" i="5"/>
  <c r="M29" i="5"/>
  <c r="I29" i="5"/>
  <c r="E29" i="5"/>
  <c r="HG28" i="5"/>
  <c r="HJ28" i="5" s="1"/>
  <c r="HF28" i="5"/>
  <c r="HC28" i="5"/>
  <c r="GY28" i="5"/>
  <c r="HA28" i="5" s="1"/>
  <c r="GW28" i="5"/>
  <c r="GR28" i="5"/>
  <c r="GU28" i="5" s="1"/>
  <c r="GQ28" i="5"/>
  <c r="GN28" i="5"/>
  <c r="GI28" i="5"/>
  <c r="GL28" i="5" s="1"/>
  <c r="HN28" i="5" s="1"/>
  <c r="GH28" i="5"/>
  <c r="GE28" i="5"/>
  <c r="FS28" i="5"/>
  <c r="FV28" i="5" s="1"/>
  <c r="FR28" i="5"/>
  <c r="FO28" i="5"/>
  <c r="FJ28" i="5"/>
  <c r="FM28" i="5" s="1"/>
  <c r="FI28" i="5"/>
  <c r="FL28" i="5" s="1"/>
  <c r="FF28" i="5"/>
  <c r="FA28" i="5"/>
  <c r="FD28" i="5" s="1"/>
  <c r="EZ28" i="5"/>
  <c r="EW28" i="5"/>
  <c r="ER28" i="5"/>
  <c r="EU28" i="5" s="1"/>
  <c r="EQ28" i="5"/>
  <c r="EN28" i="5"/>
  <c r="EI28" i="5"/>
  <c r="EL28" i="5" s="1"/>
  <c r="EH28" i="5"/>
  <c r="EK28" i="5" s="1"/>
  <c r="EE28" i="5"/>
  <c r="DZ28" i="5"/>
  <c r="EC28" i="5" s="1"/>
  <c r="DY28" i="5"/>
  <c r="DV28" i="5"/>
  <c r="DQ28" i="5"/>
  <c r="DT28" i="5" s="1"/>
  <c r="DP28" i="5"/>
  <c r="DM28" i="5"/>
  <c r="DH28" i="5"/>
  <c r="DK28" i="5" s="1"/>
  <c r="DG28" i="5"/>
  <c r="DD28" i="5"/>
  <c r="CY28" i="5"/>
  <c r="DB28" i="5" s="1"/>
  <c r="CX28" i="5"/>
  <c r="CU28" i="5"/>
  <c r="CP28" i="5"/>
  <c r="CS28" i="5" s="1"/>
  <c r="CO28" i="5"/>
  <c r="CR28" i="5" s="1"/>
  <c r="CL28" i="5"/>
  <c r="CG28" i="5"/>
  <c r="CJ28" i="5" s="1"/>
  <c r="CF28" i="5"/>
  <c r="CC28" i="5"/>
  <c r="CA28" i="5"/>
  <c r="BY28" i="5"/>
  <c r="BP28" i="5"/>
  <c r="BM28" i="5"/>
  <c r="BJ28" i="5"/>
  <c r="BG28" i="5"/>
  <c r="BE28" i="5"/>
  <c r="AW28" i="5"/>
  <c r="AS28" i="5"/>
  <c r="AO28" i="5"/>
  <c r="AK28" i="5"/>
  <c r="AG28" i="5"/>
  <c r="AC28" i="5"/>
  <c r="Y28" i="5"/>
  <c r="U28" i="5"/>
  <c r="Q28" i="5"/>
  <c r="M28" i="5"/>
  <c r="I28" i="5"/>
  <c r="E28" i="5"/>
  <c r="HC27" i="5"/>
  <c r="GW27" i="5"/>
  <c r="GN27" i="5"/>
  <c r="GE27" i="5"/>
  <c r="FO27" i="5"/>
  <c r="FF27" i="5"/>
  <c r="EW27" i="5"/>
  <c r="EN27" i="5"/>
  <c r="EE27" i="5"/>
  <c r="DV27" i="5"/>
  <c r="DM27" i="5"/>
  <c r="DD27" i="5"/>
  <c r="CU27" i="5"/>
  <c r="CL27" i="5"/>
  <c r="CC27" i="5"/>
  <c r="BY27" i="5"/>
  <c r="BP27" i="5"/>
  <c r="BM27" i="5"/>
  <c r="BJ27" i="5"/>
  <c r="BG27" i="5"/>
  <c r="BS27" i="5" s="1"/>
  <c r="BE27" i="5"/>
  <c r="AW27" i="5"/>
  <c r="AS27" i="5"/>
  <c r="AO27" i="5"/>
  <c r="BA27" i="5" s="1"/>
  <c r="AK27" i="5"/>
  <c r="AG27" i="5"/>
  <c r="AC27" i="5"/>
  <c r="Y27" i="5"/>
  <c r="U27" i="5"/>
  <c r="Q27" i="5"/>
  <c r="M27" i="5"/>
  <c r="I27" i="5"/>
  <c r="E27" i="5"/>
  <c r="HC26" i="5"/>
  <c r="GW26" i="5"/>
  <c r="GN26" i="5"/>
  <c r="GE26" i="5"/>
  <c r="FO26" i="5"/>
  <c r="FF26" i="5"/>
  <c r="EW26" i="5"/>
  <c r="EN26" i="5"/>
  <c r="EE26" i="5"/>
  <c r="DV26" i="5"/>
  <c r="DM26" i="5"/>
  <c r="DD26" i="5"/>
  <c r="CU26" i="5"/>
  <c r="CL26" i="5"/>
  <c r="CC26" i="5"/>
  <c r="BY26" i="5"/>
  <c r="BP26" i="5"/>
  <c r="BM26" i="5"/>
  <c r="BJ26" i="5"/>
  <c r="BG26" i="5"/>
  <c r="BS26" i="5" s="1"/>
  <c r="BE26" i="5"/>
  <c r="AW26" i="5"/>
  <c r="AS26" i="5"/>
  <c r="AO26" i="5"/>
  <c r="BA26" i="5" s="1"/>
  <c r="AK26" i="5"/>
  <c r="AG26" i="5"/>
  <c r="AC26" i="5"/>
  <c r="Y26" i="5"/>
  <c r="U26" i="5"/>
  <c r="Q26" i="5"/>
  <c r="M26" i="5"/>
  <c r="I26" i="5"/>
  <c r="E26" i="5"/>
  <c r="HC25" i="5"/>
  <c r="GW25" i="5"/>
  <c r="GN25" i="5"/>
  <c r="GE25" i="5"/>
  <c r="FO25" i="5"/>
  <c r="FF25" i="5"/>
  <c r="EW25" i="5"/>
  <c r="EN25" i="5"/>
  <c r="EE25" i="5"/>
  <c r="DV25" i="5"/>
  <c r="DM25" i="5"/>
  <c r="DD25" i="5"/>
  <c r="CU25" i="5"/>
  <c r="CL25" i="5"/>
  <c r="CC25" i="5"/>
  <c r="BY25" i="5"/>
  <c r="BP25" i="5"/>
  <c r="BM25" i="5"/>
  <c r="BJ25" i="5"/>
  <c r="BG25" i="5"/>
  <c r="BE25" i="5"/>
  <c r="AW25" i="5"/>
  <c r="AS25" i="5"/>
  <c r="AO25" i="5"/>
  <c r="AK25" i="5"/>
  <c r="AG25" i="5"/>
  <c r="AC25" i="5"/>
  <c r="Y25" i="5"/>
  <c r="U25" i="5"/>
  <c r="Q25" i="5"/>
  <c r="M25" i="5"/>
  <c r="I25" i="5"/>
  <c r="E25" i="5"/>
  <c r="HC24" i="5"/>
  <c r="GW24" i="5"/>
  <c r="GN24" i="5"/>
  <c r="GE24" i="5"/>
  <c r="FO24" i="5"/>
  <c r="FF24" i="5"/>
  <c r="EW24" i="5"/>
  <c r="EN24" i="5"/>
  <c r="EE24" i="5"/>
  <c r="DV24" i="5"/>
  <c r="DM24" i="5"/>
  <c r="DD24" i="5"/>
  <c r="CU24" i="5"/>
  <c r="CL24" i="5"/>
  <c r="CC24" i="5"/>
  <c r="BY24" i="5"/>
  <c r="BP24" i="5"/>
  <c r="BM24" i="5"/>
  <c r="BJ24" i="5"/>
  <c r="BG24" i="5"/>
  <c r="BS24" i="5" s="1"/>
  <c r="BE24" i="5"/>
  <c r="AW24" i="5"/>
  <c r="AS24" i="5"/>
  <c r="AO24" i="5"/>
  <c r="BA24" i="5" s="1"/>
  <c r="AK24" i="5"/>
  <c r="AG24" i="5"/>
  <c r="AC24" i="5"/>
  <c r="Y24" i="5"/>
  <c r="U24" i="5"/>
  <c r="Q24" i="5"/>
  <c r="M24" i="5"/>
  <c r="I24" i="5"/>
  <c r="E24" i="5"/>
  <c r="HC23" i="5"/>
  <c r="GW23" i="5"/>
  <c r="GN23" i="5"/>
  <c r="GE23" i="5"/>
  <c r="FO23" i="5"/>
  <c r="FF23" i="5"/>
  <c r="EW23" i="5"/>
  <c r="EN23" i="5"/>
  <c r="EE23" i="5"/>
  <c r="DV23" i="5"/>
  <c r="DM23" i="5"/>
  <c r="DD23" i="5"/>
  <c r="CU23" i="5"/>
  <c r="CL23" i="5"/>
  <c r="CC23" i="5"/>
  <c r="BY23" i="5"/>
  <c r="BP23" i="5"/>
  <c r="BM23" i="5"/>
  <c r="BJ23" i="5"/>
  <c r="BG23" i="5"/>
  <c r="BS23" i="5" s="1"/>
  <c r="BE23" i="5"/>
  <c r="AW23" i="5"/>
  <c r="AS23" i="5"/>
  <c r="AO23" i="5"/>
  <c r="BA23" i="5" s="1"/>
  <c r="AK23" i="5"/>
  <c r="AG23" i="5"/>
  <c r="AC23" i="5"/>
  <c r="Y23" i="5"/>
  <c r="U23" i="5"/>
  <c r="Q23" i="5"/>
  <c r="M23" i="5"/>
  <c r="I23" i="5"/>
  <c r="E23" i="5"/>
  <c r="HG22" i="5"/>
  <c r="HJ22" i="5" s="1"/>
  <c r="HF22" i="5"/>
  <c r="HI22" i="5" s="1"/>
  <c r="HC22" i="5"/>
  <c r="GY22" i="5"/>
  <c r="GW22" i="5"/>
  <c r="GR22" i="5"/>
  <c r="GU22" i="5" s="1"/>
  <c r="GQ22" i="5"/>
  <c r="GN22" i="5"/>
  <c r="GI22" i="5"/>
  <c r="GL22" i="5" s="1"/>
  <c r="HN22" i="5" s="1"/>
  <c r="GH22" i="5"/>
  <c r="GK22" i="5" s="1"/>
  <c r="GE22" i="5"/>
  <c r="FS22" i="5"/>
  <c r="FV22" i="5" s="1"/>
  <c r="FR22" i="5"/>
  <c r="FO22" i="5"/>
  <c r="FJ22" i="5"/>
  <c r="FM22" i="5" s="1"/>
  <c r="FI22" i="5"/>
  <c r="FF22" i="5"/>
  <c r="FA22" i="5"/>
  <c r="FD22" i="5" s="1"/>
  <c r="EZ22" i="5"/>
  <c r="EW22" i="5"/>
  <c r="ER22" i="5"/>
  <c r="EU22" i="5" s="1"/>
  <c r="EQ22" i="5"/>
  <c r="ET22" i="5" s="1"/>
  <c r="EN22" i="5"/>
  <c r="EI22" i="5"/>
  <c r="EL22" i="5" s="1"/>
  <c r="EH22" i="5"/>
  <c r="EE22" i="5"/>
  <c r="DZ22" i="5"/>
  <c r="EC22" i="5" s="1"/>
  <c r="DY22" i="5"/>
  <c r="DV22" i="5"/>
  <c r="DQ22" i="5"/>
  <c r="DT22" i="5" s="1"/>
  <c r="DP22" i="5"/>
  <c r="DM22" i="5"/>
  <c r="DH22" i="5"/>
  <c r="DK22" i="5" s="1"/>
  <c r="DG22" i="5"/>
  <c r="DD22" i="5"/>
  <c r="CY22" i="5"/>
  <c r="DB22" i="5" s="1"/>
  <c r="CX22" i="5"/>
  <c r="CU22" i="5"/>
  <c r="CP22" i="5"/>
  <c r="CS22" i="5" s="1"/>
  <c r="CO22" i="5"/>
  <c r="CL22" i="5"/>
  <c r="CG22" i="5"/>
  <c r="CJ22" i="5" s="1"/>
  <c r="GA22" i="5" s="1"/>
  <c r="HS22" i="5" s="1"/>
  <c r="CF22" i="5"/>
  <c r="CC22" i="5"/>
  <c r="CA22" i="5"/>
  <c r="BY22" i="5"/>
  <c r="BP22" i="5"/>
  <c r="BM22" i="5"/>
  <c r="BJ22" i="5"/>
  <c r="BG22" i="5"/>
  <c r="BS22" i="5" s="1"/>
  <c r="BE22" i="5"/>
  <c r="AW22" i="5"/>
  <c r="AS22" i="5"/>
  <c r="AO22" i="5"/>
  <c r="AK22" i="5"/>
  <c r="AG22" i="5"/>
  <c r="AC22" i="5"/>
  <c r="Y22" i="5"/>
  <c r="U22" i="5"/>
  <c r="Q22" i="5"/>
  <c r="M22" i="5"/>
  <c r="I22" i="5"/>
  <c r="E22" i="5"/>
  <c r="HC21" i="5"/>
  <c r="GW21" i="5"/>
  <c r="GN21" i="5"/>
  <c r="GE21" i="5"/>
  <c r="FO21" i="5"/>
  <c r="FF21" i="5"/>
  <c r="EW21" i="5"/>
  <c r="EN21" i="5"/>
  <c r="EE21" i="5"/>
  <c r="DV21" i="5"/>
  <c r="DM21" i="5"/>
  <c r="DD21" i="5"/>
  <c r="CU21" i="5"/>
  <c r="CL21" i="5"/>
  <c r="CC21" i="5"/>
  <c r="BY21" i="5"/>
  <c r="BP21" i="5"/>
  <c r="BM21" i="5"/>
  <c r="BJ21" i="5"/>
  <c r="BG21" i="5"/>
  <c r="BS21" i="5" s="1"/>
  <c r="BE21" i="5"/>
  <c r="AW21" i="5"/>
  <c r="AS21" i="5"/>
  <c r="AO21" i="5"/>
  <c r="AK21" i="5"/>
  <c r="AG21" i="5"/>
  <c r="AC21" i="5"/>
  <c r="Y21" i="5"/>
  <c r="U21" i="5"/>
  <c r="Q21" i="5"/>
  <c r="M21" i="5"/>
  <c r="I21" i="5"/>
  <c r="E21" i="5"/>
  <c r="HC20" i="5"/>
  <c r="GW20" i="5"/>
  <c r="GN20" i="5"/>
  <c r="GE20" i="5"/>
  <c r="FO20" i="5"/>
  <c r="FF20" i="5"/>
  <c r="EW20" i="5"/>
  <c r="EN20" i="5"/>
  <c r="EE20" i="5"/>
  <c r="DV20" i="5"/>
  <c r="DM20" i="5"/>
  <c r="DD20" i="5"/>
  <c r="CU20" i="5"/>
  <c r="CL20" i="5"/>
  <c r="CC20" i="5"/>
  <c r="BY20" i="5"/>
  <c r="BP20" i="5"/>
  <c r="BM20" i="5"/>
  <c r="BJ20" i="5"/>
  <c r="BG20" i="5"/>
  <c r="BE20" i="5"/>
  <c r="AW20" i="5"/>
  <c r="AS20" i="5"/>
  <c r="AO20" i="5"/>
  <c r="BA20" i="5" s="1"/>
  <c r="AK20" i="5"/>
  <c r="AG20" i="5"/>
  <c r="AC20" i="5"/>
  <c r="Y20" i="5"/>
  <c r="U20" i="5"/>
  <c r="Q20" i="5"/>
  <c r="M20" i="5"/>
  <c r="I20" i="5"/>
  <c r="E20" i="5"/>
  <c r="HC19" i="5"/>
  <c r="GW19" i="5"/>
  <c r="GN19" i="5"/>
  <c r="GE19" i="5"/>
  <c r="FO19" i="5"/>
  <c r="FF19" i="5"/>
  <c r="EW19" i="5"/>
  <c r="EN19" i="5"/>
  <c r="EE19" i="5"/>
  <c r="DV19" i="5"/>
  <c r="DM19" i="5"/>
  <c r="DD19" i="5"/>
  <c r="CU19" i="5"/>
  <c r="CL19" i="5"/>
  <c r="CC19" i="5"/>
  <c r="BY19" i="5"/>
  <c r="BP19" i="5"/>
  <c r="BM19" i="5"/>
  <c r="BJ19" i="5"/>
  <c r="BG19" i="5"/>
  <c r="BS19" i="5" s="1"/>
  <c r="BE19" i="5"/>
  <c r="AW19" i="5"/>
  <c r="AS19" i="5"/>
  <c r="AO19" i="5"/>
  <c r="AK19" i="5"/>
  <c r="AG19" i="5"/>
  <c r="AC19" i="5"/>
  <c r="Y19" i="5"/>
  <c r="U19" i="5"/>
  <c r="Q19" i="5"/>
  <c r="M19" i="5"/>
  <c r="I19" i="5"/>
  <c r="E19" i="5"/>
  <c r="HG18" i="5"/>
  <c r="HJ18" i="5" s="1"/>
  <c r="HF18" i="5"/>
  <c r="HC18" i="5"/>
  <c r="GY18" i="5"/>
  <c r="HA18" i="5" s="1"/>
  <c r="GW18" i="5"/>
  <c r="GR18" i="5"/>
  <c r="GU18" i="5" s="1"/>
  <c r="GQ18" i="5"/>
  <c r="GN18" i="5"/>
  <c r="GI18" i="5"/>
  <c r="GL18" i="5" s="1"/>
  <c r="HN18" i="5" s="1"/>
  <c r="GH18" i="5"/>
  <c r="GE18" i="5"/>
  <c r="FS18" i="5"/>
  <c r="FV18" i="5" s="1"/>
  <c r="FR18" i="5"/>
  <c r="FU18" i="5" s="1"/>
  <c r="FO18" i="5"/>
  <c r="FJ18" i="5"/>
  <c r="FM18" i="5" s="1"/>
  <c r="FI18" i="5"/>
  <c r="FF18" i="5"/>
  <c r="FA18" i="5"/>
  <c r="FD18" i="5" s="1"/>
  <c r="EZ18" i="5"/>
  <c r="EW18" i="5"/>
  <c r="ER18" i="5"/>
  <c r="EU18" i="5" s="1"/>
  <c r="EQ18" i="5"/>
  <c r="EN18" i="5"/>
  <c r="EI18" i="5"/>
  <c r="EL18" i="5" s="1"/>
  <c r="EH18" i="5"/>
  <c r="EE18" i="5"/>
  <c r="DZ18" i="5"/>
  <c r="EC18" i="5" s="1"/>
  <c r="DY18" i="5"/>
  <c r="EB18" i="5" s="1"/>
  <c r="DV18" i="5"/>
  <c r="DQ18" i="5"/>
  <c r="DT18" i="5" s="1"/>
  <c r="DP18" i="5"/>
  <c r="DM18" i="5"/>
  <c r="DH18" i="5"/>
  <c r="DK18" i="5" s="1"/>
  <c r="DG18" i="5"/>
  <c r="DD18" i="5"/>
  <c r="CY18" i="5"/>
  <c r="DB18" i="5" s="1"/>
  <c r="CX18" i="5"/>
  <c r="DA18" i="5" s="1"/>
  <c r="CU18" i="5"/>
  <c r="CP18" i="5"/>
  <c r="CS18" i="5" s="1"/>
  <c r="CO18" i="5"/>
  <c r="CL18" i="5"/>
  <c r="CG18" i="5"/>
  <c r="CJ18" i="5" s="1"/>
  <c r="CF18" i="5"/>
  <c r="CC18" i="5"/>
  <c r="CA18" i="5"/>
  <c r="CB18" i="5" s="1"/>
  <c r="BY18" i="5"/>
  <c r="BP18" i="5"/>
  <c r="BM18" i="5"/>
  <c r="BJ18" i="5"/>
  <c r="BG18" i="5"/>
  <c r="BS18" i="5" s="1"/>
  <c r="BE18" i="5"/>
  <c r="AW18" i="5"/>
  <c r="AS18" i="5"/>
  <c r="AO18" i="5"/>
  <c r="BA18" i="5" s="1"/>
  <c r="AK18" i="5"/>
  <c r="AG18" i="5"/>
  <c r="AC18" i="5"/>
  <c r="Y18" i="5"/>
  <c r="U18" i="5"/>
  <c r="Q18" i="5"/>
  <c r="M18" i="5"/>
  <c r="I18" i="5"/>
  <c r="E18" i="5"/>
  <c r="HC17" i="5"/>
  <c r="GW17" i="5"/>
  <c r="GN17" i="5"/>
  <c r="GE17" i="5"/>
  <c r="FO17" i="5"/>
  <c r="FF17" i="5"/>
  <c r="EW17" i="5"/>
  <c r="EN17" i="5"/>
  <c r="EE17" i="5"/>
  <c r="DV17" i="5"/>
  <c r="DM17" i="5"/>
  <c r="DD17" i="5"/>
  <c r="CU17" i="5"/>
  <c r="CL17" i="5"/>
  <c r="CC17" i="5"/>
  <c r="BY17" i="5"/>
  <c r="BP17" i="5"/>
  <c r="BM17" i="5"/>
  <c r="BJ17" i="5"/>
  <c r="BG17" i="5"/>
  <c r="BE17" i="5"/>
  <c r="AW17" i="5"/>
  <c r="AS17" i="5"/>
  <c r="AO17" i="5"/>
  <c r="BA17" i="5" s="1"/>
  <c r="AK17" i="5"/>
  <c r="AG17" i="5"/>
  <c r="AC17" i="5"/>
  <c r="Y17" i="5"/>
  <c r="U17" i="5"/>
  <c r="Q17" i="5"/>
  <c r="M17" i="5"/>
  <c r="I17" i="5"/>
  <c r="E17" i="5"/>
  <c r="HC16" i="5"/>
  <c r="GW16" i="5"/>
  <c r="GN16" i="5"/>
  <c r="GE16" i="5"/>
  <c r="FO16" i="5"/>
  <c r="FF16" i="5"/>
  <c r="EW16" i="5"/>
  <c r="EN16" i="5"/>
  <c r="EE16" i="5"/>
  <c r="DV16" i="5"/>
  <c r="DM16" i="5"/>
  <c r="DD16" i="5"/>
  <c r="CU16" i="5"/>
  <c r="CL16" i="5"/>
  <c r="CC16" i="5"/>
  <c r="BY16" i="5"/>
  <c r="BP16" i="5"/>
  <c r="BM16" i="5"/>
  <c r="BJ16" i="5"/>
  <c r="BG16" i="5"/>
  <c r="BS16" i="5" s="1"/>
  <c r="BE16" i="5"/>
  <c r="AW16" i="5"/>
  <c r="AS16" i="5"/>
  <c r="AO16" i="5"/>
  <c r="AK16" i="5"/>
  <c r="AG16" i="5"/>
  <c r="AC16" i="5"/>
  <c r="Y16" i="5"/>
  <c r="U16" i="5"/>
  <c r="Q16" i="5"/>
  <c r="M16" i="5"/>
  <c r="I16" i="5"/>
  <c r="E16" i="5"/>
  <c r="HC15" i="5"/>
  <c r="GW15" i="5"/>
  <c r="GN15" i="5"/>
  <c r="GE15" i="5"/>
  <c r="FO15" i="5"/>
  <c r="FF15" i="5"/>
  <c r="EW15" i="5"/>
  <c r="EN15" i="5"/>
  <c r="EE15" i="5"/>
  <c r="DV15" i="5"/>
  <c r="DM15" i="5"/>
  <c r="DD15" i="5"/>
  <c r="CU15" i="5"/>
  <c r="CL15" i="5"/>
  <c r="CC15" i="5"/>
  <c r="BY15" i="5"/>
  <c r="BP15" i="5"/>
  <c r="BM15" i="5"/>
  <c r="BJ15" i="5"/>
  <c r="BG15" i="5"/>
  <c r="BS15" i="5" s="1"/>
  <c r="BE15" i="5"/>
  <c r="AW15" i="5"/>
  <c r="AS15" i="5"/>
  <c r="AO15" i="5"/>
  <c r="BA15" i="5" s="1"/>
  <c r="AK15" i="5"/>
  <c r="AG15" i="5"/>
  <c r="AC15" i="5"/>
  <c r="Y15" i="5"/>
  <c r="U15" i="5"/>
  <c r="Q15" i="5"/>
  <c r="M15" i="5"/>
  <c r="I15" i="5"/>
  <c r="E15" i="5"/>
  <c r="HC14" i="5"/>
  <c r="GW14" i="5"/>
  <c r="GN14" i="5"/>
  <c r="GE14" i="5"/>
  <c r="FO14" i="5"/>
  <c r="FF14" i="5"/>
  <c r="EW14" i="5"/>
  <c r="EN14" i="5"/>
  <c r="EE14" i="5"/>
  <c r="DV14" i="5"/>
  <c r="DM14" i="5"/>
  <c r="DD14" i="5"/>
  <c r="CU14" i="5"/>
  <c r="CL14" i="5"/>
  <c r="CC14" i="5"/>
  <c r="BY14" i="5"/>
  <c r="BP14" i="5"/>
  <c r="BM14" i="5"/>
  <c r="BJ14" i="5"/>
  <c r="BG14" i="5"/>
  <c r="BE14" i="5"/>
  <c r="AW14" i="5"/>
  <c r="AS14" i="5"/>
  <c r="AO14" i="5"/>
  <c r="BA14" i="5" s="1"/>
  <c r="AK14" i="5"/>
  <c r="AG14" i="5"/>
  <c r="AC14" i="5"/>
  <c r="Y14" i="5"/>
  <c r="U14" i="5"/>
  <c r="Q14" i="5"/>
  <c r="M14" i="5"/>
  <c r="I14" i="5"/>
  <c r="E14" i="5"/>
  <c r="HG13" i="5"/>
  <c r="HJ13" i="5" s="1"/>
  <c r="HF13" i="5"/>
  <c r="HC13" i="5"/>
  <c r="GY13" i="5"/>
  <c r="GW13" i="5"/>
  <c r="GR13" i="5"/>
  <c r="GU13" i="5" s="1"/>
  <c r="GQ13" i="5"/>
  <c r="GT13" i="5" s="1"/>
  <c r="GN13" i="5"/>
  <c r="GI13" i="5"/>
  <c r="GL13" i="5" s="1"/>
  <c r="HN13" i="5" s="1"/>
  <c r="GH13" i="5"/>
  <c r="GE13" i="5"/>
  <c r="FS13" i="5"/>
  <c r="FV13" i="5" s="1"/>
  <c r="FR13" i="5"/>
  <c r="FO13" i="5"/>
  <c r="FJ13" i="5"/>
  <c r="FM13" i="5" s="1"/>
  <c r="FI13" i="5"/>
  <c r="FF13" i="5"/>
  <c r="FA13" i="5"/>
  <c r="FD13" i="5" s="1"/>
  <c r="EZ13" i="5"/>
  <c r="FC13" i="5" s="1"/>
  <c r="EW13" i="5"/>
  <c r="ER13" i="5"/>
  <c r="EU13" i="5" s="1"/>
  <c r="EQ13" i="5"/>
  <c r="EN13" i="5"/>
  <c r="EI13" i="5"/>
  <c r="EL13" i="5" s="1"/>
  <c r="EH13" i="5"/>
  <c r="EE13" i="5"/>
  <c r="DZ13" i="5"/>
  <c r="EC13" i="5" s="1"/>
  <c r="DY13" i="5"/>
  <c r="DV13" i="5"/>
  <c r="DQ13" i="5"/>
  <c r="DT13" i="5" s="1"/>
  <c r="DP13" i="5"/>
  <c r="DM13" i="5"/>
  <c r="DH13" i="5"/>
  <c r="DK13" i="5" s="1"/>
  <c r="DG13" i="5"/>
  <c r="DJ13" i="5" s="1"/>
  <c r="DD13" i="5"/>
  <c r="CY13" i="5"/>
  <c r="DB13" i="5" s="1"/>
  <c r="CX13" i="5"/>
  <c r="CU13" i="5"/>
  <c r="CP13" i="5"/>
  <c r="CS13" i="5" s="1"/>
  <c r="CO13" i="5"/>
  <c r="CL13" i="5"/>
  <c r="CG13" i="5"/>
  <c r="CJ13" i="5" s="1"/>
  <c r="CF13" i="5"/>
  <c r="CI13" i="5" s="1"/>
  <c r="CC13" i="5"/>
  <c r="CA13" i="5"/>
  <c r="BY13" i="5"/>
  <c r="BP13" i="5"/>
  <c r="BM13" i="5"/>
  <c r="BJ13" i="5"/>
  <c r="BG13" i="5"/>
  <c r="BS13" i="5" s="1"/>
  <c r="AW13" i="5"/>
  <c r="AS13" i="5"/>
  <c r="AO13" i="5"/>
  <c r="BA13" i="5" s="1"/>
  <c r="AK13" i="5"/>
  <c r="AG13" i="5"/>
  <c r="AC13" i="5"/>
  <c r="Y13" i="5"/>
  <c r="U13" i="5"/>
  <c r="Q13" i="5"/>
  <c r="M13" i="5"/>
  <c r="I13" i="5"/>
  <c r="E13" i="5"/>
  <c r="HC12" i="5"/>
  <c r="GW12" i="5"/>
  <c r="GN12" i="5"/>
  <c r="GE12" i="5"/>
  <c r="FO12" i="5"/>
  <c r="FF12" i="5"/>
  <c r="EW12" i="5"/>
  <c r="EN12" i="5"/>
  <c r="EE12" i="5"/>
  <c r="DV12" i="5"/>
  <c r="DM12" i="5"/>
  <c r="DD12" i="5"/>
  <c r="CU12" i="5"/>
  <c r="CL12" i="5"/>
  <c r="CC12" i="5"/>
  <c r="BY12" i="5"/>
  <c r="BP12" i="5"/>
  <c r="BM12" i="5"/>
  <c r="BJ12" i="5"/>
  <c r="BG12" i="5"/>
  <c r="BS12" i="5" s="1"/>
  <c r="AW12" i="5"/>
  <c r="AS12" i="5"/>
  <c r="AO12" i="5"/>
  <c r="BA12" i="5" s="1"/>
  <c r="AK12" i="5"/>
  <c r="AG12" i="5"/>
  <c r="AC12" i="5"/>
  <c r="Y12" i="5"/>
  <c r="U12" i="5"/>
  <c r="Q12" i="5"/>
  <c r="M12" i="5"/>
  <c r="I12" i="5"/>
  <c r="E12" i="5"/>
  <c r="HC11" i="5"/>
  <c r="GW11" i="5"/>
  <c r="GN11" i="5"/>
  <c r="GE11" i="5"/>
  <c r="FO11" i="5"/>
  <c r="FF11" i="5"/>
  <c r="EW11" i="5"/>
  <c r="EN11" i="5"/>
  <c r="EE11" i="5"/>
  <c r="DV11" i="5"/>
  <c r="DM11" i="5"/>
  <c r="DD11" i="5"/>
  <c r="CU11" i="5"/>
  <c r="CL11" i="5"/>
  <c r="CC11" i="5"/>
  <c r="BY11" i="5"/>
  <c r="BP11" i="5"/>
  <c r="BM11" i="5"/>
  <c r="BJ11" i="5"/>
  <c r="BG11" i="5"/>
  <c r="BS11" i="5" s="1"/>
  <c r="AW11" i="5"/>
  <c r="AS11" i="5"/>
  <c r="AO11" i="5"/>
  <c r="BA11" i="5" s="1"/>
  <c r="AK11" i="5"/>
  <c r="AG11" i="5"/>
  <c r="AC11" i="5"/>
  <c r="Y11" i="5"/>
  <c r="U11" i="5"/>
  <c r="Q11" i="5"/>
  <c r="M11" i="5"/>
  <c r="I11" i="5"/>
  <c r="E11" i="5"/>
  <c r="HC10" i="5"/>
  <c r="GW10" i="5"/>
  <c r="GN10" i="5"/>
  <c r="GE10" i="5"/>
  <c r="FO10" i="5"/>
  <c r="FF10" i="5"/>
  <c r="EW10" i="5"/>
  <c r="EN10" i="5"/>
  <c r="EE10" i="5"/>
  <c r="DV10" i="5"/>
  <c r="DM10" i="5"/>
  <c r="DD10" i="5"/>
  <c r="CU10" i="5"/>
  <c r="CL10" i="5"/>
  <c r="CC10" i="5"/>
  <c r="BY10" i="5"/>
  <c r="BP10" i="5"/>
  <c r="BM10" i="5"/>
  <c r="BJ10" i="5"/>
  <c r="BG10" i="5"/>
  <c r="BS10" i="5" s="1"/>
  <c r="AW10" i="5"/>
  <c r="AS10" i="5"/>
  <c r="AO10" i="5"/>
  <c r="BA10" i="5" s="1"/>
  <c r="AK10" i="5"/>
  <c r="AG10" i="5"/>
  <c r="AC10" i="5"/>
  <c r="Y10" i="5"/>
  <c r="U10" i="5"/>
  <c r="Q10" i="5"/>
  <c r="M10" i="5"/>
  <c r="I10" i="5"/>
  <c r="E10" i="5"/>
  <c r="HC9" i="5"/>
  <c r="GW9" i="5"/>
  <c r="GN9" i="5"/>
  <c r="GE9" i="5"/>
  <c r="FO9" i="5"/>
  <c r="FF9" i="5"/>
  <c r="EW9" i="5"/>
  <c r="EN9" i="5"/>
  <c r="EE9" i="5"/>
  <c r="DV9" i="5"/>
  <c r="DM9" i="5"/>
  <c r="DD9" i="5"/>
  <c r="CU9" i="5"/>
  <c r="CL9" i="5"/>
  <c r="CC9" i="5"/>
  <c r="BY9" i="5"/>
  <c r="BP9" i="5"/>
  <c r="BM9" i="5"/>
  <c r="BJ9" i="5"/>
  <c r="BG9" i="5"/>
  <c r="BS9" i="5" s="1"/>
  <c r="BT13" i="5" s="1"/>
  <c r="AW9" i="5"/>
  <c r="AS9" i="5"/>
  <c r="AO9" i="5"/>
  <c r="BA9" i="5" s="1"/>
  <c r="AK9" i="5"/>
  <c r="AG9" i="5"/>
  <c r="AC9" i="5"/>
  <c r="Y9" i="5"/>
  <c r="U9" i="5"/>
  <c r="Q9" i="5"/>
  <c r="M9" i="5"/>
  <c r="I9" i="5"/>
  <c r="E9" i="5"/>
  <c r="HC8" i="5"/>
  <c r="GW8" i="5"/>
  <c r="GN8" i="5"/>
  <c r="GE8" i="5"/>
  <c r="FO8" i="5"/>
  <c r="FF8" i="5"/>
  <c r="EW8" i="5"/>
  <c r="EN8" i="5"/>
  <c r="EE8" i="5"/>
  <c r="DV8" i="5"/>
  <c r="DM8" i="5"/>
  <c r="DD8" i="5"/>
  <c r="CU8" i="5"/>
  <c r="CL8" i="5"/>
  <c r="CC8" i="5"/>
  <c r="BY8" i="5"/>
  <c r="BP8" i="5"/>
  <c r="BM8" i="5"/>
  <c r="BJ8" i="5"/>
  <c r="BG8" i="5"/>
  <c r="BS8" i="5" s="1"/>
  <c r="AW8" i="5"/>
  <c r="AS8" i="5"/>
  <c r="AO8" i="5"/>
  <c r="BA8" i="5" s="1"/>
  <c r="AK8" i="5"/>
  <c r="AG8" i="5"/>
  <c r="AC8" i="5"/>
  <c r="Y8" i="5"/>
  <c r="U8" i="5"/>
  <c r="Q8" i="5"/>
  <c r="M8" i="5"/>
  <c r="I8" i="5"/>
  <c r="E8" i="5"/>
  <c r="HG7" i="5"/>
  <c r="HJ7" i="5" s="1"/>
  <c r="HF7" i="5"/>
  <c r="HC7" i="5"/>
  <c r="GY7" i="5"/>
  <c r="GW7" i="5"/>
  <c r="GR7" i="5"/>
  <c r="GU7" i="5" s="1"/>
  <c r="GQ7" i="5"/>
  <c r="GN7" i="5"/>
  <c r="GI7" i="5"/>
  <c r="GL7" i="5" s="1"/>
  <c r="GH7" i="5"/>
  <c r="GE7" i="5"/>
  <c r="FS7" i="5"/>
  <c r="FV7" i="5" s="1"/>
  <c r="FR7" i="5"/>
  <c r="FO7" i="5"/>
  <c r="FJ7" i="5"/>
  <c r="FM7" i="5" s="1"/>
  <c r="FI7" i="5"/>
  <c r="FF7" i="5"/>
  <c r="FA7" i="5"/>
  <c r="FD7" i="5" s="1"/>
  <c r="EZ7" i="5"/>
  <c r="EW7" i="5"/>
  <c r="ER7" i="5"/>
  <c r="EU7" i="5" s="1"/>
  <c r="EQ7" i="5"/>
  <c r="EN7" i="5"/>
  <c r="EI7" i="5"/>
  <c r="EL7" i="5" s="1"/>
  <c r="EH7" i="5"/>
  <c r="EE7" i="5"/>
  <c r="DZ7" i="5"/>
  <c r="EC7" i="5" s="1"/>
  <c r="DY7" i="5"/>
  <c r="DV7" i="5"/>
  <c r="DQ7" i="5"/>
  <c r="DT7" i="5" s="1"/>
  <c r="DP7" i="5"/>
  <c r="DM7" i="5"/>
  <c r="DH7" i="5"/>
  <c r="DK7" i="5" s="1"/>
  <c r="DG7" i="5"/>
  <c r="DD7" i="5"/>
  <c r="CY7" i="5"/>
  <c r="DB7" i="5" s="1"/>
  <c r="CX7" i="5"/>
  <c r="CU7" i="5"/>
  <c r="CP7" i="5"/>
  <c r="CS7" i="5" s="1"/>
  <c r="CO7" i="5"/>
  <c r="CL7" i="5"/>
  <c r="CG7" i="5"/>
  <c r="CJ7" i="5" s="1"/>
  <c r="CF7" i="5"/>
  <c r="CH7" i="5" s="1"/>
  <c r="CC7" i="5"/>
  <c r="CA7" i="5"/>
  <c r="BY7" i="5"/>
  <c r="BP7" i="5"/>
  <c r="BM7" i="5"/>
  <c r="BJ7" i="5"/>
  <c r="BG7" i="5"/>
  <c r="BS7" i="5" s="1"/>
  <c r="AW7" i="5"/>
  <c r="AS7" i="5"/>
  <c r="AO7" i="5"/>
  <c r="BA7" i="5" s="1"/>
  <c r="AK7" i="5"/>
  <c r="AG7" i="5"/>
  <c r="AC7" i="5"/>
  <c r="Y7" i="5"/>
  <c r="U7" i="5"/>
  <c r="Q7" i="5"/>
  <c r="M7" i="5"/>
  <c r="I7" i="5"/>
  <c r="E7" i="5"/>
  <c r="HC6" i="5"/>
  <c r="GW6" i="5"/>
  <c r="GN6" i="5"/>
  <c r="GE6" i="5"/>
  <c r="FO6" i="5"/>
  <c r="FF6" i="5"/>
  <c r="EW6" i="5"/>
  <c r="EN6" i="5"/>
  <c r="EE6" i="5"/>
  <c r="DV6" i="5"/>
  <c r="DM6" i="5"/>
  <c r="DD6" i="5"/>
  <c r="CU6" i="5"/>
  <c r="CL6" i="5"/>
  <c r="CC6" i="5"/>
  <c r="BY6" i="5"/>
  <c r="BP6" i="5"/>
  <c r="BM6" i="5"/>
  <c r="BJ6" i="5"/>
  <c r="BG6" i="5"/>
  <c r="BS6" i="5" s="1"/>
  <c r="AW6" i="5"/>
  <c r="AS6" i="5"/>
  <c r="AO6" i="5"/>
  <c r="BA6" i="5" s="1"/>
  <c r="AK6" i="5"/>
  <c r="AG6" i="5"/>
  <c r="AC6" i="5"/>
  <c r="Y6" i="5"/>
  <c r="U6" i="5"/>
  <c r="Q6" i="5"/>
  <c r="M6" i="5"/>
  <c r="I6" i="5"/>
  <c r="E6" i="5"/>
  <c r="HC5" i="5"/>
  <c r="GW5" i="5"/>
  <c r="GN5" i="5"/>
  <c r="GE5" i="5"/>
  <c r="FO5" i="5"/>
  <c r="FF5" i="5"/>
  <c r="EW5" i="5"/>
  <c r="EN5" i="5"/>
  <c r="EE5" i="5"/>
  <c r="DV5" i="5"/>
  <c r="DM5" i="5"/>
  <c r="DD5" i="5"/>
  <c r="CU5" i="5"/>
  <c r="CL5" i="5"/>
  <c r="CC5" i="5"/>
  <c r="BY5" i="5"/>
  <c r="BP5" i="5"/>
  <c r="BM5" i="5"/>
  <c r="BJ5" i="5"/>
  <c r="BG5" i="5"/>
  <c r="AW5" i="5"/>
  <c r="AS5" i="5"/>
  <c r="AO5" i="5"/>
  <c r="BA5" i="5" s="1"/>
  <c r="AK5" i="5"/>
  <c r="AG5" i="5"/>
  <c r="AC5" i="5"/>
  <c r="Y5" i="5"/>
  <c r="U5" i="5"/>
  <c r="Q5" i="5"/>
  <c r="M5" i="5"/>
  <c r="I5" i="5"/>
  <c r="E5" i="5"/>
  <c r="HC4" i="5"/>
  <c r="GW4" i="5"/>
  <c r="GN4" i="5"/>
  <c r="GE4" i="5"/>
  <c r="FO4" i="5"/>
  <c r="FF4" i="5"/>
  <c r="EW4" i="5"/>
  <c r="EN4" i="5"/>
  <c r="EE4" i="5"/>
  <c r="DV4" i="5"/>
  <c r="DM4" i="5"/>
  <c r="DD4" i="5"/>
  <c r="CU4" i="5"/>
  <c r="CL4" i="5"/>
  <c r="CC4" i="5"/>
  <c r="BY4" i="5"/>
  <c r="BS4" i="5"/>
  <c r="BA4" i="5"/>
  <c r="AZ4" i="5"/>
  <c r="BS5" i="5" l="1"/>
  <c r="BT8" i="5" s="1"/>
  <c r="AZ6" i="5"/>
  <c r="BB6" i="5"/>
  <c r="CR7" i="5"/>
  <c r="CQ7" i="5"/>
  <c r="CT7" i="5" s="1"/>
  <c r="DA7" i="5"/>
  <c r="CZ7" i="5"/>
  <c r="DC7" i="5" s="1"/>
  <c r="DI7" i="5"/>
  <c r="DJ7" i="5"/>
  <c r="DR7" i="5"/>
  <c r="DS7" i="5"/>
  <c r="EB7" i="5"/>
  <c r="EA7" i="5"/>
  <c r="EJ7" i="5"/>
  <c r="EK7" i="5"/>
  <c r="FL7" i="5"/>
  <c r="FK7" i="5"/>
  <c r="FN7" i="5" s="1"/>
  <c r="FU7" i="5"/>
  <c r="FT7" i="5"/>
  <c r="FW7" i="5" s="1"/>
  <c r="HA7" i="5"/>
  <c r="GZ7" i="5"/>
  <c r="HH7" i="5"/>
  <c r="HI7" i="5"/>
  <c r="HK7" i="5" s="1"/>
  <c r="AZ10" i="5"/>
  <c r="BB10" i="5" s="1"/>
  <c r="AZ11" i="5"/>
  <c r="BB11" i="5"/>
  <c r="AZ13" i="5"/>
  <c r="CB13" i="5"/>
  <c r="FY13" i="5"/>
  <c r="CR13" i="5"/>
  <c r="CQ13" i="5"/>
  <c r="CZ13" i="5"/>
  <c r="DA13" i="5"/>
  <c r="EB13" i="5"/>
  <c r="EA13" i="5"/>
  <c r="ED13" i="5" s="1"/>
  <c r="EK13" i="5"/>
  <c r="EJ13" i="5"/>
  <c r="EM13" i="5" s="1"/>
  <c r="ES13" i="5"/>
  <c r="ET13" i="5"/>
  <c r="FL13" i="5"/>
  <c r="FK13" i="5"/>
  <c r="FN13" i="5" s="1"/>
  <c r="FT13" i="5"/>
  <c r="FU13" i="5"/>
  <c r="GJ13" i="5"/>
  <c r="GK13" i="5"/>
  <c r="GM13" i="5" s="1"/>
  <c r="HA13" i="5"/>
  <c r="GZ13" i="5"/>
  <c r="AZ14" i="5"/>
  <c r="BS14" i="5"/>
  <c r="AZ16" i="5"/>
  <c r="BA16" i="5"/>
  <c r="BB16" i="5" s="1"/>
  <c r="AZ17" i="5"/>
  <c r="BB17" i="5"/>
  <c r="AZ18" i="5"/>
  <c r="BB18" i="5"/>
  <c r="CI18" i="5"/>
  <c r="CH18" i="5"/>
  <c r="CK18" i="5" s="1"/>
  <c r="FY18" i="5"/>
  <c r="CR18" i="5"/>
  <c r="DJ18" i="5"/>
  <c r="DI18" i="5"/>
  <c r="DL18" i="5" s="1"/>
  <c r="DR18" i="5"/>
  <c r="DS18" i="5"/>
  <c r="ET18" i="5"/>
  <c r="ES18" i="5"/>
  <c r="EV18" i="5" s="1"/>
  <c r="FC18" i="5"/>
  <c r="FB18" i="5"/>
  <c r="FE18" i="5" s="1"/>
  <c r="FK18" i="5"/>
  <c r="FL18" i="5"/>
  <c r="HL18" i="5"/>
  <c r="GK18" i="5"/>
  <c r="GJ18" i="5"/>
  <c r="GT18" i="5"/>
  <c r="GS18" i="5"/>
  <c r="HH18" i="5"/>
  <c r="HI18" i="5"/>
  <c r="AZ19" i="5"/>
  <c r="BA19" i="5"/>
  <c r="AZ20" i="5"/>
  <c r="BB20" i="5"/>
  <c r="AZ21" i="5"/>
  <c r="BA21" i="5"/>
  <c r="CR22" i="5"/>
  <c r="CQ22" i="5"/>
  <c r="CT22" i="5" s="1"/>
  <c r="DA22" i="5"/>
  <c r="CZ22" i="5"/>
  <c r="DC22" i="5" s="1"/>
  <c r="DI22" i="5"/>
  <c r="DJ22" i="5"/>
  <c r="DS22" i="5"/>
  <c r="DR22" i="5"/>
  <c r="EB22" i="5"/>
  <c r="EA22" i="5"/>
  <c r="ED22" i="5" s="1"/>
  <c r="EJ22" i="5"/>
  <c r="EK22" i="5"/>
  <c r="FL22" i="5"/>
  <c r="FK22" i="5"/>
  <c r="FN22" i="5" s="1"/>
  <c r="FU22" i="5"/>
  <c r="FT22" i="5"/>
  <c r="FW22" i="5" s="1"/>
  <c r="HA22" i="5"/>
  <c r="GZ22" i="5"/>
  <c r="HB22" i="5" s="1"/>
  <c r="AZ24" i="5"/>
  <c r="BB24" i="5"/>
  <c r="AZ26" i="5"/>
  <c r="AZ27" i="5"/>
  <c r="BB27" i="5"/>
  <c r="FY28" i="5"/>
  <c r="CB28" i="5"/>
  <c r="CH28" i="5"/>
  <c r="CI28" i="5"/>
  <c r="GA28" i="5"/>
  <c r="HS28" i="5" s="1"/>
  <c r="DJ28" i="5"/>
  <c r="DI28" i="5"/>
  <c r="DL28" i="5" s="1"/>
  <c r="DS28" i="5"/>
  <c r="DR28" i="5"/>
  <c r="DU28" i="5" s="1"/>
  <c r="EA28" i="5"/>
  <c r="EB28" i="5"/>
  <c r="ET28" i="5"/>
  <c r="ES28" i="5"/>
  <c r="EV28" i="5" s="1"/>
  <c r="FB28" i="5"/>
  <c r="FC28" i="5"/>
  <c r="HL28" i="5"/>
  <c r="GK28" i="5"/>
  <c r="GJ28" i="5"/>
  <c r="GS28" i="5"/>
  <c r="GT28" i="5"/>
  <c r="GV28" i="5" s="1"/>
  <c r="HI28" i="5"/>
  <c r="HH28" i="5"/>
  <c r="AZ29" i="5"/>
  <c r="BB29" i="5"/>
  <c r="BS29" i="5"/>
  <c r="AZ30" i="5"/>
  <c r="BA30" i="5"/>
  <c r="AZ32" i="5"/>
  <c r="BB32" i="5"/>
  <c r="BS32" i="5"/>
  <c r="CR32" i="5"/>
  <c r="CQ32" i="5"/>
  <c r="CT32" i="5" s="1"/>
  <c r="DI32" i="5"/>
  <c r="DJ32" i="5"/>
  <c r="EB32" i="5"/>
  <c r="EA32" i="5"/>
  <c r="ED32" i="5" s="1"/>
  <c r="ES32" i="5"/>
  <c r="ET32" i="5"/>
  <c r="FL32" i="5"/>
  <c r="FK32" i="5"/>
  <c r="FU32" i="5"/>
  <c r="FT32" i="5"/>
  <c r="GJ32" i="5"/>
  <c r="GK32" i="5"/>
  <c r="GM32" i="5" s="1"/>
  <c r="HA32" i="5"/>
  <c r="GZ32" i="5"/>
  <c r="HB32" i="5" s="1"/>
  <c r="AZ35" i="5"/>
  <c r="BA35" i="5"/>
  <c r="AZ37" i="5"/>
  <c r="CQ37" i="5"/>
  <c r="CR37" i="5"/>
  <c r="GA37" i="5"/>
  <c r="DJ37" i="5"/>
  <c r="DI37" i="5"/>
  <c r="DL37" i="5" s="1"/>
  <c r="DS37" i="5"/>
  <c r="DR37" i="5"/>
  <c r="DU37" i="5" s="1"/>
  <c r="EA37" i="5"/>
  <c r="EB37" i="5"/>
  <c r="ET37" i="5"/>
  <c r="ES37" i="5"/>
  <c r="EV37" i="5" s="1"/>
  <c r="FK37" i="5"/>
  <c r="FL37" i="5"/>
  <c r="GK37" i="5"/>
  <c r="GJ37" i="5"/>
  <c r="HA37" i="5"/>
  <c r="GZ37" i="5"/>
  <c r="HB37" i="5" s="1"/>
  <c r="HI37" i="5"/>
  <c r="HH37" i="5"/>
  <c r="AZ38" i="5"/>
  <c r="BB38" i="5"/>
  <c r="AZ40" i="5"/>
  <c r="BB40" i="5" s="1"/>
  <c r="BS40" i="5"/>
  <c r="BS41" i="5"/>
  <c r="AZ42" i="5"/>
  <c r="FY42" i="5"/>
  <c r="CR42" i="5"/>
  <c r="CQ42" i="5"/>
  <c r="CT42" i="5" s="1"/>
  <c r="DA42" i="5"/>
  <c r="CZ42" i="5"/>
  <c r="DC42" i="5" s="1"/>
  <c r="DI42" i="5"/>
  <c r="DJ42" i="5"/>
  <c r="DS42" i="5"/>
  <c r="DR42" i="5"/>
  <c r="DU42" i="5" s="1"/>
  <c r="EB42" i="5"/>
  <c r="EA42" i="5"/>
  <c r="ED42" i="5" s="1"/>
  <c r="EK42" i="5"/>
  <c r="EJ42" i="5"/>
  <c r="EM42" i="5" s="1"/>
  <c r="ES42" i="5"/>
  <c r="ET42" i="5"/>
  <c r="FK42" i="5"/>
  <c r="FL42" i="5"/>
  <c r="FU42" i="5"/>
  <c r="FT42" i="5"/>
  <c r="FW42" i="5" s="1"/>
  <c r="GJ42" i="5"/>
  <c r="GK42" i="5"/>
  <c r="GM42" i="5" s="1"/>
  <c r="HN42" i="5"/>
  <c r="HA42" i="5"/>
  <c r="GZ42" i="5"/>
  <c r="HB42" i="5" s="1"/>
  <c r="AZ45" i="5"/>
  <c r="AZ46" i="5"/>
  <c r="CH46" i="5"/>
  <c r="CI46" i="5"/>
  <c r="DA46" i="5"/>
  <c r="CZ46" i="5"/>
  <c r="DC46" i="5" s="1"/>
  <c r="DJ46" i="5"/>
  <c r="DI46" i="5"/>
  <c r="DL46" i="5" s="1"/>
  <c r="DR46" i="5"/>
  <c r="DS46" i="5"/>
  <c r="EK46" i="5"/>
  <c r="EJ46" i="5"/>
  <c r="EM46" i="5" s="1"/>
  <c r="ET46" i="5"/>
  <c r="ES46" i="5"/>
  <c r="EV46" i="5" s="1"/>
  <c r="FB46" i="5"/>
  <c r="FC46" i="5"/>
  <c r="FU46" i="5"/>
  <c r="FT46" i="5"/>
  <c r="FW46" i="5" s="1"/>
  <c r="GK46" i="5"/>
  <c r="GJ46" i="5"/>
  <c r="GS46" i="5"/>
  <c r="GT46" i="5"/>
  <c r="GV46" i="5" s="1"/>
  <c r="HH46" i="5"/>
  <c r="HI46" i="5"/>
  <c r="AZ48" i="5"/>
  <c r="BB48" i="5"/>
  <c r="AZ49" i="5"/>
  <c r="BB49" i="5"/>
  <c r="BS49" i="5"/>
  <c r="AZ50" i="5"/>
  <c r="BS50" i="5"/>
  <c r="AZ51" i="5"/>
  <c r="BA51" i="5"/>
  <c r="CH51" i="5"/>
  <c r="CI51" i="5"/>
  <c r="CR51" i="5"/>
  <c r="CQ51" i="5"/>
  <c r="CZ51" i="5"/>
  <c r="DA51" i="5"/>
  <c r="DS51" i="5"/>
  <c r="DR51" i="5"/>
  <c r="EB51" i="5"/>
  <c r="EA51" i="5"/>
  <c r="ED51" i="5" s="1"/>
  <c r="EJ51" i="5"/>
  <c r="EK51" i="5"/>
  <c r="FB51" i="5"/>
  <c r="FC51" i="5"/>
  <c r="FL51" i="5"/>
  <c r="FK51" i="5"/>
  <c r="FT51" i="5"/>
  <c r="FU51" i="5"/>
  <c r="GS51" i="5"/>
  <c r="GT51" i="5"/>
  <c r="GZ51" i="5"/>
  <c r="HA51" i="5"/>
  <c r="HI51" i="5"/>
  <c r="HH51" i="5"/>
  <c r="AZ52" i="5"/>
  <c r="BB52" i="5"/>
  <c r="BS52" i="5"/>
  <c r="AZ53" i="5"/>
  <c r="BB53" i="5"/>
  <c r="BS53" i="5"/>
  <c r="AZ54" i="5"/>
  <c r="BA54" i="5"/>
  <c r="BB54" i="5" s="1"/>
  <c r="AZ55" i="5"/>
  <c r="AZ56" i="5"/>
  <c r="BA56" i="5"/>
  <c r="BB56" i="5" s="1"/>
  <c r="BS56" i="5"/>
  <c r="CH56" i="5"/>
  <c r="CI56" i="5"/>
  <c r="CZ56" i="5"/>
  <c r="DA56" i="5"/>
  <c r="DJ56" i="5"/>
  <c r="DI56" i="5"/>
  <c r="DR56" i="5"/>
  <c r="DS56" i="5"/>
  <c r="EK56" i="5"/>
  <c r="EJ56" i="5"/>
  <c r="ET56" i="5"/>
  <c r="ES56" i="5"/>
  <c r="EV56" i="5" s="1"/>
  <c r="FB56" i="5"/>
  <c r="FC56" i="5"/>
  <c r="FT56" i="5"/>
  <c r="FU56" i="5"/>
  <c r="HL56" i="5"/>
  <c r="GK56" i="5"/>
  <c r="GJ56" i="5"/>
  <c r="GS56" i="5"/>
  <c r="GT56" i="5"/>
  <c r="GV56" i="5" s="1"/>
  <c r="HH56" i="5"/>
  <c r="HI56" i="5"/>
  <c r="AZ57" i="5"/>
  <c r="BA57" i="5"/>
  <c r="AZ58" i="5"/>
  <c r="BB58" i="5"/>
  <c r="AZ59" i="5"/>
  <c r="BA59" i="5"/>
  <c r="BB59" i="5" s="1"/>
  <c r="CI61" i="5"/>
  <c r="CH61" i="5"/>
  <c r="CK61" i="5" s="1"/>
  <c r="CR61" i="5"/>
  <c r="CQ61" i="5"/>
  <c r="CT61" i="5" s="1"/>
  <c r="CZ61" i="5"/>
  <c r="DA61" i="5"/>
  <c r="DS61" i="5"/>
  <c r="DR61" i="5"/>
  <c r="DU61" i="5" s="1"/>
  <c r="EB61" i="5"/>
  <c r="EA61" i="5"/>
  <c r="ED61" i="5" s="1"/>
  <c r="EJ61" i="5"/>
  <c r="EK61" i="5"/>
  <c r="FC61" i="5"/>
  <c r="FB61" i="5"/>
  <c r="FE61" i="5" s="1"/>
  <c r="FL61" i="5"/>
  <c r="FK61" i="5"/>
  <c r="FN61" i="5" s="1"/>
  <c r="FT61" i="5"/>
  <c r="FU61" i="5"/>
  <c r="GT61" i="5"/>
  <c r="GS61" i="5"/>
  <c r="GZ61" i="5"/>
  <c r="HA61" i="5"/>
  <c r="HH61" i="5"/>
  <c r="HI61" i="5"/>
  <c r="Y23" i="6"/>
  <c r="Y44" i="6"/>
  <c r="Y48" i="6"/>
  <c r="Y51" i="6"/>
  <c r="Y55" i="6"/>
  <c r="AZ55" i="6"/>
  <c r="DD56" i="6"/>
  <c r="DG56" i="6" s="1"/>
  <c r="DE46" i="6"/>
  <c r="DD51" i="6"/>
  <c r="DG51" i="6" s="1"/>
  <c r="DE22" i="6"/>
  <c r="DD28" i="6"/>
  <c r="DG28" i="6" s="1"/>
  <c r="DE51" i="6"/>
  <c r="DD37" i="6"/>
  <c r="DG37" i="6" s="1"/>
  <c r="DD18" i="6"/>
  <c r="DG18" i="6" s="1"/>
  <c r="DD61" i="6"/>
  <c r="DG61" i="6" s="1"/>
  <c r="DE13" i="6"/>
  <c r="DE37" i="6"/>
  <c r="FC22" i="5"/>
  <c r="FB22" i="5"/>
  <c r="FY7" i="5"/>
  <c r="CB7" i="5"/>
  <c r="ET7" i="5"/>
  <c r="ES7" i="5"/>
  <c r="GT7" i="5"/>
  <c r="GS7" i="5"/>
  <c r="BB13" i="5"/>
  <c r="CI22" i="5"/>
  <c r="CH22" i="5"/>
  <c r="BA28" i="5"/>
  <c r="GA42" i="5"/>
  <c r="HS42" i="5" s="1"/>
  <c r="BB14" i="5"/>
  <c r="GT22" i="5"/>
  <c r="GS22" i="5"/>
  <c r="HQ28" i="5"/>
  <c r="GA18" i="5"/>
  <c r="HS18" i="5" s="1"/>
  <c r="BA25" i="5"/>
  <c r="AZ25" i="5"/>
  <c r="CR46" i="5"/>
  <c r="CQ46" i="5"/>
  <c r="AZ15" i="5"/>
  <c r="BC18" i="5" s="1"/>
  <c r="BB19" i="5"/>
  <c r="GA7" i="5"/>
  <c r="DL7" i="5"/>
  <c r="AZ9" i="5"/>
  <c r="AZ12" i="5"/>
  <c r="BB12" i="5" s="1"/>
  <c r="EV13" i="5"/>
  <c r="BS17" i="5"/>
  <c r="BT18" i="5" s="1"/>
  <c r="GV18" i="5"/>
  <c r="HK18" i="5"/>
  <c r="BB26" i="5"/>
  <c r="ED28" i="5"/>
  <c r="FU28" i="5"/>
  <c r="FT28" i="5"/>
  <c r="FW28" i="5" s="1"/>
  <c r="AZ5" i="5"/>
  <c r="BB4" i="5"/>
  <c r="CI7" i="5"/>
  <c r="CK7" i="5" s="1"/>
  <c r="EM7" i="5"/>
  <c r="FC7" i="5"/>
  <c r="FB7" i="5"/>
  <c r="FE7" i="5" s="1"/>
  <c r="GK7" i="5"/>
  <c r="GJ7" i="5"/>
  <c r="HL7" i="5"/>
  <c r="BB9" i="5"/>
  <c r="HQ18" i="5"/>
  <c r="EK18" i="5"/>
  <c r="EJ18" i="5"/>
  <c r="AZ23" i="5"/>
  <c r="BB23" i="5" s="1"/>
  <c r="BS28" i="5"/>
  <c r="BB35" i="5"/>
  <c r="BB5" i="5"/>
  <c r="HB7" i="5"/>
  <c r="DS13" i="5"/>
  <c r="DR13" i="5"/>
  <c r="DU13" i="5" s="1"/>
  <c r="HI13" i="5"/>
  <c r="HH13" i="5"/>
  <c r="BA22" i="5"/>
  <c r="AZ22" i="5"/>
  <c r="BC23" i="5" s="1"/>
  <c r="DA28" i="5"/>
  <c r="CZ28" i="5"/>
  <c r="AZ7" i="5"/>
  <c r="BB7" i="5" s="1"/>
  <c r="HN7" i="5"/>
  <c r="GA13" i="5"/>
  <c r="HS13" i="5" s="1"/>
  <c r="BS20" i="5"/>
  <c r="BT23" i="5" s="1"/>
  <c r="FY22" i="5"/>
  <c r="BS25" i="5"/>
  <c r="BT28" i="5" s="1"/>
  <c r="AZ28" i="5"/>
  <c r="DA32" i="5"/>
  <c r="CZ32" i="5"/>
  <c r="BA39" i="5"/>
  <c r="AZ39" i="5"/>
  <c r="AZ8" i="5"/>
  <c r="BB8" i="5" s="1"/>
  <c r="CH13" i="5"/>
  <c r="CK13" i="5" s="1"/>
  <c r="FB13" i="5"/>
  <c r="FE13" i="5" s="1"/>
  <c r="GS13" i="5"/>
  <c r="GV13" i="5" s="1"/>
  <c r="HL13" i="5"/>
  <c r="HQ13" i="5" s="1"/>
  <c r="CZ18" i="5"/>
  <c r="DC18" i="5" s="1"/>
  <c r="FT18" i="5"/>
  <c r="FW18" i="5" s="1"/>
  <c r="GZ18" i="5"/>
  <c r="HB18" i="5" s="1"/>
  <c r="CB22" i="5"/>
  <c r="HH22" i="5"/>
  <c r="HK22" i="5" s="1"/>
  <c r="EJ28" i="5"/>
  <c r="EM28" i="5" s="1"/>
  <c r="EJ32" i="5"/>
  <c r="EM32" i="5" s="1"/>
  <c r="CZ37" i="5"/>
  <c r="DC37" i="5" s="1"/>
  <c r="FB37" i="5"/>
  <c r="FE37" i="5" s="1"/>
  <c r="FC42" i="5"/>
  <c r="FB42" i="5"/>
  <c r="FE42" i="5" s="1"/>
  <c r="HS51" i="5"/>
  <c r="BT61" i="5"/>
  <c r="CQ18" i="5"/>
  <c r="CT18" i="5" s="1"/>
  <c r="BS31" i="5"/>
  <c r="BT32" i="5" s="1"/>
  <c r="CH32" i="5"/>
  <c r="CK32" i="5" s="1"/>
  <c r="FB32" i="5"/>
  <c r="FE32" i="5" s="1"/>
  <c r="HL32" i="5"/>
  <c r="BS36" i="5"/>
  <c r="FT37" i="5"/>
  <c r="FW37" i="5" s="1"/>
  <c r="HL37" i="5"/>
  <c r="BA42" i="5"/>
  <c r="BB42" i="5" s="1"/>
  <c r="AZ43" i="5"/>
  <c r="BB43" i="5" s="1"/>
  <c r="BS44" i="5"/>
  <c r="BB46" i="5"/>
  <c r="HK46" i="5"/>
  <c r="BT51" i="5"/>
  <c r="BB50" i="5"/>
  <c r="FN51" i="5"/>
  <c r="DL56" i="5"/>
  <c r="HK56" i="5"/>
  <c r="HL22" i="5"/>
  <c r="GZ28" i="5"/>
  <c r="HB28" i="5" s="1"/>
  <c r="AZ31" i="5"/>
  <c r="BB31" i="5" s="1"/>
  <c r="DS32" i="5"/>
  <c r="DR32" i="5"/>
  <c r="FW32" i="5"/>
  <c r="AZ33" i="5"/>
  <c r="BS34" i="5"/>
  <c r="BS37" i="5"/>
  <c r="EK37" i="5"/>
  <c r="EJ37" i="5"/>
  <c r="HI42" i="5"/>
  <c r="HH42" i="5"/>
  <c r="AZ44" i="5"/>
  <c r="GM46" i="5"/>
  <c r="HN56" i="5"/>
  <c r="DI13" i="5"/>
  <c r="DL13" i="5" s="1"/>
  <c r="EA18" i="5"/>
  <c r="ED18" i="5" s="1"/>
  <c r="ES22" i="5"/>
  <c r="EV22" i="5" s="1"/>
  <c r="GJ22" i="5"/>
  <c r="GM22" i="5" s="1"/>
  <c r="CQ28" i="5"/>
  <c r="CT28" i="5" s="1"/>
  <c r="FK28" i="5"/>
  <c r="FN28" i="5" s="1"/>
  <c r="BA33" i="5"/>
  <c r="BB33" i="5" s="1"/>
  <c r="BA36" i="5"/>
  <c r="AZ36" i="5"/>
  <c r="FY37" i="5"/>
  <c r="HQ37" i="5" s="1"/>
  <c r="CI37" i="5"/>
  <c r="GS37" i="5"/>
  <c r="GV37" i="5" s="1"/>
  <c r="DL42" i="5"/>
  <c r="GT42" i="5"/>
  <c r="HL42" i="5"/>
  <c r="HQ42" i="5" s="1"/>
  <c r="GS42" i="5"/>
  <c r="BA47" i="5"/>
  <c r="AZ47" i="5"/>
  <c r="BC51" i="5" s="1"/>
  <c r="BU51" i="5" s="1"/>
  <c r="BB51" i="5"/>
  <c r="CT51" i="5"/>
  <c r="BC56" i="5"/>
  <c r="GA56" i="5"/>
  <c r="HS56" i="5" s="1"/>
  <c r="FY32" i="5"/>
  <c r="HQ32" i="5" s="1"/>
  <c r="GS32" i="5"/>
  <c r="GV32" i="5" s="1"/>
  <c r="HI32" i="5"/>
  <c r="HH32" i="5"/>
  <c r="BA37" i="5"/>
  <c r="BB37" i="5" s="1"/>
  <c r="HN37" i="5"/>
  <c r="HS37" i="5" s="1"/>
  <c r="BS39" i="5"/>
  <c r="BS42" i="5"/>
  <c r="CI42" i="5"/>
  <c r="CH42" i="5"/>
  <c r="CK42" i="5" s="1"/>
  <c r="BB45" i="5"/>
  <c r="BS46" i="5"/>
  <c r="CK46" i="5"/>
  <c r="FE46" i="5"/>
  <c r="BB55" i="5"/>
  <c r="BB57" i="5"/>
  <c r="GA61" i="5"/>
  <c r="HS61" i="5" s="1"/>
  <c r="AZ34" i="5"/>
  <c r="BB34" i="5" s="1"/>
  <c r="CK37" i="5"/>
  <c r="AZ41" i="5"/>
  <c r="BB41" i="5" s="1"/>
  <c r="BT46" i="5"/>
  <c r="BB44" i="5"/>
  <c r="EB46" i="5"/>
  <c r="EA46" i="5"/>
  <c r="HN46" i="5"/>
  <c r="HS46" i="5" s="1"/>
  <c r="GZ46" i="5"/>
  <c r="HB46" i="5" s="1"/>
  <c r="CB51" i="5"/>
  <c r="FY56" i="5"/>
  <c r="HQ56" i="5" s="1"/>
  <c r="HL61" i="5"/>
  <c r="FK46" i="5"/>
  <c r="FN46" i="5" s="1"/>
  <c r="DI51" i="5"/>
  <c r="DL51" i="5" s="1"/>
  <c r="EA56" i="5"/>
  <c r="ED56" i="5" s="1"/>
  <c r="AZ60" i="5"/>
  <c r="ES61" i="5"/>
  <c r="EV61" i="5" s="1"/>
  <c r="GJ61" i="5"/>
  <c r="GM61" i="5" s="1"/>
  <c r="HL46" i="5"/>
  <c r="FY61" i="5"/>
  <c r="HQ61" i="5" s="1"/>
  <c r="FY46" i="5"/>
  <c r="HL51" i="5"/>
  <c r="HQ51" i="5" s="1"/>
  <c r="GZ56" i="5"/>
  <c r="HB56" i="5" s="1"/>
  <c r="ES51" i="5"/>
  <c r="EV51" i="5" s="1"/>
  <c r="GJ51" i="5"/>
  <c r="GM51" i="5" s="1"/>
  <c r="CQ56" i="5"/>
  <c r="CT56" i="5" s="1"/>
  <c r="FK56" i="5"/>
  <c r="FN56" i="5" s="1"/>
  <c r="DI61" i="5"/>
  <c r="DL61" i="5" s="1"/>
  <c r="AZ61" i="5"/>
  <c r="BB61" i="5" s="1"/>
  <c r="BC61" i="5" l="1"/>
  <c r="BU61" i="5" s="1"/>
  <c r="BT42" i="5"/>
  <c r="BB36" i="5"/>
  <c r="HK42" i="5"/>
  <c r="BC37" i="5"/>
  <c r="HM46" i="5"/>
  <c r="BT37" i="5"/>
  <c r="BC42" i="5"/>
  <c r="BB39" i="5"/>
  <c r="HQ22" i="5"/>
  <c r="BU23" i="5"/>
  <c r="HK13" i="5"/>
  <c r="BC8" i="5"/>
  <c r="BU8" i="5" s="1"/>
  <c r="HS7" i="5"/>
  <c r="BU18" i="5"/>
  <c r="BC28" i="5"/>
  <c r="BU28" i="5" s="1"/>
  <c r="GV22" i="5"/>
  <c r="GV7" i="5"/>
  <c r="HK61" i="5"/>
  <c r="HB61" i="5"/>
  <c r="GV61" i="5"/>
  <c r="FW61" i="5"/>
  <c r="EM61" i="5"/>
  <c r="DC61" i="5"/>
  <c r="GM56" i="5"/>
  <c r="FW56" i="5"/>
  <c r="FE56" i="5"/>
  <c r="EM56" i="5"/>
  <c r="DU56" i="5"/>
  <c r="DC56" i="5"/>
  <c r="CK56" i="5"/>
  <c r="FZ56" i="5" s="1"/>
  <c r="BT56" i="5"/>
  <c r="BU56" i="5" s="1"/>
  <c r="HK51" i="5"/>
  <c r="HB51" i="5"/>
  <c r="GV51" i="5"/>
  <c r="FW51" i="5"/>
  <c r="FE51" i="5"/>
  <c r="EM51" i="5"/>
  <c r="DU51" i="5"/>
  <c r="DC51" i="5"/>
  <c r="CK51" i="5"/>
  <c r="DU46" i="5"/>
  <c r="FN42" i="5"/>
  <c r="EV42" i="5"/>
  <c r="HK37" i="5"/>
  <c r="GM37" i="5"/>
  <c r="FN37" i="5"/>
  <c r="ED37" i="5"/>
  <c r="CT37" i="5"/>
  <c r="FN32" i="5"/>
  <c r="EV32" i="5"/>
  <c r="DL32" i="5"/>
  <c r="BB30" i="5"/>
  <c r="HK28" i="5"/>
  <c r="GM28" i="5"/>
  <c r="FE28" i="5"/>
  <c r="CK28" i="5"/>
  <c r="EM22" i="5"/>
  <c r="DU22" i="5"/>
  <c r="DL22" i="5"/>
  <c r="BB21" i="5"/>
  <c r="GM18" i="5"/>
  <c r="FN18" i="5"/>
  <c r="DU18" i="5"/>
  <c r="HB13" i="5"/>
  <c r="FW13" i="5"/>
  <c r="DC13" i="5"/>
  <c r="CT13" i="5"/>
  <c r="ED7" i="5"/>
  <c r="DU7" i="5"/>
  <c r="HM22" i="5"/>
  <c r="HO22" i="5" s="1"/>
  <c r="GB56" i="5"/>
  <c r="FZ51" i="5"/>
  <c r="GV42" i="5"/>
  <c r="HM42" i="5" s="1"/>
  <c r="BB60" i="5"/>
  <c r="CT46" i="5"/>
  <c r="BC32" i="5"/>
  <c r="BU32" i="5" s="1"/>
  <c r="EV7" i="5"/>
  <c r="HM56" i="5"/>
  <c r="BC46" i="5"/>
  <c r="BU46" i="5" s="1"/>
  <c r="EM18" i="5"/>
  <c r="FZ18" i="5" s="1"/>
  <c r="GM7" i="5"/>
  <c r="HM7" i="5" s="1"/>
  <c r="HO7" i="5" s="1"/>
  <c r="BB28" i="5"/>
  <c r="BU37" i="5"/>
  <c r="BU42" i="5"/>
  <c r="FZ7" i="5"/>
  <c r="ED46" i="5"/>
  <c r="HK32" i="5"/>
  <c r="HM32" i="5" s="1"/>
  <c r="HO32" i="5" s="1"/>
  <c r="DC32" i="5"/>
  <c r="BB22" i="5"/>
  <c r="BC13" i="5"/>
  <c r="BU13" i="5" s="1"/>
  <c r="CK22" i="5"/>
  <c r="HQ7" i="5"/>
  <c r="BB15" i="5"/>
  <c r="HQ46" i="5"/>
  <c r="BB47" i="5"/>
  <c r="DU32" i="5"/>
  <c r="BB25" i="5"/>
  <c r="EM37" i="5"/>
  <c r="FZ37" i="5" s="1"/>
  <c r="HO46" i="5"/>
  <c r="DC28" i="5"/>
  <c r="FZ28" i="5" s="1"/>
  <c r="HM13" i="5"/>
  <c r="HO13" i="5" s="1"/>
  <c r="HM18" i="5"/>
  <c r="HO18" i="5" s="1"/>
  <c r="FE22" i="5"/>
  <c r="FZ22" i="5" s="1"/>
  <c r="FZ32" i="5" l="1"/>
  <c r="HO56" i="5"/>
  <c r="HR56" i="5"/>
  <c r="HT56" i="5" s="1"/>
  <c r="FZ46" i="5"/>
  <c r="FZ13" i="5"/>
  <c r="HM28" i="5"/>
  <c r="HO28" i="5" s="1"/>
  <c r="HM37" i="5"/>
  <c r="HO37" i="5" s="1"/>
  <c r="FZ42" i="5"/>
  <c r="GB42" i="5" s="1"/>
  <c r="HM51" i="5"/>
  <c r="HO51" i="5" s="1"/>
  <c r="FZ61" i="5"/>
  <c r="HM61" i="5"/>
  <c r="HO61" i="5" s="1"/>
  <c r="HR22" i="5"/>
  <c r="HT22" i="5" s="1"/>
  <c r="GB22" i="5"/>
  <c r="HR32" i="5"/>
  <c r="HT32" i="5" s="1"/>
  <c r="GB32" i="5"/>
  <c r="HR18" i="5"/>
  <c r="HT18" i="5" s="1"/>
  <c r="GB18" i="5"/>
  <c r="HO42" i="5"/>
  <c r="HR42" i="5"/>
  <c r="HT42" i="5" s="1"/>
  <c r="HR37" i="5"/>
  <c r="HT37" i="5" s="1"/>
  <c r="GB37" i="5"/>
  <c r="HR46" i="5"/>
  <c r="HT46" i="5" s="1"/>
  <c r="GB46" i="5"/>
  <c r="HR51" i="5"/>
  <c r="HT51" i="5" s="1"/>
  <c r="GB51" i="5"/>
  <c r="HR7" i="5"/>
  <c r="HT7" i="5" s="1"/>
  <c r="GB7" i="5"/>
  <c r="GB28" i="5"/>
  <c r="HR28" i="5"/>
  <c r="HT28" i="5" s="1"/>
  <c r="HR61" i="5" l="1"/>
  <c r="HT61" i="5" s="1"/>
  <c r="GB61" i="5"/>
  <c r="HR13" i="5"/>
  <c r="HT13" i="5" s="1"/>
  <c r="GB13" i="5"/>
  <c r="BA44" i="3"/>
  <c r="BA45" i="3"/>
  <c r="BA46" i="3"/>
  <c r="AZ43" i="3"/>
  <c r="AZ46" i="3"/>
  <c r="AZ47" i="3"/>
  <c r="AY44" i="3"/>
  <c r="AY46" i="3"/>
  <c r="AX45" i="3"/>
  <c r="AX48" i="3"/>
  <c r="AW44" i="3"/>
  <c r="AV43" i="3"/>
  <c r="AV47" i="3"/>
  <c r="AU46" i="3"/>
  <c r="AU47" i="3"/>
  <c r="AT45" i="3"/>
  <c r="AT48" i="3"/>
  <c r="AS44" i="3"/>
  <c r="AR43" i="3"/>
  <c r="AR47" i="3"/>
  <c r="AQ43" i="3"/>
  <c r="AQ44" i="3"/>
  <c r="AQ46" i="3"/>
  <c r="AP45" i="3"/>
  <c r="AP48" i="3"/>
  <c r="AO44" i="3"/>
  <c r="AO46" i="3"/>
  <c r="AO48" i="3"/>
  <c r="AN43" i="3"/>
  <c r="AN47" i="3"/>
  <c r="AM46" i="3"/>
  <c r="AL44" i="3"/>
  <c r="AL45" i="3"/>
  <c r="AK47" i="3"/>
  <c r="AR62" i="6"/>
  <c r="AR63" i="6"/>
  <c r="AR64" i="6" s="1"/>
  <c r="AJ43" i="3"/>
  <c r="AJ47" i="3"/>
  <c r="AI46" i="3"/>
  <c r="AH45" i="3"/>
  <c r="AG44" i="3"/>
  <c r="AG48" i="3"/>
  <c r="AF43" i="3"/>
  <c r="AF45" i="3"/>
  <c r="AF47" i="3"/>
  <c r="AE46" i="3"/>
  <c r="AE47" i="3"/>
  <c r="AE49" i="3"/>
  <c r="AD46" i="3"/>
  <c r="AB43" i="3"/>
  <c r="AB44" i="3"/>
  <c r="AB45" i="3"/>
  <c r="AB47" i="3"/>
  <c r="AC44" i="3"/>
  <c r="AC48" i="3"/>
  <c r="BE62" i="5"/>
  <c r="BE63" i="5" s="1"/>
  <c r="E44" i="3"/>
  <c r="E45" i="3"/>
  <c r="E47" i="3"/>
  <c r="E48" i="3"/>
  <c r="L43" i="3"/>
  <c r="L44" i="3"/>
  <c r="L47" i="3"/>
  <c r="X43" i="3"/>
  <c r="X47" i="3"/>
  <c r="V43" i="3"/>
  <c r="V46" i="3"/>
  <c r="N45" i="3"/>
  <c r="J45" i="3"/>
  <c r="T43" i="3"/>
  <c r="T47" i="3"/>
  <c r="P43" i="3"/>
  <c r="P47" i="3"/>
  <c r="R43" i="3"/>
  <c r="R45" i="3"/>
  <c r="F45" i="3"/>
  <c r="H43" i="3"/>
  <c r="H45" i="3"/>
  <c r="H47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E43" i="3"/>
  <c r="F43" i="3"/>
  <c r="G43" i="3"/>
  <c r="I43" i="3"/>
  <c r="J43" i="3"/>
  <c r="K43" i="3"/>
  <c r="M43" i="3"/>
  <c r="N43" i="3"/>
  <c r="O43" i="3"/>
  <c r="Q43" i="3"/>
  <c r="S43" i="3"/>
  <c r="U43" i="3"/>
  <c r="W43" i="3"/>
  <c r="Y43" i="3"/>
  <c r="Z43" i="3"/>
  <c r="AA43" i="3"/>
  <c r="AC43" i="3"/>
  <c r="AD43" i="3"/>
  <c r="AE43" i="3"/>
  <c r="AG43" i="3"/>
  <c r="AH43" i="3"/>
  <c r="AI43" i="3"/>
  <c r="AL43" i="3"/>
  <c r="AM43" i="3"/>
  <c r="AO43" i="3"/>
  <c r="AP43" i="3"/>
  <c r="AS43" i="3"/>
  <c r="AT43" i="3"/>
  <c r="AU43" i="3"/>
  <c r="AW43" i="3"/>
  <c r="AY43" i="3"/>
  <c r="BA43" i="3"/>
  <c r="F44" i="3"/>
  <c r="G44" i="3"/>
  <c r="H44" i="3"/>
  <c r="I44" i="3"/>
  <c r="J44" i="3"/>
  <c r="K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D44" i="3"/>
  <c r="AE44" i="3"/>
  <c r="AF44" i="3"/>
  <c r="AH44" i="3"/>
  <c r="AI44" i="3"/>
  <c r="AJ44" i="3"/>
  <c r="AK44" i="3"/>
  <c r="AM44" i="3"/>
  <c r="AN44" i="3"/>
  <c r="AP44" i="3"/>
  <c r="AR44" i="3"/>
  <c r="AT44" i="3"/>
  <c r="AU44" i="3"/>
  <c r="AV44" i="3"/>
  <c r="AX44" i="3"/>
  <c r="AZ44" i="3"/>
  <c r="G45" i="3"/>
  <c r="I45" i="3"/>
  <c r="K45" i="3"/>
  <c r="L45" i="3"/>
  <c r="M45" i="3"/>
  <c r="O45" i="3"/>
  <c r="P45" i="3"/>
  <c r="Q45" i="3"/>
  <c r="S45" i="3"/>
  <c r="T45" i="3"/>
  <c r="U45" i="3"/>
  <c r="V45" i="3"/>
  <c r="W45" i="3"/>
  <c r="X45" i="3"/>
  <c r="Y45" i="3"/>
  <c r="AA45" i="3"/>
  <c r="AC45" i="3"/>
  <c r="AD45" i="3"/>
  <c r="AE45" i="3"/>
  <c r="AG45" i="3"/>
  <c r="AI45" i="3"/>
  <c r="AJ45" i="3"/>
  <c r="AM45" i="3"/>
  <c r="AN45" i="3"/>
  <c r="AO45" i="3"/>
  <c r="AQ45" i="3"/>
  <c r="AR45" i="3"/>
  <c r="AS45" i="3"/>
  <c r="AU45" i="3"/>
  <c r="AV45" i="3"/>
  <c r="AW45" i="3"/>
  <c r="AY45" i="3"/>
  <c r="AZ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W46" i="3"/>
  <c r="X46" i="3"/>
  <c r="Y46" i="3"/>
  <c r="Z46" i="3"/>
  <c r="AA46" i="3"/>
  <c r="AB46" i="3"/>
  <c r="AC46" i="3"/>
  <c r="AF46" i="3"/>
  <c r="AG46" i="3"/>
  <c r="AH46" i="3"/>
  <c r="AJ46" i="3"/>
  <c r="AK46" i="3"/>
  <c r="AL46" i="3"/>
  <c r="AN46" i="3"/>
  <c r="AP46" i="3"/>
  <c r="AR46" i="3"/>
  <c r="AS46" i="3"/>
  <c r="AT46" i="3"/>
  <c r="AV46" i="3"/>
  <c r="AW46" i="3"/>
  <c r="F47" i="3"/>
  <c r="G47" i="3"/>
  <c r="I47" i="3"/>
  <c r="J47" i="3"/>
  <c r="K47" i="3"/>
  <c r="M47" i="3"/>
  <c r="N47" i="3"/>
  <c r="O47" i="3"/>
  <c r="Q47" i="3"/>
  <c r="R47" i="3"/>
  <c r="S47" i="3"/>
  <c r="U47" i="3"/>
  <c r="V47" i="3"/>
  <c r="W47" i="3"/>
  <c r="Y47" i="3"/>
  <c r="Z47" i="3"/>
  <c r="AA47" i="3"/>
  <c r="AC47" i="3"/>
  <c r="AD47" i="3"/>
  <c r="AG47" i="3"/>
  <c r="AH47" i="3"/>
  <c r="AI47" i="3"/>
  <c r="AL47" i="3"/>
  <c r="AM47" i="3"/>
  <c r="AO47" i="3"/>
  <c r="AP47" i="3"/>
  <c r="AQ47" i="3"/>
  <c r="AS47" i="3"/>
  <c r="AT47" i="3"/>
  <c r="AW47" i="3"/>
  <c r="AY47" i="3"/>
  <c r="BA47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D48" i="3"/>
  <c r="AE48" i="3"/>
  <c r="AF48" i="3"/>
  <c r="AH48" i="3"/>
  <c r="AI48" i="3"/>
  <c r="AJ48" i="3"/>
  <c r="AK48" i="3"/>
  <c r="AL48" i="3"/>
  <c r="AM48" i="3"/>
  <c r="AN48" i="3"/>
  <c r="AQ48" i="3"/>
  <c r="AR48" i="3"/>
  <c r="AS48" i="3"/>
  <c r="AU48" i="3"/>
  <c r="AV48" i="3"/>
  <c r="AW48" i="3"/>
  <c r="AY48" i="3"/>
  <c r="AZ48" i="3"/>
  <c r="BA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K56" i="1"/>
  <c r="K50" i="1"/>
  <c r="K25" i="1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X32" i="3"/>
  <c r="AW32" i="3"/>
  <c r="AY32" i="3"/>
  <c r="AZ32" i="3"/>
  <c r="BA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W33" i="3"/>
  <c r="AY33" i="3"/>
  <c r="AZ33" i="3"/>
  <c r="BA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W35" i="3"/>
  <c r="AY35" i="3"/>
  <c r="AZ35" i="3"/>
  <c r="BA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Y36" i="3"/>
  <c r="AZ36" i="3"/>
  <c r="BA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W39" i="3"/>
  <c r="AY39" i="3"/>
  <c r="AZ39" i="3"/>
  <c r="BA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Y40" i="3"/>
  <c r="AZ40" i="3"/>
  <c r="BA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K41" i="1"/>
  <c r="K35" i="1"/>
  <c r="K30" i="1"/>
  <c r="K20" i="1"/>
  <c r="K15" i="1"/>
  <c r="K10" i="1"/>
  <c r="K6" i="1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" i="3"/>
  <c r="AX4" i="3"/>
  <c r="AX5" i="3"/>
  <c r="AX6" i="3"/>
  <c r="AX7" i="3"/>
  <c r="AV8" i="3"/>
  <c r="AX9" i="3"/>
  <c r="AX10" i="3"/>
  <c r="AX11" i="3"/>
  <c r="AV12" i="3"/>
  <c r="AX13" i="3"/>
  <c r="AX14" i="3"/>
  <c r="AX15" i="3"/>
  <c r="AV16" i="3"/>
  <c r="AX17" i="3"/>
  <c r="AX18" i="3"/>
  <c r="AX19" i="3"/>
  <c r="AV20" i="3"/>
  <c r="AX21" i="3"/>
  <c r="AX22" i="3"/>
  <c r="AX23" i="3"/>
  <c r="AW23" i="3"/>
  <c r="AV24" i="3"/>
  <c r="AX25" i="3"/>
  <c r="AX26" i="3"/>
  <c r="AX27" i="3"/>
  <c r="AW27" i="3"/>
  <c r="AV28" i="3"/>
  <c r="AX29" i="3"/>
  <c r="AX30" i="3"/>
  <c r="AX31" i="3"/>
  <c r="AW31" i="3"/>
  <c r="AV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4" i="3"/>
  <c r="AW25" i="3"/>
  <c r="AW26" i="3"/>
  <c r="AW28" i="3"/>
  <c r="AW29" i="3"/>
  <c r="AW30" i="3"/>
  <c r="AW3" i="3"/>
  <c r="AV4" i="3"/>
  <c r="AV5" i="3"/>
  <c r="AV7" i="3"/>
  <c r="AV9" i="3"/>
  <c r="AV11" i="3"/>
  <c r="AV13" i="3"/>
  <c r="AV15" i="3"/>
  <c r="AV17" i="3"/>
  <c r="AV19" i="3"/>
  <c r="AV21" i="3"/>
  <c r="AV23" i="3"/>
  <c r="AV25" i="3"/>
  <c r="AV27" i="3"/>
  <c r="AV29" i="3"/>
  <c r="AV31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F3" i="3"/>
  <c r="F4" i="3"/>
  <c r="E4" i="1" s="1"/>
  <c r="F5" i="3"/>
  <c r="F6" i="3"/>
  <c r="E6" i="1" s="1"/>
  <c r="F7" i="3"/>
  <c r="F8" i="3"/>
  <c r="E8" i="1" s="1"/>
  <c r="F9" i="3"/>
  <c r="E9" i="1" s="1"/>
  <c r="F10" i="3"/>
  <c r="E10" i="1" s="1"/>
  <c r="F11" i="3"/>
  <c r="F12" i="3"/>
  <c r="E12" i="1" s="1"/>
  <c r="F13" i="3"/>
  <c r="F14" i="3"/>
  <c r="E14" i="1" s="1"/>
  <c r="F15" i="3"/>
  <c r="F16" i="3"/>
  <c r="E16" i="1" s="1"/>
  <c r="F17" i="3"/>
  <c r="E17" i="1" s="1"/>
  <c r="F18" i="3"/>
  <c r="E18" i="1" s="1"/>
  <c r="F19" i="3"/>
  <c r="F20" i="3"/>
  <c r="E20" i="1" s="1"/>
  <c r="F21" i="3"/>
  <c r="F22" i="3"/>
  <c r="E22" i="1" s="1"/>
  <c r="F23" i="3"/>
  <c r="F24" i="3"/>
  <c r="E24" i="1" s="1"/>
  <c r="F25" i="3"/>
  <c r="E25" i="1" s="1"/>
  <c r="F26" i="3"/>
  <c r="E26" i="1" s="1"/>
  <c r="F27" i="3"/>
  <c r="F28" i="3"/>
  <c r="E28" i="1" s="1"/>
  <c r="F29" i="3"/>
  <c r="F30" i="3"/>
  <c r="E30" i="1" s="1"/>
  <c r="F31" i="3"/>
  <c r="F2" i="3"/>
  <c r="E2" i="1" s="1"/>
  <c r="E3" i="3"/>
  <c r="E4" i="3"/>
  <c r="F4" i="1" s="1"/>
  <c r="E5" i="3"/>
  <c r="E6" i="3"/>
  <c r="F6" i="1" s="1"/>
  <c r="E7" i="3"/>
  <c r="E8" i="3"/>
  <c r="F8" i="1" s="1"/>
  <c r="E9" i="3"/>
  <c r="E10" i="3"/>
  <c r="F10" i="1" s="1"/>
  <c r="E11" i="3"/>
  <c r="E12" i="3"/>
  <c r="F12" i="1" s="1"/>
  <c r="E13" i="3"/>
  <c r="E14" i="3"/>
  <c r="F14" i="1" s="1"/>
  <c r="E15" i="3"/>
  <c r="E16" i="3"/>
  <c r="F16" i="1" s="1"/>
  <c r="E17" i="3"/>
  <c r="E18" i="3"/>
  <c r="F18" i="1" s="1"/>
  <c r="E19" i="3"/>
  <c r="E20" i="3"/>
  <c r="F20" i="1" s="1"/>
  <c r="E21" i="3"/>
  <c r="E22" i="3"/>
  <c r="F22" i="1" s="1"/>
  <c r="E23" i="3"/>
  <c r="E24" i="3"/>
  <c r="F24" i="1" s="1"/>
  <c r="E25" i="3"/>
  <c r="E26" i="3"/>
  <c r="F26" i="1" s="1"/>
  <c r="E27" i="3"/>
  <c r="E28" i="3"/>
  <c r="F28" i="1" s="1"/>
  <c r="E29" i="3"/>
  <c r="E30" i="3"/>
  <c r="F30" i="1" s="1"/>
  <c r="E31" i="3"/>
  <c r="E2" i="3"/>
  <c r="F2" i="1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Z9" i="10"/>
  <c r="Z8" i="10"/>
  <c r="Z7" i="10"/>
  <c r="Z6" i="10"/>
  <c r="Z5" i="10"/>
  <c r="B62" i="6"/>
  <c r="B63" i="6" s="1"/>
  <c r="B62" i="5"/>
  <c r="B63" i="5" s="1"/>
  <c r="HX24" i="5"/>
  <c r="HW24" i="5"/>
  <c r="HV24" i="5"/>
  <c r="G31" i="1" l="1"/>
  <c r="G29" i="1"/>
  <c r="G23" i="1"/>
  <c r="G21" i="1"/>
  <c r="G15" i="1"/>
  <c r="G13" i="1"/>
  <c r="G7" i="1"/>
  <c r="G5" i="1"/>
  <c r="G40" i="1"/>
  <c r="G38" i="1"/>
  <c r="G37" i="1"/>
  <c r="G34" i="1"/>
  <c r="G32" i="1"/>
  <c r="G59" i="1"/>
  <c r="G58" i="1"/>
  <c r="G55" i="1"/>
  <c r="G54" i="1"/>
  <c r="G52" i="1"/>
  <c r="G50" i="1"/>
  <c r="G42" i="1"/>
  <c r="E59" i="1"/>
  <c r="J57" i="1"/>
  <c r="E51" i="1"/>
  <c r="E46" i="1"/>
  <c r="J24" i="1"/>
  <c r="G30" i="1"/>
  <c r="G22" i="1"/>
  <c r="G14" i="1"/>
  <c r="G6" i="1"/>
  <c r="F59" i="1"/>
  <c r="E58" i="1"/>
  <c r="F58" i="1" s="1"/>
  <c r="J56" i="1"/>
  <c r="G51" i="1"/>
  <c r="F51" i="1"/>
  <c r="E50" i="1"/>
  <c r="E49" i="1"/>
  <c r="J46" i="1"/>
  <c r="F46" i="1"/>
  <c r="F17" i="1"/>
  <c r="J34" i="1"/>
  <c r="J32" i="1"/>
  <c r="E57" i="1"/>
  <c r="J55" i="1"/>
  <c r="F50" i="1"/>
  <c r="F49" i="1"/>
  <c r="E23" i="1"/>
  <c r="G2" i="1"/>
  <c r="G28" i="1"/>
  <c r="G20" i="1"/>
  <c r="G12" i="1"/>
  <c r="G4" i="1"/>
  <c r="J38" i="1"/>
  <c r="J37" i="1"/>
  <c r="E35" i="1"/>
  <c r="F35" i="1" s="1"/>
  <c r="E33" i="1"/>
  <c r="G57" i="1"/>
  <c r="F57" i="1"/>
  <c r="E56" i="1"/>
  <c r="F56" i="1" s="1"/>
  <c r="J54" i="1"/>
  <c r="G49" i="1"/>
  <c r="J47" i="1"/>
  <c r="E31" i="1"/>
  <c r="F31" i="1"/>
  <c r="F23" i="1"/>
  <c r="E29" i="1"/>
  <c r="E21" i="1"/>
  <c r="F21" i="1" s="1"/>
  <c r="E13" i="1"/>
  <c r="E5" i="1"/>
  <c r="J29" i="1"/>
  <c r="J21" i="1"/>
  <c r="J13" i="1"/>
  <c r="J5" i="1"/>
  <c r="G27" i="1"/>
  <c r="G19" i="1"/>
  <c r="G11" i="1"/>
  <c r="J41" i="1"/>
  <c r="E39" i="1"/>
  <c r="E36" i="1"/>
  <c r="F36" i="1" s="1"/>
  <c r="G35" i="1"/>
  <c r="E34" i="1"/>
  <c r="F34" i="1" s="1"/>
  <c r="G33" i="1"/>
  <c r="F33" i="1"/>
  <c r="E32" i="1"/>
  <c r="G56" i="1"/>
  <c r="E55" i="1"/>
  <c r="J53" i="1"/>
  <c r="E48" i="1"/>
  <c r="F48" i="1" s="1"/>
  <c r="E47" i="1"/>
  <c r="F47" i="1" s="1"/>
  <c r="G44" i="1"/>
  <c r="F9" i="1"/>
  <c r="J28" i="1"/>
  <c r="J20" i="1"/>
  <c r="J12" i="1"/>
  <c r="J4" i="1"/>
  <c r="J25" i="1"/>
  <c r="J17" i="1"/>
  <c r="J9" i="1"/>
  <c r="G26" i="1"/>
  <c r="G18" i="1"/>
  <c r="G10" i="1"/>
  <c r="E40" i="1"/>
  <c r="G39" i="1"/>
  <c r="F39" i="1"/>
  <c r="E38" i="1"/>
  <c r="F38" i="1" s="1"/>
  <c r="E37" i="1"/>
  <c r="F37" i="1" s="1"/>
  <c r="G36" i="1"/>
  <c r="F32" i="1"/>
  <c r="F55" i="1"/>
  <c r="E54" i="1"/>
  <c r="F54" i="1" s="1"/>
  <c r="J52" i="1"/>
  <c r="G46" i="1"/>
  <c r="J42" i="1"/>
  <c r="J43" i="1"/>
  <c r="E15" i="1"/>
  <c r="F15" i="1" s="1"/>
  <c r="F29" i="1"/>
  <c r="F13" i="1"/>
  <c r="F5" i="1"/>
  <c r="E27" i="1"/>
  <c r="F27" i="1" s="1"/>
  <c r="E19" i="1"/>
  <c r="F19" i="1" s="1"/>
  <c r="E11" i="1"/>
  <c r="F11" i="1" s="1"/>
  <c r="E3" i="1"/>
  <c r="F3" i="1" s="1"/>
  <c r="J27" i="1"/>
  <c r="J19" i="1"/>
  <c r="J11" i="1"/>
  <c r="J3" i="1"/>
  <c r="J16" i="1"/>
  <c r="J8" i="1"/>
  <c r="G25" i="1"/>
  <c r="G17" i="1"/>
  <c r="G9" i="1"/>
  <c r="E41" i="1"/>
  <c r="F40" i="1"/>
  <c r="J59" i="1"/>
  <c r="E53" i="1"/>
  <c r="J51" i="1"/>
  <c r="E43" i="1"/>
  <c r="J48" i="1"/>
  <c r="G47" i="1"/>
  <c r="F25" i="1"/>
  <c r="E7" i="1"/>
  <c r="F7" i="1" s="1"/>
  <c r="J31" i="1"/>
  <c r="J23" i="1"/>
  <c r="J15" i="1"/>
  <c r="J7" i="1"/>
  <c r="G3" i="1"/>
  <c r="G24" i="1"/>
  <c r="G16" i="1"/>
  <c r="G8" i="1"/>
  <c r="G41" i="1"/>
  <c r="F41" i="1"/>
  <c r="J58" i="1"/>
  <c r="G53" i="1"/>
  <c r="F53" i="1"/>
  <c r="E52" i="1"/>
  <c r="F52" i="1" s="1"/>
  <c r="J50" i="1"/>
  <c r="J49" i="1"/>
  <c r="G48" i="1"/>
  <c r="J45" i="1"/>
  <c r="E44" i="1"/>
  <c r="F43" i="1"/>
  <c r="E42" i="1"/>
  <c r="F42" i="1" s="1"/>
  <c r="F44" i="1"/>
  <c r="J44" i="1"/>
  <c r="AV39" i="3"/>
  <c r="AX39" i="3"/>
  <c r="AV35" i="3"/>
  <c r="AX35" i="3"/>
  <c r="AV30" i="3"/>
  <c r="AV26" i="3"/>
  <c r="AV22" i="3"/>
  <c r="AV18" i="3"/>
  <c r="J18" i="1" s="1"/>
  <c r="AV14" i="3"/>
  <c r="AV10" i="3"/>
  <c r="AV6" i="3"/>
  <c r="AX40" i="3"/>
  <c r="AW40" i="3"/>
  <c r="J40" i="1" s="1"/>
  <c r="AX3" i="3"/>
  <c r="AX28" i="3"/>
  <c r="AX24" i="3"/>
  <c r="AX20" i="3"/>
  <c r="AX16" i="3"/>
  <c r="AX12" i="3"/>
  <c r="AX8" i="3"/>
  <c r="AX41" i="3"/>
  <c r="AX37" i="3"/>
  <c r="AV33" i="3"/>
  <c r="AX33" i="3"/>
  <c r="AX36" i="3"/>
  <c r="AW36" i="3"/>
  <c r="J36" i="1" s="1"/>
  <c r="AK43" i="3"/>
  <c r="G43" i="1" s="1"/>
  <c r="Z45" i="3"/>
  <c r="AX46" i="3"/>
  <c r="AX43" i="3"/>
  <c r="AK45" i="3"/>
  <c r="G45" i="1" s="1"/>
  <c r="AX47" i="3"/>
  <c r="E45" i="1" l="1"/>
  <c r="F45" i="1"/>
  <c r="J30" i="1"/>
  <c r="J14" i="1"/>
  <c r="J10" i="1"/>
  <c r="J6" i="1"/>
  <c r="J22" i="1"/>
  <c r="J33" i="1"/>
  <c r="J26" i="1"/>
  <c r="J39" i="1"/>
  <c r="J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AX2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Tom Wuebben:</t>
        </r>
        <r>
          <rPr>
            <sz val="9"/>
            <color indexed="81"/>
            <rFont val="Tahoma"/>
            <family val="2"/>
          </rPr>
          <t xml:space="preserve">
New Meter
</t>
        </r>
      </text>
    </comment>
    <comment ref="AX26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Tom Wuebben:</t>
        </r>
        <r>
          <rPr>
            <sz val="9"/>
            <color indexed="81"/>
            <rFont val="Tahoma"/>
            <family val="2"/>
          </rPr>
          <t xml:space="preserve">
New Meter
</t>
        </r>
      </text>
    </comment>
    <comment ref="AM27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Tom Wuebben:</t>
        </r>
        <r>
          <rPr>
            <sz val="9"/>
            <color indexed="81"/>
            <rFont val="Tahoma"/>
            <family val="2"/>
          </rPr>
          <t xml:space="preserve">
Change Meter
</t>
        </r>
      </text>
    </comment>
    <comment ref="AA4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Tom Wuebben:</t>
        </r>
        <r>
          <rPr>
            <sz val="9"/>
            <color indexed="81"/>
            <rFont val="Tahoma"/>
            <family val="2"/>
          </rPr>
          <t xml:space="preserve">
New Meter Installed 85492530
</t>
        </r>
      </text>
    </comment>
  </commentList>
</comments>
</file>

<file path=xl/sharedStrings.xml><?xml version="1.0" encoding="utf-8"?>
<sst xmlns="http://schemas.openxmlformats.org/spreadsheetml/2006/main" count="1252" uniqueCount="404">
  <si>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</si>
  <si>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</si>
  <si>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</si>
  <si>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</si>
  <si>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</si>
  <si>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</si>
  <si>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</si>
  <si>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</si>
  <si>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</si>
  <si>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</si>
  <si>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</si>
  <si>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</si>
  <si>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</si>
  <si>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</si>
  <si>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</si>
  <si>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</si>
  <si>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</si>
  <si>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</si>
  <si>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</si>
  <si>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</si>
  <si>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</si>
  <si>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</si>
  <si>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</si>
  <si>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</si>
  <si>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</si>
  <si>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</si>
  <si>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</si>
  <si>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</si>
  <si>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</si>
  <si>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</si>
  <si>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</si>
  <si>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</si>
  <si>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</si>
  <si>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</si>
  <si>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</si>
  <si>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</si>
  <si>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</si>
  <si>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</si>
  <si>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</si>
  <si>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</si>
  <si>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</si>
  <si>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</si>
  <si>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</si>
  <si>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</si>
  <si>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</si>
  <si>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</si>
  <si>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</si>
  <si>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</si>
  <si>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</si>
  <si>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</si>
  <si>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</si>
  <si>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</si>
  <si>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</si>
  <si>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</si>
  <si>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</si>
  <si>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</si>
  <si>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</si>
  <si>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</si>
  <si>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</si>
  <si>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</si>
  <si>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</si>
  <si>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</si>
  <si>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</si>
  <si>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</si>
  <si>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</si>
  <si>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</si>
  <si>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</si>
  <si>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</si>
  <si>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</si>
  <si>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</si>
  <si>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</si>
  <si>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</si>
  <si>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</si>
  <si>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</si>
  <si>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</si>
  <si>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</si>
  <si>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</si>
  <si>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</si>
  <si>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</si>
  <si>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</si>
  <si>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</si>
  <si>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</si>
  <si>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</si>
  <si>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</si>
  <si>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</si>
  <si>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</si>
  <si>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</si>
  <si>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</si>
  <si>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</si>
  <si>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</si>
  <si>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</si>
  <si>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</si>
  <si>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</si>
  <si>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</si>
  <si>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</si>
  <si>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</si>
  <si>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</si>
  <si>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</si>
  <si>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</si>
  <si>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</si>
  <si>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</si>
  <si>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</si>
  <si>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</si>
  <si>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</si>
  <si>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</si>
  <si>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</si>
  <si>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</si>
  <si>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</si>
  <si>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</si>
  <si>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</si>
  <si>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</si>
  <si>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</si>
  <si>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</si>
  <si>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</si>
  <si>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</si>
  <si>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</si>
  <si>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</si>
  <si>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</si>
  <si>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</si>
  <si>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</si>
  <si>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</si>
  <si>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</si>
  <si>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</si>
  <si>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</si>
  <si>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</si>
  <si>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</si>
  <si>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</si>
  <si>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</si>
  <si>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</si>
  <si>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</si>
  <si>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</si>
  <si>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</si>
  <si>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</si>
  <si>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</si>
  <si>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</si>
  <si>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</si>
  <si>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</si>
  <si>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</si>
  <si>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</si>
  <si>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</si>
  <si>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</si>
  <si>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</si>
  <si>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</si>
  <si>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</si>
  <si>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</si>
  <si>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</si>
  <si>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</si>
  <si>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</si>
  <si>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</si>
  <si>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</si>
  <si>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</si>
  <si>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</si>
  <si>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</si>
  <si>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</si>
  <si>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</si>
  <si>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</si>
  <si>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</si>
  <si>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</si>
  <si>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</si>
  <si>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</si>
  <si>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</si>
  <si>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</si>
  <si>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</si>
  <si>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</si>
  <si>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</si>
  <si>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</si>
  <si>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</si>
  <si>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</si>
  <si>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</si>
  <si>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</si>
  <si>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</si>
  <si>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</si>
  <si>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</si>
  <si>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</si>
  <si>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</si>
  <si>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</si>
  <si>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</si>
  <si>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</si>
  <si>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</si>
  <si>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</si>
  <si>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</si>
  <si>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</si>
  <si>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</si>
  <si>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</si>
  <si>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</si>
  <si>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</si>
  <si>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</si>
  <si>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</si>
  <si>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</si>
  <si>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</si>
  <si>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</si>
  <si>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</si>
  <si>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</si>
  <si>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</si>
  <si>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</si>
  <si>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</si>
  <si>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</si>
  <si>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</si>
  <si>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</si>
  <si>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</si>
  <si>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</si>
  <si>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</si>
  <si>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</si>
  <si>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</si>
  <si>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</si>
  <si>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</si>
  <si>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</si>
  <si>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</si>
  <si>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</si>
  <si>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</si>
  <si>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</si>
  <si>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</si>
  <si>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</si>
  <si>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</si>
  <si>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</si>
  <si>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</si>
  <si>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</si>
  <si>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</si>
  <si>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</si>
  <si>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</si>
  <si>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</si>
  <si>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</si>
  <si>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</si>
  <si>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</si>
  <si>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</si>
  <si>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</si>
  <si>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</si>
  <si>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</si>
  <si>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</si>
  <si>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</si>
  <si>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</si>
  <si>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</si>
  <si>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</si>
  <si>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</si>
  <si>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</si>
  <si>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</si>
  <si>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</si>
  <si>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</si>
  <si>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</si>
  <si>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</si>
  <si>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</si>
  <si>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</si>
  <si>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</si>
  <si>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</si>
  <si>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</si>
  <si>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</si>
  <si>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</si>
  <si>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</si>
  <si>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</si>
  <si>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</si>
  <si>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</si>
  <si>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</si>
  <si>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</si>
  <si>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</si>
  <si>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</si>
  <si>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</si>
  <si>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</si>
  <si>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</si>
  <si>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</si>
  <si>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</si>
  <si>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</si>
  <si>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</si>
  <si>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</si>
  <si>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</si>
  <si>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</si>
  <si>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</si>
  <si>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</si>
  <si>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</si>
  <si>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</si>
  <si>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</si>
  <si>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</si>
  <si>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</si>
  <si>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</si>
  <si>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</si>
  <si>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</si>
  <si>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</si>
  <si>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</si>
  <si>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</si>
  <si>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</si>
  <si>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</si>
  <si>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</si>
  <si>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</si>
  <si>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</si>
  <si>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</si>
  <si>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</si>
  <si>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</si>
  <si>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</si>
  <si>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</si>
  <si>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</si>
  <si>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</si>
  <si>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</si>
  <si>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</si>
  <si>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</si>
  <si>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</si>
  <si>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</si>
  <si>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</si>
  <si>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</si>
  <si>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</si>
  <si>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</si>
  <si>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</si>
  <si>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</si>
  <si>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</si>
  <si>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</si>
  <si>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</si>
  <si>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</si>
  <si>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</si>
  <si>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CDD</t>
  </si>
  <si>
    <t>HDD</t>
  </si>
  <si>
    <t>% Occ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</si>
  <si>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</si>
  <si>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</si>
  <si>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</si>
  <si>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</si>
  <si>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</si>
  <si>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</si>
  <si>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</si>
  <si>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</si>
  <si>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</si>
  <si>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</si>
  <si>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</si>
  <si>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</si>
  <si>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</si>
  <si>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</si>
  <si>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</si>
  <si>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</si>
  <si>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</si>
  <si>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</si>
  <si>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</si>
  <si>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</si>
  <si>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</si>
  <si>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</si>
  <si>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</si>
  <si>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</si>
  <si>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</si>
  <si>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</si>
  <si>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</si>
  <si>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</si>
  <si>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</si>
  <si>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</si>
  <si>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</si>
  <si>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</si>
  <si>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</si>
  <si>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</si>
  <si>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</si>
  <si>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</si>
  <si>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</si>
  <si>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</si>
  <si>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</si>
  <si>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</si>
  <si>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</si>
  <si>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</si>
  <si>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</si>
  <si>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</si>
  <si>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</si>
  <si>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</si>
  <si>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</si>
  <si>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</si>
  <si>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</si>
  <si>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</si>
  <si>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</si>
  <si>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</si>
  <si>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</si>
  <si>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</si>
  <si>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</si>
  <si>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</si>
  <si>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</si>
  <si>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</si>
  <si>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</si>
  <si>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</si>
  <si>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</si>
  <si>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</si>
  <si>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</si>
  <si>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</si>
  <si>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</si>
  <si>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</si>
  <si>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</si>
  <si>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</si>
  <si>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</si>
  <si>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</si>
  <si>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(x1000)</t>
  </si>
  <si>
    <t>Cooling Tower B/D</t>
  </si>
  <si>
    <t>Bldg E Potable (x1000)</t>
  </si>
  <si>
    <t>Bldg E Irrigation (x1000)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</si>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</sst>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.000"/>
    <numFmt numFmtId="166" formatCode="&quot;$&quot;#,##0.00"/>
    <numFmt numFmtId="167" formatCode="#,##0.0"/>
    <numFmt numFmtId="168" formatCode="0.0"/>
  </numFmts>
  <fonts count="4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16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164" fontId="21" fillId="0" borderId="0" applyFont="0" applyFill="0" applyBorder="0" applyAlignment="0" applyProtection="0"/>
  </cellStyleXfs>
  <cellXfs count="24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5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23" borderId="0" xfId="0" applyFill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ill="1" applyBorder="1"/>
    <xf numFmtId="0" fontId="0" fillId="23" borderId="16" xfId="0" applyFill="1" applyBorder="1" applyAlignment="1">
      <alignment horizontal="center"/>
    </xf>
    <xf numFmtId="0" fontId="0" fillId="25" borderId="12" xfId="0" applyFill="1" applyBorder="1" applyAlignment="1">
      <alignment wrapText="1"/>
    </xf>
    <xf numFmtId="1" fontId="0" fillId="25" borderId="12" xfId="0" applyNumberFormat="1" applyFill="1" applyBorder="1"/>
    <xf numFmtId="2" fontId="0" fillId="0" borderId="12" xfId="0" applyNumberFormat="1" applyBorder="1" applyAlignment="1">
      <alignment horizontal="center"/>
    </xf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166" fontId="0" fillId="0" borderId="0" xfId="0" applyNumberFormat="1"/>
    <xf numFmtId="2" fontId="0" fillId="0" borderId="0" xfId="0" applyNumberFormat="1"/>
    <xf numFmtId="3" fontId="0" fillId="0" borderId="0" xfId="0" applyNumberFormat="1"/>
    <xf numFmtId="166" fontId="0" fillId="23" borderId="0" xfId="0" applyNumberFormat="1" applyFill="1"/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0" xfId="0" applyNumberFormat="1"/>
    <xf numFmtId="166" fontId="0" fillId="23" borderId="18" xfId="0" applyNumberFormat="1" applyFill="1" applyBorder="1"/>
    <xf numFmtId="166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166" fontId="0" fillId="23" borderId="0" xfId="0" applyNumberFormat="1" applyFill="1" applyAlignment="1">
      <alignment horizontal="center"/>
    </xf>
    <xf numFmtId="14" fontId="0" fillId="0" borderId="12" xfId="0" applyNumberFormat="1" applyBorder="1"/>
    <xf numFmtId="166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Alignment="1">
      <alignment horizontal="center"/>
    </xf>
    <xf numFmtId="14" fontId="0" fillId="26" borderId="12" xfId="0" applyNumberFormat="1" applyFill="1" applyBorder="1"/>
    <xf numFmtId="0" fontId="23" fillId="0" borderId="0" xfId="0" applyFont="1"/>
    <xf numFmtId="0" fontId="29" fillId="0" borderId="12" xfId="0" applyFont="1" applyBorder="1" applyAlignment="1">
      <alignment horizontal="center"/>
    </xf>
    <xf numFmtId="0" fontId="30" fillId="0" borderId="0" xfId="0" applyFont="1"/>
    <xf numFmtId="0" fontId="31" fillId="0" borderId="0" xfId="0" applyFont="1"/>
    <xf numFmtId="3" fontId="22" fillId="0" borderId="0" xfId="0" applyNumberFormat="1" applyFont="1"/>
    <xf numFmtId="0" fontId="22" fillId="0" borderId="0" xfId="0" applyFont="1"/>
    <xf numFmtId="167" fontId="22" fillId="0" borderId="0" xfId="0" applyNumberFormat="1" applyFont="1"/>
    <xf numFmtId="167" fontId="0" fillId="0" borderId="14" xfId="0" applyNumberFormat="1" applyBorder="1"/>
    <xf numFmtId="167" fontId="0" fillId="0" borderId="10" xfId="0" applyNumberFormat="1" applyBorder="1"/>
    <xf numFmtId="3" fontId="0" fillId="0" borderId="12" xfId="0" applyNumberFormat="1" applyBorder="1"/>
    <xf numFmtId="166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16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6" fontId="0" fillId="0" borderId="0" xfId="0" applyNumberFormat="1" applyAlignment="1">
      <alignment wrapText="1"/>
    </xf>
    <xf numFmtId="164" fontId="0" fillId="0" borderId="0" xfId="44" applyFont="1" applyFill="1"/>
    <xf numFmtId="2" fontId="0" fillId="0" borderId="10" xfId="0" applyNumberFormat="1" applyBorder="1" applyAlignment="1">
      <alignment horizontal="center"/>
    </xf>
    <xf numFmtId="164" fontId="0" fillId="0" borderId="10" xfId="44" applyFont="1" applyBorder="1" applyAlignment="1">
      <alignment horizontal="center"/>
    </xf>
    <xf numFmtId="166" fontId="0" fillId="23" borderId="12" xfId="0" applyNumberFormat="1" applyFill="1" applyBorder="1" applyAlignment="1">
      <alignment horizontal="center"/>
    </xf>
    <xf numFmtId="164" fontId="0" fillId="0" borderId="12" xfId="44" applyFont="1" applyFill="1" applyBorder="1" applyAlignment="1">
      <alignment horizontal="center"/>
    </xf>
    <xf numFmtId="16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164" fontId="0" fillId="0" borderId="12" xfId="44" applyFont="1" applyFill="1" applyBorder="1"/>
    <xf numFmtId="166" fontId="0" fillId="0" borderId="12" xfId="0" applyNumberFormat="1" applyBorder="1" applyAlignment="1">
      <alignment wrapText="1"/>
    </xf>
    <xf numFmtId="164" fontId="0" fillId="0" borderId="12" xfId="0" applyNumberFormat="1" applyBorder="1"/>
    <xf numFmtId="0" fontId="22" fillId="0" borderId="14" xfId="0" applyFont="1" applyBorder="1" applyAlignment="1">
      <alignment horizontal="center"/>
    </xf>
    <xf numFmtId="164" fontId="23" fillId="0" borderId="14" xfId="44" applyFont="1" applyFill="1" applyBorder="1" applyAlignment="1">
      <alignment horizontal="center"/>
    </xf>
    <xf numFmtId="0" fontId="23" fillId="0" borderId="0" xfId="0" applyFont="1" applyAlignment="1">
      <alignment wrapText="1"/>
    </xf>
    <xf numFmtId="0" fontId="23" fillId="0" borderId="14" xfId="0" applyFont="1" applyBorder="1"/>
    <xf numFmtId="0" fontId="23" fillId="0" borderId="24" xfId="0" applyFont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64" fontId="0" fillId="0" borderId="0" xfId="0" applyNumberFormat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Alignment="1">
      <alignment horizontal="center"/>
    </xf>
    <xf numFmtId="0" fontId="34" fillId="0" borderId="19" xfId="0" applyFont="1" applyBorder="1"/>
    <xf numFmtId="0" fontId="34" fillId="0" borderId="21" xfId="0" applyFont="1" applyBorder="1"/>
    <xf numFmtId="0" fontId="34" fillId="26" borderId="0" xfId="0" applyFont="1" applyFill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Alignment="1">
      <alignment vertical="center" wrapText="1"/>
    </xf>
    <xf numFmtId="0" fontId="36" fillId="0" borderId="0" xfId="0" applyFont="1"/>
    <xf numFmtId="0" fontId="41" fillId="0" borderId="0" xfId="0" applyFont="1"/>
    <xf numFmtId="0" fontId="41" fillId="0" borderId="16" xfId="0" applyFont="1" applyBorder="1"/>
    <xf numFmtId="168" fontId="0" fillId="0" borderId="0" xfId="0" applyNumberFormat="1"/>
    <xf numFmtId="168" fontId="0" fillId="0" borderId="0" xfId="0" quotePrefix="1" applyNumberFormat="1"/>
    <xf numFmtId="0" fontId="0" fillId="26" borderId="12" xfId="0" applyFill="1" applyBorder="1"/>
    <xf numFmtId="0" fontId="0" fillId="25" borderId="18" xfId="0" applyFill="1" applyBorder="1"/>
    <xf numFmtId="166" fontId="0" fillId="23" borderId="10" xfId="0" applyNumberFormat="1" applyFill="1" applyBorder="1"/>
    <xf numFmtId="2" fontId="0" fillId="23" borderId="10" xfId="0" applyNumberFormat="1" applyFill="1" applyBorder="1"/>
    <xf numFmtId="4" fontId="0" fillId="23" borderId="10" xfId="0" applyNumberFormat="1" applyFill="1" applyBorder="1"/>
    <xf numFmtId="0" fontId="0" fillId="23" borderId="24" xfId="0" applyFill="1" applyBorder="1"/>
    <xf numFmtId="0" fontId="0" fillId="0" borderId="18" xfId="0" applyBorder="1"/>
    <xf numFmtId="0" fontId="0" fillId="0" borderId="23" xfId="0" applyBorder="1"/>
    <xf numFmtId="1" fontId="0" fillId="0" borderId="0" xfId="44" applyNumberFormat="1" applyFont="1" applyBorder="1"/>
    <xf numFmtId="2" fontId="0" fillId="0" borderId="0" xfId="44" applyNumberFormat="1" applyFont="1" applyBorder="1"/>
    <xf numFmtId="164" fontId="0" fillId="0" borderId="0" xfId="44" applyFont="1" applyBorder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4" fillId="0" borderId="16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0" xfId="0" applyAlignment="1">
      <alignment horizontal="left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16" xfId="0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23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6" borderId="18" xfId="0" applyFill="1" applyBorder="1" applyAlignment="1">
      <alignment horizontal="center"/>
    </xf>
    <xf numFmtId="0" fontId="0" fillId="26" borderId="22" xfId="0" applyFill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 wrapText="1"/>
    </xf>
    <xf numFmtId="166" fontId="0" fillId="0" borderId="10" xfId="0" applyNumberFormat="1" applyBorder="1" applyAlignment="1">
      <alignment horizontal="center" wrapText="1"/>
    </xf>
    <xf numFmtId="166" fontId="0" fillId="0" borderId="24" xfId="0" applyNumberFormat="1" applyBorder="1" applyAlignment="1">
      <alignment horizontal="center" wrapText="1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urrency" xfId="44" builtinId="4"/>
    <cellStyle name="Eingabe" xfId="27" xr:uid="{00000000-0005-0000-0000-00001B000000}"/>
    <cellStyle name="Ergebnis" xfId="28" xr:uid="{00000000-0005-0000-0000-00001C000000}"/>
    <cellStyle name="Erklärender Text" xfId="29" xr:uid="{00000000-0005-0000-0000-00001D000000}"/>
    <cellStyle name="Gut" xfId="30" xr:uid="{00000000-0005-0000-0000-00001E000000}"/>
    <cellStyle name="Normal" xfId="0" builtinId="0"/>
    <cellStyle name="Normale 2" xfId="31" xr:uid="{00000000-0005-0000-0000-000020000000}"/>
    <cellStyle name="Notiz" xfId="32" xr:uid="{00000000-0005-0000-0000-000021000000}"/>
    <cellStyle name="Percentuale 2" xfId="33" xr:uid="{00000000-0005-0000-0000-000022000000}"/>
    <cellStyle name="Schlecht" xfId="34" xr:uid="{00000000-0005-0000-0000-000023000000}"/>
    <cellStyle name="Überschrift" xfId="35" xr:uid="{00000000-0005-0000-0000-000024000000}"/>
    <cellStyle name="Überschrift 1" xfId="36" xr:uid="{00000000-0005-0000-0000-000025000000}"/>
    <cellStyle name="Überschrift 2" xfId="37" xr:uid="{00000000-0005-0000-0000-000026000000}"/>
    <cellStyle name="Überschrift 3" xfId="38" xr:uid="{00000000-0005-0000-0000-000027000000}"/>
    <cellStyle name="Überschrift 4" xfId="39" xr:uid="{00000000-0005-0000-0000-000028000000}"/>
    <cellStyle name="Valuta 2" xfId="40" xr:uid="{00000000-0005-0000-0000-000029000000}"/>
    <cellStyle name="Verknüpfte Zelle" xfId="41" xr:uid="{00000000-0005-0000-0000-00002A000000}"/>
    <cellStyle name="Warnender Text" xfId="42" xr:uid="{00000000-0005-0000-0000-00002B000000}"/>
    <cellStyle name="Zelle überprüfen" xfId="43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706128"/>
        <c:axId val="1630702864"/>
      </c:lineChart>
      <c:catAx>
        <c:axId val="1630706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0702864"/>
        <c:crosses val="autoZero"/>
        <c:auto val="1"/>
        <c:lblAlgn val="ctr"/>
        <c:lblOffset val="100"/>
        <c:noMultiLvlLbl val="0"/>
      </c:catAx>
      <c:valAx>
        <c:axId val="1630702864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0706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711024"/>
        <c:axId val="1630715920"/>
      </c:lineChart>
      <c:catAx>
        <c:axId val="1630711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0715920"/>
        <c:crosses val="autoZero"/>
        <c:auto val="1"/>
        <c:lblAlgn val="ctr"/>
        <c:lblOffset val="100"/>
        <c:noMultiLvlLbl val="0"/>
      </c:catAx>
      <c:valAx>
        <c:axId val="163071592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0711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423360"/>
        <c:axId val="1383019872"/>
      </c:lineChart>
      <c:catAx>
        <c:axId val="1256423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3019872"/>
        <c:crosses val="autoZero"/>
        <c:auto val="1"/>
        <c:lblAlgn val="ctr"/>
        <c:lblOffset val="100"/>
        <c:noMultiLvlLbl val="0"/>
      </c:catAx>
      <c:valAx>
        <c:axId val="138301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6423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9245472"/>
        <c:axId val="1639249280"/>
      </c:barChart>
      <c:catAx>
        <c:axId val="1639245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9249280"/>
        <c:crosses val="autoZero"/>
        <c:auto val="1"/>
        <c:lblAlgn val="ctr"/>
        <c:lblOffset val="100"/>
        <c:noMultiLvlLbl val="0"/>
      </c:catAx>
      <c:valAx>
        <c:axId val="163924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9245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9247104"/>
        <c:axId val="1639250368"/>
      </c:barChart>
      <c:catAx>
        <c:axId val="1639247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9250368"/>
        <c:crosses val="autoZero"/>
        <c:auto val="1"/>
        <c:lblAlgn val="ctr"/>
        <c:lblOffset val="100"/>
        <c:noMultiLvlLbl val="0"/>
      </c:catAx>
      <c:valAx>
        <c:axId val="163925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9247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236768"/>
        <c:axId val="1639237856"/>
      </c:lineChart>
      <c:catAx>
        <c:axId val="163923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9237856"/>
        <c:crosses val="autoZero"/>
        <c:auto val="1"/>
        <c:lblAlgn val="ctr"/>
        <c:lblOffset val="100"/>
        <c:noMultiLvlLbl val="0"/>
      </c:catAx>
      <c:valAx>
        <c:axId val="1639237856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9236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244928"/>
        <c:axId val="1639248192"/>
      </c:lineChart>
      <c:catAx>
        <c:axId val="163924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9248192"/>
        <c:crosses val="autoZero"/>
        <c:auto val="1"/>
        <c:lblAlgn val="ctr"/>
        <c:lblOffset val="100"/>
        <c:noMultiLvlLbl val="0"/>
      </c:catAx>
      <c:valAx>
        <c:axId val="1639248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9244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229664"/>
        <c:axId val="1638219872"/>
      </c:lineChart>
      <c:catAx>
        <c:axId val="163822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8219872"/>
        <c:crosses val="autoZero"/>
        <c:auto val="1"/>
        <c:lblAlgn val="ctr"/>
        <c:lblOffset val="100"/>
        <c:noMultiLvlLbl val="0"/>
      </c:catAx>
      <c:valAx>
        <c:axId val="163821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8229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226944"/>
        <c:axId val="1638224768"/>
      </c:lineChart>
      <c:catAx>
        <c:axId val="163822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8224768"/>
        <c:crosses val="autoZero"/>
        <c:auto val="1"/>
        <c:lblAlgn val="ctr"/>
        <c:lblOffset val="100"/>
        <c:noMultiLvlLbl val="0"/>
      </c:catAx>
      <c:valAx>
        <c:axId val="1638224768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8226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229120"/>
        <c:axId val="1638220960"/>
      </c:lineChart>
      <c:catAx>
        <c:axId val="1638229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8220960"/>
        <c:crosses val="autoZero"/>
        <c:auto val="1"/>
        <c:lblAlgn val="ctr"/>
        <c:lblOffset val="100"/>
        <c:noMultiLvlLbl val="0"/>
      </c:catAx>
      <c:valAx>
        <c:axId val="1638220960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822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multiLvlStrRef>
              <c:f>Graphs!$B$2:$M$2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231840"/>
        <c:axId val="1638221504"/>
      </c:lineChart>
      <c:dateAx>
        <c:axId val="163823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8221504"/>
        <c:crosses val="autoZero"/>
        <c:auto val="0"/>
        <c:lblOffset val="100"/>
        <c:baseTimeUnit val="days"/>
      </c:dateAx>
      <c:valAx>
        <c:axId val="163822150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8231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59"/>
  <sheetViews>
    <sheetView tabSelected="1" topLeftCell="A56" workbookViewId="0">
      <selection activeCell="I2" sqref="I2:I59"/>
    </sheetView>
  </sheetViews>
  <sheetFormatPr defaultColWidth="11.5703125" defaultRowHeight="1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>
      <c r="A1" s="5" t="s">
        <v>0</v>
      </c>
      <c r="B1" s="167" t="s">
        <v>1</v>
      </c>
      <c r="C1" s="167" t="s">
        <v>2</v>
      </c>
      <c r="D1" s="167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3" t="s">
        <v>11</v>
      </c>
      <c r="B2" s="2">
        <v>1</v>
      </c>
      <c r="C2" s="2">
        <v>1</v>
      </c>
      <c r="D2" s="2">
        <v>2019</v>
      </c>
      <c r="E2" s="4">
        <f>Submetering!F2+Submetering!H2+Submetering!J2+Submetering!L2+Submetering!N2+Submetering!P2+Submetering!R2+Submetering!T2+Submetering!V2+Submetering!X2+Submetering!Z2+Submetering!AB2+Submetering!AC2+Submetering!AD2+Submetering!AE2</f>
        <v>363215</v>
      </c>
      <c r="F2" s="10">
        <f>((((Submetering!E2+Submetering!AD2)*0.13773+(Submetering!E2+Submetering!AD2)*0.02095)*1.09+(2.85/30)*2)+(((Submetering!F2+Submetering!H2+Submetering!J2+Submetering!L2+Submetering!N2+Submetering!P2+Submetering!R2+Submetering!T2+Submetering!V2+Submetering!X2+Submetering!Z2+Submetering!AB2+Submetering!AC2+Submetering!AE2)*0.05155)+((Submetering!F2+Submetering!H2+Submetering!J2+Submetering!L2+Submetering!N2+Submetering!P2+Submetering!R2+Submetering!T2+Submetering!V2+Submetering!X2+Submetering!Z2+Submetering!AB2+Submetering!AC2+Submetering!AE2)*0.02095)+(20/30)*15)*1.1048)/E2</f>
        <v>8.0357765053756025E-2</v>
      </c>
      <c r="G2" s="4">
        <f>Submetering!AK2+Submetering!AL2+Submetering!AU2</f>
        <v>0</v>
      </c>
      <c r="H2" s="11">
        <v>0.81659999999999999</v>
      </c>
      <c r="I2" s="4">
        <f>Submetering!AF2+Submetering!AG2+Submetering!AV2+Submetering!AY2+Submetering!AZ2</f>
        <v>0</v>
      </c>
      <c r="J2" s="11">
        <v>0</v>
      </c>
      <c r="K2" s="4"/>
    </row>
    <row r="3" spans="1:23">
      <c r="A3" s="3" t="s">
        <v>11</v>
      </c>
      <c r="B3" s="2">
        <v>13</v>
      </c>
      <c r="C3" s="2">
        <v>1</v>
      </c>
      <c r="D3" s="2">
        <v>2019</v>
      </c>
      <c r="E3" s="4">
        <f>Submetering!F3+Submetering!H3+Submetering!J3+Submetering!L3+Submetering!N3+Submetering!P3+Submetering!R3+Submetering!T3+Submetering!V3+Submetering!X3+Submetering!Z3+Submetering!AB3+Submetering!AC3+Submetering!AD3+Submetering!AE3</f>
        <v>875030</v>
      </c>
      <c r="F3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3</f>
        <v>8.0218029978400746E-2</v>
      </c>
      <c r="G3" s="4">
        <f>Submetering!AK3+Submetering!AL3+Submetering!AU3</f>
        <v>18961.8518</v>
      </c>
      <c r="H3" s="11">
        <v>0.81659999999999999</v>
      </c>
      <c r="I3" s="4">
        <f>Submetering!AF3+Submetering!AG3+Submetering!AV3+Submetering!AY3+Submetering!AZ3</f>
        <v>15244.680399999999</v>
      </c>
      <c r="J3" s="11">
        <f>((Submetering!AG3+Submetering!BA3)*0.8868+(1712.96+1070.52)/30+(Submetering!AF3+Submetering!AY3+Submetering!AV3+Submetering!AZ3)*1.1251+(2076.11+129.67+207.57+207.57)/30+(11680.53+56.61)/30)/I3</f>
        <v>1.1718229886660445</v>
      </c>
      <c r="K3" s="4"/>
    </row>
    <row r="4" spans="1:23">
      <c r="A4" s="3" t="s">
        <v>11</v>
      </c>
      <c r="B4" s="2">
        <v>21</v>
      </c>
      <c r="C4" s="2">
        <v>1</v>
      </c>
      <c r="D4" s="2">
        <v>2019</v>
      </c>
      <c r="E4" s="4">
        <f>Submetering!F4+Submetering!H4+Submetering!J4+Submetering!L4+Submetering!N4+Submetering!P4+Submetering!R4+Submetering!T4+Submetering!V4+Submetering!X4+Submetering!Z4+Submetering!AB4+Submetering!AC4+Submetering!AD4+Submetering!AE4</f>
        <v>297492</v>
      </c>
      <c r="F4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4</f>
        <v>8.0376758388124706E-2</v>
      </c>
      <c r="G4" s="4">
        <f>Submetering!AK4+Submetering!AL4+Submetering!AU4</f>
        <v>8224.4159999999993</v>
      </c>
      <c r="H4" s="11">
        <v>0.81659999999999999</v>
      </c>
      <c r="I4" s="4">
        <f>Submetering!AF4+Submetering!AG4+Submetering!AV4+Submetering!AY4+Submetering!AZ4</f>
        <v>5203.0511999999999</v>
      </c>
      <c r="J4" s="11">
        <f>((Submetering!AG4+Submetering!BA4)*0.8868+(1712.96+1070.52)/30+(Submetering!AF4+Submetering!AY4+Submetering!AV4+Submetering!AZ4)*1.1251+(2076.11+129.67+207.57+207.57)/30+(11680.53+56.61)/30)/I4</f>
        <v>1.2598407152992586</v>
      </c>
      <c r="K4" s="4"/>
    </row>
    <row r="5" spans="1:23">
      <c r="A5" s="3" t="s">
        <v>11</v>
      </c>
      <c r="B5" s="2">
        <v>28</v>
      </c>
      <c r="C5" s="2">
        <v>1</v>
      </c>
      <c r="D5" s="2">
        <v>2019</v>
      </c>
      <c r="E5" s="4">
        <f>Submetering!F5+Submetering!H5+Submetering!J5+Submetering!L5+Submetering!N5+Submetering!P5+Submetering!R5+Submetering!T5+Submetering!V5+Submetering!X5+Submetering!Z5+Submetering!AB5+Submetering!AC5+Submetering!AD5+Submetering!AE5</f>
        <v>294803</v>
      </c>
      <c r="F5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5</f>
        <v>8.182762872290987E-2</v>
      </c>
      <c r="G5" s="4">
        <f>Submetering!AK5+Submetering!AL5+Submetering!AU5</f>
        <v>9427.906399999998</v>
      </c>
      <c r="H5" s="11">
        <v>0.81659999999999999</v>
      </c>
      <c r="I5" s="4">
        <f>Submetering!AF5+Submetering!AG5+Submetering!AV5+Submetering!AY5+Submetering!AZ5</f>
        <v>4880.3248000000012</v>
      </c>
      <c r="J5" s="11">
        <f>((Submetering!AG5+Submetering!BA5)*0.8868+(1712.96+1070.52)/30+(Submetering!AF5+Submetering!AY5+Submetering!AV5+Submetering!AZ5)*1.1251+(2076.11+129.67+207.57+207.57)/30+(11680.53+56.61)/30)/I5</f>
        <v>1.2832905597813216</v>
      </c>
      <c r="K5" s="4"/>
    </row>
    <row r="6" spans="1:23">
      <c r="A6" s="3" t="s">
        <v>11</v>
      </c>
      <c r="B6" s="2">
        <v>31</v>
      </c>
      <c r="C6" s="2">
        <v>1</v>
      </c>
      <c r="D6" s="2">
        <v>2019</v>
      </c>
      <c r="E6" s="4">
        <f>Submetering!F6+Submetering!H6+Submetering!J6+Submetering!L6+Submetering!N6+Submetering!P6+Submetering!R6+Submetering!T6+Submetering!V6+Submetering!X6+Submetering!Z6+Submetering!AB6+Submetering!AC6+Submetering!AD6+Submetering!AE6</f>
        <v>171764</v>
      </c>
      <c r="F6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6</f>
        <v>8.0800434777951138E-2</v>
      </c>
      <c r="G6" s="4">
        <f>Submetering!AK6+Submetering!AL6+Submetering!AU6</f>
        <v>6304.1657999999998</v>
      </c>
      <c r="H6" s="11">
        <v>0.81659999999999999</v>
      </c>
      <c r="I6" s="4">
        <f>Submetering!AF6+Submetering!AG6+Submetering!AV6+Submetering!AY6+Submetering!AZ6</f>
        <v>2806.1669999999999</v>
      </c>
      <c r="J6" s="11">
        <f>((Submetering!AG6+Submetering!BA6)*0.8868+(1712.96+1070.52)/30+(Submetering!AF6+Submetering!AY6+Submetering!AV6+Submetering!AZ6)*1.1251+(2076.11+129.67+207.57+207.57)/30+(11680.53+56.61)/30)/I6</f>
        <v>1.299361847433409</v>
      </c>
      <c r="K6" s="4">
        <f>Occupancy!H4</f>
        <v>10556.987999999999</v>
      </c>
    </row>
    <row r="7" spans="1:23">
      <c r="A7" s="3" t="s">
        <v>11</v>
      </c>
      <c r="B7" s="2">
        <v>3</v>
      </c>
      <c r="C7" s="2">
        <v>2</v>
      </c>
      <c r="D7" s="2">
        <v>2019</v>
      </c>
      <c r="E7" s="4">
        <f>Submetering!F7+Submetering!H7+Submetering!J7+Submetering!L7+Submetering!N7+Submetering!P7+Submetering!R7+Submetering!T7+Submetering!V7+Submetering!X7+Submetering!Z7+Submetering!AB7+Submetering!AC7+Submetering!AD7+Submetering!AE7</f>
        <v>163226</v>
      </c>
      <c r="F7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7</f>
        <v>8.0640768206045599E-2</v>
      </c>
      <c r="G7" s="4">
        <f>Submetering!AK7+Submetering!AL7+Submetering!AU7</f>
        <v>2881.8022000000001</v>
      </c>
      <c r="H7" s="11">
        <v>0.81659999999999999</v>
      </c>
      <c r="I7" s="4">
        <f>Submetering!AF7+Submetering!AG7+Submetering!AV7+Submetering!AY7+Submetering!AZ7</f>
        <v>2011.5794000000001</v>
      </c>
      <c r="J7" s="11">
        <f>((Submetering!AG7+Submetering!BA7)*0.8868+(1712.96+1070.52)/30+(Submetering!AF7+Submetering!AY7+Submetering!AV7+Submetering!AZ7)*1.1251+(2076.11+129.67+207.57+207.57)/30+(11680.53+56.61)/30)/I7</f>
        <v>1.3934508548291291</v>
      </c>
      <c r="K7" s="4"/>
    </row>
    <row r="8" spans="1:23">
      <c r="A8" s="3" t="s">
        <v>11</v>
      </c>
      <c r="B8" s="2">
        <v>10</v>
      </c>
      <c r="C8" s="2">
        <v>2</v>
      </c>
      <c r="D8" s="2">
        <v>2019</v>
      </c>
      <c r="E8" s="4">
        <f>Submetering!F8+Submetering!H8+Submetering!J8+Submetering!L8+Submetering!N8+Submetering!P8+Submetering!R8+Submetering!T8+Submetering!V8+Submetering!X8+Submetering!Z8+Submetering!AB8+Submetering!AC8+Submetering!AD8+Submetering!AE8</f>
        <v>290488</v>
      </c>
      <c r="F8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8</f>
        <v>8.0776025797967554E-2</v>
      </c>
      <c r="G8" s="4">
        <f>Submetering!AK8+Submetering!AL8+Submetering!AU8</f>
        <v>6473.4823999999999</v>
      </c>
      <c r="H8" s="11">
        <v>0.81659999999999999</v>
      </c>
      <c r="I8" s="4">
        <f>Submetering!AF8+Submetering!AG8+Submetering!AV8+Submetering!AY8+Submetering!AZ8</f>
        <v>4878.0599999999995</v>
      </c>
      <c r="J8" s="11">
        <f>((Submetering!AG8+Submetering!BA8)*0.8868+(1712.96+1070.52)/30+(Submetering!AF8+Submetering!AY8+Submetering!AV8+Submetering!AZ8)*1.1251+(2076.11+129.67+207.57+207.57)/30+(11680.53+56.61)/30)/I8</f>
        <v>1.2912818261002668</v>
      </c>
      <c r="K8" s="4"/>
    </row>
    <row r="9" spans="1:23">
      <c r="A9" s="3" t="s">
        <v>11</v>
      </c>
      <c r="B9" s="2">
        <v>17</v>
      </c>
      <c r="C9" s="2">
        <v>2</v>
      </c>
      <c r="D9" s="2">
        <v>2019</v>
      </c>
      <c r="E9" s="4">
        <f>Submetering!F9+Submetering!H9+Submetering!J9+Submetering!L9+Submetering!N9+Submetering!P9+Submetering!R9+Submetering!T9+Submetering!V9+Submetering!X9+Submetering!Z9+Submetering!AB9+Submetering!AC9+Submetering!AD9+Submetering!AE9</f>
        <v>318729</v>
      </c>
      <c r="F9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9</f>
        <v>8.0715155322546736E-2</v>
      </c>
      <c r="G9" s="4">
        <f>Submetering!AK9+Submetering!AL9+Submetering!AU9</f>
        <v>6099.186200000001</v>
      </c>
      <c r="H9" s="11">
        <v>0.81659999999999999</v>
      </c>
      <c r="I9" s="4">
        <f>Submetering!AF9+Submetering!AG9+Submetering!AV9+Submetering!AY9+Submetering!AZ9</f>
        <v>5107.952400000001</v>
      </c>
      <c r="J9" s="11">
        <f>((Submetering!AG9+Submetering!BA9)*0.8868+(1712.96+1070.52)/30+(Submetering!AF9+Submetering!AY9+Submetering!AV9+Submetering!AZ9)*1.1251+(2076.11+129.67+207.57+207.57)/30+(11680.53+56.61)/30)/I9</f>
        <v>1.2162189162347454</v>
      </c>
      <c r="K9" s="4"/>
    </row>
    <row r="10" spans="1:23">
      <c r="A10" s="3" t="s">
        <v>11</v>
      </c>
      <c r="B10" s="2">
        <v>24</v>
      </c>
      <c r="C10" s="2">
        <v>2</v>
      </c>
      <c r="D10" s="2">
        <v>2019</v>
      </c>
      <c r="E10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352596</v>
      </c>
      <c r="F10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10</f>
        <v>8.0667531603308029E-2</v>
      </c>
      <c r="G10" s="4">
        <f>Submetering!AK10+Submetering!AL10+Submetering!AU10</f>
        <v>4079.0909999999999</v>
      </c>
      <c r="H10" s="11">
        <v>0.81659999999999999</v>
      </c>
      <c r="I10" s="4">
        <f>Submetering!AF10+Submetering!AG10+Submetering!AV10+Submetering!AY10+Submetering!AZ10</f>
        <v>5794.3159999999998</v>
      </c>
      <c r="J10" s="11">
        <f>((Submetering!AG10+Submetering!BA10)*0.8868+(1712.96+1070.52)/30+(Submetering!AF10+Submetering!AY10+Submetering!AV10+Submetering!AZ10)*1.1251+(2076.11+129.67+207.57+207.57)/30+(11680.53+56.61)/30)/I10</f>
        <v>1.2963943935447544</v>
      </c>
      <c r="K10" s="4">
        <f>Occupancy!H5</f>
        <v>9920.7360000000008</v>
      </c>
    </row>
    <row r="11" spans="1:23">
      <c r="A11" s="3" t="s">
        <v>11</v>
      </c>
      <c r="B11" s="2">
        <v>28</v>
      </c>
      <c r="C11" s="2">
        <v>2</v>
      </c>
      <c r="D11" s="2">
        <v>2019</v>
      </c>
      <c r="E11" s="4">
        <f>Submetering!F11+Submetering!H11+Submetering!J11+Submetering!L11+Submetering!N11+Submetering!P11+Submetering!R11+Submetering!T11+Submetering!V11+Submetering!X11+Submetering!Z11+Submetering!AB11+Submetering!AC11+Submetering!AD11+Submetering!AE11</f>
        <v>176314</v>
      </c>
      <c r="F11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11</f>
        <v>8.0642225776739226E-2</v>
      </c>
      <c r="G11" s="4">
        <f>Submetering!AK11+Submetering!AL11+Submetering!AU11</f>
        <v>1938.1938</v>
      </c>
      <c r="H11" s="11">
        <v>0.81659999999999999</v>
      </c>
      <c r="I11" s="4">
        <f>Submetering!AF11+Submetering!AG11+Submetering!AV11+Submetering!AY11+Submetering!AZ11</f>
        <v>2364.4169999999999</v>
      </c>
      <c r="J11" s="11">
        <f>((Submetering!AG11+Submetering!BA11)*0.8868+(1712.96+1070.52)/30+(Submetering!AF11+Submetering!AY11+Submetering!AV11+Submetering!AZ11)*1.1251+(2076.11+129.67+207.57+207.57)/30+(11680.53+56.61)/30)/I11</f>
        <v>1.436971716311745</v>
      </c>
      <c r="K11" s="4"/>
    </row>
    <row r="12" spans="1:23">
      <c r="A12" s="3" t="s">
        <v>11</v>
      </c>
      <c r="B12" s="2">
        <v>4</v>
      </c>
      <c r="C12" s="2">
        <v>3</v>
      </c>
      <c r="D12" s="2">
        <v>2019</v>
      </c>
      <c r="E12" s="4">
        <f>Submetering!F12+Submetering!H12+Submetering!J12+Submetering!L12+Submetering!N12+Submetering!P12+Submetering!R12+Submetering!T12+Submetering!V12+Submetering!X12+Submetering!Z12+Submetering!AB12+Submetering!AC12+Submetering!AD12+Submetering!AE12</f>
        <v>154348</v>
      </c>
      <c r="F12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12</f>
        <v>8.0857448218311867E-2</v>
      </c>
      <c r="G12" s="4">
        <f>Submetering!AK12+Submetering!AL12+Submetering!AU12</f>
        <v>1598.5953999999999</v>
      </c>
      <c r="H12" s="11">
        <v>0.81659999999999999</v>
      </c>
      <c r="I12" s="4">
        <f>Submetering!AF12+Submetering!AG12+Submetering!AV12+Submetering!AY12+Submetering!AZ12</f>
        <v>3786.3618000000006</v>
      </c>
      <c r="J12" s="11">
        <f>((Submetering!AG12+Submetering!BA12)*0.8868+(1712.96+1070.52)/30+(Submetering!AF12+Submetering!AY12+Submetering!AV12+Submetering!AZ12)*1.1251+(2076.11+129.67+207.57+207.57)/30+(11680.53+56.61)/30)/I12</f>
        <v>1.3539419986982402</v>
      </c>
      <c r="K12" s="4"/>
    </row>
    <row r="13" spans="1:23">
      <c r="A13" s="3" t="s">
        <v>11</v>
      </c>
      <c r="B13" s="2">
        <v>10</v>
      </c>
      <c r="C13" s="2">
        <v>3</v>
      </c>
      <c r="D13" s="2">
        <v>2019</v>
      </c>
      <c r="E13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303385</v>
      </c>
      <c r="F13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13</f>
        <v>8.0744004000197767E-2</v>
      </c>
      <c r="G13" s="4">
        <f>Submetering!AK13+Submetering!AL13+Submetering!AU13</f>
        <v>6574.1786000000002</v>
      </c>
      <c r="H13" s="11">
        <v>0.81659999999999999</v>
      </c>
      <c r="I13" s="4">
        <f>Submetering!AF13+Submetering!AG13+Submetering!AV13+Submetering!AY13+Submetering!AZ13</f>
        <v>5321.8392000000003</v>
      </c>
      <c r="J13" s="11">
        <f>((Submetering!AG13+Submetering!BA13)*0.8868+(1712.96+1070.52)/30+(Submetering!AF13+Submetering!AY13+Submetering!AV13+Submetering!AZ13)*1.1251+(2076.11+129.67+207.57+207.57)/30+(11680.53+56.61)/30)/I13</f>
        <v>1.3544679940398552</v>
      </c>
      <c r="K13" s="4"/>
    </row>
    <row r="14" spans="1:23">
      <c r="A14" s="3" t="s">
        <v>11</v>
      </c>
      <c r="B14" s="2">
        <v>17</v>
      </c>
      <c r="C14" s="2">
        <v>3</v>
      </c>
      <c r="D14" s="2">
        <v>2019</v>
      </c>
      <c r="E14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322001</v>
      </c>
      <c r="F14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14</f>
        <v>8.0715171289530166E-2</v>
      </c>
      <c r="G14" s="4">
        <f>Submetering!AK14+Submetering!AL14+Submetering!AU14</f>
        <v>5166.3013999999994</v>
      </c>
      <c r="H14" s="11">
        <v>0.81659999999999999</v>
      </c>
      <c r="I14" s="4">
        <f>Submetering!AF14+Submetering!AG14+Submetering!AV14+Submetering!AY14+Submetering!AZ14</f>
        <v>5397.7593999999999</v>
      </c>
      <c r="J14" s="11">
        <f>((Submetering!AG14+Submetering!BA14)*0.8868+(1712.96+1070.52)/30+(Submetering!AF14+Submetering!AY14+Submetering!AV14+Submetering!AZ14)*1.1251+(2076.11+129.67+207.57+207.57)/30+(11680.53+56.61)/30)/I14</f>
        <v>1.3449955278419166</v>
      </c>
      <c r="K14" s="4"/>
    </row>
    <row r="15" spans="1:23">
      <c r="A15" s="3" t="s">
        <v>11</v>
      </c>
      <c r="B15" s="2">
        <v>24</v>
      </c>
      <c r="C15" s="2">
        <v>3</v>
      </c>
      <c r="D15" s="2">
        <v>2019</v>
      </c>
      <c r="E15" s="4">
        <f>Submetering!F15+Submetering!H15+Submetering!J15+Submetering!L15+Submetering!N15+Submetering!P15+Submetering!R15+Submetering!T15+Submetering!V15+Submetering!X15+Submetering!Z15+Submetering!AB15+Submetering!AC15+Submetering!AD15+Submetering!AE15</f>
        <v>286637</v>
      </c>
      <c r="F15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15</f>
        <v>8.0778554348531414E-2</v>
      </c>
      <c r="G15" s="4">
        <f>Submetering!AK15+Submetering!AL15+Submetering!AU15</f>
        <v>7184.3407999999999</v>
      </c>
      <c r="H15" s="11">
        <v>0.81659999999999999</v>
      </c>
      <c r="I15" s="4">
        <f>Submetering!AF15+Submetering!AG15+Submetering!AV15+Submetering!AY15+Submetering!AZ15</f>
        <v>5514.4612000000006</v>
      </c>
      <c r="J15" s="11">
        <f>((Submetering!AG15+Submetering!BA15)*0.8868+(1712.96+1070.52)/30+(Submetering!AF15+Submetering!AY15+Submetering!AV15+Submetering!AZ15)*1.1251+(2076.11+129.67+207.57+207.57)/30+(11680.53+56.61)/30)/I15</f>
        <v>1.3339083091103563</v>
      </c>
      <c r="K15" s="4">
        <f>Occupancy!H6</f>
        <v>11314.008</v>
      </c>
    </row>
    <row r="16" spans="1:23">
      <c r="A16" s="3" t="s">
        <v>11</v>
      </c>
      <c r="B16" s="2">
        <v>31</v>
      </c>
      <c r="C16" s="2">
        <v>3</v>
      </c>
      <c r="D16" s="2">
        <v>2019</v>
      </c>
      <c r="E16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298201</v>
      </c>
      <c r="F16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16</f>
        <v>8.0725567888773012E-2</v>
      </c>
      <c r="G16" s="4">
        <f>Submetering!AK16+Submetering!AL16+Submetering!AU16</f>
        <v>5616.5254000000004</v>
      </c>
      <c r="H16" s="11">
        <v>0.81659999999999999</v>
      </c>
      <c r="I16" s="4">
        <f>Submetering!AF16+Submetering!AG16+Submetering!AV16+Submetering!AY16+Submetering!AZ16</f>
        <v>5604.2703999999994</v>
      </c>
      <c r="J16" s="11">
        <f>((Submetering!AG16+Submetering!BA16)*0.8868+(1712.96+1070.52)/30+(Submetering!AF16+Submetering!AY16+Submetering!AV16+Submetering!AZ16)*1.1251+(2076.11+129.67+207.57+207.57)/30+(11680.53+56.61)/30)/I16</f>
        <v>1.364705247845762</v>
      </c>
      <c r="K16" s="4"/>
    </row>
    <row r="17" spans="1:11">
      <c r="A17" s="3" t="s">
        <v>11</v>
      </c>
      <c r="B17" s="2">
        <v>8</v>
      </c>
      <c r="C17" s="2">
        <v>4</v>
      </c>
      <c r="D17" s="2">
        <v>2019</v>
      </c>
      <c r="E17" s="4">
        <f>Submetering!F17+Submetering!H17+Submetering!J17+Submetering!L17+Submetering!N17+Submetering!P17+Submetering!R17+Submetering!T17+Submetering!V17+Submetering!X17+Submetering!Z17+Submetering!AB17+Submetering!AC17+Submetering!AD17+Submetering!AE17</f>
        <v>317497</v>
      </c>
      <c r="F17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17</f>
        <v>8.0729384271347446E-2</v>
      </c>
      <c r="G17" s="4">
        <f>Submetering!AK17+Submetering!AL17+Submetering!AU17</f>
        <v>4580.7822000000006</v>
      </c>
      <c r="H17" s="11">
        <v>0.81659999999999999</v>
      </c>
      <c r="I17" s="4">
        <f>Submetering!AF17+Submetering!AG17+Submetering!AV17+Submetering!AY17+Submetering!AZ17</f>
        <v>5703.7392</v>
      </c>
      <c r="J17" s="11">
        <f>((Submetering!AG17+Submetering!BA17)*0.8868+(1712.96+1070.52)/30+(Submetering!AF17+Submetering!AY17+Submetering!AV17+Submetering!AZ17)*1.1251+(2076.11+129.67+207.57+207.57)/30+(11680.53+56.61)/30)/I17</f>
        <v>1.3908902838170909</v>
      </c>
      <c r="K17" s="4"/>
    </row>
    <row r="18" spans="1:11">
      <c r="A18" s="3" t="s">
        <v>11</v>
      </c>
      <c r="B18" s="2">
        <v>14</v>
      </c>
      <c r="C18" s="2">
        <v>4</v>
      </c>
      <c r="D18" s="2">
        <v>2019</v>
      </c>
      <c r="E18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361118</v>
      </c>
      <c r="F18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18</f>
        <v>8.0594176934963097E-2</v>
      </c>
      <c r="G18" s="4">
        <f>Submetering!AK18+Submetering!AL18+Submetering!AU18</f>
        <v>3276.0826000000002</v>
      </c>
      <c r="H18" s="11">
        <v>0.81659999999999999</v>
      </c>
      <c r="I18" s="4">
        <f>Submetering!AF18+Submetering!AG18+Submetering!AV18+Submetering!AY18+Submetering!AZ18</f>
        <v>5416.5655999999999</v>
      </c>
      <c r="J18" s="11">
        <f>((Submetering!AG18+Submetering!BA18)*0.8868+(1712.96+1070.52)/30+(Submetering!AF18+Submetering!AY18+Submetering!AV18+Submetering!AZ18)*1.1251+(2076.11+129.67+207.57+207.57)/30+(11680.53+56.61)/30)/I18</f>
        <v>1.251244461787127</v>
      </c>
      <c r="K18" s="4"/>
    </row>
    <row r="19" spans="1:11">
      <c r="A19" s="3" t="s">
        <v>11</v>
      </c>
      <c r="B19" s="2">
        <v>21</v>
      </c>
      <c r="C19" s="2">
        <v>4</v>
      </c>
      <c r="D19" s="2">
        <v>2019</v>
      </c>
      <c r="E19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293799</v>
      </c>
      <c r="F19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19</f>
        <v>8.0743169192543207E-2</v>
      </c>
      <c r="G19" s="4">
        <f>Submetering!AK19+Submetering!AL19+Submetering!AU19</f>
        <v>5036.9759999999997</v>
      </c>
      <c r="H19" s="11">
        <v>0.81659999999999999</v>
      </c>
      <c r="I19" s="4">
        <f>Submetering!AF19+Submetering!AG19+Submetering!AV19+Submetering!AY19+Submetering!AZ19</f>
        <v>5784.1737999999996</v>
      </c>
      <c r="J19" s="11">
        <f>((Submetering!AG19+Submetering!BA19)*0.8868+(1712.96+1070.52)/30+(Submetering!AF19+Submetering!AY19+Submetering!AV19+Submetering!AZ19)*1.1251+(2076.11+129.67+207.57+207.57)/30+(11680.53+56.61)/30)/I19</f>
        <v>1.2808134951558106</v>
      </c>
      <c r="K19" s="4"/>
    </row>
    <row r="20" spans="1:11">
      <c r="A20" s="3" t="s">
        <v>11</v>
      </c>
      <c r="B20" s="2">
        <v>28</v>
      </c>
      <c r="C20" s="2">
        <v>4</v>
      </c>
      <c r="D20" s="2">
        <v>2019</v>
      </c>
      <c r="E20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315499</v>
      </c>
      <c r="F20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20</f>
        <v>8.0664256970703563E-2</v>
      </c>
      <c r="G20" s="4">
        <f>Submetering!AK20+Submetering!AL20+Submetering!AU20</f>
        <v>3864.2580000000003</v>
      </c>
      <c r="H20" s="11">
        <v>0.81659999999999999</v>
      </c>
      <c r="I20" s="4">
        <f>Submetering!AF20+Submetering!AG20+Submetering!AV20+Submetering!AY20+Submetering!AZ20</f>
        <v>5118.1972000000005</v>
      </c>
      <c r="J20" s="11">
        <f>((Submetering!AG20+Submetering!BA20)*0.8868+(1712.96+1070.52)/30+(Submetering!AF20+Submetering!AY20+Submetering!AV20+Submetering!AZ20)*1.1251+(2076.11+129.67+207.57+207.57)/30+(11680.53+56.61)/30)/I20</f>
        <v>1.5293404439881031</v>
      </c>
      <c r="K20" s="4">
        <f>Occupancy!H7</f>
        <v>10389.6</v>
      </c>
    </row>
    <row r="21" spans="1:11">
      <c r="A21" s="3" t="s">
        <v>11</v>
      </c>
      <c r="B21" s="2">
        <v>30</v>
      </c>
      <c r="C21" s="2">
        <v>4</v>
      </c>
      <c r="D21" s="2">
        <v>2019</v>
      </c>
      <c r="E21" s="4">
        <f>Submetering!F21+Submetering!H21+Submetering!J21+Submetering!L21+Submetering!N21+Submetering!P21+Submetering!R21+Submetering!T21+Submetering!V21+Submetering!X21+Submetering!Z21+Submetering!AB21+Submetering!AC21+Submetering!AD21+Submetering!AE21</f>
        <v>125450</v>
      </c>
      <c r="F21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21</f>
        <v>8.0638735843762466E-2</v>
      </c>
      <c r="G21" s="4">
        <f>Submetering!AK21+Submetering!AL21+Submetering!AU21</f>
        <v>1155.3216</v>
      </c>
      <c r="H21" s="11">
        <v>0.81659999999999999</v>
      </c>
      <c r="I21" s="4">
        <f>Submetering!AF21+Submetering!AG21+Submetering!AV21+Submetering!AY21+Submetering!AZ21</f>
        <v>1979.5264</v>
      </c>
      <c r="J21" s="11">
        <f>((Submetering!AG21+Submetering!BA21)*0.8868+(1712.96+1070.52)/30+(Submetering!AF21+Submetering!AY21+Submetering!AV21+Submetering!AZ21)*1.1251+(2076.11+129.67+207.57+207.57)/30+(11680.53+56.61)/30)/I21</f>
        <v>1.7396391742523196</v>
      </c>
      <c r="K21" s="4"/>
    </row>
    <row r="22" spans="1:11">
      <c r="A22" s="3" t="s">
        <v>11</v>
      </c>
      <c r="B22" s="2">
        <v>5</v>
      </c>
      <c r="C22" s="2">
        <v>5</v>
      </c>
      <c r="D22" s="2">
        <v>2019</v>
      </c>
      <c r="E22" s="4">
        <f>Submetering!F22+Submetering!H22+Submetering!J22+Submetering!L22+Submetering!N22+Submetering!P22+Submetering!R22+Submetering!T22+Submetering!V22+Submetering!X22+Submetering!Z22+Submetering!AB22+Submetering!AC22+Submetering!AD22+Submetering!AE22</f>
        <v>235333</v>
      </c>
      <c r="F22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22</f>
        <v>8.0630725922841234E-2</v>
      </c>
      <c r="G22" s="4">
        <f>Submetering!AK22+Submetering!AL22+Submetering!AU22</f>
        <v>1732.0248000000001</v>
      </c>
      <c r="H22" s="11">
        <v>0.81659999999999999</v>
      </c>
      <c r="I22" s="4">
        <f>Submetering!AF22+Submetering!AG22+Submetering!AV22+Submetering!AY22+Submetering!AZ22</f>
        <v>3485.9148</v>
      </c>
      <c r="J22" s="11">
        <f>((Submetering!AG22+Submetering!BA22)*0.8868+(1712.96+1070.52)/30+(Submetering!AF22+Submetering!AY22+Submetering!AV22+Submetering!AZ22)*1.1251+(2076.11+129.67+207.57+207.57)/30+(11680.53+56.61)/30)/I22</f>
        <v>1.4520910057545489</v>
      </c>
      <c r="K22" s="4"/>
    </row>
    <row r="23" spans="1:11">
      <c r="A23" s="3" t="s">
        <v>11</v>
      </c>
      <c r="B23" s="2">
        <v>13</v>
      </c>
      <c r="C23" s="2">
        <v>5</v>
      </c>
      <c r="D23" s="2">
        <v>2019</v>
      </c>
      <c r="E23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365641</v>
      </c>
      <c r="F23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23</f>
        <v>8.0591368865088983E-2</v>
      </c>
      <c r="G23" s="4">
        <f>Submetering!AK23+Submetering!AL23+Submetering!AU23</f>
        <v>2431.2400000000002</v>
      </c>
      <c r="H23" s="11">
        <v>0.81659999999999999</v>
      </c>
      <c r="I23" s="4">
        <f>Submetering!AF23+Submetering!AG23+Submetering!AV23+Submetering!AY23+Submetering!AZ23</f>
        <v>5757.2964000000002</v>
      </c>
      <c r="J23" s="11">
        <f>((Submetering!AG23+Submetering!BA23)*0.8868+(1712.96+1070.52)/30+(Submetering!AF23+Submetering!AY23+Submetering!AV23+Submetering!AZ23)*1.1251+(2076.11+129.67+207.57+207.57)/30+(11680.53+56.61)/30)/I23</f>
        <v>1.3190277596037383</v>
      </c>
      <c r="K23" s="4"/>
    </row>
    <row r="24" spans="1:11">
      <c r="A24" s="3" t="s">
        <v>11</v>
      </c>
      <c r="B24" s="2">
        <v>20</v>
      </c>
      <c r="C24" s="2">
        <v>5</v>
      </c>
      <c r="D24" s="2">
        <v>2019</v>
      </c>
      <c r="E24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343568</v>
      </c>
      <c r="F24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24</f>
        <v>8.0630124204815357E-2</v>
      </c>
      <c r="G24" s="4">
        <f>Submetering!AK24+Submetering!AL24+Submetering!AU24</f>
        <v>2881.8516000000004</v>
      </c>
      <c r="H24" s="11">
        <v>0.81659999999999999</v>
      </c>
      <c r="I24" s="4">
        <f>Submetering!AF24+Submetering!AG24+Submetering!AV24+Submetering!AY24+Submetering!AZ24</f>
        <v>5232.159200000001</v>
      </c>
      <c r="J24" s="11">
        <f>((Submetering!AG24+Submetering!BA24)*0.8868+(1712.96+1070.52)/30+(Submetering!AF24+Submetering!AY24+Submetering!AV24+Submetering!AZ24)*1.1251+(2076.11+129.67+207.57+207.57)/30+(11680.53+56.61)/30)/I24</f>
        <v>1.2953904376584464</v>
      </c>
      <c r="K24" s="4"/>
    </row>
    <row r="25" spans="1:11">
      <c r="A25" s="3" t="s">
        <v>11</v>
      </c>
      <c r="B25" s="2">
        <v>26</v>
      </c>
      <c r="C25" s="2">
        <v>5</v>
      </c>
      <c r="D25" s="2">
        <v>2019</v>
      </c>
      <c r="E25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364698</v>
      </c>
      <c r="F25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25</f>
        <v>8.0575755882401318E-2</v>
      </c>
      <c r="G25" s="4">
        <f>Submetering!AK25+Submetering!AL25+Submetering!AU25</f>
        <v>2328.1687999999999</v>
      </c>
      <c r="H25" s="11">
        <v>0.81659999999999999</v>
      </c>
      <c r="I25" s="4">
        <f>Submetering!AF25+Submetering!AG25+Submetering!AV25+Submetering!AY25+Submetering!AZ25</f>
        <v>5687.4942000000001</v>
      </c>
      <c r="J25" s="11">
        <f>((Submetering!AG25+Submetering!BA25)*0.8868+(1712.96+1070.52)/30+(Submetering!AF25+Submetering!AY25+Submetering!AV25+Submetering!AZ25)*1.1251+(2076.11+129.67+207.57+207.57)/30+(11680.53+56.61)/30)/I25</f>
        <v>1.5156291788616973</v>
      </c>
      <c r="K25" s="4">
        <f>Occupancy!H8</f>
        <v>10749.684000000001</v>
      </c>
    </row>
    <row r="26" spans="1:11">
      <c r="A26" s="3" t="s">
        <v>11</v>
      </c>
      <c r="B26" s="2">
        <v>31</v>
      </c>
      <c r="C26" s="2">
        <v>5</v>
      </c>
      <c r="D26" s="2">
        <v>2019</v>
      </c>
      <c r="E26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373932</v>
      </c>
      <c r="F26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26</f>
        <v>8.0482315617812869E-2</v>
      </c>
      <c r="G26" s="4">
        <f>Submetering!AK26+Submetering!AL26+Submetering!AU26</f>
        <v>1431.3953999999999</v>
      </c>
      <c r="H26" s="11">
        <v>0.81659999999999999</v>
      </c>
      <c r="I26" s="4">
        <f>Submetering!AF26+Submetering!AG26+Submetering!AV26+Submetering!AY26+Submetering!AZ26</f>
        <v>6628.7466000000004</v>
      </c>
      <c r="J26" s="11">
        <f>((Submetering!AG26+Submetering!BA26)*0.8868+(1712.96+1070.52)/30+(Submetering!AF26+Submetering!AY26+Submetering!AV26+Submetering!AZ26)*1.1251+(2076.11+129.67+207.57+207.57)/30+(11680.53+56.61)/30)/I26</f>
        <v>1.387970825996979</v>
      </c>
      <c r="K26" s="4"/>
    </row>
    <row r="27" spans="1:11">
      <c r="A27" s="3" t="s">
        <v>11</v>
      </c>
      <c r="B27" s="2">
        <v>9</v>
      </c>
      <c r="C27" s="2">
        <v>6</v>
      </c>
      <c r="D27" s="2">
        <v>2019</v>
      </c>
      <c r="E27" s="4">
        <f>Submetering!F27+Submetering!H27+Submetering!J27+Submetering!L27+Submetering!N27+Submetering!P27+Submetering!R27+Submetering!T27+Submetering!V27+Submetering!X27+Submetering!Z27+Submetering!AB27+Submetering!AC27+Submetering!AD27+Submetering!AE27</f>
        <v>417150</v>
      </c>
      <c r="F27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27</f>
        <v>8.0605958832074789E-2</v>
      </c>
      <c r="G27" s="4">
        <f>Submetering!AK27+Submetering!AL27+Submetering!AU27</f>
        <v>1496.2424000000001</v>
      </c>
      <c r="H27" s="11">
        <v>0.81659999999999999</v>
      </c>
      <c r="I27" s="4">
        <f>Submetering!AF27+Submetering!AG27+Submetering!AV27+Submetering!AY27+Submetering!AZ27</f>
        <v>7053.1875999999993</v>
      </c>
      <c r="J27" s="11">
        <f>((Submetering!AG27+Submetering!BA27)*0.8868+(1712.96+1070.52)/30+(Submetering!AF27+Submetering!AY27+Submetering!AV27+Submetering!AZ27)*1.1251+(2076.11+129.67+207.57+207.57)/30+(11680.53+56.61)/30)/I27</f>
        <v>1.3023518328006283</v>
      </c>
      <c r="K27" s="4"/>
    </row>
    <row r="28" spans="1:11">
      <c r="A28" s="3" t="s">
        <v>11</v>
      </c>
      <c r="B28" s="2">
        <v>16</v>
      </c>
      <c r="C28" s="2">
        <v>6</v>
      </c>
      <c r="D28" s="2">
        <v>2019</v>
      </c>
      <c r="E28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377786</v>
      </c>
      <c r="F28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28</f>
        <v>8.0562544488149368E-2</v>
      </c>
      <c r="G28" s="4">
        <f>Submetering!AK28+Submetering!AL28+Submetering!AU28</f>
        <v>1938.703</v>
      </c>
      <c r="H28" s="11">
        <v>0.81659999999999999</v>
      </c>
      <c r="I28" s="4">
        <f>Submetering!AF28+Submetering!AG28+Submetering!AV28+Submetering!AY28+Submetering!AZ28</f>
        <v>6189.9378000000006</v>
      </c>
      <c r="J28" s="11">
        <f>((Submetering!AG28+Submetering!BA28)*0.8868+(1712.96+1070.52)/30+(Submetering!AF28+Submetering!AY28+Submetering!AV28+Submetering!AZ28)*1.1251+(2076.11+129.67+207.57+207.57)/30+(11680.53+56.61)/30)/I28</f>
        <v>1.1920969755409603</v>
      </c>
      <c r="K28" s="4"/>
    </row>
    <row r="29" spans="1:11">
      <c r="A29" s="3" t="s">
        <v>11</v>
      </c>
      <c r="B29" s="2">
        <v>21</v>
      </c>
      <c r="C29" s="2">
        <v>6</v>
      </c>
      <c r="D29" s="2">
        <v>2019</v>
      </c>
      <c r="E29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398825</v>
      </c>
      <c r="F29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29</f>
        <v>8.0535637396853266E-2</v>
      </c>
      <c r="G29" s="4">
        <f>Submetering!AK29+Submetering!AL29+Submetering!AU29</f>
        <v>1587.8565999999998</v>
      </c>
      <c r="H29" s="11">
        <v>0.81659999999999999</v>
      </c>
      <c r="I29" s="4">
        <f>Submetering!AF29+Submetering!AG29+Submetering!AV29+Submetering!AY29+Submetering!AZ29</f>
        <v>5632.3524000000007</v>
      </c>
      <c r="J29" s="11">
        <f>((Submetering!AG29+Submetering!BA29)*0.8868+(1712.96+1070.52)/30+(Submetering!AF29+Submetering!AY29+Submetering!AV29+Submetering!AZ29)*1.1251+(2076.11+129.67+207.57+207.57)/30+(11680.53+56.61)/30)/I29</f>
        <v>1.2091908209057847</v>
      </c>
      <c r="K29" s="4"/>
    </row>
    <row r="30" spans="1:11">
      <c r="A30" s="3" t="s">
        <v>11</v>
      </c>
      <c r="B30" s="2">
        <v>30</v>
      </c>
      <c r="C30" s="2">
        <v>6</v>
      </c>
      <c r="D30" s="2">
        <v>2019</v>
      </c>
      <c r="E30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402693</v>
      </c>
      <c r="F30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30</f>
        <v>8.0531560542646638E-2</v>
      </c>
      <c r="G30" s="4">
        <f>Submetering!AK30+Submetering!AL30+Submetering!AU30</f>
        <v>1390.3971999999999</v>
      </c>
      <c r="H30" s="11">
        <v>0.81659999999999999</v>
      </c>
      <c r="I30" s="4">
        <f>Submetering!AF30+Submetering!AG30+Submetering!AV30+Submetering!AY30+Submetering!AZ30</f>
        <v>6934.6276000000007</v>
      </c>
      <c r="J30" s="11">
        <f>((Submetering!AG30+Submetering!BA30)*0.8868+(1712.96+1070.52)/30+(Submetering!AF30+Submetering!AY30+Submetering!AV30+Submetering!AZ30)*1.1251+(2076.11+129.67+207.57+207.57)/30+(11680.53+56.61)/30)/I30</f>
        <v>1.2895976374429488</v>
      </c>
      <c r="K30" s="4">
        <f>Occupancy!H9</f>
        <v>10762.560000000001</v>
      </c>
    </row>
    <row r="31" spans="1:11">
      <c r="A31" s="3" t="s">
        <v>11</v>
      </c>
      <c r="B31" s="2">
        <v>8</v>
      </c>
      <c r="C31" s="2">
        <v>7</v>
      </c>
      <c r="D31" s="2">
        <v>2019</v>
      </c>
      <c r="E31" s="4">
        <f>Submetering!F31+Submetering!H31+Submetering!J31+Submetering!L31+Submetering!N31+Submetering!P31+Submetering!R31+Submetering!T31+Submetering!V31+Submetering!X31+Submetering!Z31+Submetering!AB31+Submetering!AC31+Submetering!AD31+Submetering!AE31</f>
        <v>410334</v>
      </c>
      <c r="F31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31</f>
        <v>8.0546053542723733E-2</v>
      </c>
      <c r="G31" s="4">
        <f>Submetering!AK31+Submetering!AL31+Submetering!AU31</f>
        <v>1263.1161999999999</v>
      </c>
      <c r="H31" s="11">
        <v>0.81659999999999999</v>
      </c>
      <c r="I31" s="4">
        <f>Submetering!AF31+Submetering!AG31+Submetering!AV31+Submetering!AY31+Submetering!AZ31</f>
        <v>6850.6019999999999</v>
      </c>
      <c r="J31" s="11">
        <f>((Submetering!AG31+Submetering!BA31)*0.8868+(1712.96+1070.52)/30+(Submetering!AF31+Submetering!AY31+Submetering!AV31+Submetering!AZ31)*1.1251+(2076.11+129.67+207.57+207.57)/30+(11680.53+56.61)/30)/I31</f>
        <v>1.3015635307300975</v>
      </c>
      <c r="K31" s="4"/>
    </row>
    <row r="32" spans="1:11">
      <c r="A32" s="3" t="s">
        <v>11</v>
      </c>
      <c r="B32" s="2">
        <v>15</v>
      </c>
      <c r="C32" s="2">
        <v>7</v>
      </c>
      <c r="D32" s="2">
        <v>2019</v>
      </c>
      <c r="E32" s="4">
        <f>Submetering!F32+Submetering!H32+Submetering!J32+Submetering!L32+Submetering!N32+Submetering!P32+Submetering!R32+Submetering!T32+Submetering!V32+Submetering!X32+Submetering!Z32+Submetering!AB32+Submetering!AC32+Submetering!AD32+Submetering!AE32</f>
        <v>408096</v>
      </c>
      <c r="F32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32</f>
        <v>8.0593608314710255E-2</v>
      </c>
      <c r="G32" s="4">
        <f>Submetering!AK32+Submetering!AL32+Submetering!AU32</f>
        <v>1361.6958000000002</v>
      </c>
      <c r="H32" s="11">
        <v>0.81659999999999999</v>
      </c>
      <c r="I32" s="4">
        <f>Submetering!AF32+Submetering!AG32+Submetering!AV32+Submetering!AY32+Submetering!AZ32</f>
        <v>6548.9846000000007</v>
      </c>
      <c r="J32" s="11">
        <f>((Submetering!AG32+Submetering!BA32)*0.8868+(1712.96+1070.52)/30+(Submetering!AF32+Submetering!AY32+Submetering!AV32+Submetering!AZ32)*1.1251+(2076.11+129.67+207.57+207.57)/30+(11680.53+56.61)/30)/I32</f>
        <v>1.1866246827464928</v>
      </c>
      <c r="K32" s="4"/>
    </row>
    <row r="33" spans="1:12">
      <c r="A33" s="3" t="s">
        <v>11</v>
      </c>
      <c r="B33" s="2">
        <v>21</v>
      </c>
      <c r="C33" s="2">
        <v>7</v>
      </c>
      <c r="D33" s="2">
        <v>2019</v>
      </c>
      <c r="E33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388058</v>
      </c>
      <c r="F33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33</f>
        <v>8.0483886286070644E-2</v>
      </c>
      <c r="G33" s="4">
        <f>Submetering!AK33+Submetering!AL33+Submetering!AU33</f>
        <v>1376.9908</v>
      </c>
      <c r="H33" s="11">
        <v>0.81659999999999999</v>
      </c>
      <c r="I33" s="4">
        <f>Submetering!AF33+Submetering!AG33+Submetering!AV33+Submetering!AY33+Submetering!AZ33</f>
        <v>5987.014000000001</v>
      </c>
      <c r="J33" s="11">
        <f>((Submetering!AG33+Submetering!BA33)*0.8868+(1712.96+1070.52)/30+(Submetering!AF33+Submetering!AY33+Submetering!AV33+Submetering!AZ33)*1.1251+(2076.11+129.67+207.57+207.57)/30+(11680.53+56.61)/30)/I33</f>
        <v>1.1979215684657938</v>
      </c>
      <c r="K33" s="4"/>
    </row>
    <row r="34" spans="1:12">
      <c r="A34" s="3" t="s">
        <v>11</v>
      </c>
      <c r="B34" s="2">
        <v>28</v>
      </c>
      <c r="C34" s="2">
        <v>7</v>
      </c>
      <c r="D34" s="2">
        <v>2019</v>
      </c>
      <c r="E34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390122</v>
      </c>
      <c r="F34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34</f>
        <v>8.0565038027078706E-2</v>
      </c>
      <c r="G34" s="4">
        <f>Submetering!AK34+Submetering!AL34+Submetering!AU34</f>
        <v>1685.3418000000001</v>
      </c>
      <c r="H34" s="11">
        <v>0.81659999999999999</v>
      </c>
      <c r="I34" s="4">
        <f>Submetering!AF34+Submetering!AG34+Submetering!AV34+Submetering!AY34+Submetering!AZ34</f>
        <v>6130.8858</v>
      </c>
      <c r="J34" s="11">
        <f>((Submetering!AG34+Submetering!BA34)*0.8868+(1712.96+1070.52)/30+(Submetering!AF34+Submetering!AY34+Submetering!AV34+Submetering!AZ34)*1.1251+(2076.11+129.67+207.57+207.57)/30+(11680.53+56.61)/30)/I34</f>
        <v>1.1944552517430136</v>
      </c>
      <c r="K34" s="4"/>
    </row>
    <row r="35" spans="1:12">
      <c r="A35" s="3" t="s">
        <v>11</v>
      </c>
      <c r="B35" s="2">
        <v>31</v>
      </c>
      <c r="C35" s="2">
        <v>7</v>
      </c>
      <c r="D35" s="2">
        <v>2019</v>
      </c>
      <c r="E35" s="4">
        <f>Submetering!F35+Submetering!H35+Submetering!J35+Submetering!L35+Submetering!N35+Submetering!P35+Submetering!R35+Submetering!T35+Submetering!V35+Submetering!X35+Submetering!Z35+Submetering!AB35+Submetering!AC35+Submetering!AD35+Submetering!AE35</f>
        <v>168225</v>
      </c>
      <c r="F35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35</f>
        <v>8.0400635895972641E-2</v>
      </c>
      <c r="G35" s="4">
        <f>Submetering!AK35+Submetering!AL35+Submetering!AU35</f>
        <v>511.87520000000001</v>
      </c>
      <c r="H35" s="11">
        <v>0.81659999999999999</v>
      </c>
      <c r="I35" s="4">
        <f>Submetering!AF35+Submetering!AG35+Submetering!AV35+Submetering!AY35+Submetering!AZ35</f>
        <v>2824.5932000000003</v>
      </c>
      <c r="J35" s="11">
        <f>((Submetering!AG35+Submetering!BA35)*0.8868+(1712.96+1070.52)/30+(Submetering!AF35+Submetering!AY35+Submetering!AV35+Submetering!AZ35)*1.1251+(2076.11+129.67+207.57+207.57)/30+(11680.53+56.61)/30)/I35</f>
        <v>1.3050507932918152</v>
      </c>
      <c r="K35" s="4">
        <f>Occupancy!H10</f>
        <v>11121.312</v>
      </c>
    </row>
    <row r="36" spans="1:12">
      <c r="A36" s="3" t="s">
        <v>11</v>
      </c>
      <c r="B36" s="2">
        <v>5</v>
      </c>
      <c r="C36" s="2">
        <v>8</v>
      </c>
      <c r="D36" s="2">
        <v>2019</v>
      </c>
      <c r="E36" s="4">
        <f>Submetering!F36+Submetering!H36+Submetering!J36+Submetering!L36+Submetering!N36+Submetering!P36+Submetering!R36+Submetering!T36+Submetering!V36+Submetering!X36+Submetering!Z36+Submetering!AB36+Submetering!AC36+Submetering!AD36+Submetering!AE36</f>
        <v>239598</v>
      </c>
      <c r="F36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36</f>
        <v>8.0546661584821239E-2</v>
      </c>
      <c r="G36" s="4">
        <f>Submetering!AK36+Submetering!AL36+Submetering!AU36</f>
        <v>867.42220000000009</v>
      </c>
      <c r="H36" s="11">
        <v>0.81659999999999999</v>
      </c>
      <c r="I36" s="4">
        <f>Submetering!AF36+Submetering!AG36+Submetering!AV36+Submetering!AY36+Submetering!AZ36</f>
        <v>3704.8670000000002</v>
      </c>
      <c r="J36" s="11">
        <f>((Submetering!AG36+Submetering!BA36)*0.8868+(1712.96+1070.52)/30+(Submetering!AF36+Submetering!AY36+Submetering!AV36+Submetering!AZ36)*1.1251+(2076.11+129.67+207.57+207.57)/30+(11680.53+56.61)/30)/I36</f>
        <v>1.2641376882912847</v>
      </c>
      <c r="K36" s="4"/>
    </row>
    <row r="37" spans="1:12">
      <c r="A37" s="3" t="s">
        <v>11</v>
      </c>
      <c r="B37" s="2">
        <v>12</v>
      </c>
      <c r="C37" s="2">
        <v>8</v>
      </c>
      <c r="D37" s="2">
        <v>2019</v>
      </c>
      <c r="E37" s="4">
        <f>Submetering!F37+Submetering!H37+Submetering!J37+Submetering!L37+Submetering!N37+Submetering!P37+Submetering!R37+Submetering!T37+Submetering!V37+Submetering!X37+Submetering!Z37+Submetering!AB37+Submetering!AC37+Submetering!AD37+Submetering!AE37</f>
        <v>406078</v>
      </c>
      <c r="F37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37</f>
        <v>8.0487034279128636E-2</v>
      </c>
      <c r="G37" s="4">
        <f>Submetering!AK37+Submetering!AL37+Submetering!AU37</f>
        <v>1402.9561999999999</v>
      </c>
      <c r="H37" s="11">
        <v>0.81659999999999999</v>
      </c>
      <c r="I37" s="4">
        <f>Submetering!AF37+Submetering!AG37+Submetering!AV37+Submetering!AY37+Submetering!AZ37</f>
        <v>5715.6674000000003</v>
      </c>
      <c r="J37" s="11">
        <f>((Submetering!AG37+Submetering!BA37)*0.8868+(1712.96+1070.52)/30+(Submetering!AF37+Submetering!AY37+Submetering!AV37+Submetering!AZ37)*1.1251+(2076.11+129.67+207.57+207.57)/30+(11680.53+56.61)/30)/I37</f>
        <v>1.2116975372791401</v>
      </c>
      <c r="K37" s="4"/>
    </row>
    <row r="38" spans="1:12">
      <c r="A38" s="3" t="s">
        <v>11</v>
      </c>
      <c r="B38" s="2">
        <v>19</v>
      </c>
      <c r="C38" s="2">
        <v>8</v>
      </c>
      <c r="D38" s="2">
        <v>2019</v>
      </c>
      <c r="E38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405474</v>
      </c>
      <c r="F38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38</f>
        <v>8.0503851647207969E-2</v>
      </c>
      <c r="G38" s="4">
        <f>Submetering!AK38+Submetering!AL38+Submetering!AU38</f>
        <v>1440.1924000000001</v>
      </c>
      <c r="H38" s="11">
        <v>0.81659999999999999</v>
      </c>
      <c r="I38" s="4">
        <f>Submetering!AF38+Submetering!AG38+Submetering!AV38+Submetering!AY38+Submetering!AZ38</f>
        <v>5293.3392000000003</v>
      </c>
      <c r="J38" s="11">
        <f>((Submetering!AG38+Submetering!BA38)*0.8868+(1712.96+1070.52)/30+(Submetering!AF38+Submetering!AY38+Submetering!AV38+Submetering!AZ38)*1.1251+(2076.11+129.67+207.57+207.57)/30+(11680.53+56.61)/30)/I38</f>
        <v>1.2390699419124067</v>
      </c>
      <c r="K38" s="4"/>
    </row>
    <row r="39" spans="1:12">
      <c r="A39" s="3" t="s">
        <v>11</v>
      </c>
      <c r="B39" s="2">
        <v>26</v>
      </c>
      <c r="C39" s="2">
        <v>8</v>
      </c>
      <c r="D39" s="2">
        <v>2019</v>
      </c>
      <c r="E39" s="4">
        <f>Submetering!F39+Submetering!H39+Submetering!J39+Submetering!L39+Submetering!N39+Submetering!P39+Submetering!R39+Submetering!T39+Submetering!V39+Submetering!X39+Submetering!Z39+Submetering!AB39+Submetering!AC39+Submetering!AD39+Submetering!AE39</f>
        <v>418854</v>
      </c>
      <c r="F39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39</f>
        <v>8.0477584530170426E-2</v>
      </c>
      <c r="G39" s="4">
        <f>Submetering!AK39+Submetering!AL39+Submetering!AU39</f>
        <v>1437.8858</v>
      </c>
      <c r="H39" s="11">
        <v>0.81659999999999999</v>
      </c>
      <c r="I39" s="4">
        <f>Submetering!AF39+Submetering!AG39+Submetering!AV39+Submetering!AY39+Submetering!AZ39</f>
        <v>6683.2499999999991</v>
      </c>
      <c r="J39" s="11">
        <f>((Submetering!AG39+Submetering!BA39)*0.8868+(1712.96+1070.52)/30+(Submetering!AF39+Submetering!AY39+Submetering!AV39+Submetering!AZ39)*1.1251+(2076.11+129.67+207.57+207.57)/30+(11680.53+56.61)/30)/I39</f>
        <v>1.3410748637184999</v>
      </c>
      <c r="K39" s="4"/>
    </row>
    <row r="40" spans="1:12">
      <c r="A40" s="3" t="s">
        <v>11</v>
      </c>
      <c r="B40" s="2">
        <v>31</v>
      </c>
      <c r="C40" s="2">
        <v>8</v>
      </c>
      <c r="D40" s="2">
        <v>2019</v>
      </c>
      <c r="E40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372433</v>
      </c>
      <c r="F40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40</f>
        <v>8.0508172167342865E-2</v>
      </c>
      <c r="G40" s="4">
        <f>Submetering!AK40+Submetering!AL40+Submetering!AU40</f>
        <v>1184.2737999999999</v>
      </c>
      <c r="H40" s="11">
        <v>0.81659999999999999</v>
      </c>
      <c r="I40" s="4">
        <f>Submetering!AF40+Submetering!AG40+Submetering!AV40+Submetering!AY40+Submetering!AZ40</f>
        <v>4336.1229999999996</v>
      </c>
      <c r="J40" s="11">
        <f>((Submetering!AG40+Submetering!BA40)*0.8868+(1712.96+1070.52)/30+(Submetering!AF40+Submetering!AY40+Submetering!AV40+Submetering!AZ40)*1.1251+(2076.11+129.67+207.57+207.57)/30+(11680.53+56.61)/30)/I40</f>
        <v>1.2566231587172842</v>
      </c>
      <c r="K40" s="4"/>
    </row>
    <row r="41" spans="1:12">
      <c r="A41" s="3" t="s">
        <v>11</v>
      </c>
      <c r="B41" s="2">
        <v>8</v>
      </c>
      <c r="C41" s="2">
        <v>9</v>
      </c>
      <c r="D41" s="2">
        <v>2019</v>
      </c>
      <c r="E41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408253</v>
      </c>
      <c r="F41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41</f>
        <v>8.0454430526168824E-2</v>
      </c>
      <c r="G41" s="4">
        <f>Submetering!AK41+Submetering!AL41+Submetering!AU41</f>
        <v>1512.3581999999999</v>
      </c>
      <c r="H41" s="11">
        <v>0.81659999999999999</v>
      </c>
      <c r="I41" s="4">
        <f>Submetering!AF41+Submetering!AG41+Submetering!AV41+Submetering!AY41+Submetering!AZ41</f>
        <v>5016.9727999999996</v>
      </c>
      <c r="J41" s="11">
        <f>((Submetering!AG41+Submetering!BA41)*0.8868+(1712.96+1070.52)/30+(Submetering!AF41+Submetering!AY41+Submetering!AV41+Submetering!AZ41)*1.1251+(2076.11+129.67+207.57+207.57)/30+(11680.53+56.61)/30)/I41</f>
        <v>1.2718336445090286</v>
      </c>
      <c r="K41" s="4">
        <f>Occupancy!H11</f>
        <v>9221.880000000001</v>
      </c>
      <c r="L41" s="4"/>
    </row>
    <row r="42" spans="1:12">
      <c r="A42" s="3" t="s">
        <v>11</v>
      </c>
      <c r="B42" s="2">
        <v>16</v>
      </c>
      <c r="C42" s="2">
        <v>9</v>
      </c>
      <c r="D42" s="2">
        <v>2019</v>
      </c>
      <c r="E42" s="4">
        <f>Submetering!F42+Submetering!H42+Submetering!J42+Submetering!L42+Submetering!N42+Submetering!P42+Submetering!R42+Submetering!T42+Submetering!V42+Submetering!X42+Submetering!Z42+Submetering!AB42+Submetering!AC42+Submetering!AD42+Submetering!AE42</f>
        <v>410811</v>
      </c>
      <c r="F42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42</f>
        <v>8.049801122267905E-2</v>
      </c>
      <c r="G42" s="4">
        <f>Submetering!AK42+Submetering!AL42+Submetering!AU42</f>
        <v>1610.7972</v>
      </c>
      <c r="H42" s="11">
        <v>0.81659999999999999</v>
      </c>
      <c r="I42" s="4">
        <f>Submetering!AF42+Submetering!AG42+Submetering!AV42+Submetering!AY42+Submetering!AZ42</f>
        <v>5903.8890000000001</v>
      </c>
      <c r="J42" s="11">
        <f>((Submetering!AG42+Submetering!BA42)*0.8868+(1712.96+1070.52)/30+(Submetering!AF42+Submetering!AY42+Submetering!AV42+Submetering!AZ42)*1.1251+(2076.11+129.67+207.57+207.57)/30+(11680.53+56.61)/30)/I42</f>
        <v>1.3755663658050934</v>
      </c>
    </row>
    <row r="43" spans="1:12">
      <c r="A43" s="3" t="s">
        <v>11</v>
      </c>
      <c r="B43" s="2">
        <v>22</v>
      </c>
      <c r="C43" s="2">
        <v>9</v>
      </c>
      <c r="D43" s="2">
        <v>2019</v>
      </c>
      <c r="E43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379844</v>
      </c>
      <c r="F43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43</f>
        <v>8.0532098462526722E-2</v>
      </c>
      <c r="G43" s="4">
        <f>Submetering!AK43+Submetering!AL43+Submetering!AU43</f>
        <v>2347.6438000000003</v>
      </c>
      <c r="H43" s="11">
        <v>0.81659999999999999</v>
      </c>
      <c r="I43" s="4">
        <f>Submetering!AF43+Submetering!AG43+Submetering!AV43+Submetering!AY43+Submetering!AZ43</f>
        <v>4833.2199999999993</v>
      </c>
      <c r="J43" s="11">
        <f>((Submetering!AG43+Submetering!BA43)*0.8868+(1712.96+1070.52)/30+(Submetering!AF43+Submetering!AY43+Submetering!AV43+Submetering!AZ43)*1.1251+(2076.11+129.67+207.57+207.57)/30+(11680.53+56.61)/30)/I43</f>
        <v>1.4193641880375127</v>
      </c>
    </row>
    <row r="44" spans="1:12">
      <c r="A44" s="3" t="s">
        <v>11</v>
      </c>
      <c r="B44" s="2">
        <v>30</v>
      </c>
      <c r="C44" s="2">
        <v>9</v>
      </c>
      <c r="D44" s="2">
        <v>2019</v>
      </c>
      <c r="E44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374526</v>
      </c>
      <c r="F44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44</f>
        <v>8.0542914568280971E-2</v>
      </c>
      <c r="G44" s="4">
        <f>Submetering!AK44+Submetering!AL44+Submetering!AU44</f>
        <v>2369.6799999999998</v>
      </c>
      <c r="H44" s="11">
        <v>0.81659999999999999</v>
      </c>
      <c r="I44" s="4">
        <f>Submetering!AF44+Submetering!AG44+Submetering!AV44+Submetering!AY44+Submetering!AZ44</f>
        <v>6133.4850000000006</v>
      </c>
      <c r="J44" s="11">
        <f>((Submetering!AG44+Submetering!BA44)*0.8868+(1712.96+1070.52)/30+(Submetering!AF44+Submetering!AY44+Submetering!AV44+Submetering!AZ44)*1.1251+(2076.11+129.67+207.57+207.57)/30+(11680.53+56.61)/30)/I44</f>
        <v>1.4253779647568496</v>
      </c>
    </row>
    <row r="45" spans="1:12">
      <c r="A45" s="3" t="s">
        <v>11</v>
      </c>
      <c r="B45" s="2">
        <v>6</v>
      </c>
      <c r="C45" s="2">
        <v>10</v>
      </c>
      <c r="D45" s="2">
        <v>2019</v>
      </c>
      <c r="E45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379269</v>
      </c>
      <c r="F45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45</f>
        <v>8.0569291067817295E-2</v>
      </c>
      <c r="G45" s="4">
        <f>Submetering!AK45+Submetering!AL45+Submetering!AU45</f>
        <v>2373.2406000000001</v>
      </c>
      <c r="H45" s="11">
        <v>0.81659999999999999</v>
      </c>
      <c r="I45" s="4">
        <f>Submetering!AF45+Submetering!AG45+Submetering!AV45+Submetering!AY45+Submetering!AZ45</f>
        <v>5303.7626</v>
      </c>
      <c r="J45" s="11">
        <f>((Submetering!AG45+Submetering!BA45)*0.8868+(1712.96+1070.52)/30+(Submetering!AF45+Submetering!AY45+Submetering!AV45+Submetering!AZ45)*1.1251+(2076.11+129.67+207.57+207.57)/30+(11680.53+56.61)/30)/I45</f>
        <v>1.3571069163704021</v>
      </c>
    </row>
    <row r="46" spans="1:12">
      <c r="A46" s="3" t="s">
        <v>11</v>
      </c>
      <c r="B46" s="2">
        <v>13</v>
      </c>
      <c r="C46" s="2">
        <v>10</v>
      </c>
      <c r="D46" s="2">
        <v>2019</v>
      </c>
      <c r="E46" s="4">
        <f>Submetering!F46+Submetering!H46+Submetering!J46+Submetering!L46+Submetering!N46+Submetering!P46+Submetering!R46+Submetering!T46+Submetering!V46+Submetering!X46+Submetering!Z46+Submetering!AB46+Submetering!AC46+Submetering!AD46+Submetering!AE46</f>
        <v>360173</v>
      </c>
      <c r="F46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46</f>
        <v>8.0541114159029134E-2</v>
      </c>
      <c r="G46" s="4">
        <f>Submetering!AK46+Submetering!AL46+Submetering!AU46</f>
        <v>3453.4856</v>
      </c>
      <c r="H46" s="11">
        <v>0.81659999999999999</v>
      </c>
      <c r="I46" s="4">
        <f>Submetering!AF46+Submetering!AG46+Submetering!AV46+Submetering!AY46+Submetering!AZ46</f>
        <v>5509.4603999999999</v>
      </c>
      <c r="J46" s="11">
        <f>((Submetering!AG46+Submetering!BA46)*0.8868+(1712.96+1070.52)/30+(Submetering!AF46+Submetering!AY46+Submetering!AV46+Submetering!AZ46)*1.1251+(2076.11+129.67+207.57+207.57)/30+(11680.53+56.61)/30)/I46</f>
        <v>1.2919718290790632</v>
      </c>
    </row>
    <row r="47" spans="1:12">
      <c r="A47" s="3" t="s">
        <v>11</v>
      </c>
      <c r="B47" s="2">
        <v>20</v>
      </c>
      <c r="C47" s="2">
        <v>10</v>
      </c>
      <c r="D47" s="2">
        <v>2019</v>
      </c>
      <c r="E47" s="4">
        <f>Submetering!F47+Submetering!H47+Submetering!J47+Submetering!L47+Submetering!N47+Submetering!P47+Submetering!R47+Submetering!T47+Submetering!V47+Submetering!X47+Submetering!Z47+Submetering!AB47+Submetering!AC47+Submetering!AD47+Submetering!AE47</f>
        <v>369065</v>
      </c>
      <c r="F47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47</f>
        <v>8.0551366408627201E-2</v>
      </c>
      <c r="G47" s="4">
        <f>Submetering!AK47+Submetering!AL47+Submetering!AU47</f>
        <v>3196.6626000000001</v>
      </c>
      <c r="H47" s="11">
        <v>0.81659999999999999</v>
      </c>
      <c r="I47" s="4">
        <f>Submetering!AF47+Submetering!AG47+Submetering!AV47+Submetering!AY47+Submetering!AZ47</f>
        <v>5893.6707999999999</v>
      </c>
      <c r="J47" s="11">
        <f>((Submetering!AG47+Submetering!BA47)*0.8868+(1712.96+1070.52)/30+(Submetering!AF47+Submetering!AY47+Submetering!AV47+Submetering!AZ47)*1.1251+(2076.11+129.67+207.57+207.57)/30+(11680.53+56.61)/30)/I47</f>
        <v>1.3075380968795656</v>
      </c>
    </row>
    <row r="48" spans="1:12">
      <c r="A48" s="3" t="s">
        <v>11</v>
      </c>
      <c r="B48" s="2">
        <v>27</v>
      </c>
      <c r="C48" s="2">
        <v>10</v>
      </c>
      <c r="D48" s="2">
        <v>2019</v>
      </c>
      <c r="E48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377210</v>
      </c>
      <c r="F48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48</f>
        <v>8.055895454839479E-2</v>
      </c>
      <c r="G48" s="4">
        <f>Submetering!AK48+Submetering!AL48+Submetering!AU48</f>
        <v>2573.4702000000002</v>
      </c>
      <c r="H48" s="11">
        <v>0.81659999999999999</v>
      </c>
      <c r="I48" s="4">
        <f>Submetering!AF48+Submetering!AG48+Submetering!AV48+Submetering!AY48+Submetering!AZ48</f>
        <v>5127.9631999999992</v>
      </c>
      <c r="J48" s="11">
        <f>((Submetering!AG48+Submetering!BA48)*0.8868+(1712.96+1070.52)/30+(Submetering!AF48+Submetering!AY48+Submetering!AV48+Submetering!AZ48)*1.1251+(2076.11+129.67+207.57+207.57)/30+(11680.53+56.61)/30)/I48</f>
        <v>1.230626679900251</v>
      </c>
    </row>
    <row r="49" spans="1:11">
      <c r="A49" s="3" t="s">
        <v>11</v>
      </c>
      <c r="B49" s="2">
        <v>31</v>
      </c>
      <c r="C49" s="2">
        <v>10</v>
      </c>
      <c r="D49" s="2">
        <v>2019</v>
      </c>
      <c r="E49" s="4">
        <f>Submetering!F49+Submetering!H49+Submetering!J49+Submetering!L49+Submetering!N49+Submetering!P49+Submetering!R49+Submetering!T49+Submetering!V49+Submetering!X49+Submetering!Z49+Submetering!AB49+Submetering!AC49+Submetering!AD49+Submetering!AE49</f>
        <v>211682</v>
      </c>
      <c r="F49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49</f>
        <v>8.0595795500798359E-2</v>
      </c>
      <c r="G49" s="4">
        <f>Submetering!AK49+Submetering!AL49+Submetering!AU49</f>
        <v>916.80319999999995</v>
      </c>
      <c r="H49" s="11">
        <v>0.81659999999999999</v>
      </c>
      <c r="I49" s="4">
        <f>Submetering!AF49+Submetering!AG49+Submetering!AV49+Submetering!AY49+Submetering!AZ49</f>
        <v>3626.4160000000002</v>
      </c>
      <c r="J49" s="11">
        <f>((Submetering!AG49+Submetering!BA49)*0.8868+(1712.96+1070.52)/30+(Submetering!AF49+Submetering!AY49+Submetering!AV49+Submetering!AZ49)*1.1251+(2076.11+129.67+207.57+207.57)/30+(11680.53+56.61)/30)/I49</f>
        <v>1.2683722715283263</v>
      </c>
    </row>
    <row r="50" spans="1:11">
      <c r="A50" s="3" t="s">
        <v>11</v>
      </c>
      <c r="B50" s="2">
        <v>3</v>
      </c>
      <c r="C50" s="2">
        <v>11</v>
      </c>
      <c r="D50" s="2">
        <v>2019</v>
      </c>
      <c r="E50" s="4">
        <f>Submetering!F50+Submetering!H50+Submetering!J50+Submetering!L50+Submetering!N50+Submetering!P50+Submetering!R50+Submetering!T50+Submetering!V50+Submetering!X50+Submetering!Z50+Submetering!AB50+Submetering!AC50+Submetering!AD50+Submetering!AE50</f>
        <v>148533</v>
      </c>
      <c r="F50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50</f>
        <v>8.0612111032565145E-2</v>
      </c>
      <c r="G50" s="4">
        <f>Submetering!AK50+Submetering!AL50+Submetering!AU50</f>
        <v>1982.6728000000001</v>
      </c>
      <c r="H50" s="11">
        <v>0.81659999999999999</v>
      </c>
      <c r="I50" s="4">
        <f>Submetering!AF50+Submetering!AG50+Submetering!AV50+Submetering!AY50+Submetering!AZ50</f>
        <v>2322.2788</v>
      </c>
      <c r="J50" s="11">
        <f>((Submetering!AG50+Submetering!BA50)*0.8868+(1712.96+1070.52)/30+(Submetering!AF50+Submetering!AY50+Submetering!AV50+Submetering!AZ50)*1.1251+(2076.11+129.67+207.57+207.57)/30+(11680.53+56.61)/30)/I50</f>
        <v>1.3493623533688837</v>
      </c>
      <c r="K50" s="1">
        <f>Occupancy!H13</f>
        <v>10061.484</v>
      </c>
    </row>
    <row r="51" spans="1:11">
      <c r="A51" s="3" t="s">
        <v>11</v>
      </c>
      <c r="B51" s="2">
        <v>10</v>
      </c>
      <c r="C51" s="2">
        <v>11</v>
      </c>
      <c r="D51" s="2">
        <v>2019</v>
      </c>
      <c r="E51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354590</v>
      </c>
      <c r="F51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51</f>
        <v>8.060566420372825E-2</v>
      </c>
      <c r="G51" s="4">
        <f>Submetering!AK51+Submetering!AL51+Submetering!AU51</f>
        <v>4073.4404</v>
      </c>
      <c r="H51" s="11">
        <v>0.81659999999999999</v>
      </c>
      <c r="I51" s="4">
        <f>Submetering!AF51+Submetering!AG51+Submetering!AV51+Submetering!AY51+Submetering!AZ51</f>
        <v>4993.1125999999995</v>
      </c>
      <c r="J51" s="11">
        <f>((Submetering!AG51+Submetering!BA51)*0.8868+(1712.96+1070.52)/30+(Submetering!AF51+Submetering!AY51+Submetering!AV51+Submetering!AZ51)*1.1251+(2076.11+129.67+207.57+207.57)/30+(11680.53+56.61)/30)/I51</f>
        <v>1.2506122672352045</v>
      </c>
    </row>
    <row r="52" spans="1:11">
      <c r="A52" s="3" t="s">
        <v>11</v>
      </c>
      <c r="B52" s="2">
        <v>17</v>
      </c>
      <c r="C52" s="2">
        <v>11</v>
      </c>
      <c r="D52" s="2">
        <v>2019</v>
      </c>
      <c r="E52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319289</v>
      </c>
      <c r="F52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52</f>
        <v>8.0678552185637464E-2</v>
      </c>
      <c r="G52" s="4">
        <f>Submetering!AK52+Submetering!AL52+Submetering!AU52</f>
        <v>6788.9393999999993</v>
      </c>
      <c r="H52" s="11">
        <v>0.81659999999999999</v>
      </c>
      <c r="I52" s="4">
        <f>Submetering!AF52+Submetering!AG52+Submetering!AV52+Submetering!AY52+Submetering!AZ52</f>
        <v>5037.6980000000003</v>
      </c>
      <c r="J52" s="11">
        <f>((Submetering!AG52+Submetering!BA52)*0.8868+(1712.96+1070.52)/30+(Submetering!AF52+Submetering!AY52+Submetering!AV52+Submetering!AZ52)*1.1251+(2076.11+129.67+207.57+207.57)/30+(11680.53+56.61)/30)/I52</f>
        <v>1.2864892099817549</v>
      </c>
    </row>
    <row r="53" spans="1:11">
      <c r="A53" s="3" t="s">
        <v>11</v>
      </c>
      <c r="B53" s="2">
        <v>24</v>
      </c>
      <c r="C53" s="2">
        <v>11</v>
      </c>
      <c r="D53" s="2">
        <v>2019</v>
      </c>
      <c r="E53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294671</v>
      </c>
      <c r="F53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53</f>
        <v>8.0740876775794015E-2</v>
      </c>
      <c r="G53" s="4">
        <f>Submetering!AK53+Submetering!AL53+Submetering!AU53</f>
        <v>7173.3588</v>
      </c>
      <c r="H53" s="11">
        <v>0.81659999999999999</v>
      </c>
      <c r="I53" s="4">
        <f>Submetering!AF53+Submetering!AG53+Submetering!AV53+Submetering!AY53+Submetering!AZ53</f>
        <v>4993.0631999999996</v>
      </c>
      <c r="J53" s="11">
        <f>((Submetering!AG53+Submetering!BA53)*0.8868+(1712.96+1070.52)/30+(Submetering!AF53+Submetering!AY53+Submetering!AV53+Submetering!AZ53)*1.1251+(2076.11+129.67+207.57+207.57)/30+(11680.53+56.61)/30)/I53</f>
        <v>1.4030811843893078</v>
      </c>
    </row>
    <row r="54" spans="1:11">
      <c r="A54" s="3" t="s">
        <v>11</v>
      </c>
      <c r="B54" s="2">
        <v>30</v>
      </c>
      <c r="C54" s="2">
        <v>11</v>
      </c>
      <c r="D54" s="2">
        <v>2019</v>
      </c>
      <c r="E54" s="4">
        <f>Submetering!F54+Submetering!H54+Submetering!J54+Submetering!L54+Submetering!N54+Submetering!P54+Submetering!R54+Submetering!T54+Submetering!V54+Submetering!X54+Submetering!Z54+Submetering!AB54+Submetering!AC54+Submetering!AD54+Submetering!AE54</f>
        <v>290267</v>
      </c>
      <c r="F54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54</f>
        <v>8.0727176212245955E-2</v>
      </c>
      <c r="G54" s="4">
        <f>Submetering!AK54+Submetering!AL54+Submetering!AU54</f>
        <v>6544.1168000000007</v>
      </c>
      <c r="H54" s="11">
        <v>0.81659999999999999</v>
      </c>
      <c r="I54" s="4">
        <f>Submetering!AF54+Submetering!AG54+Submetering!AV54+Submetering!AY54+Submetering!AZ54</f>
        <v>5867.6446000000014</v>
      </c>
      <c r="J54" s="11">
        <f>((Submetering!AG54+Submetering!BA54)*0.8868+(1712.96+1070.52)/30+(Submetering!AF54+Submetering!AY54+Submetering!AV54+Submetering!AZ54)*1.1251+(2076.11+129.67+207.57+207.57)/30+(11680.53+56.61)/30)/I54</f>
        <v>1.3168725726514974</v>
      </c>
    </row>
    <row r="55" spans="1:11">
      <c r="A55" s="3" t="s">
        <v>11</v>
      </c>
      <c r="B55" s="2">
        <v>8</v>
      </c>
      <c r="C55" s="2">
        <v>12</v>
      </c>
      <c r="D55" s="2">
        <v>2019</v>
      </c>
      <c r="E55" s="4">
        <f>Submetering!F55+Submetering!H55+Submetering!J55+Submetering!L55+Submetering!N55+Submetering!P55+Submetering!R55+Submetering!T55+Submetering!V55+Submetering!X55+Submetering!Z55+Submetering!AB55+Submetering!AC55+Submetering!AD55+Submetering!AE55</f>
        <v>290611</v>
      </c>
      <c r="F55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55</f>
        <v>8.0727270373110435E-2</v>
      </c>
      <c r="G55" s="4">
        <f>Submetering!AK55+Submetering!AL55+Submetering!AU55</f>
        <v>8382.1653999999999</v>
      </c>
      <c r="H55" s="11">
        <v>0.81659999999999999</v>
      </c>
      <c r="I55" s="4">
        <f>Submetering!AF55+Submetering!AG55+Submetering!AV55+Submetering!AY55+Submetering!AZ55</f>
        <v>4470.4112000000005</v>
      </c>
      <c r="J55" s="11">
        <f>((Submetering!AG55+Submetering!BA55)*0.8868+(1712.96+1070.52)/30+(Submetering!AF55+Submetering!AY55+Submetering!AV55+Submetering!AZ55)*1.1251+(2076.11+129.67+207.57+207.57)/30+(11680.53+56.61)/30)/I55</f>
        <v>1.3868172117917623</v>
      </c>
    </row>
    <row r="56" spans="1:11">
      <c r="A56" s="3" t="s">
        <v>11</v>
      </c>
      <c r="B56" s="2">
        <v>15</v>
      </c>
      <c r="C56" s="2">
        <v>12</v>
      </c>
      <c r="D56" s="2">
        <v>2019</v>
      </c>
      <c r="E56" s="4">
        <f>Submetering!F56+Submetering!H56+Submetering!J56+Submetering!L56+Submetering!N56+Submetering!P56+Submetering!R56+Submetering!T56+Submetering!V56+Submetering!X56+Submetering!Z56+Submetering!AB56+Submetering!AC56+Submetering!AD56+Submetering!AE56</f>
        <v>311899</v>
      </c>
      <c r="F56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56</f>
        <v>8.069487561293881E-2</v>
      </c>
      <c r="G56" s="4">
        <f>Submetering!AK56+Submetering!AL56+Submetering!AU56</f>
        <v>5633.348</v>
      </c>
      <c r="H56" s="11">
        <v>0.81659999999999999</v>
      </c>
      <c r="I56" s="4">
        <f>Submetering!AF56+Submetering!AG56+Submetering!AV56+Submetering!AY56+Submetering!AZ56</f>
        <v>4345.8966000000009</v>
      </c>
      <c r="J56" s="11">
        <f>((Submetering!AG56+Submetering!BA56)*0.8868+(1712.96+1070.52)/30+(Submetering!AF56+Submetering!AY56+Submetering!AV56+Submetering!AZ56)*1.1251+(2076.11+129.67+207.57+207.57)/30+(11680.53+56.61)/30)/I56</f>
        <v>1.2647090575801241</v>
      </c>
      <c r="K56" s="1">
        <f>Occupancy!H14</f>
        <v>9750.24</v>
      </c>
    </row>
    <row r="57" spans="1:11">
      <c r="A57" s="3" t="s">
        <v>11</v>
      </c>
      <c r="B57" s="2">
        <v>22</v>
      </c>
      <c r="C57" s="2">
        <v>12</v>
      </c>
      <c r="D57" s="2">
        <v>2019</v>
      </c>
      <c r="E57" s="4">
        <f>Submetering!F57+Submetering!H57+Submetering!J57+Submetering!L57+Submetering!N57+Submetering!P57+Submetering!R57+Submetering!T57+Submetering!V57+Submetering!X57+Submetering!Z57+Submetering!AB57+Submetering!AC57+Submetering!AD57+Submetering!AE57</f>
        <v>314093</v>
      </c>
      <c r="F57" s="10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57</f>
        <v>8.0705714614461313E-2</v>
      </c>
      <c r="G57" s="4">
        <f>Submetering!AK57+Submetering!AL57+Submetering!AU57</f>
        <v>7054.491</v>
      </c>
      <c r="H57" s="11">
        <v>0.81659999999999999</v>
      </c>
      <c r="I57" s="4">
        <f>Submetering!AF57+Submetering!AG57+Submetering!AV57+Submetering!AY57+Submetering!AZ57</f>
        <v>3951.6162000000004</v>
      </c>
      <c r="J57" s="11">
        <f>((Submetering!AG57+Submetering!BA57)*0.8868+(1712.96+1070.52)/30+(Submetering!AF57+Submetering!AY57+Submetering!AV57+Submetering!AZ57)*1.1251+(2076.11+129.67+207.57+207.57)/30+(11680.53+56.61)/30)/I57</f>
        <v>1.2758426184320901</v>
      </c>
    </row>
    <row r="58" spans="1:11">
      <c r="A58" s="3" t="s">
        <v>11</v>
      </c>
      <c r="B58" s="2">
        <v>29</v>
      </c>
      <c r="C58" s="2">
        <v>12</v>
      </c>
      <c r="D58" s="2">
        <v>2019</v>
      </c>
      <c r="E58" s="4">
        <f>Submetering!F58+Submetering!H58+Submetering!J58+Submetering!L58+Submetering!N58+Submetering!P58+Submetering!R58+Submetering!T58+Submetering!V58+Submetering!X58+Submetering!Z58+Submetering!AB58+Submetering!AC58+Submetering!AD58+Submetering!AE58</f>
        <v>314763</v>
      </c>
      <c r="F58" s="10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58</f>
        <v>8.0691723792186504E-2</v>
      </c>
      <c r="G58" s="4">
        <f>Submetering!AK58+Submetering!AL58+Submetering!AU58</f>
        <v>6112.8548000000001</v>
      </c>
      <c r="H58" s="11">
        <v>0.81659999999999999</v>
      </c>
      <c r="I58" s="4">
        <f>Submetering!AF58+Submetering!AG58+Submetering!AV58+Submetering!AY58+Submetering!AZ58</f>
        <v>4241.3358000000007</v>
      </c>
      <c r="J58" s="11">
        <f>((Submetering!AG58+Submetering!BA58)*0.8868+(1712.96+1070.52)/30+(Submetering!AF58+Submetering!AY58+Submetering!AV58+Submetering!AZ58)*1.1251+(2076.11+129.67+207.57+207.57)/30+(11680.53+56.61)/30)/I58</f>
        <v>1.2623917727822129</v>
      </c>
    </row>
    <row r="59" spans="1:11">
      <c r="A59" s="3" t="s">
        <v>11</v>
      </c>
      <c r="B59" s="2">
        <v>31</v>
      </c>
      <c r="C59" s="2">
        <v>12</v>
      </c>
      <c r="D59" s="2">
        <v>2019</v>
      </c>
      <c r="E59" s="4">
        <f>Submetering!F59+Submetering!H59+Submetering!J59+Submetering!L59+Submetering!N59+Submetering!P59+Submetering!R59+Submetering!T59+Submetering!V59+Submetering!X59+Submetering!Z59+Submetering!AB59+Submetering!AC59+Submetering!AD59+Submetering!AE59</f>
        <v>65217</v>
      </c>
      <c r="F59" s="10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59</f>
        <v>8.0887642620789055E-2</v>
      </c>
      <c r="G59" s="4">
        <f>Submetering!AK59+Submetering!AL59+Submetering!AU59</f>
        <v>651.41880000000003</v>
      </c>
      <c r="H59" s="11">
        <v>0.81659999999999999</v>
      </c>
      <c r="I59" s="4">
        <f>Submetering!AF59+Submetering!AG59+Submetering!AV59+Submetering!AY59+Submetering!AZ59</f>
        <v>911.53639999999996</v>
      </c>
      <c r="J59" s="11">
        <f>((Submetering!AG59+Submetering!BA59)*0.8868+(1712.96+1070.52)/30+(Submetering!AF59+Submetering!AY59+Submetering!AV59+Submetering!AZ59)*1.1251+(2076.11+129.67+207.57+207.57)/30+(11680.53+56.61)/30)/I59</f>
        <v>1.7567576474912761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59"/>
  <sheetViews>
    <sheetView workbookViewId="0">
      <pane xSplit="2" ySplit="1" topLeftCell="C28" activePane="bottomRight" state="frozen"/>
      <selection pane="bottomRight" activeCell="D59" sqref="D2:D59"/>
      <selection pane="bottomLeft" activeCell="A2" sqref="A2"/>
      <selection pane="topRight" activeCell="C1" sqref="C1"/>
    </sheetView>
  </sheetViews>
  <sheetFormatPr defaultColWidth="11.5703125" defaultRowHeight="1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51" max="51" width="12.85546875" customWidth="1"/>
  </cols>
  <sheetData>
    <row r="1" spans="1:54" s="3" customFormat="1" ht="105">
      <c r="A1" s="7" t="s">
        <v>0</v>
      </c>
      <c r="B1" s="7" t="s">
        <v>1</v>
      </c>
      <c r="C1" s="7" t="s">
        <v>2</v>
      </c>
      <c r="D1" s="7" t="s">
        <v>3</v>
      </c>
      <c r="E1" s="40" t="s">
        <v>12</v>
      </c>
      <c r="F1" s="40" t="s">
        <v>13</v>
      </c>
      <c r="G1" s="40" t="s">
        <v>14</v>
      </c>
      <c r="H1" s="40" t="s">
        <v>15</v>
      </c>
      <c r="I1" s="40" t="s">
        <v>16</v>
      </c>
      <c r="J1" s="40" t="s">
        <v>17</v>
      </c>
      <c r="K1" s="40" t="s">
        <v>18</v>
      </c>
      <c r="L1" s="40" t="s">
        <v>19</v>
      </c>
      <c r="M1" s="40" t="s">
        <v>20</v>
      </c>
      <c r="N1" s="40" t="s">
        <v>21</v>
      </c>
      <c r="O1" s="40" t="s">
        <v>22</v>
      </c>
      <c r="P1" s="40" t="s">
        <v>23</v>
      </c>
      <c r="Q1" s="40" t="s">
        <v>24</v>
      </c>
      <c r="R1" s="40" t="s">
        <v>25</v>
      </c>
      <c r="S1" s="40" t="s">
        <v>26</v>
      </c>
      <c r="T1" s="40" t="s">
        <v>27</v>
      </c>
      <c r="U1" s="40" t="s">
        <v>28</v>
      </c>
      <c r="V1" s="40" t="s">
        <v>29</v>
      </c>
      <c r="W1" s="40" t="s">
        <v>30</v>
      </c>
      <c r="X1" s="40" t="s">
        <v>31</v>
      </c>
      <c r="Y1" s="40" t="s">
        <v>32</v>
      </c>
      <c r="Z1" s="40" t="s">
        <v>33</v>
      </c>
      <c r="AA1" s="40" t="s">
        <v>34</v>
      </c>
      <c r="AB1" s="40" t="s">
        <v>35</v>
      </c>
      <c r="AC1" s="40" t="s">
        <v>36</v>
      </c>
      <c r="AD1" s="40" t="s">
        <v>37</v>
      </c>
      <c r="AE1" s="40" t="s">
        <v>38</v>
      </c>
      <c r="AF1" s="42" t="s">
        <v>39</v>
      </c>
      <c r="AG1" s="42" t="s">
        <v>40</v>
      </c>
      <c r="AH1" s="42" t="s">
        <v>41</v>
      </c>
      <c r="AI1" s="42" t="s">
        <v>42</v>
      </c>
      <c r="AJ1" s="42" t="s">
        <v>43</v>
      </c>
      <c r="AK1" s="45" t="s">
        <v>44</v>
      </c>
      <c r="AL1" s="45" t="s">
        <v>45</v>
      </c>
      <c r="AM1" s="42" t="s">
        <v>46</v>
      </c>
      <c r="AN1" s="42" t="s">
        <v>47</v>
      </c>
      <c r="AO1" s="42" t="s">
        <v>48</v>
      </c>
      <c r="AP1" s="42" t="s">
        <v>49</v>
      </c>
      <c r="AQ1" s="42" t="s">
        <v>50</v>
      </c>
      <c r="AR1" s="42" t="s">
        <v>51</v>
      </c>
      <c r="AS1" s="42" t="s">
        <v>52</v>
      </c>
      <c r="AT1" s="42" t="s">
        <v>53</v>
      </c>
      <c r="AU1" s="45" t="s">
        <v>54</v>
      </c>
      <c r="AV1" s="42" t="s">
        <v>55</v>
      </c>
      <c r="AW1" s="42" t="s">
        <v>56</v>
      </c>
      <c r="AX1" s="42" t="s">
        <v>57</v>
      </c>
      <c r="AY1" s="42" t="s">
        <v>58</v>
      </c>
      <c r="AZ1" s="42" t="s">
        <v>59</v>
      </c>
      <c r="BA1" s="42" t="s">
        <v>60</v>
      </c>
      <c r="BB1" s="8"/>
    </row>
    <row r="2" spans="1:54">
      <c r="A2" s="3" t="s">
        <v>11</v>
      </c>
      <c r="B2" s="2">
        <v>1</v>
      </c>
      <c r="C2" s="2">
        <v>1</v>
      </c>
      <c r="D2" s="2">
        <v>2019</v>
      </c>
      <c r="E2" s="41">
        <f>Elect!AW4</f>
        <v>0</v>
      </c>
      <c r="F2" s="41">
        <f>Elect!I4</f>
        <v>55360</v>
      </c>
      <c r="G2" s="41">
        <f>Elect!H4</f>
        <v>2.2189999999999999</v>
      </c>
      <c r="H2" s="41">
        <f>Elect!E4</f>
        <v>54240</v>
      </c>
      <c r="I2" s="41">
        <f>Elect!D4</f>
        <v>2.1150000000000002</v>
      </c>
      <c r="J2" s="41">
        <f>Elect!Y4</f>
        <v>57300</v>
      </c>
      <c r="K2" s="41">
        <f>Elect!X4</f>
        <v>1.0529999999999999</v>
      </c>
      <c r="L2" s="41">
        <f>Elect!AS4</f>
        <v>2200</v>
      </c>
      <c r="M2" s="41">
        <f>Elect!AR4</f>
        <v>0.379</v>
      </c>
      <c r="N2" s="41">
        <f>Elect!AC4</f>
        <v>53400</v>
      </c>
      <c r="O2" s="41">
        <f>Elect!AB4</f>
        <v>0.54</v>
      </c>
      <c r="P2" s="41">
        <f>Elect!Q4</f>
        <v>14800</v>
      </c>
      <c r="Q2" s="41">
        <f>Elect!P4</f>
        <v>2.62</v>
      </c>
      <c r="R2" s="41">
        <f>Elect!M4</f>
        <v>14400</v>
      </c>
      <c r="S2" s="41">
        <f>Elect!L4</f>
        <v>2.21</v>
      </c>
      <c r="T2" s="41">
        <f>Elect!U4</f>
        <v>16000</v>
      </c>
      <c r="U2" s="41">
        <f>Elect!T4</f>
        <v>2.4700000000000002</v>
      </c>
      <c r="V2" s="41">
        <f>Elect!AG4</f>
        <v>7680</v>
      </c>
      <c r="W2" s="41">
        <f>Elect!AF4</f>
        <v>3.08</v>
      </c>
      <c r="X2" s="41">
        <f>Elect!AK4</f>
        <v>4640</v>
      </c>
      <c r="Y2" s="41">
        <f>Elect!AJ4</f>
        <v>1.89</v>
      </c>
      <c r="Z2" s="41">
        <f>Elect!AO4</f>
        <v>64800</v>
      </c>
      <c r="AA2" s="41">
        <f>Elect!AN4</f>
        <v>2.1150000000000002</v>
      </c>
      <c r="AB2" s="41">
        <f>Elect!BJ4</f>
        <v>1700</v>
      </c>
      <c r="AC2" s="41">
        <f>Elect!BG4</f>
        <v>15200</v>
      </c>
      <c r="AD2" s="41">
        <f>Elect!BM4</f>
        <v>895</v>
      </c>
      <c r="AE2" s="41">
        <f>Elect!BP4</f>
        <v>600</v>
      </c>
      <c r="AF2" s="43">
        <f>'Wtr-Gas'!E4</f>
        <v>0</v>
      </c>
      <c r="AG2" s="43">
        <f>'Wtr-Gas'!H4</f>
        <v>0</v>
      </c>
      <c r="AH2" s="43">
        <f>'Wtr-Gas'!K4</f>
        <v>0</v>
      </c>
      <c r="AI2" s="43">
        <f>'Wtr-Gas'!N4</f>
        <v>0</v>
      </c>
      <c r="AJ2" s="43">
        <f>'Wtr-Gas'!Q4</f>
        <v>0</v>
      </c>
      <c r="AK2" s="46">
        <f>'Wtr-Gas'!U4</f>
        <v>0</v>
      </c>
      <c r="AL2" s="46">
        <f>'Wtr-Gas'!X4</f>
        <v>0</v>
      </c>
      <c r="AM2" s="43">
        <f>'Wtr-Gas'!AB4</f>
        <v>0</v>
      </c>
      <c r="AN2" s="43">
        <f>'Wtr-Gas'!AD4</f>
        <v>0</v>
      </c>
      <c r="AO2" s="43">
        <f>'Wtr-Gas'!AF4</f>
        <v>0</v>
      </c>
      <c r="AP2" s="43">
        <f>'Wtr-Gas'!AH4</f>
        <v>0</v>
      </c>
      <c r="AQ2" s="43">
        <f>'Wtr-Gas'!AJ4</f>
        <v>0</v>
      </c>
      <c r="AR2" s="43">
        <f>'Wtr-Gas'!AL4</f>
        <v>0</v>
      </c>
      <c r="AS2" s="43">
        <f>'Wtr-Gas'!AN4</f>
        <v>0</v>
      </c>
      <c r="AT2" s="43">
        <f>'Wtr-Gas'!AP4</f>
        <v>0</v>
      </c>
      <c r="AU2" s="46">
        <f>'Wtr-Gas'!AT4</f>
        <v>0</v>
      </c>
      <c r="AV2" s="43">
        <f>'Wtr-Gas'!AW4</f>
        <v>0</v>
      </c>
      <c r="AW2" s="44">
        <f>'Wtr-Gas'!AY4</f>
        <v>0</v>
      </c>
      <c r="AX2" s="43">
        <f>'Wtr-Gas'!AZ4</f>
        <v>0</v>
      </c>
      <c r="AY2" s="43">
        <f>'Wtr-Gas'!BB4</f>
        <v>0</v>
      </c>
      <c r="AZ2" s="43">
        <f>'Wtr-Gas'!BD4</f>
        <v>0</v>
      </c>
      <c r="BA2" s="43">
        <f>'Wtr-Gas'!BF4</f>
        <v>0</v>
      </c>
    </row>
    <row r="3" spans="1:54">
      <c r="A3" s="3" t="s">
        <v>11</v>
      </c>
      <c r="B3" s="2">
        <v>13</v>
      </c>
      <c r="C3" s="2">
        <v>1</v>
      </c>
      <c r="D3" s="2">
        <v>2019</v>
      </c>
      <c r="E3" s="41">
        <f>Elect!AW5</f>
        <v>0</v>
      </c>
      <c r="F3" s="41">
        <f>Elect!I5</f>
        <v>141280</v>
      </c>
      <c r="G3" s="41">
        <f>Elect!H5</f>
        <v>2.4329999999999998</v>
      </c>
      <c r="H3" s="41">
        <f>Elect!E5</f>
        <v>137600</v>
      </c>
      <c r="I3" s="41">
        <f>Elect!D5</f>
        <v>2.1150000000000002</v>
      </c>
      <c r="J3" s="41">
        <f>Elect!Y5</f>
        <v>115200</v>
      </c>
      <c r="K3" s="41">
        <f>Elect!X5</f>
        <v>1.7330000000000001</v>
      </c>
      <c r="L3" s="41">
        <f>Elect!AS5</f>
        <v>5760</v>
      </c>
      <c r="M3" s="41">
        <f>Elect!AR5</f>
        <v>0.40100000000000002</v>
      </c>
      <c r="N3" s="41">
        <f>Elect!AC5</f>
        <v>145200</v>
      </c>
      <c r="O3" s="41">
        <f>Elect!AB5</f>
        <v>1.6220000000000001</v>
      </c>
      <c r="P3" s="41">
        <f>Elect!Q5</f>
        <v>37200</v>
      </c>
      <c r="Q3" s="41">
        <f>Elect!P5</f>
        <v>2.72</v>
      </c>
      <c r="R3" s="41">
        <f>Elect!M5</f>
        <v>37600</v>
      </c>
      <c r="S3" s="41">
        <f>Elect!L5</f>
        <v>2.65</v>
      </c>
      <c r="T3" s="41">
        <f>Elect!U5</f>
        <v>39600</v>
      </c>
      <c r="U3" s="41">
        <f>Elect!T5</f>
        <v>2.73</v>
      </c>
      <c r="V3" s="41">
        <f>Elect!AG5</f>
        <v>22400</v>
      </c>
      <c r="W3" s="41">
        <f>Elect!AF5</f>
        <v>5.48</v>
      </c>
      <c r="X3" s="41">
        <f>Elect!AK5</f>
        <v>2080</v>
      </c>
      <c r="Y3" s="41">
        <f>Elect!AJ5</f>
        <v>3.22</v>
      </c>
      <c r="Z3" s="41">
        <f>Elect!AO5</f>
        <v>169400</v>
      </c>
      <c r="AA3" s="41">
        <f>Elect!AN5</f>
        <v>2.2890000000000001</v>
      </c>
      <c r="AB3" s="41">
        <f>Elect!BJ5</f>
        <v>2100</v>
      </c>
      <c r="AC3" s="41">
        <f>Elect!BG5</f>
        <v>16600</v>
      </c>
      <c r="AD3" s="41">
        <f>Elect!BM5</f>
        <v>1010</v>
      </c>
      <c r="AE3" s="41">
        <f>Elect!BP5</f>
        <v>2000</v>
      </c>
      <c r="AF3" s="43">
        <f>('Wtr-Gas'!E5)*0.0038</f>
        <v>14504.144</v>
      </c>
      <c r="AG3" s="43">
        <f>('Wtr-Gas'!H5)*0.0038</f>
        <v>420.66</v>
      </c>
      <c r="AH3" s="43">
        <f>'Wtr-Gas'!K5*0.0038</f>
        <v>17.48</v>
      </c>
      <c r="AI3" s="43">
        <f>'Wtr-Gas'!N5*0.0038</f>
        <v>10624.8</v>
      </c>
      <c r="AJ3" s="43">
        <f>'Wtr-Gas'!Q5*0.0038</f>
        <v>0</v>
      </c>
      <c r="AK3" s="46">
        <f>'Wtr-Gas'!U5*0.0038</f>
        <v>1677.7</v>
      </c>
      <c r="AL3" s="46">
        <f>'Wtr-Gas'!X5*0.0038</f>
        <v>17283.54</v>
      </c>
      <c r="AM3" s="43">
        <f>'Wtr-Gas'!AB5*0.0038</f>
        <v>5285.8</v>
      </c>
      <c r="AN3" s="43">
        <f>'Wtr-Gas'!AD5*0.0038</f>
        <v>41022.178</v>
      </c>
      <c r="AO3" s="43">
        <f>'Wtr-Gas'!AF5*0.0038</f>
        <v>6140.8</v>
      </c>
      <c r="AP3" s="43">
        <f>'Wtr-Gas'!AH5*0.0038</f>
        <v>122010.4</v>
      </c>
      <c r="AQ3" s="43">
        <f>'Wtr-Gas'!AJ5*0.0038</f>
        <v>112.10760000000001</v>
      </c>
      <c r="AR3" s="43">
        <f>'Wtr-Gas'!AL5*0.0038</f>
        <v>1326.2</v>
      </c>
      <c r="AS3" s="43">
        <f>'Wtr-Gas'!AN5*0.0038</f>
        <v>1.444</v>
      </c>
      <c r="AT3" s="43">
        <f>'Wtr-Gas'!AP5*0.0038</f>
        <v>3.99</v>
      </c>
      <c r="AU3" s="46">
        <f>'Wtr-Gas'!AT5*0.0038</f>
        <v>0.61180000000000001</v>
      </c>
      <c r="AV3" s="43">
        <f>'Wtr-Gas'!AW5*0.0038</f>
        <v>280.7364</v>
      </c>
      <c r="AW3" s="44">
        <f>'Wtr-Gas'!AY5*0.0038</f>
        <v>7.03</v>
      </c>
      <c r="AX3" s="43">
        <f>'Wtr-Gas'!AZ5*0.0038</f>
        <v>273.70639999999997</v>
      </c>
      <c r="AY3" s="43">
        <f>'Wtr-Gas'!BB5*0.0038</f>
        <v>36.479999999999997</v>
      </c>
      <c r="AZ3" s="43">
        <f>'Wtr-Gas'!BD5*0.0038</f>
        <v>2.66</v>
      </c>
      <c r="BA3" s="43">
        <f>'Wtr-Gas'!BF5*0.0038</f>
        <v>271.91660000000002</v>
      </c>
    </row>
    <row r="4" spans="1:54">
      <c r="A4" s="3" t="s">
        <v>11</v>
      </c>
      <c r="B4" s="2">
        <v>21</v>
      </c>
      <c r="C4" s="2">
        <v>1</v>
      </c>
      <c r="D4" s="2">
        <v>2019</v>
      </c>
      <c r="E4" s="41">
        <f>Elect!AW6</f>
        <v>0</v>
      </c>
      <c r="F4" s="41">
        <f>Elect!I6</f>
        <v>46880</v>
      </c>
      <c r="G4" s="41">
        <f>Elect!H6</f>
        <v>2.4329999999999998</v>
      </c>
      <c r="H4" s="41">
        <f>Elect!E6</f>
        <v>46400</v>
      </c>
      <c r="I4" s="41">
        <f>Elect!D6</f>
        <v>2.1800000000000002</v>
      </c>
      <c r="J4" s="41">
        <f>Elect!Y6</f>
        <v>23700</v>
      </c>
      <c r="K4" s="41">
        <f>Elect!X6</f>
        <v>1.7370000000000001</v>
      </c>
      <c r="L4" s="41">
        <f>Elect!AS6</f>
        <v>1880</v>
      </c>
      <c r="M4" s="41">
        <f>Elect!AR6</f>
        <v>0.40100000000000002</v>
      </c>
      <c r="N4" s="41">
        <f>Elect!AC6</f>
        <v>45600</v>
      </c>
      <c r="O4" s="41">
        <f>Elect!AB6</f>
        <v>1.6220000000000001</v>
      </c>
      <c r="P4" s="41">
        <f>Elect!Q6</f>
        <v>12800</v>
      </c>
      <c r="Q4" s="41">
        <f>Elect!P6</f>
        <v>2.83</v>
      </c>
      <c r="R4" s="41">
        <f>Elect!M6</f>
        <v>12800</v>
      </c>
      <c r="S4" s="41">
        <f>Elect!L6</f>
        <v>2.97</v>
      </c>
      <c r="T4" s="41">
        <f>Elect!U6</f>
        <v>13600</v>
      </c>
      <c r="U4" s="41">
        <f>Elect!T6</f>
        <v>2.8</v>
      </c>
      <c r="V4" s="41">
        <f>Elect!AG6</f>
        <v>7200</v>
      </c>
      <c r="W4" s="41">
        <f>Elect!AF6</f>
        <v>5.48</v>
      </c>
      <c r="X4" s="41">
        <f>Elect!AK6</f>
        <v>15840</v>
      </c>
      <c r="Y4" s="41">
        <f>Elect!AJ6</f>
        <v>3.22</v>
      </c>
      <c r="Z4" s="41">
        <f>Elect!AO6</f>
        <v>54600</v>
      </c>
      <c r="AA4" s="41">
        <f>Elect!AN6</f>
        <v>2.2869999999999999</v>
      </c>
      <c r="AB4" s="41">
        <f>Elect!BJ6</f>
        <v>1800</v>
      </c>
      <c r="AC4" s="41">
        <f>Elect!BG6</f>
        <v>12900</v>
      </c>
      <c r="AD4" s="41">
        <f>Elect!BM6</f>
        <v>772</v>
      </c>
      <c r="AE4" s="41">
        <f>Elect!BP6</f>
        <v>720</v>
      </c>
      <c r="AF4" s="43">
        <f>('Wtr-Gas'!E6)*0.0038</f>
        <v>4476.0959999999995</v>
      </c>
      <c r="AG4" s="43">
        <f>('Wtr-Gas'!H6)*0.0038</f>
        <v>459.19200000000001</v>
      </c>
      <c r="AH4" s="43">
        <f>'Wtr-Gas'!K6*0.0038</f>
        <v>6.46</v>
      </c>
      <c r="AI4" s="43">
        <f>'Wtr-Gas'!N6*0.0038</f>
        <v>3260.4</v>
      </c>
      <c r="AJ4" s="43">
        <f>'Wtr-Gas'!Q6*0.0038</f>
        <v>0</v>
      </c>
      <c r="AK4" s="46">
        <f>'Wtr-Gas'!U6*0.0038</f>
        <v>484.5</v>
      </c>
      <c r="AL4" s="46">
        <f>'Wtr-Gas'!X6*0.0038</f>
        <v>7739.46</v>
      </c>
      <c r="AM4" s="43">
        <f>'Wtr-Gas'!AB6*0.0038</f>
        <v>836</v>
      </c>
      <c r="AN4" s="43">
        <f>'Wtr-Gas'!AD6*0.0038</f>
        <v>9177.9385999999995</v>
      </c>
      <c r="AO4" s="43">
        <f>'Wtr-Gas'!AF6*0.0038</f>
        <v>1554.2</v>
      </c>
      <c r="AP4" s="43">
        <f>'Wtr-Gas'!AH6*0.0038</f>
        <v>20349</v>
      </c>
      <c r="AQ4" s="43">
        <f>'Wtr-Gas'!AJ6*0.0038</f>
        <v>55.042999999999999</v>
      </c>
      <c r="AR4" s="43">
        <f>'Wtr-Gas'!AL6*0.0038</f>
        <v>623.20000000000005</v>
      </c>
      <c r="AS4" s="43">
        <f>'Wtr-Gas'!AN6*0.0038</f>
        <v>7.5999999999999998E-2</v>
      </c>
      <c r="AT4" s="43">
        <f>'Wtr-Gas'!AP6*0.0038</f>
        <v>1.6719999999999999</v>
      </c>
      <c r="AU4" s="46">
        <f>'Wtr-Gas'!AT6*0.0038</f>
        <v>0.45600000000000002</v>
      </c>
      <c r="AV4" s="43">
        <f>'Wtr-Gas'!AW6*0.0038</f>
        <v>239.64320000000001</v>
      </c>
      <c r="AW4" s="44">
        <f>'Wtr-Gas'!AY6*0.0038</f>
        <v>4.484</v>
      </c>
      <c r="AX4" s="43">
        <f>'Wtr-Gas'!AZ6*0.0038</f>
        <v>235.1592</v>
      </c>
      <c r="AY4" s="43">
        <f>'Wtr-Gas'!BB6*0.0038</f>
        <v>24.32</v>
      </c>
      <c r="AZ4" s="43">
        <f>'Wtr-Gas'!BD6*0.0038</f>
        <v>3.8</v>
      </c>
      <c r="BA4" s="43">
        <f>'Wtr-Gas'!BF6*0.0038</f>
        <v>269.62520000000001</v>
      </c>
    </row>
    <row r="5" spans="1:54">
      <c r="A5" s="3" t="s">
        <v>11</v>
      </c>
      <c r="B5" s="2">
        <v>28</v>
      </c>
      <c r="C5" s="2">
        <v>1</v>
      </c>
      <c r="D5" s="2">
        <v>2019</v>
      </c>
      <c r="E5" s="41">
        <f>Elect!AW7</f>
        <v>2409</v>
      </c>
      <c r="F5" s="41">
        <f>Elect!I7</f>
        <v>47360</v>
      </c>
      <c r="G5" s="41">
        <f>Elect!H7</f>
        <v>2.125</v>
      </c>
      <c r="H5" s="41">
        <f>Elect!E7</f>
        <v>46560</v>
      </c>
      <c r="I5" s="41">
        <f>Elect!D7</f>
        <v>2.1779999999999999</v>
      </c>
      <c r="J5" s="41">
        <f>Elect!Y7</f>
        <v>42600</v>
      </c>
      <c r="K5" s="41">
        <f>Elect!X7</f>
        <v>1.8080000000000001</v>
      </c>
      <c r="L5" s="41">
        <f>Elect!AS7</f>
        <v>1920</v>
      </c>
      <c r="M5" s="41">
        <f>Elect!AR7</f>
        <v>0.38100000000000001</v>
      </c>
      <c r="N5" s="41">
        <f>Elect!AC7</f>
        <v>35400</v>
      </c>
      <c r="O5" s="41">
        <f>Elect!AB7</f>
        <v>1.518</v>
      </c>
      <c r="P5" s="41">
        <f>Elect!Q7</f>
        <v>13600</v>
      </c>
      <c r="Q5" s="41">
        <f>Elect!P7</f>
        <v>2.74</v>
      </c>
      <c r="R5" s="41">
        <f>Elect!M7</f>
        <v>13600</v>
      </c>
      <c r="S5" s="41">
        <f>Elect!L7</f>
        <v>2.66</v>
      </c>
      <c r="T5" s="41">
        <f>Elect!U7</f>
        <v>13600</v>
      </c>
      <c r="U5" s="41">
        <f>Elect!T7</f>
        <v>2.72</v>
      </c>
      <c r="V5" s="41">
        <f>Elect!AG7</f>
        <v>7200</v>
      </c>
      <c r="W5" s="41">
        <f>Elect!AF7</f>
        <v>3.73</v>
      </c>
      <c r="X5" s="41">
        <f>Elect!AK7</f>
        <v>4960</v>
      </c>
      <c r="Y5" s="41">
        <f>Elect!AJ7</f>
        <v>3.24</v>
      </c>
      <c r="Z5" s="41">
        <f>Elect!AO7</f>
        <v>51400</v>
      </c>
      <c r="AA5" s="41">
        <f>Elect!AN7</f>
        <v>2.048</v>
      </c>
      <c r="AB5" s="41">
        <f>Elect!BJ7</f>
        <v>1600</v>
      </c>
      <c r="AC5" s="41">
        <f>Elect!BG7</f>
        <v>12600</v>
      </c>
      <c r="AD5" s="41">
        <f>Elect!BM7</f>
        <v>883</v>
      </c>
      <c r="AE5" s="41">
        <f>Elect!BP7</f>
        <v>1520</v>
      </c>
      <c r="AF5" s="43">
        <f>('Wtr-Gas'!E7)*0.0038</f>
        <v>4093.55</v>
      </c>
      <c r="AG5" s="43">
        <f>('Wtr-Gas'!H7)*0.0038</f>
        <v>542.03200000000004</v>
      </c>
      <c r="AH5" s="43">
        <f>'Wtr-Gas'!K7*0.0038</f>
        <v>7.6</v>
      </c>
      <c r="AI5" s="43">
        <f>'Wtr-Gas'!N7*0.0038</f>
        <v>3097</v>
      </c>
      <c r="AJ5" s="43">
        <f>'Wtr-Gas'!Q7*0.0038</f>
        <v>0</v>
      </c>
      <c r="AK5" s="46">
        <f>'Wtr-Gas'!U7*0.0038</f>
        <v>785.46</v>
      </c>
      <c r="AL5" s="46">
        <f>'Wtr-Gas'!X7*0.0038</f>
        <v>8641.9599999999991</v>
      </c>
      <c r="AM5" s="43">
        <f>'Wtr-Gas'!AB7*0.0038</f>
        <v>820.8</v>
      </c>
      <c r="AN5" s="43">
        <f>'Wtr-Gas'!AD7*0.0038</f>
        <v>10308.526</v>
      </c>
      <c r="AO5" s="43">
        <f>'Wtr-Gas'!AF7*0.0038</f>
        <v>1246.4000000000001</v>
      </c>
      <c r="AP5" s="43">
        <f>'Wtr-Gas'!AH7*0.0038</f>
        <v>15010</v>
      </c>
      <c r="AQ5" s="43">
        <f>'Wtr-Gas'!AJ7*0.0038</f>
        <v>37.186799999999998</v>
      </c>
      <c r="AR5" s="43">
        <f>'Wtr-Gas'!AL7*0.0038</f>
        <v>471.2</v>
      </c>
      <c r="AS5" s="43">
        <f>'Wtr-Gas'!AN7*0.0038</f>
        <v>0.152</v>
      </c>
      <c r="AT5" s="43">
        <f>'Wtr-Gas'!AP7*0.0038</f>
        <v>1.748</v>
      </c>
      <c r="AU5" s="46">
        <f>'Wtr-Gas'!AT7*0.0038</f>
        <v>0.4864</v>
      </c>
      <c r="AV5" s="43">
        <f>'Wtr-Gas'!AW7*0.0038</f>
        <v>232.58279999999999</v>
      </c>
      <c r="AW5" s="44">
        <f>'Wtr-Gas'!AY7*0.0038</f>
        <v>6.3079999999999998</v>
      </c>
      <c r="AX5" s="43">
        <f>'Wtr-Gas'!AZ7*0.0038</f>
        <v>226.2748</v>
      </c>
      <c r="AY5" s="43">
        <f>'Wtr-Gas'!BB7*0.0038</f>
        <v>11.02</v>
      </c>
      <c r="AZ5" s="43">
        <f>'Wtr-Gas'!BD7*0.0038</f>
        <v>1.1399999999999999</v>
      </c>
      <c r="BA5" s="43">
        <f>'Wtr-Gas'!BF7*0.0038</f>
        <v>371.90219999999999</v>
      </c>
    </row>
    <row r="6" spans="1:54">
      <c r="A6" s="3" t="s">
        <v>11</v>
      </c>
      <c r="B6" s="2">
        <v>31</v>
      </c>
      <c r="C6" s="2">
        <v>1</v>
      </c>
      <c r="D6" s="2">
        <v>2019</v>
      </c>
      <c r="E6" s="41">
        <f>Elect!AW8</f>
        <v>362</v>
      </c>
      <c r="F6" s="41">
        <f>Elect!I8</f>
        <v>26400</v>
      </c>
      <c r="G6" s="41">
        <f>Elect!H8</f>
        <v>2.2160000000000002</v>
      </c>
      <c r="H6" s="41">
        <f>Elect!E8</f>
        <v>27680</v>
      </c>
      <c r="I6" s="41">
        <f>Elect!D8</f>
        <v>2.1949999999999998</v>
      </c>
      <c r="J6" s="41">
        <f>Elect!Y8</f>
        <v>28500</v>
      </c>
      <c r="K6" s="41">
        <f>Elect!X8</f>
        <v>1.806</v>
      </c>
      <c r="L6" s="41">
        <f>Elect!AS8</f>
        <v>1200</v>
      </c>
      <c r="M6" s="41">
        <f>Elect!AR8</f>
        <v>0.41199999999999998</v>
      </c>
      <c r="N6" s="41">
        <f>Elect!AC8</f>
        <v>14700</v>
      </c>
      <c r="O6" s="41">
        <f>Elect!AB8</f>
        <v>1.518</v>
      </c>
      <c r="P6" s="41">
        <f>Elect!Q8</f>
        <v>8000</v>
      </c>
      <c r="Q6" s="41">
        <f>Elect!P8</f>
        <v>1.74</v>
      </c>
      <c r="R6" s="41">
        <f>Elect!M8</f>
        <v>8000</v>
      </c>
      <c r="S6" s="41">
        <f>Elect!L8</f>
        <v>2.7</v>
      </c>
      <c r="T6" s="41">
        <f>Elect!U8</f>
        <v>8400</v>
      </c>
      <c r="U6" s="41">
        <f>Elect!T8</f>
        <v>2.88</v>
      </c>
      <c r="V6" s="41">
        <f>Elect!AG8</f>
        <v>4480</v>
      </c>
      <c r="W6" s="41">
        <f>Elect!AF8</f>
        <v>3.91</v>
      </c>
      <c r="X6" s="41">
        <f>Elect!AK8</f>
        <v>3200</v>
      </c>
      <c r="Y6" s="41">
        <f>Elect!AJ8</f>
        <v>3.52</v>
      </c>
      <c r="Z6" s="41">
        <f>Elect!AO8</f>
        <v>32800</v>
      </c>
      <c r="AA6" s="41">
        <f>Elect!AN8</f>
        <v>2.081</v>
      </c>
      <c r="AB6" s="41">
        <f>Elect!BJ8</f>
        <v>1000</v>
      </c>
      <c r="AC6" s="41">
        <f>Elect!BG8</f>
        <v>6700</v>
      </c>
      <c r="AD6" s="41">
        <f>Elect!BM8</f>
        <v>504</v>
      </c>
      <c r="AE6" s="41">
        <f>Elect!BP8</f>
        <v>200</v>
      </c>
      <c r="AF6" s="43">
        <f>('Wtr-Gas'!E8)*0.0038</f>
        <v>2247.89</v>
      </c>
      <c r="AG6" s="43">
        <f>('Wtr-Gas'!H8)*0.0038</f>
        <v>404.85199999999998</v>
      </c>
      <c r="AH6" s="43">
        <f>'Wtr-Gas'!K8*0.0038</f>
        <v>6.46</v>
      </c>
      <c r="AI6" s="43">
        <f>'Wtr-Gas'!N8*0.0038</f>
        <v>1744.2</v>
      </c>
      <c r="AJ6" s="43">
        <f>'Wtr-Gas'!Q8*0.0038</f>
        <v>0</v>
      </c>
      <c r="AK6" s="46">
        <f>'Wtr-Gas'!U8*0.0038</f>
        <v>734.54</v>
      </c>
      <c r="AL6" s="46">
        <f>'Wtr-Gas'!X8*0.0038</f>
        <v>5569.28</v>
      </c>
      <c r="AM6" s="43">
        <f>'Wtr-Gas'!AB8*0.0038</f>
        <v>315.39999999999998</v>
      </c>
      <c r="AN6" s="43">
        <f>'Wtr-Gas'!AD8*0.0038</f>
        <v>4134.4646000000002</v>
      </c>
      <c r="AO6" s="43">
        <f>'Wtr-Gas'!AF8*0.0038</f>
        <v>380</v>
      </c>
      <c r="AP6" s="43">
        <f>'Wtr-Gas'!AH8*0.0038</f>
        <v>11685</v>
      </c>
      <c r="AQ6" s="43">
        <f>'Wtr-Gas'!AJ8*0.0038</f>
        <v>21.8918</v>
      </c>
      <c r="AR6" s="43">
        <f>'Wtr-Gas'!AL8*0.0038</f>
        <v>178.6</v>
      </c>
      <c r="AS6" s="43">
        <f>'Wtr-Gas'!AN8*0.0038</f>
        <v>7.5999999999999998E-2</v>
      </c>
      <c r="AT6" s="43">
        <f>'Wtr-Gas'!AP8*0.0038</f>
        <v>0.64600000000000002</v>
      </c>
      <c r="AU6" s="46">
        <f>'Wtr-Gas'!AT8*0.0038</f>
        <v>0.3458</v>
      </c>
      <c r="AV6" s="43">
        <f>'Wtr-Gas'!AW8*0.0038</f>
        <v>133.66499999999999</v>
      </c>
      <c r="AW6" s="44">
        <f>'Wtr-Gas'!AY8*0.0038</f>
        <v>2.698</v>
      </c>
      <c r="AX6" s="43">
        <f>'Wtr-Gas'!AZ8*0.0038</f>
        <v>130.96700000000001</v>
      </c>
      <c r="AY6" s="43">
        <f>'Wtr-Gas'!BB8*0.0038</f>
        <v>19</v>
      </c>
      <c r="AZ6" s="43">
        <f>'Wtr-Gas'!BD8*0.0038</f>
        <v>0.76</v>
      </c>
      <c r="BA6" s="43">
        <f>'Wtr-Gas'!BF8*0.0038</f>
        <v>15.8992</v>
      </c>
    </row>
    <row r="7" spans="1:54">
      <c r="A7" s="3" t="s">
        <v>11</v>
      </c>
      <c r="B7" s="2">
        <v>3</v>
      </c>
      <c r="C7" s="2">
        <v>2</v>
      </c>
      <c r="D7" s="2">
        <v>2019</v>
      </c>
      <c r="E7" s="41">
        <f>Elect!AW9</f>
        <v>240</v>
      </c>
      <c r="F7" s="41">
        <f>Elect!I9</f>
        <v>18560</v>
      </c>
      <c r="G7" s="41">
        <f>Elect!H9</f>
        <v>2.3220000000000001</v>
      </c>
      <c r="H7" s="41">
        <f>Elect!E9</f>
        <v>18400</v>
      </c>
      <c r="I7" s="41">
        <f>Elect!D9</f>
        <v>2.1949999999999998</v>
      </c>
      <c r="J7" s="41">
        <f>Elect!Y9</f>
        <v>52500</v>
      </c>
      <c r="K7" s="41">
        <f>Elect!X9</f>
        <v>0.18029999999999999</v>
      </c>
      <c r="L7" s="41">
        <f>Elect!AS9</f>
        <v>720</v>
      </c>
      <c r="M7" s="41">
        <f>Elect!AR9</f>
        <v>0.41499999999999998</v>
      </c>
      <c r="N7" s="41">
        <f>Elect!AC9</f>
        <v>22200</v>
      </c>
      <c r="O7" s="41">
        <f>Elect!AB9</f>
        <v>0.15179999999999999</v>
      </c>
      <c r="P7" s="41">
        <f>Elect!Q9</f>
        <v>5200</v>
      </c>
      <c r="Q7" s="41">
        <f>Elect!P9</f>
        <v>0.27400000000000002</v>
      </c>
      <c r="R7" s="41">
        <f>Elect!M9</f>
        <v>4400</v>
      </c>
      <c r="S7" s="41">
        <f>Elect!L9</f>
        <v>0.27</v>
      </c>
      <c r="T7" s="41">
        <f>Elect!U9</f>
        <v>5200</v>
      </c>
      <c r="U7" s="41">
        <f>Elect!T9</f>
        <v>0.28799999999999998</v>
      </c>
      <c r="V7" s="41">
        <f>Elect!AG9</f>
        <v>2720</v>
      </c>
      <c r="W7" s="41">
        <f>Elect!AF9</f>
        <v>0.4</v>
      </c>
      <c r="X7" s="41">
        <f>Elect!AK9</f>
        <v>1760</v>
      </c>
      <c r="Y7" s="41">
        <f>Elect!AJ9</f>
        <v>0.35699999999999998</v>
      </c>
      <c r="Z7" s="41">
        <f>Elect!AO9</f>
        <v>23400</v>
      </c>
      <c r="AA7" s="41">
        <f>Elect!AN9</f>
        <v>2.2029999999999998</v>
      </c>
      <c r="AB7" s="41">
        <f>Elect!BJ9</f>
        <v>700</v>
      </c>
      <c r="AC7" s="41">
        <f>Elect!BG9</f>
        <v>6600</v>
      </c>
      <c r="AD7" s="41">
        <f>Elect!BM9</f>
        <v>386</v>
      </c>
      <c r="AE7" s="41">
        <f>Elect!BP9</f>
        <v>480</v>
      </c>
      <c r="AF7" s="43">
        <f>('Wtr-Gas'!E9)*0.0038</f>
        <v>1728.316</v>
      </c>
      <c r="AG7" s="43">
        <f>('Wtr-Gas'!H9)*0.0038</f>
        <v>176.01599999999999</v>
      </c>
      <c r="AH7" s="43">
        <f>'Wtr-Gas'!K9*0.0038</f>
        <v>4.18</v>
      </c>
      <c r="AI7" s="43">
        <f>'Wtr-Gas'!N9*0.0038</f>
        <v>1337.6</v>
      </c>
      <c r="AJ7" s="43">
        <f>'Wtr-Gas'!Q9*0.0038</f>
        <v>0</v>
      </c>
      <c r="AK7" s="46">
        <f>'Wtr-Gas'!U9*0.0038</f>
        <v>910.48</v>
      </c>
      <c r="AL7" s="46">
        <f>'Wtr-Gas'!X9*0.0038</f>
        <v>1971.06</v>
      </c>
      <c r="AM7" s="43">
        <f>'Wtr-Gas'!AB9*0.0038</f>
        <v>957.6</v>
      </c>
      <c r="AN7" s="43">
        <f>'Wtr-Gas'!AD9*0.0038</f>
        <v>0</v>
      </c>
      <c r="AO7" s="43">
        <f>'Wtr-Gas'!AF9*0.0038</f>
        <v>646</v>
      </c>
      <c r="AP7" s="43">
        <f>'Wtr-Gas'!AH9*0.0038</f>
        <v>6346</v>
      </c>
      <c r="AQ7" s="43">
        <f>'Wtr-Gas'!AJ9*0.0038</f>
        <v>15.5458</v>
      </c>
      <c r="AR7" s="43">
        <f>'Wtr-Gas'!AL9*0.0038</f>
        <v>121.6</v>
      </c>
      <c r="AS7" s="43">
        <f>'Wtr-Gas'!AN9*0.0038</f>
        <v>0</v>
      </c>
      <c r="AT7" s="43">
        <f>'Wtr-Gas'!AP9*0.0038</f>
        <v>0.72199999999999998</v>
      </c>
      <c r="AU7" s="46">
        <f>'Wtr-Gas'!AT9*0.0038</f>
        <v>0.26219999999999999</v>
      </c>
      <c r="AV7" s="43">
        <f>'Wtr-Gas'!AW9*0.0038</f>
        <v>102.3074</v>
      </c>
      <c r="AW7" s="44">
        <f>'Wtr-Gas'!AY9*0.0038</f>
        <v>1.5960000000000001</v>
      </c>
      <c r="AX7" s="43">
        <f>'Wtr-Gas'!AZ9*0.0038</f>
        <v>100.7114</v>
      </c>
      <c r="AY7" s="43">
        <f>'Wtr-Gas'!BB9*0.0038</f>
        <v>4.18</v>
      </c>
      <c r="AZ7" s="43">
        <f>'Wtr-Gas'!BD9*0.0038</f>
        <v>0.76</v>
      </c>
      <c r="BA7" s="43">
        <f>'Wtr-Gas'!BF9*0.0038</f>
        <v>11.692600000000001</v>
      </c>
    </row>
    <row r="8" spans="1:54">
      <c r="A8" s="3" t="s">
        <v>11</v>
      </c>
      <c r="B8" s="2">
        <v>10</v>
      </c>
      <c r="C8" s="2">
        <v>2</v>
      </c>
      <c r="D8" s="2">
        <v>2019</v>
      </c>
      <c r="E8" s="41">
        <f>Elect!AW10</f>
        <v>597</v>
      </c>
      <c r="F8" s="41">
        <f>Elect!I10</f>
        <v>44960</v>
      </c>
      <c r="G8" s="41">
        <f>Elect!H10</f>
        <v>2.3220000000000001</v>
      </c>
      <c r="H8" s="41">
        <f>Elect!E10</f>
        <v>45600</v>
      </c>
      <c r="I8" s="41">
        <f>Elect!D10</f>
        <v>2.1949999999999998</v>
      </c>
      <c r="J8" s="41">
        <f>Elect!Y10</f>
        <v>25500</v>
      </c>
      <c r="K8" s="41">
        <f>Elect!X10</f>
        <v>2</v>
      </c>
      <c r="L8" s="41">
        <f>Elect!AS10</f>
        <v>2320</v>
      </c>
      <c r="M8" s="41">
        <f>Elect!AR10</f>
        <v>0.41499999999999998</v>
      </c>
      <c r="N8" s="41">
        <f>Elect!AC10</f>
        <v>42000</v>
      </c>
      <c r="O8" s="41">
        <f>Elect!AB10</f>
        <v>1.9</v>
      </c>
      <c r="P8" s="41">
        <f>Elect!Q10</f>
        <v>12000</v>
      </c>
      <c r="Q8" s="41">
        <f>Elect!P10</f>
        <v>0.27400000000000002</v>
      </c>
      <c r="R8" s="41">
        <f>Elect!M10</f>
        <v>12000</v>
      </c>
      <c r="S8" s="41">
        <f>Elect!L10</f>
        <v>2.82</v>
      </c>
      <c r="T8" s="41">
        <f>Elect!U10</f>
        <v>12800</v>
      </c>
      <c r="U8" s="41">
        <f>Elect!T10</f>
        <v>0.317</v>
      </c>
      <c r="V8" s="41">
        <f>Elect!AG10</f>
        <v>9440</v>
      </c>
      <c r="W8" s="41">
        <f>Elect!AF10</f>
        <v>5.7</v>
      </c>
      <c r="X8" s="41">
        <f>Elect!AK10</f>
        <v>4960</v>
      </c>
      <c r="Y8" s="41">
        <f>Elect!AJ10</f>
        <v>0.35699999999999998</v>
      </c>
      <c r="Z8" s="41">
        <f>Elect!AO10</f>
        <v>58600</v>
      </c>
      <c r="AA8" s="41">
        <f>Elect!AN10</f>
        <v>2.2029999999999998</v>
      </c>
      <c r="AB8" s="41">
        <f>Elect!BJ10</f>
        <v>1800</v>
      </c>
      <c r="AC8" s="41">
        <f>Elect!BG10</f>
        <v>14500</v>
      </c>
      <c r="AD8" s="41">
        <f>Elect!BM10</f>
        <v>888</v>
      </c>
      <c r="AE8" s="41">
        <f>Elect!BP10</f>
        <v>3120</v>
      </c>
      <c r="AF8" s="43">
        <f>('Wtr-Gas'!E10)*0.0038</f>
        <v>4069.4580000000001</v>
      </c>
      <c r="AG8" s="43">
        <f>('Wtr-Gas'!H10)*0.0038</f>
        <v>556.43399999999997</v>
      </c>
      <c r="AH8" s="43">
        <f>'Wtr-Gas'!K10*0.0038</f>
        <v>13.3</v>
      </c>
      <c r="AI8" s="43">
        <f>'Wtr-Gas'!N10*0.0038</f>
        <v>3135</v>
      </c>
      <c r="AJ8" s="43">
        <f>'Wtr-Gas'!Q10*0.0038</f>
        <v>0</v>
      </c>
      <c r="AK8" s="46">
        <f>'Wtr-Gas'!U10*0.0038</f>
        <v>907.44</v>
      </c>
      <c r="AL8" s="46">
        <f>'Wtr-Gas'!X10*0.0038</f>
        <v>5565.48</v>
      </c>
      <c r="AM8" s="43">
        <f>'Wtr-Gas'!AB10*0.0038</f>
        <v>1197</v>
      </c>
      <c r="AN8" s="43">
        <f>'Wtr-Gas'!AD10*0.0038</f>
        <v>22010.751400000001</v>
      </c>
      <c r="AO8" s="43">
        <f>'Wtr-Gas'!AF10*0.0038</f>
        <v>858.8</v>
      </c>
      <c r="AP8" s="43">
        <f>'Wtr-Gas'!AH10*0.0038</f>
        <v>17069.599999999999</v>
      </c>
      <c r="AQ8" s="43">
        <f>'Wtr-Gas'!AJ10*0.0038</f>
        <v>32.949800000000003</v>
      </c>
      <c r="AR8" s="43">
        <f>'Wtr-Gas'!AL10*0.0038</f>
        <v>315.39999999999998</v>
      </c>
      <c r="AS8" s="43">
        <f>'Wtr-Gas'!AN10*0.0038</f>
        <v>0.114</v>
      </c>
      <c r="AT8" s="43">
        <f>'Wtr-Gas'!AP10*0.0038</f>
        <v>1.3680000000000001</v>
      </c>
      <c r="AU8" s="46">
        <f>'Wtr-Gas'!AT10*0.0038</f>
        <v>0.56240000000000001</v>
      </c>
      <c r="AV8" s="43">
        <f>'Wtr-Gas'!AW10*0.0038</f>
        <v>233.548</v>
      </c>
      <c r="AW8" s="44">
        <f>'Wtr-Gas'!AY10*0.0038</f>
        <v>2.9260000000000002</v>
      </c>
      <c r="AX8" s="43">
        <f>'Wtr-Gas'!AZ10*0.0038</f>
        <v>230.62199999999999</v>
      </c>
      <c r="AY8" s="43">
        <f>'Wtr-Gas'!BB10*0.0038</f>
        <v>17.48</v>
      </c>
      <c r="AZ8" s="43">
        <f>'Wtr-Gas'!BD10*0.0038</f>
        <v>1.1399999999999999</v>
      </c>
      <c r="BA8" s="43">
        <f>'Wtr-Gas'!BF10*0.0038</f>
        <v>419.32619999999997</v>
      </c>
    </row>
    <row r="9" spans="1:54">
      <c r="A9" s="3" t="s">
        <v>11</v>
      </c>
      <c r="B9" s="2">
        <v>17</v>
      </c>
      <c r="C9" s="2">
        <v>2</v>
      </c>
      <c r="D9" s="2">
        <v>2019</v>
      </c>
      <c r="E9" s="41">
        <f>Elect!AW11</f>
        <v>595</v>
      </c>
      <c r="F9" s="41">
        <f>Elect!I11</f>
        <v>46720</v>
      </c>
      <c r="G9" s="41">
        <f>Elect!H11</f>
        <v>2.3220000000000001</v>
      </c>
      <c r="H9" s="41">
        <f>Elect!E11</f>
        <v>46240</v>
      </c>
      <c r="I9" s="41">
        <f>Elect!D11</f>
        <v>2.1949999999999998</v>
      </c>
      <c r="J9" s="41">
        <f>Elect!Y11</f>
        <v>59400</v>
      </c>
      <c r="K9" s="41">
        <f>Elect!X11</f>
        <v>2.0779999999999998</v>
      </c>
      <c r="L9" s="41">
        <f>Elect!AS11</f>
        <v>1560</v>
      </c>
      <c r="M9" s="41">
        <f>Elect!AR11</f>
        <v>0.41499999999999998</v>
      </c>
      <c r="N9" s="41">
        <f>Elect!AC11</f>
        <v>39600</v>
      </c>
      <c r="O9" s="41">
        <f>Elect!AB11</f>
        <v>1.9</v>
      </c>
      <c r="P9" s="41">
        <f>Elect!Q11</f>
        <v>12400</v>
      </c>
      <c r="Q9" s="41">
        <f>Elect!P11</f>
        <v>0.27400000000000002</v>
      </c>
      <c r="R9" s="41">
        <f>Elect!M11</f>
        <v>12400</v>
      </c>
      <c r="S9" s="41">
        <f>Elect!L11</f>
        <v>2.82</v>
      </c>
      <c r="T9" s="41">
        <f>Elect!U11</f>
        <v>8800</v>
      </c>
      <c r="U9" s="41">
        <f>Elect!T11</f>
        <v>0.317</v>
      </c>
      <c r="V9" s="41">
        <f>Elect!AG11</f>
        <v>7680</v>
      </c>
      <c r="W9" s="41">
        <f>Elect!AF11</f>
        <v>5.7</v>
      </c>
      <c r="X9" s="41">
        <f>Elect!AK11</f>
        <v>4960</v>
      </c>
      <c r="Y9" s="41">
        <f>Elect!AJ11</f>
        <v>0.35699999999999998</v>
      </c>
      <c r="Z9" s="41">
        <f>Elect!AO11</f>
        <v>59600</v>
      </c>
      <c r="AA9" s="41">
        <f>Elect!AN11</f>
        <v>2.355</v>
      </c>
      <c r="AB9" s="41">
        <f>Elect!BJ11</f>
        <v>1800</v>
      </c>
      <c r="AC9" s="41">
        <f>Elect!BG11</f>
        <v>15400</v>
      </c>
      <c r="AD9" s="41">
        <f>Elect!BM11</f>
        <v>889</v>
      </c>
      <c r="AE9" s="41">
        <f>Elect!BP11</f>
        <v>1280</v>
      </c>
      <c r="AF9" s="43">
        <f>('Wtr-Gas'!E11)*0.0038</f>
        <v>4311.0240000000003</v>
      </c>
      <c r="AG9" s="43">
        <f>('Wtr-Gas'!H11)*0.0038</f>
        <v>546.93399999999997</v>
      </c>
      <c r="AH9" s="43">
        <f>'Wtr-Gas'!K11*0.0038</f>
        <v>12.16</v>
      </c>
      <c r="AI9" s="43">
        <f>'Wtr-Gas'!N11*0.0038</f>
        <v>3382</v>
      </c>
      <c r="AJ9" s="43">
        <f>'Wtr-Gas'!Q11*0.0038</f>
        <v>0</v>
      </c>
      <c r="AK9" s="46">
        <f>'Wtr-Gas'!U11*0.0038</f>
        <v>888.06</v>
      </c>
      <c r="AL9" s="46">
        <f>'Wtr-Gas'!X11*0.0038</f>
        <v>5210.5600000000004</v>
      </c>
      <c r="AM9" s="43">
        <f>'Wtr-Gas'!AB11*0.0038</f>
        <v>950</v>
      </c>
      <c r="AN9" s="43">
        <f>'Wtr-Gas'!AD11*0.0038</f>
        <v>14041.5016</v>
      </c>
      <c r="AO9" s="43">
        <f>'Wtr-Gas'!AF11*0.0038</f>
        <v>714.4</v>
      </c>
      <c r="AP9" s="43">
        <f>'Wtr-Gas'!AH11*0.0038</f>
        <v>17385</v>
      </c>
      <c r="AQ9" s="43">
        <f>'Wtr-Gas'!AJ11*0.0038</f>
        <v>35.108199999999997</v>
      </c>
      <c r="AR9" s="43">
        <f>'Wtr-Gas'!AL11*0.0038</f>
        <v>285</v>
      </c>
      <c r="AS9" s="43">
        <f>'Wtr-Gas'!AN11*0.0038</f>
        <v>0</v>
      </c>
      <c r="AT9" s="43">
        <f>'Wtr-Gas'!AP11*0.0038</f>
        <v>1.5580000000000001</v>
      </c>
      <c r="AU9" s="46">
        <f>'Wtr-Gas'!AT11*0.0038</f>
        <v>0.56620000000000004</v>
      </c>
      <c r="AV9" s="43">
        <f>'Wtr-Gas'!AW11*0.0038</f>
        <v>236.6944</v>
      </c>
      <c r="AW9" s="44">
        <f>'Wtr-Gas'!AY11*0.0038</f>
        <v>2.698</v>
      </c>
      <c r="AX9" s="43">
        <f>'Wtr-Gas'!AZ11*0.0038</f>
        <v>233.99639999999999</v>
      </c>
      <c r="AY9" s="43">
        <f>'Wtr-Gas'!BB11*0.0038</f>
        <v>12.16</v>
      </c>
      <c r="AZ9" s="43">
        <f>'Wtr-Gas'!BD11*0.0038</f>
        <v>1.1399999999999999</v>
      </c>
      <c r="BA9" s="43">
        <f>'Wtr-Gas'!BF11*0.0038</f>
        <v>27.492999999999999</v>
      </c>
    </row>
    <row r="10" spans="1:54">
      <c r="A10" s="3" t="s">
        <v>11</v>
      </c>
      <c r="B10" s="2">
        <v>24</v>
      </c>
      <c r="C10" s="2">
        <v>2</v>
      </c>
      <c r="D10" s="2">
        <v>2019</v>
      </c>
      <c r="E10" s="41">
        <f>Elect!AW12</f>
        <v>615</v>
      </c>
      <c r="F10" s="41">
        <f>Elect!I12</f>
        <v>47520</v>
      </c>
      <c r="G10" s="41">
        <f>Elect!H12</f>
        <v>2.286</v>
      </c>
      <c r="H10" s="41">
        <f>Elect!E12</f>
        <v>46240</v>
      </c>
      <c r="I10" s="41">
        <f>Elect!D12</f>
        <v>2.2040000000000002</v>
      </c>
      <c r="J10" s="41">
        <f>Elect!Y12</f>
        <v>79500</v>
      </c>
      <c r="K10" s="41">
        <f>Elect!X12</f>
        <v>2.6110000000000002</v>
      </c>
      <c r="L10" s="41">
        <f>Elect!AS12</f>
        <v>1480</v>
      </c>
      <c r="M10" s="41">
        <f>Elect!AR12</f>
        <v>0.318</v>
      </c>
      <c r="N10" s="41">
        <f>Elect!AC12</f>
        <v>57300</v>
      </c>
      <c r="O10" s="41">
        <f>Elect!AB12</f>
        <v>2.2759999999999998</v>
      </c>
      <c r="P10" s="41">
        <f>Elect!Q12</f>
        <v>12800</v>
      </c>
      <c r="Q10" s="41">
        <f>Elect!P12</f>
        <v>0.254</v>
      </c>
      <c r="R10" s="41">
        <f>Elect!M12</f>
        <v>12800</v>
      </c>
      <c r="S10" s="41">
        <f>Elect!L12</f>
        <v>2.57</v>
      </c>
      <c r="T10" s="41">
        <f>Elect!U12</f>
        <v>1600</v>
      </c>
      <c r="U10" s="41">
        <f>Elect!T12</f>
        <v>0.25800000000000001</v>
      </c>
      <c r="V10" s="41">
        <f>Elect!AG12</f>
        <v>9120</v>
      </c>
      <c r="W10" s="41">
        <f>Elect!AF12</f>
        <v>3.48</v>
      </c>
      <c r="X10" s="41">
        <f>Elect!AK12</f>
        <v>4960</v>
      </c>
      <c r="Y10" s="41">
        <f>Elect!AJ12</f>
        <v>0.311</v>
      </c>
      <c r="Z10" s="41">
        <f>Elect!AO12</f>
        <v>56600</v>
      </c>
      <c r="AA10" s="41">
        <f>Elect!AN12</f>
        <v>2.1720000000000002</v>
      </c>
      <c r="AB10" s="41">
        <f>Elect!BJ12</f>
        <v>1900</v>
      </c>
      <c r="AC10" s="41">
        <f>Elect!BG12</f>
        <v>17000</v>
      </c>
      <c r="AD10" s="41">
        <f>Elect!BM12</f>
        <v>896</v>
      </c>
      <c r="AE10" s="41">
        <f>Elect!BP12</f>
        <v>2880</v>
      </c>
      <c r="AF10" s="43">
        <f>('Wtr-Gas'!E12)*0.0038</f>
        <v>5251.41</v>
      </c>
      <c r="AG10" s="43">
        <f>('Wtr-Gas'!H12)*0.0038</f>
        <v>277.70400000000001</v>
      </c>
      <c r="AH10" s="43">
        <f>'Wtr-Gas'!K12*0.0038</f>
        <v>13.3</v>
      </c>
      <c r="AI10" s="43">
        <f>'Wtr-Gas'!N12*0.0038</f>
        <v>4047</v>
      </c>
      <c r="AJ10" s="43">
        <f>'Wtr-Gas'!Q12*0.0038</f>
        <v>0</v>
      </c>
      <c r="AK10" s="46">
        <f>'Wtr-Gas'!U12*0.0038</f>
        <v>880.46</v>
      </c>
      <c r="AL10" s="46">
        <f>'Wtr-Gas'!X12*0.0038</f>
        <v>3198.08</v>
      </c>
      <c r="AM10" s="43">
        <f>'Wtr-Gas'!AB12*0.0038</f>
        <v>1140</v>
      </c>
      <c r="AN10" s="43">
        <f>'Wtr-Gas'!AD12*0.0038</f>
        <v>20947.0288</v>
      </c>
      <c r="AO10" s="43">
        <f>'Wtr-Gas'!AF12*0.0038</f>
        <v>2029.2</v>
      </c>
      <c r="AP10" s="43">
        <f>'Wtr-Gas'!AH12*0.0038</f>
        <v>33550.199999999997</v>
      </c>
      <c r="AQ10" s="43">
        <f>'Wtr-Gas'!AJ12*0.0038</f>
        <v>32.767400000000002</v>
      </c>
      <c r="AR10" s="43">
        <f>'Wtr-Gas'!AL12*0.0038</f>
        <v>-49.4</v>
      </c>
      <c r="AS10" s="43">
        <f>'Wtr-Gas'!AN12*0.0038</f>
        <v>0</v>
      </c>
      <c r="AT10" s="43">
        <f>'Wtr-Gas'!AP12*0.0038</f>
        <v>2.3940000000000001</v>
      </c>
      <c r="AU10" s="46">
        <f>'Wtr-Gas'!AT12*0.0038</f>
        <v>0.55100000000000005</v>
      </c>
      <c r="AV10" s="43">
        <f>'Wtr-Gas'!AW12*0.0038</f>
        <v>233.28200000000001</v>
      </c>
      <c r="AW10" s="44">
        <f>'Wtr-Gas'!AY12*0.0038</f>
        <v>2.66</v>
      </c>
      <c r="AX10" s="43">
        <f>'Wtr-Gas'!AZ12*0.0038</f>
        <v>230.62199999999999</v>
      </c>
      <c r="AY10" s="43">
        <f>'Wtr-Gas'!BB12*0.0038</f>
        <v>30.78</v>
      </c>
      <c r="AZ10" s="43">
        <f>'Wtr-Gas'!BD12*0.0038</f>
        <v>1.1399999999999999</v>
      </c>
      <c r="BA10" s="43">
        <f>'Wtr-Gas'!BF12*0.0038</f>
        <v>549.53319999999997</v>
      </c>
    </row>
    <row r="11" spans="1:54">
      <c r="A11" s="3" t="s">
        <v>11</v>
      </c>
      <c r="B11" s="2">
        <v>28</v>
      </c>
      <c r="C11" s="2">
        <v>2</v>
      </c>
      <c r="D11" s="2">
        <v>2019</v>
      </c>
      <c r="E11" s="41">
        <f>Elect!AW13</f>
        <v>289</v>
      </c>
      <c r="F11" s="41">
        <f>Elect!I13</f>
        <v>21760</v>
      </c>
      <c r="G11" s="41">
        <f>Elect!H13</f>
        <v>2.286</v>
      </c>
      <c r="H11" s="41">
        <f>Elect!E13</f>
        <v>38880</v>
      </c>
      <c r="I11" s="41">
        <f>Elect!D13</f>
        <v>2.2040000000000002</v>
      </c>
      <c r="J11" s="41">
        <f>Elect!Y13</f>
        <v>23700</v>
      </c>
      <c r="K11" s="41">
        <f>Elect!X13</f>
        <v>2.6110000000000002</v>
      </c>
      <c r="L11" s="41">
        <f>Elect!AS13</f>
        <v>1280</v>
      </c>
      <c r="M11" s="41">
        <f>Elect!AR13</f>
        <v>0.378</v>
      </c>
      <c r="N11" s="41">
        <f>Elect!AC13</f>
        <v>22500</v>
      </c>
      <c r="O11" s="41">
        <f>Elect!AB13</f>
        <v>2.2759999999999998</v>
      </c>
      <c r="P11" s="41">
        <f>Elect!Q13</f>
        <v>5600</v>
      </c>
      <c r="Q11" s="41">
        <f>Elect!P13</f>
        <v>0.254</v>
      </c>
      <c r="R11" s="41">
        <f>Elect!M13</f>
        <v>5600</v>
      </c>
      <c r="S11" s="41">
        <f>Elect!L13</f>
        <v>2.71</v>
      </c>
      <c r="T11" s="41">
        <f>Elect!U13</f>
        <v>22000</v>
      </c>
      <c r="U11" s="41">
        <f>Elect!T13</f>
        <v>0.27300000000000002</v>
      </c>
      <c r="V11" s="41">
        <f>Elect!AG13</f>
        <v>3680</v>
      </c>
      <c r="W11" s="41">
        <f>Elect!AF13</f>
        <v>3.82</v>
      </c>
      <c r="X11" s="41">
        <f>Elect!AK13</f>
        <v>2560</v>
      </c>
      <c r="Y11" s="41">
        <f>Elect!AJ13</f>
        <v>0.35699999999999998</v>
      </c>
      <c r="Z11" s="41">
        <f>Elect!AO13</f>
        <v>20400</v>
      </c>
      <c r="AA11" s="41">
        <f>Elect!AN13</f>
        <v>2.1720000000000002</v>
      </c>
      <c r="AB11" s="41">
        <f>Elect!BJ13</f>
        <v>800</v>
      </c>
      <c r="AC11" s="41">
        <f>Elect!BG13</f>
        <v>6100</v>
      </c>
      <c r="AD11" s="41">
        <f>Elect!BM13</f>
        <v>374</v>
      </c>
      <c r="AE11" s="41">
        <f>Elect!BP13</f>
        <v>1080</v>
      </c>
      <c r="AF11" s="43">
        <f>('Wtr-Gas'!E13)*0.0038</f>
        <v>2089.5819999999999</v>
      </c>
      <c r="AG11" s="43">
        <f>('Wtr-Gas'!H13)*0.0038</f>
        <v>168.79599999999999</v>
      </c>
      <c r="AH11" s="43">
        <f>'Wtr-Gas'!K13*0.0038</f>
        <v>25.46</v>
      </c>
      <c r="AI11" s="43">
        <f>'Wtr-Gas'!N13*0.0038</f>
        <v>1599.8</v>
      </c>
      <c r="AJ11" s="43">
        <f>'Wtr-Gas'!Q13*0.0038</f>
        <v>0</v>
      </c>
      <c r="AK11" s="46">
        <f>'Wtr-Gas'!U13*0.0038</f>
        <v>441.18</v>
      </c>
      <c r="AL11" s="46">
        <f>'Wtr-Gas'!X13*0.0038</f>
        <v>1496.82</v>
      </c>
      <c r="AM11" s="43">
        <f>'Wtr-Gas'!AB13*0.0038</f>
        <v>364.8</v>
      </c>
      <c r="AN11" s="43">
        <f>'Wtr-Gas'!AD13*0.0038</f>
        <v>7863.3894</v>
      </c>
      <c r="AO11" s="43">
        <f>'Wtr-Gas'!AF13*0.0038</f>
        <v>1227.4000000000001</v>
      </c>
      <c r="AP11" s="43">
        <f>'Wtr-Gas'!AH13*0.0038</f>
        <v>21637.200000000001</v>
      </c>
      <c r="AQ11" s="43">
        <f>'Wtr-Gas'!AJ13*0.0038</f>
        <v>16.336200000000002</v>
      </c>
      <c r="AR11" s="43">
        <f>'Wtr-Gas'!AL13*0.0038</f>
        <v>380</v>
      </c>
      <c r="AS11" s="43">
        <f>'Wtr-Gas'!AN13*0.0038</f>
        <v>0</v>
      </c>
      <c r="AT11" s="43">
        <f>'Wtr-Gas'!AP13*0.0038</f>
        <v>0.83599999999999997</v>
      </c>
      <c r="AU11" s="46">
        <f>'Wtr-Gas'!AT13*0.0038</f>
        <v>0.1938</v>
      </c>
      <c r="AV11" s="43">
        <f>'Wtr-Gas'!AW13*0.0038</f>
        <v>97.679000000000002</v>
      </c>
      <c r="AW11" s="44">
        <f>'Wtr-Gas'!AY13*0.0038</f>
        <v>1.1399999999999999</v>
      </c>
      <c r="AX11" s="43">
        <f>'Wtr-Gas'!AZ13*0.0038</f>
        <v>96.539000000000001</v>
      </c>
      <c r="AY11" s="43">
        <f>'Wtr-Gas'!BB13*0.0038</f>
        <v>7.6</v>
      </c>
      <c r="AZ11" s="43">
        <f>'Wtr-Gas'!BD13*0.0038</f>
        <v>0.76</v>
      </c>
      <c r="BA11" s="43">
        <f>'Wtr-Gas'!BF13*0.0038</f>
        <v>232.56</v>
      </c>
    </row>
    <row r="12" spans="1:54">
      <c r="A12" s="3" t="s">
        <v>11</v>
      </c>
      <c r="B12" s="2">
        <v>4</v>
      </c>
      <c r="C12" s="2">
        <v>3</v>
      </c>
      <c r="D12" s="2">
        <v>2019</v>
      </c>
      <c r="E12" s="41">
        <f>Elect!AW14</f>
        <v>340</v>
      </c>
      <c r="F12" s="41">
        <f>Elect!I14</f>
        <v>25120</v>
      </c>
      <c r="G12" s="41">
        <f>Elect!H14</f>
        <v>2.286</v>
      </c>
      <c r="H12" s="41">
        <f>Elect!E14</f>
        <v>6400</v>
      </c>
      <c r="I12" s="41">
        <f>Elect!D14</f>
        <v>2.2040000000000002</v>
      </c>
      <c r="J12" s="41">
        <f>Elect!Y14</f>
        <v>29700</v>
      </c>
      <c r="K12" s="41">
        <f>Elect!X14</f>
        <v>2.6110000000000002</v>
      </c>
      <c r="L12" s="41">
        <f>Elect!AS14</f>
        <v>1040</v>
      </c>
      <c r="M12" s="41">
        <f>Elect!AR14</f>
        <v>0.378</v>
      </c>
      <c r="N12" s="41">
        <f>Elect!AC14</f>
        <v>29400</v>
      </c>
      <c r="O12" s="41">
        <f>Elect!AB14</f>
        <v>2.2759999999999998</v>
      </c>
      <c r="P12" s="41">
        <f>Elect!Q14</f>
        <v>6800</v>
      </c>
      <c r="Q12" s="41">
        <f>Elect!P14</f>
        <v>0.254</v>
      </c>
      <c r="R12" s="41">
        <f>Elect!M14</f>
        <v>6800</v>
      </c>
      <c r="S12" s="41">
        <f>Elect!L14</f>
        <v>3.71</v>
      </c>
      <c r="T12" s="41">
        <f>Elect!U14</f>
        <v>6800</v>
      </c>
      <c r="U12" s="41">
        <f>Elect!T14</f>
        <v>0.27300000000000002</v>
      </c>
      <c r="V12" s="41">
        <f>Elect!AG14</f>
        <v>3840</v>
      </c>
      <c r="W12" s="41">
        <f>Elect!AF14</f>
        <v>3.85</v>
      </c>
      <c r="X12" s="41">
        <f>Elect!AK14</f>
        <v>2560</v>
      </c>
      <c r="Y12" s="41">
        <f>Elect!AJ14</f>
        <v>0.35699999999999998</v>
      </c>
      <c r="Z12" s="41">
        <f>Elect!AO14</f>
        <v>23600</v>
      </c>
      <c r="AA12" s="41">
        <f>Elect!AN14</f>
        <v>2.1720000000000002</v>
      </c>
      <c r="AB12" s="41">
        <f>Elect!BJ14</f>
        <v>900</v>
      </c>
      <c r="AC12" s="41">
        <f>Elect!BG14</f>
        <v>9000</v>
      </c>
      <c r="AD12" s="41">
        <f>Elect!BM14</f>
        <v>508</v>
      </c>
      <c r="AE12" s="41">
        <f>Elect!BP14</f>
        <v>1880</v>
      </c>
      <c r="AF12" s="43">
        <f>('Wtr-Gas'!E14)*0.0038</f>
        <v>3387.13</v>
      </c>
      <c r="AG12" s="43">
        <f>('Wtr-Gas'!H14)*0.0038</f>
        <v>260.22399999999999</v>
      </c>
      <c r="AH12" s="43">
        <f>'Wtr-Gas'!K14*0.0038</f>
        <v>3.04</v>
      </c>
      <c r="AI12" s="43">
        <f>'Wtr-Gas'!N14*0.0038</f>
        <v>1926.6</v>
      </c>
      <c r="AJ12" s="43">
        <f>'Wtr-Gas'!Q14*0.0038</f>
        <v>0</v>
      </c>
      <c r="AK12" s="46">
        <f>'Wtr-Gas'!U14*0.0038</f>
        <v>462.84</v>
      </c>
      <c r="AL12" s="46">
        <f>'Wtr-Gas'!X14*0.0038</f>
        <v>1135.44</v>
      </c>
      <c r="AM12" s="43">
        <f>'Wtr-Gas'!AB14*0.0038</f>
        <v>486.4</v>
      </c>
      <c r="AN12" s="43">
        <f>'Wtr-Gas'!AD14*0.0038</f>
        <v>9975.8322000000007</v>
      </c>
      <c r="AO12" s="43">
        <f>'Wtr-Gas'!AF14*0.0038</f>
        <v>1235</v>
      </c>
      <c r="AP12" s="43">
        <f>'Wtr-Gas'!AH14*0.0038</f>
        <v>20083</v>
      </c>
      <c r="AQ12" s="43">
        <f>'Wtr-Gas'!AJ14*0.0038</f>
        <v>21.101400000000002</v>
      </c>
      <c r="AR12" s="43">
        <f>'Wtr-Gas'!AL14*0.0038</f>
        <v>79.8</v>
      </c>
      <c r="AS12" s="43">
        <f>'Wtr-Gas'!AN14*0.0038</f>
        <v>0</v>
      </c>
      <c r="AT12" s="43">
        <f>'Wtr-Gas'!AP14*0.0038</f>
        <v>0.91200000000000003</v>
      </c>
      <c r="AU12" s="46">
        <f>'Wtr-Gas'!AT14*0.0038</f>
        <v>0.31540000000000001</v>
      </c>
      <c r="AV12" s="43">
        <f>'Wtr-Gas'!AW14*0.0038</f>
        <v>133.68780000000001</v>
      </c>
      <c r="AW12" s="44">
        <f>'Wtr-Gas'!AY14*0.0038</f>
        <v>1.5960000000000001</v>
      </c>
      <c r="AX12" s="43">
        <f>'Wtr-Gas'!AZ14*0.0038</f>
        <v>132.09180000000001</v>
      </c>
      <c r="AY12" s="43">
        <f>'Wtr-Gas'!BB14*0.0038</f>
        <v>4.5599999999999996</v>
      </c>
      <c r="AZ12" s="43">
        <f>'Wtr-Gas'!BD14*0.0038</f>
        <v>0.76</v>
      </c>
      <c r="BA12" s="43">
        <f>'Wtr-Gas'!BF14*0.0038</f>
        <v>402.68979999999999</v>
      </c>
    </row>
    <row r="13" spans="1:54">
      <c r="A13" s="3" t="s">
        <v>11</v>
      </c>
      <c r="B13" s="2">
        <v>10</v>
      </c>
      <c r="C13" s="2">
        <v>3</v>
      </c>
      <c r="D13" s="2">
        <v>2019</v>
      </c>
      <c r="E13" s="41">
        <f>Elect!AW15</f>
        <v>593</v>
      </c>
      <c r="F13" s="41">
        <f>Elect!I15</f>
        <v>46400</v>
      </c>
      <c r="G13" s="41">
        <f>Elect!H15</f>
        <v>2.2850000000000001</v>
      </c>
      <c r="H13" s="41">
        <f>Elect!E15</f>
        <v>45120</v>
      </c>
      <c r="I13" s="41">
        <f>Elect!D15</f>
        <v>2.2040000000000002</v>
      </c>
      <c r="J13" s="41">
        <f>Elect!Y15</f>
        <v>44100</v>
      </c>
      <c r="K13" s="41">
        <f>Elect!X15</f>
        <v>2.6110000000000002</v>
      </c>
      <c r="L13" s="41">
        <f>Elect!AS15</f>
        <v>1880</v>
      </c>
      <c r="M13" s="41">
        <f>Elect!AR15</f>
        <v>0.39400000000000002</v>
      </c>
      <c r="N13" s="41">
        <f>Elect!AC15</f>
        <v>45300</v>
      </c>
      <c r="O13" s="41">
        <f>Elect!AB15</f>
        <v>2.2759999999999998</v>
      </c>
      <c r="P13" s="41">
        <f>Elect!Q15</f>
        <v>12000</v>
      </c>
      <c r="Q13" s="41">
        <f>Elect!P15</f>
        <v>0.254</v>
      </c>
      <c r="R13" s="41">
        <f>Elect!M15</f>
        <v>12800</v>
      </c>
      <c r="S13" s="41">
        <f>Elect!L15</f>
        <v>2.71</v>
      </c>
      <c r="T13" s="41">
        <f>Elect!U15</f>
        <v>12800</v>
      </c>
      <c r="U13" s="41">
        <f>Elect!T15</f>
        <v>0.27300000000000002</v>
      </c>
      <c r="V13" s="41">
        <f>Elect!AG15</f>
        <v>7360</v>
      </c>
      <c r="W13" s="41">
        <f>Elect!AF15</f>
        <v>4.26</v>
      </c>
      <c r="X13" s="41">
        <f>Elect!AK15</f>
        <v>5120</v>
      </c>
      <c r="Y13" s="41">
        <f>Elect!AJ15</f>
        <v>0.38300000000000001</v>
      </c>
      <c r="Z13" s="41">
        <f>Elect!AO15</f>
        <v>49400</v>
      </c>
      <c r="AA13" s="41">
        <f>Elect!AN15</f>
        <v>2.1720000000000002</v>
      </c>
      <c r="AB13" s="41">
        <f>Elect!BJ15</f>
        <v>1800</v>
      </c>
      <c r="AC13" s="41">
        <f>Elect!BG15</f>
        <v>15100</v>
      </c>
      <c r="AD13" s="41">
        <f>Elect!BM15</f>
        <v>885</v>
      </c>
      <c r="AE13" s="41">
        <f>Elect!BP15</f>
        <v>3320</v>
      </c>
      <c r="AF13" s="43">
        <f>('Wtr-Gas'!E15)*0.0038</f>
        <v>4487.9139999999998</v>
      </c>
      <c r="AG13" s="43">
        <f>('Wtr-Gas'!H15)*0.0038</f>
        <v>583.87</v>
      </c>
      <c r="AH13" s="43">
        <f>'Wtr-Gas'!K15*0.0038</f>
        <v>4.9400000000000004</v>
      </c>
      <c r="AI13" s="43">
        <f>'Wtr-Gas'!N15*0.0038</f>
        <v>3378.2</v>
      </c>
      <c r="AJ13" s="43">
        <f>'Wtr-Gas'!Q15*0.0038</f>
        <v>0</v>
      </c>
      <c r="AK13" s="46">
        <f>'Wtr-Gas'!U15*0.0038</f>
        <v>929.86</v>
      </c>
      <c r="AL13" s="46">
        <f>'Wtr-Gas'!X15*0.0038</f>
        <v>5643.76</v>
      </c>
      <c r="AM13" s="43">
        <f>'Wtr-Gas'!AB15*0.0038</f>
        <v>577.6</v>
      </c>
      <c r="AN13" s="43">
        <f>'Wtr-Gas'!AD15*0.0038</f>
        <v>14300.5286</v>
      </c>
      <c r="AO13" s="43">
        <f>'Wtr-Gas'!AF15*0.0038</f>
        <v>1406</v>
      </c>
      <c r="AP13" s="43">
        <f>'Wtr-Gas'!AH15*0.0038</f>
        <v>39569.4</v>
      </c>
      <c r="AQ13" s="43">
        <f>'Wtr-Gas'!AJ15*0.0038</f>
        <v>32.033999999999999</v>
      </c>
      <c r="AR13" s="43">
        <f>'Wtr-Gas'!AL15*0.0038</f>
        <v>361</v>
      </c>
      <c r="AS13" s="43">
        <f>'Wtr-Gas'!AN15*0.0038</f>
        <v>0</v>
      </c>
      <c r="AT13" s="43">
        <f>'Wtr-Gas'!AP15*0.0038</f>
        <v>1.71</v>
      </c>
      <c r="AU13" s="46">
        <f>'Wtr-Gas'!AT15*0.0038</f>
        <v>0.55859999999999999</v>
      </c>
      <c r="AV13" s="43">
        <f>'Wtr-Gas'!AW15*0.0038</f>
        <v>241.3152</v>
      </c>
      <c r="AW13" s="44">
        <f>'Wtr-Gas'!AY15*0.0038</f>
        <v>2.8119999999999998</v>
      </c>
      <c r="AX13" s="43">
        <f>'Wtr-Gas'!AZ15*0.0038</f>
        <v>238.50319999999999</v>
      </c>
      <c r="AY13" s="43">
        <f>'Wtr-Gas'!BB15*0.0038</f>
        <v>7.6</v>
      </c>
      <c r="AZ13" s="43">
        <f>'Wtr-Gas'!BD15*0.0038</f>
        <v>1.1399999999999999</v>
      </c>
      <c r="BA13" s="43">
        <f>'Wtr-Gas'!BF15*0.0038</f>
        <v>889.05179999999996</v>
      </c>
    </row>
    <row r="14" spans="1:54">
      <c r="A14" s="3" t="s">
        <v>11</v>
      </c>
      <c r="B14" s="2">
        <v>17</v>
      </c>
      <c r="C14" s="2">
        <v>3</v>
      </c>
      <c r="D14" s="2">
        <v>2019</v>
      </c>
      <c r="E14" s="41">
        <f>Elect!AW16</f>
        <v>611</v>
      </c>
      <c r="F14" s="41">
        <f>Elect!I16</f>
        <v>46720</v>
      </c>
      <c r="G14" s="41">
        <f>Elect!H16</f>
        <v>2.2850000000000001</v>
      </c>
      <c r="H14" s="41">
        <f>Elect!E16</f>
        <v>46080</v>
      </c>
      <c r="I14" s="41">
        <f>Elect!D16</f>
        <v>2.2040000000000002</v>
      </c>
      <c r="J14" s="41">
        <f>Elect!Y16</f>
        <v>63000</v>
      </c>
      <c r="K14" s="41">
        <f>Elect!X16</f>
        <v>2.6110000000000002</v>
      </c>
      <c r="L14" s="41">
        <f>Elect!AS16</f>
        <v>2000</v>
      </c>
      <c r="M14" s="41">
        <f>Elect!AR16</f>
        <v>0.39800000000000002</v>
      </c>
      <c r="N14" s="41">
        <f>Elect!AC16</f>
        <v>42300</v>
      </c>
      <c r="O14" s="41">
        <f>Elect!AB16</f>
        <v>2.2759999999999998</v>
      </c>
      <c r="P14" s="41">
        <f>Elect!Q16</f>
        <v>11600</v>
      </c>
      <c r="Q14" s="41">
        <f>Elect!P16</f>
        <v>0.254</v>
      </c>
      <c r="R14" s="41">
        <f>Elect!M16</f>
        <v>11600</v>
      </c>
      <c r="S14" s="41">
        <f>Elect!L16</f>
        <v>2.71</v>
      </c>
      <c r="T14" s="41">
        <f>Elect!U16</f>
        <v>12800</v>
      </c>
      <c r="U14" s="41">
        <f>Elect!T16</f>
        <v>0.27300000000000002</v>
      </c>
      <c r="V14" s="41">
        <f>Elect!AG16</f>
        <v>7680</v>
      </c>
      <c r="W14" s="41">
        <f>Elect!AF16</f>
        <v>4.95</v>
      </c>
      <c r="X14" s="41">
        <f>Elect!AK16</f>
        <v>4800</v>
      </c>
      <c r="Y14" s="41">
        <f>Elect!AJ16</f>
        <v>0.38300000000000001</v>
      </c>
      <c r="Z14" s="41">
        <f>Elect!AO16</f>
        <v>51600</v>
      </c>
      <c r="AA14" s="41">
        <f>Elect!AN16</f>
        <v>2.1720000000000002</v>
      </c>
      <c r="AB14" s="41">
        <f>Elect!BJ16</f>
        <v>1700</v>
      </c>
      <c r="AC14" s="41">
        <f>Elect!BG16</f>
        <v>15800</v>
      </c>
      <c r="AD14" s="41">
        <f>Elect!BM16</f>
        <v>881</v>
      </c>
      <c r="AE14" s="41">
        <f>Elect!BP16</f>
        <v>3440</v>
      </c>
      <c r="AF14" s="43">
        <f>('Wtr-Gas'!E16)*0.0038</f>
        <v>4442.884</v>
      </c>
      <c r="AG14" s="43">
        <f>('Wtr-Gas'!H16)*0.0038</f>
        <v>701.78399999999999</v>
      </c>
      <c r="AH14" s="43">
        <f>'Wtr-Gas'!K16*0.0038</f>
        <v>5.7</v>
      </c>
      <c r="AI14" s="43">
        <f>'Wtr-Gas'!N16*0.0038</f>
        <v>3458</v>
      </c>
      <c r="AJ14" s="43">
        <f>'Wtr-Gas'!Q16*0.0038</f>
        <v>0</v>
      </c>
      <c r="AK14" s="46">
        <f>'Wtr-Gas'!U16*0.0038</f>
        <v>875.52</v>
      </c>
      <c r="AL14" s="46">
        <f>'Wtr-Gas'!X16*0.0038</f>
        <v>4290.2</v>
      </c>
      <c r="AM14" s="43">
        <f>'Wtr-Gas'!AB16*0.0038</f>
        <v>832.2</v>
      </c>
      <c r="AN14" s="43">
        <f>'Wtr-Gas'!AD16*0.0038</f>
        <v>14066.2016</v>
      </c>
      <c r="AO14" s="43">
        <f>'Wtr-Gas'!AF16*0.0038</f>
        <v>2454.8000000000002</v>
      </c>
      <c r="AP14" s="43">
        <f>'Wtr-Gas'!AH16*0.0038</f>
        <v>38220.400000000001</v>
      </c>
      <c r="AQ14" s="43">
        <f>'Wtr-Gas'!AJ16*0.0038</f>
        <v>37.4756</v>
      </c>
      <c r="AR14" s="43">
        <f>'Wtr-Gas'!AL16*0.0038</f>
        <v>220.4</v>
      </c>
      <c r="AS14" s="43">
        <f>'Wtr-Gas'!AN16*0.0038</f>
        <v>0</v>
      </c>
      <c r="AT14" s="43">
        <f>'Wtr-Gas'!AP16*0.0038</f>
        <v>1.52</v>
      </c>
      <c r="AU14" s="46">
        <f>'Wtr-Gas'!AT16*0.0038</f>
        <v>0.58140000000000003</v>
      </c>
      <c r="AV14" s="43">
        <f>'Wtr-Gas'!AW16*0.0038</f>
        <v>234.09139999999999</v>
      </c>
      <c r="AW14" s="44">
        <f>'Wtr-Gas'!AY16*0.0038</f>
        <v>2.5840000000000001</v>
      </c>
      <c r="AX14" s="43">
        <f>'Wtr-Gas'!AZ16*0.0038</f>
        <v>231.50739999999999</v>
      </c>
      <c r="AY14" s="43">
        <f>'Wtr-Gas'!BB16*0.0038</f>
        <v>11.02</v>
      </c>
      <c r="AZ14" s="43">
        <f>'Wtr-Gas'!BD16*0.0038</f>
        <v>7.98</v>
      </c>
      <c r="BA14" s="43">
        <f>'Wtr-Gas'!BF16*0.0038</f>
        <v>882.71720000000005</v>
      </c>
    </row>
    <row r="15" spans="1:54">
      <c r="A15" s="3" t="s">
        <v>11</v>
      </c>
      <c r="B15" s="2">
        <v>24</v>
      </c>
      <c r="C15" s="2">
        <v>3</v>
      </c>
      <c r="D15" s="2">
        <v>2019</v>
      </c>
      <c r="E15" s="41">
        <f>Elect!AW17</f>
        <v>592</v>
      </c>
      <c r="F15" s="41">
        <f>Elect!I17</f>
        <v>47360</v>
      </c>
      <c r="G15" s="41">
        <f>Elect!H17</f>
        <v>2.1779999999999999</v>
      </c>
      <c r="H15" s="41">
        <f>Elect!E17</f>
        <v>46080</v>
      </c>
      <c r="I15" s="41">
        <f>Elect!D17</f>
        <v>2.0529999999999999</v>
      </c>
      <c r="J15" s="41">
        <f>Elect!Y17</f>
        <v>51000</v>
      </c>
      <c r="K15" s="41">
        <f>Elect!X17</f>
        <v>1.488</v>
      </c>
      <c r="L15" s="41">
        <f>Elect!AS17</f>
        <v>2000</v>
      </c>
      <c r="M15" s="41">
        <f>Elect!AR17</f>
        <v>0.373</v>
      </c>
      <c r="N15" s="41">
        <f>Elect!AC17</f>
        <v>25200</v>
      </c>
      <c r="O15" s="41">
        <f>Elect!AB17</f>
        <v>0.69099999999999995</v>
      </c>
      <c r="P15" s="41">
        <f>Elect!Q17</f>
        <v>12400</v>
      </c>
      <c r="Q15" s="41">
        <f>Elect!P17</f>
        <v>0.23699999999999999</v>
      </c>
      <c r="R15" s="41">
        <f>Elect!M17</f>
        <v>12800</v>
      </c>
      <c r="S15" s="41">
        <f>Elect!L17</f>
        <v>0.317</v>
      </c>
      <c r="T15" s="41">
        <f>Elect!U17</f>
        <v>13600</v>
      </c>
      <c r="U15" s="41">
        <f>Elect!T17</f>
        <v>0.25700000000000001</v>
      </c>
      <c r="V15" s="41">
        <f>Elect!AG17</f>
        <v>6880</v>
      </c>
      <c r="W15" s="41">
        <f>Elect!AF17</f>
        <v>0.36599999999999999</v>
      </c>
      <c r="X15" s="41">
        <f>Elect!AK17</f>
        <v>4160</v>
      </c>
      <c r="Y15" s="41">
        <f>Elect!AJ17</f>
        <v>0.25900000000000001</v>
      </c>
      <c r="Z15" s="41">
        <f>Elect!AO17</f>
        <v>45800</v>
      </c>
      <c r="AA15" s="41">
        <f>Elect!AN17</f>
        <v>1.9419999999999999</v>
      </c>
      <c r="AB15" s="41">
        <f>Elect!BJ17</f>
        <v>1700</v>
      </c>
      <c r="AC15" s="41">
        <f>Elect!BG17</f>
        <v>13700</v>
      </c>
      <c r="AD15" s="41">
        <f>Elect!BM17</f>
        <v>877</v>
      </c>
      <c r="AE15" s="41">
        <f>Elect!BP17</f>
        <v>3080</v>
      </c>
      <c r="AF15" s="43">
        <f>('Wtr-Gas'!E17)*0.0038</f>
        <v>4692.24</v>
      </c>
      <c r="AG15" s="43">
        <f>('Wtr-Gas'!H17)*0.0038</f>
        <v>573.49599999999998</v>
      </c>
      <c r="AH15" s="43">
        <f>'Wtr-Gas'!K17*0.0038</f>
        <v>5.32</v>
      </c>
      <c r="AI15" s="43">
        <f>'Wtr-Gas'!N17*0.0038</f>
        <v>3515</v>
      </c>
      <c r="AJ15" s="43">
        <f>'Wtr-Gas'!Q17*0.0038</f>
        <v>94.62</v>
      </c>
      <c r="AK15" s="46">
        <f>'Wtr-Gas'!U17*0.0038</f>
        <v>932.9</v>
      </c>
      <c r="AL15" s="46">
        <f>'Wtr-Gas'!X17*0.0038</f>
        <v>6251</v>
      </c>
      <c r="AM15" s="43">
        <f>'Wtr-Gas'!AB17*0.0038</f>
        <v>543.4</v>
      </c>
      <c r="AN15" s="43">
        <f>'Wtr-Gas'!AD17*0.0038</f>
        <v>12716.3238</v>
      </c>
      <c r="AO15" s="43">
        <f>'Wtr-Gas'!AF17*0.0038</f>
        <v>2747.4</v>
      </c>
      <c r="AP15" s="43">
        <f>'Wtr-Gas'!AH17*0.0038</f>
        <v>45919.199999999997</v>
      </c>
      <c r="AQ15" s="43">
        <f>'Wtr-Gas'!AJ17*0.0038</f>
        <v>39.759399999999999</v>
      </c>
      <c r="AR15" s="43">
        <f>'Wtr-Gas'!AL17*0.0038</f>
        <v>285</v>
      </c>
      <c r="AS15" s="43">
        <f>'Wtr-Gas'!AN17*0.0038</f>
        <v>0</v>
      </c>
      <c r="AT15" s="43">
        <f>'Wtr-Gas'!AP17*0.0038</f>
        <v>1.52</v>
      </c>
      <c r="AU15" s="46">
        <f>'Wtr-Gas'!AT17*0.0038</f>
        <v>0.44080000000000003</v>
      </c>
      <c r="AV15" s="43">
        <f>'Wtr-Gas'!AW17*0.0038</f>
        <v>233.52520000000001</v>
      </c>
      <c r="AW15" s="44">
        <f>'Wtr-Gas'!AY17*0.0038</f>
        <v>2.8119999999999998</v>
      </c>
      <c r="AX15" s="43">
        <f>'Wtr-Gas'!AZ17*0.0038</f>
        <v>230.7132</v>
      </c>
      <c r="AY15" s="43">
        <f>'Wtr-Gas'!BB17*0.0038</f>
        <v>13.68</v>
      </c>
      <c r="AZ15" s="43">
        <f>'Wtr-Gas'!BD17*0.0038</f>
        <v>1.52</v>
      </c>
      <c r="BA15" s="43">
        <f>'Wtr-Gas'!BF17*0.0038</f>
        <v>808.23720000000003</v>
      </c>
    </row>
    <row r="16" spans="1:54">
      <c r="A16" s="3" t="s">
        <v>11</v>
      </c>
      <c r="B16" s="2">
        <v>31</v>
      </c>
      <c r="C16" s="2">
        <v>3</v>
      </c>
      <c r="D16" s="2">
        <v>2019</v>
      </c>
      <c r="E16" s="41">
        <f>Elect!AW18</f>
        <v>544</v>
      </c>
      <c r="F16" s="41">
        <f>Elect!I18</f>
        <v>46400</v>
      </c>
      <c r="G16" s="41">
        <f>Elect!H18</f>
        <v>2.1779999999999999</v>
      </c>
      <c r="H16" s="41">
        <f>Elect!E18</f>
        <v>45120</v>
      </c>
      <c r="I16" s="41">
        <f>Elect!D18</f>
        <v>2.0710000000000002</v>
      </c>
      <c r="J16" s="41">
        <f>Elect!Y18</f>
        <v>37500</v>
      </c>
      <c r="K16" s="41">
        <f>Elect!X18</f>
        <v>1.8839999999999999</v>
      </c>
      <c r="L16" s="41">
        <f>Elect!AS18</f>
        <v>1760</v>
      </c>
      <c r="M16" s="41">
        <f>Elect!AR18</f>
        <v>0.373</v>
      </c>
      <c r="N16" s="41">
        <f>Elect!AC18</f>
        <v>50100</v>
      </c>
      <c r="O16" s="41">
        <f>Elect!AB18</f>
        <v>1.766</v>
      </c>
      <c r="P16" s="41">
        <f>Elect!Q18</f>
        <v>12400</v>
      </c>
      <c r="Q16" s="41">
        <f>Elect!P18</f>
        <v>0.24299999999999999</v>
      </c>
      <c r="R16" s="41">
        <f>Elect!M18</f>
        <v>12800</v>
      </c>
      <c r="S16" s="41">
        <f>Elect!L18</f>
        <v>0.32600000000000001</v>
      </c>
      <c r="T16" s="41">
        <f>Elect!U18</f>
        <v>11200</v>
      </c>
      <c r="U16" s="41">
        <f>Elect!T18</f>
        <v>0.314</v>
      </c>
      <c r="V16" s="41">
        <f>Elect!AG18</f>
        <v>6720</v>
      </c>
      <c r="W16" s="41">
        <f>Elect!AF18</f>
        <v>0.378</v>
      </c>
      <c r="X16" s="41">
        <f>Elect!AK18</f>
        <v>4320</v>
      </c>
      <c r="Y16" s="41">
        <f>Elect!AJ18</f>
        <v>0.31900000000000001</v>
      </c>
      <c r="Z16" s="41">
        <f>Elect!AO18</f>
        <v>47800</v>
      </c>
      <c r="AA16" s="41">
        <f>Elect!AN18</f>
        <v>1.9419999999999999</v>
      </c>
      <c r="AB16" s="41">
        <f>Elect!BJ18</f>
        <v>1800</v>
      </c>
      <c r="AC16" s="41">
        <f>Elect!BG18</f>
        <v>15200</v>
      </c>
      <c r="AD16" s="41">
        <f>Elect!BM18</f>
        <v>881</v>
      </c>
      <c r="AE16" s="41">
        <f>Elect!BP18</f>
        <v>4200</v>
      </c>
      <c r="AF16" s="43">
        <f>('Wtr-Gas'!E18)*0.0038</f>
        <v>4813.9539999999997</v>
      </c>
      <c r="AG16" s="43">
        <f>('Wtr-Gas'!H18)*0.0038</f>
        <v>549.48</v>
      </c>
      <c r="AH16" s="43">
        <f>'Wtr-Gas'!K18*0.0038</f>
        <v>5.32</v>
      </c>
      <c r="AI16" s="43">
        <f>'Wtr-Gas'!N18*0.0038</f>
        <v>3746.8</v>
      </c>
      <c r="AJ16" s="43">
        <f>'Wtr-Gas'!Q18*0.0038</f>
        <v>96.9</v>
      </c>
      <c r="AK16" s="46">
        <f>'Wtr-Gas'!U18*0.0038</f>
        <v>919.22</v>
      </c>
      <c r="AL16" s="46">
        <f>'Wtr-Gas'!X18*0.0038</f>
        <v>4696.8</v>
      </c>
      <c r="AM16" s="43">
        <f>'Wtr-Gas'!AB18*0.0038</f>
        <v>741</v>
      </c>
      <c r="AN16" s="43">
        <f>'Wtr-Gas'!AD18*0.0038</f>
        <v>15580.7942</v>
      </c>
      <c r="AO16" s="43">
        <f>'Wtr-Gas'!AF18*0.0038</f>
        <v>1470.6</v>
      </c>
      <c r="AP16" s="43">
        <f>'Wtr-Gas'!AH18*0.0038</f>
        <v>38919.599999999999</v>
      </c>
      <c r="AQ16" s="43">
        <f>'Wtr-Gas'!AJ18*0.0038</f>
        <v>35.454000000000001</v>
      </c>
      <c r="AR16" s="43">
        <f>'Wtr-Gas'!AL18*0.0038</f>
        <v>243.2</v>
      </c>
      <c r="AS16" s="43">
        <f>'Wtr-Gas'!AN18*0.0038</f>
        <v>3.7999999999999999E-2</v>
      </c>
      <c r="AT16" s="43">
        <f>'Wtr-Gas'!AP18*0.0038</f>
        <v>7.0679999999999996</v>
      </c>
      <c r="AU16" s="46">
        <f>'Wtr-Gas'!AT18*0.0038</f>
        <v>0.50539999999999996</v>
      </c>
      <c r="AV16" s="43">
        <f>'Wtr-Gas'!AW18*0.0038</f>
        <v>228.6764</v>
      </c>
      <c r="AW16" s="44">
        <f>'Wtr-Gas'!AY18*0.0038</f>
        <v>2.698</v>
      </c>
      <c r="AX16" s="43">
        <f>'Wtr-Gas'!AZ18*0.0038</f>
        <v>225.97839999999999</v>
      </c>
      <c r="AY16" s="43">
        <f>'Wtr-Gas'!BB18*0.0038</f>
        <v>11.4</v>
      </c>
      <c r="AZ16" s="43">
        <f>'Wtr-Gas'!BD18*0.0038</f>
        <v>0.76</v>
      </c>
      <c r="BA16" s="43">
        <f>'Wtr-Gas'!BF18*0.0038</f>
        <v>1017.5564000000001</v>
      </c>
    </row>
    <row r="17" spans="1:53">
      <c r="A17" s="3" t="s">
        <v>11</v>
      </c>
      <c r="B17" s="2">
        <v>8</v>
      </c>
      <c r="C17" s="2">
        <v>4</v>
      </c>
      <c r="D17" s="2">
        <v>2019</v>
      </c>
      <c r="E17" s="41">
        <f>Elect!AW19</f>
        <v>548</v>
      </c>
      <c r="F17" s="41">
        <f>Elect!I19</f>
        <v>47040</v>
      </c>
      <c r="G17" s="41">
        <f>Elect!H19</f>
        <v>2.3109999999999999</v>
      </c>
      <c r="H17" s="41">
        <f>Elect!E19</f>
        <v>45920</v>
      </c>
      <c r="I17" s="41">
        <f>Elect!D19</f>
        <v>2.0710000000000002</v>
      </c>
      <c r="J17" s="41">
        <f>Elect!Y19</f>
        <v>51300</v>
      </c>
      <c r="K17" s="41">
        <f>Elect!X19</f>
        <v>1.9550000000000001</v>
      </c>
      <c r="L17" s="41">
        <f>Elect!AS19</f>
        <v>1800</v>
      </c>
      <c r="M17" s="41">
        <f>Elect!AR19</f>
        <v>0.373</v>
      </c>
      <c r="N17" s="41">
        <f>Elect!AC19</f>
        <v>47100</v>
      </c>
      <c r="O17" s="41">
        <f>Elect!AB19</f>
        <v>1.93</v>
      </c>
      <c r="P17" s="41">
        <f>Elect!Q19</f>
        <v>12000</v>
      </c>
      <c r="Q17" s="41">
        <f>Elect!P19</f>
        <v>0.24299999999999999</v>
      </c>
      <c r="R17" s="41">
        <f>Elect!M19</f>
        <v>12000</v>
      </c>
      <c r="S17" s="41">
        <f>Elect!L19</f>
        <v>0.32600000000000001</v>
      </c>
      <c r="T17" s="41">
        <f>Elect!U19</f>
        <v>14800</v>
      </c>
      <c r="U17" s="41">
        <f>Elect!T19</f>
        <v>0.314</v>
      </c>
      <c r="V17" s="41">
        <f>Elect!AG19</f>
        <v>6720</v>
      </c>
      <c r="W17" s="41">
        <f>Elect!AF19</f>
        <v>0.378</v>
      </c>
      <c r="X17" s="41">
        <f>Elect!AK19</f>
        <v>4160</v>
      </c>
      <c r="Y17" s="41">
        <f>Elect!AJ19</f>
        <v>0.31900000000000001</v>
      </c>
      <c r="Z17" s="41">
        <f>Elect!AO19</f>
        <v>48400</v>
      </c>
      <c r="AA17" s="41">
        <f>Elect!AN19</f>
        <v>1.9419999999999999</v>
      </c>
      <c r="AB17" s="41">
        <f>Elect!BJ19</f>
        <v>2200</v>
      </c>
      <c r="AC17" s="41">
        <f>Elect!BG19</f>
        <v>18400</v>
      </c>
      <c r="AD17" s="41">
        <f>Elect!BM19</f>
        <v>1017</v>
      </c>
      <c r="AE17" s="41">
        <f>Elect!BP19</f>
        <v>4640</v>
      </c>
      <c r="AF17" s="43">
        <f>('Wtr-Gas'!E19)*0.0038</f>
        <v>4863.7340000000004</v>
      </c>
      <c r="AG17" s="43">
        <f>('Wtr-Gas'!H19)*0.0038</f>
        <v>545.33799999999997</v>
      </c>
      <c r="AH17" s="43">
        <f>'Wtr-Gas'!K19*0.0038</f>
        <v>14.06</v>
      </c>
      <c r="AI17" s="43">
        <f>'Wtr-Gas'!N19*0.0038</f>
        <v>3621.4</v>
      </c>
      <c r="AJ17" s="43">
        <f>'Wtr-Gas'!Q19*0.0038</f>
        <v>91.2</v>
      </c>
      <c r="AK17" s="46">
        <f>'Wtr-Gas'!U19*0.0038</f>
        <v>856.14</v>
      </c>
      <c r="AL17" s="46">
        <f>'Wtr-Gas'!X19*0.0038</f>
        <v>3724</v>
      </c>
      <c r="AM17" s="43">
        <f>'Wtr-Gas'!AB19*0.0038</f>
        <v>851.2</v>
      </c>
      <c r="AN17" s="43">
        <f>'Wtr-Gas'!AD19*0.0038</f>
        <v>18697.4022</v>
      </c>
      <c r="AO17" s="43">
        <f>'Wtr-Gas'!AF19*0.0038</f>
        <v>1717.6</v>
      </c>
      <c r="AP17" s="43">
        <f>'Wtr-Gas'!AH19*0.0038</f>
        <v>47002.2</v>
      </c>
      <c r="AQ17" s="43">
        <f>'Wtr-Gas'!AJ19*0.0038</f>
        <v>32.060600000000001</v>
      </c>
      <c r="AR17" s="43">
        <f>'Wtr-Gas'!AL19*0.0038</f>
        <v>254.6</v>
      </c>
      <c r="AS17" s="43">
        <f>'Wtr-Gas'!AN19*0.0038</f>
        <v>0</v>
      </c>
      <c r="AT17" s="43">
        <f>'Wtr-Gas'!AP19*0.0038</f>
        <v>1.71</v>
      </c>
      <c r="AU17" s="46">
        <f>'Wtr-Gas'!AT19*0.0038</f>
        <v>0.64219999999999999</v>
      </c>
      <c r="AV17" s="43">
        <f>'Wtr-Gas'!AW19*0.0038</f>
        <v>266.92720000000003</v>
      </c>
      <c r="AW17" s="44">
        <f>'Wtr-Gas'!AY19*0.0038</f>
        <v>2.7360000000000002</v>
      </c>
      <c r="AX17" s="43">
        <f>'Wtr-Gas'!AZ19*0.0038</f>
        <v>264.19119999999998</v>
      </c>
      <c r="AY17" s="43">
        <f>'Wtr-Gas'!BB19*0.0038</f>
        <v>15.96</v>
      </c>
      <c r="AZ17" s="43">
        <f>'Wtr-Gas'!BD19*0.0038</f>
        <v>11.78</v>
      </c>
      <c r="BA17" s="43">
        <f>'Wtr-Gas'!BF19*0.0038</f>
        <v>1211.7364</v>
      </c>
    </row>
    <row r="18" spans="1:53">
      <c r="A18" s="3" t="s">
        <v>11</v>
      </c>
      <c r="B18" s="2">
        <v>14</v>
      </c>
      <c r="C18" s="2">
        <v>4</v>
      </c>
      <c r="D18" s="2">
        <v>2019</v>
      </c>
      <c r="E18" s="41">
        <f>Elect!AW20</f>
        <v>564</v>
      </c>
      <c r="F18" s="41">
        <f>Elect!I20</f>
        <v>46560</v>
      </c>
      <c r="G18" s="41">
        <f>Elect!H20</f>
        <v>2.3109999999999999</v>
      </c>
      <c r="H18" s="41">
        <f>Elect!E20</f>
        <v>45920</v>
      </c>
      <c r="I18" s="41">
        <f>Elect!D20</f>
        <v>2.1389999999999998</v>
      </c>
      <c r="J18" s="41">
        <f>Elect!Y20</f>
        <v>68400</v>
      </c>
      <c r="K18" s="41">
        <f>Elect!X20</f>
        <v>2.831</v>
      </c>
      <c r="L18" s="41">
        <f>Elect!AS20</f>
        <v>1800</v>
      </c>
      <c r="M18" s="41">
        <f>Elect!AR20</f>
        <v>0.373</v>
      </c>
      <c r="N18" s="41">
        <f>Elect!AC20</f>
        <v>78600</v>
      </c>
      <c r="O18" s="41">
        <f>Elect!AB20</f>
        <v>2.1970000000000001</v>
      </c>
      <c r="P18" s="41">
        <f>Elect!Q20</f>
        <v>12400</v>
      </c>
      <c r="Q18" s="41">
        <f>Elect!P20</f>
        <v>0.24399999999999999</v>
      </c>
      <c r="R18" s="41">
        <f>Elect!M20</f>
        <v>12400</v>
      </c>
      <c r="S18" s="41">
        <f>Elect!L20</f>
        <v>0.32600000000000001</v>
      </c>
      <c r="T18" s="41">
        <f>Elect!U20</f>
        <v>12800</v>
      </c>
      <c r="U18" s="41">
        <f>Elect!T20</f>
        <v>0.314</v>
      </c>
      <c r="V18" s="41">
        <f>Elect!AG20</f>
        <v>7520</v>
      </c>
      <c r="W18" s="41">
        <f>Elect!AF20</f>
        <v>0.42899999999999999</v>
      </c>
      <c r="X18" s="41">
        <f>Elect!AK20</f>
        <v>4960</v>
      </c>
      <c r="Y18" s="41">
        <f>Elect!AJ20</f>
        <v>0.42899999999999999</v>
      </c>
      <c r="Z18" s="41">
        <f>Elect!AO20</f>
        <v>50200</v>
      </c>
      <c r="AA18" s="41">
        <f>Elect!AN20</f>
        <v>1.9910000000000001</v>
      </c>
      <c r="AB18" s="41">
        <f>Elect!BJ20</f>
        <v>1700</v>
      </c>
      <c r="AC18" s="41">
        <f>Elect!BG20</f>
        <v>15300</v>
      </c>
      <c r="AD18" s="41">
        <f>Elect!BM20</f>
        <v>758</v>
      </c>
      <c r="AE18" s="41">
        <f>Elect!BP20</f>
        <v>1800</v>
      </c>
      <c r="AF18" s="43">
        <f>('Wtr-Gas'!E20)*0.0038</f>
        <v>4656.1779999999999</v>
      </c>
      <c r="AG18" s="43">
        <f>('Wtr-Gas'!H20)*0.0038</f>
        <v>538.99199999999996</v>
      </c>
      <c r="AH18" s="43">
        <f>'Wtr-Gas'!K20*0.0038</f>
        <v>6.08</v>
      </c>
      <c r="AI18" s="43">
        <f>'Wtr-Gas'!N20*0.0038</f>
        <v>3838</v>
      </c>
      <c r="AJ18" s="43">
        <f>'Wtr-Gas'!Q20*0.0038</f>
        <v>81.319999999999993</v>
      </c>
      <c r="AK18" s="46">
        <f>'Wtr-Gas'!U20*0.0038</f>
        <v>813.2</v>
      </c>
      <c r="AL18" s="46">
        <f>'Wtr-Gas'!X20*0.0038</f>
        <v>2462.4</v>
      </c>
      <c r="AM18" s="43">
        <f>'Wtr-Gas'!AB20*0.0038</f>
        <v>1048.8</v>
      </c>
      <c r="AN18" s="43">
        <f>'Wtr-Gas'!AD20*0.0038</f>
        <v>24196.861000000001</v>
      </c>
      <c r="AO18" s="43">
        <f>'Wtr-Gas'!AF20*0.0038</f>
        <v>2314.1999999999998</v>
      </c>
      <c r="AP18" s="43">
        <f>'Wtr-Gas'!AH20*0.0038</f>
        <v>20238.8</v>
      </c>
      <c r="AQ18" s="43">
        <f>'Wtr-Gas'!AJ20*0.0038</f>
        <v>40.139400000000002</v>
      </c>
      <c r="AR18" s="43">
        <f>'Wtr-Gas'!AL20*0.0038</f>
        <v>159.6</v>
      </c>
      <c r="AS18" s="43">
        <f>'Wtr-Gas'!AN20*0.0038</f>
        <v>0</v>
      </c>
      <c r="AT18" s="43">
        <f>'Wtr-Gas'!AP20*0.0038</f>
        <v>1.786</v>
      </c>
      <c r="AU18" s="46">
        <f>'Wtr-Gas'!AT20*0.0038</f>
        <v>0.48259999999999997</v>
      </c>
      <c r="AV18" s="43">
        <f>'Wtr-Gas'!AW20*0.0038</f>
        <v>202.7756</v>
      </c>
      <c r="AW18" s="44">
        <f>'Wtr-Gas'!AY20*0.0038</f>
        <v>2.1280000000000001</v>
      </c>
      <c r="AX18" s="43">
        <f>'Wtr-Gas'!AZ20*0.0038</f>
        <v>200.64760000000001</v>
      </c>
      <c r="AY18" s="43">
        <f>'Wtr-Gas'!BB20*0.0038</f>
        <v>9.1199999999999992</v>
      </c>
      <c r="AZ18" s="43">
        <f>'Wtr-Gas'!BD20*0.0038</f>
        <v>9.5</v>
      </c>
      <c r="BA18" s="43">
        <f>'Wtr-Gas'!BF20*0.0038</f>
        <v>271.00459999999998</v>
      </c>
    </row>
    <row r="19" spans="1:53">
      <c r="A19" s="3" t="s">
        <v>11</v>
      </c>
      <c r="B19" s="2">
        <v>21</v>
      </c>
      <c r="C19" s="2">
        <v>4</v>
      </c>
      <c r="D19" s="2">
        <v>2019</v>
      </c>
      <c r="E19" s="41">
        <f>Elect!AW21</f>
        <v>559</v>
      </c>
      <c r="F19" s="41">
        <f>Elect!I21</f>
        <v>48480</v>
      </c>
      <c r="G19" s="41">
        <f>Elect!H21</f>
        <v>1.4870000000000001</v>
      </c>
      <c r="H19" s="41">
        <f>Elect!E21</f>
        <v>46560</v>
      </c>
      <c r="I19" s="41">
        <f>Elect!D21</f>
        <v>1.6930000000000001</v>
      </c>
      <c r="J19" s="41">
        <f>Elect!Y21</f>
        <v>58800</v>
      </c>
      <c r="K19" s="41">
        <f>Elect!X21</f>
        <v>2.831</v>
      </c>
      <c r="L19" s="41">
        <f>Elect!AS21</f>
        <v>920</v>
      </c>
      <c r="M19" s="41">
        <f>Elect!AR21</f>
        <v>0.315</v>
      </c>
      <c r="N19" s="41">
        <f>Elect!AC21</f>
        <v>18900</v>
      </c>
      <c r="O19" s="41">
        <f>Elect!AB21</f>
        <v>0.441</v>
      </c>
      <c r="P19" s="41">
        <f>Elect!Q21</f>
        <v>12800</v>
      </c>
      <c r="Q19" s="41">
        <f>Elect!P21</f>
        <v>0.161</v>
      </c>
      <c r="R19" s="41">
        <f>Elect!M21</f>
        <v>12800</v>
      </c>
      <c r="S19" s="41">
        <f>Elect!L21</f>
        <v>0.154</v>
      </c>
      <c r="T19" s="41">
        <f>Elect!U21</f>
        <v>13200</v>
      </c>
      <c r="U19" s="41">
        <f>Elect!T21</f>
        <v>0.16500000000000001</v>
      </c>
      <c r="V19" s="41">
        <f>Elect!AG21</f>
        <v>6400</v>
      </c>
      <c r="W19" s="41">
        <f>Elect!AF21</f>
        <v>0.222</v>
      </c>
      <c r="X19" s="41">
        <f>Elect!AK21</f>
        <v>3360</v>
      </c>
      <c r="Y19" s="41">
        <f>Elect!AJ21</f>
        <v>0.107</v>
      </c>
      <c r="Z19" s="41">
        <f>Elect!AO21</f>
        <v>50200</v>
      </c>
      <c r="AA19" s="41">
        <f>Elect!AN21</f>
        <v>1.1120000000000001</v>
      </c>
      <c r="AB19" s="41">
        <f>Elect!BJ21</f>
        <v>2100</v>
      </c>
      <c r="AC19" s="41">
        <f>Elect!BG21</f>
        <v>15600</v>
      </c>
      <c r="AD19" s="41">
        <f>Elect!BM21</f>
        <v>879</v>
      </c>
      <c r="AE19" s="41">
        <f>Elect!BP21</f>
        <v>2800</v>
      </c>
      <c r="AF19" s="43">
        <f>('Wtr-Gas'!E21)*0.0038</f>
        <v>5161.768</v>
      </c>
      <c r="AG19" s="43">
        <f>('Wtr-Gas'!H21)*0.0038</f>
        <v>377.87200000000001</v>
      </c>
      <c r="AH19" s="43">
        <f>'Wtr-Gas'!K21*0.0038</f>
        <v>14.82</v>
      </c>
      <c r="AI19" s="43">
        <f>'Wtr-Gas'!N21*0.0038</f>
        <v>3891.2</v>
      </c>
      <c r="AJ19" s="43">
        <f>'Wtr-Gas'!Q21*0.0038</f>
        <v>85.12</v>
      </c>
      <c r="AK19" s="46">
        <f>'Wtr-Gas'!U21*0.0038</f>
        <v>866.4</v>
      </c>
      <c r="AL19" s="46">
        <f>'Wtr-Gas'!X21*0.0038</f>
        <v>4170.12</v>
      </c>
      <c r="AM19" s="43">
        <f>'Wtr-Gas'!AB21*0.0038</f>
        <v>779</v>
      </c>
      <c r="AN19" s="43">
        <f>'Wtr-Gas'!AD21*0.0038</f>
        <v>18102.755399999998</v>
      </c>
      <c r="AO19" s="43">
        <f>'Wtr-Gas'!AF21*0.0038</f>
        <v>1546.6</v>
      </c>
      <c r="AP19" s="43">
        <f>'Wtr-Gas'!AH21*0.0038</f>
        <v>30217.599999999999</v>
      </c>
      <c r="AQ19" s="43">
        <f>'Wtr-Gas'!AJ21*0.0038</f>
        <v>32.858600000000003</v>
      </c>
      <c r="AR19" s="43">
        <f>'Wtr-Gas'!AL21*0.0038</f>
        <v>258.39999999999998</v>
      </c>
      <c r="AS19" s="43">
        <f>'Wtr-Gas'!AN21*0.0038</f>
        <v>0</v>
      </c>
      <c r="AT19" s="43">
        <f>'Wtr-Gas'!AP21*0.0038</f>
        <v>1.9379999999999999</v>
      </c>
      <c r="AU19" s="46">
        <f>'Wtr-Gas'!AT21*0.0038</f>
        <v>0.45600000000000002</v>
      </c>
      <c r="AV19" s="43">
        <f>'Wtr-Gas'!AW21*0.0038</f>
        <v>233.13380000000001</v>
      </c>
      <c r="AW19" s="44">
        <f>'Wtr-Gas'!AY21*0.0038</f>
        <v>4.5979999999999999</v>
      </c>
      <c r="AX19" s="43">
        <f>'Wtr-Gas'!AZ21*0.0038</f>
        <v>228.53579999999999</v>
      </c>
      <c r="AY19" s="43">
        <f>'Wtr-Gas'!BB21*0.0038</f>
        <v>7.98</v>
      </c>
      <c r="AZ19" s="43">
        <f>'Wtr-Gas'!BD21*0.0038</f>
        <v>3.42</v>
      </c>
      <c r="BA19" s="43">
        <f>'Wtr-Gas'!BF21*0.0038</f>
        <v>472.86439999999999</v>
      </c>
    </row>
    <row r="20" spans="1:53">
      <c r="A20" s="3" t="s">
        <v>11</v>
      </c>
      <c r="B20" s="2">
        <v>28</v>
      </c>
      <c r="C20" s="2">
        <v>4</v>
      </c>
      <c r="D20" s="2">
        <v>2019</v>
      </c>
      <c r="E20" s="41">
        <f>Elect!AW22</f>
        <v>496</v>
      </c>
      <c r="F20" s="41">
        <f>Elect!I22</f>
        <v>46080</v>
      </c>
      <c r="G20" s="41">
        <f>Elect!H22</f>
        <v>2.2919999999999998</v>
      </c>
      <c r="H20" s="41">
        <f>Elect!E22</f>
        <v>44960</v>
      </c>
      <c r="I20" s="41">
        <f>Elect!D22</f>
        <v>2.0720000000000001</v>
      </c>
      <c r="J20" s="41">
        <f>Elect!Y22</f>
        <v>53100</v>
      </c>
      <c r="K20" s="41">
        <f>Elect!X22</f>
        <v>2.0739999999999998</v>
      </c>
      <c r="L20" s="41">
        <f>Elect!AS22</f>
        <v>2400</v>
      </c>
      <c r="M20" s="41">
        <f>Elect!AR22</f>
        <v>0.36699999999999999</v>
      </c>
      <c r="N20" s="41">
        <f>Elect!AC22</f>
        <v>47700</v>
      </c>
      <c r="O20" s="41">
        <f>Elect!AB22</f>
        <v>2.081</v>
      </c>
      <c r="P20" s="41">
        <f>Elect!Q22</f>
        <v>11200</v>
      </c>
      <c r="Q20" s="41">
        <f>Elect!P22</f>
        <v>0.22500000000000001</v>
      </c>
      <c r="R20" s="41">
        <f>Elect!M22</f>
        <v>11200</v>
      </c>
      <c r="S20" s="41">
        <f>Elect!L22</f>
        <v>0.246</v>
      </c>
      <c r="T20" s="41">
        <f>Elect!U22</f>
        <v>12400</v>
      </c>
      <c r="U20" s="41">
        <f>Elect!T22</f>
        <v>0.314</v>
      </c>
      <c r="V20" s="41">
        <f>Elect!AG22</f>
        <v>8640</v>
      </c>
      <c r="W20" s="41">
        <f>Elect!AF22</f>
        <v>0.56100000000000005</v>
      </c>
      <c r="X20" s="41">
        <f>Elect!AK22</f>
        <v>4640</v>
      </c>
      <c r="Y20" s="41">
        <f>Elect!AJ22</f>
        <v>0.3</v>
      </c>
      <c r="Z20" s="41">
        <f>Elect!AO22</f>
        <v>48200</v>
      </c>
      <c r="AA20" s="41">
        <f>Elect!AN22</f>
        <v>1.948</v>
      </c>
      <c r="AB20" s="41">
        <f>Elect!BJ22</f>
        <v>1800</v>
      </c>
      <c r="AC20" s="41">
        <f>Elect!BG22</f>
        <v>16100</v>
      </c>
      <c r="AD20" s="41">
        <f>Elect!BM22</f>
        <v>879</v>
      </c>
      <c r="AE20" s="41">
        <f>Elect!BP22</f>
        <v>6200</v>
      </c>
      <c r="AF20" s="43">
        <f>('Wtr-Gas'!E22)*0.0038</f>
        <v>4372.3559999999998</v>
      </c>
      <c r="AG20" s="43">
        <f>('Wtr-Gas'!H22)*0.0038</f>
        <v>509.01</v>
      </c>
      <c r="AH20" s="43">
        <f>'Wtr-Gas'!K22*0.0038</f>
        <v>15.2</v>
      </c>
      <c r="AI20" s="43">
        <f>'Wtr-Gas'!N22*0.0038</f>
        <v>3518.8</v>
      </c>
      <c r="AJ20" s="43">
        <f>'Wtr-Gas'!Q22*0.0038</f>
        <v>85.12</v>
      </c>
      <c r="AK20" s="46">
        <f>'Wtr-Gas'!U22*0.0038</f>
        <v>806.36</v>
      </c>
      <c r="AL20" s="46">
        <f>'Wtr-Gas'!X22*0.0038</f>
        <v>3057.48</v>
      </c>
      <c r="AM20" s="43">
        <f>'Wtr-Gas'!AB22*0.0038</f>
        <v>984.2</v>
      </c>
      <c r="AN20" s="43">
        <f>'Wtr-Gas'!AD22*0.0038</f>
        <v>19132.475600000002</v>
      </c>
      <c r="AO20" s="43">
        <f>'Wtr-Gas'!AF22*0.0038</f>
        <v>376.2</v>
      </c>
      <c r="AP20" s="43">
        <f>'Wtr-Gas'!AH22*0.0038</f>
        <v>16089.2</v>
      </c>
      <c r="AQ20" s="43">
        <f>'Wtr-Gas'!AJ22*0.0038</f>
        <v>74.153199999999998</v>
      </c>
      <c r="AR20" s="43">
        <f>'Wtr-Gas'!AL22*0.0038</f>
        <v>220.4</v>
      </c>
      <c r="AS20" s="43">
        <f>'Wtr-Gas'!AN22*0.0038</f>
        <v>0</v>
      </c>
      <c r="AT20" s="43">
        <f>'Wtr-Gas'!AP22*0.0038</f>
        <v>2.052</v>
      </c>
      <c r="AU20" s="46">
        <f>'Wtr-Gas'!AT22*0.0038</f>
        <v>0.41799999999999998</v>
      </c>
      <c r="AV20" s="43">
        <f>'Wtr-Gas'!AW22*0.0038</f>
        <v>225.81120000000001</v>
      </c>
      <c r="AW20" s="44">
        <f>'Wtr-Gas'!AY22*0.0038</f>
        <v>4.9779999999999998</v>
      </c>
      <c r="AX20" s="43">
        <f>'Wtr-Gas'!AZ22*0.0038</f>
        <v>220.83320000000001</v>
      </c>
      <c r="AY20" s="43">
        <f>'Wtr-Gas'!BB22*0.0038</f>
        <v>9.8800000000000008</v>
      </c>
      <c r="AZ20" s="43">
        <f>'Wtr-Gas'!BD22*0.0038</f>
        <v>1.1399999999999999</v>
      </c>
      <c r="BA20" s="43">
        <f>'Wtr-Gas'!BF22*0.0038</f>
        <v>1825.5465999999999</v>
      </c>
    </row>
    <row r="21" spans="1:53">
      <c r="A21" s="3" t="s">
        <v>11</v>
      </c>
      <c r="B21" s="2">
        <v>30</v>
      </c>
      <c r="C21" s="2">
        <v>4</v>
      </c>
      <c r="D21" s="2">
        <v>2019</v>
      </c>
      <c r="E21" s="41">
        <f>Elect!AW23</f>
        <v>193</v>
      </c>
      <c r="F21" s="41">
        <f>Elect!I23</f>
        <v>16000</v>
      </c>
      <c r="G21" s="41">
        <f>Elect!H23</f>
        <v>2.2919999999999998</v>
      </c>
      <c r="H21" s="41">
        <f>Elect!E23</f>
        <v>16160</v>
      </c>
      <c r="I21" s="41">
        <f>Elect!D23</f>
        <v>2.0920000000000001</v>
      </c>
      <c r="J21" s="41">
        <f>Elect!Y23</f>
        <v>21000</v>
      </c>
      <c r="K21" s="41">
        <f>Elect!X23</f>
        <v>2.0739999999999998</v>
      </c>
      <c r="L21" s="41">
        <f>Elect!AS23</f>
        <v>600</v>
      </c>
      <c r="M21" s="41">
        <f>Elect!AR23</f>
        <v>0.36699999999999999</v>
      </c>
      <c r="N21" s="41">
        <f>Elect!AC23</f>
        <v>28500</v>
      </c>
      <c r="O21" s="41">
        <f>Elect!AB23</f>
        <v>2.081</v>
      </c>
      <c r="P21" s="41">
        <f>Elect!Q23</f>
        <v>4400</v>
      </c>
      <c r="Q21" s="41">
        <f>Elect!P23</f>
        <v>0.245</v>
      </c>
      <c r="R21" s="41">
        <f>Elect!M23</f>
        <v>4400</v>
      </c>
      <c r="S21" s="41">
        <f>Elect!L23</f>
        <v>0.246</v>
      </c>
      <c r="T21" s="41">
        <f>Elect!U23</f>
        <v>4400</v>
      </c>
      <c r="U21" s="41">
        <f>Elect!T23</f>
        <v>0.314</v>
      </c>
      <c r="V21" s="41">
        <f>Elect!AG23</f>
        <v>2720</v>
      </c>
      <c r="W21" s="41">
        <f>Elect!AF23</f>
        <v>0.56100000000000005</v>
      </c>
      <c r="X21" s="41">
        <f>Elect!AK23</f>
        <v>800</v>
      </c>
      <c r="Y21" s="41">
        <f>Elect!AJ23</f>
        <v>0.35</v>
      </c>
      <c r="Z21" s="41">
        <f>Elect!AO23</f>
        <v>18400</v>
      </c>
      <c r="AA21" s="41">
        <f>Elect!AN23</f>
        <v>1.9490000000000001</v>
      </c>
      <c r="AB21" s="41">
        <f>Elect!BJ23</f>
        <v>600</v>
      </c>
      <c r="AC21" s="41">
        <f>Elect!BG23</f>
        <v>4700</v>
      </c>
      <c r="AD21" s="41">
        <f>Elect!BM23</f>
        <v>250</v>
      </c>
      <c r="AE21" s="41">
        <f>Elect!BP23</f>
        <v>2520</v>
      </c>
      <c r="AF21" s="43">
        <f>('Wtr-Gas'!E23)*0.0038</f>
        <v>1749.2159999999999</v>
      </c>
      <c r="AG21" s="43">
        <f>('Wtr-Gas'!H23)*0.0038</f>
        <v>168.60599999999999</v>
      </c>
      <c r="AH21" s="43">
        <f>'Wtr-Gas'!K23*0.0038</f>
        <v>7.6</v>
      </c>
      <c r="AI21" s="43">
        <f>'Wtr-Gas'!N23*0.0038</f>
        <v>1352.8</v>
      </c>
      <c r="AJ21" s="43">
        <f>'Wtr-Gas'!Q23*0.0038</f>
        <v>35.72</v>
      </c>
      <c r="AK21" s="46">
        <f>'Wtr-Gas'!U23*0.0038</f>
        <v>300.2</v>
      </c>
      <c r="AL21" s="46">
        <f>'Wtr-Gas'!X23*0.0038</f>
        <v>855</v>
      </c>
      <c r="AM21" s="43">
        <f>'Wtr-Gas'!AB23*0.0038</f>
        <v>376.2</v>
      </c>
      <c r="AN21" s="43">
        <f>'Wtr-Gas'!AD23*0.0038</f>
        <v>9686.9295999999995</v>
      </c>
      <c r="AO21" s="43">
        <f>'Wtr-Gas'!AF23*0.0038</f>
        <v>3268</v>
      </c>
      <c r="AP21" s="43">
        <f>'Wtr-Gas'!AH23*0.0038</f>
        <v>7683.6</v>
      </c>
      <c r="AQ21" s="43">
        <f>'Wtr-Gas'!AJ23*0.0038</f>
        <v>39.417400000000001</v>
      </c>
      <c r="AR21" s="43">
        <f>'Wtr-Gas'!AL23*0.0038</f>
        <v>76</v>
      </c>
      <c r="AS21" s="43">
        <f>'Wtr-Gas'!AN23*0.0038</f>
        <v>0</v>
      </c>
      <c r="AT21" s="43">
        <f>'Wtr-Gas'!AP23*0.0038</f>
        <v>0.874</v>
      </c>
      <c r="AU21" s="46">
        <f>'Wtr-Gas'!AT23*0.0038</f>
        <v>0.1216</v>
      </c>
      <c r="AV21" s="43">
        <f>'Wtr-Gas'!AW23*0.0038</f>
        <v>60.564399999999999</v>
      </c>
      <c r="AW21" s="44">
        <f>'Wtr-Gas'!AY23*0.0038</f>
        <v>1.1779999999999999</v>
      </c>
      <c r="AX21" s="43">
        <f>'Wtr-Gas'!AZ23*0.0038</f>
        <v>59.386400000000002</v>
      </c>
      <c r="AY21" s="43">
        <f>'Wtr-Gas'!BB23*0.0038</f>
        <v>0.76</v>
      </c>
      <c r="AZ21" s="43">
        <f>'Wtr-Gas'!BD23*0.0038</f>
        <v>0.38</v>
      </c>
      <c r="BA21" s="43">
        <f>'Wtr-Gas'!BF23*0.0038</f>
        <v>772.76800000000003</v>
      </c>
    </row>
    <row r="22" spans="1:53">
      <c r="A22" s="3" t="s">
        <v>11</v>
      </c>
      <c r="B22" s="2">
        <v>5</v>
      </c>
      <c r="C22" s="2">
        <v>5</v>
      </c>
      <c r="D22" s="2">
        <v>2019</v>
      </c>
      <c r="E22" s="41">
        <f>Elect!AW24</f>
        <v>320</v>
      </c>
      <c r="F22" s="41">
        <f>Elect!I24</f>
        <v>30080</v>
      </c>
      <c r="G22" s="41">
        <f>Elect!H24</f>
        <v>2.2919999999999998</v>
      </c>
      <c r="H22" s="41">
        <f>Elect!E24</f>
        <v>29600</v>
      </c>
      <c r="I22" s="41">
        <f>Elect!D24</f>
        <v>2.0920000000000001</v>
      </c>
      <c r="J22" s="41">
        <f>Elect!Y24</f>
        <v>37500</v>
      </c>
      <c r="K22" s="41">
        <f>Elect!X24</f>
        <v>2.0739999999999998</v>
      </c>
      <c r="L22" s="41">
        <f>Elect!AS24</f>
        <v>1080</v>
      </c>
      <c r="M22" s="41">
        <f>Elect!AR24</f>
        <v>0.36699999999999999</v>
      </c>
      <c r="N22" s="41">
        <f>Elect!AC24</f>
        <v>51900</v>
      </c>
      <c r="O22" s="41">
        <f>Elect!AB24</f>
        <v>2.2679999999999998</v>
      </c>
      <c r="P22" s="41">
        <f>Elect!Q24</f>
        <v>7600</v>
      </c>
      <c r="Q22" s="41">
        <f>Elect!P24</f>
        <v>0.23699999999999999</v>
      </c>
      <c r="R22" s="41">
        <f>Elect!M24</f>
        <v>8000</v>
      </c>
      <c r="S22" s="41">
        <f>Elect!L24</f>
        <v>0.26200000000000001</v>
      </c>
      <c r="T22" s="41">
        <f>Elect!U24</f>
        <v>8800</v>
      </c>
      <c r="U22" s="41">
        <f>Elect!T24</f>
        <v>0.314</v>
      </c>
      <c r="V22" s="41">
        <f>Elect!AG24</f>
        <v>4320</v>
      </c>
      <c r="W22" s="41">
        <f>Elect!AF24</f>
        <v>0.56100000000000005</v>
      </c>
      <c r="X22" s="41">
        <f>Elect!AK24</f>
        <v>4320</v>
      </c>
      <c r="Y22" s="41">
        <f>Elect!AJ24</f>
        <v>0.35</v>
      </c>
      <c r="Z22" s="41">
        <f>Elect!AO24</f>
        <v>35000</v>
      </c>
      <c r="AA22" s="41">
        <f>Elect!AN24</f>
        <v>2.0609999999999999</v>
      </c>
      <c r="AB22" s="41">
        <f>Elect!BJ24</f>
        <v>1400</v>
      </c>
      <c r="AC22" s="41">
        <f>Elect!BG24</f>
        <v>12100</v>
      </c>
      <c r="AD22" s="41">
        <f>Elect!BM24</f>
        <v>633</v>
      </c>
      <c r="AE22" s="41">
        <f>Elect!BP24</f>
        <v>3000</v>
      </c>
      <c r="AF22" s="43">
        <f>('Wtr-Gas'!E24)*0.0038</f>
        <v>2953.056</v>
      </c>
      <c r="AG22" s="43">
        <f>('Wtr-Gas'!H24)*0.0038</f>
        <v>368.06799999999998</v>
      </c>
      <c r="AH22" s="43">
        <f>'Wtr-Gas'!K24*0.0038</f>
        <v>0.38</v>
      </c>
      <c r="AI22" s="43">
        <f>'Wtr-Gas'!N24*0.0038</f>
        <v>2519.4</v>
      </c>
      <c r="AJ22" s="43">
        <f>'Wtr-Gas'!Q24*0.0038</f>
        <v>58.14</v>
      </c>
      <c r="AK22" s="46">
        <f>'Wtr-Gas'!U24*0.0038</f>
        <v>523.26</v>
      </c>
      <c r="AL22" s="46">
        <f>'Wtr-Gas'!X24*0.0038</f>
        <v>1208.4000000000001</v>
      </c>
      <c r="AM22" s="43">
        <f>'Wtr-Gas'!AB24*0.0038</f>
        <v>1641.6</v>
      </c>
      <c r="AN22" s="43">
        <f>'Wtr-Gas'!AD24*0.0038</f>
        <v>16991.205999999998</v>
      </c>
      <c r="AO22" s="43">
        <f>'Wtr-Gas'!AF24*0.0038</f>
        <v>486.4</v>
      </c>
      <c r="AP22" s="43">
        <f>'Wtr-Gas'!AH24*0.0038</f>
        <v>9621.6</v>
      </c>
      <c r="AQ22" s="43">
        <f>'Wtr-Gas'!AJ24*0.0038</f>
        <v>27.9376</v>
      </c>
      <c r="AR22" s="43">
        <f>'Wtr-Gas'!AL24*0.0038</f>
        <v>102.6</v>
      </c>
      <c r="AS22" s="43">
        <f>'Wtr-Gas'!AN24*0.0038</f>
        <v>0</v>
      </c>
      <c r="AT22" s="43">
        <f>'Wtr-Gas'!AP24*0.0038</f>
        <v>1.1020000000000001</v>
      </c>
      <c r="AU22" s="46">
        <f>'Wtr-Gas'!AT24*0.0038</f>
        <v>0.36480000000000001</v>
      </c>
      <c r="AV22" s="43">
        <f>'Wtr-Gas'!AW24*0.0038</f>
        <v>159.85079999999999</v>
      </c>
      <c r="AW22" s="44">
        <f>'Wtr-Gas'!AY24*0.0038</f>
        <v>2.85</v>
      </c>
      <c r="AX22" s="43">
        <f>'Wtr-Gas'!AZ24*0.0038</f>
        <v>157.0008</v>
      </c>
      <c r="AY22" s="43">
        <f>'Wtr-Gas'!BB24*0.0038</f>
        <v>4.5599999999999996</v>
      </c>
      <c r="AZ22" s="43">
        <f>'Wtr-Gas'!BD24*0.0038</f>
        <v>0.38</v>
      </c>
      <c r="BA22" s="43">
        <f>'Wtr-Gas'!BF24*0.0038</f>
        <v>739.95119999999997</v>
      </c>
    </row>
    <row r="23" spans="1:53">
      <c r="A23" s="3" t="s">
        <v>11</v>
      </c>
      <c r="B23" s="2">
        <v>13</v>
      </c>
      <c r="C23" s="2">
        <v>5</v>
      </c>
      <c r="D23" s="2">
        <v>2019</v>
      </c>
      <c r="E23" s="41">
        <f>Elect!AW25</f>
        <v>505</v>
      </c>
      <c r="F23" s="41">
        <f>Elect!I25</f>
        <v>46080</v>
      </c>
      <c r="G23" s="41">
        <f>Elect!H25</f>
        <v>2.2919999999999998</v>
      </c>
      <c r="H23" s="41">
        <f>Elect!E25</f>
        <v>45760</v>
      </c>
      <c r="I23" s="41">
        <f>Elect!D25</f>
        <v>2.1890000000000001</v>
      </c>
      <c r="J23" s="41">
        <f>Elect!Y25</f>
        <v>92400</v>
      </c>
      <c r="K23" s="41">
        <f>Elect!X25</f>
        <v>2.871</v>
      </c>
      <c r="L23" s="41">
        <f>Elect!AS25</f>
        <v>1720</v>
      </c>
      <c r="M23" s="41">
        <f>Elect!AR25</f>
        <v>0.372</v>
      </c>
      <c r="N23" s="41">
        <f>Elect!AC25</f>
        <v>50700</v>
      </c>
      <c r="O23" s="41">
        <f>Elect!AB25</f>
        <v>2.2679999999999998</v>
      </c>
      <c r="P23" s="41">
        <f>Elect!Q25</f>
        <v>12400</v>
      </c>
      <c r="Q23" s="41">
        <f>Elect!P25</f>
        <v>0.24</v>
      </c>
      <c r="R23" s="41">
        <f>Elect!M25</f>
        <v>12800</v>
      </c>
      <c r="S23" s="41">
        <f>Elect!L25</f>
        <v>0.26200000000000001</v>
      </c>
      <c r="T23" s="41">
        <f>Elect!U25</f>
        <v>13600</v>
      </c>
      <c r="U23" s="41">
        <f>Elect!T25</f>
        <v>0.314</v>
      </c>
      <c r="V23" s="41">
        <f>Elect!AG25</f>
        <v>7200</v>
      </c>
      <c r="W23" s="41">
        <f>Elect!AF25</f>
        <v>0.56100000000000005</v>
      </c>
      <c r="X23" s="41">
        <f>Elect!AK25</f>
        <v>4480</v>
      </c>
      <c r="Y23" s="41">
        <f>Elect!AJ25</f>
        <v>0.35</v>
      </c>
      <c r="Z23" s="41">
        <f>Elect!AO25</f>
        <v>54600</v>
      </c>
      <c r="AA23" s="41">
        <f>Elect!AN25</f>
        <v>2.1280000000000001</v>
      </c>
      <c r="AB23" s="41">
        <f>Elect!BJ25</f>
        <v>1900</v>
      </c>
      <c r="AC23" s="41">
        <f>Elect!BG25</f>
        <v>17800</v>
      </c>
      <c r="AD23" s="41">
        <f>Elect!BM25</f>
        <v>881</v>
      </c>
      <c r="AE23" s="41">
        <f>Elect!BP25</f>
        <v>3320</v>
      </c>
      <c r="AF23" s="43">
        <f>('Wtr-Gas'!E25)*0.0038</f>
        <v>4934.5659999999998</v>
      </c>
      <c r="AG23" s="43">
        <f>('Wtr-Gas'!H25)*0.0038</f>
        <v>525.50199999999995</v>
      </c>
      <c r="AH23" s="43">
        <f>'Wtr-Gas'!K25*0.0038</f>
        <v>7.22</v>
      </c>
      <c r="AI23" s="43">
        <f>'Wtr-Gas'!N25*0.0038</f>
        <v>4092.6</v>
      </c>
      <c r="AJ23" s="43">
        <f>'Wtr-Gas'!Q25*0.0038</f>
        <v>91.96</v>
      </c>
      <c r="AK23" s="46">
        <f>'Wtr-Gas'!U25*0.0038</f>
        <v>804.84</v>
      </c>
      <c r="AL23" s="46">
        <f>'Wtr-Gas'!X25*0.0038</f>
        <v>1626.4</v>
      </c>
      <c r="AM23" s="43">
        <f>'Wtr-Gas'!AB25*0.0038</f>
        <v>1546.6</v>
      </c>
      <c r="AN23" s="43">
        <f>'Wtr-Gas'!AD25*0.0038</f>
        <v>25595.8158</v>
      </c>
      <c r="AO23" s="43">
        <f>'Wtr-Gas'!AF25*0.0038</f>
        <v>2910.8</v>
      </c>
      <c r="AP23" s="43">
        <f>'Wtr-Gas'!AH25*0.0038</f>
        <v>16925.2</v>
      </c>
      <c r="AQ23" s="43">
        <f>'Wtr-Gas'!AJ25*0.0038</f>
        <v>35.051200000000001</v>
      </c>
      <c r="AR23" s="43">
        <f>'Wtr-Gas'!AL25*0.0038</f>
        <v>178.6</v>
      </c>
      <c r="AS23" s="43">
        <f>'Wtr-Gas'!AN25*0.0038</f>
        <v>0</v>
      </c>
      <c r="AT23" s="43">
        <f>'Wtr-Gas'!AP25*0.0038</f>
        <v>2.3180000000000001</v>
      </c>
      <c r="AU23" s="46">
        <f>'Wtr-Gas'!AT25*0.0038</f>
        <v>0</v>
      </c>
      <c r="AV23" s="43">
        <f>'Wtr-Gas'!AW25*0.0038</f>
        <v>285.0684</v>
      </c>
      <c r="AW23" s="44">
        <f>'Wtr-Gas'!AY25*0.0038</f>
        <v>0</v>
      </c>
      <c r="AX23" s="43">
        <f>'Wtr-Gas'!AZ25*0.0038</f>
        <v>285.0684</v>
      </c>
      <c r="AY23" s="43">
        <f>'Wtr-Gas'!BB25*0.0038</f>
        <v>11.02</v>
      </c>
      <c r="AZ23" s="43">
        <f>'Wtr-Gas'!BD25*0.0038</f>
        <v>1.1399999999999999</v>
      </c>
      <c r="BA23" s="43">
        <f>'Wtr-Gas'!BF25*0.0038</f>
        <v>755.91120000000001</v>
      </c>
    </row>
    <row r="24" spans="1:53">
      <c r="A24" s="3" t="s">
        <v>11</v>
      </c>
      <c r="B24" s="2">
        <v>20</v>
      </c>
      <c r="C24" s="2">
        <v>5</v>
      </c>
      <c r="D24" s="2">
        <v>2019</v>
      </c>
      <c r="E24" s="41">
        <f>Elect!AW26</f>
        <v>526</v>
      </c>
      <c r="F24" s="41">
        <f>Elect!I26</f>
        <v>46560</v>
      </c>
      <c r="G24" s="41">
        <f>Elect!H26</f>
        <v>2.2919999999999998</v>
      </c>
      <c r="H24" s="41">
        <f>Elect!E26</f>
        <v>46080</v>
      </c>
      <c r="I24" s="41">
        <f>Elect!D26</f>
        <v>2.1890000000000001</v>
      </c>
      <c r="J24" s="41">
        <f>Elect!Y26</f>
        <v>67800</v>
      </c>
      <c r="K24" s="41">
        <f>Elect!X26</f>
        <v>2.871</v>
      </c>
      <c r="L24" s="41">
        <f>Elect!AS26</f>
        <v>1720</v>
      </c>
      <c r="M24" s="41">
        <f>Elect!AR26</f>
        <v>0.372</v>
      </c>
      <c r="N24" s="41">
        <f>Elect!AC26</f>
        <v>55500</v>
      </c>
      <c r="O24" s="41">
        <f>Elect!AB26</f>
        <v>2.2679999999999998</v>
      </c>
      <c r="P24" s="41">
        <f>Elect!Q26</f>
        <v>12000</v>
      </c>
      <c r="Q24" s="41">
        <f>Elect!P26</f>
        <v>0.24</v>
      </c>
      <c r="R24" s="41">
        <f>Elect!M26</f>
        <v>12400</v>
      </c>
      <c r="S24" s="41">
        <f>Elect!L26</f>
        <v>0.26200000000000001</v>
      </c>
      <c r="T24" s="41">
        <f>Elect!U26</f>
        <v>13200</v>
      </c>
      <c r="U24" s="41">
        <f>Elect!T26</f>
        <v>0.314</v>
      </c>
      <c r="V24" s="41">
        <f>Elect!AG26</f>
        <v>6720</v>
      </c>
      <c r="W24" s="41">
        <f>Elect!AF26</f>
        <v>0.56100000000000005</v>
      </c>
      <c r="X24" s="41">
        <f>Elect!AK26</f>
        <v>4480</v>
      </c>
      <c r="Y24" s="41">
        <f>Elect!AJ26</f>
        <v>0.35</v>
      </c>
      <c r="Z24" s="41">
        <f>Elect!AO26</f>
        <v>53000</v>
      </c>
      <c r="AA24" s="41">
        <f>Elect!AN26</f>
        <v>2.1280000000000001</v>
      </c>
      <c r="AB24" s="41">
        <f>Elect!BJ26</f>
        <v>2100</v>
      </c>
      <c r="AC24" s="41">
        <f>Elect!BG26</f>
        <v>17700</v>
      </c>
      <c r="AD24" s="41">
        <f>Elect!BM26</f>
        <v>868</v>
      </c>
      <c r="AE24" s="41">
        <f>Elect!BP26</f>
        <v>3440</v>
      </c>
      <c r="AF24" s="43">
        <f>('Wtr-Gas'!E26)*0.0038</f>
        <v>4388.2020000000002</v>
      </c>
      <c r="AG24" s="43">
        <f>('Wtr-Gas'!H26)*0.0038</f>
        <v>530.97400000000005</v>
      </c>
      <c r="AH24" s="43">
        <f>'Wtr-Gas'!K26*0.0038</f>
        <v>7.22</v>
      </c>
      <c r="AI24" s="43">
        <f>'Wtr-Gas'!N26*0.0038</f>
        <v>3659.4</v>
      </c>
      <c r="AJ24" s="43">
        <f>'Wtr-Gas'!Q26*0.0038</f>
        <v>87.4</v>
      </c>
      <c r="AK24" s="46">
        <f>'Wtr-Gas'!U26*0.0038</f>
        <v>608.38</v>
      </c>
      <c r="AL24" s="46">
        <f>'Wtr-Gas'!X26*0.0038</f>
        <v>2272.4</v>
      </c>
      <c r="AM24" s="43">
        <f>'Wtr-Gas'!AB26*0.0038</f>
        <v>1029.8</v>
      </c>
      <c r="AN24" s="43">
        <f>'Wtr-Gas'!AD26*0.0038</f>
        <v>23671.298200000001</v>
      </c>
      <c r="AO24" s="43">
        <f>'Wtr-Gas'!AF26*0.0038</f>
        <v>7729.2</v>
      </c>
      <c r="AP24" s="43">
        <f>'Wtr-Gas'!AH26*0.0038</f>
        <v>12828.8</v>
      </c>
      <c r="AQ24" s="43">
        <f>'Wtr-Gas'!AJ26*0.0038</f>
        <v>44.155999999999999</v>
      </c>
      <c r="AR24" s="43">
        <f>'Wtr-Gas'!AL26*0.0038</f>
        <v>133</v>
      </c>
      <c r="AS24" s="43">
        <f>'Wtr-Gas'!AN26*0.0038</f>
        <v>0</v>
      </c>
      <c r="AT24" s="43">
        <f>'Wtr-Gas'!AP26*0.0038</f>
        <v>2.4319999999999999</v>
      </c>
      <c r="AU24" s="46">
        <f>'Wtr-Gas'!AT26*0.0038</f>
        <v>1.0716000000000001</v>
      </c>
      <c r="AV24" s="43">
        <f>'Wtr-Gas'!AW26*0.0038</f>
        <v>292.46319999999997</v>
      </c>
      <c r="AW24" s="44">
        <f>'Wtr-Gas'!AY26*0.0038</f>
        <v>0</v>
      </c>
      <c r="AX24" s="43">
        <f>'Wtr-Gas'!AZ26*0.0038</f>
        <v>292.46319999999997</v>
      </c>
      <c r="AY24" s="43">
        <f>'Wtr-Gas'!BB26*0.0038</f>
        <v>19.760000000000002</v>
      </c>
      <c r="AZ24" s="43">
        <f>'Wtr-Gas'!BD26*0.0038</f>
        <v>0.76</v>
      </c>
      <c r="BA24" s="43">
        <f>'Wtr-Gas'!BF26*0.0038</f>
        <v>503.08199999999999</v>
      </c>
    </row>
    <row r="25" spans="1:53">
      <c r="A25" s="3" t="s">
        <v>11</v>
      </c>
      <c r="B25" s="2">
        <v>26</v>
      </c>
      <c r="C25" s="2">
        <v>5</v>
      </c>
      <c r="D25" s="2">
        <v>2019</v>
      </c>
      <c r="E25" s="41">
        <f>Elect!AW27</f>
        <v>471</v>
      </c>
      <c r="F25" s="41">
        <f>Elect!I27</f>
        <v>45920</v>
      </c>
      <c r="G25" s="41">
        <f>Elect!H27</f>
        <v>2.2559999999999998</v>
      </c>
      <c r="H25" s="41">
        <f>Elect!E27</f>
        <v>44960</v>
      </c>
      <c r="I25" s="41">
        <f>Elect!D27</f>
        <v>2.1320000000000001</v>
      </c>
      <c r="J25" s="41">
        <f>Elect!Y27</f>
        <v>64500</v>
      </c>
      <c r="K25" s="41">
        <f>Elect!X27</f>
        <v>2.1520000000000001</v>
      </c>
      <c r="L25" s="41">
        <f>Elect!AS27</f>
        <v>1640</v>
      </c>
      <c r="M25" s="41">
        <f>Elect!AR27</f>
        <v>0.34699999999999998</v>
      </c>
      <c r="N25" s="41">
        <f>Elect!AC27</f>
        <v>79200</v>
      </c>
      <c r="O25" s="41">
        <f>Elect!AB27</f>
        <v>2.1779999999999999</v>
      </c>
      <c r="P25" s="41">
        <f>Elect!Q27</f>
        <v>12000</v>
      </c>
      <c r="Q25" s="41">
        <f>Elect!P27</f>
        <v>0.24199999999999999</v>
      </c>
      <c r="R25" s="41">
        <f>Elect!M27</f>
        <v>12800</v>
      </c>
      <c r="S25" s="41">
        <f>Elect!L27</f>
        <v>0.248</v>
      </c>
      <c r="T25" s="41">
        <f>Elect!U27</f>
        <v>13200</v>
      </c>
      <c r="U25" s="41">
        <f>Elect!T27</f>
        <v>0.26100000000000001</v>
      </c>
      <c r="V25" s="41">
        <f>Elect!AG27</f>
        <v>6720</v>
      </c>
      <c r="W25" s="41">
        <f>Elect!AF27</f>
        <v>0.36099999999999999</v>
      </c>
      <c r="X25" s="41">
        <f>Elect!AK27</f>
        <v>4480</v>
      </c>
      <c r="Y25" s="41">
        <f>Elect!AJ27</f>
        <v>0.32800000000000001</v>
      </c>
      <c r="Z25" s="41">
        <f>Elect!AO27</f>
        <v>52400</v>
      </c>
      <c r="AA25" s="41">
        <f>Elect!AN27</f>
        <v>2.1</v>
      </c>
      <c r="AB25" s="41">
        <f>Elect!BJ27</f>
        <v>2000</v>
      </c>
      <c r="AC25" s="41">
        <f>Elect!BG27</f>
        <v>17400</v>
      </c>
      <c r="AD25" s="41">
        <f>Elect!BM27</f>
        <v>878</v>
      </c>
      <c r="AE25" s="41">
        <f>Elect!BP27</f>
        <v>6600</v>
      </c>
      <c r="AF25" s="43">
        <f>('Wtr-Gas'!E27)*0.0038</f>
        <v>4743.16</v>
      </c>
      <c r="AG25" s="43">
        <f>('Wtr-Gas'!H27)*0.0038</f>
        <v>614.76400000000001</v>
      </c>
      <c r="AH25" s="43">
        <f>'Wtr-Gas'!K27*0.0038</f>
        <v>6.84</v>
      </c>
      <c r="AI25" s="43">
        <f>'Wtr-Gas'!N27*0.0038</f>
        <v>3693.6</v>
      </c>
      <c r="AJ25" s="43">
        <f>'Wtr-Gas'!Q27*0.0038</f>
        <v>89.3</v>
      </c>
      <c r="AK25" s="46">
        <f>'Wtr-Gas'!U27*0.0038</f>
        <v>937.46</v>
      </c>
      <c r="AL25" s="46">
        <f>'Wtr-Gas'!X27*0.0038</f>
        <v>1390.42</v>
      </c>
      <c r="AM25" s="43">
        <f>'Wtr-Gas'!AB27*0.0038</f>
        <v>399</v>
      </c>
      <c r="AN25" s="43">
        <f>'Wtr-Gas'!AD27*0.0038</f>
        <v>26997.1456</v>
      </c>
      <c r="AO25" s="43">
        <f>'Wtr-Gas'!AF27*0.0038</f>
        <v>2181.1999999999998</v>
      </c>
      <c r="AP25" s="43">
        <f>'Wtr-Gas'!AH27*0.0038</f>
        <v>16982.2</v>
      </c>
      <c r="AQ25" s="43">
        <f>'Wtr-Gas'!AJ27*0.0038</f>
        <v>63.456200000000003</v>
      </c>
      <c r="AR25" s="43">
        <f>'Wtr-Gas'!AL27*0.0038</f>
        <v>212.8</v>
      </c>
      <c r="AS25" s="43">
        <f>'Wtr-Gas'!AN27*0.0038</f>
        <v>0</v>
      </c>
      <c r="AT25" s="43">
        <f>'Wtr-Gas'!AP27*0.0038</f>
        <v>2.1659999999999999</v>
      </c>
      <c r="AU25" s="46">
        <f>'Wtr-Gas'!AT27*0.0038</f>
        <v>0.2888</v>
      </c>
      <c r="AV25" s="43">
        <f>'Wtr-Gas'!AW27*0.0038</f>
        <v>323.87020000000001</v>
      </c>
      <c r="AW25" s="44">
        <f>'Wtr-Gas'!AY27*0.0038</f>
        <v>0</v>
      </c>
      <c r="AX25" s="43">
        <f>'Wtr-Gas'!AZ27*0.0038</f>
        <v>323.87020000000001</v>
      </c>
      <c r="AY25" s="43">
        <f>'Wtr-Gas'!BB27*0.0038</f>
        <v>4.9400000000000004</v>
      </c>
      <c r="AZ25" s="43">
        <f>'Wtr-Gas'!BD27*0.0038</f>
        <v>0.76</v>
      </c>
      <c r="BA25" s="43">
        <f>'Wtr-Gas'!BF27*0.0038</f>
        <v>2025.5368000000001</v>
      </c>
    </row>
    <row r="26" spans="1:53">
      <c r="A26" s="3" t="s">
        <v>11</v>
      </c>
      <c r="B26" s="2">
        <v>31</v>
      </c>
      <c r="C26" s="2">
        <v>5</v>
      </c>
      <c r="D26" s="2">
        <v>2019</v>
      </c>
      <c r="E26" s="41">
        <f>Elect!AW28</f>
        <v>491</v>
      </c>
      <c r="F26" s="41">
        <f>Elect!I28</f>
        <v>46720</v>
      </c>
      <c r="G26" s="41">
        <f>Elect!H28</f>
        <v>2.2559999999999998</v>
      </c>
      <c r="H26" s="41">
        <f>Elect!E28</f>
        <v>45440</v>
      </c>
      <c r="I26" s="41">
        <f>Elect!D28</f>
        <v>2.1819999999999999</v>
      </c>
      <c r="J26" s="41">
        <f>Elect!Y28</f>
        <v>74100</v>
      </c>
      <c r="K26" s="41">
        <f>Elect!X28</f>
        <v>2.3980000000000001</v>
      </c>
      <c r="L26" s="41">
        <f>Elect!AS28</f>
        <v>1680</v>
      </c>
      <c r="M26" s="41">
        <f>Elect!AR28</f>
        <v>0.34699999999999998</v>
      </c>
      <c r="N26" s="41">
        <f>Elect!AC28</f>
        <v>84600</v>
      </c>
      <c r="O26" s="41">
        <f>Elect!AB28</f>
        <v>2.1779999999999999</v>
      </c>
      <c r="P26" s="41">
        <f>Elect!Q28</f>
        <v>12400</v>
      </c>
      <c r="Q26" s="41">
        <f>Elect!P28</f>
        <v>0.24199999999999999</v>
      </c>
      <c r="R26" s="41">
        <f>Elect!M28</f>
        <v>13200</v>
      </c>
      <c r="S26" s="41">
        <f>Elect!L28</f>
        <v>0.26</v>
      </c>
      <c r="T26" s="41">
        <f>Elect!U28</f>
        <v>14000</v>
      </c>
      <c r="U26" s="41">
        <f>Elect!T28</f>
        <v>0.28799999999999998</v>
      </c>
      <c r="V26" s="41">
        <f>Elect!AG28</f>
        <v>6560</v>
      </c>
      <c r="W26" s="41">
        <f>Elect!AF28</f>
        <v>0.36099999999999999</v>
      </c>
      <c r="X26" s="41">
        <f>Elect!AK28</f>
        <v>4160</v>
      </c>
      <c r="Y26" s="41">
        <f>Elect!AJ28</f>
        <v>0.32800000000000001</v>
      </c>
      <c r="Z26" s="41">
        <f>Elect!AO28</f>
        <v>53400</v>
      </c>
      <c r="AA26" s="41">
        <f>Elect!AN28</f>
        <v>2.1</v>
      </c>
      <c r="AB26" s="41">
        <f>Elect!BJ28</f>
        <v>1300</v>
      </c>
      <c r="AC26" s="41">
        <f>Elect!BG28</f>
        <v>10900</v>
      </c>
      <c r="AD26" s="41">
        <f>Elect!BM28</f>
        <v>512</v>
      </c>
      <c r="AE26" s="41">
        <f>Elect!BP28</f>
        <v>4960</v>
      </c>
      <c r="AF26" s="43">
        <f>('Wtr-Gas'!E28)*0.0038</f>
        <v>5425.0320000000002</v>
      </c>
      <c r="AG26" s="43">
        <f>('Wtr-Gas'!H28)*0.0038</f>
        <v>1025.7339999999999</v>
      </c>
      <c r="AH26" s="43">
        <f>'Wtr-Gas'!K28*0.0038</f>
        <v>6.46</v>
      </c>
      <c r="AI26" s="43">
        <f>'Wtr-Gas'!N28*0.0038</f>
        <v>4472.6000000000004</v>
      </c>
      <c r="AJ26" s="43">
        <f>'Wtr-Gas'!Q28*0.0038</f>
        <v>88.92</v>
      </c>
      <c r="AK26" s="46">
        <f>'Wtr-Gas'!U28*0.0038</f>
        <v>747.84</v>
      </c>
      <c r="AL26" s="46">
        <f>'Wtr-Gas'!X28*0.0038</f>
        <v>683.24</v>
      </c>
      <c r="AM26" s="43">
        <f>'Wtr-Gas'!AB28*0.0038</f>
        <v>155.80000000000001</v>
      </c>
      <c r="AN26" s="43">
        <f>'Wtr-Gas'!AD28*0.0038</f>
        <v>30937.316200000001</v>
      </c>
      <c r="AO26" s="43">
        <f>'Wtr-Gas'!AF28*0.0038</f>
        <v>2162.1999999999998</v>
      </c>
      <c r="AP26" s="43">
        <f>'Wtr-Gas'!AH28*0.0038</f>
        <v>45588.6</v>
      </c>
      <c r="AQ26" s="43">
        <f>'Wtr-Gas'!AJ28*0.0038</f>
        <v>7.7633999999999999</v>
      </c>
      <c r="AR26" s="43">
        <f>'Wtr-Gas'!AL28*0.0038</f>
        <v>167.2</v>
      </c>
      <c r="AS26" s="43">
        <f>'Wtr-Gas'!AN28*0.0038</f>
        <v>0</v>
      </c>
      <c r="AT26" s="43">
        <f>'Wtr-Gas'!AP28*0.0038</f>
        <v>2.774</v>
      </c>
      <c r="AU26" s="46">
        <f>'Wtr-Gas'!AT28*0.0038</f>
        <v>0.31540000000000001</v>
      </c>
      <c r="AV26" s="43">
        <f>'Wtr-Gas'!AW28*0.0038</f>
        <v>169.6206</v>
      </c>
      <c r="AW26" s="44">
        <f>'Wtr-Gas'!AY28*0.0038</f>
        <v>0</v>
      </c>
      <c r="AX26" s="43">
        <f>'Wtr-Gas'!AZ28*0.0038</f>
        <v>169.6206</v>
      </c>
      <c r="AY26" s="43">
        <f>'Wtr-Gas'!BB28*0.0038</f>
        <v>7.6</v>
      </c>
      <c r="AZ26" s="43">
        <f>'Wtr-Gas'!BD28*0.0038</f>
        <v>0.76</v>
      </c>
      <c r="BA26" s="43">
        <f>'Wtr-Gas'!BF28*0.0038</f>
        <v>1596.2470000000001</v>
      </c>
    </row>
    <row r="27" spans="1:53">
      <c r="A27" s="3" t="s">
        <v>11</v>
      </c>
      <c r="B27" s="2">
        <v>9</v>
      </c>
      <c r="C27" s="2">
        <v>6</v>
      </c>
      <c r="D27" s="2">
        <v>2019</v>
      </c>
      <c r="E27" s="41">
        <f>Elect!AW29</f>
        <v>489</v>
      </c>
      <c r="F27" s="41">
        <f>Elect!I29</f>
        <v>46720</v>
      </c>
      <c r="G27" s="41">
        <f>Elect!H29</f>
        <v>2.2559999999999998</v>
      </c>
      <c r="H27" s="41">
        <f>Elect!E29</f>
        <v>46240</v>
      </c>
      <c r="I27" s="41">
        <f>Elect!D29</f>
        <v>2.1819999999999999</v>
      </c>
      <c r="J27" s="41">
        <f>Elect!Y29</f>
        <v>84300</v>
      </c>
      <c r="K27" s="41">
        <f>Elect!X29</f>
        <v>2.6850000000000001</v>
      </c>
      <c r="L27" s="41">
        <f>Elect!AS29</f>
        <v>1640</v>
      </c>
      <c r="M27" s="41">
        <f>Elect!AR29</f>
        <v>0.34699999999999998</v>
      </c>
      <c r="N27" s="41">
        <f>Elect!AC29</f>
        <v>87900</v>
      </c>
      <c r="O27" s="41">
        <f>Elect!AB29</f>
        <v>2.25</v>
      </c>
      <c r="P27" s="41">
        <f>Elect!Q29</f>
        <v>13200</v>
      </c>
      <c r="Q27" s="41">
        <f>Elect!P29</f>
        <v>0.246</v>
      </c>
      <c r="R27" s="41">
        <f>Elect!M29</f>
        <v>14000</v>
      </c>
      <c r="S27" s="41">
        <f>Elect!L29</f>
        <v>0.28100000000000003</v>
      </c>
      <c r="T27" s="41">
        <f>Elect!U29</f>
        <v>13600</v>
      </c>
      <c r="U27" s="41">
        <f>Elect!T29</f>
        <v>0.28799999999999998</v>
      </c>
      <c r="V27" s="41">
        <f>Elect!AG29</f>
        <v>6560</v>
      </c>
      <c r="W27" s="41">
        <f>Elect!AF29</f>
        <v>0.36099999999999999</v>
      </c>
      <c r="X27" s="41">
        <f>Elect!AK29</f>
        <v>4320</v>
      </c>
      <c r="Y27" s="41">
        <f>Elect!AJ29</f>
        <v>0.34499999999999997</v>
      </c>
      <c r="Z27" s="41">
        <f>Elect!AO29</f>
        <v>54000</v>
      </c>
      <c r="AA27" s="41">
        <f>Elect!AN29</f>
        <v>2.1</v>
      </c>
      <c r="AB27" s="41">
        <f>Elect!BJ29</f>
        <v>2400</v>
      </c>
      <c r="AC27" s="41">
        <f>Elect!BG29</f>
        <v>36300</v>
      </c>
      <c r="AD27" s="41">
        <f>Elect!BM29</f>
        <v>1250</v>
      </c>
      <c r="AE27" s="41">
        <f>Elect!BP29</f>
        <v>4720</v>
      </c>
      <c r="AF27" s="43">
        <f>('Wtr-Gas'!E29)*0.0038</f>
        <v>5645.5079999999998</v>
      </c>
      <c r="AG27" s="43">
        <f>('Wtr-Gas'!H29)*0.0038</f>
        <v>970.33</v>
      </c>
      <c r="AH27" s="43">
        <f>'Wtr-Gas'!K29*0.0038</f>
        <v>8.36</v>
      </c>
      <c r="AI27" s="43">
        <f>'Wtr-Gas'!N29*0.0038</f>
        <v>4240.8</v>
      </c>
      <c r="AJ27" s="43">
        <f>'Wtr-Gas'!Q29*0.0038</f>
        <v>91.96</v>
      </c>
      <c r="AK27" s="46">
        <f>'Wtr-Gas'!U29*0.0038</f>
        <v>764.94</v>
      </c>
      <c r="AL27" s="46">
        <f>'Wtr-Gas'!X29*0.0038</f>
        <v>730.74</v>
      </c>
      <c r="AM27" s="43">
        <f>'Wtr-Gas'!AB29*0.0038</f>
        <v>87.4</v>
      </c>
      <c r="AN27" s="43">
        <f>'Wtr-Gas'!AD29*0.0038</f>
        <v>31121.24</v>
      </c>
      <c r="AO27" s="43">
        <f>'Wtr-Gas'!AF29*0.0038</f>
        <v>323</v>
      </c>
      <c r="AP27" s="43">
        <f>'Wtr-Gas'!AH29*0.0038</f>
        <v>96520</v>
      </c>
      <c r="AQ27" s="43">
        <f>'Wtr-Gas'!AJ29*0.0038</f>
        <v>68.145399999999995</v>
      </c>
      <c r="AR27" s="43">
        <f>'Wtr-Gas'!AL29*0.0038</f>
        <v>87.4</v>
      </c>
      <c r="AS27" s="43">
        <f>'Wtr-Gas'!AN29*0.0038</f>
        <v>0</v>
      </c>
      <c r="AT27" s="43">
        <f>'Wtr-Gas'!AP29*0.0038</f>
        <v>1.9379999999999999</v>
      </c>
      <c r="AU27" s="46">
        <f>'Wtr-Gas'!AT29*0.0038</f>
        <v>0.56240000000000001</v>
      </c>
      <c r="AV27" s="43">
        <f>'Wtr-Gas'!AW29*0.0038</f>
        <v>421.00959999999998</v>
      </c>
      <c r="AW27" s="44">
        <f>'Wtr-Gas'!AY29*0.0038</f>
        <v>0</v>
      </c>
      <c r="AX27" s="43">
        <f>'Wtr-Gas'!AZ29*0.0038</f>
        <v>421.00959999999998</v>
      </c>
      <c r="AY27" s="43">
        <f>'Wtr-Gas'!BB29*0.0038</f>
        <v>14.44</v>
      </c>
      <c r="AZ27" s="43">
        <f>'Wtr-Gas'!BD29*0.0038</f>
        <v>1.9</v>
      </c>
      <c r="BA27" s="43">
        <f>'Wtr-Gas'!BF29*0.0038</f>
        <v>1026.2013999999999</v>
      </c>
    </row>
    <row r="28" spans="1:53">
      <c r="A28" s="3" t="s">
        <v>11</v>
      </c>
      <c r="B28" s="2">
        <v>16</v>
      </c>
      <c r="C28" s="2">
        <v>6</v>
      </c>
      <c r="D28" s="2">
        <v>2019</v>
      </c>
      <c r="E28" s="41">
        <f>Elect!AW30</f>
        <v>474</v>
      </c>
      <c r="F28" s="41">
        <f>Elect!I30</f>
        <v>46400</v>
      </c>
      <c r="G28" s="41">
        <f>Elect!H30</f>
        <v>2.2559999999999998</v>
      </c>
      <c r="H28" s="41">
        <f>Elect!E30</f>
        <v>46880</v>
      </c>
      <c r="I28" s="41">
        <f>Elect!D30</f>
        <v>2.2090000000000001</v>
      </c>
      <c r="J28" s="41">
        <f>Elect!Y30</f>
        <v>83400</v>
      </c>
      <c r="K28" s="41">
        <f>Elect!X30</f>
        <v>2.7429999999999999</v>
      </c>
      <c r="L28" s="41">
        <f>Elect!AS30</f>
        <v>1680</v>
      </c>
      <c r="M28" s="41">
        <f>Elect!AR30</f>
        <v>0.34699999999999998</v>
      </c>
      <c r="N28" s="41">
        <f>Elect!AC30</f>
        <v>79800</v>
      </c>
      <c r="O28" s="41">
        <f>Elect!AB30</f>
        <v>2.25</v>
      </c>
      <c r="P28" s="41">
        <f>Elect!Q30</f>
        <v>12800</v>
      </c>
      <c r="Q28" s="41">
        <f>Elect!P30</f>
        <v>0.25700000000000001</v>
      </c>
      <c r="R28" s="41">
        <f>Elect!M30</f>
        <v>13600</v>
      </c>
      <c r="S28" s="41">
        <f>Elect!L30</f>
        <v>0.28100000000000003</v>
      </c>
      <c r="T28" s="41">
        <f>Elect!U30</f>
        <v>14000</v>
      </c>
      <c r="U28" s="41">
        <f>Elect!T30</f>
        <v>0.28799999999999998</v>
      </c>
      <c r="V28" s="41">
        <f>Elect!AG30</f>
        <v>6720</v>
      </c>
      <c r="W28" s="41">
        <f>Elect!AF30</f>
        <v>0.36099999999999999</v>
      </c>
      <c r="X28" s="41">
        <f>Elect!AK30</f>
        <v>4640</v>
      </c>
      <c r="Y28" s="41">
        <f>Elect!AJ30</f>
        <v>0.34499999999999997</v>
      </c>
      <c r="Z28" s="41">
        <f>Elect!AO30</f>
        <v>53800</v>
      </c>
      <c r="AA28" s="41">
        <f>Elect!AN30</f>
        <v>2.1</v>
      </c>
      <c r="AB28" s="41">
        <f>Elect!BJ30</f>
        <v>2600</v>
      </c>
      <c r="AC28" s="41">
        <f>Elect!BG30</f>
        <v>9300</v>
      </c>
      <c r="AD28" s="41">
        <f>Elect!BM30</f>
        <v>886</v>
      </c>
      <c r="AE28" s="41">
        <f>Elect!BP30</f>
        <v>1280</v>
      </c>
      <c r="AF28" s="43">
        <f>('Wtr-Gas'!E30)*0.0038</f>
        <v>5184.9480000000003</v>
      </c>
      <c r="AG28" s="43">
        <f>('Wtr-Gas'!H30)*0.0038</f>
        <v>681.49199999999996</v>
      </c>
      <c r="AH28" s="43">
        <f>'Wtr-Gas'!K30*0.0038</f>
        <v>9.5</v>
      </c>
      <c r="AI28" s="43">
        <f>'Wtr-Gas'!N30*0.0038</f>
        <v>3967.2</v>
      </c>
      <c r="AJ28" s="43">
        <f>'Wtr-Gas'!Q30*0.0038</f>
        <v>93.48</v>
      </c>
      <c r="AK28" s="46">
        <f>'Wtr-Gas'!U30*0.0038</f>
        <v>744.8</v>
      </c>
      <c r="AL28" s="46">
        <f>'Wtr-Gas'!X30*0.0038</f>
        <v>1193.2</v>
      </c>
      <c r="AM28" s="43">
        <f>'Wtr-Gas'!AB30*0.0038</f>
        <v>79.8</v>
      </c>
      <c r="AN28" s="43">
        <f>'Wtr-Gas'!AD30*0.0038</f>
        <v>30099.997599999999</v>
      </c>
      <c r="AO28" s="43">
        <f>'Wtr-Gas'!AF30*0.0038</f>
        <v>110.2</v>
      </c>
      <c r="AP28" s="43">
        <f>'Wtr-Gas'!AH30*0.0038</f>
        <v>99335.8</v>
      </c>
      <c r="AQ28" s="43">
        <f>'Wtr-Gas'!AJ30*0.0038</f>
        <v>20.957000000000001</v>
      </c>
      <c r="AR28" s="43">
        <f>'Wtr-Gas'!AL30*0.0038</f>
        <v>3.8</v>
      </c>
      <c r="AS28" s="43">
        <f>'Wtr-Gas'!AN30*0.0038</f>
        <v>0</v>
      </c>
      <c r="AT28" s="43">
        <f>'Wtr-Gas'!AP30*0.0038</f>
        <v>2.2799999999999998</v>
      </c>
      <c r="AU28" s="46">
        <f>'Wtr-Gas'!AT30*0.0038</f>
        <v>0.70299999999999996</v>
      </c>
      <c r="AV28" s="43">
        <f>'Wtr-Gas'!AW30*0.0038</f>
        <v>310.19779999999997</v>
      </c>
      <c r="AW28" s="44">
        <f>'Wtr-Gas'!AY30*0.0038</f>
        <v>249.00043400000001</v>
      </c>
      <c r="AX28" s="43">
        <f>'Wtr-Gas'!AZ30*0.0038</f>
        <v>61.197365999999995</v>
      </c>
      <c r="AY28" s="43">
        <f>'Wtr-Gas'!BB30*0.0038</f>
        <v>11.78</v>
      </c>
      <c r="AZ28" s="43">
        <f>'Wtr-Gas'!BD30*0.0038</f>
        <v>1.52</v>
      </c>
      <c r="BA28" s="43">
        <f>'Wtr-Gas'!BF30*0.0038</f>
        <v>6.4523999999999999</v>
      </c>
    </row>
    <row r="29" spans="1:53">
      <c r="A29" s="3" t="s">
        <v>11</v>
      </c>
      <c r="B29" s="2">
        <v>21</v>
      </c>
      <c r="C29" s="2">
        <v>6</v>
      </c>
      <c r="D29" s="2">
        <v>2019</v>
      </c>
      <c r="E29" s="41">
        <f>Elect!AW31</f>
        <v>469</v>
      </c>
      <c r="F29" s="41">
        <f>Elect!I31</f>
        <v>47040</v>
      </c>
      <c r="G29" s="41">
        <f>Elect!H31</f>
        <v>2.2559999999999998</v>
      </c>
      <c r="H29" s="41">
        <f>Elect!E31</f>
        <v>46720</v>
      </c>
      <c r="I29" s="41">
        <f>Elect!D31</f>
        <v>2.15</v>
      </c>
      <c r="J29" s="41">
        <f>Elect!Y31</f>
        <v>89100</v>
      </c>
      <c r="K29" s="41">
        <f>Elect!X31</f>
        <v>2.5859999999999999</v>
      </c>
      <c r="L29" s="41">
        <f>Elect!AS31</f>
        <v>1680</v>
      </c>
      <c r="M29" s="41">
        <f>Elect!AR31</f>
        <v>0.38</v>
      </c>
      <c r="N29" s="41">
        <f>Elect!AC31</f>
        <v>86100</v>
      </c>
      <c r="O29" s="41">
        <f>Elect!AB31</f>
        <v>2.29</v>
      </c>
      <c r="P29" s="41">
        <f>Elect!Q31</f>
        <v>12800</v>
      </c>
      <c r="Q29" s="41">
        <f>Elect!P31</f>
        <v>0.23</v>
      </c>
      <c r="R29" s="41">
        <f>Elect!M31</f>
        <v>12800</v>
      </c>
      <c r="S29" s="41">
        <f>Elect!L31</f>
        <v>0.24199999999999999</v>
      </c>
      <c r="T29" s="41">
        <f>Elect!U31</f>
        <v>13200</v>
      </c>
      <c r="U29" s="41">
        <f>Elect!T31</f>
        <v>0.25900000000000001</v>
      </c>
      <c r="V29" s="41">
        <f>Elect!AG31</f>
        <v>7680</v>
      </c>
      <c r="W29" s="41">
        <f>Elect!AF31</f>
        <v>0.52200000000000002</v>
      </c>
      <c r="X29" s="41">
        <f>Elect!AK31</f>
        <v>4480</v>
      </c>
      <c r="Y29" s="41">
        <f>Elect!AJ31</f>
        <v>0.32100000000000001</v>
      </c>
      <c r="Z29" s="41">
        <f>Elect!AO31</f>
        <v>54600</v>
      </c>
      <c r="AA29" s="41">
        <f>Elect!AN31</f>
        <v>2.0779999999999998</v>
      </c>
      <c r="AB29" s="41">
        <f>Elect!BJ31</f>
        <v>2100</v>
      </c>
      <c r="AC29" s="41">
        <f>Elect!BG31</f>
        <v>18000</v>
      </c>
      <c r="AD29" s="41">
        <f>Elect!BM31</f>
        <v>885</v>
      </c>
      <c r="AE29" s="41">
        <f>Elect!BP31</f>
        <v>1640</v>
      </c>
      <c r="AF29" s="43">
        <f>('Wtr-Gas'!E31)*0.0038</f>
        <v>4715.3440000000001</v>
      </c>
      <c r="AG29" s="43">
        <f>('Wtr-Gas'!H31)*0.0038</f>
        <v>595.49800000000005</v>
      </c>
      <c r="AH29" s="43">
        <f>'Wtr-Gas'!K31*0.0038</f>
        <v>6.08</v>
      </c>
      <c r="AI29" s="43">
        <f>'Wtr-Gas'!N31*0.0038</f>
        <v>3906.4</v>
      </c>
      <c r="AJ29" s="43">
        <f>'Wtr-Gas'!Q31*0.0038</f>
        <v>86.26</v>
      </c>
      <c r="AK29" s="46">
        <f>'Wtr-Gas'!U31*0.0038</f>
        <v>782.04</v>
      </c>
      <c r="AL29" s="46">
        <f>'Wtr-Gas'!X31*0.0038</f>
        <v>805.6</v>
      </c>
      <c r="AM29" s="43">
        <f>'Wtr-Gas'!AB31*0.0038</f>
        <v>22.8</v>
      </c>
      <c r="AN29" s="43">
        <f>'Wtr-Gas'!AD31*0.0038</f>
        <v>30080.271799999999</v>
      </c>
      <c r="AO29" s="43">
        <f>'Wtr-Gas'!AF31*0.0038</f>
        <v>345.8</v>
      </c>
      <c r="AP29" s="43">
        <f>'Wtr-Gas'!AH31*0.0038</f>
        <v>51151.8</v>
      </c>
      <c r="AQ29" s="43">
        <f>'Wtr-Gas'!AJ31*0.0038</f>
        <v>27.933800000000002</v>
      </c>
      <c r="AR29" s="43">
        <f>'Wtr-Gas'!AL31*0.0038</f>
        <v>7.6</v>
      </c>
      <c r="AS29" s="43">
        <f>'Wtr-Gas'!AN31*0.0038</f>
        <v>0</v>
      </c>
      <c r="AT29" s="43">
        <f>'Wtr-Gas'!AP31*0.0038</f>
        <v>1.9</v>
      </c>
      <c r="AU29" s="46">
        <f>'Wtr-Gas'!AT31*0.0038</f>
        <v>0.21659999999999999</v>
      </c>
      <c r="AV29" s="43">
        <f>'Wtr-Gas'!AW31*0.0038</f>
        <v>308.59039999999999</v>
      </c>
      <c r="AW29" s="44">
        <f>'Wtr-Gas'!AY31*0.0038</f>
        <v>266.49897799999997</v>
      </c>
      <c r="AX29" s="43">
        <f>'Wtr-Gas'!AZ31*0.0038</f>
        <v>42.091422000000009</v>
      </c>
      <c r="AY29" s="43">
        <f>'Wtr-Gas'!BB31*0.0038</f>
        <v>12.16</v>
      </c>
      <c r="AZ29" s="43">
        <f>'Wtr-Gas'!BD31*0.0038</f>
        <v>0.76</v>
      </c>
      <c r="BA29" s="43">
        <f>'Wtr-Gas'!BF31*0.0038</f>
        <v>49.787599999999998</v>
      </c>
    </row>
    <row r="30" spans="1:53">
      <c r="A30" s="3" t="s">
        <v>11</v>
      </c>
      <c r="B30" s="2">
        <v>30</v>
      </c>
      <c r="C30" s="2">
        <v>6</v>
      </c>
      <c r="D30" s="2">
        <v>2019</v>
      </c>
      <c r="E30" s="41">
        <f>Elect!AW32</f>
        <v>465</v>
      </c>
      <c r="F30" s="41">
        <f>Elect!I32</f>
        <v>47040</v>
      </c>
      <c r="G30" s="41">
        <f>Elect!H32</f>
        <v>2.3180000000000001</v>
      </c>
      <c r="H30" s="41">
        <f>Elect!E32</f>
        <v>45760</v>
      </c>
      <c r="I30" s="41">
        <f>Elect!D32</f>
        <v>2.234</v>
      </c>
      <c r="J30" s="41">
        <f>Elect!Y32</f>
        <v>88500</v>
      </c>
      <c r="K30" s="41">
        <f>Elect!X32</f>
        <v>2.778</v>
      </c>
      <c r="L30" s="41">
        <f>Elect!AS32</f>
        <v>1680</v>
      </c>
      <c r="M30" s="41">
        <f>Elect!AR32</f>
        <v>0.34300000000000003</v>
      </c>
      <c r="N30" s="41">
        <f>Elect!AC32</f>
        <v>85500</v>
      </c>
      <c r="O30" s="41">
        <f>Elect!AB32</f>
        <v>2.3620000000000001</v>
      </c>
      <c r="P30" s="41">
        <f>Elect!Q32</f>
        <v>12800</v>
      </c>
      <c r="Q30" s="41">
        <f>Elect!P32</f>
        <v>0.248</v>
      </c>
      <c r="R30" s="41">
        <f>Elect!M32</f>
        <v>13200</v>
      </c>
      <c r="S30" s="41">
        <f>Elect!L32</f>
        <v>0.25</v>
      </c>
      <c r="T30" s="41">
        <f>Elect!U32</f>
        <v>13200</v>
      </c>
      <c r="U30" s="41">
        <f>Elect!T32</f>
        <v>0.26600000000000001</v>
      </c>
      <c r="V30" s="41">
        <f>Elect!AG32</f>
        <v>7520</v>
      </c>
      <c r="W30" s="41">
        <f>Elect!AF32</f>
        <v>0.52200000000000002</v>
      </c>
      <c r="X30" s="41">
        <f>Elect!AK32</f>
        <v>4480</v>
      </c>
      <c r="Y30" s="41">
        <f>Elect!AJ32</f>
        <v>0.32400000000000001</v>
      </c>
      <c r="Z30" s="41">
        <f>Elect!AO32</f>
        <v>55600</v>
      </c>
      <c r="AA30" s="41">
        <f>Elect!AN32</f>
        <v>2.0830000000000002</v>
      </c>
      <c r="AB30" s="41">
        <f>Elect!BJ32</f>
        <v>2200</v>
      </c>
      <c r="AC30" s="41">
        <f>Elect!BG32</f>
        <v>18800</v>
      </c>
      <c r="AD30" s="41">
        <f>Elect!BM32</f>
        <v>893</v>
      </c>
      <c r="AE30" s="41">
        <f>Elect!BP32</f>
        <v>5520</v>
      </c>
      <c r="AF30" s="43">
        <f>('Wtr-Gas'!E32)*0.0038</f>
        <v>5796.4059999999999</v>
      </c>
      <c r="AG30" s="43">
        <f>('Wtr-Gas'!H32)*0.0038</f>
        <v>834.1</v>
      </c>
      <c r="AH30" s="43">
        <f>'Wtr-Gas'!K32*0.0038</f>
        <v>5.7</v>
      </c>
      <c r="AI30" s="43">
        <f>'Wtr-Gas'!N32*0.0038</f>
        <v>4199</v>
      </c>
      <c r="AJ30" s="43">
        <f>'Wtr-Gas'!Q32*0.0038</f>
        <v>76.760000000000005</v>
      </c>
      <c r="AK30" s="46">
        <f>'Wtr-Gas'!U32*0.0038</f>
        <v>766.84</v>
      </c>
      <c r="AL30" s="46">
        <f>'Wtr-Gas'!X32*0.0038</f>
        <v>623.20000000000005</v>
      </c>
      <c r="AM30" s="43">
        <f>'Wtr-Gas'!AB32*0.0038</f>
        <v>11.4</v>
      </c>
      <c r="AN30" s="43">
        <f>'Wtr-Gas'!AD32*0.0038</f>
        <v>29142.925800000001</v>
      </c>
      <c r="AO30" s="43">
        <f>'Wtr-Gas'!AF32*0.0038</f>
        <v>516.79999999999995</v>
      </c>
      <c r="AP30" s="43">
        <f>'Wtr-Gas'!AH32*0.0038</f>
        <v>103595.6</v>
      </c>
      <c r="AQ30" s="43">
        <f>'Wtr-Gas'!AJ32*0.0038</f>
        <v>42.445999999999998</v>
      </c>
      <c r="AR30" s="43">
        <f>'Wtr-Gas'!AL32*0.0038</f>
        <v>110.2</v>
      </c>
      <c r="AS30" s="43">
        <f>'Wtr-Gas'!AN32*0.0038</f>
        <v>0</v>
      </c>
      <c r="AT30" s="43">
        <f>'Wtr-Gas'!AP32*0.0038</f>
        <v>2.66</v>
      </c>
      <c r="AU30" s="46">
        <f>'Wtr-Gas'!AT32*0.0038</f>
        <v>0.35720000000000002</v>
      </c>
      <c r="AV30" s="43">
        <f>'Wtr-Gas'!AW32*0.0038</f>
        <v>293.06740000000002</v>
      </c>
      <c r="AW30" s="44">
        <f>'Wtr-Gas'!AY32*0.0038</f>
        <v>228.032262</v>
      </c>
      <c r="AX30" s="43">
        <f>'Wtr-Gas'!AZ32*0.0038</f>
        <v>65.035138000000003</v>
      </c>
      <c r="AY30" s="43">
        <f>'Wtr-Gas'!BB32*0.0038</f>
        <v>9.8800000000000008</v>
      </c>
      <c r="AZ30" s="43">
        <f>'Wtr-Gas'!BD32*0.0038</f>
        <v>1.1741999999999999</v>
      </c>
      <c r="BA30" s="43">
        <f>'Wtr-Gas'!BF32*0.0038</f>
        <v>866.16060000000004</v>
      </c>
    </row>
    <row r="31" spans="1:53">
      <c r="A31" s="3" t="s">
        <v>11</v>
      </c>
      <c r="B31" s="2">
        <v>8</v>
      </c>
      <c r="C31" s="2">
        <v>7</v>
      </c>
      <c r="D31" s="2">
        <v>2019</v>
      </c>
      <c r="E31" s="41">
        <f>Elect!AW33</f>
        <v>518</v>
      </c>
      <c r="F31" s="41">
        <f>Elect!I33</f>
        <v>47200</v>
      </c>
      <c r="G31" s="41">
        <f>Elect!H33</f>
        <v>2.3180000000000001</v>
      </c>
      <c r="H31" s="41">
        <f>Elect!E33</f>
        <v>46880</v>
      </c>
      <c r="I31" s="41">
        <f>Elect!D33</f>
        <v>2.234</v>
      </c>
      <c r="J31" s="41">
        <f>Elect!Y33</f>
        <v>92400</v>
      </c>
      <c r="K31" s="41">
        <f>Elect!X33</f>
        <v>2.778</v>
      </c>
      <c r="L31" s="41">
        <f>Elect!AS33</f>
        <v>1720</v>
      </c>
      <c r="M31" s="41">
        <f>Elect!AR33</f>
        <v>0.34300000000000003</v>
      </c>
      <c r="N31" s="41">
        <f>Elect!AC33</f>
        <v>88800</v>
      </c>
      <c r="O31" s="41">
        <f>Elect!AB33</f>
        <v>2.3620000000000001</v>
      </c>
      <c r="P31" s="41">
        <f>Elect!Q33</f>
        <v>13200</v>
      </c>
      <c r="Q31" s="41">
        <f>Elect!P33</f>
        <v>0.26900000000000002</v>
      </c>
      <c r="R31" s="41">
        <f>Elect!M33</f>
        <v>14400</v>
      </c>
      <c r="S31" s="41">
        <f>Elect!L33</f>
        <v>0.29899999999999999</v>
      </c>
      <c r="T31" s="41">
        <f>Elect!U33</f>
        <v>13600</v>
      </c>
      <c r="U31" s="41">
        <f>Elect!T33</f>
        <v>0.27</v>
      </c>
      <c r="V31" s="41">
        <f>Elect!AG33</f>
        <v>6080</v>
      </c>
      <c r="W31" s="41">
        <f>Elect!AF33</f>
        <v>0.52200000000000002</v>
      </c>
      <c r="X31" s="41">
        <f>Elect!AK33</f>
        <v>3680</v>
      </c>
      <c r="Y31" s="41">
        <f>Elect!AJ33</f>
        <v>0.32400000000000001</v>
      </c>
      <c r="Z31" s="41">
        <f>Elect!AO33</f>
        <v>56400</v>
      </c>
      <c r="AA31" s="41">
        <f>Elect!AN33</f>
        <v>2.153</v>
      </c>
      <c r="AB31" s="41">
        <f>Elect!BJ33</f>
        <v>2100</v>
      </c>
      <c r="AC31" s="41">
        <f>Elect!BG33</f>
        <v>18900</v>
      </c>
      <c r="AD31" s="41">
        <f>Elect!BM33</f>
        <v>894</v>
      </c>
      <c r="AE31" s="41">
        <f>Elect!BP33</f>
        <v>4080</v>
      </c>
      <c r="AF31" s="43">
        <f>('Wtr-Gas'!E33)*0.0038</f>
        <v>5676.4780000000001</v>
      </c>
      <c r="AG31" s="43">
        <f>('Wtr-Gas'!H33)*0.0038</f>
        <v>869.32600000000002</v>
      </c>
      <c r="AH31" s="43">
        <f>'Wtr-Gas'!K33*0.0038</f>
        <v>5.32</v>
      </c>
      <c r="AI31" s="43">
        <f>'Wtr-Gas'!N33*0.0038</f>
        <v>4202.8</v>
      </c>
      <c r="AJ31" s="43">
        <f>'Wtr-Gas'!Q33*0.0038</f>
        <v>85.5</v>
      </c>
      <c r="AK31" s="46">
        <f>'Wtr-Gas'!U33*0.0038</f>
        <v>783.94</v>
      </c>
      <c r="AL31" s="46">
        <f>'Wtr-Gas'!X33*0.0038</f>
        <v>478.8</v>
      </c>
      <c r="AM31" s="43">
        <f>'Wtr-Gas'!AB33*0.0038</f>
        <v>3.8</v>
      </c>
      <c r="AN31" s="43">
        <f>'Wtr-Gas'!AD33*0.0038</f>
        <v>33923.375200000002</v>
      </c>
      <c r="AO31" s="43">
        <f>'Wtr-Gas'!AF33*0.0038</f>
        <v>1143.8</v>
      </c>
      <c r="AP31" s="43">
        <f>'Wtr-Gas'!AH33*0.0038</f>
        <v>100920.4</v>
      </c>
      <c r="AQ31" s="43">
        <f>'Wtr-Gas'!AJ33*0.0038</f>
        <v>36.232999999999997</v>
      </c>
      <c r="AR31" s="43">
        <f>'Wtr-Gas'!AL33*0.0038</f>
        <v>95</v>
      </c>
      <c r="AS31" s="43">
        <f>'Wtr-Gas'!AN33*0.0038</f>
        <v>0</v>
      </c>
      <c r="AT31" s="43">
        <f>'Wtr-Gas'!AP33*0.0038</f>
        <v>2.1280000000000001</v>
      </c>
      <c r="AU31" s="46">
        <f>'Wtr-Gas'!AT33*0.0038</f>
        <v>0.37619999999999998</v>
      </c>
      <c r="AV31" s="43">
        <f>'Wtr-Gas'!AW33*0.0038</f>
        <v>294.9522</v>
      </c>
      <c r="AW31" s="44">
        <f>'Wtr-Gas'!AY33*0.0038</f>
        <v>247.04715800000002</v>
      </c>
      <c r="AX31" s="43">
        <f>'Wtr-Gas'!AZ33*0.0038</f>
        <v>47.905041999999987</v>
      </c>
      <c r="AY31" s="43">
        <f>'Wtr-Gas'!BB33*0.0038</f>
        <v>9.1199999999999992</v>
      </c>
      <c r="AZ31" s="43">
        <f>'Wtr-Gas'!BD33*0.0038</f>
        <v>0.7258</v>
      </c>
      <c r="BA31" s="43">
        <f>'Wtr-Gas'!BF33*0.0038</f>
        <v>952.47760000000005</v>
      </c>
    </row>
    <row r="32" spans="1:53">
      <c r="A32" s="3" t="s">
        <v>11</v>
      </c>
      <c r="B32" s="2">
        <v>15</v>
      </c>
      <c r="C32" s="2">
        <v>7</v>
      </c>
      <c r="D32" s="2">
        <v>2019</v>
      </c>
      <c r="E32" s="41">
        <f>Elect!AW34</f>
        <v>473</v>
      </c>
      <c r="F32" s="41">
        <f>Elect!I34</f>
        <v>46400</v>
      </c>
      <c r="G32" s="41">
        <f>Elect!H34</f>
        <v>2.3180000000000001</v>
      </c>
      <c r="H32" s="41">
        <f>Elect!E34</f>
        <v>46400</v>
      </c>
      <c r="I32" s="41">
        <f>Elect!D34</f>
        <v>2.234</v>
      </c>
      <c r="J32" s="41">
        <f>Elect!Y34</f>
        <v>88500</v>
      </c>
      <c r="K32" s="41">
        <f>Elect!X34</f>
        <v>2.778</v>
      </c>
      <c r="L32" s="41">
        <f>Elect!AS34</f>
        <v>1680</v>
      </c>
      <c r="M32" s="41">
        <f>Elect!AR34</f>
        <v>0.36199999999999999</v>
      </c>
      <c r="N32" s="41">
        <f>Elect!AC34</f>
        <v>90300</v>
      </c>
      <c r="O32" s="41">
        <f>Elect!AB34</f>
        <v>2.3620000000000001</v>
      </c>
      <c r="P32" s="41">
        <f>Elect!Q34</f>
        <v>12400</v>
      </c>
      <c r="Q32" s="41">
        <f>Elect!P34</f>
        <v>0.26900000000000002</v>
      </c>
      <c r="R32" s="41">
        <f>Elect!M34</f>
        <v>14400</v>
      </c>
      <c r="S32" s="41">
        <f>Elect!L34</f>
        <v>0.29899999999999999</v>
      </c>
      <c r="T32" s="41">
        <f>Elect!U34</f>
        <v>12800</v>
      </c>
      <c r="U32" s="41">
        <f>Elect!T34</f>
        <v>0.27</v>
      </c>
      <c r="V32" s="41">
        <f>Elect!AG34</f>
        <v>6720</v>
      </c>
      <c r="W32" s="41">
        <f>Elect!AF34</f>
        <v>0.52200000000000002</v>
      </c>
      <c r="X32" s="41">
        <f>Elect!AK34</f>
        <v>4160</v>
      </c>
      <c r="Y32" s="41">
        <f>Elect!AJ34</f>
        <v>0.32400000000000001</v>
      </c>
      <c r="Z32" s="41">
        <f>Elect!AO34</f>
        <v>53000</v>
      </c>
      <c r="AA32" s="41">
        <f>Elect!AN34</f>
        <v>2.153</v>
      </c>
      <c r="AB32" s="41">
        <f>Elect!BJ34</f>
        <v>3100</v>
      </c>
      <c r="AC32" s="41">
        <f>Elect!BG34</f>
        <v>24700</v>
      </c>
      <c r="AD32" s="41">
        <f>Elect!BM34</f>
        <v>1176</v>
      </c>
      <c r="AE32" s="41">
        <f>Elect!BP34</f>
        <v>2360</v>
      </c>
      <c r="AF32" s="43">
        <f>('Wtr-Gas'!E34)*0.0038</f>
        <v>5276.9459999999999</v>
      </c>
      <c r="AG32" s="43">
        <f>('Wtr-Gas'!H34)*0.0038</f>
        <v>847.97</v>
      </c>
      <c r="AH32" s="43">
        <f>'Wtr-Gas'!K34*0.0038</f>
        <v>11.4</v>
      </c>
      <c r="AI32" s="43">
        <f>'Wtr-Gas'!N34*0.0038</f>
        <v>3917.8</v>
      </c>
      <c r="AJ32" s="43">
        <f>'Wtr-Gas'!Q34*0.0038</f>
        <v>79.040000000000006</v>
      </c>
      <c r="AK32" s="46">
        <f>'Wtr-Gas'!U34*0.0038</f>
        <v>785.84</v>
      </c>
      <c r="AL32" s="46">
        <f>'Wtr-Gas'!X34*0.0038</f>
        <v>575.32000000000005</v>
      </c>
      <c r="AM32" s="43">
        <f>'Wtr-Gas'!AB34*0.0038</f>
        <v>0</v>
      </c>
      <c r="AN32" s="43">
        <f>'Wtr-Gas'!AD34*0.0038</f>
        <v>32064.745800000001</v>
      </c>
      <c r="AO32" s="43">
        <f>'Wtr-Gas'!AF34*0.0038</f>
        <v>980.4</v>
      </c>
      <c r="AP32" s="43">
        <f>'Wtr-Gas'!AH34*0.0038</f>
        <v>100259.2</v>
      </c>
      <c r="AQ32" s="43">
        <f>'Wtr-Gas'!AJ34*0.0038</f>
        <v>25.995799999999999</v>
      </c>
      <c r="AR32" s="43">
        <f>'Wtr-Gas'!AL34*0.0038</f>
        <v>3.8</v>
      </c>
      <c r="AS32" s="43">
        <f>'Wtr-Gas'!AN34*0.0038</f>
        <v>0</v>
      </c>
      <c r="AT32" s="43">
        <f>'Wtr-Gas'!AP34*0.0038</f>
        <v>1.976</v>
      </c>
      <c r="AU32" s="46">
        <f>'Wtr-Gas'!AT34*0.0038</f>
        <v>0.53580000000000005</v>
      </c>
      <c r="AV32" s="43">
        <f>'Wtr-Gas'!AW34*0.0038</f>
        <v>391.3886</v>
      </c>
      <c r="AW32" s="44">
        <f>'Wtr-Gas'!AY34*0.0038</f>
        <v>319.67940800000002</v>
      </c>
      <c r="AX32" s="43">
        <f>'Wtr-Gas'!AZ34*0.0038</f>
        <v>71.709191999999987</v>
      </c>
      <c r="AY32" s="43">
        <f>'Wtr-Gas'!BB34*0.0038</f>
        <v>31.16</v>
      </c>
      <c r="AZ32" s="43">
        <f>'Wtr-Gas'!BD34*0.0038</f>
        <v>1.52</v>
      </c>
      <c r="BA32" s="43">
        <f>'Wtr-Gas'!BF34*0.0038</f>
        <v>37.901200000000003</v>
      </c>
    </row>
    <row r="33" spans="1:53">
      <c r="A33" s="3" t="s">
        <v>11</v>
      </c>
      <c r="B33" s="2">
        <v>21</v>
      </c>
      <c r="C33" s="2">
        <v>7</v>
      </c>
      <c r="D33" s="2">
        <v>2019</v>
      </c>
      <c r="E33" s="41">
        <f>Elect!AW35</f>
        <v>469</v>
      </c>
      <c r="F33" s="41">
        <f>Elect!I35</f>
        <v>47360</v>
      </c>
      <c r="G33" s="41">
        <f>Elect!H35</f>
        <v>1.675</v>
      </c>
      <c r="H33" s="41">
        <f>Elect!E35</f>
        <v>46560</v>
      </c>
      <c r="I33" s="41">
        <f>Elect!D35</f>
        <v>1.5620000000000001</v>
      </c>
      <c r="J33" s="41">
        <f>Elect!Y35</f>
        <v>87000</v>
      </c>
      <c r="K33" s="41">
        <f>Elect!X35</f>
        <v>1.016</v>
      </c>
      <c r="L33" s="41">
        <f>Elect!AS35</f>
        <v>1680</v>
      </c>
      <c r="M33" s="41">
        <f>Elect!AR35</f>
        <v>0</v>
      </c>
      <c r="N33" s="41">
        <f>Elect!AC35</f>
        <v>84600</v>
      </c>
      <c r="O33" s="41">
        <f>Elect!AB35</f>
        <v>1.4750000000000001</v>
      </c>
      <c r="P33" s="41">
        <f>Elect!Q35</f>
        <v>12800</v>
      </c>
      <c r="Q33" s="41">
        <f>Elect!P35</f>
        <v>0.16300000000000001</v>
      </c>
      <c r="R33" s="41">
        <f>Elect!M35</f>
        <v>14400</v>
      </c>
      <c r="S33" s="41">
        <f>Elect!L35</f>
        <v>0.17599999999999999</v>
      </c>
      <c r="T33" s="41">
        <f>Elect!U35</f>
        <v>14000</v>
      </c>
      <c r="U33" s="41">
        <f>Elect!T35</f>
        <v>0.184</v>
      </c>
      <c r="V33" s="41">
        <f>Elect!AG35</f>
        <v>6720</v>
      </c>
      <c r="W33" s="41">
        <f>Elect!AF35</f>
        <v>0.20699999999999999</v>
      </c>
      <c r="X33" s="41">
        <f>Elect!AK35</f>
        <v>3680</v>
      </c>
      <c r="Y33" s="41">
        <f>Elect!AJ35</f>
        <v>0.107</v>
      </c>
      <c r="Z33" s="41">
        <f>Elect!AO35</f>
        <v>54000</v>
      </c>
      <c r="AA33" s="41">
        <f>Elect!AN35</f>
        <v>0</v>
      </c>
      <c r="AB33" s="41">
        <f>Elect!BJ35</f>
        <v>1300</v>
      </c>
      <c r="AC33" s="41">
        <f>Elect!BG35</f>
        <v>12300</v>
      </c>
      <c r="AD33" s="41">
        <f>Elect!BM35</f>
        <v>618</v>
      </c>
      <c r="AE33" s="41">
        <f>Elect!BP35</f>
        <v>1040</v>
      </c>
      <c r="AF33" s="43">
        <f>('Wtr-Gas'!E35)*0.0038</f>
        <v>5129.3159999999998</v>
      </c>
      <c r="AG33" s="43">
        <f>('Wtr-Gas'!H35)*0.0038</f>
        <v>639.19799999999998</v>
      </c>
      <c r="AH33" s="43">
        <f>'Wtr-Gas'!K35*0.0038</f>
        <v>7.22</v>
      </c>
      <c r="AI33" s="43">
        <f>'Wtr-Gas'!N35*0.0038</f>
        <v>4043.2</v>
      </c>
      <c r="AJ33" s="43">
        <f>'Wtr-Gas'!Q35*0.0038</f>
        <v>77.52</v>
      </c>
      <c r="AK33" s="46">
        <f>'Wtr-Gas'!U35*0.0038</f>
        <v>724.28</v>
      </c>
      <c r="AL33" s="46">
        <f>'Wtr-Gas'!X35*0.0038</f>
        <v>652.46</v>
      </c>
      <c r="AM33" s="43">
        <f>'Wtr-Gas'!AB35*0.0038</f>
        <v>0</v>
      </c>
      <c r="AN33" s="43">
        <f>'Wtr-Gas'!AD35*0.0038</f>
        <v>30802.309799999999</v>
      </c>
      <c r="AO33" s="43">
        <f>'Wtr-Gas'!AF35*0.0038</f>
        <v>2644.8</v>
      </c>
      <c r="AP33" s="43">
        <f>'Wtr-Gas'!AH35*0.0038</f>
        <v>76106.399999999994</v>
      </c>
      <c r="AQ33" s="43">
        <f>'Wtr-Gas'!AJ35*0.0038</f>
        <v>34.143000000000001</v>
      </c>
      <c r="AR33" s="43">
        <f>'Wtr-Gas'!AL35*0.0038</f>
        <v>41.8</v>
      </c>
      <c r="AS33" s="43">
        <f>'Wtr-Gas'!AN35*0.0038</f>
        <v>0</v>
      </c>
      <c r="AT33" s="43">
        <f>'Wtr-Gas'!AP35*0.0038</f>
        <v>1.8620000000000001</v>
      </c>
      <c r="AU33" s="46">
        <f>'Wtr-Gas'!AT35*0.0038</f>
        <v>0.25080000000000002</v>
      </c>
      <c r="AV33" s="43">
        <f>'Wtr-Gas'!AW35*0.0038</f>
        <v>207.1</v>
      </c>
      <c r="AW33" s="44">
        <f>'Wtr-Gas'!AY35*0.0038</f>
        <v>176.21492999999998</v>
      </c>
      <c r="AX33" s="43">
        <f>'Wtr-Gas'!AZ35*0.0038</f>
        <v>30.885070000000006</v>
      </c>
      <c r="AY33" s="43">
        <f>'Wtr-Gas'!BB35*0.0038</f>
        <v>11.02</v>
      </c>
      <c r="AZ33" s="43">
        <f>'Wtr-Gas'!BD35*0.0038</f>
        <v>0.38</v>
      </c>
      <c r="BA33" s="43">
        <f>'Wtr-Gas'!BF35*0.0038</f>
        <v>19.079799999999999</v>
      </c>
    </row>
    <row r="34" spans="1:53">
      <c r="A34" s="3" t="s">
        <v>11</v>
      </c>
      <c r="B34" s="2">
        <v>28</v>
      </c>
      <c r="C34" s="2">
        <v>7</v>
      </c>
      <c r="D34" s="2">
        <v>2019</v>
      </c>
      <c r="E34" s="41">
        <f>Elect!AW36</f>
        <v>429</v>
      </c>
      <c r="F34" s="41">
        <f>Elect!I36</f>
        <v>47840</v>
      </c>
      <c r="G34" s="41">
        <f>Elect!H36</f>
        <v>2.2410000000000001</v>
      </c>
      <c r="H34" s="41">
        <f>Elect!E36</f>
        <v>47040</v>
      </c>
      <c r="I34" s="41">
        <f>Elect!D36</f>
        <v>2.1560000000000001</v>
      </c>
      <c r="J34" s="41">
        <f>Elect!Y36</f>
        <v>82500</v>
      </c>
      <c r="K34" s="41">
        <f>Elect!X36</f>
        <v>2.476</v>
      </c>
      <c r="L34" s="41">
        <f>Elect!AS36</f>
        <v>1640</v>
      </c>
      <c r="M34" s="41">
        <f>Elect!AR36</f>
        <v>0.33300000000000002</v>
      </c>
      <c r="N34" s="41">
        <f>Elect!AC36</f>
        <v>79500</v>
      </c>
      <c r="O34" s="41">
        <f>Elect!AB36</f>
        <v>2.1760000000000002</v>
      </c>
      <c r="P34" s="41">
        <f>Elect!Q36</f>
        <v>12000</v>
      </c>
      <c r="Q34" s="41">
        <f>Elect!P36</f>
        <v>0.24299999999999999</v>
      </c>
      <c r="R34" s="41">
        <f>Elect!M36</f>
        <v>12800</v>
      </c>
      <c r="S34" s="41">
        <f>Elect!L36</f>
        <v>0.27400000000000002</v>
      </c>
      <c r="T34" s="41">
        <f>Elect!U36</f>
        <v>13200</v>
      </c>
      <c r="U34" s="41">
        <f>Elect!T36</f>
        <v>0.25</v>
      </c>
      <c r="V34" s="41">
        <f>Elect!AG36</f>
        <v>6400</v>
      </c>
      <c r="W34" s="41">
        <f>Elect!AF36</f>
        <v>0.36199999999999999</v>
      </c>
      <c r="X34" s="41">
        <f>Elect!AK36</f>
        <v>3680</v>
      </c>
      <c r="Y34" s="41">
        <f>Elect!AJ36</f>
        <v>0.26</v>
      </c>
      <c r="Z34" s="41">
        <f>Elect!AO36</f>
        <v>57000</v>
      </c>
      <c r="AA34" s="41">
        <f>Elect!AN36</f>
        <v>2.1960000000000002</v>
      </c>
      <c r="AB34" s="41">
        <f>Elect!BJ36</f>
        <v>2500</v>
      </c>
      <c r="AC34" s="41">
        <f>Elect!BG36</f>
        <v>21100</v>
      </c>
      <c r="AD34" s="41">
        <f>Elect!BM36</f>
        <v>1042</v>
      </c>
      <c r="AE34" s="41">
        <f>Elect!BP36</f>
        <v>1880</v>
      </c>
      <c r="AF34" s="43">
        <f>('Wtr-Gas'!E36)*0.0038</f>
        <v>5043.4740000000002</v>
      </c>
      <c r="AG34" s="43">
        <f>('Wtr-Gas'!H36)*0.0038</f>
        <v>731.84199999999998</v>
      </c>
      <c r="AH34" s="43">
        <f>'Wtr-Gas'!K36*0.0038</f>
        <v>5.32</v>
      </c>
      <c r="AI34" s="43">
        <f>'Wtr-Gas'!N36*0.0038</f>
        <v>3952</v>
      </c>
      <c r="AJ34" s="43">
        <f>'Wtr-Gas'!Q36*0.0038</f>
        <v>87.4</v>
      </c>
      <c r="AK34" s="46">
        <f>'Wtr-Gas'!U36*0.0038</f>
        <v>802.56</v>
      </c>
      <c r="AL34" s="46">
        <f>'Wtr-Gas'!X36*0.0038</f>
        <v>882.36</v>
      </c>
      <c r="AM34" s="43">
        <f>'Wtr-Gas'!AB36*0.0038</f>
        <v>0</v>
      </c>
      <c r="AN34" s="43">
        <f>'Wtr-Gas'!AD36*0.0038</f>
        <v>30249.5314</v>
      </c>
      <c r="AO34" s="43">
        <f>'Wtr-Gas'!AF36*0.0038</f>
        <v>630.79999999999995</v>
      </c>
      <c r="AP34" s="43">
        <f>'Wtr-Gas'!AH36*0.0038</f>
        <v>75692.2</v>
      </c>
      <c r="AQ34" s="43">
        <f>'Wtr-Gas'!AJ36*0.0038</f>
        <v>30.2974</v>
      </c>
      <c r="AR34" s="43">
        <f>'Wtr-Gas'!AL36*0.0038</f>
        <v>95</v>
      </c>
      <c r="AS34" s="43">
        <f>'Wtr-Gas'!AN36*0.0038</f>
        <v>0</v>
      </c>
      <c r="AT34" s="43">
        <f>'Wtr-Gas'!AP36*0.0038</f>
        <v>1.8620000000000001</v>
      </c>
      <c r="AU34" s="46">
        <f>'Wtr-Gas'!AT36*0.0038</f>
        <v>0.42180000000000001</v>
      </c>
      <c r="AV34" s="43">
        <f>'Wtr-Gas'!AW36*0.0038</f>
        <v>333.14980000000003</v>
      </c>
      <c r="AW34" s="44">
        <f>'Wtr-Gas'!AY36*0.0038</f>
        <v>283.37656399999997</v>
      </c>
      <c r="AX34" s="43">
        <f>'Wtr-Gas'!AZ36*0.0038</f>
        <v>49.773236000000004</v>
      </c>
      <c r="AY34" s="43">
        <f>'Wtr-Gas'!BB36*0.0038</f>
        <v>20.9</v>
      </c>
      <c r="AZ34" s="43">
        <f>'Wtr-Gas'!BD36*0.0038</f>
        <v>1.52</v>
      </c>
      <c r="BA34" s="43">
        <f>'Wtr-Gas'!BF36*0.0038</f>
        <v>31.824999999999999</v>
      </c>
    </row>
    <row r="35" spans="1:53">
      <c r="A35" s="3" t="s">
        <v>11</v>
      </c>
      <c r="B35" s="2">
        <v>31</v>
      </c>
      <c r="C35" s="2">
        <v>7</v>
      </c>
      <c r="D35" s="2">
        <v>2019</v>
      </c>
      <c r="E35" s="41">
        <f>Elect!AW37</f>
        <v>173</v>
      </c>
      <c r="F35" s="41">
        <f>Elect!I37</f>
        <v>20800</v>
      </c>
      <c r="G35" s="41">
        <f>Elect!H37</f>
        <v>2.2599999999999998</v>
      </c>
      <c r="H35" s="41">
        <f>Elect!E37</f>
        <v>20320</v>
      </c>
      <c r="I35" s="41">
        <f>Elect!D37</f>
        <v>2.1560000000000001</v>
      </c>
      <c r="J35" s="41">
        <f>Elect!Y37</f>
        <v>38700</v>
      </c>
      <c r="K35" s="41">
        <f>Elect!X37</f>
        <v>2.476</v>
      </c>
      <c r="L35" s="41">
        <f>Elect!AS37</f>
        <v>720</v>
      </c>
      <c r="M35" s="41">
        <f>Elect!AR37</f>
        <v>0.33300000000000002</v>
      </c>
      <c r="N35" s="41">
        <f>Elect!AC37</f>
        <v>38700</v>
      </c>
      <c r="O35" s="41">
        <f>Elect!AB37</f>
        <v>2.1760000000000002</v>
      </c>
      <c r="P35" s="41">
        <f>Elect!Q37</f>
        <v>5600</v>
      </c>
      <c r="Q35" s="41">
        <f>Elect!P37</f>
        <v>0.24299999999999999</v>
      </c>
      <c r="R35" s="41">
        <f>Elect!M37</f>
        <v>6000</v>
      </c>
      <c r="S35" s="41">
        <f>Elect!L37</f>
        <v>0.27400000000000002</v>
      </c>
      <c r="T35" s="41">
        <f>Elect!U37</f>
        <v>6000</v>
      </c>
      <c r="U35" s="41">
        <f>Elect!T37</f>
        <v>0.25</v>
      </c>
      <c r="V35" s="41">
        <f>Elect!AG37</f>
        <v>2720</v>
      </c>
      <c r="W35" s="41">
        <f>Elect!AF37</f>
        <v>0.36199999999999999</v>
      </c>
      <c r="X35" s="41">
        <f>Elect!AK37</f>
        <v>1760</v>
      </c>
      <c r="Y35" s="41">
        <f>Elect!AJ37</f>
        <v>0.26</v>
      </c>
      <c r="Z35" s="41">
        <f>Elect!AO37</f>
        <v>24400</v>
      </c>
      <c r="AA35" s="41">
        <f>Elect!AN37</f>
        <v>2.1960000000000002</v>
      </c>
      <c r="AB35" s="41">
        <f>Elect!BJ37</f>
        <v>300</v>
      </c>
      <c r="AC35" s="41">
        <f>Elect!BG37</f>
        <v>1900</v>
      </c>
      <c r="AD35" s="41">
        <f>Elect!BM37</f>
        <v>105</v>
      </c>
      <c r="AE35" s="41">
        <f>Elect!BP37</f>
        <v>200</v>
      </c>
      <c r="AF35" s="43">
        <f>('Wtr-Gas'!E37)*0.0038</f>
        <v>2506.7840000000001</v>
      </c>
      <c r="AG35" s="43">
        <f>('Wtr-Gas'!H37)*0.0038</f>
        <v>275.88</v>
      </c>
      <c r="AH35" s="43">
        <f>'Wtr-Gas'!K37*0.0038</f>
        <v>4.9400000000000004</v>
      </c>
      <c r="AI35" s="43">
        <f>'Wtr-Gas'!N37*0.0038</f>
        <v>1801.2</v>
      </c>
      <c r="AJ35" s="43">
        <f>'Wtr-Gas'!Q37*0.0038</f>
        <v>35.340000000000003</v>
      </c>
      <c r="AK35" s="46">
        <f>'Wtr-Gas'!U37*0.0038</f>
        <v>325.66000000000003</v>
      </c>
      <c r="AL35" s="46">
        <f>'Wtr-Gas'!X37*0.0038</f>
        <v>186.2</v>
      </c>
      <c r="AM35" s="43">
        <f>'Wtr-Gas'!AB37*0.0038</f>
        <v>0</v>
      </c>
      <c r="AN35" s="43">
        <f>'Wtr-Gas'!AD37*0.0038</f>
        <v>13079.4442</v>
      </c>
      <c r="AO35" s="43">
        <f>'Wtr-Gas'!AF37*0.0038</f>
        <v>171</v>
      </c>
      <c r="AP35" s="43">
        <f>'Wtr-Gas'!AH37*0.0038</f>
        <v>29400.6</v>
      </c>
      <c r="AQ35" s="43">
        <f>'Wtr-Gas'!AJ37*0.0038</f>
        <v>13.600199999999999</v>
      </c>
      <c r="AR35" s="43">
        <f>'Wtr-Gas'!AL37*0.0038</f>
        <v>15.2</v>
      </c>
      <c r="AS35" s="43">
        <f>'Wtr-Gas'!AN37*0.0038</f>
        <v>0</v>
      </c>
      <c r="AT35" s="43">
        <f>'Wtr-Gas'!AP37*0.0038</f>
        <v>0.91200000000000003</v>
      </c>
      <c r="AU35" s="46">
        <f>'Wtr-Gas'!AT37*0.0038</f>
        <v>1.52E-2</v>
      </c>
      <c r="AV35" s="43">
        <f>'Wtr-Gas'!AW37*0.0038</f>
        <v>36.989199999999997</v>
      </c>
      <c r="AW35" s="44">
        <f>'Wtr-Gas'!AY37*0.0038</f>
        <v>35.400078000000001</v>
      </c>
      <c r="AX35" s="43">
        <f>'Wtr-Gas'!AZ37*0.0038</f>
        <v>1.5891220000000019</v>
      </c>
      <c r="AY35" s="43">
        <f>'Wtr-Gas'!BB37*0.0038</f>
        <v>4.9400000000000004</v>
      </c>
      <c r="AZ35" s="43">
        <f>'Wtr-Gas'!BD37*0.0038</f>
        <v>0</v>
      </c>
      <c r="BA35" s="43">
        <f>'Wtr-Gas'!BF37*0.0038</f>
        <v>2.9830000000000001</v>
      </c>
    </row>
    <row r="36" spans="1:53">
      <c r="A36" s="3" t="s">
        <v>11</v>
      </c>
      <c r="B36" s="2">
        <v>5</v>
      </c>
      <c r="C36" s="2">
        <v>8</v>
      </c>
      <c r="D36" s="2">
        <v>2019</v>
      </c>
      <c r="E36" s="41">
        <f>Elect!AW38</f>
        <v>214</v>
      </c>
      <c r="F36" s="41">
        <f>Elect!I38</f>
        <v>28160</v>
      </c>
      <c r="G36" s="41">
        <f>Elect!H38</f>
        <v>2.286</v>
      </c>
      <c r="H36" s="41">
        <f>Elect!E38</f>
        <v>27040</v>
      </c>
      <c r="I36" s="41">
        <f>Elect!D38</f>
        <v>2.1560000000000001</v>
      </c>
      <c r="J36" s="41">
        <f>Elect!Y38</f>
        <v>54900</v>
      </c>
      <c r="K36" s="41">
        <f>Elect!X38</f>
        <v>2.6930000000000001</v>
      </c>
      <c r="L36" s="41">
        <f>Elect!AS38</f>
        <v>960</v>
      </c>
      <c r="M36" s="41">
        <f>Elect!AR38</f>
        <v>0.33300000000000002</v>
      </c>
      <c r="N36" s="41">
        <f>Elect!AC38</f>
        <v>50400</v>
      </c>
      <c r="O36" s="41">
        <f>Elect!AB38</f>
        <v>2.3199999999999998</v>
      </c>
      <c r="P36" s="41">
        <f>Elect!Q38</f>
        <v>7200</v>
      </c>
      <c r="Q36" s="41">
        <f>Elect!P38</f>
        <v>0.24299999999999999</v>
      </c>
      <c r="R36" s="41">
        <f>Elect!M38</f>
        <v>8000</v>
      </c>
      <c r="S36" s="41">
        <f>Elect!L38</f>
        <v>0.27400000000000002</v>
      </c>
      <c r="T36" s="41">
        <f>Elect!U38</f>
        <v>7600</v>
      </c>
      <c r="U36" s="41">
        <f>Elect!T38</f>
        <v>0.252</v>
      </c>
      <c r="V36" s="41">
        <f>Elect!AG38</f>
        <v>4000</v>
      </c>
      <c r="W36" s="41">
        <f>Elect!AF38</f>
        <v>0.40899999999999997</v>
      </c>
      <c r="X36" s="41">
        <f>Elect!AK38</f>
        <v>2400</v>
      </c>
      <c r="Y36" s="41">
        <f>Elect!AJ38</f>
        <v>0.26</v>
      </c>
      <c r="Z36" s="41">
        <f>Elect!AO38</f>
        <v>32800</v>
      </c>
      <c r="AA36" s="41">
        <f>Elect!AN38</f>
        <v>2.1960000000000002</v>
      </c>
      <c r="AB36" s="41">
        <f>Elect!BJ38</f>
        <v>1300</v>
      </c>
      <c r="AC36" s="41">
        <f>Elect!BG38</f>
        <v>13200</v>
      </c>
      <c r="AD36" s="41">
        <f>Elect!BM38</f>
        <v>638</v>
      </c>
      <c r="AE36" s="41">
        <f>Elect!BP38</f>
        <v>1000</v>
      </c>
      <c r="AF36" s="43">
        <f>('Wtr-Gas'!E38)*0.0038</f>
        <v>3097.19</v>
      </c>
      <c r="AG36" s="43">
        <f>('Wtr-Gas'!H38)*0.0038</f>
        <v>306.774</v>
      </c>
      <c r="AH36" s="43">
        <f>'Wtr-Gas'!K38*0.0038</f>
        <v>0.76</v>
      </c>
      <c r="AI36" s="43">
        <f>'Wtr-Gas'!N38*0.0038</f>
        <v>2413</v>
      </c>
      <c r="AJ36" s="43">
        <f>'Wtr-Gas'!Q38*0.0038</f>
        <v>45.22</v>
      </c>
      <c r="AK36" s="46">
        <f>'Wtr-Gas'!U38*0.0038</f>
        <v>449.54</v>
      </c>
      <c r="AL36" s="46">
        <f>'Wtr-Gas'!X38*0.0038</f>
        <v>417.62</v>
      </c>
      <c r="AM36" s="43">
        <f>'Wtr-Gas'!AB38*0.0038</f>
        <v>0</v>
      </c>
      <c r="AN36" s="43">
        <f>'Wtr-Gas'!AD38*0.0038</f>
        <v>24152.256600000001</v>
      </c>
      <c r="AO36" s="43">
        <f>'Wtr-Gas'!AF38*0.0038</f>
        <v>239.4</v>
      </c>
      <c r="AP36" s="43">
        <f>'Wtr-Gas'!AH38*0.0038</f>
        <v>38364.800000000003</v>
      </c>
      <c r="AQ36" s="43">
        <f>'Wtr-Gas'!AJ38*0.0038</f>
        <v>16.997399999999999</v>
      </c>
      <c r="AR36" s="43">
        <f>'Wtr-Gas'!AL38*0.0038</f>
        <v>3.8</v>
      </c>
      <c r="AS36" s="43">
        <f>'Wtr-Gas'!AN38*0.0038</f>
        <v>0</v>
      </c>
      <c r="AT36" s="43">
        <f>'Wtr-Gas'!AP38*0.0038</f>
        <v>1.026</v>
      </c>
      <c r="AU36" s="46">
        <f>'Wtr-Gas'!AT38*0.0038</f>
        <v>0.26219999999999999</v>
      </c>
      <c r="AV36" s="43">
        <f>'Wtr-Gas'!AW38*0.0038</f>
        <v>208.56299999999999</v>
      </c>
      <c r="AW36" s="44">
        <f>'Wtr-Gas'!AY38*0.0038</f>
        <v>176.306016</v>
      </c>
      <c r="AX36" s="43">
        <f>'Wtr-Gas'!AZ38*0.0038</f>
        <v>32.256984000000003</v>
      </c>
      <c r="AY36" s="43">
        <f>'Wtr-Gas'!BB38*0.0038</f>
        <v>91.58</v>
      </c>
      <c r="AZ36" s="43">
        <f>'Wtr-Gas'!BD38*0.0038</f>
        <v>0.76</v>
      </c>
      <c r="BA36" s="43">
        <f>'Wtr-Gas'!BF38*0.0038</f>
        <v>18.9848</v>
      </c>
    </row>
    <row r="37" spans="1:53">
      <c r="A37" s="3" t="s">
        <v>11</v>
      </c>
      <c r="B37" s="2">
        <v>12</v>
      </c>
      <c r="C37" s="2">
        <v>8</v>
      </c>
      <c r="D37" s="2">
        <v>2019</v>
      </c>
      <c r="E37" s="41">
        <f>Elect!AW39</f>
        <v>377</v>
      </c>
      <c r="F37" s="41">
        <f>Elect!I39</f>
        <v>47520</v>
      </c>
      <c r="G37" s="41">
        <f>Elect!H39</f>
        <v>2.3879999999999999</v>
      </c>
      <c r="H37" s="41">
        <f>Elect!E39</f>
        <v>47200</v>
      </c>
      <c r="I37" s="41">
        <f>Elect!D39</f>
        <v>2.1560000000000001</v>
      </c>
      <c r="J37" s="41">
        <f>Elect!Y39</f>
        <v>91500</v>
      </c>
      <c r="K37" s="41">
        <f>Elect!X39</f>
        <v>2.6930000000000001</v>
      </c>
      <c r="L37" s="41">
        <f>Elect!AS39</f>
        <v>1720</v>
      </c>
      <c r="M37" s="41">
        <f>Elect!AR39</f>
        <v>0.34399999999999997</v>
      </c>
      <c r="N37" s="41">
        <f>Elect!AC39</f>
        <v>86700</v>
      </c>
      <c r="O37" s="41">
        <f>Elect!AB39</f>
        <v>2.3199999999999998</v>
      </c>
      <c r="P37" s="41">
        <f>Elect!Q39</f>
        <v>13200</v>
      </c>
      <c r="Q37" s="41">
        <f>Elect!P39</f>
        <v>0.24399999999999999</v>
      </c>
      <c r="R37" s="41">
        <f>Elect!M39</f>
        <v>14000</v>
      </c>
      <c r="S37" s="41">
        <f>Elect!L39</f>
        <v>0.27400000000000002</v>
      </c>
      <c r="T37" s="41">
        <f>Elect!U39</f>
        <v>14000</v>
      </c>
      <c r="U37" s="41">
        <f>Elect!T39</f>
        <v>0.26500000000000001</v>
      </c>
      <c r="V37" s="41">
        <f>Elect!AG39</f>
        <v>6080</v>
      </c>
      <c r="W37" s="41">
        <f>Elect!AF39</f>
        <v>0.40899999999999997</v>
      </c>
      <c r="X37" s="41">
        <f>Elect!AK39</f>
        <v>2400</v>
      </c>
      <c r="Y37" s="41">
        <f>Elect!AJ39</f>
        <v>0.26</v>
      </c>
      <c r="Z37" s="41">
        <f>Elect!AO39</f>
        <v>57600</v>
      </c>
      <c r="AA37" s="41">
        <f>Elect!AN39</f>
        <v>2.2869999999999999</v>
      </c>
      <c r="AB37" s="41">
        <f>Elect!BJ39</f>
        <v>2200</v>
      </c>
      <c r="AC37" s="41">
        <f>Elect!BG39</f>
        <v>18800</v>
      </c>
      <c r="AD37" s="41">
        <f>Elect!BM39</f>
        <v>878</v>
      </c>
      <c r="AE37" s="41">
        <f>Elect!BP39</f>
        <v>2280</v>
      </c>
      <c r="AF37" s="43">
        <f>('Wtr-Gas'!E39)*0.0038</f>
        <v>4980.0140000000001</v>
      </c>
      <c r="AG37" s="43">
        <f>('Wtr-Gas'!H39)*0.0038</f>
        <v>418.22800000000001</v>
      </c>
      <c r="AH37" s="43">
        <f>'Wtr-Gas'!K39*0.0038</f>
        <v>7.6</v>
      </c>
      <c r="AI37" s="43">
        <f>'Wtr-Gas'!N39*0.0038</f>
        <v>4039.4</v>
      </c>
      <c r="AJ37" s="43">
        <f>'Wtr-Gas'!Q39*0.0038</f>
        <v>80.180000000000007</v>
      </c>
      <c r="AK37" s="46">
        <f>'Wtr-Gas'!U39*0.0038</f>
        <v>709.46</v>
      </c>
      <c r="AL37" s="46">
        <f>'Wtr-Gas'!X39*0.0038</f>
        <v>693.12</v>
      </c>
      <c r="AM37" s="43">
        <f>'Wtr-Gas'!AB39*0.0038</f>
        <v>0</v>
      </c>
      <c r="AN37" s="43">
        <f>'Wtr-Gas'!AD39*0.0038</f>
        <v>25255.4954</v>
      </c>
      <c r="AO37" s="43">
        <f>'Wtr-Gas'!AF39*0.0038</f>
        <v>296.39999999999998</v>
      </c>
      <c r="AP37" s="43">
        <f>'Wtr-Gas'!AH39*0.0038</f>
        <v>45470.8</v>
      </c>
      <c r="AQ37" s="43">
        <f>'Wtr-Gas'!AJ39*0.0038</f>
        <v>34.211399999999998</v>
      </c>
      <c r="AR37" s="43">
        <f>'Wtr-Gas'!AL39*0.0038</f>
        <v>125.4</v>
      </c>
      <c r="AS37" s="43">
        <f>'Wtr-Gas'!AN39*0.0038</f>
        <v>3.7999999999999999E-2</v>
      </c>
      <c r="AT37" s="43">
        <f>'Wtr-Gas'!AP39*0.0038</f>
        <v>2.052</v>
      </c>
      <c r="AU37" s="46">
        <f>'Wtr-Gas'!AT39*0.0038</f>
        <v>0.37619999999999998</v>
      </c>
      <c r="AV37" s="43">
        <f>'Wtr-Gas'!AW39*0.0038</f>
        <v>292.34539999999998</v>
      </c>
      <c r="AW37" s="44">
        <f>'Wtr-Gas'!AY39*0.0038</f>
        <v>247.71679399999999</v>
      </c>
      <c r="AX37" s="43">
        <f>'Wtr-Gas'!AZ39*0.0038</f>
        <v>44.628606000000012</v>
      </c>
      <c r="AY37" s="43">
        <f>'Wtr-Gas'!BB39*0.0038</f>
        <v>23.94</v>
      </c>
      <c r="AZ37" s="43">
        <f>'Wtr-Gas'!BD39*0.0038</f>
        <v>1.1399999999999999</v>
      </c>
      <c r="BA37" s="43">
        <f>'Wtr-Gas'!BF39*0.0038</f>
        <v>26.208600000000001</v>
      </c>
    </row>
    <row r="38" spans="1:53">
      <c r="A38" s="3" t="s">
        <v>11</v>
      </c>
      <c r="B38" s="2">
        <v>19</v>
      </c>
      <c r="C38" s="2">
        <v>8</v>
      </c>
      <c r="D38" s="2">
        <v>2019</v>
      </c>
      <c r="E38" s="41">
        <f>Elect!AW40</f>
        <v>385</v>
      </c>
      <c r="F38" s="41">
        <f>Elect!I40</f>
        <v>48480</v>
      </c>
      <c r="G38" s="41">
        <f>Elect!H40</f>
        <v>2.3879999999999999</v>
      </c>
      <c r="H38" s="41">
        <f>Elect!E40</f>
        <v>48000</v>
      </c>
      <c r="I38" s="41">
        <f>Elect!D40</f>
        <v>2.1560000000000001</v>
      </c>
      <c r="J38" s="41">
        <f>Elect!Y40</f>
        <v>89100</v>
      </c>
      <c r="K38" s="41">
        <f>Elect!X40</f>
        <v>2.6930000000000001</v>
      </c>
      <c r="L38" s="41">
        <f>Elect!AS40</f>
        <v>1680</v>
      </c>
      <c r="M38" s="41">
        <f>Elect!AR40</f>
        <v>0.34399999999999997</v>
      </c>
      <c r="N38" s="41">
        <f>Elect!AC40</f>
        <v>86400</v>
      </c>
      <c r="O38" s="41">
        <f>Elect!AB40</f>
        <v>2.3199999999999998</v>
      </c>
      <c r="P38" s="41">
        <f>Elect!Q40</f>
        <v>12800</v>
      </c>
      <c r="Q38" s="41">
        <f>Elect!P40</f>
        <v>0.254</v>
      </c>
      <c r="R38" s="41">
        <f>Elect!M40</f>
        <v>14000</v>
      </c>
      <c r="S38" s="41">
        <f>Elect!L40</f>
        <v>0.27400000000000002</v>
      </c>
      <c r="T38" s="41">
        <f>Elect!U40</f>
        <v>13600</v>
      </c>
      <c r="U38" s="41">
        <f>Elect!T40</f>
        <v>0.26500000000000001</v>
      </c>
      <c r="V38" s="41">
        <f>Elect!AG40</f>
        <v>6240</v>
      </c>
      <c r="W38" s="41">
        <f>Elect!AF40</f>
        <v>0.40899999999999997</v>
      </c>
      <c r="X38" s="41">
        <f>Elect!AK40</f>
        <v>4480</v>
      </c>
      <c r="Y38" s="41">
        <f>Elect!AJ40</f>
        <v>0.26</v>
      </c>
      <c r="Z38" s="41">
        <f>Elect!AO40</f>
        <v>57400</v>
      </c>
      <c r="AA38" s="41">
        <f>Elect!AN40</f>
        <v>2.2869999999999999</v>
      </c>
      <c r="AB38" s="41">
        <f>Elect!BJ40</f>
        <v>2200</v>
      </c>
      <c r="AC38" s="41">
        <f>Elect!BG40</f>
        <v>18800</v>
      </c>
      <c r="AD38" s="41">
        <f>Elect!BM40</f>
        <v>934</v>
      </c>
      <c r="AE38" s="41">
        <f>Elect!BP40</f>
        <v>1360</v>
      </c>
      <c r="AF38" s="43">
        <f>('Wtr-Gas'!E40)*0.0038</f>
        <v>4817.83</v>
      </c>
      <c r="AG38" s="43">
        <f>('Wtr-Gas'!H40)*0.0038</f>
        <v>156.636</v>
      </c>
      <c r="AH38" s="43">
        <f>'Wtr-Gas'!K40*0.0038</f>
        <v>6.08</v>
      </c>
      <c r="AI38" s="43">
        <f>'Wtr-Gas'!N40*0.0038</f>
        <v>4001.4</v>
      </c>
      <c r="AJ38" s="43">
        <f>'Wtr-Gas'!Q40*0.0038</f>
        <v>82.46</v>
      </c>
      <c r="AK38" s="46">
        <f>'Wtr-Gas'!U40*0.0038</f>
        <v>757.72</v>
      </c>
      <c r="AL38" s="46">
        <f>'Wtr-Gas'!X40*0.0038</f>
        <v>682.1</v>
      </c>
      <c r="AM38" s="43">
        <f>'Wtr-Gas'!AB40*0.0038</f>
        <v>0</v>
      </c>
      <c r="AN38" s="43">
        <f>'Wtr-Gas'!AD40*0.0038</f>
        <v>29730.892199999998</v>
      </c>
      <c r="AO38" s="43">
        <f>'Wtr-Gas'!AF40*0.0038</f>
        <v>266</v>
      </c>
      <c r="AP38" s="43">
        <f>'Wtr-Gas'!AH40*0.0038</f>
        <v>35552.800000000003</v>
      </c>
      <c r="AQ38" s="43">
        <f>'Wtr-Gas'!AJ40*0.0038</f>
        <v>38.323</v>
      </c>
      <c r="AR38" s="43">
        <f>'Wtr-Gas'!AL40*0.0038</f>
        <v>83.6</v>
      </c>
      <c r="AS38" s="43">
        <f>'Wtr-Gas'!AN40*0.0038</f>
        <v>0</v>
      </c>
      <c r="AT38" s="43">
        <f>'Wtr-Gas'!AP40*0.0038</f>
        <v>2.0139999999999998</v>
      </c>
      <c r="AU38" s="46">
        <f>'Wtr-Gas'!AT40*0.0038</f>
        <v>0.37240000000000001</v>
      </c>
      <c r="AV38" s="43">
        <f>'Wtr-Gas'!AW40*0.0038</f>
        <v>293.79320000000001</v>
      </c>
      <c r="AW38" s="44">
        <f>'Wtr-Gas'!AY40*0.0038</f>
        <v>248.61860999999999</v>
      </c>
      <c r="AX38" s="43">
        <f>'Wtr-Gas'!AZ40*0.0038</f>
        <v>45.174590000000009</v>
      </c>
      <c r="AY38" s="43">
        <f>'Wtr-Gas'!BB40*0.0038</f>
        <v>23.94</v>
      </c>
      <c r="AZ38" s="43">
        <f>'Wtr-Gas'!BD40*0.0038</f>
        <v>1.1399999999999999</v>
      </c>
      <c r="BA38" s="43">
        <f>'Wtr-Gas'!BF40*0.0038</f>
        <v>78.059600000000003</v>
      </c>
    </row>
    <row r="39" spans="1:53">
      <c r="A39" s="3" t="s">
        <v>11</v>
      </c>
      <c r="B39" s="2">
        <v>26</v>
      </c>
      <c r="C39" s="2">
        <v>8</v>
      </c>
      <c r="D39" s="2">
        <v>2019</v>
      </c>
      <c r="E39" s="41">
        <f>Elect!AW41</f>
        <v>385</v>
      </c>
      <c r="F39" s="41">
        <f>Elect!I41</f>
        <v>48320</v>
      </c>
      <c r="G39" s="41">
        <f>Elect!H41</f>
        <v>2.3660000000000001</v>
      </c>
      <c r="H39" s="41">
        <f>Elect!E41</f>
        <v>47680</v>
      </c>
      <c r="I39" s="41">
        <f>Elect!D41</f>
        <v>2.11</v>
      </c>
      <c r="J39" s="41">
        <f>Elect!Y41</f>
        <v>95100</v>
      </c>
      <c r="K39" s="41">
        <f>Elect!X41</f>
        <v>2.5819999999999999</v>
      </c>
      <c r="L39" s="41">
        <f>Elect!AS41</f>
        <v>1720</v>
      </c>
      <c r="M39" s="41">
        <f>Elect!AR41</f>
        <v>0.32500000000000001</v>
      </c>
      <c r="N39" s="41">
        <f>Elect!AC41</f>
        <v>91800</v>
      </c>
      <c r="O39" s="41">
        <f>Elect!AB41</f>
        <v>2.46</v>
      </c>
      <c r="P39" s="41">
        <f>Elect!Q41</f>
        <v>12800</v>
      </c>
      <c r="Q39" s="41">
        <f>Elect!P41</f>
        <v>0.24099999999999999</v>
      </c>
      <c r="R39" s="41">
        <f>Elect!M41</f>
        <v>13600</v>
      </c>
      <c r="S39" s="41">
        <f>Elect!L41</f>
        <v>0.26200000000000001</v>
      </c>
      <c r="T39" s="41">
        <f>Elect!U41</f>
        <v>13200</v>
      </c>
      <c r="U39" s="41">
        <f>Elect!T41</f>
        <v>0.26</v>
      </c>
      <c r="V39" s="41">
        <f>Elect!AG41</f>
        <v>6560</v>
      </c>
      <c r="W39" s="41">
        <f>Elect!AF41</f>
        <v>0.35299999999999998</v>
      </c>
      <c r="X39" s="41">
        <f>Elect!AK41</f>
        <v>3840</v>
      </c>
      <c r="Y39" s="41">
        <f>Elect!AJ41</f>
        <v>0.248</v>
      </c>
      <c r="Z39" s="41">
        <f>Elect!AO41</f>
        <v>57400</v>
      </c>
      <c r="AA39" s="41">
        <f>Elect!AN41</f>
        <v>2.23</v>
      </c>
      <c r="AB39" s="41">
        <f>Elect!BJ41</f>
        <v>2300</v>
      </c>
      <c r="AC39" s="41">
        <f>Elect!BG41</f>
        <v>19100</v>
      </c>
      <c r="AD39" s="41">
        <f>Elect!BM41</f>
        <v>874</v>
      </c>
      <c r="AE39" s="41">
        <f>Elect!BP41</f>
        <v>4560</v>
      </c>
      <c r="AF39" s="43">
        <f>('Wtr-Gas'!E41)*0.0038</f>
        <v>5827.5659999999998</v>
      </c>
      <c r="AG39" s="43">
        <f>('Wtr-Gas'!H41)*0.0038</f>
        <v>545.52800000000002</v>
      </c>
      <c r="AH39" s="43">
        <f>'Wtr-Gas'!K41*0.0038</f>
        <v>9.8800000000000008</v>
      </c>
      <c r="AI39" s="43">
        <f>'Wtr-Gas'!N41*0.0038</f>
        <v>4172.3999999999996</v>
      </c>
      <c r="AJ39" s="43">
        <f>'Wtr-Gas'!Q41*0.0038</f>
        <v>89.68</v>
      </c>
      <c r="AK39" s="46">
        <f>'Wtr-Gas'!U41*0.0038</f>
        <v>782.42</v>
      </c>
      <c r="AL39" s="46">
        <f>'Wtr-Gas'!X41*0.0038</f>
        <v>655.12</v>
      </c>
      <c r="AM39" s="43">
        <f>'Wtr-Gas'!AB41*0.0038</f>
        <v>6992</v>
      </c>
      <c r="AN39" s="43">
        <f>'Wtr-Gas'!AD41*0.0038</f>
        <v>32539.008600000001</v>
      </c>
      <c r="AO39" s="43">
        <f>'Wtr-Gas'!AF41*0.0038</f>
        <v>676.4</v>
      </c>
      <c r="AP39" s="43">
        <f>'Wtr-Gas'!AH41*0.0038</f>
        <v>102923</v>
      </c>
      <c r="AQ39" s="43">
        <f>'Wtr-Gas'!AJ41*0.0038</f>
        <v>47.910400000000003</v>
      </c>
      <c r="AR39" s="43">
        <f>'Wtr-Gas'!AL41*0.0038</f>
        <v>110.2</v>
      </c>
      <c r="AS39" s="43">
        <f>'Wtr-Gas'!AN41*0.0038</f>
        <v>0</v>
      </c>
      <c r="AT39" s="43">
        <f>'Wtr-Gas'!AP41*0.0038</f>
        <v>2.2040000000000002</v>
      </c>
      <c r="AU39" s="46">
        <f>'Wtr-Gas'!AT41*0.0038</f>
        <v>0.3458</v>
      </c>
      <c r="AV39" s="43">
        <f>'Wtr-Gas'!AW41*0.0038</f>
        <v>296.476</v>
      </c>
      <c r="AW39" s="44">
        <f>'Wtr-Gas'!AY41*0.0038</f>
        <v>249.33935599999998</v>
      </c>
      <c r="AX39" s="43">
        <f>'Wtr-Gas'!AZ41*0.0038</f>
        <v>47.136644000000018</v>
      </c>
      <c r="AY39" s="43">
        <f>'Wtr-Gas'!BB41*0.0038</f>
        <v>11.78</v>
      </c>
      <c r="AZ39" s="43">
        <f>'Wtr-Gas'!BD41*0.0038</f>
        <v>1.9</v>
      </c>
      <c r="BA39" s="43">
        <f>'Wtr-Gas'!BF41*0.0038</f>
        <v>1129.9376</v>
      </c>
    </row>
    <row r="40" spans="1:53">
      <c r="A40" s="3" t="s">
        <v>11</v>
      </c>
      <c r="B40" s="2">
        <v>31</v>
      </c>
      <c r="C40" s="2">
        <v>8</v>
      </c>
      <c r="D40" s="2">
        <v>2019</v>
      </c>
      <c r="E40" s="41">
        <f>Elect!AW42</f>
        <v>371</v>
      </c>
      <c r="F40" s="41">
        <f>Elect!I42</f>
        <v>43520</v>
      </c>
      <c r="G40" s="41">
        <f>Elect!H42</f>
        <v>2.3660000000000001</v>
      </c>
      <c r="H40" s="41">
        <f>Elect!E42</f>
        <v>43200</v>
      </c>
      <c r="I40" s="41">
        <f>Elect!D42</f>
        <v>2.173</v>
      </c>
      <c r="J40" s="41">
        <f>Elect!Y42</f>
        <v>85500</v>
      </c>
      <c r="K40" s="41">
        <f>Elect!X42</f>
        <v>2.5819999999999999</v>
      </c>
      <c r="L40" s="41">
        <f>Elect!AS42</f>
        <v>1560</v>
      </c>
      <c r="M40" s="41">
        <f>Elect!AR42</f>
        <v>0.32600000000000001</v>
      </c>
      <c r="N40" s="41">
        <f>Elect!AC42</f>
        <v>84300</v>
      </c>
      <c r="O40" s="41">
        <f>Elect!AB42</f>
        <v>2.46</v>
      </c>
      <c r="P40" s="41">
        <f>Elect!Q42</f>
        <v>11200</v>
      </c>
      <c r="Q40" s="41">
        <f>Elect!P42</f>
        <v>0.24099999999999999</v>
      </c>
      <c r="R40" s="41">
        <f>Elect!M42</f>
        <v>11200</v>
      </c>
      <c r="S40" s="41">
        <f>Elect!L42</f>
        <v>0.26200000000000001</v>
      </c>
      <c r="T40" s="41">
        <f>Elect!U42</f>
        <v>11200</v>
      </c>
      <c r="U40" s="41">
        <f>Elect!T42</f>
        <v>0.26</v>
      </c>
      <c r="V40" s="41">
        <f>Elect!AG42</f>
        <v>5920</v>
      </c>
      <c r="W40" s="41">
        <f>Elect!AF42</f>
        <v>0.35299999999999998</v>
      </c>
      <c r="X40" s="41">
        <f>Elect!AK42</f>
        <v>3360</v>
      </c>
      <c r="Y40" s="41">
        <f>Elect!AJ42</f>
        <v>0.25900000000000001</v>
      </c>
      <c r="Z40" s="41">
        <f>Elect!AO42</f>
        <v>52600</v>
      </c>
      <c r="AA40" s="41">
        <f>Elect!AN42</f>
        <v>2.23</v>
      </c>
      <c r="AB40" s="41">
        <f>Elect!BJ42</f>
        <v>1900</v>
      </c>
      <c r="AC40" s="41">
        <f>Elect!BG42</f>
        <v>14700</v>
      </c>
      <c r="AD40" s="41">
        <f>Elect!BM42</f>
        <v>833</v>
      </c>
      <c r="AE40" s="41">
        <f>Elect!BP42</f>
        <v>1440</v>
      </c>
      <c r="AF40" s="43">
        <f>('Wtr-Gas'!E42)*0.0038</f>
        <v>3998.8539999999998</v>
      </c>
      <c r="AG40" s="43">
        <f>('Wtr-Gas'!H42)*0.0038</f>
        <v>98.191999999999993</v>
      </c>
      <c r="AH40" s="43">
        <f>'Wtr-Gas'!K42*0.0038</f>
        <v>6.08</v>
      </c>
      <c r="AI40" s="43">
        <f>'Wtr-Gas'!N42*0.0038</f>
        <v>3385.8</v>
      </c>
      <c r="AJ40" s="43">
        <f>'Wtr-Gas'!Q42*0.0038</f>
        <v>75.62</v>
      </c>
      <c r="AK40" s="46">
        <f>'Wtr-Gas'!U42*0.0038</f>
        <v>669.18</v>
      </c>
      <c r="AL40" s="46">
        <f>'Wtr-Gas'!X42*0.0038</f>
        <v>514.9</v>
      </c>
      <c r="AM40" s="43">
        <f>'Wtr-Gas'!AB42*0.0038</f>
        <v>11970</v>
      </c>
      <c r="AN40" s="43">
        <f>'Wtr-Gas'!AD42*0.0038</f>
        <v>29307.955999999998</v>
      </c>
      <c r="AO40" s="43">
        <f>'Wtr-Gas'!AF42*0.0038</f>
        <v>418</v>
      </c>
      <c r="AP40" s="43">
        <f>'Wtr-Gas'!AH42*0.0038</f>
        <v>43540.4</v>
      </c>
      <c r="AQ40" s="43">
        <f>'Wtr-Gas'!AJ42*0.0038</f>
        <v>69.832599999999999</v>
      </c>
      <c r="AR40" s="43">
        <f>'Wtr-Gas'!AL42*0.0038</f>
        <v>60.8</v>
      </c>
      <c r="AS40" s="43">
        <f>'Wtr-Gas'!AN42*0.0038</f>
        <v>7.5999999999999998E-2</v>
      </c>
      <c r="AT40" s="43">
        <f>'Wtr-Gas'!AP42*0.0038</f>
        <v>2.3180000000000001</v>
      </c>
      <c r="AU40" s="46">
        <f>'Wtr-Gas'!AT42*0.0038</f>
        <v>0.1938</v>
      </c>
      <c r="AV40" s="43">
        <f>'Wtr-Gas'!AW42*0.0038</f>
        <v>230.489</v>
      </c>
      <c r="AW40" s="44">
        <f>'Wtr-Gas'!AY42*0.0038</f>
        <v>213.23084399999999</v>
      </c>
      <c r="AX40" s="43">
        <f>'Wtr-Gas'!AZ42*0.0038</f>
        <v>17.25815600000001</v>
      </c>
      <c r="AY40" s="43">
        <f>'Wtr-Gas'!BB42*0.0038</f>
        <v>7.22</v>
      </c>
      <c r="AZ40" s="43">
        <f>'Wtr-Gas'!BD42*0.0038</f>
        <v>1.3680000000000001</v>
      </c>
      <c r="BA40" s="43">
        <f>'Wtr-Gas'!BF42*0.0038</f>
        <v>25.163599999999999</v>
      </c>
    </row>
    <row r="41" spans="1:53">
      <c r="A41" s="3" t="s">
        <v>11</v>
      </c>
      <c r="B41" s="2">
        <v>8</v>
      </c>
      <c r="C41" s="2">
        <v>9</v>
      </c>
      <c r="D41" s="2">
        <v>2019</v>
      </c>
      <c r="E41" s="41">
        <f>Elect!AW43</f>
        <v>415</v>
      </c>
      <c r="F41" s="41">
        <f>Elect!I43</f>
        <v>50880</v>
      </c>
      <c r="G41" s="41">
        <f>Elect!H43</f>
        <v>2.3660000000000001</v>
      </c>
      <c r="H41" s="41">
        <f>Elect!E43</f>
        <v>49600</v>
      </c>
      <c r="I41" s="41">
        <f>Elect!D43</f>
        <v>2.173</v>
      </c>
      <c r="J41" s="41">
        <f>Elect!Y43</f>
        <v>93300</v>
      </c>
      <c r="K41" s="41">
        <f>Elect!X43</f>
        <v>2.5819999999999999</v>
      </c>
      <c r="L41" s="41">
        <f>Elect!AS43</f>
        <v>1800</v>
      </c>
      <c r="M41" s="41">
        <f>Elect!AR43</f>
        <v>0.33</v>
      </c>
      <c r="N41" s="41">
        <f>Elect!AC43</f>
        <v>87300</v>
      </c>
      <c r="O41" s="41">
        <f>Elect!AB43</f>
        <v>2.46</v>
      </c>
      <c r="P41" s="41">
        <f>Elect!Q43</f>
        <v>11200</v>
      </c>
      <c r="Q41" s="41">
        <f>Elect!P43</f>
        <v>0.24099999999999999</v>
      </c>
      <c r="R41" s="41">
        <f>Elect!M43</f>
        <v>11600</v>
      </c>
      <c r="S41" s="41">
        <f>Elect!L43</f>
        <v>0.26200000000000001</v>
      </c>
      <c r="T41" s="41">
        <f>Elect!U43</f>
        <v>12400</v>
      </c>
      <c r="U41" s="41">
        <f>Elect!T43</f>
        <v>0.26</v>
      </c>
      <c r="V41" s="41">
        <f>Elect!AG43</f>
        <v>6560</v>
      </c>
      <c r="W41" s="41">
        <f>Elect!AF43</f>
        <v>0.35299999999999998</v>
      </c>
      <c r="X41" s="41">
        <f>Elect!AK43</f>
        <v>3680</v>
      </c>
      <c r="Y41" s="41">
        <f>Elect!AJ43</f>
        <v>0.25900000000000001</v>
      </c>
      <c r="Z41" s="41">
        <f>Elect!AO43</f>
        <v>55800</v>
      </c>
      <c r="AA41" s="41">
        <f>Elect!AN43</f>
        <v>2.23</v>
      </c>
      <c r="AB41" s="41">
        <f>Elect!BJ43</f>
        <v>2200</v>
      </c>
      <c r="AC41" s="41">
        <f>Elect!BG43</f>
        <v>18500</v>
      </c>
      <c r="AD41" s="41">
        <f>Elect!BM43</f>
        <v>673</v>
      </c>
      <c r="AE41" s="41">
        <f>Elect!BP43</f>
        <v>2760</v>
      </c>
      <c r="AF41" s="43">
        <f>('Wtr-Gas'!E43)*0.0038</f>
        <v>4232.402</v>
      </c>
      <c r="AG41" s="43">
        <f>('Wtr-Gas'!H43)*0.0038</f>
        <v>460.37</v>
      </c>
      <c r="AH41" s="43">
        <f>'Wtr-Gas'!K43*0.0038</f>
        <v>5.7</v>
      </c>
      <c r="AI41" s="43">
        <f>'Wtr-Gas'!N43*0.0038</f>
        <v>3283.2</v>
      </c>
      <c r="AJ41" s="43">
        <f>'Wtr-Gas'!Q43*0.0038</f>
        <v>88.54</v>
      </c>
      <c r="AK41" s="46">
        <f>'Wtr-Gas'!U43*0.0038</f>
        <v>725.04</v>
      </c>
      <c r="AL41" s="46">
        <f>'Wtr-Gas'!X43*0.0038</f>
        <v>786.98</v>
      </c>
      <c r="AM41" s="43">
        <f>'Wtr-Gas'!AB43*0.0038</f>
        <v>13034</v>
      </c>
      <c r="AN41" s="43">
        <f>'Wtr-Gas'!AD43*0.0038</f>
        <v>31439.824400000001</v>
      </c>
      <c r="AO41" s="43">
        <f>'Wtr-Gas'!AF43*0.0038</f>
        <v>243.2</v>
      </c>
      <c r="AP41" s="43">
        <f>'Wtr-Gas'!AH43*0.0038</f>
        <v>49115</v>
      </c>
      <c r="AQ41" s="43">
        <f>'Wtr-Gas'!AJ43*0.0038</f>
        <v>76.494</v>
      </c>
      <c r="AR41" s="43">
        <f>'Wtr-Gas'!AL43*0.0038</f>
        <v>182.4</v>
      </c>
      <c r="AS41" s="43">
        <f>'Wtr-Gas'!AN43*0.0038</f>
        <v>3.7999999999999999E-2</v>
      </c>
      <c r="AT41" s="43">
        <f>'Wtr-Gas'!AP43*0.0038</f>
        <v>2.8119999999999998</v>
      </c>
      <c r="AU41" s="46">
        <f>'Wtr-Gas'!AT43*0.0038</f>
        <v>0.3382</v>
      </c>
      <c r="AV41" s="43">
        <f>'Wtr-Gas'!AW43*0.0038</f>
        <v>314.92880000000002</v>
      </c>
      <c r="AW41" s="44">
        <f>'Wtr-Gas'!AY43*0.0038</f>
        <v>283.93770999999998</v>
      </c>
      <c r="AX41" s="43">
        <f>'Wtr-Gas'!AZ43*0.0038</f>
        <v>30.99109000000001</v>
      </c>
      <c r="AY41" s="43">
        <f>'Wtr-Gas'!BB43*0.0038</f>
        <v>8.74</v>
      </c>
      <c r="AZ41" s="43">
        <f>'Wtr-Gas'!BD43*0.0038</f>
        <v>0.53200000000000003</v>
      </c>
      <c r="BA41" s="43">
        <f>'Wtr-Gas'!BF43*0.0038</f>
        <v>309.51760000000002</v>
      </c>
    </row>
    <row r="42" spans="1:53">
      <c r="A42" s="3" t="s">
        <v>11</v>
      </c>
      <c r="B42" s="2">
        <v>16</v>
      </c>
      <c r="C42" s="2">
        <v>9</v>
      </c>
      <c r="D42" s="2">
        <v>2019</v>
      </c>
      <c r="E42" s="41">
        <f>Elect!AW44</f>
        <v>396</v>
      </c>
      <c r="F42" s="41">
        <f>Elect!I44</f>
        <v>48320</v>
      </c>
      <c r="G42" s="41">
        <f>Elect!H44</f>
        <v>2.4329999999999998</v>
      </c>
      <c r="H42" s="41">
        <f>Elect!E44</f>
        <v>46880</v>
      </c>
      <c r="I42" s="41">
        <f>Elect!D44</f>
        <v>2.173</v>
      </c>
      <c r="J42" s="41">
        <f>Elect!Y44</f>
        <v>93000</v>
      </c>
      <c r="K42" s="41">
        <f>Elect!X44</f>
        <v>2.6120000000000001</v>
      </c>
      <c r="L42" s="41">
        <f>Elect!AS44</f>
        <v>1720</v>
      </c>
      <c r="M42" s="41">
        <f>Elect!AR44</f>
        <v>0.36899999999999999</v>
      </c>
      <c r="N42" s="41">
        <f>Elect!AC44</f>
        <v>91800</v>
      </c>
      <c r="O42" s="41">
        <f>Elect!AB44</f>
        <v>2.46</v>
      </c>
      <c r="P42" s="41">
        <f>Elect!Q44</f>
        <v>10800</v>
      </c>
      <c r="Q42" s="41">
        <f>Elect!P44</f>
        <v>0.24099999999999999</v>
      </c>
      <c r="R42" s="41">
        <f>Elect!M44</f>
        <v>12000</v>
      </c>
      <c r="S42" s="41">
        <f>Elect!L44</f>
        <v>0.26200000000000001</v>
      </c>
      <c r="T42" s="41">
        <f>Elect!U44</f>
        <v>12800</v>
      </c>
      <c r="U42" s="41">
        <f>Elect!T44</f>
        <v>0.28199999999999997</v>
      </c>
      <c r="V42" s="41">
        <f>Elect!AG44</f>
        <v>7680</v>
      </c>
      <c r="W42" s="41">
        <f>Elect!AF44</f>
        <v>0.54</v>
      </c>
      <c r="X42" s="41">
        <f>Elect!AK44</f>
        <v>4320</v>
      </c>
      <c r="Y42" s="41">
        <f>Elect!AJ44</f>
        <v>0.313</v>
      </c>
      <c r="Z42" s="41">
        <f>Elect!AO44</f>
        <v>55200</v>
      </c>
      <c r="AA42" s="41">
        <f>Elect!AN44</f>
        <v>2.234</v>
      </c>
      <c r="AB42" s="41">
        <f>Elect!BJ44</f>
        <v>2200</v>
      </c>
      <c r="AC42" s="41">
        <f>Elect!BG44</f>
        <v>18500</v>
      </c>
      <c r="AD42" s="41">
        <f>Elect!BM44</f>
        <v>911</v>
      </c>
      <c r="AE42" s="41">
        <f>Elect!BP44</f>
        <v>4680</v>
      </c>
      <c r="AF42" s="43">
        <f>('Wtr-Gas'!E44)*0.0038</f>
        <v>4915.3760000000002</v>
      </c>
      <c r="AG42" s="43">
        <f>('Wtr-Gas'!H44)*0.0038</f>
        <v>664.54399999999998</v>
      </c>
      <c r="AH42" s="43">
        <f>'Wtr-Gas'!K44*0.0038</f>
        <v>5.32</v>
      </c>
      <c r="AI42" s="43">
        <f>'Wtr-Gas'!N44*0.0038</f>
        <v>3537.8</v>
      </c>
      <c r="AJ42" s="43">
        <f>'Wtr-Gas'!Q44*0.0038</f>
        <v>85.5</v>
      </c>
      <c r="AK42" s="46">
        <f>'Wtr-Gas'!U44*0.0038</f>
        <v>731.5</v>
      </c>
      <c r="AL42" s="46">
        <f>'Wtr-Gas'!X44*0.0038</f>
        <v>878.94</v>
      </c>
      <c r="AM42" s="43">
        <f>'Wtr-Gas'!AB44*0.0038</f>
        <v>13262</v>
      </c>
      <c r="AN42" s="43">
        <f>'Wtr-Gas'!AD44*0.0038</f>
        <v>29976.843400000002</v>
      </c>
      <c r="AO42" s="43">
        <f>'Wtr-Gas'!AF44*0.0038</f>
        <v>1273</v>
      </c>
      <c r="AP42" s="43">
        <f>'Wtr-Gas'!AH44*0.0038</f>
        <v>87039</v>
      </c>
      <c r="AQ42" s="43">
        <f>'Wtr-Gas'!AJ44*0.0038</f>
        <v>83.090800000000002</v>
      </c>
      <c r="AR42" s="43">
        <f>'Wtr-Gas'!AL44*0.0038</f>
        <v>136.80000000000001</v>
      </c>
      <c r="AS42" s="43">
        <f>'Wtr-Gas'!AN44*0.0038</f>
        <v>0</v>
      </c>
      <c r="AT42" s="43">
        <f>'Wtr-Gas'!AP44*0.0038</f>
        <v>2.3559999999999999</v>
      </c>
      <c r="AU42" s="46">
        <f>'Wtr-Gas'!AT44*0.0038</f>
        <v>0.35720000000000002</v>
      </c>
      <c r="AV42" s="43">
        <f>'Wtr-Gas'!AW44*0.0038</f>
        <v>307.24900000000002</v>
      </c>
      <c r="AW42" s="44">
        <f>'Wtr-Gas'!AY44*0.0038</f>
        <v>246.01165800000001</v>
      </c>
      <c r="AX42" s="43">
        <f>'Wtr-Gas'!AZ44*0.0038</f>
        <v>61.237341999999984</v>
      </c>
      <c r="AY42" s="43">
        <f>'Wtr-Gas'!BB44*0.0038</f>
        <v>12.54</v>
      </c>
      <c r="AZ42" s="43">
        <f>'Wtr-Gas'!BD44*0.0038</f>
        <v>4.18</v>
      </c>
      <c r="BA42" s="43">
        <f>'Wtr-Gas'!BF44*0.0038</f>
        <v>1201.7385999999999</v>
      </c>
    </row>
    <row r="43" spans="1:53">
      <c r="A43" s="3" t="s">
        <v>11</v>
      </c>
      <c r="B43" s="2">
        <v>22</v>
      </c>
      <c r="C43" s="2">
        <v>9</v>
      </c>
      <c r="D43" s="2">
        <v>2019</v>
      </c>
      <c r="E43" s="41">
        <f>Elect!AW45</f>
        <v>403</v>
      </c>
      <c r="F43" s="41">
        <f>Elect!I45</f>
        <v>48640</v>
      </c>
      <c r="G43" s="41">
        <f>Elect!H45</f>
        <v>2.4039999999999999</v>
      </c>
      <c r="H43" s="41">
        <f>Elect!E45</f>
        <v>47040</v>
      </c>
      <c r="I43" s="41">
        <f>Elect!D45</f>
        <v>2.1179999999999999</v>
      </c>
      <c r="J43" s="41">
        <f>Elect!Y45</f>
        <v>82800</v>
      </c>
      <c r="K43" s="41">
        <f>Elect!X45</f>
        <v>2.0489999999999999</v>
      </c>
      <c r="L43" s="41">
        <f>Elect!AS45</f>
        <v>1760</v>
      </c>
      <c r="M43" s="41">
        <f>Elect!AR45</f>
        <v>0.315</v>
      </c>
      <c r="N43" s="41">
        <f>Elect!AC45</f>
        <v>72300</v>
      </c>
      <c r="O43" s="41">
        <f>Elect!AB45</f>
        <v>0.94299999999999995</v>
      </c>
      <c r="P43" s="41">
        <f>Elect!Q45</f>
        <v>11200</v>
      </c>
      <c r="Q43" s="41">
        <f>Elect!P45</f>
        <v>0.21199999999999999</v>
      </c>
      <c r="R43" s="41">
        <f>Elect!M45</f>
        <v>12800</v>
      </c>
      <c r="S43" s="41">
        <f>Elect!L45</f>
        <v>0.24399999999999999</v>
      </c>
      <c r="T43" s="41">
        <f>Elect!U45</f>
        <v>12400</v>
      </c>
      <c r="U43" s="41">
        <f>Elect!T45</f>
        <v>0.26700000000000002</v>
      </c>
      <c r="V43" s="41">
        <f>Elect!AG45</f>
        <v>8000</v>
      </c>
      <c r="W43" s="41">
        <f>Elect!AF45</f>
        <v>0.22</v>
      </c>
      <c r="X43" s="41">
        <f>Elect!AK45</f>
        <v>4320</v>
      </c>
      <c r="Y43" s="41">
        <f>Elect!AJ45</f>
        <v>0.14099999999999999</v>
      </c>
      <c r="Z43" s="41">
        <f>Elect!AO45</f>
        <v>54200</v>
      </c>
      <c r="AA43" s="41">
        <f>Elect!AN45</f>
        <v>2.0720000000000001</v>
      </c>
      <c r="AB43" s="41">
        <f>Elect!BJ45</f>
        <v>2100</v>
      </c>
      <c r="AC43" s="41">
        <f>Elect!BG45</f>
        <v>17300</v>
      </c>
      <c r="AD43" s="41">
        <f>Elect!BM45</f>
        <v>904</v>
      </c>
      <c r="AE43" s="41">
        <f>Elect!BP45</f>
        <v>4080</v>
      </c>
      <c r="AF43" s="43">
        <f>('Wtr-Gas'!E45)*0.0038</f>
        <v>3975.2559999999999</v>
      </c>
      <c r="AG43" s="43">
        <f>('Wtr-Gas'!H45)*0.0038</f>
        <v>535.64800000000002</v>
      </c>
      <c r="AH43" s="43">
        <f>'Wtr-Gas'!K45*0.0038</f>
        <v>30.78</v>
      </c>
      <c r="AI43" s="43">
        <f>'Wtr-Gas'!N45*0.0038</f>
        <v>3214.8</v>
      </c>
      <c r="AJ43" s="43">
        <f>'Wtr-Gas'!Q45*0.0038</f>
        <v>55.48</v>
      </c>
      <c r="AK43" s="46">
        <f>'Wtr-Gas'!U45*0.0038</f>
        <v>650.55999999999995</v>
      </c>
      <c r="AL43" s="46">
        <f>'Wtr-Gas'!X45*0.0038</f>
        <v>1696.7</v>
      </c>
      <c r="AM43" s="43">
        <f>'Wtr-Gas'!AB45*0.0038</f>
        <v>11286</v>
      </c>
      <c r="AN43" s="43">
        <f>'Wtr-Gas'!AD45*0.0038</f>
        <v>26375.803800000002</v>
      </c>
      <c r="AO43" s="43">
        <f>'Wtr-Gas'!AF45*0.0038</f>
        <v>1052.5999999999999</v>
      </c>
      <c r="AP43" s="43">
        <f>'Wtr-Gas'!AH45*0.0038</f>
        <v>24730.400000000001</v>
      </c>
      <c r="AQ43" s="43">
        <f>'Wtr-Gas'!AJ45*0.0038</f>
        <v>85.336600000000004</v>
      </c>
      <c r="AR43" s="43">
        <f>'Wtr-Gas'!AL45*0.0038</f>
        <v>174.8</v>
      </c>
      <c r="AS43" s="43">
        <f>'Wtr-Gas'!AN45*0.0038</f>
        <v>0</v>
      </c>
      <c r="AT43" s="43">
        <f>'Wtr-Gas'!AP45*0.0038</f>
        <v>2.052</v>
      </c>
      <c r="AU43" s="46">
        <f>'Wtr-Gas'!AT45*0.0038</f>
        <v>0.38379999999999997</v>
      </c>
      <c r="AV43" s="43">
        <f>'Wtr-Gas'!AW45*0.0038</f>
        <v>293.43599999999998</v>
      </c>
      <c r="AW43" s="44">
        <f>'Wtr-Gas'!AY45*0.0038</f>
        <v>247.97587799999999</v>
      </c>
      <c r="AX43" s="43">
        <f>'Wtr-Gas'!AZ45*0.0038</f>
        <v>45.460122000000005</v>
      </c>
      <c r="AY43" s="43">
        <f>'Wtr-Gas'!BB45*0.0038</f>
        <v>27.74</v>
      </c>
      <c r="AZ43" s="43">
        <f>'Wtr-Gas'!BD45*0.0038</f>
        <v>1.1399999999999999</v>
      </c>
      <c r="BA43" s="43">
        <f>'Wtr-Gas'!BF45*0.0038</f>
        <v>1103.4097999999999</v>
      </c>
    </row>
    <row r="44" spans="1:53">
      <c r="A44" s="3" t="s">
        <v>11</v>
      </c>
      <c r="B44" s="2">
        <v>30</v>
      </c>
      <c r="C44" s="2">
        <v>9</v>
      </c>
      <c r="D44" s="2">
        <v>2019</v>
      </c>
      <c r="E44" s="41">
        <f>Elect!AW46</f>
        <v>412</v>
      </c>
      <c r="F44" s="41">
        <f>Elect!I46</f>
        <v>49440</v>
      </c>
      <c r="G44" s="41">
        <f>Elect!H46</f>
        <v>2.4039999999999999</v>
      </c>
      <c r="H44" s="41">
        <f>Elect!E46</f>
        <v>47680</v>
      </c>
      <c r="I44" s="41">
        <f>Elect!D46</f>
        <v>2.1709999999999998</v>
      </c>
      <c r="J44" s="41">
        <f>Elect!Y46</f>
        <v>68100</v>
      </c>
      <c r="K44" s="41">
        <f>Elect!X46</f>
        <v>2.5529999999999999</v>
      </c>
      <c r="L44" s="41">
        <f>Elect!AS46</f>
        <v>1720</v>
      </c>
      <c r="M44" s="41">
        <f>Elect!AR46</f>
        <v>0.35699999999999998</v>
      </c>
      <c r="N44" s="41">
        <f>Elect!AC46</f>
        <v>78000</v>
      </c>
      <c r="O44" s="41">
        <f>Elect!AB46</f>
        <v>2.1309999999999998</v>
      </c>
      <c r="P44" s="41">
        <f>Elect!Q46</f>
        <v>12000</v>
      </c>
      <c r="Q44" s="41">
        <f>Elect!P46</f>
        <v>0.253</v>
      </c>
      <c r="R44" s="41">
        <f>Elect!M46</f>
        <v>12800</v>
      </c>
      <c r="S44" s="41">
        <f>Elect!L46</f>
        <v>0.26300000000000001</v>
      </c>
      <c r="T44" s="41">
        <f>Elect!U46</f>
        <v>12800</v>
      </c>
      <c r="U44" s="41">
        <f>Elect!T46</f>
        <v>0.26700000000000002</v>
      </c>
      <c r="V44" s="41">
        <f>Elect!AG46</f>
        <v>6240</v>
      </c>
      <c r="W44" s="41">
        <f>Elect!AF46</f>
        <v>0.33300000000000002</v>
      </c>
      <c r="X44" s="41">
        <f>Elect!AK46</f>
        <v>4160</v>
      </c>
      <c r="Y44" s="41">
        <f>Elect!AJ46</f>
        <v>0.307</v>
      </c>
      <c r="Z44" s="41">
        <f>Elect!AO46</f>
        <v>56000</v>
      </c>
      <c r="AA44" s="41">
        <f>Elect!AN46</f>
        <v>2.266</v>
      </c>
      <c r="AB44" s="41">
        <f>Elect!BJ46</f>
        <v>2000</v>
      </c>
      <c r="AC44" s="41">
        <f>Elect!BG46</f>
        <v>17000</v>
      </c>
      <c r="AD44" s="41">
        <f>Elect!BM46</f>
        <v>906</v>
      </c>
      <c r="AE44" s="41">
        <f>Elect!BP46</f>
        <v>5680</v>
      </c>
      <c r="AF44" s="43">
        <f>('Wtr-Gas'!E46)*0.0038</f>
        <v>4953.7179999999998</v>
      </c>
      <c r="AG44" s="43">
        <f>('Wtr-Gas'!H46)*0.0038</f>
        <v>875.74800000000005</v>
      </c>
      <c r="AH44" s="43">
        <f>'Wtr-Gas'!K46*0.0038</f>
        <v>5.32</v>
      </c>
      <c r="AI44" s="43">
        <f>'Wtr-Gas'!N46*0.0038</f>
        <v>3568.2</v>
      </c>
      <c r="AJ44" s="43">
        <f>'Wtr-Gas'!Q46*0.0038</f>
        <v>55.1</v>
      </c>
      <c r="AK44" s="46">
        <f>'Wtr-Gas'!U46*0.0038</f>
        <v>716.68</v>
      </c>
      <c r="AL44" s="46">
        <f>'Wtr-Gas'!X46*0.0038</f>
        <v>1652.62</v>
      </c>
      <c r="AM44" s="43">
        <f>'Wtr-Gas'!AB46*0.0038</f>
        <v>10944</v>
      </c>
      <c r="AN44" s="43">
        <f>'Wtr-Gas'!AD46*0.0038</f>
        <v>25840.76</v>
      </c>
      <c r="AO44" s="43">
        <f>'Wtr-Gas'!AF46*0.0038</f>
        <v>1295.8</v>
      </c>
      <c r="AP44" s="43">
        <f>'Wtr-Gas'!AH46*0.0038</f>
        <v>86256.2</v>
      </c>
      <c r="AQ44" s="43">
        <f>'Wtr-Gas'!AJ46*0.0038</f>
        <v>62.019799999999996</v>
      </c>
      <c r="AR44" s="43">
        <f>'Wtr-Gas'!AL46*0.0038</f>
        <v>152</v>
      </c>
      <c r="AS44" s="43">
        <f>'Wtr-Gas'!AN46*0.0038</f>
        <v>0</v>
      </c>
      <c r="AT44" s="43">
        <f>'Wtr-Gas'!AP46*0.0038</f>
        <v>1.8620000000000001</v>
      </c>
      <c r="AU44" s="46">
        <f>'Wtr-Gas'!AT46*0.0038</f>
        <v>0.38</v>
      </c>
      <c r="AV44" s="43">
        <f>'Wtr-Gas'!AW46*0.0038</f>
        <v>296.03899999999999</v>
      </c>
      <c r="AW44" s="44">
        <f>'Wtr-Gas'!AY46*0.0038</f>
        <v>247.44619599999999</v>
      </c>
      <c r="AX44" s="43">
        <f>'Wtr-Gas'!AZ46*0.0038</f>
        <v>48.592804000000008</v>
      </c>
      <c r="AY44" s="43">
        <f>'Wtr-Gas'!BB46*0.0038</f>
        <v>6.84</v>
      </c>
      <c r="AZ44" s="43">
        <f>'Wtr-Gas'!BD46*0.0038</f>
        <v>1.1399999999999999</v>
      </c>
      <c r="BA44" s="43">
        <f>'Wtr-Gas'!BF46*0.0038</f>
        <v>1667.8579999999999</v>
      </c>
    </row>
    <row r="45" spans="1:53">
      <c r="A45" s="3" t="s">
        <v>11</v>
      </c>
      <c r="B45" s="2">
        <v>6</v>
      </c>
      <c r="C45" s="2">
        <v>10</v>
      </c>
      <c r="D45" s="2">
        <v>2019</v>
      </c>
      <c r="E45" s="41">
        <f>Elect!AW47</f>
        <v>416</v>
      </c>
      <c r="F45" s="41">
        <f>Elect!I47</f>
        <v>48000</v>
      </c>
      <c r="G45" s="41">
        <f>Elect!H47</f>
        <v>2.4039999999999999</v>
      </c>
      <c r="H45" s="41">
        <f>Elect!E47</f>
        <v>46560</v>
      </c>
      <c r="I45" s="41">
        <f>Elect!D47</f>
        <v>2.1709999999999998</v>
      </c>
      <c r="J45" s="41">
        <f>Elect!Y47</f>
        <v>107100</v>
      </c>
      <c r="K45" s="41">
        <f>Elect!X47</f>
        <v>2.8490000000000002</v>
      </c>
      <c r="L45" s="41">
        <f>Elect!AS47</f>
        <v>1720</v>
      </c>
      <c r="M45" s="41">
        <f>Elect!AR47</f>
        <v>0.36199999999999999</v>
      </c>
      <c r="N45" s="41">
        <f>Elect!AC47</f>
        <v>47100</v>
      </c>
      <c r="O45" s="41">
        <f>Elect!AB47</f>
        <v>2.2360000000000002</v>
      </c>
      <c r="P45" s="41">
        <f>Elect!Q47</f>
        <v>11600</v>
      </c>
      <c r="Q45" s="41">
        <f>Elect!P47</f>
        <v>0.253</v>
      </c>
      <c r="R45" s="41">
        <f>Elect!M47</f>
        <v>12800</v>
      </c>
      <c r="S45" s="41">
        <f>Elect!L47</f>
        <v>0.26600000000000001</v>
      </c>
      <c r="T45" s="41">
        <f>Elect!U47</f>
        <v>12800</v>
      </c>
      <c r="U45" s="41">
        <f>Elect!T47</f>
        <v>0.26700000000000002</v>
      </c>
      <c r="V45" s="41">
        <f>Elect!AG47</f>
        <v>6720</v>
      </c>
      <c r="W45" s="41">
        <f>Elect!AF47</f>
        <v>0.35799999999999998</v>
      </c>
      <c r="X45" s="41">
        <f>Elect!AK47</f>
        <v>4000</v>
      </c>
      <c r="Y45" s="41">
        <f>Elect!AJ47</f>
        <v>0.315</v>
      </c>
      <c r="Z45" s="41">
        <f>Elect!AO47</f>
        <v>53600</v>
      </c>
      <c r="AA45" s="41">
        <f>Elect!AN47</f>
        <v>2.266</v>
      </c>
      <c r="AB45" s="41">
        <f>Elect!BJ47</f>
        <v>2400</v>
      </c>
      <c r="AC45" s="41">
        <f>Elect!BG47</f>
        <v>20000</v>
      </c>
      <c r="AD45" s="41">
        <f>Elect!BM47</f>
        <v>1029</v>
      </c>
      <c r="AE45" s="41">
        <f>Elect!BP47</f>
        <v>3840</v>
      </c>
      <c r="AF45" s="43">
        <f>('Wtr-Gas'!E47)*0.0038</f>
        <v>4120.4160000000002</v>
      </c>
      <c r="AG45" s="43">
        <f>('Wtr-Gas'!H47)*0.0038</f>
        <v>828.28599999999994</v>
      </c>
      <c r="AH45" s="43">
        <f>'Wtr-Gas'!K47*0.0038</f>
        <v>5.7</v>
      </c>
      <c r="AI45" s="43">
        <f>'Wtr-Gas'!N47*0.0038</f>
        <v>3298.4</v>
      </c>
      <c r="AJ45" s="43">
        <f>'Wtr-Gas'!Q47*0.0038</f>
        <v>53.96</v>
      </c>
      <c r="AK45" s="46">
        <f>'Wtr-Gas'!U47*0.0038</f>
        <v>679.06</v>
      </c>
      <c r="AL45" s="46">
        <f>'Wtr-Gas'!X47*0.0038</f>
        <v>1693.66</v>
      </c>
      <c r="AM45" s="43">
        <f>'Wtr-Gas'!AB47*0.0038</f>
        <v>10868</v>
      </c>
      <c r="AN45" s="43">
        <f>'Wtr-Gas'!AD47*0.0038</f>
        <v>24306.928</v>
      </c>
      <c r="AO45" s="43">
        <f>'Wtr-Gas'!AF47*0.0038</f>
        <v>820.8</v>
      </c>
      <c r="AP45" s="43">
        <f>'Wtr-Gas'!AH47*0.0038</f>
        <v>34409</v>
      </c>
      <c r="AQ45" s="43">
        <f>'Wtr-Gas'!AJ47*0.0038</f>
        <v>56.293199999999999</v>
      </c>
      <c r="AR45" s="43">
        <f>'Wtr-Gas'!AL47*0.0038</f>
        <v>178.6</v>
      </c>
      <c r="AS45" s="43">
        <f>'Wtr-Gas'!AN47*0.0038</f>
        <v>0</v>
      </c>
      <c r="AT45" s="43">
        <f>'Wtr-Gas'!AP47*0.0038</f>
        <v>2.0139999999999998</v>
      </c>
      <c r="AU45" s="46">
        <f>'Wtr-Gas'!AT47*0.0038</f>
        <v>0.52059999999999995</v>
      </c>
      <c r="AV45" s="43">
        <f>'Wtr-Gas'!AW47*0.0038</f>
        <v>339.10059999999999</v>
      </c>
      <c r="AW45" s="44">
        <f>'Wtr-Gas'!AY47*0.0038</f>
        <v>282.50036</v>
      </c>
      <c r="AX45" s="43">
        <f>'Wtr-Gas'!AZ47*0.0038</f>
        <v>56.600240000000014</v>
      </c>
      <c r="AY45" s="43">
        <f>'Wtr-Gas'!BB47*0.0038</f>
        <v>14.44</v>
      </c>
      <c r="AZ45" s="43">
        <f>'Wtr-Gas'!BD47*0.0038</f>
        <v>1.52</v>
      </c>
      <c r="BA45" s="43">
        <f>'Wtr-Gas'!BF47*0.0038</f>
        <v>965.83839999999998</v>
      </c>
    </row>
    <row r="46" spans="1:53">
      <c r="A46" s="3" t="s">
        <v>11</v>
      </c>
      <c r="B46" s="2">
        <v>13</v>
      </c>
      <c r="C46" s="2">
        <v>10</v>
      </c>
      <c r="D46" s="2">
        <v>2019</v>
      </c>
      <c r="E46" s="41">
        <f>Elect!AW48</f>
        <v>432</v>
      </c>
      <c r="F46" s="41">
        <f>Elect!I48</f>
        <v>48480</v>
      </c>
      <c r="G46" s="41">
        <f>Elect!H48</f>
        <v>2.4039999999999999</v>
      </c>
      <c r="H46" s="41">
        <f>Elect!E48</f>
        <v>46560</v>
      </c>
      <c r="I46" s="41">
        <f>Elect!D48</f>
        <v>2.1709999999999998</v>
      </c>
      <c r="J46" s="41">
        <f>Elect!Y48</f>
        <v>98700</v>
      </c>
      <c r="K46" s="41">
        <f>Elect!X48</f>
        <v>2.8809999999999998</v>
      </c>
      <c r="L46" s="41">
        <f>Elect!AS48</f>
        <v>1760</v>
      </c>
      <c r="M46" s="41">
        <f>Elect!AR48</f>
        <v>0.36199999999999999</v>
      </c>
      <c r="N46" s="41">
        <f>Elect!AC48</f>
        <v>44700</v>
      </c>
      <c r="O46" s="41">
        <f>Elect!AB48</f>
        <v>2.2360000000000002</v>
      </c>
      <c r="P46" s="41">
        <f>Elect!Q48</f>
        <v>12000</v>
      </c>
      <c r="Q46" s="41">
        <f>Elect!P48</f>
        <v>0.253</v>
      </c>
      <c r="R46" s="41">
        <f>Elect!M48</f>
        <v>13200</v>
      </c>
      <c r="S46" s="41">
        <f>Elect!L48</f>
        <v>0.26600000000000001</v>
      </c>
      <c r="T46" s="41">
        <f>Elect!U48</f>
        <v>12800</v>
      </c>
      <c r="U46" s="41">
        <f>Elect!T48</f>
        <v>0.26700000000000002</v>
      </c>
      <c r="V46" s="41">
        <f>Elect!AG48</f>
        <v>6080</v>
      </c>
      <c r="W46" s="41">
        <f>Elect!AF48</f>
        <v>0.35799999999999998</v>
      </c>
      <c r="X46" s="41">
        <f>Elect!AK48</f>
        <v>4320</v>
      </c>
      <c r="Y46" s="41">
        <f>Elect!AJ48</f>
        <v>0.315</v>
      </c>
      <c r="Z46" s="41">
        <f>Elect!AO48</f>
        <v>52400</v>
      </c>
      <c r="AA46" s="41">
        <f>Elect!AN48</f>
        <v>2.266</v>
      </c>
      <c r="AB46" s="41">
        <f>Elect!BJ48</f>
        <v>1900</v>
      </c>
      <c r="AC46" s="41">
        <f>Elect!BG48</f>
        <v>15000</v>
      </c>
      <c r="AD46" s="41">
        <f>Elect!BM48</f>
        <v>793</v>
      </c>
      <c r="AE46" s="41">
        <f>Elect!BP48</f>
        <v>1480</v>
      </c>
      <c r="AF46" s="43">
        <f>('Wtr-Gas'!E48)*0.0038</f>
        <v>4720.2839999999997</v>
      </c>
      <c r="AG46" s="43">
        <f>('Wtr-Gas'!H48)*0.0038</f>
        <v>505.93200000000002</v>
      </c>
      <c r="AH46" s="43">
        <f>'Wtr-Gas'!K48*0.0038</f>
        <v>12.16</v>
      </c>
      <c r="AI46" s="43">
        <f>'Wtr-Gas'!N48*0.0038</f>
        <v>3484.6</v>
      </c>
      <c r="AJ46" s="43">
        <f>'Wtr-Gas'!Q48*0.0038</f>
        <v>54.34</v>
      </c>
      <c r="AK46" s="46">
        <f>'Wtr-Gas'!U48*0.0038</f>
        <v>737.96</v>
      </c>
      <c r="AL46" s="46">
        <f>'Wtr-Gas'!X48*0.0038</f>
        <v>2715.1</v>
      </c>
      <c r="AM46" s="43">
        <f>'Wtr-Gas'!AB48*0.0038</f>
        <v>9956</v>
      </c>
      <c r="AN46" s="43">
        <f>'Wtr-Gas'!AD48*0.0038</f>
        <v>23436.385999999999</v>
      </c>
      <c r="AO46" s="43">
        <f>'Wtr-Gas'!AF48*0.0038</f>
        <v>1371.8</v>
      </c>
      <c r="AP46" s="43">
        <f>'Wtr-Gas'!AH48*0.0038</f>
        <v>67928.800000000003</v>
      </c>
      <c r="AQ46" s="43">
        <f>'Wtr-Gas'!AJ48*0.0038</f>
        <v>49.688800000000001</v>
      </c>
      <c r="AR46" s="43">
        <f>'Wtr-Gas'!AL48*0.0038</f>
        <v>167.2</v>
      </c>
      <c r="AS46" s="43">
        <f>'Wtr-Gas'!AN48*0.0038</f>
        <v>0</v>
      </c>
      <c r="AT46" s="43">
        <f>'Wtr-Gas'!AP48*0.0038</f>
        <v>1.9379999999999999</v>
      </c>
      <c r="AU46" s="46">
        <f>'Wtr-Gas'!AT48*0.0038</f>
        <v>0.42559999999999998</v>
      </c>
      <c r="AV46" s="43">
        <f>'Wtr-Gas'!AW48*0.0038</f>
        <v>275.64440000000002</v>
      </c>
      <c r="AW46" s="44">
        <f>'Wtr-Gas'!AY48*0.0038</f>
        <v>212.81170400000002</v>
      </c>
      <c r="AX46" s="43">
        <f>'Wtr-Gas'!AZ48*0.0038</f>
        <v>62.832695999999991</v>
      </c>
      <c r="AY46" s="43">
        <f>'Wtr-Gas'!BB48*0.0038</f>
        <v>6.46</v>
      </c>
      <c r="AZ46" s="43">
        <f>'Wtr-Gas'!BD48*0.0038</f>
        <v>1.1399999999999999</v>
      </c>
      <c r="BA46" s="43">
        <f>'Wtr-Gas'!BF48*0.0038</f>
        <v>528.36339999999996</v>
      </c>
    </row>
    <row r="47" spans="1:53">
      <c r="A47" s="3" t="s">
        <v>11</v>
      </c>
      <c r="B47" s="2">
        <v>20</v>
      </c>
      <c r="C47" s="2">
        <v>10</v>
      </c>
      <c r="D47" s="2">
        <v>2019</v>
      </c>
      <c r="E47" s="41">
        <f>Elect!AW49</f>
        <v>438</v>
      </c>
      <c r="F47" s="41">
        <f>Elect!I49</f>
        <v>46560</v>
      </c>
      <c r="G47" s="41">
        <f>Elect!H49</f>
        <v>2.4039999999999999</v>
      </c>
      <c r="H47" s="41">
        <f>Elect!E49</f>
        <v>46880</v>
      </c>
      <c r="I47" s="41">
        <f>Elect!D49</f>
        <v>2.1709999999999998</v>
      </c>
      <c r="J47" s="41">
        <f>Elect!Y49</f>
        <v>78900</v>
      </c>
      <c r="K47" s="41">
        <f>Elect!X49</f>
        <v>2.8809999999999998</v>
      </c>
      <c r="L47" s="41">
        <f>Elect!AS49</f>
        <v>1680</v>
      </c>
      <c r="M47" s="41">
        <f>Elect!AR49</f>
        <v>0.36199999999999999</v>
      </c>
      <c r="N47" s="41">
        <f>Elect!AC49</f>
        <v>69000</v>
      </c>
      <c r="O47" s="41">
        <f>Elect!AB49</f>
        <v>2.375</v>
      </c>
      <c r="P47" s="41">
        <f>Elect!Q49</f>
        <v>12000</v>
      </c>
      <c r="Q47" s="41">
        <f>Elect!P49</f>
        <v>0.253</v>
      </c>
      <c r="R47" s="41">
        <f>Elect!M49</f>
        <v>12800</v>
      </c>
      <c r="S47" s="41">
        <f>Elect!L49</f>
        <v>0.26600000000000001</v>
      </c>
      <c r="T47" s="41">
        <f>Elect!U49</f>
        <v>13200</v>
      </c>
      <c r="U47" s="41">
        <f>Elect!T49</f>
        <v>0.27300000000000002</v>
      </c>
      <c r="V47" s="41">
        <f>Elect!AG49</f>
        <v>7040</v>
      </c>
      <c r="W47" s="41">
        <f>Elect!AF49</f>
        <v>0.39400000000000002</v>
      </c>
      <c r="X47" s="41">
        <f>Elect!AK49</f>
        <v>4800</v>
      </c>
      <c r="Y47" s="41">
        <f>Elect!AJ49</f>
        <v>0.34300000000000003</v>
      </c>
      <c r="Z47" s="41">
        <f>Elect!AO49</f>
        <v>52600</v>
      </c>
      <c r="AA47" s="41">
        <f>Elect!AN49</f>
        <v>2.266</v>
      </c>
      <c r="AB47" s="41">
        <f>Elect!BJ49</f>
        <v>2000</v>
      </c>
      <c r="AC47" s="41">
        <f>Elect!BG49</f>
        <v>17700</v>
      </c>
      <c r="AD47" s="41">
        <f>Elect!BM49</f>
        <v>865</v>
      </c>
      <c r="AE47" s="41">
        <f>Elect!BP49</f>
        <v>3040</v>
      </c>
      <c r="AF47" s="43">
        <f>('Wtr-Gas'!E49)*0.0038</f>
        <v>4829.1539999999995</v>
      </c>
      <c r="AG47" s="43">
        <f>('Wtr-Gas'!H49)*0.0038</f>
        <v>742.86199999999997</v>
      </c>
      <c r="AH47" s="43">
        <f>'Wtr-Gas'!K49*0.0038</f>
        <v>5.7</v>
      </c>
      <c r="AI47" s="43">
        <f>'Wtr-Gas'!N49*0.0038</f>
        <v>3541.6</v>
      </c>
      <c r="AJ47" s="43">
        <f>'Wtr-Gas'!Q49*0.0038</f>
        <v>54.34</v>
      </c>
      <c r="AK47" s="46">
        <f>'Wtr-Gas'!U49*0.0038</f>
        <v>763.8</v>
      </c>
      <c r="AL47" s="46">
        <f>'Wtr-Gas'!X49*0.0038</f>
        <v>2432.38</v>
      </c>
      <c r="AM47" s="43">
        <f>'Wtr-Gas'!AB49*0.0038</f>
        <v>9918</v>
      </c>
      <c r="AN47" s="43">
        <f>'Wtr-Gas'!AD49*0.0038</f>
        <v>23143.516199999998</v>
      </c>
      <c r="AO47" s="43">
        <f>'Wtr-Gas'!AF49*0.0038</f>
        <v>642.20000000000005</v>
      </c>
      <c r="AP47" s="43">
        <f>'Wtr-Gas'!AH49*0.0038</f>
        <v>82771.600000000006</v>
      </c>
      <c r="AQ47" s="43">
        <f>'Wtr-Gas'!AJ49*0.0038</f>
        <v>43.593600000000002</v>
      </c>
      <c r="AR47" s="43">
        <f>'Wtr-Gas'!AL49*0.0038</f>
        <v>163.4</v>
      </c>
      <c r="AS47" s="43">
        <f>'Wtr-Gas'!AN49*0.0038</f>
        <v>0</v>
      </c>
      <c r="AT47" s="43">
        <f>'Wtr-Gas'!AP49*0.0038</f>
        <v>1.5960000000000001</v>
      </c>
      <c r="AU47" s="46">
        <f>'Wtr-Gas'!AT49*0.0038</f>
        <v>0.48259999999999997</v>
      </c>
      <c r="AV47" s="43">
        <f>'Wtr-Gas'!AW49*0.0038</f>
        <v>312.15480000000002</v>
      </c>
      <c r="AW47" s="44">
        <f>'Wtr-Gas'!AY49*0.0038</f>
        <v>246.09187599999998</v>
      </c>
      <c r="AX47" s="43">
        <f>'Wtr-Gas'!AZ49*0.0038</f>
        <v>66.06292400000001</v>
      </c>
      <c r="AY47" s="43">
        <f>'Wtr-Gas'!BB49*0.0038</f>
        <v>8.74</v>
      </c>
      <c r="AZ47" s="43">
        <f>'Wtr-Gas'!BD49*0.0038</f>
        <v>0.76</v>
      </c>
      <c r="BA47" s="43">
        <f>'Wtr-Gas'!BF49*0.0038</f>
        <v>767.78240000000005</v>
      </c>
    </row>
    <row r="48" spans="1:53">
      <c r="A48" s="3" t="s">
        <v>11</v>
      </c>
      <c r="B48" s="2">
        <v>27</v>
      </c>
      <c r="C48" s="2">
        <v>10</v>
      </c>
      <c r="D48" s="2">
        <v>2019</v>
      </c>
      <c r="E48" s="41">
        <f>Elect!AW50</f>
        <v>441</v>
      </c>
      <c r="F48" s="41">
        <f>Elect!I50</f>
        <v>45600</v>
      </c>
      <c r="G48" s="41">
        <f>Elect!H50</f>
        <v>2.1349999999999998</v>
      </c>
      <c r="H48" s="41">
        <f>Elect!E50</f>
        <v>46880</v>
      </c>
      <c r="I48" s="41">
        <f>Elect!D50</f>
        <v>2.133</v>
      </c>
      <c r="J48" s="41">
        <f>Elect!Y50</f>
        <v>77700</v>
      </c>
      <c r="K48" s="41">
        <f>Elect!X50</f>
        <v>2.3969999999999998</v>
      </c>
      <c r="L48" s="41">
        <f>Elect!AS50</f>
        <v>1720</v>
      </c>
      <c r="M48" s="41">
        <f>Elect!AR50</f>
        <v>0.33600000000000002</v>
      </c>
      <c r="N48" s="41">
        <f>Elect!AC50</f>
        <v>80100</v>
      </c>
      <c r="O48" s="41">
        <f>Elect!AB50</f>
        <v>2.0539999999999998</v>
      </c>
      <c r="P48" s="41">
        <f>Elect!Q50</f>
        <v>12000</v>
      </c>
      <c r="Q48" s="41">
        <f>Elect!P50</f>
        <v>0.23200000000000001</v>
      </c>
      <c r="R48" s="41">
        <f>Elect!M50</f>
        <v>12800</v>
      </c>
      <c r="S48" s="41">
        <f>Elect!L50</f>
        <v>0.254</v>
      </c>
      <c r="T48" s="41">
        <f>Elect!U50</f>
        <v>12800</v>
      </c>
      <c r="U48" s="41">
        <f>Elect!T50</f>
        <v>0.26500000000000001</v>
      </c>
      <c r="V48" s="41">
        <f>Elect!AG50</f>
        <v>6880</v>
      </c>
      <c r="W48" s="41">
        <f>Elect!AF50</f>
        <v>0.38400000000000001</v>
      </c>
      <c r="X48" s="41">
        <f>Elect!AK50</f>
        <v>4800</v>
      </c>
      <c r="Y48" s="41">
        <f>Elect!AJ50</f>
        <v>0.33200000000000002</v>
      </c>
      <c r="Z48" s="41">
        <f>Elect!AO50</f>
        <v>53600</v>
      </c>
      <c r="AA48" s="41">
        <f>Elect!AN50</f>
        <v>2.1429999999999998</v>
      </c>
      <c r="AB48" s="41">
        <f>Elect!BJ50</f>
        <v>2200</v>
      </c>
      <c r="AC48" s="41">
        <f>Elect!BG50</f>
        <v>18800</v>
      </c>
      <c r="AD48" s="41">
        <f>Elect!BM50</f>
        <v>930</v>
      </c>
      <c r="AE48" s="41">
        <f>Elect!BP50</f>
        <v>400</v>
      </c>
      <c r="AF48" s="43">
        <f>('Wtr-Gas'!E50)*0.0038</f>
        <v>4572.4260000000004</v>
      </c>
      <c r="AG48" s="43">
        <f>('Wtr-Gas'!H50)*0.0038</f>
        <v>243.2</v>
      </c>
      <c r="AH48" s="43">
        <f>'Wtr-Gas'!K50*0.0038</f>
        <v>9.1199999999999992</v>
      </c>
      <c r="AI48" s="43">
        <f>'Wtr-Gas'!N50*0.0038</f>
        <v>3777.2</v>
      </c>
      <c r="AJ48" s="43">
        <f>'Wtr-Gas'!Q50*0.0038</f>
        <v>53.58</v>
      </c>
      <c r="AK48" s="46">
        <f>'Wtr-Gas'!U50*0.0038</f>
        <v>760</v>
      </c>
      <c r="AL48" s="46">
        <f>'Wtr-Gas'!X50*0.0038</f>
        <v>1812.98</v>
      </c>
      <c r="AM48" s="43">
        <f>'Wtr-Gas'!AB50*0.0038</f>
        <v>10450</v>
      </c>
      <c r="AN48" s="43">
        <f>'Wtr-Gas'!AD50*0.0038</f>
        <v>24597.419000000002</v>
      </c>
      <c r="AO48" s="43">
        <f>'Wtr-Gas'!AF50*0.0038</f>
        <v>262.2</v>
      </c>
      <c r="AP48" s="43">
        <f>'Wtr-Gas'!AH50*0.0038</f>
        <v>43848.2</v>
      </c>
      <c r="AQ48" s="43">
        <f>'Wtr-Gas'!AJ50*0.0038</f>
        <v>30.6584</v>
      </c>
      <c r="AR48" s="43">
        <f>'Wtr-Gas'!AL50*0.0038</f>
        <v>91.2</v>
      </c>
      <c r="AS48" s="43">
        <f>'Wtr-Gas'!AN50*0.0038</f>
        <v>3.7999999999999999E-2</v>
      </c>
      <c r="AT48" s="43">
        <f>'Wtr-Gas'!AP50*0.0038</f>
        <v>1.6719999999999999</v>
      </c>
      <c r="AU48" s="46">
        <f>'Wtr-Gas'!AT50*0.0038</f>
        <v>0.49020000000000002</v>
      </c>
      <c r="AV48" s="43">
        <f>'Wtr-Gas'!AW50*0.0038</f>
        <v>301.69720000000001</v>
      </c>
      <c r="AW48" s="44">
        <f>'Wtr-Gas'!AY50*0.0038</f>
        <v>249.95647600000001</v>
      </c>
      <c r="AX48" s="43">
        <f>'Wtr-Gas'!AZ50*0.0038</f>
        <v>51.740723999999986</v>
      </c>
      <c r="AY48" s="43">
        <f>'Wtr-Gas'!BB50*0.0038</f>
        <v>8.74</v>
      </c>
      <c r="AZ48" s="43">
        <f>'Wtr-Gas'!BD50*0.0038</f>
        <v>1.9</v>
      </c>
      <c r="BA48" s="43">
        <f>'Wtr-Gas'!BF50*0.0038</f>
        <v>31.243600000000001</v>
      </c>
    </row>
    <row r="49" spans="1:53">
      <c r="A49" s="3" t="s">
        <v>11</v>
      </c>
      <c r="B49" s="2">
        <v>31</v>
      </c>
      <c r="C49" s="2">
        <v>10</v>
      </c>
      <c r="D49" s="2">
        <v>2019</v>
      </c>
      <c r="E49" s="41">
        <f>Elect!AW51</f>
        <v>264</v>
      </c>
      <c r="F49" s="41">
        <f>Elect!I51</f>
        <v>24960</v>
      </c>
      <c r="G49" s="41">
        <f>Elect!H51</f>
        <v>2.1349999999999998</v>
      </c>
      <c r="H49" s="41">
        <f>Elect!E51</f>
        <v>24960</v>
      </c>
      <c r="I49" s="41">
        <f>Elect!D51</f>
        <v>2.133</v>
      </c>
      <c r="J49" s="41">
        <f>Elect!Y51</f>
        <v>44400</v>
      </c>
      <c r="K49" s="41">
        <f>Elect!X51</f>
        <v>2.7789999999999999</v>
      </c>
      <c r="L49" s="41">
        <f>Elect!AS51</f>
        <v>1000</v>
      </c>
      <c r="M49" s="41">
        <f>Elect!AR51</f>
        <v>0.33600000000000002</v>
      </c>
      <c r="N49" s="41">
        <f>Elect!AC51</f>
        <v>45600</v>
      </c>
      <c r="O49" s="41">
        <f>Elect!AB51</f>
        <v>2.06</v>
      </c>
      <c r="P49" s="41">
        <f>Elect!Q51</f>
        <v>6800</v>
      </c>
      <c r="Q49" s="41">
        <f>Elect!P51</f>
        <v>0.23200000000000001</v>
      </c>
      <c r="R49" s="41">
        <f>Elect!M51</f>
        <v>7200</v>
      </c>
      <c r="S49" s="41">
        <f>Elect!L51</f>
        <v>0.254</v>
      </c>
      <c r="T49" s="41">
        <f>Elect!U51</f>
        <v>6800</v>
      </c>
      <c r="U49" s="41">
        <f>Elect!T51</f>
        <v>0.26500000000000001</v>
      </c>
      <c r="V49" s="41">
        <f>Elect!AG51</f>
        <v>3520</v>
      </c>
      <c r="W49" s="41">
        <f>Elect!AF51</f>
        <v>0.38400000000000001</v>
      </c>
      <c r="X49" s="41">
        <f>Elect!AK51</f>
        <v>2720</v>
      </c>
      <c r="Y49" s="41">
        <f>Elect!AJ51</f>
        <v>0.33200000000000002</v>
      </c>
      <c r="Z49" s="41">
        <f>Elect!AO51</f>
        <v>30400</v>
      </c>
      <c r="AA49" s="41">
        <f>Elect!AN51</f>
        <v>2.1429999999999998</v>
      </c>
      <c r="AB49" s="41">
        <f>Elect!BJ51</f>
        <v>1300</v>
      </c>
      <c r="AC49" s="41">
        <f>Elect!BG51</f>
        <v>10700</v>
      </c>
      <c r="AD49" s="41">
        <f>Elect!BM51</f>
        <v>522</v>
      </c>
      <c r="AE49" s="41">
        <f>Elect!BP51</f>
        <v>800</v>
      </c>
      <c r="AF49" s="43">
        <f>('Wtr-Gas'!E51)*0.0038</f>
        <v>3157.42</v>
      </c>
      <c r="AG49" s="43">
        <f>('Wtr-Gas'!H51)*0.0038</f>
        <v>279.94600000000003</v>
      </c>
      <c r="AH49" s="43">
        <f>'Wtr-Gas'!K51*0.0038</f>
        <v>11.4</v>
      </c>
      <c r="AI49" s="43">
        <f>'Wtr-Gas'!N51*0.0038</f>
        <v>2523.1999999999998</v>
      </c>
      <c r="AJ49" s="43">
        <f>'Wtr-Gas'!Q51*0.0038</f>
        <v>30.4</v>
      </c>
      <c r="AK49" s="46">
        <f>'Wtr-Gas'!U51*0.0038</f>
        <v>267.52</v>
      </c>
      <c r="AL49" s="46">
        <f>'Wtr-Gas'!X51*0.0038</f>
        <v>649.04</v>
      </c>
      <c r="AM49" s="43">
        <f>'Wtr-Gas'!AB51*0.0038</f>
        <v>10450</v>
      </c>
      <c r="AN49" s="43">
        <f>'Wtr-Gas'!AD51*0.0038</f>
        <v>5668.8703999999998</v>
      </c>
      <c r="AO49" s="43">
        <f>'Wtr-Gas'!AF51*0.0038</f>
        <v>110.2</v>
      </c>
      <c r="AP49" s="43">
        <f>'Wtr-Gas'!AH51*0.0038</f>
        <v>40021.599999999999</v>
      </c>
      <c r="AQ49" s="43">
        <f>'Wtr-Gas'!AJ51*0.0038</f>
        <v>25.072399999999998</v>
      </c>
      <c r="AR49" s="43">
        <f>'Wtr-Gas'!AL51*0.0038</f>
        <v>72.2</v>
      </c>
      <c r="AS49" s="43">
        <f>'Wtr-Gas'!AN51*0.0038</f>
        <v>0</v>
      </c>
      <c r="AT49" s="43">
        <f>'Wtr-Gas'!AP51*0.0038</f>
        <v>0.874</v>
      </c>
      <c r="AU49" s="46">
        <f>'Wtr-Gas'!AT51*0.0038</f>
        <v>0.2432</v>
      </c>
      <c r="AV49" s="43">
        <f>'Wtr-Gas'!AW51*0.0038</f>
        <v>173.09</v>
      </c>
      <c r="AW49" s="44">
        <f>'Wtr-Gas'!AY51*0.0038</f>
        <v>141.83294799999999</v>
      </c>
      <c r="AX49" s="43">
        <f>'Wtr-Gas'!AZ51*0.0038</f>
        <v>31.257052000000002</v>
      </c>
      <c r="AY49" s="43">
        <f>'Wtr-Gas'!BB51*0.0038</f>
        <v>15.2</v>
      </c>
      <c r="AZ49" s="43">
        <f>'Wtr-Gas'!BD51*0.0038</f>
        <v>0.76</v>
      </c>
      <c r="BA49" s="43">
        <f>'Wtr-Gas'!BF51*0.0038</f>
        <v>16.792200000000001</v>
      </c>
    </row>
    <row r="50" spans="1:53">
      <c r="A50" s="3" t="s">
        <v>11</v>
      </c>
      <c r="B50" s="2">
        <v>3</v>
      </c>
      <c r="C50" s="2">
        <v>11</v>
      </c>
      <c r="D50" s="2">
        <v>2019</v>
      </c>
      <c r="E50" s="41">
        <f>Elect!AW52</f>
        <v>187</v>
      </c>
      <c r="F50" s="41">
        <f>Elect!I52</f>
        <v>21600</v>
      </c>
      <c r="G50" s="41">
        <f>Elect!H52</f>
        <v>2.3170000000000002</v>
      </c>
      <c r="H50" s="41">
        <f>Elect!E52</f>
        <v>20000</v>
      </c>
      <c r="I50" s="41">
        <f>Elect!D52</f>
        <v>2.133</v>
      </c>
      <c r="J50" s="41">
        <f>Elect!Y52</f>
        <v>27900</v>
      </c>
      <c r="K50" s="41">
        <f>Elect!X52</f>
        <v>2.7789999999999999</v>
      </c>
      <c r="L50" s="41">
        <f>Elect!AS52</f>
        <v>760</v>
      </c>
      <c r="M50" s="41">
        <f>Elect!AR52</f>
        <v>0.33600000000000002</v>
      </c>
      <c r="N50" s="41">
        <f>Elect!AC52</f>
        <v>26100</v>
      </c>
      <c r="O50" s="41">
        <f>Elect!AB52</f>
        <v>2.06</v>
      </c>
      <c r="P50" s="41">
        <f>Elect!Q52</f>
        <v>4800</v>
      </c>
      <c r="Q50" s="41">
        <f>Elect!P52</f>
        <v>0.23200000000000001</v>
      </c>
      <c r="R50" s="41">
        <f>Elect!M52</f>
        <v>6000</v>
      </c>
      <c r="S50" s="41">
        <f>Elect!L52</f>
        <v>0.254</v>
      </c>
      <c r="T50" s="41">
        <f>Elect!U52</f>
        <v>5600</v>
      </c>
      <c r="U50" s="41">
        <f>Elect!T52</f>
        <v>0.26500000000000001</v>
      </c>
      <c r="V50" s="41">
        <f>Elect!AG52</f>
        <v>2560</v>
      </c>
      <c r="W50" s="41">
        <f>Elect!AF52</f>
        <v>0.38400000000000001</v>
      </c>
      <c r="X50" s="41">
        <f>Elect!AK52</f>
        <v>2080</v>
      </c>
      <c r="Y50" s="41">
        <f>Elect!AJ52</f>
        <v>0.40799999999999997</v>
      </c>
      <c r="Z50" s="41">
        <f>Elect!AO52</f>
        <v>22800</v>
      </c>
      <c r="AA50" s="41">
        <f>Elect!AN52</f>
        <v>2.1429999999999998</v>
      </c>
      <c r="AB50" s="41">
        <f>Elect!BJ52</f>
        <v>700</v>
      </c>
      <c r="AC50" s="41">
        <f>Elect!BG52</f>
        <v>6600</v>
      </c>
      <c r="AD50" s="41">
        <f>Elect!BM52</f>
        <v>353</v>
      </c>
      <c r="AE50" s="41">
        <f>Elect!BP52</f>
        <v>680</v>
      </c>
      <c r="AF50" s="43">
        <f>('Wtr-Gas'!E52)*0.0038</f>
        <v>1933.44</v>
      </c>
      <c r="AG50" s="43">
        <f>('Wtr-Gas'!H52)*0.0038</f>
        <v>257.52600000000001</v>
      </c>
      <c r="AH50" s="43">
        <f>'Wtr-Gas'!K52*0.0038</f>
        <v>0.38</v>
      </c>
      <c r="AI50" s="43">
        <f>'Wtr-Gas'!N52*0.0038</f>
        <v>1470.6</v>
      </c>
      <c r="AJ50" s="43">
        <f>'Wtr-Gas'!Q52*0.0038</f>
        <v>24.7</v>
      </c>
      <c r="AK50" s="46">
        <f>'Wtr-Gas'!U52*0.0038</f>
        <v>490.2</v>
      </c>
      <c r="AL50" s="46">
        <f>'Wtr-Gas'!X52*0.0038</f>
        <v>1492.26</v>
      </c>
      <c r="AM50" s="43">
        <f>'Wtr-Gas'!AB52*0.0038</f>
        <v>3458</v>
      </c>
      <c r="AN50" s="43">
        <f>'Wtr-Gas'!AD52*0.0038</f>
        <v>5093.4705999999996</v>
      </c>
      <c r="AO50" s="43">
        <f>'Wtr-Gas'!AF52*0.0038</f>
        <v>87.4</v>
      </c>
      <c r="AP50" s="43">
        <f>'Wtr-Gas'!AH52*0.0038</f>
        <v>29035.8</v>
      </c>
      <c r="AQ50" s="43">
        <f>'Wtr-Gas'!AJ52*0.0038</f>
        <v>21.8842</v>
      </c>
      <c r="AR50" s="43">
        <f>'Wtr-Gas'!AL52*0.0038</f>
        <v>72.2</v>
      </c>
      <c r="AS50" s="43">
        <f>'Wtr-Gas'!AN52*0.0038</f>
        <v>0</v>
      </c>
      <c r="AT50" s="43">
        <f>'Wtr-Gas'!AP52*0.0038</f>
        <v>0.72199999999999998</v>
      </c>
      <c r="AU50" s="46">
        <f>'Wtr-Gas'!AT52*0.0038</f>
        <v>0.21279999999999999</v>
      </c>
      <c r="AV50" s="43">
        <f>'Wtr-Gas'!AW52*0.0038</f>
        <v>129.4128</v>
      </c>
      <c r="AW50" s="44">
        <f>'Wtr-Gas'!AY52*0.0038</f>
        <v>106.431084</v>
      </c>
      <c r="AX50" s="43">
        <f>'Wtr-Gas'!AZ52*0.0038</f>
        <v>22.981715999999999</v>
      </c>
      <c r="AY50" s="43">
        <f>'Wtr-Gas'!BB52*0.0038</f>
        <v>1.52</v>
      </c>
      <c r="AZ50" s="43">
        <f>'Wtr-Gas'!BD52*0.0038</f>
        <v>0.38</v>
      </c>
      <c r="BA50" s="43">
        <f>'Wtr-Gas'!BF52*0.0038</f>
        <v>12.16</v>
      </c>
    </row>
    <row r="51" spans="1:53">
      <c r="A51" s="3" t="s">
        <v>11</v>
      </c>
      <c r="B51" s="2">
        <v>10</v>
      </c>
      <c r="C51" s="2">
        <v>11</v>
      </c>
      <c r="D51" s="2">
        <v>2019</v>
      </c>
      <c r="E51" s="41">
        <f>Elect!AW53</f>
        <v>455</v>
      </c>
      <c r="F51" s="41">
        <f>Elect!I53</f>
        <v>49760</v>
      </c>
      <c r="G51" s="41">
        <f>Elect!H53</f>
        <v>2.4289999999999998</v>
      </c>
      <c r="H51" s="41">
        <f>Elect!E53</f>
        <v>45920</v>
      </c>
      <c r="I51" s="41">
        <f>Elect!D53</f>
        <v>2.149</v>
      </c>
      <c r="J51" s="41">
        <f>Elect!Y53</f>
        <v>63900</v>
      </c>
      <c r="K51" s="41">
        <f>Elect!X53</f>
        <v>2.7789999999999999</v>
      </c>
      <c r="L51" s="41">
        <f>Elect!AS53</f>
        <v>1720</v>
      </c>
      <c r="M51" s="41">
        <f>Elect!AR53</f>
        <v>0.33600000000000002</v>
      </c>
      <c r="N51" s="41">
        <f>Elect!AC53</f>
        <v>73800</v>
      </c>
      <c r="O51" s="41">
        <f>Elect!AB53</f>
        <v>2.06</v>
      </c>
      <c r="P51" s="41">
        <f>Elect!Q53</f>
        <v>7600</v>
      </c>
      <c r="Q51" s="41">
        <f>Elect!P53</f>
        <v>0.25</v>
      </c>
      <c r="R51" s="41">
        <f>Elect!M53</f>
        <v>12800</v>
      </c>
      <c r="S51" s="41">
        <f>Elect!L53</f>
        <v>0.311</v>
      </c>
      <c r="T51" s="41">
        <f>Elect!U53</f>
        <v>12400</v>
      </c>
      <c r="U51" s="41">
        <f>Elect!T53</f>
        <v>0.26500000000000001</v>
      </c>
      <c r="V51" s="41">
        <f>Elect!AG53</f>
        <v>6720</v>
      </c>
      <c r="W51" s="41">
        <f>Elect!AF53</f>
        <v>0.38400000000000001</v>
      </c>
      <c r="X51" s="41">
        <f>Elect!AK53</f>
        <v>5120</v>
      </c>
      <c r="Y51" s="41">
        <f>Elect!AJ53</f>
        <v>0.40799999999999997</v>
      </c>
      <c r="Z51" s="41">
        <f>Elect!AO53</f>
        <v>53400</v>
      </c>
      <c r="AA51" s="41">
        <f>Elect!AN53</f>
        <v>2.1429999999999998</v>
      </c>
      <c r="AB51" s="41">
        <f>Elect!BJ53</f>
        <v>2000</v>
      </c>
      <c r="AC51" s="41">
        <f>Elect!BG53</f>
        <v>17400</v>
      </c>
      <c r="AD51" s="41">
        <f>Elect!BM53</f>
        <v>970</v>
      </c>
      <c r="AE51" s="41">
        <f>Elect!BP53</f>
        <v>1080</v>
      </c>
      <c r="AF51" s="43">
        <f>('Wtr-Gas'!E53)*0.0038</f>
        <v>4359.3599999999997</v>
      </c>
      <c r="AG51" s="43">
        <f>('Wtr-Gas'!H53)*0.0038</f>
        <v>309.39600000000002</v>
      </c>
      <c r="AH51" s="43">
        <f>'Wtr-Gas'!K53*0.0038</f>
        <v>6.08</v>
      </c>
      <c r="AI51" s="43">
        <f>'Wtr-Gas'!N53*0.0038</f>
        <v>3397.2</v>
      </c>
      <c r="AJ51" s="43">
        <f>'Wtr-Gas'!Q53*0.0038</f>
        <v>56.62</v>
      </c>
      <c r="AK51" s="46">
        <f>'Wtr-Gas'!U53*0.0038</f>
        <v>865.26</v>
      </c>
      <c r="AL51" s="46">
        <f>'Wtr-Gas'!X53*0.0038</f>
        <v>3207.58</v>
      </c>
      <c r="AM51" s="43">
        <f>'Wtr-Gas'!AB53*0.0038</f>
        <v>9082</v>
      </c>
      <c r="AN51" s="43">
        <f>'Wtr-Gas'!AD53*0.0038</f>
        <v>19206.663</v>
      </c>
      <c r="AO51" s="43">
        <f>'Wtr-Gas'!AF53*0.0038</f>
        <v>87.4</v>
      </c>
      <c r="AP51" s="43">
        <f>'Wtr-Gas'!AH53*0.0038</f>
        <v>63395.4</v>
      </c>
      <c r="AQ51" s="43">
        <f>'Wtr-Gas'!AJ53*0.0038</f>
        <v>48.2258</v>
      </c>
      <c r="AR51" s="43">
        <f>'Wtr-Gas'!AL53*0.0038</f>
        <v>155.80000000000001</v>
      </c>
      <c r="AS51" s="43">
        <f>'Wtr-Gas'!AN53*0.0038</f>
        <v>0</v>
      </c>
      <c r="AT51" s="43">
        <f>'Wtr-Gas'!AP53*0.0038</f>
        <v>1.6719999999999999</v>
      </c>
      <c r="AU51" s="46">
        <f>'Wtr-Gas'!AT53*0.0038</f>
        <v>0.60040000000000004</v>
      </c>
      <c r="AV51" s="43">
        <f>'Wtr-Gas'!AW53*0.0038</f>
        <v>302.69659999999999</v>
      </c>
      <c r="AW51" s="44">
        <f>'Wtr-Gas'!AY53*0.0038</f>
        <v>249.83506600000001</v>
      </c>
      <c r="AX51" s="43">
        <f>'Wtr-Gas'!AZ53*0.0038</f>
        <v>52.86153399999997</v>
      </c>
      <c r="AY51" s="43">
        <f>'Wtr-Gas'!BB53*0.0038</f>
        <v>18.239999999999998</v>
      </c>
      <c r="AZ51" s="43">
        <f>'Wtr-Gas'!BD53*0.0038</f>
        <v>3.42</v>
      </c>
      <c r="BA51" s="43">
        <f>'Wtr-Gas'!BF53*0.0038</f>
        <v>145.51339999999999</v>
      </c>
    </row>
    <row r="52" spans="1:53">
      <c r="A52" s="3" t="s">
        <v>11</v>
      </c>
      <c r="B52" s="2">
        <v>17</v>
      </c>
      <c r="C52" s="2">
        <v>11</v>
      </c>
      <c r="D52" s="2">
        <v>2019</v>
      </c>
      <c r="E52" s="41">
        <f>Elect!AW54</f>
        <v>465</v>
      </c>
      <c r="F52" s="41">
        <f>Elect!I54</f>
        <v>50880</v>
      </c>
      <c r="G52" s="41">
        <f>Elect!H54</f>
        <v>2.5310000000000001</v>
      </c>
      <c r="H52" s="41">
        <f>Elect!E54</f>
        <v>45600</v>
      </c>
      <c r="I52" s="41">
        <f>Elect!D54</f>
        <v>2.149</v>
      </c>
      <c r="J52" s="41">
        <f>Elect!Y54</f>
        <v>42600</v>
      </c>
      <c r="K52" s="41">
        <f>Elect!X54</f>
        <v>2.7789999999999999</v>
      </c>
      <c r="L52" s="41">
        <f>Elect!AS54</f>
        <v>1600</v>
      </c>
      <c r="M52" s="41">
        <f>Elect!AR54</f>
        <v>0.33600000000000002</v>
      </c>
      <c r="N52" s="41">
        <f>Elect!AC54</f>
        <v>54300</v>
      </c>
      <c r="O52" s="41">
        <f>Elect!AB54</f>
        <v>2.06</v>
      </c>
      <c r="P52" s="41">
        <f>Elect!Q54</f>
        <v>17200</v>
      </c>
      <c r="Q52" s="41">
        <f>Elect!P54</f>
        <v>0.317</v>
      </c>
      <c r="R52" s="41">
        <f>Elect!M54</f>
        <v>14400</v>
      </c>
      <c r="S52" s="41">
        <f>Elect!L54</f>
        <v>0.35599999999999998</v>
      </c>
      <c r="T52" s="41">
        <f>Elect!U54</f>
        <v>14400</v>
      </c>
      <c r="U52" s="41">
        <f>Elect!T54</f>
        <v>0.33400000000000002</v>
      </c>
      <c r="V52" s="41">
        <f>Elect!AG54</f>
        <v>6720</v>
      </c>
      <c r="W52" s="41">
        <f>Elect!AF54</f>
        <v>0.38400000000000001</v>
      </c>
      <c r="X52" s="41">
        <f>Elect!AK54</f>
        <v>5120</v>
      </c>
      <c r="Y52" s="41">
        <f>Elect!AJ54</f>
        <v>0.40799999999999997</v>
      </c>
      <c r="Z52" s="41">
        <f>Elect!AO54</f>
        <v>46800</v>
      </c>
      <c r="AA52" s="41">
        <f>Elect!AN54</f>
        <v>2.1429999999999998</v>
      </c>
      <c r="AB52" s="41">
        <f>Elect!BJ54</f>
        <v>1700</v>
      </c>
      <c r="AC52" s="41">
        <f>Elect!BG54</f>
        <v>14800</v>
      </c>
      <c r="AD52" s="41">
        <f>Elect!BM54</f>
        <v>1009</v>
      </c>
      <c r="AE52" s="41">
        <f>Elect!BP54</f>
        <v>2160</v>
      </c>
      <c r="AF52" s="43">
        <f>('Wtr-Gas'!E54)*0.0038</f>
        <v>4209.982</v>
      </c>
      <c r="AG52" s="43">
        <f>('Wtr-Gas'!H54)*0.0038</f>
        <v>509.27600000000001</v>
      </c>
      <c r="AH52" s="43">
        <f>'Wtr-Gas'!K54*0.0038</f>
        <v>2.4319999999999999</v>
      </c>
      <c r="AI52" s="43">
        <f>'Wtr-Gas'!N54*0.0038</f>
        <v>3074.2</v>
      </c>
      <c r="AJ52" s="43">
        <f>'Wtr-Gas'!Q54*0.0038</f>
        <v>54.72</v>
      </c>
      <c r="AK52" s="46">
        <f>'Wtr-Gas'!U54*0.0038</f>
        <v>933.28</v>
      </c>
      <c r="AL52" s="46">
        <f>'Wtr-Gas'!X54*0.0038</f>
        <v>5855.04</v>
      </c>
      <c r="AM52" s="43">
        <f>'Wtr-Gas'!AB54*0.0038</f>
        <v>5548</v>
      </c>
      <c r="AN52" s="43">
        <f>'Wtr-Gas'!AD54*0.0038</f>
        <v>12757.986999999999</v>
      </c>
      <c r="AO52" s="43">
        <f>'Wtr-Gas'!AF54*0.0038</f>
        <v>178.6</v>
      </c>
      <c r="AP52" s="43">
        <f>'Wtr-Gas'!AH54*0.0038</f>
        <v>66553.2</v>
      </c>
      <c r="AQ52" s="43">
        <f>'Wtr-Gas'!AJ54*0.0038</f>
        <v>64.672200000000004</v>
      </c>
      <c r="AR52" s="43">
        <f>'Wtr-Gas'!AL54*0.0038</f>
        <v>117.8</v>
      </c>
      <c r="AS52" s="43">
        <f>'Wtr-Gas'!AN54*0.0038</f>
        <v>0</v>
      </c>
      <c r="AT52" s="43">
        <f>'Wtr-Gas'!AP54*0.0038</f>
        <v>1.5580000000000001</v>
      </c>
      <c r="AU52" s="46">
        <f>'Wtr-Gas'!AT54*0.0038</f>
        <v>0.61939999999999995</v>
      </c>
      <c r="AV52" s="43">
        <f>'Wtr-Gas'!AW54*0.0038</f>
        <v>310.45999999999998</v>
      </c>
      <c r="AW52" s="44">
        <f>'Wtr-Gas'!AY54*0.0038</f>
        <v>248.52475000000001</v>
      </c>
      <c r="AX52" s="43">
        <f>'Wtr-Gas'!AZ54*0.0038</f>
        <v>61.935249999999996</v>
      </c>
      <c r="AY52" s="43">
        <f>'Wtr-Gas'!BB54*0.0038</f>
        <v>6.46</v>
      </c>
      <c r="AZ52" s="43">
        <f>'Wtr-Gas'!BD54*0.0038</f>
        <v>1.52</v>
      </c>
      <c r="BA52" s="43">
        <f>'Wtr-Gas'!BF54*0.0038</f>
        <v>409.34359999999998</v>
      </c>
    </row>
    <row r="53" spans="1:53">
      <c r="A53" s="3" t="s">
        <v>11</v>
      </c>
      <c r="B53" s="2">
        <v>24</v>
      </c>
      <c r="C53" s="2">
        <v>11</v>
      </c>
      <c r="D53" s="2">
        <v>2019</v>
      </c>
      <c r="E53" s="41">
        <f>Elect!AW55</f>
        <v>466</v>
      </c>
      <c r="F53" s="41">
        <f>Elect!I55</f>
        <v>47520</v>
      </c>
      <c r="G53" s="41">
        <f>Elect!H55</f>
        <v>2.302</v>
      </c>
      <c r="H53" s="41">
        <f>Elect!E55</f>
        <v>45600</v>
      </c>
      <c r="I53" s="41">
        <f>Elect!D55</f>
        <v>2.1280000000000001</v>
      </c>
      <c r="J53" s="41">
        <f>Elect!Y55</f>
        <v>36300</v>
      </c>
      <c r="K53" s="41">
        <f>Elect!X55</f>
        <v>1.659</v>
      </c>
      <c r="L53" s="41">
        <f>Elect!AS55</f>
        <v>1600</v>
      </c>
      <c r="M53" s="41">
        <f>Elect!AR55</f>
        <v>0.311</v>
      </c>
      <c r="N53" s="41">
        <f>Elect!AC55</f>
        <v>48000</v>
      </c>
      <c r="O53" s="41">
        <f>Elect!AB55</f>
        <v>1.153</v>
      </c>
      <c r="P53" s="41">
        <f>Elect!Q55</f>
        <v>12800</v>
      </c>
      <c r="Q53" s="41">
        <f>Elect!P55</f>
        <v>0.23599999999999999</v>
      </c>
      <c r="R53" s="41">
        <f>Elect!M55</f>
        <v>13600</v>
      </c>
      <c r="S53" s="41">
        <f>Elect!L55</f>
        <v>0.32500000000000001</v>
      </c>
      <c r="T53" s="41">
        <f>Elect!U55</f>
        <v>13200</v>
      </c>
      <c r="U53" s="41">
        <f>Elect!T55</f>
        <v>0.29399999999999998</v>
      </c>
      <c r="V53" s="41">
        <f>Elect!AG55</f>
        <v>6400</v>
      </c>
      <c r="W53" s="41">
        <f>Elect!AF55</f>
        <v>0.36399999999999999</v>
      </c>
      <c r="X53" s="41">
        <f>Elect!AK55</f>
        <v>4480</v>
      </c>
      <c r="Y53" s="41">
        <f>Elect!AJ55</f>
        <v>0.308</v>
      </c>
      <c r="Z53" s="41">
        <f>Elect!AO55</f>
        <v>45000</v>
      </c>
      <c r="AA53" s="41">
        <f>Elect!AN55</f>
        <v>1.847</v>
      </c>
      <c r="AB53" s="41">
        <f>Elect!BJ55</f>
        <v>2000</v>
      </c>
      <c r="AC53" s="41">
        <f>Elect!BG55</f>
        <v>12800</v>
      </c>
      <c r="AD53" s="41">
        <f>Elect!BM55</f>
        <v>1051</v>
      </c>
      <c r="AE53" s="41">
        <f>Elect!BP55</f>
        <v>4320</v>
      </c>
      <c r="AF53" s="43">
        <f>('Wtr-Gas'!E55)*0.0038</f>
        <v>4068.9639999999999</v>
      </c>
      <c r="AG53" s="43">
        <f>('Wtr-Gas'!H55)*0.0038</f>
        <v>614.80200000000002</v>
      </c>
      <c r="AH53" s="43">
        <f>'Wtr-Gas'!K55*0.0038</f>
        <v>10.488</v>
      </c>
      <c r="AI53" s="43">
        <f>'Wtr-Gas'!N55*0.0038</f>
        <v>2800.6</v>
      </c>
      <c r="AJ53" s="43">
        <f>'Wtr-Gas'!Q55*0.0038</f>
        <v>59.66</v>
      </c>
      <c r="AK53" s="46">
        <f>'Wtr-Gas'!U55*0.0038</f>
        <v>930.62</v>
      </c>
      <c r="AL53" s="46">
        <f>'Wtr-Gas'!X55*0.0038</f>
        <v>6242.26</v>
      </c>
      <c r="AM53" s="43">
        <f>'Wtr-Gas'!AB55*0.0038</f>
        <v>4636</v>
      </c>
      <c r="AN53" s="43">
        <f>'Wtr-Gas'!AD55*0.0038</f>
        <v>11226.5756</v>
      </c>
      <c r="AO53" s="43">
        <f>'Wtr-Gas'!AF55*0.0038</f>
        <v>577.6</v>
      </c>
      <c r="AP53" s="43">
        <f>'Wtr-Gas'!AH55*0.0038</f>
        <v>67423.399999999994</v>
      </c>
      <c r="AQ53" s="43">
        <f>'Wtr-Gas'!AJ55*0.0038</f>
        <v>55.335599999999999</v>
      </c>
      <c r="AR53" s="43">
        <f>'Wtr-Gas'!AL55*0.0038</f>
        <v>231.8</v>
      </c>
      <c r="AS53" s="43">
        <f>'Wtr-Gas'!AN55*0.0038</f>
        <v>0</v>
      </c>
      <c r="AT53" s="43">
        <f>'Wtr-Gas'!AP55*0.0038</f>
        <v>4.1420000000000003</v>
      </c>
      <c r="AU53" s="46">
        <f>'Wtr-Gas'!AT55*0.0038</f>
        <v>0.4788</v>
      </c>
      <c r="AV53" s="43">
        <f>'Wtr-Gas'!AW55*0.0038</f>
        <v>294.09719999999999</v>
      </c>
      <c r="AW53" s="44">
        <f>'Wtr-Gas'!AY55*0.0038</f>
        <v>248.495452</v>
      </c>
      <c r="AX53" s="43">
        <f>'Wtr-Gas'!AZ55*0.0038</f>
        <v>45.601747999999994</v>
      </c>
      <c r="AY53" s="43">
        <f>'Wtr-Gas'!BB55*0.0038</f>
        <v>14.44</v>
      </c>
      <c r="AZ53" s="43">
        <f>'Wtr-Gas'!BD55*0.0038</f>
        <v>0.76</v>
      </c>
      <c r="BA53" s="43">
        <f>'Wtr-Gas'!BF55*0.0038</f>
        <v>1086.04</v>
      </c>
    </row>
    <row r="54" spans="1:53">
      <c r="A54" s="3" t="s">
        <v>11</v>
      </c>
      <c r="B54" s="2">
        <v>30</v>
      </c>
      <c r="C54" s="2">
        <v>11</v>
      </c>
      <c r="D54" s="2">
        <v>2019</v>
      </c>
      <c r="E54" s="41">
        <f>Elect!AW56</f>
        <v>461</v>
      </c>
      <c r="F54" s="41">
        <f>Elect!I56</f>
        <v>50240</v>
      </c>
      <c r="G54" s="41">
        <f>Elect!H56</f>
        <v>2.33</v>
      </c>
      <c r="H54" s="41">
        <f>Elect!E56</f>
        <v>46080</v>
      </c>
      <c r="I54" s="41">
        <f>Elect!D56</f>
        <v>2.1280000000000001</v>
      </c>
      <c r="J54" s="41">
        <f>Elect!Y56</f>
        <v>41400</v>
      </c>
      <c r="K54" s="41">
        <f>Elect!X56</f>
        <v>1.659</v>
      </c>
      <c r="L54" s="41">
        <f>Elect!AS56</f>
        <v>1640</v>
      </c>
      <c r="M54" s="41">
        <f>Elect!AR56</f>
        <v>0.311</v>
      </c>
      <c r="N54" s="41">
        <f>Elect!AC56</f>
        <v>36900</v>
      </c>
      <c r="O54" s="41">
        <f>Elect!AB56</f>
        <v>1.7050000000000001</v>
      </c>
      <c r="P54" s="41">
        <f>Elect!Q56</f>
        <v>12000</v>
      </c>
      <c r="Q54" s="41">
        <f>Elect!P56</f>
        <v>0.26</v>
      </c>
      <c r="R54" s="41">
        <f>Elect!M56</f>
        <v>13600</v>
      </c>
      <c r="S54" s="41">
        <f>Elect!L56</f>
        <v>0.32500000000000001</v>
      </c>
      <c r="T54" s="41">
        <f>Elect!U56</f>
        <v>13600</v>
      </c>
      <c r="U54" s="41">
        <f>Elect!T56</f>
        <v>0.31</v>
      </c>
      <c r="V54" s="41">
        <f>Elect!AG56</f>
        <v>5440</v>
      </c>
      <c r="W54" s="41">
        <f>Elect!AF56</f>
        <v>0.36399999999999999</v>
      </c>
      <c r="X54" s="41">
        <f>Elect!AK56</f>
        <v>3520</v>
      </c>
      <c r="Y54" s="41">
        <f>Elect!AJ56</f>
        <v>0.308</v>
      </c>
      <c r="Z54" s="41">
        <f>Elect!AO56</f>
        <v>46400</v>
      </c>
      <c r="AA54" s="41">
        <f>Elect!AN56</f>
        <v>1.0959000000000001</v>
      </c>
      <c r="AB54" s="41">
        <f>Elect!BJ56</f>
        <v>1600</v>
      </c>
      <c r="AC54" s="41">
        <f>Elect!BG56</f>
        <v>13100</v>
      </c>
      <c r="AD54" s="41">
        <f>Elect!BM56</f>
        <v>987</v>
      </c>
      <c r="AE54" s="41">
        <f>Elect!BP56</f>
        <v>3760</v>
      </c>
      <c r="AF54" s="43">
        <f>('Wtr-Gas'!E56)*0.0038</f>
        <v>4779.8680000000004</v>
      </c>
      <c r="AG54" s="43">
        <f>('Wtr-Gas'!H56)*0.0038</f>
        <v>782.87599999999998</v>
      </c>
      <c r="AH54" s="43">
        <f>'Wtr-Gas'!K56*0.0038</f>
        <v>17.48</v>
      </c>
      <c r="AI54" s="43">
        <f>'Wtr-Gas'!N56*0.0038</f>
        <v>3116</v>
      </c>
      <c r="AJ54" s="43">
        <f>'Wtr-Gas'!Q56*0.0038</f>
        <v>62.7</v>
      </c>
      <c r="AK54" s="46">
        <f>'Wtr-Gas'!U56*0.0038</f>
        <v>893.38</v>
      </c>
      <c r="AL54" s="46">
        <f>'Wtr-Gas'!X56*0.0038</f>
        <v>5650.22</v>
      </c>
      <c r="AM54" s="43">
        <f>'Wtr-Gas'!AB56*0.0038</f>
        <v>3914</v>
      </c>
      <c r="AN54" s="43">
        <f>'Wtr-Gas'!AD56*0.0038</f>
        <v>259.65019999999998</v>
      </c>
      <c r="AO54" s="43">
        <f>'Wtr-Gas'!AF56*0.0038</f>
        <v>2006.4</v>
      </c>
      <c r="AP54" s="43">
        <f>'Wtr-Gas'!AH56*0.0038</f>
        <v>98716.4</v>
      </c>
      <c r="AQ54" s="43">
        <f>'Wtr-Gas'!AJ56*0.0038</f>
        <v>59.922199999999997</v>
      </c>
      <c r="AR54" s="43">
        <f>'Wtr-Gas'!AL56*0.0038</f>
        <v>209</v>
      </c>
      <c r="AS54" s="43">
        <f>'Wtr-Gas'!AN56*0.0038</f>
        <v>0</v>
      </c>
      <c r="AT54" s="43">
        <f>'Wtr-Gas'!AP56*0.0038</f>
        <v>2.6219999999999999</v>
      </c>
      <c r="AU54" s="46">
        <f>'Wtr-Gas'!AT56*0.0038</f>
        <v>0.51680000000000004</v>
      </c>
      <c r="AV54" s="43">
        <f>'Wtr-Gas'!AW56*0.0038</f>
        <v>298.82060000000001</v>
      </c>
      <c r="AW54" s="44">
        <f>'Wtr-Gas'!AY56*0.0038</f>
        <v>247.277704</v>
      </c>
      <c r="AX54" s="43">
        <f>'Wtr-Gas'!AZ56*0.0038</f>
        <v>51.542895999999992</v>
      </c>
      <c r="AY54" s="43">
        <f>'Wtr-Gas'!BB56*0.0038</f>
        <v>4.5599999999999996</v>
      </c>
      <c r="AZ54" s="43">
        <f>'Wtr-Gas'!BD56*0.0038</f>
        <v>1.52</v>
      </c>
      <c r="BA54" s="43">
        <f>'Wtr-Gas'!BF56*0.0038</f>
        <v>834.94359999999995</v>
      </c>
    </row>
    <row r="55" spans="1:53">
      <c r="A55" s="3" t="s">
        <v>11</v>
      </c>
      <c r="B55" s="2">
        <v>8</v>
      </c>
      <c r="C55" s="2">
        <v>12</v>
      </c>
      <c r="D55" s="2">
        <v>2019</v>
      </c>
      <c r="E55" s="41">
        <f>Elect!AW57</f>
        <v>471</v>
      </c>
      <c r="F55" s="41">
        <f>Elect!I57</f>
        <v>49440</v>
      </c>
      <c r="G55" s="41">
        <f>Elect!H57</f>
        <v>2.3969999999999998</v>
      </c>
      <c r="H55" s="41">
        <f>Elect!E57</f>
        <v>46720</v>
      </c>
      <c r="I55" s="41">
        <f>Elect!D57</f>
        <v>2.1640000000000001</v>
      </c>
      <c r="J55" s="41">
        <f>Elect!Y57</f>
        <v>45900</v>
      </c>
      <c r="K55" s="41">
        <f>Elect!X57</f>
        <v>1.659</v>
      </c>
      <c r="L55" s="41">
        <f>Elect!AS57</f>
        <v>1600</v>
      </c>
      <c r="M55" s="41">
        <f>Elect!AR57</f>
        <v>0.311</v>
      </c>
      <c r="N55" s="41">
        <f>Elect!AC57</f>
        <v>30000</v>
      </c>
      <c r="O55" s="41">
        <f>Elect!AB57</f>
        <v>1.766</v>
      </c>
      <c r="P55" s="41">
        <f>Elect!Q57</f>
        <v>14400</v>
      </c>
      <c r="Q55" s="41">
        <f>Elect!P57</f>
        <v>0.28399999999999997</v>
      </c>
      <c r="R55" s="41">
        <f>Elect!M57</f>
        <v>15600</v>
      </c>
      <c r="S55" s="41">
        <f>Elect!L57</f>
        <v>0.33600000000000002</v>
      </c>
      <c r="T55" s="41">
        <f>Elect!U57</f>
        <v>14000</v>
      </c>
      <c r="U55" s="41">
        <f>Elect!T57</f>
        <v>0.32900000000000001</v>
      </c>
      <c r="V55" s="41">
        <f>Elect!AG57</f>
        <v>6240</v>
      </c>
      <c r="W55" s="41">
        <f>Elect!AF57</f>
        <v>0.38300000000000001</v>
      </c>
      <c r="X55" s="41">
        <f>Elect!AK57</f>
        <v>4480</v>
      </c>
      <c r="Y55" s="41">
        <f>Elect!AJ57</f>
        <v>0.442</v>
      </c>
      <c r="Z55" s="41">
        <f>Elect!AO57</f>
        <v>44600</v>
      </c>
      <c r="AA55" s="41">
        <f>Elect!AN57</f>
        <v>1.9590000000000001</v>
      </c>
      <c r="AB55" s="41">
        <f>Elect!BJ57</f>
        <v>1700</v>
      </c>
      <c r="AC55" s="41">
        <f>Elect!BG57</f>
        <v>12000</v>
      </c>
      <c r="AD55" s="41">
        <f>Elect!BM57</f>
        <v>971</v>
      </c>
      <c r="AE55" s="41">
        <f>Elect!BP57</f>
        <v>2960</v>
      </c>
      <c r="AF55" s="43">
        <f>('Wtr-Gas'!E57)*0.0038</f>
        <v>3815.732</v>
      </c>
      <c r="AG55" s="43">
        <f>('Wtr-Gas'!H57)*0.0038</f>
        <v>332.88</v>
      </c>
      <c r="AH55" s="43">
        <f>'Wtr-Gas'!K57*0.0038</f>
        <v>18.62</v>
      </c>
      <c r="AI55" s="43">
        <f>'Wtr-Gas'!N57*0.0038</f>
        <v>2857.6</v>
      </c>
      <c r="AJ55" s="43">
        <f>'Wtr-Gas'!Q57*0.0038</f>
        <v>67.260000000000005</v>
      </c>
      <c r="AK55" s="46">
        <f>'Wtr-Gas'!U57*0.0038</f>
        <v>860.7</v>
      </c>
      <c r="AL55" s="46">
        <f>'Wtr-Gas'!X57*0.0038</f>
        <v>7520.96</v>
      </c>
      <c r="AM55" s="43">
        <f>'Wtr-Gas'!AB57*0.0038</f>
        <v>3838</v>
      </c>
      <c r="AN55" s="43">
        <f>'Wtr-Gas'!AD57*0.0038</f>
        <v>11300.037200000001</v>
      </c>
      <c r="AO55" s="43">
        <f>'Wtr-Gas'!AF57*0.0038</f>
        <v>110.2</v>
      </c>
      <c r="AP55" s="43">
        <f>'Wtr-Gas'!AH57*0.0038</f>
        <v>43118.6</v>
      </c>
      <c r="AQ55" s="43">
        <f>'Wtr-Gas'!AJ57*0.0038</f>
        <v>60.305999999999997</v>
      </c>
      <c r="AR55" s="43">
        <f>'Wtr-Gas'!AL57*0.0038</f>
        <v>182.4</v>
      </c>
      <c r="AS55" s="43">
        <f>'Wtr-Gas'!AN57*0.0038</f>
        <v>0</v>
      </c>
      <c r="AT55" s="43">
        <f>'Wtr-Gas'!AP57*0.0038</f>
        <v>2.85</v>
      </c>
      <c r="AU55" s="46">
        <f>'Wtr-Gas'!AT57*0.0038</f>
        <v>0.50539999999999996</v>
      </c>
      <c r="AV55" s="43">
        <f>'Wtr-Gas'!AW57*0.0038</f>
        <v>314.95920000000001</v>
      </c>
      <c r="AW55" s="44">
        <f>'Wtr-Gas'!AY57*0.0038</f>
        <v>248.33486399999998</v>
      </c>
      <c r="AX55" s="43">
        <f>'Wtr-Gas'!AZ57*0.0038</f>
        <v>66.624336</v>
      </c>
      <c r="AY55" s="43">
        <f>'Wtr-Gas'!BB57*0.0038</f>
        <v>5.32</v>
      </c>
      <c r="AZ55" s="43">
        <f>'Wtr-Gas'!BD57*0.0038</f>
        <v>1.52</v>
      </c>
      <c r="BA55" s="43">
        <f>'Wtr-Gas'!BF57*0.0038</f>
        <v>764.46119999999996</v>
      </c>
    </row>
    <row r="56" spans="1:53">
      <c r="A56" s="3" t="s">
        <v>11</v>
      </c>
      <c r="B56" s="2">
        <v>15</v>
      </c>
      <c r="C56" s="2">
        <v>12</v>
      </c>
      <c r="D56" s="2">
        <v>2019</v>
      </c>
      <c r="E56" s="41">
        <f>Elect!AW58</f>
        <v>475</v>
      </c>
      <c r="F56" s="41">
        <f>Elect!I58</f>
        <v>49280</v>
      </c>
      <c r="G56" s="41">
        <f>Elect!H58</f>
        <v>2.4390000000000001</v>
      </c>
      <c r="H56" s="41">
        <f>Elect!E58</f>
        <v>47040</v>
      </c>
      <c r="I56" s="41">
        <f>Elect!D58</f>
        <v>2.1779999999999999</v>
      </c>
      <c r="J56" s="41">
        <f>Elect!Y58</f>
        <v>45000</v>
      </c>
      <c r="K56" s="41">
        <f>Elect!X58</f>
        <v>2.181</v>
      </c>
      <c r="L56" s="41">
        <f>Elect!AS58</f>
        <v>-360</v>
      </c>
      <c r="M56" s="41">
        <f>Elect!AR58</f>
        <v>0.311</v>
      </c>
      <c r="N56" s="41">
        <f>Elect!AC58</f>
        <v>57000</v>
      </c>
      <c r="O56" s="41">
        <f>Elect!AB58</f>
        <v>1.8779999999999999</v>
      </c>
      <c r="P56" s="41">
        <f>Elect!Q58</f>
        <v>12000</v>
      </c>
      <c r="Q56" s="41">
        <f>Elect!P58</f>
        <v>0.28399999999999997</v>
      </c>
      <c r="R56" s="41">
        <f>Elect!M58</f>
        <v>13200</v>
      </c>
      <c r="S56" s="41">
        <f>Elect!L58</f>
        <v>0.33600000000000002</v>
      </c>
      <c r="T56" s="41">
        <f>Elect!U58</f>
        <v>12400</v>
      </c>
      <c r="U56" s="41">
        <f>Elect!T58</f>
        <v>0.32900000000000001</v>
      </c>
      <c r="V56" s="41">
        <f>Elect!AG58</f>
        <v>6080</v>
      </c>
      <c r="W56" s="41">
        <f>Elect!AF58</f>
        <v>0.38300000000000001</v>
      </c>
      <c r="X56" s="41">
        <f>Elect!AK58</f>
        <v>4160</v>
      </c>
      <c r="Y56" s="41">
        <f>Elect!AJ58</f>
        <v>0.442</v>
      </c>
      <c r="Z56" s="41">
        <f>Elect!AO58</f>
        <v>47200</v>
      </c>
      <c r="AA56" s="41">
        <f>Elect!AN58</f>
        <v>2.0129999999999999</v>
      </c>
      <c r="AB56" s="41">
        <f>Elect!BJ58</f>
        <v>1700</v>
      </c>
      <c r="AC56" s="41">
        <f>Elect!BG58</f>
        <v>14800</v>
      </c>
      <c r="AD56" s="41">
        <f>Elect!BM58</f>
        <v>999</v>
      </c>
      <c r="AE56" s="41">
        <f>Elect!BP58</f>
        <v>1400</v>
      </c>
      <c r="AF56" s="43">
        <f>('Wtr-Gas'!E58)*0.0038</f>
        <v>3709.788</v>
      </c>
      <c r="AG56" s="43">
        <f>('Wtr-Gas'!H58)*0.0038</f>
        <v>299.89600000000002</v>
      </c>
      <c r="AH56" s="43">
        <f>'Wtr-Gas'!K58*0.0038</f>
        <v>17.86</v>
      </c>
      <c r="AI56" s="43">
        <f>'Wtr-Gas'!N58*0.0038</f>
        <v>2956.4</v>
      </c>
      <c r="AJ56" s="43">
        <f>'Wtr-Gas'!Q58*0.0038</f>
        <v>61.56</v>
      </c>
      <c r="AK56" s="46">
        <f>'Wtr-Gas'!U58*0.0038</f>
        <v>821.94</v>
      </c>
      <c r="AL56" s="46">
        <f>'Wtr-Gas'!X58*0.0038</f>
        <v>4810.8</v>
      </c>
      <c r="AM56" s="43">
        <f>'Wtr-Gas'!AB58*0.0038</f>
        <v>5244</v>
      </c>
      <c r="AN56" s="43">
        <f>'Wtr-Gas'!AD58*0.0038</f>
        <v>4822.0518000000002</v>
      </c>
      <c r="AO56" s="43">
        <f>'Wtr-Gas'!AF58*0.0038</f>
        <v>2914.6</v>
      </c>
      <c r="AP56" s="43">
        <f>'Wtr-Gas'!AH58*0.0038</f>
        <v>35058.800000000003</v>
      </c>
      <c r="AQ56" s="43">
        <f>'Wtr-Gas'!AJ58*0.0038</f>
        <v>50.467799999999997</v>
      </c>
      <c r="AR56" s="43">
        <f>'Wtr-Gas'!AL58*0.0038</f>
        <v>144.4</v>
      </c>
      <c r="AS56" s="43">
        <f>'Wtr-Gas'!AN58*0.0038</f>
        <v>3.7999999999999999E-2</v>
      </c>
      <c r="AT56" s="43">
        <f>'Wtr-Gas'!AP58*0.0038</f>
        <v>2.1280000000000001</v>
      </c>
      <c r="AU56" s="46">
        <f>'Wtr-Gas'!AT58*0.0038</f>
        <v>0.60799999999999998</v>
      </c>
      <c r="AV56" s="43">
        <f>'Wtr-Gas'!AW58*0.0038</f>
        <v>312.65260000000001</v>
      </c>
      <c r="AW56" s="44">
        <f>'Wtr-Gas'!AY58*0.0038</f>
        <v>248.608958</v>
      </c>
      <c r="AX56" s="43">
        <f>'Wtr-Gas'!AZ58*0.0038</f>
        <v>64.043641999999991</v>
      </c>
      <c r="AY56" s="43">
        <f>'Wtr-Gas'!BB58*0.0038</f>
        <v>22.8</v>
      </c>
      <c r="AZ56" s="43">
        <f>'Wtr-Gas'!BD58*0.0038</f>
        <v>0.76</v>
      </c>
      <c r="BA56" s="43">
        <f>'Wtr-Gas'!BF58*0.0038</f>
        <v>120.441</v>
      </c>
    </row>
    <row r="57" spans="1:53">
      <c r="A57" s="3" t="s">
        <v>11</v>
      </c>
      <c r="B57" s="2">
        <v>22</v>
      </c>
      <c r="C57" s="2">
        <v>12</v>
      </c>
      <c r="D57" s="2">
        <v>2019</v>
      </c>
      <c r="E57" s="41">
        <f>Elect!AW59</f>
        <v>484</v>
      </c>
      <c r="F57" s="41">
        <f>Elect!I59</f>
        <v>50880</v>
      </c>
      <c r="G57" s="41">
        <f>Elect!H59</f>
        <v>2.3090000000000002</v>
      </c>
      <c r="H57" s="41">
        <f>Elect!E59</f>
        <v>48320</v>
      </c>
      <c r="I57" s="41">
        <f>Elect!D59</f>
        <v>2.0299999999999998</v>
      </c>
      <c r="J57" s="41">
        <f>Elect!Y59</f>
        <v>47700</v>
      </c>
      <c r="K57" s="41">
        <f>Elect!X59</f>
        <v>1.8859999999999999</v>
      </c>
      <c r="L57" s="41">
        <f>Elect!AS59</f>
        <v>3640</v>
      </c>
      <c r="M57" s="41">
        <f>Elect!AR59</f>
        <v>0.29199999999999998</v>
      </c>
      <c r="N57" s="41">
        <f>Elect!AC59</f>
        <v>48600</v>
      </c>
      <c r="O57" s="41">
        <f>Elect!AB59</f>
        <v>1.6060000000000001</v>
      </c>
      <c r="P57" s="41">
        <f>Elect!Q59</f>
        <v>12000</v>
      </c>
      <c r="Q57" s="41">
        <f>Elect!P59</f>
        <v>0.245</v>
      </c>
      <c r="R57" s="41">
        <f>Elect!M59</f>
        <v>13600</v>
      </c>
      <c r="S57" s="41">
        <f>Elect!L59</f>
        <v>0.26400000000000001</v>
      </c>
      <c r="T57" s="41">
        <f>Elect!U59</f>
        <v>12400</v>
      </c>
      <c r="U57" s="41">
        <f>Elect!T59</f>
        <v>0.25</v>
      </c>
      <c r="V57" s="41">
        <f>Elect!AG59</f>
        <v>6400</v>
      </c>
      <c r="W57" s="41">
        <f>Elect!AF59</f>
        <v>0.312</v>
      </c>
      <c r="X57" s="41">
        <f>Elect!AK59</f>
        <v>4640</v>
      </c>
      <c r="Y57" s="41">
        <f>Elect!AJ59</f>
        <v>0.20599999999999999</v>
      </c>
      <c r="Z57" s="41">
        <f>Elect!AO59</f>
        <v>48200</v>
      </c>
      <c r="AA57" s="41">
        <f>Elect!AN59</f>
        <v>1.9610000000000001</v>
      </c>
      <c r="AB57" s="41">
        <f>Elect!BJ59</f>
        <v>1800</v>
      </c>
      <c r="AC57" s="41">
        <f>Elect!BG59</f>
        <v>13800</v>
      </c>
      <c r="AD57" s="41">
        <f>Elect!BM59</f>
        <v>1033</v>
      </c>
      <c r="AE57" s="41">
        <f>Elect!BP59</f>
        <v>1080</v>
      </c>
      <c r="AF57" s="43">
        <f>('Wtr-Gas'!E59)*0.0038</f>
        <v>3622.4259999999999</v>
      </c>
      <c r="AG57" s="43">
        <f>('Wtr-Gas'!H59)*0.0038</f>
        <v>6.65</v>
      </c>
      <c r="AH57" s="43">
        <f>'Wtr-Gas'!K59*0.0038</f>
        <v>9.1199999999999992</v>
      </c>
      <c r="AI57" s="43">
        <f>'Wtr-Gas'!N59*0.0038</f>
        <v>2838.6</v>
      </c>
      <c r="AJ57" s="43">
        <f>'Wtr-Gas'!Q59*0.0038</f>
        <v>55.86</v>
      </c>
      <c r="AK57" s="46">
        <f>'Wtr-Gas'!U59*0.0038</f>
        <v>835.24</v>
      </c>
      <c r="AL57" s="46">
        <f>'Wtr-Gas'!X59*0.0038</f>
        <v>6218.7</v>
      </c>
      <c r="AM57" s="43">
        <f>'Wtr-Gas'!AB59*0.0038</f>
        <v>5624</v>
      </c>
      <c r="AN57" s="43">
        <f>'Wtr-Gas'!AD59*0.0038</f>
        <v>14112.2158</v>
      </c>
      <c r="AO57" s="43">
        <f>'Wtr-Gas'!AF59*0.0038</f>
        <v>258.39999999999998</v>
      </c>
      <c r="AP57" s="43">
        <f>'Wtr-Gas'!AH59*0.0038</f>
        <v>25026.799999999999</v>
      </c>
      <c r="AQ57" s="43">
        <f>'Wtr-Gas'!AJ59*0.0038</f>
        <v>49.494999999999997</v>
      </c>
      <c r="AR57" s="43">
        <f>'Wtr-Gas'!AL59*0.0038</f>
        <v>167.2</v>
      </c>
      <c r="AS57" s="43">
        <f>'Wtr-Gas'!AN59*0.0038</f>
        <v>0</v>
      </c>
      <c r="AT57" s="43">
        <f>'Wtr-Gas'!AP59*0.0038</f>
        <v>2.09</v>
      </c>
      <c r="AU57" s="46">
        <f>'Wtr-Gas'!AT59*0.0038</f>
        <v>0.55100000000000005</v>
      </c>
      <c r="AV57" s="43">
        <f>'Wtr-Gas'!AW59*0.0038</f>
        <v>303.92020000000002</v>
      </c>
      <c r="AW57" s="44">
        <f>'Wtr-Gas'!AY59*0.0038</f>
        <v>250.05417399999999</v>
      </c>
      <c r="AX57" s="43">
        <f>'Wtr-Gas'!AZ59*0.0038</f>
        <v>53.866026000000012</v>
      </c>
      <c r="AY57" s="43">
        <f>'Wtr-Gas'!BB59*0.0038</f>
        <v>17.86</v>
      </c>
      <c r="AZ57" s="43">
        <f>'Wtr-Gas'!BD59*0.0038</f>
        <v>0.76</v>
      </c>
      <c r="BA57" s="43">
        <f>'Wtr-Gas'!BF59*0.0038</f>
        <v>29.180199999999999</v>
      </c>
    </row>
    <row r="58" spans="1:53">
      <c r="A58" s="3" t="s">
        <v>11</v>
      </c>
      <c r="B58" s="2">
        <v>29</v>
      </c>
      <c r="C58" s="2">
        <v>12</v>
      </c>
      <c r="D58" s="2">
        <v>2019</v>
      </c>
      <c r="E58" s="41">
        <f>Elect!AW60</f>
        <v>477</v>
      </c>
      <c r="F58" s="41">
        <f>Elect!I60</f>
        <v>50560</v>
      </c>
      <c r="G58" s="41">
        <f>Elect!H60</f>
        <v>2.5379999999999998</v>
      </c>
      <c r="H58" s="41">
        <f>Elect!E60</f>
        <v>47200</v>
      </c>
      <c r="I58" s="41">
        <f>Elect!D60</f>
        <v>2.15</v>
      </c>
      <c r="J58" s="41">
        <f>Elect!Y60</f>
        <v>61500</v>
      </c>
      <c r="K58" s="41">
        <f>Elect!X60</f>
        <v>2.2970000000000002</v>
      </c>
      <c r="L58" s="41">
        <f>Elect!AS60</f>
        <v>1600</v>
      </c>
      <c r="M58" s="41">
        <f>Elect!AR60</f>
        <v>0.313</v>
      </c>
      <c r="N58" s="41">
        <f>Elect!AC60</f>
        <v>40800</v>
      </c>
      <c r="O58" s="41">
        <f>Elect!AB60</f>
        <v>1.679</v>
      </c>
      <c r="P58" s="41">
        <f>Elect!Q60</f>
        <v>12400</v>
      </c>
      <c r="Q58" s="41">
        <f>Elect!P60</f>
        <v>0.27100000000000002</v>
      </c>
      <c r="R58" s="41">
        <f>Elect!M60</f>
        <v>13200</v>
      </c>
      <c r="S58" s="41">
        <f>Elect!L60</f>
        <v>0.32400000000000001</v>
      </c>
      <c r="T58" s="41">
        <f>Elect!U60</f>
        <v>12800</v>
      </c>
      <c r="U58" s="41">
        <f>Elect!T60</f>
        <v>0.30099999999999999</v>
      </c>
      <c r="V58" s="41">
        <f>Elect!AG60</f>
        <v>5280</v>
      </c>
      <c r="W58" s="41">
        <f>Elect!AF60</f>
        <v>0.312</v>
      </c>
      <c r="X58" s="41">
        <f>Elect!AK60</f>
        <v>3520</v>
      </c>
      <c r="Y58" s="41">
        <f>Elect!AJ60</f>
        <v>0.20599999999999999</v>
      </c>
      <c r="Z58" s="41">
        <f>Elect!AO60</f>
        <v>48400</v>
      </c>
      <c r="AA58" s="41">
        <f>Elect!AN60</f>
        <v>1.976</v>
      </c>
      <c r="AB58" s="41">
        <f>Elect!BJ60</f>
        <v>1400</v>
      </c>
      <c r="AC58" s="41">
        <f>Elect!BG60</f>
        <v>14100</v>
      </c>
      <c r="AD58" s="41">
        <f>Elect!BM60</f>
        <v>1003</v>
      </c>
      <c r="AE58" s="41">
        <f>Elect!BP60</f>
        <v>1000</v>
      </c>
      <c r="AF58" s="43">
        <f>('Wtr-Gas'!E60)*0.0038</f>
        <v>3874.48</v>
      </c>
      <c r="AG58" s="43">
        <f>('Wtr-Gas'!H60)*0.0038</f>
        <v>56.886000000000003</v>
      </c>
      <c r="AH58" s="43">
        <f>'Wtr-Gas'!K60*0.0038</f>
        <v>9.1199999999999992</v>
      </c>
      <c r="AI58" s="43">
        <f>'Wtr-Gas'!N60*0.0038</f>
        <v>3435.2</v>
      </c>
      <c r="AJ58" s="43">
        <f>'Wtr-Gas'!Q60*0.0038</f>
        <v>60.8</v>
      </c>
      <c r="AK58" s="46">
        <f>'Wtr-Gas'!U60*0.0038</f>
        <v>871.72</v>
      </c>
      <c r="AL58" s="46">
        <f>'Wtr-Gas'!X60*0.0038</f>
        <v>5240.58</v>
      </c>
      <c r="AM58" s="43">
        <f>'Wtr-Gas'!AB60*0.0038</f>
        <v>6156</v>
      </c>
      <c r="AN58" s="43">
        <f>'Wtr-Gas'!AD60*0.0038</f>
        <v>14807.995800000001</v>
      </c>
      <c r="AO58" s="43">
        <f>'Wtr-Gas'!AF60*0.0038</f>
        <v>34.200000000000003</v>
      </c>
      <c r="AP58" s="43">
        <f>'Wtr-Gas'!AH60*0.0038</f>
        <v>14576.8</v>
      </c>
      <c r="AQ58" s="43">
        <f>'Wtr-Gas'!AJ60*0.0038</f>
        <v>41.286999999999999</v>
      </c>
      <c r="AR58" s="43">
        <f>'Wtr-Gas'!AL60*0.0038</f>
        <v>117.8</v>
      </c>
      <c r="AS58" s="43">
        <f>'Wtr-Gas'!AN60*0.0038</f>
        <v>0</v>
      </c>
      <c r="AT58" s="43">
        <f>'Wtr-Gas'!AP60*0.0038</f>
        <v>1.9</v>
      </c>
      <c r="AU58" s="46">
        <f>'Wtr-Gas'!AT60*0.0038</f>
        <v>0.55479999999999996</v>
      </c>
      <c r="AV58" s="43">
        <f>'Wtr-Gas'!AW60*0.0038</f>
        <v>301.9898</v>
      </c>
      <c r="AW58" s="44">
        <f>'Wtr-Gas'!AY60*0.0038</f>
        <v>247.96166600000001</v>
      </c>
      <c r="AX58" s="43">
        <f>'Wtr-Gas'!AZ60*0.0038</f>
        <v>54.028134000000001</v>
      </c>
      <c r="AY58" s="43">
        <f>'Wtr-Gas'!BB60*0.0038</f>
        <v>6.84</v>
      </c>
      <c r="AZ58" s="43">
        <f>'Wtr-Gas'!BD60*0.0038</f>
        <v>1.1399999999999999</v>
      </c>
      <c r="BA58" s="43">
        <f>'Wtr-Gas'!BF60*0.0038</f>
        <v>27.595600000000001</v>
      </c>
    </row>
    <row r="59" spans="1:53">
      <c r="A59" s="3" t="s">
        <v>11</v>
      </c>
      <c r="B59" s="2">
        <v>31</v>
      </c>
      <c r="C59" s="2">
        <v>12</v>
      </c>
      <c r="D59" s="2">
        <v>2019</v>
      </c>
      <c r="E59" s="41">
        <f>Elect!AW61</f>
        <v>127</v>
      </c>
      <c r="F59" s="41">
        <f>Elect!I61</f>
        <v>9600</v>
      </c>
      <c r="G59" s="41">
        <f>Elect!H61</f>
        <v>2.5379999999999998</v>
      </c>
      <c r="H59" s="41">
        <f>Elect!E61</f>
        <v>9120</v>
      </c>
      <c r="I59" s="41">
        <f>Elect!D61</f>
        <v>2.15</v>
      </c>
      <c r="J59" s="41">
        <f>Elect!Y61</f>
        <v>15900</v>
      </c>
      <c r="K59" s="41">
        <f>Elect!X61</f>
        <v>2.516</v>
      </c>
      <c r="L59" s="41">
        <f>Elect!AS61</f>
        <v>320</v>
      </c>
      <c r="M59" s="41">
        <f>Elect!AR61</f>
        <v>0.313</v>
      </c>
      <c r="N59" s="41">
        <f>Elect!AC61</f>
        <v>7800</v>
      </c>
      <c r="O59" s="41">
        <f>Elect!AB61</f>
        <v>1.679</v>
      </c>
      <c r="P59" s="41">
        <f>Elect!Q61</f>
        <v>2000</v>
      </c>
      <c r="Q59" s="41">
        <f>Elect!P61</f>
        <v>0.27100000000000002</v>
      </c>
      <c r="R59" s="41">
        <f>Elect!M61</f>
        <v>2800</v>
      </c>
      <c r="S59" s="41">
        <f>Elect!L61</f>
        <v>0.32400000000000001</v>
      </c>
      <c r="T59" s="41">
        <f>Elect!U61</f>
        <v>2800</v>
      </c>
      <c r="U59" s="41">
        <f>Elect!T61</f>
        <v>0.311</v>
      </c>
      <c r="V59" s="41">
        <f>Elect!AG61</f>
        <v>1120</v>
      </c>
      <c r="W59" s="41">
        <f>Elect!AF61</f>
        <v>0.312</v>
      </c>
      <c r="X59" s="41">
        <f>Elect!AK61</f>
        <v>960</v>
      </c>
      <c r="Y59" s="41">
        <f>Elect!AJ61</f>
        <v>0.217</v>
      </c>
      <c r="Z59" s="41">
        <f>Elect!AO61</f>
        <v>9400</v>
      </c>
      <c r="AA59" s="41">
        <f>Elect!AN61</f>
        <v>1.976</v>
      </c>
      <c r="AB59" s="41">
        <f>Elect!BJ61</f>
        <v>400</v>
      </c>
      <c r="AC59" s="41">
        <f>Elect!BG61</f>
        <v>2600</v>
      </c>
      <c r="AD59" s="41">
        <f>Elect!BM61</f>
        <v>197</v>
      </c>
      <c r="AE59" s="41">
        <f>Elect!BP61</f>
        <v>200</v>
      </c>
      <c r="AF59" s="43">
        <f>('Wtr-Gas'!E61)*0.0038</f>
        <v>862.524</v>
      </c>
      <c r="AG59" s="43">
        <f>('Wtr-Gas'!H61)*0.0038</f>
        <v>0</v>
      </c>
      <c r="AH59" s="43">
        <f>'Wtr-Gas'!K61*0.0038</f>
        <v>5.32</v>
      </c>
      <c r="AI59" s="43">
        <f>'Wtr-Gas'!N61*0.0038</f>
        <v>1394.6</v>
      </c>
      <c r="AJ59" s="43">
        <f>'Wtr-Gas'!Q61*0.0038</f>
        <v>13.3</v>
      </c>
      <c r="AK59" s="46">
        <f>'Wtr-Gas'!U61*0.0038</f>
        <v>187.72</v>
      </c>
      <c r="AL59" s="46">
        <f>'Wtr-Gas'!X61*0.0038</f>
        <v>463.6</v>
      </c>
      <c r="AM59" s="43">
        <f>'Wtr-Gas'!AB61*0.0038</f>
        <v>14060</v>
      </c>
      <c r="AN59" s="43">
        <f>'Wtr-Gas'!AD61*0.0038</f>
        <v>3231.1932000000002</v>
      </c>
      <c r="AO59" s="43">
        <f>'Wtr-Gas'!AF61*0.0038</f>
        <v>3.7999999999999999E-2</v>
      </c>
      <c r="AP59" s="43">
        <f>'Wtr-Gas'!AH61*0.0038</f>
        <v>27.815999999999999</v>
      </c>
      <c r="AQ59" s="43">
        <f>'Wtr-Gas'!AJ61*0.0038</f>
        <v>10.336</v>
      </c>
      <c r="AR59" s="43">
        <f>'Wtr-Gas'!AL61*0.0038</f>
        <v>60.8</v>
      </c>
      <c r="AS59" s="43">
        <f>'Wtr-Gas'!AN61*0.0038</f>
        <v>0</v>
      </c>
      <c r="AT59" s="43">
        <f>'Wtr-Gas'!AP61*0.0038</f>
        <v>5.32</v>
      </c>
      <c r="AU59" s="46">
        <f>'Wtr-Gas'!AT61*0.0038</f>
        <v>9.8799999999999999E-2</v>
      </c>
      <c r="AV59" s="43">
        <f>'Wtr-Gas'!AW61*0.0038</f>
        <v>45.592399999999998</v>
      </c>
      <c r="AW59" s="44">
        <f>'Wtr-Gas'!AY61*0.0038</f>
        <v>35.539880000000004</v>
      </c>
      <c r="AX59" s="43">
        <f>'Wtr-Gas'!AZ61*0.0038</f>
        <v>10.052519999999999</v>
      </c>
      <c r="AY59" s="43">
        <f>'Wtr-Gas'!BB61*0.0038</f>
        <v>3.04</v>
      </c>
      <c r="AZ59" s="43">
        <f>'Wtr-Gas'!BD61*0.0038</f>
        <v>0.38</v>
      </c>
      <c r="BA59" s="43">
        <f>'Wtr-Gas'!BF61*0.0038</f>
        <v>4.9551999999999996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25" workbookViewId="0">
      <selection activeCell="E50" sqref="E50"/>
    </sheetView>
  </sheetViews>
  <sheetFormatPr defaultRowHeight="1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>
      <c r="B4" s="101" t="s">
        <v>61</v>
      </c>
    </row>
    <row r="5" spans="2:9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>
      <c r="B18" t="s">
        <v>119</v>
      </c>
      <c r="D18">
        <v>67273163</v>
      </c>
      <c r="E18" t="s">
        <v>120</v>
      </c>
      <c r="I18" t="s">
        <v>121</v>
      </c>
    </row>
    <row r="19" spans="2:9">
      <c r="B19" t="s">
        <v>122</v>
      </c>
      <c r="D19">
        <v>67662513</v>
      </c>
      <c r="E19" t="s">
        <v>123</v>
      </c>
      <c r="I19" t="s">
        <v>122</v>
      </c>
    </row>
    <row r="20" spans="2:9">
      <c r="B20" t="s">
        <v>124</v>
      </c>
      <c r="D20">
        <v>61979920</v>
      </c>
      <c r="E20" t="s">
        <v>125</v>
      </c>
      <c r="I20" t="s">
        <v>126</v>
      </c>
    </row>
    <row r="21" spans="2:9">
      <c r="B21" t="s">
        <v>127</v>
      </c>
      <c r="D21">
        <v>56253208</v>
      </c>
      <c r="E21" t="s">
        <v>128</v>
      </c>
      <c r="I21" t="s">
        <v>129</v>
      </c>
    </row>
    <row r="24" spans="2:9">
      <c r="B24" s="101" t="s">
        <v>130</v>
      </c>
    </row>
    <row r="25" spans="2:9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>
      <c r="B27" t="s">
        <v>136</v>
      </c>
      <c r="D27">
        <v>44553004</v>
      </c>
      <c r="E27" t="s">
        <v>132</v>
      </c>
      <c r="F27" t="s">
        <v>137</v>
      </c>
    </row>
    <row r="28" spans="2:9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>
      <c r="B31" s="3" t="s">
        <v>144</v>
      </c>
      <c r="C31" s="3" t="s">
        <v>145</v>
      </c>
    </row>
    <row r="32" spans="2:9">
      <c r="B32" t="s">
        <v>146</v>
      </c>
      <c r="D32">
        <v>79177804</v>
      </c>
      <c r="E32" t="s">
        <v>147</v>
      </c>
      <c r="F32" t="s">
        <v>148</v>
      </c>
    </row>
    <row r="33" spans="2:9">
      <c r="B33" t="s">
        <v>146</v>
      </c>
      <c r="D33">
        <v>79305675</v>
      </c>
      <c r="E33" t="s">
        <v>147</v>
      </c>
      <c r="F33" t="s">
        <v>149</v>
      </c>
    </row>
    <row r="34" spans="2:9">
      <c r="B34" t="s">
        <v>150</v>
      </c>
      <c r="D34" s="102" t="s">
        <v>49</v>
      </c>
      <c r="E34" t="s">
        <v>151</v>
      </c>
      <c r="F34" t="s">
        <v>152</v>
      </c>
    </row>
    <row r="35" spans="2:9">
      <c r="B35" t="s">
        <v>150</v>
      </c>
      <c r="D35">
        <v>79190041</v>
      </c>
      <c r="E35" t="s">
        <v>151</v>
      </c>
      <c r="F35" t="s">
        <v>153</v>
      </c>
    </row>
    <row r="36" spans="2:9">
      <c r="B36" t="s">
        <v>154</v>
      </c>
      <c r="D36">
        <v>79190039</v>
      </c>
      <c r="E36" t="s">
        <v>147</v>
      </c>
      <c r="F36" t="s">
        <v>152</v>
      </c>
    </row>
    <row r="37" spans="2:9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>
      <c r="B38" t="s">
        <v>158</v>
      </c>
      <c r="C38" s="3" t="s">
        <v>159</v>
      </c>
      <c r="D38" s="103" t="s">
        <v>160</v>
      </c>
      <c r="E38" t="s">
        <v>138</v>
      </c>
      <c r="F38" t="s">
        <v>161</v>
      </c>
    </row>
    <row r="39" spans="2:9">
      <c r="B39" t="s">
        <v>69</v>
      </c>
      <c r="C39" s="3" t="s">
        <v>159</v>
      </c>
      <c r="D39" s="103" t="s">
        <v>162</v>
      </c>
      <c r="E39" t="s">
        <v>138</v>
      </c>
      <c r="F39" t="s">
        <v>163</v>
      </c>
    </row>
    <row r="40" spans="2:9">
      <c r="C40" s="3"/>
    </row>
    <row r="41" spans="2:9">
      <c r="C41" s="3"/>
    </row>
    <row r="43" spans="2:9">
      <c r="B43" s="101" t="s">
        <v>164</v>
      </c>
    </row>
    <row r="44" spans="2:9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>
      <c r="D45" t="s">
        <v>169</v>
      </c>
      <c r="E45" s="24">
        <v>41962</v>
      </c>
      <c r="I45" t="s">
        <v>170</v>
      </c>
    </row>
    <row r="46" spans="2:9">
      <c r="B46" t="s">
        <v>171</v>
      </c>
      <c r="D46">
        <v>80606729</v>
      </c>
      <c r="E46" s="24">
        <v>42522</v>
      </c>
      <c r="I46" t="s">
        <v>172</v>
      </c>
    </row>
    <row r="48" spans="2:9">
      <c r="B48" t="s">
        <v>173</v>
      </c>
      <c r="D48">
        <v>85492530</v>
      </c>
      <c r="E48" s="24">
        <v>43698</v>
      </c>
      <c r="I48" t="s">
        <v>174</v>
      </c>
    </row>
    <row r="51" spans="2:9">
      <c r="B51" t="s">
        <v>175</v>
      </c>
      <c r="D51" t="s">
        <v>176</v>
      </c>
      <c r="E51" t="s">
        <v>177</v>
      </c>
    </row>
    <row r="52" spans="2:9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/>
  <cols>
    <col min="1" max="1" width="1.7109375" customWidth="1"/>
    <col min="2" max="15" width="8.7109375" customWidth="1"/>
  </cols>
  <sheetData>
    <row r="1" spans="1:19" ht="23.25">
      <c r="B1" s="104" t="s">
        <v>179</v>
      </c>
      <c r="C1" s="104"/>
      <c r="D1" s="104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9" ht="15.75" thickBot="1"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 t="s">
        <v>180</v>
      </c>
      <c r="O2" s="105"/>
    </row>
    <row r="3" spans="1:19" ht="15.75" thickBot="1">
      <c r="B3" s="106" t="s">
        <v>181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8"/>
      <c r="O3" s="109"/>
    </row>
    <row r="4" spans="1:19">
      <c r="B4" s="172">
        <v>74860172</v>
      </c>
      <c r="C4" s="173"/>
      <c r="D4" s="172">
        <v>74860173</v>
      </c>
      <c r="E4" s="173"/>
      <c r="F4" s="172">
        <v>44553004</v>
      </c>
      <c r="G4" s="173"/>
      <c r="H4" s="172">
        <v>70275191</v>
      </c>
      <c r="I4" s="173"/>
      <c r="J4" s="172">
        <v>2130521</v>
      </c>
      <c r="K4" s="173"/>
      <c r="L4" s="172" t="s">
        <v>169</v>
      </c>
      <c r="M4" s="173"/>
      <c r="N4" s="168">
        <v>93477704</v>
      </c>
      <c r="O4" s="169"/>
    </row>
    <row r="5" spans="1:19">
      <c r="B5" s="110"/>
      <c r="C5" s="111"/>
      <c r="D5" s="110"/>
      <c r="E5" s="111"/>
      <c r="F5" s="110"/>
      <c r="G5" s="111"/>
      <c r="H5" s="110"/>
      <c r="I5" s="111" t="s">
        <v>182</v>
      </c>
      <c r="J5" s="110"/>
      <c r="K5" s="111"/>
      <c r="L5" s="110" t="s">
        <v>113</v>
      </c>
      <c r="M5" s="111" t="s">
        <v>113</v>
      </c>
      <c r="N5" s="110"/>
      <c r="O5" s="111"/>
    </row>
    <row r="6" spans="1:19">
      <c r="B6" s="170" t="s">
        <v>183</v>
      </c>
      <c r="C6" s="171"/>
      <c r="D6" s="170" t="s">
        <v>184</v>
      </c>
      <c r="E6" s="171"/>
      <c r="F6" s="170" t="s">
        <v>185</v>
      </c>
      <c r="G6" s="171"/>
      <c r="H6" s="170" t="s">
        <v>186</v>
      </c>
      <c r="I6" s="171"/>
      <c r="J6" s="170" t="s">
        <v>187</v>
      </c>
      <c r="K6" s="171"/>
      <c r="L6" s="170" t="s">
        <v>188</v>
      </c>
      <c r="M6" s="171"/>
      <c r="N6" s="112" t="s">
        <v>189</v>
      </c>
      <c r="O6" s="113"/>
      <c r="S6" s="114"/>
    </row>
    <row r="7" spans="1:19" ht="26.25" customHeight="1">
      <c r="A7" s="115"/>
      <c r="B7" s="176"/>
      <c r="C7" s="176"/>
      <c r="D7" s="176"/>
      <c r="E7" s="176"/>
      <c r="F7" s="176"/>
      <c r="G7" s="176"/>
      <c r="H7" s="176"/>
      <c r="I7" s="176"/>
      <c r="J7" s="177"/>
      <c r="K7" s="178"/>
      <c r="L7" s="177"/>
      <c r="M7" s="178"/>
      <c r="N7" s="116"/>
      <c r="O7" s="117"/>
    </row>
    <row r="8" spans="1:19" ht="7.5" customHeight="1">
      <c r="A8" s="115"/>
      <c r="B8" s="118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05"/>
      <c r="O8" s="111"/>
    </row>
    <row r="9" spans="1:19">
      <c r="B9" s="174">
        <v>85492530</v>
      </c>
      <c r="C9" s="175"/>
      <c r="D9" s="174">
        <v>79305675</v>
      </c>
      <c r="E9" s="175"/>
      <c r="F9" s="174">
        <v>79190041</v>
      </c>
      <c r="G9" s="175"/>
      <c r="H9" s="174" t="s">
        <v>49</v>
      </c>
      <c r="I9" s="175"/>
      <c r="J9" s="174">
        <v>79190039</v>
      </c>
      <c r="K9" s="175"/>
      <c r="L9" s="174">
        <v>79324776</v>
      </c>
      <c r="M9" s="175"/>
      <c r="N9" s="120"/>
      <c r="O9" s="121"/>
    </row>
    <row r="10" spans="1:19">
      <c r="B10" s="172" t="s">
        <v>146</v>
      </c>
      <c r="C10" s="173"/>
      <c r="D10" s="172" t="s">
        <v>146</v>
      </c>
      <c r="E10" s="173"/>
      <c r="F10" s="172" t="s">
        <v>150</v>
      </c>
      <c r="G10" s="173"/>
      <c r="H10" s="172" t="s">
        <v>150</v>
      </c>
      <c r="I10" s="173"/>
      <c r="J10" s="172" t="s">
        <v>154</v>
      </c>
      <c r="K10" s="173"/>
      <c r="L10" s="172" t="s">
        <v>155</v>
      </c>
      <c r="M10" s="173"/>
      <c r="N10" s="179" t="s">
        <v>190</v>
      </c>
      <c r="O10" s="180"/>
    </row>
    <row r="11" spans="1:19">
      <c r="B11" s="170" t="s">
        <v>191</v>
      </c>
      <c r="C11" s="171"/>
      <c r="D11" s="170" t="s">
        <v>192</v>
      </c>
      <c r="E11" s="171"/>
      <c r="F11" s="170" t="s">
        <v>153</v>
      </c>
      <c r="G11" s="171"/>
      <c r="H11" s="170" t="s">
        <v>193</v>
      </c>
      <c r="I11" s="171"/>
      <c r="J11" s="170" t="s">
        <v>193</v>
      </c>
      <c r="K11" s="171"/>
      <c r="L11" s="170" t="s">
        <v>153</v>
      </c>
      <c r="M11" s="171"/>
      <c r="N11" s="181" t="s">
        <v>194</v>
      </c>
      <c r="O11" s="182"/>
    </row>
    <row r="12" spans="1:19" ht="29.25" customHeight="1">
      <c r="A12" s="115"/>
      <c r="B12" s="176"/>
      <c r="C12" s="176"/>
      <c r="D12" s="176"/>
      <c r="E12" s="176"/>
      <c r="F12" s="176"/>
      <c r="G12" s="176"/>
      <c r="H12" s="176"/>
      <c r="I12" s="176"/>
      <c r="J12" s="177"/>
      <c r="K12" s="178"/>
      <c r="L12" s="177"/>
      <c r="M12" s="178"/>
      <c r="N12" s="116"/>
      <c r="O12" s="117"/>
    </row>
    <row r="13" spans="1:19" ht="7.5" customHeight="1" thickBot="1">
      <c r="A13" s="115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3"/>
      <c r="O13" s="123"/>
    </row>
    <row r="14" spans="1:19" ht="15.75" thickBot="1">
      <c r="B14" s="183" t="s">
        <v>195</v>
      </c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08"/>
      <c r="O14" s="109"/>
    </row>
    <row r="15" spans="1:19">
      <c r="B15" s="172" t="s">
        <v>72</v>
      </c>
      <c r="C15" s="173"/>
      <c r="D15" s="172" t="s">
        <v>76</v>
      </c>
      <c r="E15" s="173"/>
      <c r="F15" s="172" t="s">
        <v>80</v>
      </c>
      <c r="G15" s="173"/>
      <c r="H15" s="172" t="s">
        <v>84</v>
      </c>
      <c r="I15" s="173"/>
      <c r="J15" s="172" t="s">
        <v>88</v>
      </c>
      <c r="K15" s="173"/>
      <c r="L15" s="185"/>
      <c r="M15" s="186"/>
      <c r="N15" s="124"/>
      <c r="O15" s="125"/>
    </row>
    <row r="16" spans="1:19">
      <c r="B16" s="126" t="s">
        <v>71</v>
      </c>
      <c r="C16" s="126" t="s">
        <v>70</v>
      </c>
      <c r="D16" s="126" t="s">
        <v>75</v>
      </c>
      <c r="E16" s="126" t="s">
        <v>74</v>
      </c>
      <c r="F16" s="126" t="s">
        <v>79</v>
      </c>
      <c r="G16" s="126" t="s">
        <v>78</v>
      </c>
      <c r="H16" s="126" t="s">
        <v>83</v>
      </c>
      <c r="I16" s="126" t="s">
        <v>82</v>
      </c>
      <c r="J16" s="126" t="s">
        <v>87</v>
      </c>
      <c r="K16" s="126" t="s">
        <v>86</v>
      </c>
      <c r="L16" s="127"/>
      <c r="M16" s="127"/>
      <c r="N16" s="128"/>
      <c r="O16" s="128"/>
    </row>
    <row r="17" spans="1:15">
      <c r="B17" s="162" t="s">
        <v>196</v>
      </c>
      <c r="C17" s="162" t="s">
        <v>197</v>
      </c>
      <c r="D17" s="162" t="s">
        <v>196</v>
      </c>
      <c r="E17" s="162" t="s">
        <v>197</v>
      </c>
      <c r="F17" s="162" t="s">
        <v>196</v>
      </c>
      <c r="G17" s="162" t="s">
        <v>197</v>
      </c>
      <c r="H17" s="162" t="s">
        <v>196</v>
      </c>
      <c r="I17" s="162" t="s">
        <v>197</v>
      </c>
      <c r="J17" s="162" t="s">
        <v>196</v>
      </c>
      <c r="K17" s="162" t="s">
        <v>197</v>
      </c>
      <c r="L17" s="127"/>
      <c r="M17" s="127"/>
      <c r="N17" s="128"/>
      <c r="O17" s="128"/>
    </row>
    <row r="18" spans="1:15" ht="30" customHeight="1">
      <c r="A18" s="115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8"/>
      <c r="M18" s="128"/>
      <c r="N18" s="128"/>
      <c r="O18" s="128"/>
    </row>
    <row r="19" spans="1:15" ht="7.5" customHeight="1" thickBot="1">
      <c r="A19" s="115"/>
      <c r="B19" s="118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05"/>
      <c r="O19" s="111"/>
    </row>
    <row r="20" spans="1:15">
      <c r="B20" s="187" t="s">
        <v>198</v>
      </c>
      <c r="C20" s="188"/>
      <c r="D20" s="188"/>
      <c r="E20" s="188"/>
      <c r="F20" s="188"/>
      <c r="G20" s="188"/>
      <c r="H20" s="188"/>
      <c r="I20" s="189"/>
      <c r="J20" s="190" t="s">
        <v>150</v>
      </c>
      <c r="K20" s="188"/>
      <c r="L20" s="188"/>
      <c r="M20" s="188"/>
      <c r="N20" s="188"/>
      <c r="O20" s="130"/>
    </row>
    <row r="21" spans="1:15">
      <c r="B21" s="174" t="s">
        <v>93</v>
      </c>
      <c r="C21" s="175"/>
      <c r="D21" s="174" t="s">
        <v>97</v>
      </c>
      <c r="E21" s="175"/>
      <c r="F21" s="174" t="s">
        <v>100</v>
      </c>
      <c r="G21" s="175"/>
      <c r="H21" s="174" t="s">
        <v>104</v>
      </c>
      <c r="I21" s="175"/>
      <c r="J21" s="191" t="s">
        <v>108</v>
      </c>
      <c r="K21" s="191"/>
      <c r="L21" s="174" t="s">
        <v>112</v>
      </c>
      <c r="M21" s="175"/>
      <c r="N21" s="131"/>
      <c r="O21" s="132"/>
    </row>
    <row r="22" spans="1:15">
      <c r="B22" s="126" t="s">
        <v>92</v>
      </c>
      <c r="C22" s="126" t="s">
        <v>91</v>
      </c>
      <c r="D22" s="126" t="s">
        <v>96</v>
      </c>
      <c r="E22" s="126" t="s">
        <v>95</v>
      </c>
      <c r="F22" s="126" t="s">
        <v>99</v>
      </c>
      <c r="G22" s="126" t="s">
        <v>98</v>
      </c>
      <c r="H22" s="126" t="s">
        <v>103</v>
      </c>
      <c r="I22" s="126" t="s">
        <v>102</v>
      </c>
      <c r="J22" s="126" t="s">
        <v>107</v>
      </c>
      <c r="K22" s="126" t="s">
        <v>106</v>
      </c>
      <c r="L22" s="126" t="s">
        <v>111</v>
      </c>
      <c r="M22" s="126" t="s">
        <v>110</v>
      </c>
      <c r="N22" s="128"/>
      <c r="O22" s="128"/>
    </row>
    <row r="23" spans="1:15">
      <c r="B23" s="162" t="s">
        <v>196</v>
      </c>
      <c r="C23" s="162" t="s">
        <v>197</v>
      </c>
      <c r="D23" s="162" t="s">
        <v>196</v>
      </c>
      <c r="E23" s="162" t="s">
        <v>197</v>
      </c>
      <c r="F23" s="162" t="s">
        <v>196</v>
      </c>
      <c r="G23" s="162" t="s">
        <v>197</v>
      </c>
      <c r="H23" s="162" t="s">
        <v>196</v>
      </c>
      <c r="I23" s="162" t="s">
        <v>197</v>
      </c>
      <c r="J23" s="162" t="s">
        <v>196</v>
      </c>
      <c r="K23" s="162" t="s">
        <v>197</v>
      </c>
      <c r="L23" s="162" t="s">
        <v>196</v>
      </c>
      <c r="M23" s="162" t="s">
        <v>197</v>
      </c>
      <c r="N23" s="128"/>
      <c r="O23" s="128"/>
    </row>
    <row r="24" spans="1:15" ht="33" customHeight="1">
      <c r="A24" s="115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8"/>
      <c r="O24" s="128"/>
    </row>
    <row r="25" spans="1:15" ht="7.5" customHeight="1">
      <c r="A25" s="115"/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05"/>
      <c r="O25" s="111"/>
    </row>
    <row r="26" spans="1:15">
      <c r="B26" s="192" t="s">
        <v>199</v>
      </c>
      <c r="C26" s="193"/>
      <c r="D26" s="192" t="s">
        <v>200</v>
      </c>
      <c r="E26" s="193"/>
      <c r="F26" s="133"/>
      <c r="G26" s="133"/>
      <c r="H26" s="133"/>
      <c r="I26" s="133"/>
      <c r="J26" s="194">
        <v>112014001775</v>
      </c>
      <c r="K26" s="195"/>
      <c r="L26" s="194">
        <v>112014001771</v>
      </c>
      <c r="M26" s="195"/>
      <c r="N26" s="131"/>
      <c r="O26" s="132"/>
    </row>
    <row r="27" spans="1:15">
      <c r="B27" s="174" t="s">
        <v>117</v>
      </c>
      <c r="C27" s="175"/>
      <c r="D27" s="174" t="s">
        <v>201</v>
      </c>
      <c r="E27" s="175"/>
      <c r="F27" s="105"/>
      <c r="G27" s="105"/>
      <c r="H27" s="105"/>
      <c r="I27" s="105"/>
      <c r="J27" s="174" t="s">
        <v>158</v>
      </c>
      <c r="K27" s="175"/>
      <c r="L27" s="174" t="s">
        <v>69</v>
      </c>
      <c r="M27" s="175"/>
      <c r="N27" s="134"/>
      <c r="O27" s="135"/>
    </row>
    <row r="28" spans="1:15">
      <c r="B28" s="162" t="s">
        <v>116</v>
      </c>
      <c r="C28" s="162" t="s">
        <v>115</v>
      </c>
      <c r="D28" s="196" t="s">
        <v>202</v>
      </c>
      <c r="E28" s="197"/>
      <c r="F28" s="105"/>
      <c r="G28" s="105"/>
      <c r="H28" s="105"/>
      <c r="I28" s="105"/>
      <c r="J28" s="241" t="s">
        <v>203</v>
      </c>
      <c r="K28" s="242"/>
      <c r="L28" s="170" t="s">
        <v>204</v>
      </c>
      <c r="M28" s="171"/>
      <c r="N28" s="124"/>
      <c r="O28" s="125"/>
    </row>
    <row r="29" spans="1:15">
      <c r="B29" s="196" t="s">
        <v>196</v>
      </c>
      <c r="C29" s="197"/>
      <c r="D29" s="196" t="s">
        <v>205</v>
      </c>
      <c r="E29" s="197"/>
      <c r="F29" s="105"/>
      <c r="G29" s="105"/>
      <c r="H29" s="105"/>
      <c r="I29" s="105"/>
      <c r="J29" s="176" t="s">
        <v>206</v>
      </c>
      <c r="K29" s="176"/>
      <c r="L29" s="176" t="s">
        <v>206</v>
      </c>
      <c r="M29" s="176"/>
      <c r="N29" s="131"/>
      <c r="O29" s="132"/>
    </row>
    <row r="30" spans="1:15" ht="33.75">
      <c r="A30" s="115"/>
      <c r="B30" s="177"/>
      <c r="C30" s="178"/>
      <c r="D30" s="177"/>
      <c r="E30" s="178"/>
      <c r="F30" s="136"/>
      <c r="G30" s="136"/>
      <c r="H30" s="136"/>
      <c r="I30" s="136"/>
      <c r="J30" s="116"/>
      <c r="K30" s="117"/>
      <c r="L30" s="116"/>
      <c r="M30" s="117"/>
      <c r="N30" s="131"/>
      <c r="O30" s="132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>
      <selection activeCell="J4" sqref="J4"/>
    </sheetView>
  </sheetViews>
  <sheetFormatPr defaultRowHeight="1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>
      <c r="B2" s="198" t="s">
        <v>207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pans="1:13">
      <c r="B3" s="199">
        <v>73337589</v>
      </c>
      <c r="C3" s="200"/>
      <c r="D3" s="199">
        <v>65956268</v>
      </c>
      <c r="E3" s="200"/>
      <c r="F3" s="199">
        <v>1334021</v>
      </c>
      <c r="G3" s="200"/>
      <c r="H3" s="199">
        <v>63265094</v>
      </c>
      <c r="I3" s="200"/>
      <c r="J3" s="199">
        <v>80606729</v>
      </c>
      <c r="K3" s="200"/>
      <c r="L3" s="199" t="s">
        <v>113</v>
      </c>
      <c r="M3" s="200"/>
    </row>
    <row r="4" spans="1:13">
      <c r="B4" s="28" t="s">
        <v>113</v>
      </c>
      <c r="C4" s="29" t="s">
        <v>113</v>
      </c>
      <c r="D4" s="28" t="s">
        <v>113</v>
      </c>
      <c r="E4" s="29" t="s">
        <v>113</v>
      </c>
      <c r="F4" s="28" t="s">
        <v>113</v>
      </c>
      <c r="G4" s="29" t="s">
        <v>113</v>
      </c>
      <c r="H4" s="28" t="s">
        <v>113</v>
      </c>
      <c r="I4" s="29" t="s">
        <v>113</v>
      </c>
      <c r="J4" s="28" t="s">
        <v>113</v>
      </c>
      <c r="K4" s="29" t="s">
        <v>113</v>
      </c>
      <c r="L4" s="28" t="s">
        <v>113</v>
      </c>
      <c r="M4" s="29" t="s">
        <v>113</v>
      </c>
    </row>
    <row r="5" spans="1:13">
      <c r="B5" s="203" t="s">
        <v>208</v>
      </c>
      <c r="C5" s="204"/>
      <c r="D5" s="203" t="s">
        <v>209</v>
      </c>
      <c r="E5" s="204"/>
      <c r="F5" s="203" t="s">
        <v>119</v>
      </c>
      <c r="G5" s="204"/>
      <c r="H5" s="203" t="s">
        <v>126</v>
      </c>
      <c r="I5" s="204"/>
      <c r="J5" s="203" t="s">
        <v>210</v>
      </c>
      <c r="K5" s="204"/>
      <c r="L5" s="203" t="s">
        <v>113</v>
      </c>
      <c r="M5" s="204"/>
    </row>
    <row r="6" spans="1:13" ht="33.75">
      <c r="A6" s="115"/>
      <c r="B6" s="205"/>
      <c r="C6" s="205"/>
      <c r="D6" s="205"/>
      <c r="E6" s="205"/>
      <c r="F6" s="205"/>
      <c r="G6" s="205"/>
      <c r="H6" s="205"/>
      <c r="I6" s="205"/>
      <c r="J6" s="201"/>
      <c r="K6" s="202"/>
      <c r="L6" s="201"/>
      <c r="M6" s="202"/>
    </row>
    <row r="7" spans="1:13" ht="33.75">
      <c r="A7" s="115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>
      <c r="B8" s="198" t="s">
        <v>211</v>
      </c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</row>
    <row r="9" spans="1:13">
      <c r="B9" s="199" t="s">
        <v>123</v>
      </c>
      <c r="C9" s="200"/>
      <c r="D9" s="199" t="s">
        <v>120</v>
      </c>
      <c r="E9" s="200"/>
      <c r="F9" s="199"/>
      <c r="G9" s="200"/>
      <c r="H9" s="199" t="s">
        <v>212</v>
      </c>
      <c r="I9" s="200"/>
      <c r="J9" s="199" t="s">
        <v>128</v>
      </c>
      <c r="K9" s="200"/>
      <c r="L9" s="199" t="s">
        <v>113</v>
      </c>
      <c r="M9" s="200"/>
    </row>
    <row r="10" spans="1:13">
      <c r="B10" s="28" t="s">
        <v>213</v>
      </c>
      <c r="C10" s="29" t="s">
        <v>113</v>
      </c>
      <c r="D10" s="28" t="s">
        <v>214</v>
      </c>
      <c r="E10" s="29" t="s">
        <v>113</v>
      </c>
      <c r="F10" s="28"/>
      <c r="G10" s="29"/>
      <c r="H10" s="28" t="s">
        <v>215</v>
      </c>
      <c r="I10" s="29" t="s">
        <v>113</v>
      </c>
      <c r="J10" s="206" t="s">
        <v>216</v>
      </c>
      <c r="K10" s="207"/>
      <c r="L10" s="28" t="s">
        <v>113</v>
      </c>
      <c r="M10" s="29" t="s">
        <v>113</v>
      </c>
    </row>
    <row r="11" spans="1:13">
      <c r="B11" s="203" t="s">
        <v>208</v>
      </c>
      <c r="C11" s="204"/>
      <c r="D11" s="203" t="s">
        <v>119</v>
      </c>
      <c r="E11" s="204"/>
      <c r="F11" s="203"/>
      <c r="G11" s="204"/>
      <c r="H11" s="203" t="s">
        <v>126</v>
      </c>
      <c r="I11" s="204"/>
      <c r="J11" s="203" t="s">
        <v>129</v>
      </c>
      <c r="K11" s="204"/>
      <c r="L11" s="203" t="s">
        <v>113</v>
      </c>
      <c r="M11" s="204"/>
    </row>
    <row r="12" spans="1:13" ht="33.75">
      <c r="A12" s="115"/>
      <c r="B12" s="205"/>
      <c r="C12" s="205"/>
      <c r="D12" s="205"/>
      <c r="E12" s="205"/>
      <c r="F12" s="205"/>
      <c r="G12" s="205"/>
      <c r="H12" s="205"/>
      <c r="I12" s="205"/>
      <c r="J12" s="201"/>
      <c r="K12" s="202"/>
      <c r="L12" s="201"/>
      <c r="M12" s="202"/>
    </row>
    <row r="13" spans="1:13" ht="33.75">
      <c r="A13" s="115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>
      <c r="B14" s="198" t="s">
        <v>217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</row>
    <row r="15" spans="1:13">
      <c r="B15" s="199" t="s">
        <v>218</v>
      </c>
      <c r="C15" s="200"/>
      <c r="D15" s="199" t="s">
        <v>219</v>
      </c>
      <c r="E15" s="200"/>
      <c r="F15" s="199" t="s">
        <v>220</v>
      </c>
      <c r="G15" s="200"/>
      <c r="H15" s="199" t="s">
        <v>221</v>
      </c>
      <c r="I15" s="200"/>
      <c r="J15" s="199" t="s">
        <v>222</v>
      </c>
      <c r="K15" s="200"/>
      <c r="L15" s="199" t="s">
        <v>223</v>
      </c>
      <c r="M15" s="200"/>
    </row>
    <row r="16" spans="1:13">
      <c r="B16" s="28">
        <v>46801014</v>
      </c>
      <c r="C16" s="29" t="s">
        <v>113</v>
      </c>
      <c r="D16" s="28" t="s">
        <v>113</v>
      </c>
      <c r="E16" s="29" t="s">
        <v>113</v>
      </c>
      <c r="F16" s="28" t="s">
        <v>113</v>
      </c>
      <c r="G16" s="29" t="s">
        <v>113</v>
      </c>
      <c r="H16" s="28" t="s">
        <v>113</v>
      </c>
      <c r="I16" s="29" t="s">
        <v>113</v>
      </c>
      <c r="J16" s="206" t="s">
        <v>113</v>
      </c>
      <c r="K16" s="207"/>
      <c r="L16" s="28" t="s">
        <v>113</v>
      </c>
      <c r="M16" s="29" t="s">
        <v>113</v>
      </c>
    </row>
    <row r="17" spans="1:13">
      <c r="B17" s="203" t="s">
        <v>224</v>
      </c>
      <c r="C17" s="204"/>
      <c r="D17" s="203" t="s">
        <v>119</v>
      </c>
      <c r="E17" s="204"/>
      <c r="F17" s="203" t="s">
        <v>119</v>
      </c>
      <c r="G17" s="204"/>
      <c r="H17" s="203" t="s">
        <v>225</v>
      </c>
      <c r="I17" s="204"/>
      <c r="J17" s="203" t="s">
        <v>119</v>
      </c>
      <c r="K17" s="204"/>
      <c r="L17" s="203" t="s">
        <v>119</v>
      </c>
      <c r="M17" s="204"/>
    </row>
    <row r="18" spans="1:13" ht="33.75">
      <c r="A18" s="115"/>
      <c r="B18" s="205"/>
      <c r="C18" s="205"/>
      <c r="D18" s="205"/>
      <c r="E18" s="205"/>
      <c r="F18" s="205"/>
      <c r="G18" s="205"/>
      <c r="H18" s="205"/>
      <c r="I18" s="205"/>
      <c r="J18" s="201"/>
      <c r="K18" s="202"/>
      <c r="L18" s="201"/>
      <c r="M18" s="202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>
      <selection activeCell="X14" sqref="X14"/>
    </sheetView>
  </sheetViews>
  <sheetFormatPr defaultRowHeight="15"/>
  <cols>
    <col min="16" max="16" width="16.140625" customWidth="1"/>
    <col min="26" max="26" width="10.140625" style="49" bestFit="1" customWidth="1"/>
  </cols>
  <sheetData>
    <row r="2" spans="2:27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>
      <c r="Z3" s="49" t="s">
        <v>239</v>
      </c>
      <c r="AA3" t="s">
        <v>240</v>
      </c>
    </row>
    <row r="5" spans="2:27">
      <c r="Y5">
        <v>2015</v>
      </c>
      <c r="Z5" s="49" t="e">
        <f>([1]Elect!#REF!)</f>
        <v>#REF!</v>
      </c>
    </row>
    <row r="6" spans="2:27">
      <c r="Y6">
        <v>2016</v>
      </c>
      <c r="Z6" s="49" t="e">
        <f>([1]Elect!#REF!)</f>
        <v>#REF!</v>
      </c>
    </row>
    <row r="7" spans="2:27">
      <c r="Y7">
        <v>2017</v>
      </c>
      <c r="Z7" s="49" t="e">
        <f>([1]Elect!#REF!)</f>
        <v>#REF!</v>
      </c>
    </row>
    <row r="8" spans="2:27">
      <c r="Y8">
        <v>2018</v>
      </c>
      <c r="Z8" s="49" t="e">
        <f>([1]Elect!#REF!)</f>
        <v>#REF!</v>
      </c>
    </row>
    <row r="9" spans="2:27">
      <c r="Y9">
        <v>2019</v>
      </c>
      <c r="Z9" s="49" t="e">
        <f>([1]Elect!#REF!)</f>
        <v>#REF!</v>
      </c>
    </row>
    <row r="21" spans="24:24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/>
  <sheetData>
    <row r="3" spans="2:98" ht="18.75">
      <c r="B3" s="137" t="s">
        <v>242</v>
      </c>
    </row>
    <row r="4" spans="2:98" ht="18.75">
      <c r="B4" s="137" t="s">
        <v>243</v>
      </c>
    </row>
    <row r="5" spans="2:98" ht="18.75">
      <c r="B5" s="137" t="s">
        <v>244</v>
      </c>
    </row>
    <row r="7" spans="2:98"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</row>
    <row r="8" spans="2:98">
      <c r="Q8" s="29"/>
      <c r="CT8" s="139"/>
    </row>
    <row r="9" spans="2:98">
      <c r="Q9" s="29"/>
      <c r="CT9" s="29"/>
    </row>
    <row r="10" spans="2:98">
      <c r="Q10" s="29"/>
      <c r="CT10" s="29"/>
    </row>
    <row r="11" spans="2:98">
      <c r="Q11" s="29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CT11" s="29"/>
    </row>
    <row r="12" spans="2:98">
      <c r="Q12" s="29"/>
      <c r="V12" s="29"/>
      <c r="BS12" s="139"/>
      <c r="CT12" s="29"/>
    </row>
    <row r="13" spans="2:98">
      <c r="Q13" s="29"/>
      <c r="V13" s="29"/>
      <c r="BS13" s="29"/>
      <c r="CT13" s="29"/>
    </row>
    <row r="14" spans="2:98">
      <c r="Q14" s="29"/>
      <c r="V14" s="29"/>
      <c r="AU14" s="3" t="s">
        <v>245</v>
      </c>
      <c r="BS14" s="29"/>
      <c r="BX14" s="3" t="s">
        <v>246</v>
      </c>
      <c r="CT14" s="29"/>
    </row>
    <row r="15" spans="2:98">
      <c r="Q15" s="29"/>
      <c r="V15" s="29"/>
      <c r="AU15" s="3" t="s">
        <v>247</v>
      </c>
      <c r="BS15" s="29"/>
      <c r="BX15" s="3" t="s">
        <v>248</v>
      </c>
      <c r="CT15" s="29"/>
    </row>
    <row r="16" spans="2:98">
      <c r="Q16" s="29"/>
      <c r="V16" s="29"/>
      <c r="AU16" s="3" t="s">
        <v>249</v>
      </c>
      <c r="BS16" s="29"/>
      <c r="BX16" s="3" t="s">
        <v>249</v>
      </c>
      <c r="CT16" s="29"/>
    </row>
    <row r="17" spans="7:98">
      <c r="Q17" s="29"/>
      <c r="V17" s="29"/>
      <c r="AX17" s="138"/>
      <c r="AY17" s="138"/>
      <c r="AZ17" s="138"/>
      <c r="BA17" s="138"/>
      <c r="BB17" s="138"/>
      <c r="BC17" s="138"/>
      <c r="BD17" s="138"/>
      <c r="BS17" s="29"/>
      <c r="CT17" s="29"/>
    </row>
    <row r="18" spans="7:98">
      <c r="Q18" s="29"/>
      <c r="V18" s="29"/>
      <c r="AW18" s="29"/>
      <c r="AY18" t="s">
        <v>250</v>
      </c>
      <c r="BD18" s="139"/>
      <c r="BS18" s="29"/>
      <c r="BX18" s="140"/>
      <c r="BY18" s="141"/>
      <c r="BZ18" s="141"/>
      <c r="CA18" s="141"/>
      <c r="CB18" s="141"/>
      <c r="CC18" s="141"/>
      <c r="CD18" s="139"/>
      <c r="CK18" s="140"/>
      <c r="CL18" s="141" t="s">
        <v>122</v>
      </c>
      <c r="CM18" s="141"/>
      <c r="CN18" s="141"/>
      <c r="CO18" s="141"/>
      <c r="CP18" s="141"/>
      <c r="CQ18" s="139"/>
      <c r="CT18" s="29"/>
    </row>
    <row r="19" spans="7:98">
      <c r="Q19" s="29"/>
      <c r="V19" s="29"/>
      <c r="AT19" s="138"/>
      <c r="AU19" s="138"/>
      <c r="AV19" s="138"/>
      <c r="AW19" s="142"/>
      <c r="AY19" t="s">
        <v>251</v>
      </c>
      <c r="BD19" s="29"/>
      <c r="BS19" s="29"/>
      <c r="BT19" s="143"/>
      <c r="BU19" s="138"/>
      <c r="BV19" s="138"/>
      <c r="BW19" s="138"/>
      <c r="BX19" s="28"/>
      <c r="BY19" t="s">
        <v>122</v>
      </c>
      <c r="CD19" s="29"/>
      <c r="CE19" s="143"/>
      <c r="CF19" s="138"/>
      <c r="CG19" s="138"/>
      <c r="CH19" s="138"/>
      <c r="CI19" s="138"/>
      <c r="CJ19" s="138"/>
      <c r="CK19" s="28"/>
      <c r="CL19" t="s">
        <v>252</v>
      </c>
      <c r="CQ19" s="29"/>
      <c r="CT19" s="29"/>
    </row>
    <row r="20" spans="7:98">
      <c r="Q20" s="144"/>
      <c r="V20" s="29"/>
      <c r="AS20" s="29"/>
      <c r="AW20" s="29"/>
      <c r="AY20" t="s">
        <v>253</v>
      </c>
      <c r="BD20" s="29"/>
      <c r="BS20" s="29"/>
      <c r="BX20" s="28"/>
      <c r="BY20" s="208">
        <v>73337589</v>
      </c>
      <c r="BZ20" s="208"/>
      <c r="CA20" s="208"/>
      <c r="CB20" s="208"/>
      <c r="CC20" s="208"/>
      <c r="CD20" s="29"/>
      <c r="CK20" s="28"/>
      <c r="CL20" t="s">
        <v>254</v>
      </c>
      <c r="CQ20" s="29"/>
      <c r="CT20" s="29"/>
    </row>
    <row r="21" spans="7:98">
      <c r="Q21" s="144"/>
      <c r="V21" s="29"/>
      <c r="Z21" s="138"/>
      <c r="AA21" s="138"/>
      <c r="AB21" s="138"/>
      <c r="AC21" s="138"/>
      <c r="AD21" s="138"/>
      <c r="AE21" s="138"/>
      <c r="AF21" s="138"/>
      <c r="AS21" s="29"/>
      <c r="AW21" s="29"/>
      <c r="AX21" s="143"/>
      <c r="AY21" s="209">
        <v>44553004</v>
      </c>
      <c r="AZ21" s="209"/>
      <c r="BA21" s="209"/>
      <c r="BB21" s="209"/>
      <c r="BC21" s="209"/>
      <c r="BD21" s="142"/>
      <c r="BS21" s="29"/>
      <c r="BX21" s="143"/>
      <c r="BY21" s="138"/>
      <c r="BZ21" s="138"/>
      <c r="CA21" s="138"/>
      <c r="CB21" s="138"/>
      <c r="CC21" s="138"/>
      <c r="CD21" s="142"/>
      <c r="CK21" s="143"/>
      <c r="CL21" s="209">
        <v>65956268</v>
      </c>
      <c r="CM21" s="209"/>
      <c r="CN21" s="209"/>
      <c r="CO21" s="209"/>
      <c r="CP21" s="209"/>
      <c r="CQ21" s="142"/>
      <c r="CT21" s="29"/>
    </row>
    <row r="22" spans="7:98">
      <c r="G22" s="3" t="s">
        <v>255</v>
      </c>
      <c r="Q22" s="144"/>
      <c r="V22" s="29"/>
      <c r="Y22" s="29"/>
      <c r="AA22" t="s">
        <v>256</v>
      </c>
      <c r="AF22" s="139"/>
      <c r="AS22" s="29"/>
      <c r="BS22" s="29"/>
      <c r="CT22" s="29"/>
    </row>
    <row r="23" spans="7:98">
      <c r="G23" s="3" t="s">
        <v>257</v>
      </c>
      <c r="L23" s="138"/>
      <c r="M23" s="138"/>
      <c r="N23" s="138"/>
      <c r="O23" s="138"/>
      <c r="P23" s="138"/>
      <c r="Q23" s="144"/>
      <c r="S23" s="138"/>
      <c r="T23" s="138"/>
      <c r="U23" s="138"/>
      <c r="V23" s="142"/>
      <c r="W23" s="138"/>
      <c r="X23" s="138"/>
      <c r="Y23" s="142"/>
      <c r="AA23" t="s">
        <v>258</v>
      </c>
      <c r="AF23" s="29"/>
      <c r="AG23" s="143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42"/>
      <c r="BS23" s="29"/>
      <c r="CT23" s="29"/>
    </row>
    <row r="24" spans="7:98">
      <c r="G24" s="3" t="s">
        <v>259</v>
      </c>
      <c r="Q24" s="144"/>
      <c r="Y24" s="29"/>
      <c r="AA24" s="208">
        <v>74860172</v>
      </c>
      <c r="AB24" s="208"/>
      <c r="AC24" s="208"/>
      <c r="AD24" s="208"/>
      <c r="AE24" s="208"/>
      <c r="AF24" s="29"/>
      <c r="AS24" s="29"/>
      <c r="AX24" s="138"/>
      <c r="AY24" s="138"/>
      <c r="AZ24" s="138"/>
      <c r="BA24" s="138"/>
      <c r="BB24" s="138"/>
      <c r="BC24" s="138"/>
      <c r="BD24" s="138"/>
      <c r="BS24" s="29"/>
      <c r="CT24" s="29"/>
    </row>
    <row r="25" spans="7:98">
      <c r="Q25" s="144"/>
      <c r="Y25" s="29"/>
      <c r="Z25" s="143"/>
      <c r="AA25" s="138"/>
      <c r="AB25" s="138"/>
      <c r="AC25" s="138"/>
      <c r="AD25" s="138"/>
      <c r="AE25" s="138"/>
      <c r="AF25" s="142"/>
      <c r="AS25" s="29"/>
      <c r="AW25" s="29"/>
      <c r="AY25" t="s">
        <v>260</v>
      </c>
      <c r="BD25" s="139"/>
      <c r="BS25" s="29"/>
      <c r="BX25" s="140"/>
      <c r="BY25" s="141" t="s">
        <v>261</v>
      </c>
      <c r="BZ25" s="141"/>
      <c r="CA25" s="141"/>
      <c r="CB25" s="141"/>
      <c r="CC25" s="141"/>
      <c r="CD25" s="139"/>
      <c r="CT25" s="29"/>
    </row>
    <row r="26" spans="7:98">
      <c r="Q26" s="144"/>
      <c r="R26" s="138"/>
      <c r="S26" s="138"/>
      <c r="T26" s="138"/>
      <c r="U26" s="138"/>
      <c r="V26" s="138"/>
      <c r="AS26" s="29"/>
      <c r="AT26" s="143"/>
      <c r="AU26" s="138"/>
      <c r="AV26" s="138"/>
      <c r="AW26" s="142"/>
      <c r="AY26" t="s">
        <v>262</v>
      </c>
      <c r="BD26" s="29"/>
      <c r="BS26" s="29"/>
      <c r="BT26" s="143"/>
      <c r="BU26" s="138"/>
      <c r="BV26" s="138"/>
      <c r="BW26" s="138"/>
      <c r="BX26" s="28"/>
      <c r="BY26" t="s">
        <v>263</v>
      </c>
      <c r="CD26" s="29"/>
      <c r="CT26" s="29"/>
    </row>
    <row r="27" spans="7:98">
      <c r="Q27" s="145"/>
      <c r="V27" s="29"/>
      <c r="AS27" s="29"/>
      <c r="AW27" s="29"/>
      <c r="AY27" s="208">
        <v>70275191</v>
      </c>
      <c r="AZ27" s="208"/>
      <c r="BA27" s="208"/>
      <c r="BB27" s="208"/>
      <c r="BC27" s="208"/>
      <c r="BD27" s="29"/>
      <c r="BS27" s="29"/>
      <c r="BX27" s="28"/>
      <c r="BY27" s="208">
        <v>1334021</v>
      </c>
      <c r="BZ27" s="208"/>
      <c r="CA27" s="208"/>
      <c r="CB27" s="208"/>
      <c r="CC27" s="208"/>
      <c r="CD27" s="29"/>
      <c r="CJ27" s="138"/>
      <c r="CK27" s="138"/>
      <c r="CL27" s="138"/>
      <c r="CM27" s="138"/>
      <c r="CN27" s="138"/>
      <c r="CO27" s="138"/>
      <c r="CP27" s="138"/>
      <c r="CT27" s="29"/>
    </row>
    <row r="28" spans="7:98">
      <c r="Q28" s="145"/>
      <c r="V28" s="29"/>
      <c r="Z28" s="138"/>
      <c r="AA28" s="138"/>
      <c r="AB28" s="138"/>
      <c r="AC28" s="138"/>
      <c r="AD28" s="138"/>
      <c r="AE28" s="138"/>
      <c r="AF28" s="138"/>
      <c r="AS28" s="29"/>
      <c r="AW28" s="29"/>
      <c r="AX28" s="143"/>
      <c r="AY28" s="138"/>
      <c r="AZ28" s="138"/>
      <c r="BA28" s="138"/>
      <c r="BB28" s="138"/>
      <c r="BC28" s="138"/>
      <c r="BD28" s="142"/>
      <c r="BS28" s="29"/>
      <c r="BX28" s="143"/>
      <c r="BY28" s="138"/>
      <c r="BZ28" s="138"/>
      <c r="CA28" s="138"/>
      <c r="CB28" s="138"/>
      <c r="CC28" s="138"/>
      <c r="CD28" s="142"/>
      <c r="CI28" s="29"/>
      <c r="CK28" t="s">
        <v>264</v>
      </c>
      <c r="CP28" s="29"/>
      <c r="CT28" s="29"/>
    </row>
    <row r="29" spans="7:98">
      <c r="M29" s="3" t="s">
        <v>265</v>
      </c>
      <c r="Q29" s="145"/>
      <c r="V29" s="29"/>
      <c r="Y29" s="29"/>
      <c r="AA29" t="s">
        <v>266</v>
      </c>
      <c r="AF29" s="139"/>
      <c r="AS29" s="29"/>
      <c r="BS29" s="29"/>
      <c r="CI29" s="29"/>
      <c r="CK29" t="s">
        <v>267</v>
      </c>
      <c r="CP29" s="29"/>
      <c r="CQ29" s="138"/>
      <c r="CR29" s="138"/>
      <c r="CS29" s="138"/>
      <c r="CT29" s="142"/>
    </row>
    <row r="30" spans="7:98">
      <c r="M30" s="3" t="s">
        <v>268</v>
      </c>
      <c r="Q30" s="145"/>
      <c r="S30" s="138"/>
      <c r="T30" s="138"/>
      <c r="U30" s="138"/>
      <c r="V30" s="142"/>
      <c r="W30" s="138"/>
      <c r="X30" s="138"/>
      <c r="Y30" s="142"/>
      <c r="AA30" t="s">
        <v>258</v>
      </c>
      <c r="AF30" s="29"/>
      <c r="AG30" s="143"/>
      <c r="AH30" s="138"/>
      <c r="AI30" s="138"/>
      <c r="AJ30" s="138"/>
      <c r="AK30" s="138"/>
      <c r="AL30" s="138"/>
      <c r="AS30" s="29"/>
      <c r="BS30" s="29"/>
      <c r="CI30" s="29"/>
      <c r="CK30" s="208">
        <v>67327447</v>
      </c>
      <c r="CL30" s="208"/>
      <c r="CM30" s="208"/>
      <c r="CN30" s="208"/>
      <c r="CO30" s="208"/>
      <c r="CP30" s="29"/>
    </row>
    <row r="31" spans="7:98">
      <c r="M31" s="3" t="s">
        <v>259</v>
      </c>
      <c r="Y31" s="29"/>
      <c r="AA31" s="208">
        <v>74860173</v>
      </c>
      <c r="AB31" s="208"/>
      <c r="AC31" s="208"/>
      <c r="AD31" s="208"/>
      <c r="AE31" s="208"/>
      <c r="AF31" s="29"/>
      <c r="AL31" s="139"/>
      <c r="AS31" s="29"/>
      <c r="BS31" s="29"/>
      <c r="BX31" s="138"/>
      <c r="BY31" s="138"/>
      <c r="BZ31" s="138"/>
      <c r="CA31" s="138"/>
      <c r="CB31" s="138"/>
      <c r="CC31" s="138"/>
      <c r="CD31" s="138"/>
      <c r="CI31" s="29"/>
      <c r="CJ31" s="143"/>
      <c r="CK31" s="138"/>
      <c r="CL31" s="138"/>
      <c r="CM31" s="138"/>
      <c r="CN31" s="138"/>
      <c r="CO31" s="138"/>
      <c r="CP31" s="142"/>
    </row>
    <row r="32" spans="7:98">
      <c r="Y32" s="29"/>
      <c r="Z32" s="143"/>
      <c r="AA32" s="138"/>
      <c r="AB32" s="138"/>
      <c r="AC32" s="138"/>
      <c r="AD32" s="138"/>
      <c r="AE32" s="138"/>
      <c r="AF32" s="142"/>
      <c r="AL32" s="29"/>
      <c r="AS32" s="29"/>
      <c r="AX32" s="138"/>
      <c r="AY32" s="138"/>
      <c r="AZ32" s="138"/>
      <c r="BA32" s="138"/>
      <c r="BB32" s="138"/>
      <c r="BC32" s="138"/>
      <c r="BD32" s="138"/>
      <c r="BS32" s="29"/>
      <c r="BW32" s="29"/>
      <c r="BY32" t="s">
        <v>264</v>
      </c>
      <c r="CD32" s="139"/>
    </row>
    <row r="33" spans="4:82">
      <c r="AL33" s="29"/>
      <c r="AS33" s="29"/>
      <c r="AW33" s="29"/>
      <c r="AY33" t="s">
        <v>269</v>
      </c>
      <c r="BD33" s="139"/>
      <c r="BT33" s="143"/>
      <c r="BU33" s="138"/>
      <c r="BV33" s="138"/>
      <c r="BW33" s="142"/>
      <c r="BY33" t="s">
        <v>126</v>
      </c>
      <c r="CD33" s="29"/>
    </row>
    <row r="34" spans="4:82">
      <c r="AL34" s="29"/>
      <c r="AS34" s="29"/>
      <c r="AT34" s="143"/>
      <c r="AU34" s="138"/>
      <c r="AV34" s="138"/>
      <c r="AW34" s="142"/>
      <c r="AY34" t="s">
        <v>270</v>
      </c>
      <c r="BD34" s="29"/>
      <c r="BW34" s="139"/>
      <c r="BY34" s="208">
        <v>63265094</v>
      </c>
      <c r="BZ34" s="208"/>
      <c r="CA34" s="208"/>
      <c r="CB34" s="208"/>
      <c r="CC34" s="208"/>
      <c r="CD34" s="29"/>
    </row>
    <row r="35" spans="4:82">
      <c r="AL35" s="29"/>
      <c r="AS35" s="29"/>
      <c r="AW35" s="29"/>
      <c r="AY35" s="208">
        <v>2130521</v>
      </c>
      <c r="AZ35" s="208"/>
      <c r="BA35" s="208"/>
      <c r="BB35" s="208"/>
      <c r="BC35" s="208"/>
      <c r="BD35" s="29"/>
      <c r="BW35" s="29"/>
      <c r="BX35" s="143"/>
      <c r="BY35" s="138"/>
      <c r="BZ35" s="138"/>
      <c r="CA35" s="138"/>
      <c r="CB35" s="138"/>
      <c r="CC35" s="138"/>
      <c r="CD35" s="142"/>
    </row>
    <row r="36" spans="4:82">
      <c r="D36" s="210"/>
      <c r="E36" s="210"/>
      <c r="AJ36" t="s">
        <v>271</v>
      </c>
      <c r="AS36" s="29"/>
      <c r="AW36" s="29"/>
      <c r="AX36" s="143"/>
      <c r="AY36" s="138"/>
      <c r="AZ36" s="138"/>
      <c r="BA36" s="138"/>
      <c r="BB36" s="138"/>
      <c r="BC36" s="138"/>
      <c r="BD36" s="142"/>
    </row>
    <row r="37" spans="4:82">
      <c r="D37" s="105"/>
      <c r="E37" s="105"/>
      <c r="AJ37" t="s">
        <v>272</v>
      </c>
      <c r="AS37" s="29"/>
    </row>
    <row r="38" spans="4:82">
      <c r="D38" s="146"/>
      <c r="E38" s="146"/>
      <c r="AS38" s="29"/>
    </row>
    <row r="39" spans="4:82">
      <c r="AS39" s="29"/>
      <c r="AX39" s="138"/>
      <c r="AY39" s="138"/>
      <c r="AZ39" s="138"/>
      <c r="BA39" s="138"/>
      <c r="BB39" s="138"/>
      <c r="BC39" s="138"/>
      <c r="BD39" s="138"/>
      <c r="BK39" s="138"/>
      <c r="BL39" s="138"/>
      <c r="BM39" s="138"/>
      <c r="BN39" s="138"/>
      <c r="BO39" s="138"/>
      <c r="BP39" s="138"/>
    </row>
    <row r="40" spans="4:82">
      <c r="AS40" s="29"/>
      <c r="AW40" s="29"/>
      <c r="AY40" t="s">
        <v>273</v>
      </c>
      <c r="BD40" s="139"/>
      <c r="BJ40" s="29"/>
      <c r="BL40" t="s">
        <v>274</v>
      </c>
      <c r="BP40" s="139"/>
    </row>
    <row r="41" spans="4:82">
      <c r="Z41" s="140"/>
      <c r="AA41" s="141" t="s">
        <v>109</v>
      </c>
      <c r="AB41" s="141"/>
      <c r="AC41" s="141"/>
      <c r="AD41" s="141"/>
      <c r="AE41" s="141"/>
      <c r="AF41" s="139"/>
      <c r="AS41" s="29"/>
      <c r="AT41" s="143"/>
      <c r="AU41" s="138"/>
      <c r="AV41" s="138"/>
      <c r="AW41" s="142"/>
      <c r="AY41" t="s">
        <v>206</v>
      </c>
      <c r="BD41" s="29"/>
      <c r="BE41" s="143"/>
      <c r="BF41" s="138"/>
      <c r="BG41" s="138"/>
      <c r="BH41" s="138"/>
      <c r="BI41" s="138"/>
      <c r="BJ41" s="142"/>
      <c r="BL41" t="s">
        <v>275</v>
      </c>
      <c r="BP41" s="29"/>
    </row>
    <row r="42" spans="4:82">
      <c r="W42" s="138"/>
      <c r="X42" s="138"/>
      <c r="Y42" s="142"/>
      <c r="Z42" s="28"/>
      <c r="AA42" t="s">
        <v>276</v>
      </c>
      <c r="AF42" s="29"/>
      <c r="AS42" s="29"/>
      <c r="AW42" s="29"/>
      <c r="AY42" s="208">
        <v>79177804</v>
      </c>
      <c r="AZ42" s="208"/>
      <c r="BA42" s="208"/>
      <c r="BB42" s="208"/>
      <c r="BC42" s="208"/>
      <c r="BD42" s="29"/>
      <c r="BJ42" s="29"/>
      <c r="BL42" t="s">
        <v>277</v>
      </c>
      <c r="BP42" s="29"/>
    </row>
    <row r="43" spans="4:82">
      <c r="V43" s="29"/>
      <c r="Z43" s="28"/>
      <c r="AA43" s="206">
        <v>93477704</v>
      </c>
      <c r="AB43" s="212"/>
      <c r="AC43" s="212"/>
      <c r="AD43" s="212"/>
      <c r="AE43" s="212"/>
      <c r="AF43" s="29"/>
      <c r="AS43" s="29"/>
      <c r="AW43" s="29"/>
      <c r="AX43" s="143"/>
      <c r="AY43" s="138"/>
      <c r="AZ43" s="138"/>
      <c r="BA43" s="138"/>
      <c r="BB43" s="138"/>
      <c r="BC43" s="138"/>
      <c r="BD43" s="142"/>
      <c r="BJ43" s="29"/>
      <c r="BK43" s="143"/>
      <c r="BL43" s="209">
        <v>79305675</v>
      </c>
      <c r="BM43" s="209"/>
      <c r="BN43" s="209"/>
      <c r="BO43" s="209"/>
      <c r="BP43" s="142"/>
    </row>
    <row r="44" spans="4:82">
      <c r="V44" s="29"/>
      <c r="Z44" s="143"/>
      <c r="AA44" s="138"/>
      <c r="AB44" s="138"/>
      <c r="AC44" s="138"/>
      <c r="AD44" s="138"/>
      <c r="AE44" s="138"/>
      <c r="AF44" s="142"/>
      <c r="AS44" s="29"/>
    </row>
    <row r="45" spans="4:82">
      <c r="M45" s="3" t="s">
        <v>278</v>
      </c>
      <c r="V45" s="29"/>
      <c r="AS45" s="29"/>
    </row>
    <row r="46" spans="4:82">
      <c r="M46" s="3" t="s">
        <v>279</v>
      </c>
      <c r="V46" s="29"/>
      <c r="AS46" s="29"/>
    </row>
    <row r="47" spans="4:82">
      <c r="M47" s="3" t="s">
        <v>280</v>
      </c>
      <c r="S47" s="138"/>
      <c r="T47" s="138"/>
      <c r="U47" s="138"/>
      <c r="V47" s="142"/>
      <c r="AS47" s="29"/>
      <c r="AX47" s="140"/>
      <c r="AY47" s="141" t="s">
        <v>281</v>
      </c>
      <c r="AZ47" s="141"/>
      <c r="BA47" s="141"/>
      <c r="BB47" s="141"/>
      <c r="BC47" s="141"/>
      <c r="BD47" s="139"/>
    </row>
    <row r="48" spans="4:82">
      <c r="M48" s="3" t="s">
        <v>282</v>
      </c>
      <c r="V48" s="139"/>
      <c r="Z48" s="140"/>
      <c r="AA48" s="141" t="s">
        <v>283</v>
      </c>
      <c r="AB48" s="141"/>
      <c r="AC48" s="141"/>
      <c r="AD48" s="141"/>
      <c r="AE48" s="141"/>
      <c r="AF48" s="139"/>
      <c r="AS48" s="29"/>
      <c r="AT48" s="143"/>
      <c r="AU48" s="138"/>
      <c r="AV48" s="138"/>
      <c r="AW48" s="138"/>
      <c r="AX48" s="28"/>
      <c r="AY48" t="s">
        <v>284</v>
      </c>
      <c r="BD48" s="29"/>
    </row>
    <row r="49" spans="2:56">
      <c r="M49" s="3" t="s">
        <v>248</v>
      </c>
      <c r="V49" s="29"/>
      <c r="W49" s="143"/>
      <c r="X49" s="138"/>
      <c r="Y49" s="138"/>
      <c r="Z49" s="28"/>
      <c r="AA49" t="s">
        <v>285</v>
      </c>
      <c r="AF49" s="29"/>
      <c r="AS49" s="29"/>
      <c r="AX49" s="28"/>
      <c r="AY49" s="208">
        <v>79190041</v>
      </c>
      <c r="AZ49" s="208"/>
      <c r="BA49" s="208"/>
      <c r="BB49" s="208"/>
      <c r="BC49" s="208"/>
      <c r="BD49" s="29"/>
    </row>
    <row r="50" spans="2:56" ht="15.75">
      <c r="V50" s="29"/>
      <c r="Z50" s="28"/>
      <c r="AA50" s="147" t="s">
        <v>166</v>
      </c>
      <c r="AB50" s="147"/>
      <c r="AC50" s="148"/>
      <c r="AF50" s="29"/>
      <c r="AS50" s="29"/>
      <c r="AX50" s="143"/>
      <c r="AY50" s="138"/>
      <c r="AZ50" s="138"/>
      <c r="BA50" s="138"/>
      <c r="BB50" s="138"/>
      <c r="BC50" s="138"/>
      <c r="BD50" s="142"/>
    </row>
    <row r="51" spans="2:56">
      <c r="V51" s="29"/>
      <c r="Z51" s="143"/>
      <c r="AA51" s="138"/>
      <c r="AB51" s="138"/>
      <c r="AC51" s="138"/>
      <c r="AD51" s="138"/>
      <c r="AE51" s="138"/>
      <c r="AF51" s="142"/>
      <c r="AS51" s="29"/>
    </row>
    <row r="52" spans="2:56">
      <c r="V52" s="29"/>
      <c r="AS52" s="29"/>
    </row>
    <row r="53" spans="2:56">
      <c r="V53" s="29"/>
      <c r="AS53" s="29"/>
      <c r="AX53" s="138"/>
      <c r="AY53" s="138"/>
      <c r="AZ53" s="138"/>
      <c r="BA53" s="138"/>
      <c r="BB53" s="138"/>
      <c r="BC53" s="138"/>
      <c r="BD53" s="138"/>
    </row>
    <row r="54" spans="2:56">
      <c r="V54" s="29"/>
      <c r="AS54" s="29"/>
      <c r="AW54" s="29"/>
      <c r="AY54" t="s">
        <v>286</v>
      </c>
      <c r="BD54" s="139"/>
    </row>
    <row r="55" spans="2:56">
      <c r="V55" s="29"/>
      <c r="AS55" s="29"/>
      <c r="AT55" s="143"/>
      <c r="AU55" s="138"/>
      <c r="AV55" s="138"/>
      <c r="AW55" s="142"/>
      <c r="AY55" t="s">
        <v>284</v>
      </c>
      <c r="BD55" s="29"/>
    </row>
    <row r="56" spans="2:56">
      <c r="V56" s="29"/>
      <c r="Z56" s="140"/>
      <c r="AA56" s="141" t="s">
        <v>122</v>
      </c>
      <c r="AB56" s="141"/>
      <c r="AC56" s="141"/>
      <c r="AD56" s="141"/>
      <c r="AE56" s="141"/>
      <c r="AF56" s="139"/>
      <c r="AS56" s="29"/>
      <c r="AW56" s="29"/>
      <c r="AY56" s="208">
        <v>79190039</v>
      </c>
      <c r="AZ56" s="208"/>
      <c r="BA56" s="208"/>
      <c r="BB56" s="208"/>
      <c r="BC56" s="208"/>
      <c r="BD56" s="29"/>
    </row>
    <row r="57" spans="2:56">
      <c r="V57" s="29"/>
      <c r="W57" s="143"/>
      <c r="X57" s="138"/>
      <c r="Y57" s="138"/>
      <c r="Z57" s="28"/>
      <c r="AA57" t="s">
        <v>278</v>
      </c>
      <c r="AF57" s="29"/>
      <c r="AS57" s="29"/>
      <c r="AW57" s="29"/>
      <c r="AX57" s="143"/>
      <c r="AY57" s="138"/>
      <c r="AZ57" s="138"/>
      <c r="BA57" s="138"/>
      <c r="BB57" s="138"/>
      <c r="BC57" s="138"/>
      <c r="BD57" s="142"/>
    </row>
    <row r="58" spans="2:56">
      <c r="Z58" s="28"/>
      <c r="AA58" t="s">
        <v>287</v>
      </c>
      <c r="AF58" s="29"/>
      <c r="AS58" s="29"/>
    </row>
    <row r="59" spans="2:56">
      <c r="Z59" s="143"/>
      <c r="AA59" s="138" t="s">
        <v>218</v>
      </c>
      <c r="AB59" s="142"/>
      <c r="AC59" s="138"/>
      <c r="AD59" s="138"/>
      <c r="AE59" s="138"/>
      <c r="AF59" s="142"/>
      <c r="AS59" s="29"/>
    </row>
    <row r="60" spans="2:56">
      <c r="AS60" s="29"/>
    </row>
    <row r="61" spans="2:56">
      <c r="C61" s="138"/>
      <c r="D61" s="138"/>
      <c r="E61" s="3" t="s">
        <v>288</v>
      </c>
      <c r="AS61" s="29"/>
      <c r="AX61" s="140"/>
      <c r="AY61" s="141" t="s">
        <v>155</v>
      </c>
      <c r="AZ61" s="141"/>
      <c r="BA61" s="141"/>
      <c r="BB61" s="141"/>
      <c r="BC61" s="141"/>
      <c r="BD61" s="139"/>
    </row>
    <row r="62" spans="2:56">
      <c r="B62" s="29"/>
      <c r="E62" s="3" t="s">
        <v>289</v>
      </c>
      <c r="AS62" s="29"/>
      <c r="AT62" s="143"/>
      <c r="AU62" s="138"/>
      <c r="AV62" s="138"/>
      <c r="AW62" s="138"/>
      <c r="AX62" s="28"/>
      <c r="AY62" t="s">
        <v>290</v>
      </c>
      <c r="BD62" s="29"/>
    </row>
    <row r="63" spans="2:56">
      <c r="B63" s="29"/>
      <c r="AS63" s="29"/>
      <c r="AX63" s="28"/>
      <c r="AY63" s="208">
        <v>79324776</v>
      </c>
      <c r="AZ63" s="208"/>
      <c r="BA63" s="208"/>
      <c r="BB63" s="208"/>
      <c r="BC63" s="208"/>
      <c r="BD63" s="29"/>
    </row>
    <row r="64" spans="2:56">
      <c r="B64" s="29"/>
      <c r="AS64" s="29"/>
      <c r="AX64" s="143"/>
      <c r="AY64" s="138"/>
      <c r="AZ64" s="138"/>
      <c r="BA64" s="138"/>
      <c r="BB64" s="138"/>
      <c r="BC64" s="138"/>
      <c r="BD64" s="142"/>
    </row>
    <row r="65" spans="2:56">
      <c r="B65" s="29"/>
      <c r="AS65" s="29"/>
    </row>
    <row r="66" spans="2:56">
      <c r="B66" s="29"/>
      <c r="F66" t="s">
        <v>291</v>
      </c>
      <c r="O66" s="140"/>
      <c r="P66" s="141"/>
      <c r="Q66" s="141"/>
      <c r="R66" s="141"/>
      <c r="S66" s="139"/>
      <c r="V66" s="140"/>
      <c r="W66" s="141"/>
      <c r="X66" s="141"/>
      <c r="Y66" s="141"/>
      <c r="Z66" s="139"/>
      <c r="AC66" s="140"/>
      <c r="AD66" s="141"/>
      <c r="AE66" s="141"/>
      <c r="AF66" s="141"/>
      <c r="AG66" s="139"/>
      <c r="AJ66" s="140"/>
      <c r="AK66" s="141"/>
      <c r="AL66" s="141"/>
      <c r="AM66" s="141"/>
      <c r="AN66" s="139"/>
      <c r="AS66" s="29"/>
    </row>
    <row r="67" spans="2:56">
      <c r="B67" s="29"/>
      <c r="C67" s="143"/>
      <c r="D67" s="138"/>
      <c r="E67" s="138"/>
      <c r="F67" s="138" t="s">
        <v>292</v>
      </c>
      <c r="G67" s="138"/>
      <c r="H67" s="138"/>
      <c r="I67" s="138"/>
      <c r="J67" s="138"/>
      <c r="K67" s="138"/>
      <c r="L67" s="138"/>
      <c r="M67" s="138"/>
      <c r="N67" s="142"/>
      <c r="O67" s="28"/>
      <c r="P67" t="s">
        <v>91</v>
      </c>
      <c r="S67" s="29"/>
      <c r="V67" s="28"/>
      <c r="W67" t="s">
        <v>95</v>
      </c>
      <c r="Z67" s="29"/>
      <c r="AA67" s="143"/>
      <c r="AB67" s="142"/>
      <c r="AC67" s="28"/>
      <c r="AD67" t="s">
        <v>98</v>
      </c>
      <c r="AG67" s="29"/>
      <c r="AH67" s="143"/>
      <c r="AI67" s="142"/>
      <c r="AJ67" s="28"/>
      <c r="AK67" t="s">
        <v>102</v>
      </c>
      <c r="AN67" s="29"/>
      <c r="AS67" s="29"/>
    </row>
    <row r="68" spans="2:56">
      <c r="B68" s="29"/>
      <c r="F68" t="s">
        <v>293</v>
      </c>
      <c r="O68" s="28"/>
      <c r="P68" t="s">
        <v>92</v>
      </c>
      <c r="S68" s="29"/>
      <c r="T68" s="140"/>
      <c r="U68" s="139"/>
      <c r="V68" s="28"/>
      <c r="W68" t="s">
        <v>96</v>
      </c>
      <c r="Z68" s="29"/>
      <c r="AC68" s="28"/>
      <c r="AD68" t="s">
        <v>99</v>
      </c>
      <c r="AG68" s="29"/>
      <c r="AJ68" s="28"/>
      <c r="AK68" t="s">
        <v>103</v>
      </c>
      <c r="AN68" s="29"/>
      <c r="AS68" s="29"/>
      <c r="AX68" s="140"/>
      <c r="AY68" s="141" t="s">
        <v>294</v>
      </c>
      <c r="AZ68" s="141"/>
      <c r="BA68" s="141"/>
      <c r="BB68" s="141"/>
      <c r="BC68" s="141"/>
      <c r="BD68" s="139"/>
    </row>
    <row r="69" spans="2:56">
      <c r="B69" s="29"/>
      <c r="O69" s="143"/>
      <c r="P69" s="138"/>
      <c r="Q69" s="138"/>
      <c r="R69" s="138"/>
      <c r="S69" s="142"/>
      <c r="V69" s="143"/>
      <c r="W69" s="138"/>
      <c r="X69" s="138"/>
      <c r="Y69" s="138"/>
      <c r="Z69" s="142"/>
      <c r="AC69" s="143"/>
      <c r="AD69" s="138"/>
      <c r="AE69" s="138"/>
      <c r="AF69" s="138"/>
      <c r="AG69" s="142"/>
      <c r="AJ69" s="143"/>
      <c r="AK69" s="138"/>
      <c r="AL69" s="138"/>
      <c r="AM69" s="138"/>
      <c r="AN69" s="142"/>
      <c r="AS69" s="29"/>
      <c r="AT69" s="143"/>
      <c r="AU69" s="138"/>
      <c r="AV69" s="138"/>
      <c r="AW69" s="138"/>
      <c r="AX69" s="28"/>
      <c r="AY69" t="s">
        <v>295</v>
      </c>
      <c r="BD69" s="29"/>
    </row>
    <row r="70" spans="2:56">
      <c r="B70" s="29"/>
      <c r="AS70" s="29"/>
      <c r="AX70" s="28"/>
      <c r="AY70" t="s">
        <v>296</v>
      </c>
      <c r="BD70" s="29"/>
    </row>
    <row r="71" spans="2:56">
      <c r="B71" s="29"/>
      <c r="AS71" s="29"/>
      <c r="AX71" s="143"/>
      <c r="AY71" s="211" t="s">
        <v>160</v>
      </c>
      <c r="AZ71" s="211"/>
      <c r="BA71" s="211"/>
      <c r="BB71" s="211"/>
      <c r="BC71" s="211"/>
      <c r="BD71" s="142"/>
    </row>
    <row r="72" spans="2:56">
      <c r="B72" s="29"/>
      <c r="AS72" s="29"/>
    </row>
    <row r="73" spans="2:56">
      <c r="B73" s="29"/>
      <c r="AS73" s="29"/>
    </row>
    <row r="74" spans="2:56">
      <c r="B74" s="29"/>
      <c r="AS74" s="29"/>
    </row>
    <row r="75" spans="2:56">
      <c r="B75" s="29"/>
      <c r="D75" t="s">
        <v>291</v>
      </c>
      <c r="I75" s="140"/>
      <c r="J75" s="141"/>
      <c r="K75" s="141"/>
      <c r="L75" s="141"/>
      <c r="M75" s="139"/>
      <c r="P75" s="140"/>
      <c r="Q75" s="141"/>
      <c r="R75" s="141"/>
      <c r="S75" s="141"/>
      <c r="T75" s="139"/>
      <c r="W75" s="140"/>
      <c r="X75" s="141"/>
      <c r="Y75" s="141"/>
      <c r="Z75" s="141"/>
      <c r="AA75" s="139"/>
      <c r="AD75" s="140"/>
      <c r="AE75" s="141"/>
      <c r="AF75" s="141"/>
      <c r="AG75" s="141"/>
      <c r="AH75" s="139"/>
      <c r="AK75" s="140"/>
      <c r="AL75" s="141"/>
      <c r="AM75" s="141"/>
      <c r="AN75" s="141"/>
      <c r="AO75" s="139"/>
      <c r="AS75" s="29"/>
      <c r="AX75" s="140"/>
      <c r="AY75" s="141" t="s">
        <v>297</v>
      </c>
      <c r="AZ75" s="141"/>
      <c r="BA75" s="141"/>
      <c r="BB75" s="141"/>
      <c r="BC75" s="141"/>
      <c r="BD75" s="139"/>
    </row>
    <row r="76" spans="2:56">
      <c r="B76" s="29"/>
      <c r="C76" s="143"/>
      <c r="D76" s="138" t="s">
        <v>298</v>
      </c>
      <c r="E76" s="138"/>
      <c r="F76" s="138"/>
      <c r="G76" s="138"/>
      <c r="H76" s="142"/>
      <c r="I76" s="28"/>
      <c r="J76" t="s">
        <v>70</v>
      </c>
      <c r="M76" s="29"/>
      <c r="P76" s="28"/>
      <c r="Q76" t="s">
        <v>74</v>
      </c>
      <c r="T76" s="29"/>
      <c r="W76" s="28"/>
      <c r="X76" t="s">
        <v>78</v>
      </c>
      <c r="AA76" s="29"/>
      <c r="AD76" s="28"/>
      <c r="AE76" t="s">
        <v>82</v>
      </c>
      <c r="AH76" s="29"/>
      <c r="AK76" s="28"/>
      <c r="AL76" t="s">
        <v>86</v>
      </c>
      <c r="AO76" s="29"/>
      <c r="AS76" s="29"/>
      <c r="AT76" s="138"/>
      <c r="AU76" s="138"/>
      <c r="AV76" s="138"/>
      <c r="AW76" s="138"/>
      <c r="AX76" s="28"/>
      <c r="AY76" t="s">
        <v>299</v>
      </c>
      <c r="BD76" s="29"/>
    </row>
    <row r="77" spans="2:56">
      <c r="B77" s="29"/>
      <c r="D77" t="s">
        <v>300</v>
      </c>
      <c r="I77" s="28"/>
      <c r="J77" t="s">
        <v>71</v>
      </c>
      <c r="M77" s="29"/>
      <c r="N77" s="140"/>
      <c r="O77" s="139"/>
      <c r="P77" s="28"/>
      <c r="Q77" t="s">
        <v>75</v>
      </c>
      <c r="T77" s="29"/>
      <c r="U77" s="140"/>
      <c r="V77" s="139"/>
      <c r="W77" s="28"/>
      <c r="X77" t="s">
        <v>79</v>
      </c>
      <c r="AA77" s="29"/>
      <c r="AB77" s="140"/>
      <c r="AC77" s="139"/>
      <c r="AD77" s="28"/>
      <c r="AE77" t="s">
        <v>83</v>
      </c>
      <c r="AH77" s="29"/>
      <c r="AI77" s="140"/>
      <c r="AJ77" s="139"/>
      <c r="AK77" s="28"/>
      <c r="AL77" t="s">
        <v>87</v>
      </c>
      <c r="AO77" s="29"/>
      <c r="AX77" s="28"/>
      <c r="AY77" t="s">
        <v>296</v>
      </c>
      <c r="BD77" s="29"/>
    </row>
    <row r="78" spans="2:56">
      <c r="B78" s="29"/>
      <c r="I78" s="143"/>
      <c r="J78" s="138"/>
      <c r="K78" s="138"/>
      <c r="L78" s="138"/>
      <c r="M78" s="142"/>
      <c r="P78" s="143"/>
      <c r="Q78" s="138"/>
      <c r="R78" s="138"/>
      <c r="S78" s="138"/>
      <c r="T78" s="142"/>
      <c r="W78" s="143"/>
      <c r="X78" s="138"/>
      <c r="Y78" s="138"/>
      <c r="Z78" s="138"/>
      <c r="AA78" s="142"/>
      <c r="AD78" s="143"/>
      <c r="AE78" s="138"/>
      <c r="AF78" s="138"/>
      <c r="AG78" s="138"/>
      <c r="AH78" s="142"/>
      <c r="AK78" s="143"/>
      <c r="AL78" s="138"/>
      <c r="AM78" s="138"/>
      <c r="AN78" s="138"/>
      <c r="AO78" s="142"/>
      <c r="AX78" s="143"/>
      <c r="AY78" s="211" t="s">
        <v>162</v>
      </c>
      <c r="AZ78" s="211"/>
      <c r="BA78" s="211"/>
      <c r="BB78" s="211"/>
      <c r="BC78" s="211"/>
      <c r="BD78" s="142"/>
    </row>
    <row r="79" spans="2:56">
      <c r="B79" s="29"/>
    </row>
    <row r="80" spans="2:56">
      <c r="B80" s="29"/>
    </row>
    <row r="81" spans="2:39">
      <c r="B81" s="29"/>
    </row>
    <row r="82" spans="2:39">
      <c r="B82" s="29"/>
    </row>
    <row r="83" spans="2:39">
      <c r="B83" s="29"/>
    </row>
    <row r="84" spans="2:39">
      <c r="B84" s="29"/>
      <c r="J84" t="s">
        <v>291</v>
      </c>
      <c r="P84" s="140"/>
      <c r="Q84" s="141"/>
      <c r="R84" s="141"/>
      <c r="S84" s="141"/>
      <c r="T84" s="139"/>
      <c r="W84" s="140"/>
      <c r="X84" s="141"/>
      <c r="Y84" s="141"/>
      <c r="Z84" s="141"/>
      <c r="AA84" s="139"/>
    </row>
    <row r="85" spans="2:39">
      <c r="B85" s="29"/>
      <c r="C85" s="143"/>
      <c r="D85" s="138"/>
      <c r="E85" s="138"/>
      <c r="F85" s="138"/>
      <c r="G85" s="138"/>
      <c r="H85" s="138"/>
      <c r="I85" s="138"/>
      <c r="J85" s="138" t="s">
        <v>298</v>
      </c>
      <c r="K85" s="138"/>
      <c r="L85" s="138"/>
      <c r="M85" s="138"/>
      <c r="N85" s="138"/>
      <c r="O85" s="142"/>
      <c r="P85" s="28"/>
      <c r="Q85" t="s">
        <v>106</v>
      </c>
      <c r="T85" s="29"/>
      <c r="V85" s="142"/>
      <c r="W85" s="28"/>
      <c r="X85" t="s">
        <v>110</v>
      </c>
      <c r="AA85" s="29"/>
    </row>
    <row r="86" spans="2:39">
      <c r="B86" s="29"/>
      <c r="J86" t="s">
        <v>301</v>
      </c>
      <c r="P86" s="28"/>
      <c r="Q86" t="s">
        <v>107</v>
      </c>
      <c r="T86" s="29"/>
      <c r="U86" s="140"/>
      <c r="W86" s="28"/>
      <c r="X86" t="s">
        <v>111</v>
      </c>
      <c r="AA86" s="29"/>
    </row>
    <row r="87" spans="2:39">
      <c r="B87" s="29"/>
      <c r="P87" s="143"/>
      <c r="Q87" s="138"/>
      <c r="R87" s="138"/>
      <c r="S87" s="138"/>
      <c r="T87" s="142"/>
      <c r="W87" s="143"/>
      <c r="X87" s="138"/>
      <c r="Y87" s="138"/>
      <c r="Z87" s="138"/>
      <c r="AA87" s="142"/>
    </row>
    <row r="88" spans="2:39">
      <c r="B88" s="29"/>
    </row>
    <row r="89" spans="2:39">
      <c r="B89" s="29"/>
    </row>
    <row r="90" spans="2:39">
      <c r="B90" s="29"/>
    </row>
    <row r="91" spans="2:39">
      <c r="B91" s="29"/>
    </row>
    <row r="92" spans="2:39">
      <c r="B92" s="29"/>
    </row>
    <row r="93" spans="2:39">
      <c r="B93" s="29"/>
      <c r="G93" t="s">
        <v>302</v>
      </c>
      <c r="N93" s="140"/>
      <c r="O93" s="141"/>
      <c r="P93" s="141"/>
      <c r="Q93" s="141"/>
      <c r="R93" s="139"/>
      <c r="U93" s="140"/>
      <c r="V93" s="141"/>
      <c r="W93" s="141"/>
      <c r="X93" s="141"/>
      <c r="Y93" s="139"/>
      <c r="AB93" s="140"/>
      <c r="AC93" s="141"/>
      <c r="AD93" s="141"/>
      <c r="AE93" s="141"/>
      <c r="AF93" s="139"/>
      <c r="AI93" s="140"/>
      <c r="AJ93" s="141"/>
      <c r="AK93" s="141"/>
      <c r="AL93" s="141"/>
      <c r="AM93" s="139"/>
    </row>
    <row r="94" spans="2:39">
      <c r="B94" s="29"/>
      <c r="C94" s="143"/>
      <c r="D94" s="138"/>
      <c r="E94" s="138"/>
      <c r="F94" s="138"/>
      <c r="G94" s="138" t="s">
        <v>303</v>
      </c>
      <c r="H94" s="138"/>
      <c r="I94" s="138"/>
      <c r="J94" s="138"/>
      <c r="K94" s="138"/>
      <c r="L94" s="138"/>
      <c r="M94" s="142"/>
      <c r="N94" s="28"/>
      <c r="O94" t="s">
        <v>208</v>
      </c>
      <c r="P94" s="29"/>
      <c r="R94" s="29"/>
      <c r="U94" s="28"/>
      <c r="V94" t="s">
        <v>304</v>
      </c>
      <c r="W94" s="29"/>
      <c r="Y94" s="29"/>
      <c r="AB94" s="28" t="s">
        <v>305</v>
      </c>
      <c r="AD94" s="29"/>
      <c r="AF94" s="29"/>
      <c r="AG94" s="143"/>
      <c r="AH94" s="142"/>
      <c r="AI94" s="28"/>
      <c r="AJ94" t="s">
        <v>193</v>
      </c>
      <c r="AK94" s="29"/>
      <c r="AM94" s="29"/>
    </row>
    <row r="95" spans="2:39">
      <c r="G95" t="s">
        <v>57</v>
      </c>
      <c r="N95" s="28"/>
      <c r="O95" t="s">
        <v>213</v>
      </c>
      <c r="R95" s="29"/>
      <c r="S95" s="140"/>
      <c r="T95" s="139"/>
      <c r="U95" s="28"/>
      <c r="V95" t="s">
        <v>214</v>
      </c>
      <c r="Y95" s="29"/>
      <c r="Z95" s="140"/>
      <c r="AA95" s="139"/>
      <c r="AB95" s="28"/>
      <c r="AC95" t="s">
        <v>215</v>
      </c>
      <c r="AF95" s="29"/>
      <c r="AI95" s="28"/>
      <c r="AJ95" t="s">
        <v>216</v>
      </c>
      <c r="AK95" s="29"/>
      <c r="AM95" s="29"/>
    </row>
    <row r="96" spans="2:39">
      <c r="N96" s="143"/>
      <c r="O96" s="138"/>
      <c r="P96" s="138"/>
      <c r="Q96" s="138"/>
      <c r="R96" s="142"/>
      <c r="U96" s="143"/>
      <c r="V96" s="138"/>
      <c r="W96" s="138"/>
      <c r="X96" s="138"/>
      <c r="Y96" s="142"/>
      <c r="AB96" s="143"/>
      <c r="AC96" s="138"/>
      <c r="AD96" s="138"/>
      <c r="AE96" s="138"/>
      <c r="AF96" s="142"/>
      <c r="AI96" s="143"/>
      <c r="AJ96" s="138"/>
      <c r="AK96" s="138"/>
      <c r="AL96" s="138"/>
      <c r="AM96" s="142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N32"/>
  <sheetViews>
    <sheetView workbookViewId="0">
      <selection activeCell="K8" sqref="K8"/>
    </sheetView>
  </sheetViews>
  <sheetFormatPr defaultRowHeight="1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>
      <c r="B3" s="3" t="s">
        <v>306</v>
      </c>
      <c r="C3" s="3" t="s">
        <v>307</v>
      </c>
      <c r="E3" s="149" t="s">
        <v>308</v>
      </c>
      <c r="F3" s="3">
        <v>2019</v>
      </c>
      <c r="G3" s="3"/>
      <c r="H3" s="3"/>
      <c r="I3" s="3" t="s">
        <v>306</v>
      </c>
      <c r="J3" s="3" t="s">
        <v>307</v>
      </c>
    </row>
    <row r="4" spans="1:10">
      <c r="A4" t="s">
        <v>226</v>
      </c>
      <c r="B4">
        <v>159</v>
      </c>
      <c r="C4">
        <v>46</v>
      </c>
      <c r="E4" s="149">
        <v>76.7</v>
      </c>
      <c r="F4">
        <v>0.76700000000000002</v>
      </c>
      <c r="G4">
        <v>13764</v>
      </c>
      <c r="H4">
        <f>SUM(F4*G4)</f>
        <v>10556.987999999999</v>
      </c>
      <c r="I4">
        <v>159</v>
      </c>
      <c r="J4">
        <v>46</v>
      </c>
    </row>
    <row r="5" spans="1:10">
      <c r="A5" t="s">
        <v>227</v>
      </c>
      <c r="B5">
        <v>156</v>
      </c>
      <c r="C5">
        <v>76</v>
      </c>
      <c r="E5" s="149">
        <v>79.8</v>
      </c>
      <c r="F5">
        <v>0.79800000000000004</v>
      </c>
      <c r="G5">
        <v>12432</v>
      </c>
      <c r="H5">
        <f t="shared" ref="H5:H15" si="0">SUM(F5*G5)</f>
        <v>9920.7360000000008</v>
      </c>
      <c r="I5">
        <v>156</v>
      </c>
      <c r="J5">
        <v>76</v>
      </c>
    </row>
    <row r="6" spans="1:10">
      <c r="A6" t="s">
        <v>228</v>
      </c>
      <c r="B6">
        <v>264</v>
      </c>
      <c r="C6">
        <v>18</v>
      </c>
      <c r="E6" s="149">
        <v>82.2</v>
      </c>
      <c r="F6">
        <v>0.82199999999999995</v>
      </c>
      <c r="G6">
        <v>13764</v>
      </c>
      <c r="H6">
        <f t="shared" si="0"/>
        <v>11314.008</v>
      </c>
      <c r="I6">
        <v>264</v>
      </c>
      <c r="J6">
        <v>18</v>
      </c>
    </row>
    <row r="7" spans="1:10">
      <c r="A7" t="s">
        <v>229</v>
      </c>
      <c r="B7">
        <v>415</v>
      </c>
      <c r="C7">
        <v>0</v>
      </c>
      <c r="E7" s="149">
        <v>78</v>
      </c>
      <c r="F7">
        <v>0.78</v>
      </c>
      <c r="G7">
        <v>13320</v>
      </c>
      <c r="H7">
        <f t="shared" si="0"/>
        <v>10389.6</v>
      </c>
      <c r="I7">
        <v>415</v>
      </c>
      <c r="J7">
        <v>0</v>
      </c>
    </row>
    <row r="8" spans="1:10">
      <c r="A8" t="s">
        <v>230</v>
      </c>
      <c r="B8">
        <v>487</v>
      </c>
      <c r="C8">
        <v>0</v>
      </c>
      <c r="E8" s="149">
        <v>78.099999999999994</v>
      </c>
      <c r="F8">
        <v>0.78100000000000003</v>
      </c>
      <c r="G8">
        <v>13764</v>
      </c>
      <c r="H8">
        <f t="shared" si="0"/>
        <v>10749.684000000001</v>
      </c>
      <c r="I8">
        <v>487</v>
      </c>
      <c r="J8">
        <v>0</v>
      </c>
    </row>
    <row r="9" spans="1:10">
      <c r="A9" t="s">
        <v>231</v>
      </c>
      <c r="B9">
        <v>502</v>
      </c>
      <c r="C9">
        <v>0</v>
      </c>
      <c r="E9" s="149">
        <v>80.8</v>
      </c>
      <c r="F9">
        <v>0.80800000000000005</v>
      </c>
      <c r="G9">
        <v>13320</v>
      </c>
      <c r="H9">
        <f t="shared" si="0"/>
        <v>10762.560000000001</v>
      </c>
      <c r="I9">
        <v>502</v>
      </c>
      <c r="J9">
        <v>0</v>
      </c>
    </row>
    <row r="10" spans="1:10">
      <c r="A10" t="s">
        <v>232</v>
      </c>
      <c r="B10">
        <v>492</v>
      </c>
      <c r="C10">
        <v>0</v>
      </c>
      <c r="E10" s="149">
        <v>80.8</v>
      </c>
      <c r="F10">
        <v>0.80800000000000005</v>
      </c>
      <c r="G10">
        <v>13764</v>
      </c>
      <c r="H10">
        <f t="shared" si="0"/>
        <v>11121.312</v>
      </c>
      <c r="I10">
        <v>492</v>
      </c>
      <c r="J10">
        <v>0</v>
      </c>
    </row>
    <row r="11" spans="1:10">
      <c r="A11" t="s">
        <v>233</v>
      </c>
      <c r="B11">
        <v>475</v>
      </c>
      <c r="C11">
        <v>0</v>
      </c>
      <c r="E11" s="149">
        <v>67</v>
      </c>
      <c r="F11">
        <v>0.67</v>
      </c>
      <c r="G11">
        <v>13764</v>
      </c>
      <c r="H11">
        <f t="shared" si="0"/>
        <v>9221.880000000001</v>
      </c>
      <c r="I11">
        <v>475</v>
      </c>
      <c r="J11">
        <v>0</v>
      </c>
    </row>
    <row r="12" spans="1:10">
      <c r="A12" t="s">
        <v>234</v>
      </c>
      <c r="B12">
        <v>500</v>
      </c>
      <c r="C12">
        <v>0</v>
      </c>
      <c r="E12" s="149">
        <v>58.8</v>
      </c>
      <c r="F12">
        <v>0.58799999999999997</v>
      </c>
      <c r="G12">
        <v>13320</v>
      </c>
      <c r="H12">
        <f t="shared" si="0"/>
        <v>7832.16</v>
      </c>
      <c r="I12">
        <v>500</v>
      </c>
      <c r="J12">
        <v>0</v>
      </c>
    </row>
    <row r="13" spans="1:10">
      <c r="A13" t="s">
        <v>235</v>
      </c>
      <c r="B13">
        <v>431</v>
      </c>
      <c r="C13">
        <v>66</v>
      </c>
      <c r="E13" s="149">
        <v>73.099999999999994</v>
      </c>
      <c r="F13">
        <v>0.73099999999999998</v>
      </c>
      <c r="G13">
        <v>13764</v>
      </c>
      <c r="H13">
        <f t="shared" si="0"/>
        <v>10061.484</v>
      </c>
      <c r="I13">
        <v>431</v>
      </c>
      <c r="J13">
        <v>66</v>
      </c>
    </row>
    <row r="14" spans="1:10">
      <c r="A14" t="s">
        <v>236</v>
      </c>
      <c r="B14">
        <v>167</v>
      </c>
      <c r="C14">
        <v>80</v>
      </c>
      <c r="E14" s="149">
        <v>73.2</v>
      </c>
      <c r="F14">
        <v>0.73199999999999998</v>
      </c>
      <c r="G14">
        <v>13320</v>
      </c>
      <c r="H14">
        <f t="shared" si="0"/>
        <v>9750.24</v>
      </c>
      <c r="I14">
        <v>167</v>
      </c>
      <c r="J14">
        <v>80</v>
      </c>
    </row>
    <row r="15" spans="1:10">
      <c r="A15" t="s">
        <v>237</v>
      </c>
      <c r="B15">
        <v>140</v>
      </c>
      <c r="C15">
        <v>133</v>
      </c>
      <c r="E15" s="150">
        <v>65.8</v>
      </c>
      <c r="F15">
        <v>0.65800000000000003</v>
      </c>
      <c r="G15">
        <v>13764</v>
      </c>
      <c r="H15">
        <f t="shared" si="0"/>
        <v>9056.7119999999995</v>
      </c>
      <c r="I15">
        <v>140</v>
      </c>
      <c r="J15">
        <v>133</v>
      </c>
    </row>
    <row r="16" spans="1:10">
      <c r="E16" s="149"/>
      <c r="G16">
        <f>SUM(G4:G15)</f>
        <v>162060</v>
      </c>
      <c r="H16">
        <f>SUM(H4:H15)</f>
        <v>120737.36400000002</v>
      </c>
    </row>
    <row r="25" spans="11:14">
      <c r="K25" s="20"/>
      <c r="L25" s="20">
        <v>2017</v>
      </c>
      <c r="M25" s="20">
        <v>2018</v>
      </c>
      <c r="N25" s="20">
        <v>2019</v>
      </c>
    </row>
    <row r="26" spans="11:14">
      <c r="K26" s="20" t="s">
        <v>309</v>
      </c>
      <c r="L26" s="20">
        <v>120328</v>
      </c>
      <c r="M26" s="20">
        <v>119350</v>
      </c>
      <c r="N26" s="20">
        <v>91868</v>
      </c>
    </row>
    <row r="27" spans="11:14">
      <c r="K27" s="20" t="s">
        <v>310</v>
      </c>
      <c r="L27" s="20">
        <v>17910500</v>
      </c>
      <c r="M27" s="20">
        <v>17636409</v>
      </c>
      <c r="N27" s="20">
        <v>13838299</v>
      </c>
    </row>
    <row r="28" spans="11:14">
      <c r="K28" s="20" t="s">
        <v>311</v>
      </c>
      <c r="L28" s="20">
        <f>SUM(L27/L26)</f>
        <v>148.84731733262416</v>
      </c>
      <c r="M28" s="20">
        <f t="shared" ref="M28:N28" si="1">SUM(M27/M26)</f>
        <v>147.77049853372435</v>
      </c>
      <c r="N28" s="20">
        <f t="shared" si="1"/>
        <v>150.63241825227502</v>
      </c>
    </row>
    <row r="29" spans="11:14">
      <c r="K29" s="20" t="s">
        <v>312</v>
      </c>
      <c r="L29" s="20">
        <v>600069</v>
      </c>
      <c r="M29" s="20">
        <v>584640</v>
      </c>
      <c r="N29" s="20">
        <v>432248</v>
      </c>
    </row>
    <row r="30" spans="11:14">
      <c r="K30" s="20" t="s">
        <v>313</v>
      </c>
      <c r="L30" s="20">
        <f>SUM(L29/L26)</f>
        <v>4.9869440196795427</v>
      </c>
      <c r="M30" s="20">
        <f>SUM(M29/M26)</f>
        <v>4.8985337243401759</v>
      </c>
      <c r="N30" s="20">
        <f>SUM(N29/N26)</f>
        <v>4.7050986197587843</v>
      </c>
    </row>
    <row r="32" spans="11:14">
      <c r="K32" s="3" t="s">
        <v>314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X64"/>
  <sheetViews>
    <sheetView topLeftCell="B1" zoomScaleNormal="100" workbookViewId="0">
      <pane xSplit="1" topLeftCell="DD1" activePane="topRight" state="frozen"/>
      <selection pane="topRight" activeCell="DP6" sqref="DP6"/>
      <selection activeCell="B223" sqref="B223"/>
    </sheetView>
  </sheetViews>
  <sheetFormatPr defaultRowHeight="1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0" hidden="1" customWidth="1"/>
    <col min="7" max="7" width="11" customWidth="1"/>
    <col min="8" max="8" width="9.5703125" bestFit="1" customWidth="1"/>
    <col min="9" max="9" width="10.42578125" customWidth="1"/>
    <col min="10" max="10" width="0" hidden="1" customWidth="1"/>
    <col min="11" max="11" width="10.85546875" customWidth="1"/>
    <col min="13" max="13" width="10.28515625" customWidth="1"/>
    <col min="14" max="14" width="0" hidden="1" customWidth="1"/>
    <col min="15" max="15" width="10.28515625" customWidth="1"/>
    <col min="17" max="17" width="10.42578125" customWidth="1"/>
    <col min="18" max="18" width="0" hidden="1" customWidth="1"/>
    <col min="19" max="19" width="10.28515625" customWidth="1"/>
    <col min="21" max="21" width="10.140625" customWidth="1"/>
    <col min="22" max="22" width="0" hidden="1" customWidth="1"/>
    <col min="23" max="23" width="10.140625" customWidth="1"/>
    <col min="25" max="25" width="12" bestFit="1" customWidth="1"/>
    <col min="26" max="26" width="0" hidden="1" customWidth="1"/>
    <col min="27" max="27" width="10.42578125" customWidth="1"/>
    <col min="29" max="29" width="10.140625" bestFit="1" customWidth="1"/>
    <col min="30" max="30" width="0" hidden="1" customWidth="1"/>
    <col min="31" max="31" width="10.85546875" customWidth="1"/>
    <col min="34" max="34" width="0" hidden="1" customWidth="1"/>
    <col min="35" max="35" width="10.140625" customWidth="1"/>
    <col min="37" max="37" width="10.42578125" customWidth="1"/>
    <col min="38" max="38" width="0" hidden="1" customWidth="1"/>
    <col min="39" max="39" width="9.85546875" customWidth="1"/>
    <col min="41" max="41" width="10.7109375" customWidth="1"/>
    <col min="42" max="42" width="0" hidden="1" customWidth="1"/>
    <col min="43" max="43" width="9.85546875" customWidth="1"/>
    <col min="45" max="45" width="10.28515625" customWidth="1"/>
    <col min="46" max="46" width="0" hidden="1" customWidth="1"/>
    <col min="49" max="49" width="10.7109375" customWidth="1"/>
    <col min="50" max="50" width="0" hidden="1" customWidth="1"/>
    <col min="51" max="51" width="1.7109375" customWidth="1"/>
    <col min="52" max="52" width="11.42578125" customWidth="1"/>
    <col min="55" max="55" width="11.7109375" customWidth="1"/>
    <col min="56" max="56" width="1.7109375" customWidth="1"/>
    <col min="57" max="57" width="12.5703125" customWidth="1"/>
    <col min="58" max="58" width="12.7109375" customWidth="1"/>
    <col min="59" max="59" width="10.7109375" customWidth="1"/>
    <col min="60" max="60" width="0" hidden="1" customWidth="1"/>
    <col min="61" max="61" width="12.7109375" customWidth="1"/>
    <col min="62" max="62" width="9.85546875" customWidth="1"/>
    <col min="63" max="63" width="0" hidden="1" customWidth="1"/>
    <col min="64" max="64" width="12.7109375" customWidth="1"/>
    <col min="65" max="65" width="10.28515625" customWidth="1"/>
    <col min="66" max="66" width="0" hidden="1" customWidth="1"/>
    <col min="67" max="67" width="12.7109375" customWidth="1"/>
    <col min="68" max="68" width="10.7109375" customWidth="1"/>
    <col min="69" max="69" width="0" hidden="1" customWidth="1"/>
    <col min="70" max="70" width="1.7109375" customWidth="1"/>
    <col min="71" max="73" width="10.7109375" customWidth="1"/>
    <col min="75" max="75" width="1.7109375" customWidth="1"/>
    <col min="77" max="77" width="11.85546875" customWidth="1"/>
    <col min="78" max="79" width="10.7109375" customWidth="1"/>
    <col min="80" max="80" width="10.7109375" style="47" customWidth="1"/>
    <col min="81" max="83" width="8.7109375" customWidth="1"/>
    <col min="84" max="84" width="10.85546875" customWidth="1"/>
    <col min="85" max="85" width="8.7109375" customWidth="1"/>
    <col min="86" max="86" width="11.85546875" customWidth="1"/>
    <col min="87" max="87" width="12.7109375" customWidth="1"/>
    <col min="88" max="88" width="10.7109375" customWidth="1"/>
    <col min="89" max="89" width="13.28515625" style="47" customWidth="1"/>
    <col min="90" max="94" width="8.7109375" customWidth="1"/>
    <col min="95" max="95" width="10.7109375" customWidth="1"/>
    <col min="96" max="96" width="12.7109375" customWidth="1"/>
    <col min="97" max="97" width="10.7109375" customWidth="1"/>
    <col min="98" max="98" width="12" style="47" customWidth="1"/>
    <col min="99" max="103" width="8.7109375" customWidth="1"/>
    <col min="104" max="104" width="11.7109375" customWidth="1"/>
    <col min="105" max="105" width="12.7109375" customWidth="1"/>
    <col min="106" max="106" width="10.7109375" customWidth="1"/>
    <col min="107" max="107" width="11.7109375" style="47" customWidth="1"/>
    <col min="108" max="112" width="8.7109375" customWidth="1"/>
    <col min="113" max="113" width="10.7109375" customWidth="1"/>
    <col min="114" max="114" width="12.7109375" customWidth="1"/>
    <col min="115" max="115" width="10.7109375" customWidth="1"/>
    <col min="116" max="116" width="10.7109375" style="47" customWidth="1"/>
    <col min="117" max="120" width="8.7109375" customWidth="1"/>
    <col min="121" max="121" width="8.7109375" style="48" customWidth="1"/>
    <col min="122" max="122" width="11.7109375" customWidth="1"/>
    <col min="123" max="123" width="12.7109375" customWidth="1"/>
    <col min="124" max="124" width="10.7109375" customWidth="1"/>
    <col min="125" max="125" width="11.7109375" style="47" customWidth="1"/>
    <col min="126" max="129" width="8.7109375" customWidth="1"/>
    <col min="130" max="130" width="8.7109375" style="48" customWidth="1"/>
    <col min="131" max="131" width="10.7109375" customWidth="1"/>
    <col min="132" max="132" width="12.7109375" customWidth="1"/>
    <col min="133" max="133" width="10.7109375" customWidth="1"/>
    <col min="134" max="134" width="10.7109375" style="47" customWidth="1"/>
    <col min="135" max="139" width="8.7109375" customWidth="1"/>
    <col min="140" max="140" width="10.7109375" customWidth="1"/>
    <col min="141" max="141" width="12.7109375" customWidth="1"/>
    <col min="142" max="142" width="10.7109375" customWidth="1"/>
    <col min="143" max="143" width="10.7109375" style="47" customWidth="1"/>
    <col min="144" max="148" width="8.7109375" customWidth="1"/>
    <col min="149" max="149" width="10.7109375" customWidth="1"/>
    <col min="150" max="150" width="12.7109375" customWidth="1"/>
    <col min="151" max="151" width="10.7109375" customWidth="1"/>
    <col min="152" max="152" width="10.7109375" style="47" customWidth="1"/>
    <col min="153" max="157" width="8.7109375" customWidth="1"/>
    <col min="158" max="158" width="10.7109375" customWidth="1"/>
    <col min="159" max="159" width="12.7109375" customWidth="1"/>
    <col min="160" max="160" width="10.7109375" customWidth="1"/>
    <col min="161" max="161" width="10.7109375" style="47" customWidth="1"/>
    <col min="162" max="166" width="8.7109375" customWidth="1"/>
    <col min="167" max="167" width="10.7109375" customWidth="1"/>
    <col min="168" max="168" width="12.7109375" customWidth="1"/>
    <col min="169" max="169" width="10.7109375" customWidth="1"/>
    <col min="170" max="171" width="10.7109375" style="47" customWidth="1"/>
    <col min="172" max="173" width="10.7109375" customWidth="1"/>
    <col min="174" max="174" width="11.7109375" style="47" customWidth="1"/>
    <col min="175" max="175" width="10.7109375" style="47" customWidth="1"/>
    <col min="176" max="176" width="13.140625" style="47" customWidth="1"/>
    <col min="177" max="177" width="12.7109375" customWidth="1"/>
    <col min="178" max="178" width="10.7109375" style="47" customWidth="1"/>
    <col min="179" max="179" width="12.28515625" style="47" customWidth="1"/>
    <col min="180" max="180" width="2.7109375" style="47" customWidth="1"/>
    <col min="181" max="181" width="12.7109375" style="49" customWidth="1"/>
    <col min="182" max="182" width="12.7109375" customWidth="1"/>
    <col min="183" max="183" width="13.7109375" customWidth="1"/>
    <col min="184" max="184" width="11.140625" bestFit="1" customWidth="1"/>
    <col min="185" max="185" width="1.7109375" customWidth="1"/>
    <col min="186" max="186" width="2.7109375" customWidth="1"/>
    <col min="187" max="191" width="8.7109375" customWidth="1"/>
    <col min="192" max="194" width="10.7109375" customWidth="1"/>
    <col min="195" max="195" width="14.85546875" style="47" customWidth="1"/>
    <col min="196" max="200" width="8.7109375" customWidth="1"/>
    <col min="201" max="203" width="10.7109375" customWidth="1"/>
    <col min="204" max="204" width="10.7109375" style="47" customWidth="1"/>
    <col min="205" max="207" width="8.7109375" customWidth="1"/>
    <col min="208" max="209" width="10.7109375" customWidth="1"/>
    <col min="210" max="210" width="10.7109375" style="47" customWidth="1"/>
    <col min="211" max="215" width="8.7109375" customWidth="1"/>
    <col min="216" max="218" width="10.7109375" customWidth="1"/>
    <col min="219" max="219" width="10.7109375" style="47" customWidth="1"/>
    <col min="221" max="221" width="12" customWidth="1"/>
    <col min="223" max="223" width="12" customWidth="1"/>
    <col min="224" max="224" width="2.7109375" customWidth="1"/>
    <col min="225" max="225" width="15.85546875" customWidth="1"/>
    <col min="226" max="226" width="14.28515625" customWidth="1"/>
    <col min="227" max="227" width="13.140625" customWidth="1"/>
    <col min="228" max="228" width="13" customWidth="1"/>
    <col min="229" max="229" width="3.28515625" customWidth="1"/>
    <col min="231" max="231" width="16.7109375" customWidth="1"/>
  </cols>
  <sheetData>
    <row r="1" spans="2:228" s="65" customFormat="1" ht="26.25">
      <c r="B1" s="66">
        <v>2019</v>
      </c>
      <c r="C1" s="218" t="s">
        <v>72</v>
      </c>
      <c r="D1" s="219"/>
      <c r="E1" s="219"/>
      <c r="F1" s="220"/>
      <c r="G1" s="218" t="s">
        <v>76</v>
      </c>
      <c r="H1" s="219"/>
      <c r="I1" s="219"/>
      <c r="J1" s="220"/>
      <c r="K1" s="218" t="s">
        <v>80</v>
      </c>
      <c r="L1" s="219"/>
      <c r="M1" s="219"/>
      <c r="N1" s="220"/>
      <c r="O1" s="218" t="s">
        <v>84</v>
      </c>
      <c r="P1" s="219"/>
      <c r="Q1" s="219"/>
      <c r="R1" s="220"/>
      <c r="S1" s="218" t="s">
        <v>88</v>
      </c>
      <c r="T1" s="219"/>
      <c r="U1" s="219"/>
      <c r="V1" s="220"/>
      <c r="W1" s="218" t="s">
        <v>93</v>
      </c>
      <c r="X1" s="219"/>
      <c r="Y1" s="219"/>
      <c r="Z1" s="220"/>
      <c r="AA1" s="218" t="s">
        <v>97</v>
      </c>
      <c r="AB1" s="219"/>
      <c r="AC1" s="219"/>
      <c r="AD1" s="220"/>
      <c r="AE1" s="218" t="s">
        <v>100</v>
      </c>
      <c r="AF1" s="219"/>
      <c r="AG1" s="219"/>
      <c r="AH1" s="220"/>
      <c r="AI1" s="218" t="s">
        <v>104</v>
      </c>
      <c r="AJ1" s="219"/>
      <c r="AK1" s="219"/>
      <c r="AL1" s="220"/>
      <c r="AM1" s="218" t="s">
        <v>108</v>
      </c>
      <c r="AN1" s="219"/>
      <c r="AO1" s="219"/>
      <c r="AP1" s="220"/>
      <c r="AQ1" s="218" t="s">
        <v>112</v>
      </c>
      <c r="AR1" s="219"/>
      <c r="AS1" s="219"/>
      <c r="AT1" s="220"/>
      <c r="AU1" s="218" t="s">
        <v>117</v>
      </c>
      <c r="AV1" s="219"/>
      <c r="AW1" s="219"/>
      <c r="AX1" s="220"/>
      <c r="AY1" s="67"/>
      <c r="AZ1" s="67"/>
      <c r="BA1" s="68" t="s">
        <v>315</v>
      </c>
      <c r="BB1" s="68" t="s">
        <v>316</v>
      </c>
      <c r="BC1" s="68"/>
      <c r="BD1" s="67"/>
      <c r="BE1" s="67"/>
      <c r="BF1" s="218" t="s">
        <v>123</v>
      </c>
      <c r="BG1" s="219"/>
      <c r="BH1" s="220"/>
      <c r="BI1" s="218" t="s">
        <v>120</v>
      </c>
      <c r="BJ1" s="219"/>
      <c r="BK1" s="220"/>
      <c r="BL1" s="218" t="s">
        <v>125</v>
      </c>
      <c r="BM1" s="219"/>
      <c r="BN1" s="220"/>
      <c r="BO1" s="218" t="s">
        <v>317</v>
      </c>
      <c r="BP1" s="219"/>
      <c r="BQ1" s="220"/>
      <c r="BR1" s="63"/>
      <c r="BS1" s="63"/>
      <c r="BT1" s="63"/>
      <c r="BU1" s="15" t="s">
        <v>196</v>
      </c>
      <c r="BV1" s="63"/>
      <c r="BY1" s="213" t="s">
        <v>318</v>
      </c>
      <c r="BZ1" s="214"/>
      <c r="CA1" s="214"/>
      <c r="CB1" s="215"/>
      <c r="CC1" s="213" t="s">
        <v>319</v>
      </c>
      <c r="CD1" s="214"/>
      <c r="CE1" s="214"/>
      <c r="CF1" s="214"/>
      <c r="CG1" s="214"/>
      <c r="CH1" s="214"/>
      <c r="CI1" s="214"/>
      <c r="CJ1" s="214"/>
      <c r="CK1" s="215"/>
      <c r="CL1" s="213" t="s">
        <v>320</v>
      </c>
      <c r="CM1" s="214"/>
      <c r="CN1" s="214"/>
      <c r="CO1" s="214"/>
      <c r="CP1" s="214"/>
      <c r="CQ1" s="214"/>
      <c r="CR1" s="214"/>
      <c r="CS1" s="214"/>
      <c r="CT1" s="215"/>
      <c r="CU1" s="213" t="s">
        <v>321</v>
      </c>
      <c r="CV1" s="214"/>
      <c r="CW1" s="214"/>
      <c r="CX1" s="214"/>
      <c r="CY1" s="214"/>
      <c r="CZ1" s="214"/>
      <c r="DA1" s="214"/>
      <c r="DB1" s="214"/>
      <c r="DC1" s="215"/>
      <c r="DD1" s="213" t="s">
        <v>322</v>
      </c>
      <c r="DE1" s="214"/>
      <c r="DF1" s="214"/>
      <c r="DG1" s="214"/>
      <c r="DH1" s="214"/>
      <c r="DI1" s="214"/>
      <c r="DJ1" s="214"/>
      <c r="DK1" s="214"/>
      <c r="DL1" s="215"/>
      <c r="DM1" s="213" t="s">
        <v>323</v>
      </c>
      <c r="DN1" s="214"/>
      <c r="DO1" s="214"/>
      <c r="DP1" s="214"/>
      <c r="DQ1" s="214"/>
      <c r="DR1" s="214"/>
      <c r="DS1" s="214"/>
      <c r="DT1" s="214"/>
      <c r="DU1" s="215"/>
      <c r="DV1" s="213" t="s">
        <v>324</v>
      </c>
      <c r="DW1" s="214"/>
      <c r="DX1" s="214"/>
      <c r="DY1" s="214"/>
      <c r="DZ1" s="214"/>
      <c r="EA1" s="214"/>
      <c r="EB1" s="214"/>
      <c r="EC1" s="214"/>
      <c r="ED1" s="215"/>
      <c r="EE1" s="213" t="s">
        <v>325</v>
      </c>
      <c r="EF1" s="214"/>
      <c r="EG1" s="214"/>
      <c r="EH1" s="214"/>
      <c r="EI1" s="214"/>
      <c r="EJ1" s="214"/>
      <c r="EK1" s="214"/>
      <c r="EL1" s="214"/>
      <c r="EM1" s="215"/>
      <c r="EN1" s="213" t="s">
        <v>326</v>
      </c>
      <c r="EO1" s="214"/>
      <c r="EP1" s="214"/>
      <c r="EQ1" s="214"/>
      <c r="ER1" s="214"/>
      <c r="ES1" s="214"/>
      <c r="ET1" s="214"/>
      <c r="EU1" s="214"/>
      <c r="EV1" s="215"/>
      <c r="EW1" s="213" t="s">
        <v>327</v>
      </c>
      <c r="EX1" s="214"/>
      <c r="EY1" s="214"/>
      <c r="EZ1" s="214"/>
      <c r="FA1" s="214"/>
      <c r="FB1" s="214"/>
      <c r="FC1" s="214"/>
      <c r="FD1" s="214"/>
      <c r="FE1" s="215"/>
      <c r="FF1" s="213" t="s">
        <v>328</v>
      </c>
      <c r="FG1" s="214"/>
      <c r="FH1" s="214"/>
      <c r="FI1" s="214"/>
      <c r="FJ1" s="214"/>
      <c r="FK1" s="214"/>
      <c r="FL1" s="214"/>
      <c r="FM1" s="214"/>
      <c r="FN1" s="215"/>
      <c r="FO1" s="213" t="s">
        <v>329</v>
      </c>
      <c r="FP1" s="214"/>
      <c r="FQ1" s="214"/>
      <c r="FR1" s="214"/>
      <c r="FS1" s="214"/>
      <c r="FT1" s="214"/>
      <c r="FU1" s="214"/>
      <c r="FV1" s="214"/>
      <c r="FW1" s="215"/>
      <c r="FX1" s="50"/>
      <c r="FY1" s="69"/>
      <c r="FZ1" s="70" t="s">
        <v>330</v>
      </c>
      <c r="GA1" s="70" t="s">
        <v>113</v>
      </c>
      <c r="GB1" s="70"/>
      <c r="GC1" s="14"/>
      <c r="GD1" s="70"/>
      <c r="GE1" s="213" t="s">
        <v>331</v>
      </c>
      <c r="GF1" s="214"/>
      <c r="GG1" s="214"/>
      <c r="GH1" s="214"/>
      <c r="GI1" s="214"/>
      <c r="GJ1" s="214"/>
      <c r="GK1" s="214"/>
      <c r="GL1" s="214"/>
      <c r="GM1" s="215"/>
      <c r="GN1" s="213" t="s">
        <v>332</v>
      </c>
      <c r="GO1" s="214"/>
      <c r="GP1" s="214"/>
      <c r="GQ1" s="214"/>
      <c r="GR1" s="214"/>
      <c r="GS1" s="214"/>
      <c r="GT1" s="214"/>
      <c r="GU1" s="214"/>
      <c r="GV1" s="215"/>
      <c r="GW1" s="213" t="s">
        <v>333</v>
      </c>
      <c r="GX1" s="214"/>
      <c r="GY1" s="214"/>
      <c r="GZ1" s="214"/>
      <c r="HA1" s="214"/>
      <c r="HB1" s="215"/>
      <c r="HC1" s="213" t="s">
        <v>334</v>
      </c>
      <c r="HD1" s="214"/>
      <c r="HE1" s="214"/>
      <c r="HF1" s="214"/>
      <c r="HG1" s="214"/>
      <c r="HH1" s="214"/>
      <c r="HI1" s="214"/>
      <c r="HJ1" s="214"/>
      <c r="HK1" s="215"/>
      <c r="HL1" s="71"/>
      <c r="HM1" s="70" t="s">
        <v>113</v>
      </c>
      <c r="HP1"/>
    </row>
    <row r="2" spans="2:228" ht="18.75">
      <c r="B2" s="30" t="s">
        <v>335</v>
      </c>
      <c r="C2" s="22" t="s">
        <v>71</v>
      </c>
      <c r="D2" s="164" t="s">
        <v>70</v>
      </c>
      <c r="E2" s="15" t="s">
        <v>336</v>
      </c>
      <c r="F2" s="15" t="s">
        <v>197</v>
      </c>
      <c r="G2" s="166" t="s">
        <v>75</v>
      </c>
      <c r="H2" s="164" t="s">
        <v>74</v>
      </c>
      <c r="I2" s="15" t="s">
        <v>336</v>
      </c>
      <c r="J2" s="15" t="s">
        <v>197</v>
      </c>
      <c r="K2" s="164" t="s">
        <v>79</v>
      </c>
      <c r="L2" s="164" t="s">
        <v>78</v>
      </c>
      <c r="M2" s="15" t="s">
        <v>336</v>
      </c>
      <c r="N2" s="15" t="s">
        <v>197</v>
      </c>
      <c r="O2" s="164" t="s">
        <v>83</v>
      </c>
      <c r="P2" s="164" t="s">
        <v>82</v>
      </c>
      <c r="Q2" s="15" t="s">
        <v>336</v>
      </c>
      <c r="R2" s="15" t="s">
        <v>197</v>
      </c>
      <c r="S2" s="164" t="s">
        <v>87</v>
      </c>
      <c r="T2" s="164" t="s">
        <v>86</v>
      </c>
      <c r="U2" s="15" t="s">
        <v>336</v>
      </c>
      <c r="V2" s="15" t="s">
        <v>197</v>
      </c>
      <c r="W2" s="164" t="s">
        <v>92</v>
      </c>
      <c r="X2" s="164" t="s">
        <v>91</v>
      </c>
      <c r="Y2" s="15" t="s">
        <v>336</v>
      </c>
      <c r="Z2" s="15" t="s">
        <v>197</v>
      </c>
      <c r="AA2" s="164" t="s">
        <v>96</v>
      </c>
      <c r="AB2" s="164" t="s">
        <v>95</v>
      </c>
      <c r="AC2" s="15" t="s">
        <v>336</v>
      </c>
      <c r="AD2" s="15" t="s">
        <v>197</v>
      </c>
      <c r="AE2" s="164" t="s">
        <v>99</v>
      </c>
      <c r="AF2" s="164" t="s">
        <v>98</v>
      </c>
      <c r="AG2" s="15" t="s">
        <v>336</v>
      </c>
      <c r="AH2" s="15" t="s">
        <v>197</v>
      </c>
      <c r="AI2" s="164" t="s">
        <v>103</v>
      </c>
      <c r="AJ2" s="164" t="s">
        <v>102</v>
      </c>
      <c r="AK2" s="15" t="s">
        <v>336</v>
      </c>
      <c r="AL2" s="15" t="s">
        <v>197</v>
      </c>
      <c r="AM2" s="164" t="s">
        <v>107</v>
      </c>
      <c r="AN2" s="164" t="s">
        <v>106</v>
      </c>
      <c r="AO2" s="15" t="s">
        <v>336</v>
      </c>
      <c r="AP2" s="15" t="s">
        <v>197</v>
      </c>
      <c r="AQ2" s="164" t="s">
        <v>111</v>
      </c>
      <c r="AR2" s="164" t="s">
        <v>110</v>
      </c>
      <c r="AS2" s="15" t="s">
        <v>336</v>
      </c>
      <c r="AT2" s="15" t="s">
        <v>197</v>
      </c>
      <c r="AU2" s="201" t="s">
        <v>116</v>
      </c>
      <c r="AV2" s="202"/>
      <c r="AW2" s="15" t="s">
        <v>336</v>
      </c>
      <c r="AX2" s="15" t="s">
        <v>197</v>
      </c>
      <c r="AZ2" s="52" t="s">
        <v>337</v>
      </c>
      <c r="BA2" s="52" t="s">
        <v>196</v>
      </c>
      <c r="BB2" s="1"/>
      <c r="BC2" t="s">
        <v>338</v>
      </c>
      <c r="BD2" s="17"/>
      <c r="BE2" s="1"/>
      <c r="BF2" s="165" t="s">
        <v>213</v>
      </c>
      <c r="BG2" s="15" t="s">
        <v>336</v>
      </c>
      <c r="BH2" s="15" t="s">
        <v>197</v>
      </c>
      <c r="BI2" s="165" t="s">
        <v>214</v>
      </c>
      <c r="BJ2" s="15" t="s">
        <v>336</v>
      </c>
      <c r="BK2" s="15" t="s">
        <v>197</v>
      </c>
      <c r="BL2" s="165" t="s">
        <v>215</v>
      </c>
      <c r="BM2" s="15" t="s">
        <v>336</v>
      </c>
      <c r="BN2" s="15" t="s">
        <v>197</v>
      </c>
      <c r="BO2" s="165" t="s">
        <v>216</v>
      </c>
      <c r="BP2" s="15" t="s">
        <v>336</v>
      </c>
      <c r="BQ2" s="15" t="s">
        <v>197</v>
      </c>
      <c r="BR2" s="17"/>
      <c r="BS2" s="15" t="s">
        <v>337</v>
      </c>
      <c r="BT2" s="15" t="s">
        <v>338</v>
      </c>
      <c r="BU2" s="30" t="s">
        <v>339</v>
      </c>
      <c r="BV2" s="1"/>
      <c r="BW2" s="17"/>
      <c r="BY2" s="216" t="s">
        <v>340</v>
      </c>
      <c r="BZ2" s="217"/>
      <c r="CA2" s="217"/>
      <c r="CB2" s="217"/>
      <c r="CC2" s="15" t="s">
        <v>287</v>
      </c>
      <c r="CD2" s="15" t="s">
        <v>341</v>
      </c>
      <c r="CE2" s="15"/>
      <c r="CF2" s="15" t="s">
        <v>196</v>
      </c>
      <c r="CG2" s="15" t="s">
        <v>197</v>
      </c>
      <c r="CH2" s="15" t="s">
        <v>196</v>
      </c>
      <c r="CI2" s="15" t="s">
        <v>342</v>
      </c>
      <c r="CJ2" s="15" t="s">
        <v>197</v>
      </c>
      <c r="CK2" s="15" t="s">
        <v>339</v>
      </c>
      <c r="CL2" s="15" t="s">
        <v>287</v>
      </c>
      <c r="CM2" s="15" t="s">
        <v>341</v>
      </c>
      <c r="CN2" s="15"/>
      <c r="CO2" s="15" t="s">
        <v>196</v>
      </c>
      <c r="CP2" s="15" t="s">
        <v>197</v>
      </c>
      <c r="CQ2" s="15" t="s">
        <v>196</v>
      </c>
      <c r="CR2" s="15" t="s">
        <v>342</v>
      </c>
      <c r="CS2" s="15" t="s">
        <v>197</v>
      </c>
      <c r="CT2" s="15" t="s">
        <v>339</v>
      </c>
      <c r="CU2" s="15" t="s">
        <v>287</v>
      </c>
      <c r="CV2" s="15" t="s">
        <v>341</v>
      </c>
      <c r="CW2" s="15"/>
      <c r="CX2" s="15" t="s">
        <v>196</v>
      </c>
      <c r="CY2" s="15" t="s">
        <v>197</v>
      </c>
      <c r="CZ2" s="15" t="s">
        <v>196</v>
      </c>
      <c r="DA2" s="15" t="s">
        <v>342</v>
      </c>
      <c r="DB2" s="15" t="s">
        <v>197</v>
      </c>
      <c r="DC2" s="15" t="s">
        <v>339</v>
      </c>
      <c r="DD2" s="15" t="s">
        <v>287</v>
      </c>
      <c r="DE2" s="15" t="s">
        <v>341</v>
      </c>
      <c r="DF2" s="15"/>
      <c r="DG2" s="15" t="s">
        <v>196</v>
      </c>
      <c r="DH2" s="15" t="s">
        <v>197</v>
      </c>
      <c r="DI2" s="15" t="s">
        <v>196</v>
      </c>
      <c r="DJ2" s="15" t="s">
        <v>342</v>
      </c>
      <c r="DK2" s="15" t="s">
        <v>197</v>
      </c>
      <c r="DL2" s="15" t="s">
        <v>339</v>
      </c>
      <c r="DM2" s="15" t="s">
        <v>287</v>
      </c>
      <c r="DN2" s="15" t="s">
        <v>341</v>
      </c>
      <c r="DO2" s="15"/>
      <c r="DP2" s="15" t="s">
        <v>196</v>
      </c>
      <c r="DQ2" s="16" t="s">
        <v>197</v>
      </c>
      <c r="DR2" s="15" t="s">
        <v>196</v>
      </c>
      <c r="DS2" s="15" t="s">
        <v>342</v>
      </c>
      <c r="DT2" s="15" t="s">
        <v>197</v>
      </c>
      <c r="DU2" s="15" t="s">
        <v>339</v>
      </c>
      <c r="DV2" s="15" t="s">
        <v>287</v>
      </c>
      <c r="DW2" s="15" t="s">
        <v>341</v>
      </c>
      <c r="DX2" s="15"/>
      <c r="DY2" s="15" t="s">
        <v>196</v>
      </c>
      <c r="DZ2" s="16" t="s">
        <v>197</v>
      </c>
      <c r="EA2" s="15" t="s">
        <v>196</v>
      </c>
      <c r="EB2" s="15" t="s">
        <v>342</v>
      </c>
      <c r="EC2" s="15" t="s">
        <v>197</v>
      </c>
      <c r="ED2" s="15" t="s">
        <v>339</v>
      </c>
      <c r="EE2" s="15" t="s">
        <v>287</v>
      </c>
      <c r="EF2" s="15" t="s">
        <v>341</v>
      </c>
      <c r="EG2" s="15"/>
      <c r="EH2" s="15" t="s">
        <v>196</v>
      </c>
      <c r="EI2" s="15" t="s">
        <v>197</v>
      </c>
      <c r="EJ2" s="15" t="s">
        <v>196</v>
      </c>
      <c r="EK2" s="15" t="s">
        <v>342</v>
      </c>
      <c r="EL2" s="15" t="s">
        <v>197</v>
      </c>
      <c r="EM2" s="15" t="s">
        <v>339</v>
      </c>
      <c r="EN2" s="15" t="s">
        <v>287</v>
      </c>
      <c r="EO2" s="15" t="s">
        <v>341</v>
      </c>
      <c r="EP2" s="15"/>
      <c r="EQ2" s="15" t="s">
        <v>196</v>
      </c>
      <c r="ER2" s="15" t="s">
        <v>197</v>
      </c>
      <c r="ES2" s="15" t="s">
        <v>196</v>
      </c>
      <c r="ET2" s="15" t="s">
        <v>342</v>
      </c>
      <c r="EU2" s="15" t="s">
        <v>197</v>
      </c>
      <c r="EV2" s="15" t="s">
        <v>339</v>
      </c>
      <c r="EW2" s="15" t="s">
        <v>287</v>
      </c>
      <c r="EX2" s="15" t="s">
        <v>341</v>
      </c>
      <c r="EY2" s="15"/>
      <c r="EZ2" s="15" t="s">
        <v>196</v>
      </c>
      <c r="FA2" s="15" t="s">
        <v>197</v>
      </c>
      <c r="FB2" s="15" t="s">
        <v>196</v>
      </c>
      <c r="FC2" s="15" t="s">
        <v>342</v>
      </c>
      <c r="FD2" s="15" t="s">
        <v>197</v>
      </c>
      <c r="FE2" s="15" t="s">
        <v>339</v>
      </c>
      <c r="FF2" s="15" t="s">
        <v>287</v>
      </c>
      <c r="FG2" s="15" t="s">
        <v>341</v>
      </c>
      <c r="FH2" s="15"/>
      <c r="FI2" s="15" t="s">
        <v>196</v>
      </c>
      <c r="FJ2" s="15" t="s">
        <v>197</v>
      </c>
      <c r="FK2" s="15" t="s">
        <v>196</v>
      </c>
      <c r="FL2" s="15" t="s">
        <v>342</v>
      </c>
      <c r="FM2" s="15" t="s">
        <v>197</v>
      </c>
      <c r="FN2" s="15" t="s">
        <v>339</v>
      </c>
      <c r="FO2" s="15" t="s">
        <v>287</v>
      </c>
      <c r="FP2" s="15" t="s">
        <v>341</v>
      </c>
      <c r="FQ2" s="15"/>
      <c r="FR2" s="15" t="s">
        <v>196</v>
      </c>
      <c r="FS2" s="15" t="s">
        <v>197</v>
      </c>
      <c r="FT2" s="15" t="s">
        <v>196</v>
      </c>
      <c r="FU2" s="15" t="s">
        <v>342</v>
      </c>
      <c r="FV2" s="15" t="s">
        <v>197</v>
      </c>
      <c r="FW2" s="15" t="s">
        <v>339</v>
      </c>
      <c r="FX2" s="17"/>
      <c r="FY2" s="49" t="s">
        <v>339</v>
      </c>
      <c r="FZ2" s="1" t="s">
        <v>339</v>
      </c>
      <c r="GA2" s="53" t="s">
        <v>197</v>
      </c>
      <c r="GB2" s="53" t="s">
        <v>339</v>
      </c>
      <c r="GC2" s="14"/>
      <c r="GE2" s="15" t="s">
        <v>287</v>
      </c>
      <c r="GF2" s="15" t="s">
        <v>341</v>
      </c>
      <c r="GG2" s="15"/>
      <c r="GH2" s="15" t="s">
        <v>196</v>
      </c>
      <c r="GI2" s="15" t="s">
        <v>197</v>
      </c>
      <c r="GJ2" s="15" t="s">
        <v>196</v>
      </c>
      <c r="GK2" s="15" t="s">
        <v>342</v>
      </c>
      <c r="GL2" s="15" t="s">
        <v>197</v>
      </c>
      <c r="GM2" s="15" t="s">
        <v>339</v>
      </c>
      <c r="GN2" s="15" t="s">
        <v>287</v>
      </c>
      <c r="GO2" s="15" t="s">
        <v>341</v>
      </c>
      <c r="GP2" s="15"/>
      <c r="GQ2" s="15" t="s">
        <v>196</v>
      </c>
      <c r="GR2" s="15" t="s">
        <v>197</v>
      </c>
      <c r="GS2" s="15" t="s">
        <v>196</v>
      </c>
      <c r="GT2" s="15" t="s">
        <v>342</v>
      </c>
      <c r="GU2" s="15" t="s">
        <v>197</v>
      </c>
      <c r="GV2" s="15" t="s">
        <v>339</v>
      </c>
      <c r="GW2" s="15" t="s">
        <v>287</v>
      </c>
      <c r="GX2" s="15" t="s">
        <v>341</v>
      </c>
      <c r="GY2" s="15" t="s">
        <v>196</v>
      </c>
      <c r="GZ2" s="15" t="s">
        <v>196</v>
      </c>
      <c r="HA2" s="15" t="s">
        <v>342</v>
      </c>
      <c r="HB2" s="15" t="s">
        <v>339</v>
      </c>
      <c r="HC2" s="15" t="s">
        <v>287</v>
      </c>
      <c r="HD2" s="15" t="s">
        <v>341</v>
      </c>
      <c r="HE2" s="15"/>
      <c r="HF2" s="15" t="s">
        <v>196</v>
      </c>
      <c r="HG2" s="15" t="s">
        <v>197</v>
      </c>
      <c r="HH2" s="15" t="s">
        <v>196</v>
      </c>
      <c r="HI2" s="15" t="s">
        <v>342</v>
      </c>
      <c r="HJ2" s="15" t="s">
        <v>197</v>
      </c>
      <c r="HK2" s="15" t="s">
        <v>339</v>
      </c>
      <c r="HL2" s="72" t="s">
        <v>339</v>
      </c>
      <c r="HM2" s="51" t="s">
        <v>339</v>
      </c>
      <c r="HN2" s="51" t="s">
        <v>339</v>
      </c>
      <c r="HO2" s="51" t="s">
        <v>339</v>
      </c>
      <c r="HP2" s="18"/>
      <c r="HQ2" s="15" t="s">
        <v>343</v>
      </c>
      <c r="HR2" s="15" t="s">
        <v>343</v>
      </c>
      <c r="HS2" s="15" t="s">
        <v>343</v>
      </c>
      <c r="HT2" s="15" t="s">
        <v>343</v>
      </c>
    </row>
    <row r="3" spans="2:228">
      <c r="B3" s="23"/>
      <c r="C3" s="164" t="s">
        <v>196</v>
      </c>
      <c r="D3" s="165" t="s">
        <v>197</v>
      </c>
      <c r="E3" s="22" t="s">
        <v>344</v>
      </c>
      <c r="F3" s="22" t="s">
        <v>339</v>
      </c>
      <c r="G3" s="166" t="s">
        <v>196</v>
      </c>
      <c r="H3" s="164" t="s">
        <v>197</v>
      </c>
      <c r="I3" s="22" t="s">
        <v>344</v>
      </c>
      <c r="J3" s="22" t="s">
        <v>339</v>
      </c>
      <c r="K3" s="164" t="s">
        <v>196</v>
      </c>
      <c r="L3" s="164" t="s">
        <v>197</v>
      </c>
      <c r="M3" s="22" t="s">
        <v>345</v>
      </c>
      <c r="N3" s="22" t="s">
        <v>339</v>
      </c>
      <c r="O3" s="164" t="s">
        <v>196</v>
      </c>
      <c r="P3" s="164" t="s">
        <v>197</v>
      </c>
      <c r="Q3" s="22" t="s">
        <v>345</v>
      </c>
      <c r="R3" s="22" t="s">
        <v>339</v>
      </c>
      <c r="S3" s="164" t="s">
        <v>196</v>
      </c>
      <c r="T3" s="164" t="s">
        <v>197</v>
      </c>
      <c r="U3" s="22" t="s">
        <v>345</v>
      </c>
      <c r="V3" s="22" t="s">
        <v>339</v>
      </c>
      <c r="W3" s="164" t="s">
        <v>196</v>
      </c>
      <c r="X3" s="164" t="s">
        <v>197</v>
      </c>
      <c r="Y3" s="22" t="s">
        <v>346</v>
      </c>
      <c r="Z3" s="22" t="s">
        <v>339</v>
      </c>
      <c r="AA3" s="164" t="s">
        <v>196</v>
      </c>
      <c r="AB3" s="164" t="s">
        <v>197</v>
      </c>
      <c r="AC3" s="22" t="s">
        <v>346</v>
      </c>
      <c r="AD3" s="22" t="s">
        <v>339</v>
      </c>
      <c r="AE3" s="164" t="s">
        <v>196</v>
      </c>
      <c r="AF3" s="164" t="s">
        <v>197</v>
      </c>
      <c r="AG3" s="22" t="s">
        <v>344</v>
      </c>
      <c r="AH3" s="22" t="s">
        <v>339</v>
      </c>
      <c r="AI3" s="164" t="s">
        <v>196</v>
      </c>
      <c r="AJ3" s="164" t="s">
        <v>197</v>
      </c>
      <c r="AK3" s="22" t="s">
        <v>344</v>
      </c>
      <c r="AL3" s="22" t="s">
        <v>339</v>
      </c>
      <c r="AM3" s="164" t="s">
        <v>196</v>
      </c>
      <c r="AN3" s="164" t="s">
        <v>197</v>
      </c>
      <c r="AO3" s="22" t="s">
        <v>347</v>
      </c>
      <c r="AP3" s="22" t="s">
        <v>339</v>
      </c>
      <c r="AQ3" s="164" t="s">
        <v>196</v>
      </c>
      <c r="AR3" s="164" t="s">
        <v>197</v>
      </c>
      <c r="AS3" s="22" t="s">
        <v>348</v>
      </c>
      <c r="AT3" s="22" t="s">
        <v>339</v>
      </c>
      <c r="AU3" s="201" t="s">
        <v>196</v>
      </c>
      <c r="AV3" s="202"/>
      <c r="AW3" s="22" t="s">
        <v>349</v>
      </c>
      <c r="AX3" s="22" t="s">
        <v>339</v>
      </c>
      <c r="BC3" s="1" t="s">
        <v>196</v>
      </c>
      <c r="BD3" s="14"/>
      <c r="BF3" s="165" t="s">
        <v>196</v>
      </c>
      <c r="BG3" s="22" t="s">
        <v>350</v>
      </c>
      <c r="BH3" s="22" t="s">
        <v>339</v>
      </c>
      <c r="BI3" s="165" t="s">
        <v>196</v>
      </c>
      <c r="BJ3" s="22" t="s">
        <v>350</v>
      </c>
      <c r="BK3" s="22" t="s">
        <v>339</v>
      </c>
      <c r="BL3" s="165" t="s">
        <v>196</v>
      </c>
      <c r="BM3" s="22" t="s">
        <v>349</v>
      </c>
      <c r="BN3" s="22" t="s">
        <v>339</v>
      </c>
      <c r="BO3" s="165" t="s">
        <v>196</v>
      </c>
      <c r="BP3" s="22" t="s">
        <v>348</v>
      </c>
      <c r="BQ3" s="22" t="s">
        <v>339</v>
      </c>
      <c r="BR3" s="17"/>
      <c r="BS3" s="22" t="s">
        <v>351</v>
      </c>
      <c r="BT3" s="22" t="s">
        <v>351</v>
      </c>
      <c r="BU3" s="22" t="s">
        <v>352</v>
      </c>
      <c r="BV3" s="1"/>
      <c r="BW3" s="14"/>
      <c r="BY3" s="19" t="s">
        <v>353</v>
      </c>
      <c r="BZ3" s="20" t="s">
        <v>354</v>
      </c>
      <c r="CA3" s="19" t="s">
        <v>330</v>
      </c>
      <c r="CB3" s="54" t="s">
        <v>339</v>
      </c>
      <c r="CC3" s="21" t="s">
        <v>355</v>
      </c>
      <c r="CD3" s="22" t="s">
        <v>355</v>
      </c>
      <c r="CE3" s="22" t="s">
        <v>356</v>
      </c>
      <c r="CF3" s="21" t="s">
        <v>330</v>
      </c>
      <c r="CG3" s="21" t="s">
        <v>330</v>
      </c>
      <c r="CH3" s="21" t="s">
        <v>339</v>
      </c>
      <c r="CI3" s="21" t="s">
        <v>339</v>
      </c>
      <c r="CJ3" s="21" t="s">
        <v>339</v>
      </c>
      <c r="CK3" s="55" t="s">
        <v>330</v>
      </c>
      <c r="CL3" s="21" t="s">
        <v>355</v>
      </c>
      <c r="CM3" s="22" t="s">
        <v>355</v>
      </c>
      <c r="CN3" s="22" t="s">
        <v>356</v>
      </c>
      <c r="CO3" s="21" t="s">
        <v>330</v>
      </c>
      <c r="CP3" s="21" t="s">
        <v>330</v>
      </c>
      <c r="CQ3" s="21" t="s">
        <v>339</v>
      </c>
      <c r="CR3" s="21" t="s">
        <v>339</v>
      </c>
      <c r="CS3" s="21" t="s">
        <v>339</v>
      </c>
      <c r="CT3" s="55" t="s">
        <v>330</v>
      </c>
      <c r="CU3" s="21" t="s">
        <v>355</v>
      </c>
      <c r="CV3" s="22" t="s">
        <v>355</v>
      </c>
      <c r="CW3" s="22" t="s">
        <v>356</v>
      </c>
      <c r="CX3" s="21" t="s">
        <v>330</v>
      </c>
      <c r="CY3" s="21" t="s">
        <v>330</v>
      </c>
      <c r="CZ3" s="21" t="s">
        <v>339</v>
      </c>
      <c r="DA3" s="21" t="s">
        <v>339</v>
      </c>
      <c r="DB3" s="21" t="s">
        <v>339</v>
      </c>
      <c r="DC3" s="55" t="s">
        <v>330</v>
      </c>
      <c r="DD3" s="21" t="s">
        <v>355</v>
      </c>
      <c r="DE3" s="22" t="s">
        <v>355</v>
      </c>
      <c r="DF3" s="22" t="s">
        <v>356</v>
      </c>
      <c r="DG3" s="21" t="s">
        <v>330</v>
      </c>
      <c r="DH3" s="21" t="s">
        <v>330</v>
      </c>
      <c r="DI3" s="21" t="s">
        <v>339</v>
      </c>
      <c r="DJ3" s="21" t="s">
        <v>339</v>
      </c>
      <c r="DK3" s="21" t="s">
        <v>339</v>
      </c>
      <c r="DL3" s="55" t="s">
        <v>330</v>
      </c>
      <c r="DM3" s="21" t="s">
        <v>355</v>
      </c>
      <c r="DN3" s="22" t="s">
        <v>355</v>
      </c>
      <c r="DO3" s="22" t="s">
        <v>356</v>
      </c>
      <c r="DP3" s="21" t="s">
        <v>330</v>
      </c>
      <c r="DQ3" s="56" t="s">
        <v>330</v>
      </c>
      <c r="DR3" s="21" t="s">
        <v>339</v>
      </c>
      <c r="DS3" s="21" t="s">
        <v>339</v>
      </c>
      <c r="DT3" s="21" t="s">
        <v>339</v>
      </c>
      <c r="DU3" s="55" t="s">
        <v>330</v>
      </c>
      <c r="DV3" s="21" t="s">
        <v>355</v>
      </c>
      <c r="DW3" s="22" t="s">
        <v>355</v>
      </c>
      <c r="DX3" s="22" t="s">
        <v>356</v>
      </c>
      <c r="DY3" s="21" t="s">
        <v>330</v>
      </c>
      <c r="DZ3" s="56" t="s">
        <v>330</v>
      </c>
      <c r="EA3" s="21" t="s">
        <v>339</v>
      </c>
      <c r="EB3" s="21" t="s">
        <v>339</v>
      </c>
      <c r="EC3" s="21" t="s">
        <v>339</v>
      </c>
      <c r="ED3" s="55" t="s">
        <v>330</v>
      </c>
      <c r="EE3" s="21" t="s">
        <v>355</v>
      </c>
      <c r="EF3" s="22" t="s">
        <v>355</v>
      </c>
      <c r="EG3" s="22" t="s">
        <v>356</v>
      </c>
      <c r="EH3" s="21" t="s">
        <v>330</v>
      </c>
      <c r="EI3" s="21" t="s">
        <v>330</v>
      </c>
      <c r="EJ3" s="21" t="s">
        <v>339</v>
      </c>
      <c r="EK3" s="21" t="s">
        <v>339</v>
      </c>
      <c r="EL3" s="21" t="s">
        <v>339</v>
      </c>
      <c r="EM3" s="55" t="s">
        <v>330</v>
      </c>
      <c r="EN3" s="21" t="s">
        <v>355</v>
      </c>
      <c r="EO3" s="22" t="s">
        <v>355</v>
      </c>
      <c r="EP3" s="22" t="s">
        <v>356</v>
      </c>
      <c r="EQ3" s="21" t="s">
        <v>330</v>
      </c>
      <c r="ER3" s="21" t="s">
        <v>330</v>
      </c>
      <c r="ES3" s="21" t="s">
        <v>339</v>
      </c>
      <c r="ET3" s="21" t="s">
        <v>339</v>
      </c>
      <c r="EU3" s="21" t="s">
        <v>339</v>
      </c>
      <c r="EV3" s="55" t="s">
        <v>330</v>
      </c>
      <c r="EW3" s="21" t="s">
        <v>355</v>
      </c>
      <c r="EX3" s="22" t="s">
        <v>355</v>
      </c>
      <c r="EY3" s="22" t="s">
        <v>356</v>
      </c>
      <c r="EZ3" s="21" t="s">
        <v>330</v>
      </c>
      <c r="FA3" s="21" t="s">
        <v>330</v>
      </c>
      <c r="FB3" s="21" t="s">
        <v>339</v>
      </c>
      <c r="FC3" s="21" t="s">
        <v>339</v>
      </c>
      <c r="FD3" s="21" t="s">
        <v>339</v>
      </c>
      <c r="FE3" s="55" t="s">
        <v>330</v>
      </c>
      <c r="FF3" s="21" t="s">
        <v>355</v>
      </c>
      <c r="FG3" s="22" t="s">
        <v>355</v>
      </c>
      <c r="FH3" s="22" t="s">
        <v>356</v>
      </c>
      <c r="FI3" s="21" t="s">
        <v>330</v>
      </c>
      <c r="FJ3" s="21" t="s">
        <v>330</v>
      </c>
      <c r="FK3" s="21" t="s">
        <v>339</v>
      </c>
      <c r="FL3" s="21" t="s">
        <v>339</v>
      </c>
      <c r="FM3" s="21" t="s">
        <v>339</v>
      </c>
      <c r="FN3" s="55" t="s">
        <v>330</v>
      </c>
      <c r="FO3" s="21" t="s">
        <v>355</v>
      </c>
      <c r="FP3" s="22" t="s">
        <v>355</v>
      </c>
      <c r="FQ3" s="22" t="s">
        <v>356</v>
      </c>
      <c r="FR3" s="21" t="s">
        <v>330</v>
      </c>
      <c r="FS3" s="21" t="s">
        <v>330</v>
      </c>
      <c r="FT3" s="21" t="s">
        <v>339</v>
      </c>
      <c r="FU3" s="21" t="s">
        <v>339</v>
      </c>
      <c r="FV3" s="21" t="s">
        <v>339</v>
      </c>
      <c r="FW3" s="55" t="s">
        <v>330</v>
      </c>
      <c r="FX3" s="57"/>
      <c r="FY3" s="49" t="s">
        <v>357</v>
      </c>
      <c r="FZ3" t="s">
        <v>358</v>
      </c>
      <c r="GA3" t="s">
        <v>339</v>
      </c>
      <c r="GB3" t="s">
        <v>239</v>
      </c>
      <c r="GC3" s="14"/>
      <c r="GE3" s="21" t="s">
        <v>355</v>
      </c>
      <c r="GF3" s="22" t="s">
        <v>355</v>
      </c>
      <c r="GG3" s="22" t="s">
        <v>356</v>
      </c>
      <c r="GH3" s="21" t="s">
        <v>330</v>
      </c>
      <c r="GI3" s="21" t="s">
        <v>330</v>
      </c>
      <c r="GJ3" s="21" t="s">
        <v>339</v>
      </c>
      <c r="GK3" s="21" t="s">
        <v>339</v>
      </c>
      <c r="GL3" s="21" t="s">
        <v>339</v>
      </c>
      <c r="GM3" s="55" t="s">
        <v>330</v>
      </c>
      <c r="GN3" s="21" t="s">
        <v>355</v>
      </c>
      <c r="GO3" s="22" t="s">
        <v>355</v>
      </c>
      <c r="GP3" s="22" t="s">
        <v>356</v>
      </c>
      <c r="GQ3" s="21" t="s">
        <v>330</v>
      </c>
      <c r="GR3" s="21" t="s">
        <v>330</v>
      </c>
      <c r="GS3" s="21" t="s">
        <v>339</v>
      </c>
      <c r="GT3" s="21" t="s">
        <v>339</v>
      </c>
      <c r="GU3" s="21" t="s">
        <v>339</v>
      </c>
      <c r="GV3" s="55" t="s">
        <v>330</v>
      </c>
      <c r="GW3" s="21" t="s">
        <v>355</v>
      </c>
      <c r="GX3" s="22" t="s">
        <v>355</v>
      </c>
      <c r="GY3" s="21" t="s">
        <v>330</v>
      </c>
      <c r="GZ3" s="21" t="s">
        <v>339</v>
      </c>
      <c r="HA3" s="21" t="s">
        <v>339</v>
      </c>
      <c r="HB3" s="55" t="s">
        <v>330</v>
      </c>
      <c r="HC3" s="21" t="s">
        <v>355</v>
      </c>
      <c r="HD3" s="22" t="s">
        <v>355</v>
      </c>
      <c r="HE3" s="22" t="s">
        <v>356</v>
      </c>
      <c r="HF3" s="21" t="s">
        <v>330</v>
      </c>
      <c r="HG3" s="21" t="s">
        <v>330</v>
      </c>
      <c r="HH3" s="21" t="s">
        <v>339</v>
      </c>
      <c r="HI3" s="21" t="s">
        <v>339</v>
      </c>
      <c r="HJ3" s="21" t="s">
        <v>339</v>
      </c>
      <c r="HK3" s="55" t="s">
        <v>330</v>
      </c>
      <c r="HL3" s="73" t="s">
        <v>196</v>
      </c>
      <c r="HM3" s="23" t="s">
        <v>358</v>
      </c>
      <c r="HN3" s="23" t="s">
        <v>197</v>
      </c>
      <c r="HO3" s="23" t="s">
        <v>359</v>
      </c>
      <c r="HP3" s="18"/>
      <c r="HQ3" s="22" t="s">
        <v>196</v>
      </c>
      <c r="HR3" s="22" t="s">
        <v>358</v>
      </c>
      <c r="HS3" s="22" t="s">
        <v>197</v>
      </c>
      <c r="HT3" s="22" t="s">
        <v>359</v>
      </c>
    </row>
    <row r="4" spans="2:228">
      <c r="B4" s="64">
        <v>43466</v>
      </c>
      <c r="C4" s="151">
        <v>70828</v>
      </c>
      <c r="D4" s="20">
        <v>2.1150000000000002</v>
      </c>
      <c r="E4" s="34">
        <v>54240</v>
      </c>
      <c r="F4" s="34"/>
      <c r="G4" s="151">
        <v>66007</v>
      </c>
      <c r="H4" s="20">
        <v>2.2189999999999999</v>
      </c>
      <c r="I4" s="34">
        <v>55360</v>
      </c>
      <c r="J4" s="34"/>
      <c r="K4" s="151">
        <v>8021</v>
      </c>
      <c r="L4" s="20">
        <v>2.21</v>
      </c>
      <c r="M4" s="34">
        <v>14400</v>
      </c>
      <c r="N4" s="34"/>
      <c r="O4" s="151">
        <v>8005</v>
      </c>
      <c r="P4" s="20">
        <v>2.62</v>
      </c>
      <c r="Q4" s="34">
        <v>14800</v>
      </c>
      <c r="R4" s="34"/>
      <c r="S4" s="151">
        <v>8596</v>
      </c>
      <c r="T4" s="20">
        <v>2.4700000000000002</v>
      </c>
      <c r="U4" s="34">
        <v>16000</v>
      </c>
      <c r="V4" s="34"/>
      <c r="W4" s="151">
        <v>56089</v>
      </c>
      <c r="X4" s="20">
        <v>1.0529999999999999</v>
      </c>
      <c r="Y4" s="34">
        <v>57300</v>
      </c>
      <c r="Z4" s="34"/>
      <c r="AA4" s="151">
        <v>53508</v>
      </c>
      <c r="AB4" s="20">
        <v>0.54</v>
      </c>
      <c r="AC4" s="34">
        <v>53400</v>
      </c>
      <c r="AD4" s="34"/>
      <c r="AE4" s="151">
        <v>13799</v>
      </c>
      <c r="AF4" s="20">
        <v>3.08</v>
      </c>
      <c r="AG4" s="34">
        <v>7680</v>
      </c>
      <c r="AH4" s="34"/>
      <c r="AI4" s="151">
        <v>9509</v>
      </c>
      <c r="AJ4" s="20">
        <v>1.89</v>
      </c>
      <c r="AK4" s="34">
        <v>4640</v>
      </c>
      <c r="AL4" s="34"/>
      <c r="AM4" s="151">
        <v>68240</v>
      </c>
      <c r="AN4" s="20">
        <v>2.1150000000000002</v>
      </c>
      <c r="AO4" s="34">
        <v>64800</v>
      </c>
      <c r="AP4" s="34"/>
      <c r="AQ4" s="151">
        <v>13251</v>
      </c>
      <c r="AR4" s="20">
        <v>0.379</v>
      </c>
      <c r="AS4" s="34">
        <v>2200</v>
      </c>
      <c r="AT4" s="34"/>
      <c r="AU4" s="201">
        <v>23578</v>
      </c>
      <c r="AV4" s="202"/>
      <c r="AW4" s="34">
        <v>0</v>
      </c>
      <c r="AX4" s="34"/>
      <c r="AZ4" s="34">
        <f t="shared" ref="AZ4:AZ61" si="0">SUM(AO4+AK4+AG4+AC4+Y4+U4+Q4+M4+I4+E4+AS4+AW4)</f>
        <v>344820</v>
      </c>
      <c r="BA4" s="20">
        <f t="shared" ref="BA4:BA20" si="1">SUM(AO4+AS4)</f>
        <v>67000</v>
      </c>
      <c r="BB4" s="20">
        <f t="shared" ref="BB4:BB20" si="2">SUM(BA4/AZ4)</f>
        <v>0.19430427469404327</v>
      </c>
      <c r="BD4" s="14"/>
      <c r="BE4" s="64">
        <v>43466</v>
      </c>
      <c r="BF4" s="20">
        <v>47927</v>
      </c>
      <c r="BG4" s="34">
        <v>15200</v>
      </c>
      <c r="BH4" s="34"/>
      <c r="BI4" s="20">
        <v>6130</v>
      </c>
      <c r="BJ4" s="34">
        <v>1700</v>
      </c>
      <c r="BK4" s="152"/>
      <c r="BL4" s="20">
        <v>39296</v>
      </c>
      <c r="BM4" s="34">
        <v>895</v>
      </c>
      <c r="BN4" s="34"/>
      <c r="BO4" s="20">
        <v>43241</v>
      </c>
      <c r="BP4" s="34">
        <v>600</v>
      </c>
      <c r="BQ4" s="34"/>
      <c r="BR4" s="14"/>
      <c r="BS4" s="20">
        <f t="shared" ref="BS4:BS61" si="3">SUM(BG4+BJ4,BM4,BP4)</f>
        <v>18395</v>
      </c>
      <c r="BW4" s="14"/>
      <c r="BY4" s="19">
        <f t="shared" ref="BY4:BY61" si="4">SUM(AU4)</f>
        <v>23578</v>
      </c>
      <c r="BZ4" s="20">
        <v>22946</v>
      </c>
      <c r="CA4" s="19"/>
      <c r="CB4" s="59"/>
      <c r="CC4" s="60">
        <f t="shared" ref="CC4:CC17" si="5">SUM(G4)</f>
        <v>66007</v>
      </c>
      <c r="CD4" s="23">
        <v>66133</v>
      </c>
      <c r="CE4" s="23">
        <v>2.254</v>
      </c>
      <c r="CF4" s="19"/>
      <c r="CG4" s="60"/>
      <c r="CH4" s="153"/>
      <c r="CI4" s="153"/>
      <c r="CJ4" s="153"/>
      <c r="CK4" s="153"/>
      <c r="CL4" s="60">
        <f t="shared" ref="CL4:CL61" si="6">SUM(C4)</f>
        <v>70828</v>
      </c>
      <c r="CM4" s="23">
        <v>70959</v>
      </c>
      <c r="CN4" s="23">
        <v>2.177</v>
      </c>
      <c r="CO4" s="19"/>
      <c r="CP4" s="60"/>
      <c r="CQ4" s="153"/>
      <c r="CR4" s="153"/>
      <c r="CS4" s="153"/>
      <c r="CT4" s="153"/>
      <c r="CU4" s="60">
        <f>SUM(W4)</f>
        <v>56089</v>
      </c>
      <c r="CV4" s="23">
        <v>56156</v>
      </c>
      <c r="CW4" s="23">
        <v>2.343</v>
      </c>
      <c r="CX4" s="19"/>
      <c r="CY4" s="60"/>
      <c r="CZ4" s="153"/>
      <c r="DA4" s="153"/>
      <c r="DB4" s="153"/>
      <c r="DC4" s="153"/>
      <c r="DD4" s="60">
        <f t="shared" ref="DD4:DD61" si="7">SUM(AQ4)</f>
        <v>13251</v>
      </c>
      <c r="DE4" s="23">
        <v>13271</v>
      </c>
      <c r="DF4" s="23">
        <v>0.436</v>
      </c>
      <c r="DG4" s="19"/>
      <c r="DH4" s="60"/>
      <c r="DI4" s="153"/>
      <c r="DJ4" s="153"/>
      <c r="DK4" s="153"/>
      <c r="DL4" s="153"/>
      <c r="DM4" s="60">
        <f t="shared" ref="DM4:DM61" si="8">SUM(AA4)</f>
        <v>53508</v>
      </c>
      <c r="DN4" s="23">
        <v>53545</v>
      </c>
      <c r="DO4" s="23">
        <v>2.0139999999999998</v>
      </c>
      <c r="DP4" s="19"/>
      <c r="DQ4" s="154"/>
      <c r="DR4" s="153"/>
      <c r="DS4" s="153"/>
      <c r="DT4" s="153"/>
      <c r="DU4" s="153"/>
      <c r="DV4" s="60">
        <f t="shared" ref="DV4:DV61" si="9">SUM(O4)</f>
        <v>8005</v>
      </c>
      <c r="DW4" s="23">
        <v>8018</v>
      </c>
      <c r="DX4" s="23">
        <v>0.307</v>
      </c>
      <c r="DY4" s="19"/>
      <c r="DZ4" s="154"/>
      <c r="EA4" s="153"/>
      <c r="EB4" s="153"/>
      <c r="EC4" s="153"/>
      <c r="ED4" s="153"/>
      <c r="EE4" s="60">
        <f t="shared" ref="EE4:EE61" si="10">SUM(W4)</f>
        <v>56089</v>
      </c>
      <c r="EF4" s="23">
        <v>8034</v>
      </c>
      <c r="EG4" s="23">
        <v>0.30499999999999999</v>
      </c>
      <c r="EH4" s="19"/>
      <c r="EI4" s="60"/>
      <c r="EJ4" s="153"/>
      <c r="EK4" s="153"/>
      <c r="EL4" s="153"/>
      <c r="EM4" s="153"/>
      <c r="EN4" s="60">
        <f t="shared" ref="EN4:EN61" si="11">SUM(S4)</f>
        <v>8596</v>
      </c>
      <c r="EO4" s="23">
        <v>8610</v>
      </c>
      <c r="EP4" s="23">
        <v>0.33300000000000002</v>
      </c>
      <c r="EQ4" s="19"/>
      <c r="ER4" s="60"/>
      <c r="ES4" s="153"/>
      <c r="ET4" s="153"/>
      <c r="EU4" s="153"/>
      <c r="EV4" s="153"/>
      <c r="EW4" s="60">
        <f t="shared" ref="EW4:EW61" si="12">SUM(AE4)</f>
        <v>13799</v>
      </c>
      <c r="EX4" s="23">
        <v>13817</v>
      </c>
      <c r="EY4" s="23">
        <v>0.38900000000000001</v>
      </c>
      <c r="EZ4" s="19"/>
      <c r="FA4" s="60"/>
      <c r="FB4" s="153"/>
      <c r="FC4" s="153"/>
      <c r="FD4" s="153"/>
      <c r="FE4" s="153"/>
      <c r="FF4" s="60">
        <f t="shared" ref="FF4:FF61" si="13">SUM(AI4)</f>
        <v>9509</v>
      </c>
      <c r="FG4" s="23">
        <v>9520</v>
      </c>
      <c r="FH4" s="23">
        <v>0.35899999999999999</v>
      </c>
      <c r="FI4" s="19"/>
      <c r="FJ4" s="60"/>
      <c r="FK4" s="153"/>
      <c r="FL4" s="153"/>
      <c r="FM4" s="153"/>
      <c r="FN4" s="153"/>
      <c r="FO4" s="19">
        <f t="shared" ref="FO4:FO61" si="14">SUM(AM4)</f>
        <v>68240</v>
      </c>
      <c r="FP4" s="23">
        <v>68356</v>
      </c>
      <c r="FQ4" s="23">
        <v>2.2610000000000001</v>
      </c>
      <c r="FR4" s="19"/>
      <c r="FS4" s="60"/>
      <c r="FT4" s="153"/>
      <c r="FU4" s="153"/>
      <c r="FV4" s="153"/>
      <c r="FW4" s="153"/>
      <c r="FX4" s="50"/>
      <c r="FZ4" s="47"/>
      <c r="GA4" s="47"/>
      <c r="GB4" s="47"/>
      <c r="GC4" s="14"/>
      <c r="GE4" s="60">
        <f t="shared" ref="GE4:GE17" si="15">SUM(BI4)</f>
        <v>6130</v>
      </c>
      <c r="GF4" s="23">
        <v>6103</v>
      </c>
      <c r="GG4" s="23">
        <v>0.25</v>
      </c>
      <c r="GH4" s="60"/>
      <c r="GI4" s="60"/>
      <c r="GJ4" s="155"/>
      <c r="GK4" s="155"/>
      <c r="GL4" s="155"/>
      <c r="GM4" s="153"/>
      <c r="GN4" s="60">
        <f t="shared" ref="GN4:GN61" si="16">SUM(BF4)</f>
        <v>47927</v>
      </c>
      <c r="GO4" s="23">
        <v>47678</v>
      </c>
      <c r="GP4" s="23">
        <v>1.6759999999999999</v>
      </c>
      <c r="GQ4" s="60"/>
      <c r="GR4" s="60"/>
      <c r="GS4" s="155"/>
      <c r="GT4" s="155"/>
      <c r="GU4" s="155"/>
      <c r="GV4" s="153"/>
      <c r="GW4" s="60">
        <f t="shared" ref="GW4:GW61" si="17">SUM(BL4)</f>
        <v>39296</v>
      </c>
      <c r="GX4" s="23">
        <v>37881</v>
      </c>
      <c r="GY4" s="60"/>
      <c r="GZ4" s="153"/>
      <c r="HA4" s="153"/>
      <c r="HB4" s="153"/>
      <c r="HC4" s="60">
        <f t="shared" ref="HC4:HC61" si="18">SUM(BO4)</f>
        <v>43241</v>
      </c>
      <c r="HD4" s="23">
        <v>43210</v>
      </c>
      <c r="HE4" s="23">
        <v>3.7530000000000001</v>
      </c>
      <c r="HF4" s="60"/>
      <c r="HG4" s="60"/>
      <c r="HH4" s="153"/>
      <c r="HI4" s="153"/>
      <c r="HJ4" s="153"/>
      <c r="HK4" s="153"/>
      <c r="HM4" s="47"/>
      <c r="HN4" s="47"/>
      <c r="HO4" s="47"/>
      <c r="HP4" s="18"/>
    </row>
    <row r="5" spans="2:228">
      <c r="B5" s="58">
        <v>43478</v>
      </c>
      <c r="C5" s="20">
        <v>71688</v>
      </c>
      <c r="D5" s="20">
        <v>2.1150000000000002</v>
      </c>
      <c r="E5" s="34">
        <f t="shared" ref="E5:E61" si="19">SUM(C5-C4)*160</f>
        <v>137600</v>
      </c>
      <c r="F5" s="34"/>
      <c r="G5" s="20">
        <v>66890</v>
      </c>
      <c r="H5" s="20">
        <v>2.4329999999999998</v>
      </c>
      <c r="I5" s="34">
        <f t="shared" ref="I5:I61" si="20">SUM(G5-G4)*160</f>
        <v>141280</v>
      </c>
      <c r="J5" s="34"/>
      <c r="K5" s="20">
        <v>8115</v>
      </c>
      <c r="L5" s="20">
        <v>2.65</v>
      </c>
      <c r="M5" s="34">
        <f t="shared" ref="M5:M61" si="21">SUM(K5-K4)*400</f>
        <v>37600</v>
      </c>
      <c r="N5" s="34"/>
      <c r="O5" s="20">
        <v>8098</v>
      </c>
      <c r="P5" s="20">
        <v>2.72</v>
      </c>
      <c r="Q5" s="34">
        <f t="shared" ref="Q5:Q61" si="22">SUM(O5-O4)*400</f>
        <v>37200</v>
      </c>
      <c r="R5" s="34"/>
      <c r="S5" s="20">
        <v>8695</v>
      </c>
      <c r="T5" s="20">
        <v>2.73</v>
      </c>
      <c r="U5" s="34">
        <f t="shared" ref="U5:U61" si="23">SUM(S5-S4)*400</f>
        <v>39600</v>
      </c>
      <c r="V5" s="34"/>
      <c r="W5" s="20">
        <v>56473</v>
      </c>
      <c r="X5" s="20">
        <v>1.7330000000000001</v>
      </c>
      <c r="Y5" s="34">
        <f t="shared" ref="Y5:Y61" si="24">SUM(W5-W4)*300</f>
        <v>115200</v>
      </c>
      <c r="Z5" s="34"/>
      <c r="AA5" s="20">
        <v>53992</v>
      </c>
      <c r="AB5" s="20">
        <v>1.6220000000000001</v>
      </c>
      <c r="AC5" s="34">
        <f t="shared" ref="AC5:AC61" si="25">SUM(AA5-AA4)*300</f>
        <v>145200</v>
      </c>
      <c r="AD5" s="34"/>
      <c r="AE5" s="20">
        <v>13939</v>
      </c>
      <c r="AF5" s="20">
        <v>5.48</v>
      </c>
      <c r="AG5" s="34">
        <f t="shared" ref="AG5:AG61" si="26">SUM(AE5-AE4)*160</f>
        <v>22400</v>
      </c>
      <c r="AH5" s="34"/>
      <c r="AI5" s="20">
        <v>9522</v>
      </c>
      <c r="AJ5" s="20">
        <v>3.22</v>
      </c>
      <c r="AK5" s="34">
        <f t="shared" ref="AK5:AK61" si="27">SUM(AI5-AI4)*160</f>
        <v>2080</v>
      </c>
      <c r="AL5" s="34"/>
      <c r="AM5" s="20">
        <v>69087</v>
      </c>
      <c r="AN5" s="20">
        <v>2.2890000000000001</v>
      </c>
      <c r="AO5" s="34">
        <f t="shared" ref="AO5:AO61" si="28">SUM(AM5-AM4)*200</f>
        <v>169400</v>
      </c>
      <c r="AP5" s="34"/>
      <c r="AQ5" s="20">
        <v>13395</v>
      </c>
      <c r="AR5" s="20">
        <v>0.40100000000000002</v>
      </c>
      <c r="AS5" s="34">
        <f t="shared" ref="AS5:AS61" si="29">SUM(AQ5-AQ4)*40</f>
        <v>5760</v>
      </c>
      <c r="AT5" s="34"/>
      <c r="AU5" s="201">
        <v>23578</v>
      </c>
      <c r="AV5" s="202"/>
      <c r="AW5" s="34">
        <f t="shared" ref="AW5:AW61" si="30">SUM(AU5-AU4)</f>
        <v>0</v>
      </c>
      <c r="AX5" s="34"/>
      <c r="AZ5" s="34">
        <f t="shared" si="0"/>
        <v>853320</v>
      </c>
      <c r="BA5" s="20">
        <f t="shared" si="1"/>
        <v>175160</v>
      </c>
      <c r="BB5" s="20">
        <f t="shared" si="2"/>
        <v>0.20526883232550508</v>
      </c>
      <c r="BD5" s="14"/>
      <c r="BE5" s="64">
        <v>43478</v>
      </c>
      <c r="BF5" s="20">
        <v>48093</v>
      </c>
      <c r="BG5" s="34">
        <f t="shared" ref="BG5:BG20" si="31">SUM(BF5-BF4)*100</f>
        <v>16600</v>
      </c>
      <c r="BI5" s="20">
        <v>6151</v>
      </c>
      <c r="BJ5" s="34">
        <f t="shared" ref="BJ5:BJ20" si="32">SUM(BI5-BI4)*100</f>
        <v>2100</v>
      </c>
      <c r="BL5" s="20">
        <v>40306</v>
      </c>
      <c r="BM5" s="34">
        <f t="shared" ref="BM5:BM61" si="33">SUM(BL5-BL4)</f>
        <v>1010</v>
      </c>
      <c r="BN5" s="20"/>
      <c r="BO5" s="20">
        <v>43291</v>
      </c>
      <c r="BP5" s="34">
        <f t="shared" ref="BP5:BP61" si="34">SUM(BO5-BO4)*40</f>
        <v>2000</v>
      </c>
      <c r="BR5" s="14"/>
      <c r="BS5" s="20">
        <f t="shared" si="3"/>
        <v>21710</v>
      </c>
      <c r="BW5" s="14"/>
      <c r="BY5" s="19">
        <f t="shared" si="4"/>
        <v>23578</v>
      </c>
      <c r="CC5" s="60">
        <f t="shared" si="5"/>
        <v>66890</v>
      </c>
      <c r="CL5" s="60">
        <f t="shared" si="6"/>
        <v>71688</v>
      </c>
      <c r="CU5" s="60">
        <f t="shared" ref="CU5:CU61" si="35">SUM(W5)</f>
        <v>56473</v>
      </c>
      <c r="DD5" s="60">
        <f t="shared" si="7"/>
        <v>13395</v>
      </c>
      <c r="DM5" s="60">
        <f t="shared" si="8"/>
        <v>53992</v>
      </c>
      <c r="DV5" s="60">
        <f t="shared" si="9"/>
        <v>8098</v>
      </c>
      <c r="EE5" s="60">
        <f t="shared" si="10"/>
        <v>56473</v>
      </c>
      <c r="EN5" s="60">
        <f t="shared" si="11"/>
        <v>8695</v>
      </c>
      <c r="EW5" s="60">
        <f t="shared" si="12"/>
        <v>13939</v>
      </c>
      <c r="FF5" s="60">
        <f t="shared" si="13"/>
        <v>9522</v>
      </c>
      <c r="FO5" s="19">
        <f t="shared" si="14"/>
        <v>69087</v>
      </c>
      <c r="FX5" s="50"/>
      <c r="GC5" s="14"/>
      <c r="GE5" s="60">
        <f t="shared" si="15"/>
        <v>6151</v>
      </c>
      <c r="GN5" s="60">
        <f t="shared" si="16"/>
        <v>48093</v>
      </c>
      <c r="GW5" s="60">
        <f t="shared" si="17"/>
        <v>40306</v>
      </c>
      <c r="HC5" s="60">
        <f t="shared" si="18"/>
        <v>43291</v>
      </c>
      <c r="HP5" s="18"/>
    </row>
    <row r="6" spans="2:228">
      <c r="B6" s="58">
        <v>43486</v>
      </c>
      <c r="C6" s="20">
        <v>71978</v>
      </c>
      <c r="D6" s="20">
        <v>2.1800000000000002</v>
      </c>
      <c r="E6" s="34">
        <f t="shared" si="19"/>
        <v>46400</v>
      </c>
      <c r="F6" s="34"/>
      <c r="G6" s="20">
        <v>67183</v>
      </c>
      <c r="H6" s="20">
        <v>2.4329999999999998</v>
      </c>
      <c r="I6" s="34">
        <f t="shared" si="20"/>
        <v>46880</v>
      </c>
      <c r="J6" s="34"/>
      <c r="K6" s="20">
        <v>8147</v>
      </c>
      <c r="L6" s="20">
        <v>2.97</v>
      </c>
      <c r="M6" s="34">
        <f t="shared" si="21"/>
        <v>12800</v>
      </c>
      <c r="N6" s="34"/>
      <c r="O6" s="20">
        <v>8130</v>
      </c>
      <c r="P6" s="20">
        <v>2.83</v>
      </c>
      <c r="Q6" s="34">
        <f t="shared" si="22"/>
        <v>12800</v>
      </c>
      <c r="R6" s="34"/>
      <c r="S6" s="20">
        <v>8729</v>
      </c>
      <c r="T6" s="20">
        <v>2.8</v>
      </c>
      <c r="U6" s="34">
        <f t="shared" si="23"/>
        <v>13600</v>
      </c>
      <c r="V6" s="34"/>
      <c r="W6" s="20">
        <v>56552</v>
      </c>
      <c r="X6" s="20">
        <v>1.7370000000000001</v>
      </c>
      <c r="Y6" s="34">
        <f t="shared" si="24"/>
        <v>23700</v>
      </c>
      <c r="Z6" s="34"/>
      <c r="AA6" s="20">
        <v>54144</v>
      </c>
      <c r="AB6" s="20">
        <v>1.6220000000000001</v>
      </c>
      <c r="AC6" s="34">
        <f t="shared" si="25"/>
        <v>45600</v>
      </c>
      <c r="AD6" s="34"/>
      <c r="AE6" s="20">
        <v>13984</v>
      </c>
      <c r="AF6" s="20">
        <v>5.48</v>
      </c>
      <c r="AG6" s="34">
        <f t="shared" si="26"/>
        <v>7200</v>
      </c>
      <c r="AH6" s="34"/>
      <c r="AI6" s="20">
        <v>9621</v>
      </c>
      <c r="AJ6" s="20">
        <v>3.22</v>
      </c>
      <c r="AK6" s="34">
        <f t="shared" si="27"/>
        <v>15840</v>
      </c>
      <c r="AL6" s="34"/>
      <c r="AM6" s="20">
        <v>69360</v>
      </c>
      <c r="AN6" s="20">
        <v>2.2869999999999999</v>
      </c>
      <c r="AO6" s="34">
        <f t="shared" si="28"/>
        <v>54600</v>
      </c>
      <c r="AP6" s="34"/>
      <c r="AQ6" s="20">
        <v>13442</v>
      </c>
      <c r="AR6" s="20">
        <v>0.40100000000000002</v>
      </c>
      <c r="AS6" s="34">
        <f t="shared" si="29"/>
        <v>1880</v>
      </c>
      <c r="AT6" s="34"/>
      <c r="AU6" s="201">
        <v>23578</v>
      </c>
      <c r="AV6" s="202"/>
      <c r="AW6" s="34">
        <f t="shared" si="30"/>
        <v>0</v>
      </c>
      <c r="AX6" s="34"/>
      <c r="AZ6" s="34">
        <f t="shared" si="0"/>
        <v>281300</v>
      </c>
      <c r="BA6" s="20">
        <f t="shared" si="1"/>
        <v>56480</v>
      </c>
      <c r="BB6" s="20">
        <f t="shared" si="2"/>
        <v>0.20078208318521151</v>
      </c>
      <c r="BD6" s="14"/>
      <c r="BE6" s="64">
        <v>43478</v>
      </c>
      <c r="BF6" s="20">
        <v>48222</v>
      </c>
      <c r="BG6" s="34">
        <f t="shared" si="31"/>
        <v>12900</v>
      </c>
      <c r="BI6" s="20">
        <v>6169</v>
      </c>
      <c r="BJ6" s="34">
        <f t="shared" si="32"/>
        <v>1800</v>
      </c>
      <c r="BL6" s="20">
        <v>41078</v>
      </c>
      <c r="BM6" s="34">
        <f t="shared" si="33"/>
        <v>772</v>
      </c>
      <c r="BN6" s="20"/>
      <c r="BO6" s="20">
        <v>43309</v>
      </c>
      <c r="BP6" s="34">
        <f t="shared" si="34"/>
        <v>720</v>
      </c>
      <c r="BR6" s="14"/>
      <c r="BS6" s="20">
        <f t="shared" si="3"/>
        <v>16192</v>
      </c>
      <c r="BW6" s="14"/>
      <c r="BY6" s="19">
        <f t="shared" si="4"/>
        <v>23578</v>
      </c>
      <c r="CC6" s="60">
        <f t="shared" si="5"/>
        <v>67183</v>
      </c>
      <c r="CL6" s="60">
        <f t="shared" si="6"/>
        <v>71978</v>
      </c>
      <c r="CU6" s="60">
        <f t="shared" si="35"/>
        <v>56552</v>
      </c>
      <c r="DD6" s="60">
        <f t="shared" si="7"/>
        <v>13442</v>
      </c>
      <c r="DM6" s="60">
        <f t="shared" si="8"/>
        <v>54144</v>
      </c>
      <c r="DV6" s="60">
        <f t="shared" si="9"/>
        <v>8130</v>
      </c>
      <c r="EE6" s="60">
        <f t="shared" si="10"/>
        <v>56552</v>
      </c>
      <c r="EN6" s="60">
        <f t="shared" si="11"/>
        <v>8729</v>
      </c>
      <c r="EW6" s="60">
        <f t="shared" si="12"/>
        <v>13984</v>
      </c>
      <c r="FF6" s="60">
        <f t="shared" si="13"/>
        <v>9621</v>
      </c>
      <c r="FO6" s="19">
        <f t="shared" si="14"/>
        <v>69360</v>
      </c>
      <c r="FX6" s="50"/>
      <c r="GC6" s="14"/>
      <c r="GE6" s="60">
        <f t="shared" si="15"/>
        <v>6169</v>
      </c>
      <c r="GN6" s="156">
        <f t="shared" si="16"/>
        <v>48222</v>
      </c>
      <c r="GW6" s="60">
        <f t="shared" si="17"/>
        <v>41078</v>
      </c>
      <c r="HC6" s="60">
        <f t="shared" si="18"/>
        <v>43309</v>
      </c>
      <c r="HP6" s="18"/>
    </row>
    <row r="7" spans="2:228">
      <c r="B7" s="58">
        <v>43493</v>
      </c>
      <c r="C7" s="20">
        <v>72269</v>
      </c>
      <c r="D7" s="20">
        <v>2.1779999999999999</v>
      </c>
      <c r="E7" s="34">
        <f t="shared" si="19"/>
        <v>46560</v>
      </c>
      <c r="F7" s="34"/>
      <c r="G7" s="20">
        <v>67479</v>
      </c>
      <c r="H7" s="20">
        <v>2.125</v>
      </c>
      <c r="I7" s="34">
        <f t="shared" si="20"/>
        <v>47360</v>
      </c>
      <c r="J7" s="34"/>
      <c r="K7" s="20">
        <v>8181</v>
      </c>
      <c r="L7" s="20">
        <v>2.66</v>
      </c>
      <c r="M7" s="34">
        <f t="shared" si="21"/>
        <v>13600</v>
      </c>
      <c r="N7" s="34"/>
      <c r="O7" s="20">
        <v>8164</v>
      </c>
      <c r="P7" s="20">
        <v>2.74</v>
      </c>
      <c r="Q7" s="34">
        <f t="shared" si="22"/>
        <v>13600</v>
      </c>
      <c r="R7" s="34"/>
      <c r="S7" s="20">
        <v>8763</v>
      </c>
      <c r="T7" s="20">
        <v>2.72</v>
      </c>
      <c r="U7" s="34">
        <f t="shared" si="23"/>
        <v>13600</v>
      </c>
      <c r="V7" s="34"/>
      <c r="W7" s="20">
        <v>56694</v>
      </c>
      <c r="X7" s="20">
        <v>1.8080000000000001</v>
      </c>
      <c r="Y7" s="34">
        <f t="shared" si="24"/>
        <v>42600</v>
      </c>
      <c r="Z7" s="34"/>
      <c r="AA7" s="20">
        <v>54262</v>
      </c>
      <c r="AB7" s="20">
        <v>1.518</v>
      </c>
      <c r="AC7" s="34">
        <f t="shared" si="25"/>
        <v>35400</v>
      </c>
      <c r="AD7" s="34"/>
      <c r="AE7" s="20">
        <v>14029</v>
      </c>
      <c r="AF7" s="20">
        <v>3.73</v>
      </c>
      <c r="AG7" s="34">
        <f t="shared" si="26"/>
        <v>7200</v>
      </c>
      <c r="AH7" s="34"/>
      <c r="AI7" s="20">
        <v>9652</v>
      </c>
      <c r="AJ7" s="20">
        <v>3.24</v>
      </c>
      <c r="AK7" s="34">
        <f t="shared" si="27"/>
        <v>4960</v>
      </c>
      <c r="AL7" s="34"/>
      <c r="AM7" s="20">
        <v>69617</v>
      </c>
      <c r="AN7" s="20">
        <v>2.048</v>
      </c>
      <c r="AO7" s="34">
        <f t="shared" si="28"/>
        <v>51400</v>
      </c>
      <c r="AP7" s="34"/>
      <c r="AQ7" s="20">
        <v>13490</v>
      </c>
      <c r="AR7" s="20">
        <v>0.38100000000000001</v>
      </c>
      <c r="AS7" s="34">
        <f t="shared" si="29"/>
        <v>1920</v>
      </c>
      <c r="AT7" s="34"/>
      <c r="AU7" s="205">
        <v>25987</v>
      </c>
      <c r="AV7" s="205"/>
      <c r="AW7" s="34">
        <f t="shared" si="30"/>
        <v>2409</v>
      </c>
      <c r="AX7" s="34"/>
      <c r="AZ7" s="34">
        <f t="shared" si="0"/>
        <v>280609</v>
      </c>
      <c r="BA7" s="20">
        <f t="shared" si="1"/>
        <v>53320</v>
      </c>
      <c r="BB7" s="20">
        <f t="shared" si="2"/>
        <v>0.19001528817678692</v>
      </c>
      <c r="BD7" s="14"/>
      <c r="BE7" s="64">
        <v>43493</v>
      </c>
      <c r="BF7" s="20">
        <v>48348</v>
      </c>
      <c r="BG7" s="34">
        <f t="shared" si="31"/>
        <v>12600</v>
      </c>
      <c r="BI7" s="20">
        <v>6185</v>
      </c>
      <c r="BJ7" s="34">
        <f t="shared" si="32"/>
        <v>1600</v>
      </c>
      <c r="BL7" s="20">
        <v>41961</v>
      </c>
      <c r="BM7" s="34">
        <f t="shared" si="33"/>
        <v>883</v>
      </c>
      <c r="BN7" s="20"/>
      <c r="BO7" s="20">
        <v>43347</v>
      </c>
      <c r="BP7" s="34">
        <f t="shared" si="34"/>
        <v>1520</v>
      </c>
      <c r="BR7" s="14"/>
      <c r="BS7" s="20">
        <f t="shared" si="3"/>
        <v>16603</v>
      </c>
      <c r="BW7" s="14"/>
      <c r="BY7" s="19">
        <f t="shared" si="4"/>
        <v>25987</v>
      </c>
      <c r="BZ7" s="20">
        <v>25387</v>
      </c>
      <c r="CA7" s="19">
        <f>SUM(BZ7-BZ4)</f>
        <v>2441</v>
      </c>
      <c r="CB7" s="59">
        <f>SUM(CA7*0.12043+CA7*0.03046)*1.08+1.91</f>
        <v>399.69828920000009</v>
      </c>
      <c r="CC7" s="60">
        <f t="shared" si="5"/>
        <v>67479</v>
      </c>
      <c r="CD7" s="157">
        <v>67350</v>
      </c>
      <c r="CE7" s="158">
        <v>2.4329999999999998</v>
      </c>
      <c r="CF7" s="19" t="e">
        <f>SUM(CD7-#REF!)*160</f>
        <v>#REF!</v>
      </c>
      <c r="CG7" s="19">
        <f>(CE7)*160</f>
        <v>389.28</v>
      </c>
      <c r="CH7" s="59" t="e">
        <f>SUM(CF7*0.03699)</f>
        <v>#REF!</v>
      </c>
      <c r="CI7" s="59" t="e">
        <f>SUM(CF7*0.03046)</f>
        <v>#REF!</v>
      </c>
      <c r="CJ7" s="59">
        <f>SUM(CG7*7.447)</f>
        <v>2898.9681599999999</v>
      </c>
      <c r="CK7" s="59" t="e">
        <f>SUM(CH7+CI7)</f>
        <v>#REF!</v>
      </c>
      <c r="CL7" s="60">
        <f t="shared" si="6"/>
        <v>72269</v>
      </c>
      <c r="CM7" s="20">
        <v>72146</v>
      </c>
      <c r="CN7" s="20">
        <v>2.1800000000000002</v>
      </c>
      <c r="CO7" s="19">
        <f>SUM(CM7-CM4)*160</f>
        <v>189920</v>
      </c>
      <c r="CP7" s="19">
        <f>(CN7)*160</f>
        <v>348.8</v>
      </c>
      <c r="CQ7" s="59">
        <f>SUM(CO7*0.03699)</f>
        <v>7025.1408000000001</v>
      </c>
      <c r="CR7" s="59">
        <f>SUM(CO7*0.03046)</f>
        <v>5784.9632000000001</v>
      </c>
      <c r="CS7" s="59">
        <f>SUM(CP7*7.447)</f>
        <v>2597.5136000000002</v>
      </c>
      <c r="CT7" s="59">
        <f>SUM(CQ7+CR7)+45</f>
        <v>12855.103999999999</v>
      </c>
      <c r="CU7" s="60">
        <f t="shared" si="35"/>
        <v>56694</v>
      </c>
      <c r="CV7" s="20">
        <v>56629</v>
      </c>
      <c r="CW7" s="20">
        <v>1.7370000000000001</v>
      </c>
      <c r="CX7" s="19">
        <f>SUM(CV7-CV4)*300</f>
        <v>141900</v>
      </c>
      <c r="CY7" s="19">
        <f>(CW7)*300</f>
        <v>521.1</v>
      </c>
      <c r="CZ7" s="59">
        <f>SUM(CX7*0.03699)</f>
        <v>5248.8810000000003</v>
      </c>
      <c r="DA7" s="59">
        <f>SUM(CX7*0.03046)</f>
        <v>4322.2740000000003</v>
      </c>
      <c r="DB7" s="59">
        <f>SUM(CY7*7.447)</f>
        <v>3880.6317000000004</v>
      </c>
      <c r="DC7" s="59">
        <f>SUM(CZ7+DA7)</f>
        <v>9571.1550000000007</v>
      </c>
      <c r="DD7" s="60">
        <f t="shared" si="7"/>
        <v>13490</v>
      </c>
      <c r="DE7" s="20">
        <v>13470</v>
      </c>
      <c r="DF7" s="20">
        <v>0.40100000000000002</v>
      </c>
      <c r="DG7" s="19">
        <f>(DE7-DE4)*40</f>
        <v>7960</v>
      </c>
      <c r="DH7" s="19">
        <f>(DF7)*40</f>
        <v>16.04</v>
      </c>
      <c r="DI7" s="59">
        <f>SUM(DG7*0.03699)</f>
        <v>294.44040000000001</v>
      </c>
      <c r="DJ7" s="59">
        <f>SUM(DG7*0.03046)</f>
        <v>242.4616</v>
      </c>
      <c r="DK7" s="59">
        <f>SUM(DH7*7.447)</f>
        <v>119.44987999999999</v>
      </c>
      <c r="DL7" s="59">
        <f>SUM(DI7+DJ7)+24</f>
        <v>560.90200000000004</v>
      </c>
      <c r="DM7" s="60">
        <f t="shared" si="8"/>
        <v>54262</v>
      </c>
      <c r="DN7" s="20">
        <v>54229</v>
      </c>
      <c r="DO7" s="20">
        <v>1.6220000000000001</v>
      </c>
      <c r="DP7" s="19">
        <f>SUM(DN7-DN4)*300</f>
        <v>205200</v>
      </c>
      <c r="DQ7" s="61">
        <f>(DO7)*300</f>
        <v>486.6</v>
      </c>
      <c r="DR7" s="59">
        <f>SUM(DP7*0.03699)</f>
        <v>7590.3480000000009</v>
      </c>
      <c r="DS7" s="59">
        <f>SUM(DP7*0.03046)</f>
        <v>6250.3919999999998</v>
      </c>
      <c r="DT7" s="59">
        <f>SUM(DQ7*7.447)</f>
        <v>3623.7102</v>
      </c>
      <c r="DU7" s="59">
        <f>SUM(DR7+DS7)+45</f>
        <v>13885.740000000002</v>
      </c>
      <c r="DV7" s="60">
        <f t="shared" si="9"/>
        <v>8164</v>
      </c>
      <c r="DW7" s="20">
        <v>8145</v>
      </c>
      <c r="DX7" s="20">
        <v>0.28499999999999998</v>
      </c>
      <c r="DY7" s="19">
        <f>SUM(DW7-DW4)*400</f>
        <v>50800</v>
      </c>
      <c r="DZ7" s="61">
        <f>(DX7)*400</f>
        <v>113.99999999999999</v>
      </c>
      <c r="EA7" s="59">
        <f>SUM(DY7*0.03699)</f>
        <v>1879.0920000000001</v>
      </c>
      <c r="EB7" s="59">
        <f>SUM(DY7*0.03046)</f>
        <v>1547.3679999999999</v>
      </c>
      <c r="EC7" s="59">
        <f>SUM(DZ7*7.447)</f>
        <v>848.95799999999986</v>
      </c>
      <c r="ED7" s="59">
        <f>SUM(EA7+EB7)+40</f>
        <v>3466.46</v>
      </c>
      <c r="EE7" s="60">
        <f t="shared" si="10"/>
        <v>56694</v>
      </c>
      <c r="EF7" s="20">
        <v>8166</v>
      </c>
      <c r="EG7" s="20">
        <v>0.33700000000000002</v>
      </c>
      <c r="EH7" s="19">
        <f>SUM(EF7-EF4)*400</f>
        <v>52800</v>
      </c>
      <c r="EI7" s="19">
        <f>(EG7)*400</f>
        <v>134.80000000000001</v>
      </c>
      <c r="EJ7" s="59">
        <f>SUM(EH7*0.03699)</f>
        <v>1953.0720000000001</v>
      </c>
      <c r="EK7" s="59">
        <f>SUM(EH7*0.03046)</f>
        <v>1608.288</v>
      </c>
      <c r="EL7" s="59">
        <f>SUM(EI7*7.447)</f>
        <v>1003.8556000000001</v>
      </c>
      <c r="EM7" s="59">
        <f>SUM(EJ7+EK7)+20</f>
        <v>3581.36</v>
      </c>
      <c r="EN7" s="60">
        <f t="shared" si="11"/>
        <v>8763</v>
      </c>
      <c r="EO7" s="20">
        <v>8749</v>
      </c>
      <c r="EP7" s="20">
        <v>0.30199999999999999</v>
      </c>
      <c r="EQ7" s="19">
        <f>SUM(EO7-EO4)*400</f>
        <v>55600</v>
      </c>
      <c r="ER7" s="19">
        <f>(EP7)*400</f>
        <v>120.8</v>
      </c>
      <c r="ES7" s="59">
        <f>SUM(EQ7*0.03699)</f>
        <v>2056.6440000000002</v>
      </c>
      <c r="ET7" s="59">
        <f>SUM(EQ7*0.03046)</f>
        <v>1693.576</v>
      </c>
      <c r="EU7" s="59">
        <f>SUM(ER7*7.447)</f>
        <v>899.59759999999994</v>
      </c>
      <c r="EV7" s="59">
        <f>SUM(ES7+ET7)+20</f>
        <v>3770.2200000000003</v>
      </c>
      <c r="EW7" s="60">
        <f t="shared" si="12"/>
        <v>14029</v>
      </c>
      <c r="EX7" s="20">
        <v>14011</v>
      </c>
      <c r="EY7" s="20">
        <v>0.54800000000000004</v>
      </c>
      <c r="EZ7" s="19">
        <f>SUM(EX7-EX4)*160</f>
        <v>31040</v>
      </c>
      <c r="FA7" s="19">
        <f>(EY7)*160</f>
        <v>87.68</v>
      </c>
      <c r="FB7" s="59">
        <f>SUM(EZ7*0.03699)</f>
        <v>1148.1696000000002</v>
      </c>
      <c r="FC7" s="59">
        <f>SUM(EZ7*0.03046)</f>
        <v>945.47840000000008</v>
      </c>
      <c r="FD7" s="59">
        <f>SUM(FA7*7.447)</f>
        <v>652.95296000000008</v>
      </c>
      <c r="FE7" s="59">
        <f>SUM(FB7+FC7)+20</f>
        <v>2113.6480000000001</v>
      </c>
      <c r="FF7" s="60">
        <f t="shared" si="13"/>
        <v>9652</v>
      </c>
      <c r="FG7" s="20">
        <v>9641</v>
      </c>
      <c r="FH7" s="20">
        <v>0.33600000000000002</v>
      </c>
      <c r="FI7" s="19">
        <f>SUM(FG7-FG4)*160</f>
        <v>19360</v>
      </c>
      <c r="FJ7" s="19">
        <f>(FH7)*160</f>
        <v>53.760000000000005</v>
      </c>
      <c r="FK7" s="59">
        <f>SUM(FI7*0.03699)</f>
        <v>716.12639999999999</v>
      </c>
      <c r="FL7" s="59">
        <f>SUM(FI7*0.03046)</f>
        <v>589.7056</v>
      </c>
      <c r="FM7" s="59">
        <f>SUM(FJ7*7.447)</f>
        <v>400.35072000000002</v>
      </c>
      <c r="FN7" s="59">
        <f>SUM(FK7+FL7)+20</f>
        <v>1325.8319999999999</v>
      </c>
      <c r="FO7" s="19">
        <f t="shared" si="14"/>
        <v>69617</v>
      </c>
      <c r="FP7" s="20">
        <v>69474</v>
      </c>
      <c r="FQ7" s="20">
        <v>2.2890000000000001</v>
      </c>
      <c r="FR7" s="19">
        <f>SUM(FP7-FP4)*200</f>
        <v>223600</v>
      </c>
      <c r="FS7" s="19">
        <f>(FQ7)*200</f>
        <v>457.8</v>
      </c>
      <c r="FT7" s="59">
        <f>SUM(FR7*0.03699)</f>
        <v>8270.9639999999999</v>
      </c>
      <c r="FU7" s="59">
        <f>SUM(FR7*0.03046)</f>
        <v>6810.8559999999998</v>
      </c>
      <c r="FV7" s="59">
        <f>SUM(FS7*7.447)</f>
        <v>3409.2366000000002</v>
      </c>
      <c r="FW7" s="59">
        <f>SUM((FT7+FU7)+20)*1.09</f>
        <v>16460.983800000002</v>
      </c>
      <c r="FX7" s="50"/>
      <c r="FY7" s="74" t="e">
        <f>SUM(CA7+CF7+CO7+CX7+DG7+DP7+DY7+EH7+EQ7+EZ7+FI7+FR7)</f>
        <v>#REF!</v>
      </c>
      <c r="FZ7" s="75" t="e">
        <f>SUM(CB7+CK7,CT7,DC7,DL7,DU7,ED7,EM7,EV7,FE7,FN7+FW7)</f>
        <v>#REF!</v>
      </c>
      <c r="GA7" s="75">
        <f>SUM(CJ7,CS7,DB7,DK7,DT7,EC7,EL7,EU7,FD7,FM7,FV7)</f>
        <v>20335.225019999998</v>
      </c>
      <c r="GB7" s="75" t="e">
        <f>SUM(FZ7:GA7)</f>
        <v>#REF!</v>
      </c>
      <c r="GC7" s="14"/>
      <c r="GE7" s="60">
        <f t="shared" si="15"/>
        <v>6185</v>
      </c>
      <c r="GF7" s="20">
        <v>6176</v>
      </c>
      <c r="GG7" s="20">
        <v>0.27400000000000002</v>
      </c>
      <c r="GH7" s="19">
        <f>SUM(GF7-GF4)*100</f>
        <v>7300</v>
      </c>
      <c r="GI7" s="19">
        <f>SUM(GG7)*100</f>
        <v>27.400000000000002</v>
      </c>
      <c r="GJ7" s="62">
        <f>SUM(GH7*0.03699)</f>
        <v>270.02699999999999</v>
      </c>
      <c r="GK7" s="62">
        <f>SUM(GH7*0.03046)</f>
        <v>222.358</v>
      </c>
      <c r="GL7" s="62">
        <f>SUM(GI7*7.447)</f>
        <v>204.04780000000002</v>
      </c>
      <c r="GM7" s="59">
        <f>SUM(GK7+GJ7+20)*1.1048</f>
        <v>566.08294799999999</v>
      </c>
      <c r="GN7" s="19">
        <f t="shared" si="16"/>
        <v>48348</v>
      </c>
      <c r="GO7" s="20">
        <v>48279</v>
      </c>
      <c r="GP7" s="20">
        <v>1.8140000000000001</v>
      </c>
      <c r="GQ7" s="19">
        <f>SUM(GO7-GO4)*100</f>
        <v>60100</v>
      </c>
      <c r="GR7" s="19">
        <f>SUM(GP7)*100</f>
        <v>181.4</v>
      </c>
      <c r="GS7" s="62">
        <f>SUM(GQ7*0.03699)</f>
        <v>2223.0990000000002</v>
      </c>
      <c r="GT7" s="62">
        <f>SUM(GQ7*0.03046)</f>
        <v>1830.646</v>
      </c>
      <c r="GU7" s="62">
        <f>SUM(GR7*7.447)</f>
        <v>1350.8858</v>
      </c>
      <c r="GV7" s="59">
        <f>SUM(GT7+GS7+20)*1.1048</f>
        <v>4500.6734759999999</v>
      </c>
      <c r="GW7" s="60">
        <f t="shared" si="17"/>
        <v>41961</v>
      </c>
      <c r="GX7" s="20">
        <v>41582</v>
      </c>
      <c r="GY7" s="19">
        <f>SUM(GX7-GX4)</f>
        <v>3701</v>
      </c>
      <c r="GZ7" s="59">
        <f>SUM(GY7*0.12043)</f>
        <v>445.71143000000001</v>
      </c>
      <c r="HA7" s="59">
        <f>SUM(GY7*0.03046)</f>
        <v>112.73246</v>
      </c>
      <c r="HB7" s="59">
        <f>SUM(GZ7+HA7+2.85)*1.07</f>
        <v>600.58446230000004</v>
      </c>
      <c r="HC7" s="60">
        <f t="shared" si="18"/>
        <v>43347</v>
      </c>
      <c r="HD7" s="20">
        <v>43341</v>
      </c>
      <c r="HE7" s="20">
        <v>3.7570000000000001</v>
      </c>
      <c r="HF7" s="19">
        <f>SUM(HD7-HD4)*40</f>
        <v>5240</v>
      </c>
      <c r="HG7" s="19">
        <f>SUM(HE7)*40</f>
        <v>150.28</v>
      </c>
      <c r="HH7" s="59">
        <f>SUM(HF7*0.03699)</f>
        <v>193.82760000000002</v>
      </c>
      <c r="HI7" s="59">
        <f>SUM(HF7*0.03046)</f>
        <v>159.6104</v>
      </c>
      <c r="HJ7" s="59">
        <f>SUM(HG7*7.447)</f>
        <v>1119.13516</v>
      </c>
      <c r="HK7" s="59">
        <f>SUM(HI7+HH7+20)*1.1048</f>
        <v>412.57430239999997</v>
      </c>
      <c r="HL7" s="20">
        <f>SUM(GH7+GQ7+GY7+HF7)</f>
        <v>76341</v>
      </c>
      <c r="HM7" s="75">
        <f>SUM(HK7+HB7+GV7+GM7)</f>
        <v>6079.9151886999998</v>
      </c>
      <c r="HN7" s="75">
        <f>SUM(GL7+GU7+HJ7)</f>
        <v>2674.0687600000001</v>
      </c>
      <c r="HO7" s="75">
        <f>SUM(HM7:HN7)</f>
        <v>8753.983948699999</v>
      </c>
      <c r="HP7" s="18"/>
      <c r="HQ7" s="74" t="e">
        <f t="shared" ref="HQ7:HS7" si="36">(FY7+HL7)</f>
        <v>#REF!</v>
      </c>
      <c r="HR7" s="75" t="e">
        <f t="shared" si="36"/>
        <v>#REF!</v>
      </c>
      <c r="HS7" s="75">
        <f t="shared" si="36"/>
        <v>23009.29378</v>
      </c>
      <c r="HT7" s="75" t="e">
        <f t="shared" ref="HT7" si="37">(HR7+HS7)</f>
        <v>#REF!</v>
      </c>
    </row>
    <row r="8" spans="2:228">
      <c r="B8" s="58">
        <v>43496</v>
      </c>
      <c r="C8" s="20">
        <v>72442</v>
      </c>
      <c r="D8" s="20">
        <v>2.1949999999999998</v>
      </c>
      <c r="E8" s="34">
        <f t="shared" si="19"/>
        <v>27680</v>
      </c>
      <c r="F8" s="34"/>
      <c r="G8" s="20">
        <v>67644</v>
      </c>
      <c r="H8" s="20">
        <v>2.2160000000000002</v>
      </c>
      <c r="I8" s="34">
        <f t="shared" si="20"/>
        <v>26400</v>
      </c>
      <c r="J8" s="34"/>
      <c r="K8" s="20">
        <v>8201</v>
      </c>
      <c r="L8" s="20">
        <v>2.7</v>
      </c>
      <c r="M8" s="34">
        <f t="shared" si="21"/>
        <v>8000</v>
      </c>
      <c r="N8" s="34"/>
      <c r="O8" s="20">
        <v>8184</v>
      </c>
      <c r="P8" s="20">
        <v>1.74</v>
      </c>
      <c r="Q8" s="34">
        <f t="shared" si="22"/>
        <v>8000</v>
      </c>
      <c r="R8" s="34"/>
      <c r="S8" s="20">
        <v>8784</v>
      </c>
      <c r="T8" s="20">
        <v>2.88</v>
      </c>
      <c r="U8" s="34">
        <f t="shared" si="23"/>
        <v>8400</v>
      </c>
      <c r="V8" s="34"/>
      <c r="W8" s="20">
        <v>56789</v>
      </c>
      <c r="X8" s="20">
        <v>1.806</v>
      </c>
      <c r="Y8" s="34">
        <f t="shared" si="24"/>
        <v>28500</v>
      </c>
      <c r="Z8" s="34"/>
      <c r="AA8" s="20">
        <v>54311</v>
      </c>
      <c r="AB8" s="20">
        <v>1.518</v>
      </c>
      <c r="AC8" s="34">
        <f t="shared" si="25"/>
        <v>14700</v>
      </c>
      <c r="AD8" s="34"/>
      <c r="AE8" s="20">
        <v>14057</v>
      </c>
      <c r="AF8" s="20">
        <v>3.91</v>
      </c>
      <c r="AG8" s="34">
        <f t="shared" si="26"/>
        <v>4480</v>
      </c>
      <c r="AH8" s="34"/>
      <c r="AI8" s="20">
        <v>9672</v>
      </c>
      <c r="AJ8" s="20">
        <v>3.52</v>
      </c>
      <c r="AK8" s="34">
        <f t="shared" si="27"/>
        <v>3200</v>
      </c>
      <c r="AL8" s="34"/>
      <c r="AM8" s="20">
        <v>69781</v>
      </c>
      <c r="AN8" s="20">
        <v>2.081</v>
      </c>
      <c r="AO8" s="34">
        <f t="shared" si="28"/>
        <v>32800</v>
      </c>
      <c r="AP8" s="34"/>
      <c r="AQ8" s="20">
        <v>13520</v>
      </c>
      <c r="AR8" s="20">
        <v>0.41199999999999998</v>
      </c>
      <c r="AS8" s="34">
        <f t="shared" si="29"/>
        <v>1200</v>
      </c>
      <c r="AT8" s="34"/>
      <c r="AU8" s="205">
        <v>26349</v>
      </c>
      <c r="AV8" s="205"/>
      <c r="AW8" s="34">
        <f t="shared" si="30"/>
        <v>362</v>
      </c>
      <c r="AX8" s="34"/>
      <c r="AZ8" s="34">
        <f t="shared" si="0"/>
        <v>163722</v>
      </c>
      <c r="BA8" s="20">
        <f t="shared" si="1"/>
        <v>34000</v>
      </c>
      <c r="BB8" s="20">
        <f t="shared" si="2"/>
        <v>0.20766909761669172</v>
      </c>
      <c r="BC8" s="20">
        <f>SUM(AZ4:AZ8)</f>
        <v>1923771</v>
      </c>
      <c r="BD8" s="14"/>
      <c r="BE8" s="64">
        <v>43496</v>
      </c>
      <c r="BF8" s="20">
        <v>48415</v>
      </c>
      <c r="BG8" s="34">
        <f t="shared" si="31"/>
        <v>6700</v>
      </c>
      <c r="BI8" s="20">
        <v>6195</v>
      </c>
      <c r="BJ8" s="34">
        <f t="shared" si="32"/>
        <v>1000</v>
      </c>
      <c r="BL8" s="20">
        <v>42465</v>
      </c>
      <c r="BM8" s="34">
        <f t="shared" si="33"/>
        <v>504</v>
      </c>
      <c r="BN8" s="20"/>
      <c r="BO8" s="20">
        <v>43352</v>
      </c>
      <c r="BP8" s="34">
        <f t="shared" si="34"/>
        <v>200</v>
      </c>
      <c r="BR8" s="14"/>
      <c r="BS8" s="20">
        <f t="shared" si="3"/>
        <v>8404</v>
      </c>
      <c r="BT8" s="20">
        <f>SUM(BS5:BS8)</f>
        <v>62909</v>
      </c>
      <c r="BU8" s="20">
        <f>SUM(BC8+BT8)</f>
        <v>1986680</v>
      </c>
      <c r="BW8" s="14"/>
      <c r="BY8" s="19">
        <f t="shared" si="4"/>
        <v>26349</v>
      </c>
      <c r="CC8" s="60">
        <f t="shared" si="5"/>
        <v>67644</v>
      </c>
      <c r="CL8" s="60">
        <f t="shared" si="6"/>
        <v>72442</v>
      </c>
      <c r="CU8" s="60">
        <f t="shared" si="35"/>
        <v>56789</v>
      </c>
      <c r="DD8" s="60">
        <f t="shared" si="7"/>
        <v>13520</v>
      </c>
      <c r="DM8" s="60">
        <f t="shared" si="8"/>
        <v>54311</v>
      </c>
      <c r="DV8" s="60">
        <f t="shared" si="9"/>
        <v>8184</v>
      </c>
      <c r="EE8" s="60">
        <f t="shared" si="10"/>
        <v>56789</v>
      </c>
      <c r="EN8" s="60">
        <f t="shared" si="11"/>
        <v>8784</v>
      </c>
      <c r="EW8" s="60">
        <f t="shared" si="12"/>
        <v>14057</v>
      </c>
      <c r="FF8" s="60">
        <f t="shared" si="13"/>
        <v>9672</v>
      </c>
      <c r="FO8" s="19">
        <f t="shared" si="14"/>
        <v>69781</v>
      </c>
      <c r="FX8" s="50"/>
      <c r="GC8" s="14"/>
      <c r="GE8" s="60">
        <f t="shared" si="15"/>
        <v>6195</v>
      </c>
      <c r="GN8" s="60">
        <f t="shared" si="16"/>
        <v>48415</v>
      </c>
      <c r="GW8" s="60">
        <f t="shared" si="17"/>
        <v>42465</v>
      </c>
      <c r="HC8" s="60">
        <f t="shared" si="18"/>
        <v>43352</v>
      </c>
      <c r="HP8" s="18"/>
    </row>
    <row r="9" spans="2:228">
      <c r="B9" s="58">
        <v>43499</v>
      </c>
      <c r="C9" s="20">
        <v>72557</v>
      </c>
      <c r="D9" s="20">
        <v>2.1949999999999998</v>
      </c>
      <c r="E9" s="34">
        <f t="shared" si="19"/>
        <v>18400</v>
      </c>
      <c r="F9" s="34"/>
      <c r="G9" s="20">
        <v>67760</v>
      </c>
      <c r="H9" s="20">
        <v>2.3220000000000001</v>
      </c>
      <c r="I9" s="34">
        <f t="shared" si="20"/>
        <v>18560</v>
      </c>
      <c r="J9" s="34"/>
      <c r="K9" s="20">
        <v>8212</v>
      </c>
      <c r="L9" s="20">
        <v>0.27</v>
      </c>
      <c r="M9" s="34">
        <f t="shared" si="21"/>
        <v>4400</v>
      </c>
      <c r="N9" s="34"/>
      <c r="O9" s="20">
        <v>8197</v>
      </c>
      <c r="P9" s="20">
        <v>0.27400000000000002</v>
      </c>
      <c r="Q9" s="34">
        <f t="shared" si="22"/>
        <v>5200</v>
      </c>
      <c r="R9" s="34"/>
      <c r="S9" s="20">
        <v>8797</v>
      </c>
      <c r="T9" s="20">
        <v>0.28799999999999998</v>
      </c>
      <c r="U9" s="34">
        <f t="shared" si="23"/>
        <v>5200</v>
      </c>
      <c r="V9" s="34"/>
      <c r="W9" s="20">
        <v>56964</v>
      </c>
      <c r="X9" s="20">
        <v>0.18029999999999999</v>
      </c>
      <c r="Y9" s="34">
        <f t="shared" si="24"/>
        <v>52500</v>
      </c>
      <c r="Z9" s="34"/>
      <c r="AA9" s="20">
        <v>54385</v>
      </c>
      <c r="AB9" s="20">
        <v>0.15179999999999999</v>
      </c>
      <c r="AC9" s="34">
        <f t="shared" si="25"/>
        <v>22200</v>
      </c>
      <c r="AD9" s="34"/>
      <c r="AE9" s="20">
        <v>14074</v>
      </c>
      <c r="AF9" s="20">
        <v>0.4</v>
      </c>
      <c r="AG9" s="34">
        <f t="shared" si="26"/>
        <v>2720</v>
      </c>
      <c r="AH9" s="34"/>
      <c r="AI9" s="20">
        <v>9683</v>
      </c>
      <c r="AJ9" s="20">
        <v>0.35699999999999998</v>
      </c>
      <c r="AK9" s="34">
        <f t="shared" si="27"/>
        <v>1760</v>
      </c>
      <c r="AL9" s="34"/>
      <c r="AM9" s="20">
        <v>69898</v>
      </c>
      <c r="AN9" s="20">
        <v>2.2029999999999998</v>
      </c>
      <c r="AO9" s="34">
        <f t="shared" si="28"/>
        <v>23400</v>
      </c>
      <c r="AP9" s="34"/>
      <c r="AQ9" s="20">
        <v>13538</v>
      </c>
      <c r="AR9" s="20">
        <v>0.41499999999999998</v>
      </c>
      <c r="AS9" s="34">
        <f t="shared" si="29"/>
        <v>720</v>
      </c>
      <c r="AT9" s="34"/>
      <c r="AU9" s="205">
        <v>26589</v>
      </c>
      <c r="AV9" s="205"/>
      <c r="AW9" s="34">
        <f t="shared" si="30"/>
        <v>240</v>
      </c>
      <c r="AX9" s="34"/>
      <c r="AZ9" s="34">
        <f t="shared" si="0"/>
        <v>155300</v>
      </c>
      <c r="BA9" s="20">
        <f t="shared" si="1"/>
        <v>24120</v>
      </c>
      <c r="BB9" s="20">
        <f t="shared" si="2"/>
        <v>0.1553122987765615</v>
      </c>
      <c r="BD9" s="14"/>
      <c r="BE9" s="64">
        <v>43499</v>
      </c>
      <c r="BF9" s="20">
        <v>48481</v>
      </c>
      <c r="BG9" s="34">
        <f t="shared" si="31"/>
        <v>6600</v>
      </c>
      <c r="BI9" s="20">
        <v>6202</v>
      </c>
      <c r="BJ9" s="34">
        <f t="shared" si="32"/>
        <v>700</v>
      </c>
      <c r="BL9" s="20">
        <v>42851</v>
      </c>
      <c r="BM9" s="34">
        <f t="shared" si="33"/>
        <v>386</v>
      </c>
      <c r="BN9" s="20"/>
      <c r="BO9" s="20">
        <v>43364</v>
      </c>
      <c r="BP9" s="34">
        <f t="shared" si="34"/>
        <v>480</v>
      </c>
      <c r="BR9" s="14"/>
      <c r="BS9" s="20">
        <f t="shared" si="3"/>
        <v>8166</v>
      </c>
      <c r="BW9" s="14"/>
      <c r="BY9" s="19">
        <f t="shared" si="4"/>
        <v>26589</v>
      </c>
      <c r="CC9" s="60">
        <f t="shared" si="5"/>
        <v>67760</v>
      </c>
      <c r="CL9" s="60">
        <f t="shared" si="6"/>
        <v>72557</v>
      </c>
      <c r="CU9" s="60">
        <f t="shared" si="35"/>
        <v>56964</v>
      </c>
      <c r="DD9" s="60">
        <f t="shared" si="7"/>
        <v>13538</v>
      </c>
      <c r="DM9" s="60">
        <f t="shared" si="8"/>
        <v>54385</v>
      </c>
      <c r="DV9" s="60">
        <f t="shared" si="9"/>
        <v>8197</v>
      </c>
      <c r="EE9" s="60">
        <f t="shared" si="10"/>
        <v>56964</v>
      </c>
      <c r="EN9" s="60">
        <f t="shared" si="11"/>
        <v>8797</v>
      </c>
      <c r="EW9" s="60">
        <f t="shared" si="12"/>
        <v>14074</v>
      </c>
      <c r="FF9" s="60">
        <f t="shared" si="13"/>
        <v>9683</v>
      </c>
      <c r="FO9" s="19">
        <f t="shared" si="14"/>
        <v>69898</v>
      </c>
      <c r="FX9" s="50"/>
      <c r="GC9" s="14"/>
      <c r="GE9" s="60">
        <f t="shared" si="15"/>
        <v>6202</v>
      </c>
      <c r="GN9" s="60">
        <f t="shared" si="16"/>
        <v>48481</v>
      </c>
      <c r="GW9" s="60">
        <f t="shared" si="17"/>
        <v>42851</v>
      </c>
      <c r="HC9" s="60">
        <f t="shared" si="18"/>
        <v>43364</v>
      </c>
      <c r="HP9" s="18"/>
    </row>
    <row r="10" spans="2:228">
      <c r="B10" s="58">
        <v>43506</v>
      </c>
      <c r="C10" s="20">
        <v>72842</v>
      </c>
      <c r="D10" s="20">
        <v>2.1949999999999998</v>
      </c>
      <c r="E10" s="34">
        <f t="shared" si="19"/>
        <v>45600</v>
      </c>
      <c r="F10" s="34"/>
      <c r="G10" s="20">
        <v>68041</v>
      </c>
      <c r="H10" s="20">
        <v>2.3220000000000001</v>
      </c>
      <c r="I10" s="34">
        <f t="shared" si="20"/>
        <v>44960</v>
      </c>
      <c r="J10" s="34"/>
      <c r="K10" s="20">
        <v>8242</v>
      </c>
      <c r="L10" s="20">
        <v>2.82</v>
      </c>
      <c r="M10" s="34">
        <f t="shared" si="21"/>
        <v>12000</v>
      </c>
      <c r="N10" s="34"/>
      <c r="O10" s="20">
        <v>8227</v>
      </c>
      <c r="P10" s="20">
        <v>0.27400000000000002</v>
      </c>
      <c r="Q10" s="34">
        <f t="shared" si="22"/>
        <v>12000</v>
      </c>
      <c r="R10" s="34"/>
      <c r="S10" s="20">
        <v>8829</v>
      </c>
      <c r="T10" s="20">
        <v>0.317</v>
      </c>
      <c r="U10" s="34">
        <f t="shared" si="23"/>
        <v>12800</v>
      </c>
      <c r="V10" s="34"/>
      <c r="W10" s="20">
        <v>57049</v>
      </c>
      <c r="X10" s="20">
        <v>2</v>
      </c>
      <c r="Y10" s="34">
        <f t="shared" si="24"/>
        <v>25500</v>
      </c>
      <c r="Z10" s="34"/>
      <c r="AA10" s="20">
        <v>54525</v>
      </c>
      <c r="AB10" s="20">
        <v>1.9</v>
      </c>
      <c r="AC10" s="34">
        <f t="shared" si="25"/>
        <v>42000</v>
      </c>
      <c r="AD10" s="34"/>
      <c r="AE10" s="20">
        <v>14133</v>
      </c>
      <c r="AF10" s="20">
        <v>5.7</v>
      </c>
      <c r="AG10" s="34">
        <f t="shared" si="26"/>
        <v>9440</v>
      </c>
      <c r="AH10" s="34"/>
      <c r="AI10" s="20">
        <v>9714</v>
      </c>
      <c r="AJ10" s="20">
        <v>0.35699999999999998</v>
      </c>
      <c r="AK10" s="34">
        <f t="shared" si="27"/>
        <v>4960</v>
      </c>
      <c r="AL10" s="34"/>
      <c r="AM10" s="20">
        <v>70191</v>
      </c>
      <c r="AN10" s="20">
        <v>2.2029999999999998</v>
      </c>
      <c r="AO10" s="34">
        <f t="shared" si="28"/>
        <v>58600</v>
      </c>
      <c r="AP10" s="34"/>
      <c r="AQ10" s="20">
        <v>13596</v>
      </c>
      <c r="AR10" s="20">
        <v>0.41499999999999998</v>
      </c>
      <c r="AS10" s="34">
        <f t="shared" si="29"/>
        <v>2320</v>
      </c>
      <c r="AT10" s="34"/>
      <c r="AU10" s="205">
        <v>27186</v>
      </c>
      <c r="AV10" s="205"/>
      <c r="AW10" s="34">
        <f t="shared" si="30"/>
        <v>597</v>
      </c>
      <c r="AX10" s="34"/>
      <c r="AZ10" s="34">
        <f t="shared" si="0"/>
        <v>270777</v>
      </c>
      <c r="BA10" s="20">
        <f t="shared" si="1"/>
        <v>60920</v>
      </c>
      <c r="BB10" s="20">
        <f t="shared" si="2"/>
        <v>0.2249821809090137</v>
      </c>
      <c r="BD10" s="14"/>
      <c r="BE10" s="64">
        <v>43506</v>
      </c>
      <c r="BF10" s="20">
        <v>48626</v>
      </c>
      <c r="BG10" s="34">
        <f t="shared" si="31"/>
        <v>14500</v>
      </c>
      <c r="BI10" s="20">
        <v>6220</v>
      </c>
      <c r="BJ10" s="34">
        <f t="shared" si="32"/>
        <v>1800</v>
      </c>
      <c r="BL10" s="20">
        <v>43739</v>
      </c>
      <c r="BM10" s="34">
        <f t="shared" si="33"/>
        <v>888</v>
      </c>
      <c r="BN10" s="20"/>
      <c r="BO10" s="20">
        <v>43442</v>
      </c>
      <c r="BP10" s="34">
        <f t="shared" si="34"/>
        <v>3120</v>
      </c>
      <c r="BR10" s="14"/>
      <c r="BS10" s="20">
        <f t="shared" si="3"/>
        <v>20308</v>
      </c>
      <c r="BW10" s="14"/>
      <c r="BY10" s="19">
        <f t="shared" si="4"/>
        <v>27186</v>
      </c>
      <c r="CC10" s="60">
        <f t="shared" si="5"/>
        <v>68041</v>
      </c>
      <c r="CL10" s="60">
        <f t="shared" si="6"/>
        <v>72842</v>
      </c>
      <c r="CU10" s="60">
        <f t="shared" si="35"/>
        <v>57049</v>
      </c>
      <c r="DD10" s="60">
        <f t="shared" si="7"/>
        <v>13596</v>
      </c>
      <c r="DM10" s="60">
        <f t="shared" si="8"/>
        <v>54525</v>
      </c>
      <c r="DV10" s="60">
        <f t="shared" si="9"/>
        <v>8227</v>
      </c>
      <c r="EE10" s="60">
        <f t="shared" si="10"/>
        <v>57049</v>
      </c>
      <c r="EN10" s="60">
        <f t="shared" si="11"/>
        <v>8829</v>
      </c>
      <c r="EW10" s="60">
        <f t="shared" si="12"/>
        <v>14133</v>
      </c>
      <c r="FF10" s="60">
        <f t="shared" si="13"/>
        <v>9714</v>
      </c>
      <c r="FO10" s="19">
        <f t="shared" si="14"/>
        <v>70191</v>
      </c>
      <c r="FX10" s="50"/>
      <c r="GC10" s="14"/>
      <c r="GE10" s="60">
        <f t="shared" si="15"/>
        <v>6220</v>
      </c>
      <c r="GN10" s="60">
        <f t="shared" si="16"/>
        <v>48626</v>
      </c>
      <c r="GW10" s="60">
        <f t="shared" si="17"/>
        <v>43739</v>
      </c>
      <c r="HC10" s="60">
        <f t="shared" si="18"/>
        <v>43442</v>
      </c>
      <c r="HP10" s="18"/>
    </row>
    <row r="11" spans="2:228">
      <c r="B11" s="58">
        <v>43513</v>
      </c>
      <c r="C11" s="20">
        <v>73131</v>
      </c>
      <c r="D11" s="20">
        <v>2.1949999999999998</v>
      </c>
      <c r="E11" s="34">
        <f t="shared" si="19"/>
        <v>46240</v>
      </c>
      <c r="F11" s="34"/>
      <c r="G11" s="20">
        <v>68333</v>
      </c>
      <c r="H11" s="20">
        <v>2.3220000000000001</v>
      </c>
      <c r="I11" s="34">
        <f t="shared" si="20"/>
        <v>46720</v>
      </c>
      <c r="J11" s="34"/>
      <c r="K11" s="20">
        <v>8273</v>
      </c>
      <c r="L11" s="20">
        <v>2.82</v>
      </c>
      <c r="M11" s="34">
        <f t="shared" si="21"/>
        <v>12400</v>
      </c>
      <c r="N11" s="34"/>
      <c r="O11" s="20">
        <v>8258</v>
      </c>
      <c r="P11" s="20">
        <v>0.27400000000000002</v>
      </c>
      <c r="Q11" s="34">
        <f t="shared" si="22"/>
        <v>12400</v>
      </c>
      <c r="R11" s="34"/>
      <c r="S11" s="20">
        <v>8851</v>
      </c>
      <c r="T11" s="20">
        <v>0.317</v>
      </c>
      <c r="U11" s="34">
        <f t="shared" si="23"/>
        <v>8800</v>
      </c>
      <c r="V11" s="34"/>
      <c r="W11" s="20">
        <v>57247</v>
      </c>
      <c r="X11" s="20">
        <v>2.0779999999999998</v>
      </c>
      <c r="Y11" s="34">
        <f t="shared" si="24"/>
        <v>59400</v>
      </c>
      <c r="Z11" s="34"/>
      <c r="AA11" s="20">
        <v>54657</v>
      </c>
      <c r="AB11" s="20">
        <v>1.9</v>
      </c>
      <c r="AC11" s="34">
        <f t="shared" si="25"/>
        <v>39600</v>
      </c>
      <c r="AD11" s="34"/>
      <c r="AE11" s="20">
        <v>14181</v>
      </c>
      <c r="AF11" s="20">
        <v>5.7</v>
      </c>
      <c r="AG11" s="34">
        <f t="shared" si="26"/>
        <v>7680</v>
      </c>
      <c r="AH11" s="34"/>
      <c r="AI11" s="20">
        <v>9745</v>
      </c>
      <c r="AJ11" s="20">
        <v>0.35699999999999998</v>
      </c>
      <c r="AK11" s="34">
        <f t="shared" si="27"/>
        <v>4960</v>
      </c>
      <c r="AL11" s="34"/>
      <c r="AM11" s="20">
        <v>70489</v>
      </c>
      <c r="AN11" s="20">
        <v>2.355</v>
      </c>
      <c r="AO11" s="34">
        <f t="shared" si="28"/>
        <v>59600</v>
      </c>
      <c r="AP11" s="34"/>
      <c r="AQ11" s="20">
        <v>13635</v>
      </c>
      <c r="AR11" s="20">
        <v>0.41499999999999998</v>
      </c>
      <c r="AS11" s="34">
        <f t="shared" si="29"/>
        <v>1560</v>
      </c>
      <c r="AT11" s="34"/>
      <c r="AU11" s="205">
        <v>27781</v>
      </c>
      <c r="AV11" s="205"/>
      <c r="AW11" s="34">
        <f t="shared" si="30"/>
        <v>595</v>
      </c>
      <c r="AX11" s="34"/>
      <c r="AZ11" s="34">
        <f t="shared" si="0"/>
        <v>299955</v>
      </c>
      <c r="BA11" s="20">
        <f t="shared" si="1"/>
        <v>61160</v>
      </c>
      <c r="BB11" s="20">
        <f t="shared" si="2"/>
        <v>0.20389725125435482</v>
      </c>
      <c r="BD11" s="14"/>
      <c r="BE11" s="64">
        <v>43513</v>
      </c>
      <c r="BF11" s="20">
        <v>48780</v>
      </c>
      <c r="BG11" s="34">
        <f t="shared" si="31"/>
        <v>15400</v>
      </c>
      <c r="BI11" s="20">
        <v>6238</v>
      </c>
      <c r="BJ11" s="34">
        <f t="shared" si="32"/>
        <v>1800</v>
      </c>
      <c r="BL11" s="20">
        <v>44628</v>
      </c>
      <c r="BM11" s="34">
        <f t="shared" si="33"/>
        <v>889</v>
      </c>
      <c r="BN11" s="20"/>
      <c r="BO11" s="20">
        <v>43474</v>
      </c>
      <c r="BP11" s="34">
        <f t="shared" si="34"/>
        <v>1280</v>
      </c>
      <c r="BR11" s="14"/>
      <c r="BS11" s="20">
        <f t="shared" si="3"/>
        <v>19369</v>
      </c>
      <c r="BW11" s="14"/>
      <c r="BY11" s="19">
        <f t="shared" si="4"/>
        <v>27781</v>
      </c>
      <c r="CC11" s="60">
        <f t="shared" si="5"/>
        <v>68333</v>
      </c>
      <c r="CL11" s="60">
        <f t="shared" si="6"/>
        <v>73131</v>
      </c>
      <c r="CU11" s="60">
        <f t="shared" si="35"/>
        <v>57247</v>
      </c>
      <c r="DD11" s="60">
        <f t="shared" si="7"/>
        <v>13635</v>
      </c>
      <c r="DM11" s="60">
        <f t="shared" si="8"/>
        <v>54657</v>
      </c>
      <c r="DV11" s="60">
        <f t="shared" si="9"/>
        <v>8258</v>
      </c>
      <c r="EE11" s="60">
        <f t="shared" si="10"/>
        <v>57247</v>
      </c>
      <c r="EN11" s="60">
        <f t="shared" si="11"/>
        <v>8851</v>
      </c>
      <c r="EW11" s="60">
        <f t="shared" si="12"/>
        <v>14181</v>
      </c>
      <c r="FF11" s="60">
        <f t="shared" si="13"/>
        <v>9745</v>
      </c>
      <c r="FO11" s="19">
        <f t="shared" si="14"/>
        <v>70489</v>
      </c>
      <c r="FX11" s="50"/>
      <c r="GC11" s="14"/>
      <c r="GE11" s="60">
        <f t="shared" si="15"/>
        <v>6238</v>
      </c>
      <c r="GN11" s="60">
        <f t="shared" si="16"/>
        <v>48780</v>
      </c>
      <c r="GW11" s="60">
        <f t="shared" si="17"/>
        <v>44628</v>
      </c>
      <c r="HC11" s="60">
        <f t="shared" si="18"/>
        <v>43474</v>
      </c>
      <c r="HP11" s="18"/>
    </row>
    <row r="12" spans="2:228">
      <c r="B12" s="58">
        <v>43520</v>
      </c>
      <c r="C12" s="20">
        <v>73420</v>
      </c>
      <c r="D12" s="20">
        <v>2.2040000000000002</v>
      </c>
      <c r="E12" s="34">
        <f t="shared" si="19"/>
        <v>46240</v>
      </c>
      <c r="F12" s="34"/>
      <c r="G12" s="20">
        <v>68630</v>
      </c>
      <c r="H12" s="20">
        <v>2.286</v>
      </c>
      <c r="I12" s="34">
        <f t="shared" si="20"/>
        <v>47520</v>
      </c>
      <c r="J12" s="34"/>
      <c r="K12" s="20">
        <v>8305</v>
      </c>
      <c r="L12" s="20">
        <v>2.57</v>
      </c>
      <c r="M12" s="34">
        <f t="shared" si="21"/>
        <v>12800</v>
      </c>
      <c r="N12" s="34"/>
      <c r="O12" s="20">
        <v>8290</v>
      </c>
      <c r="P12" s="20">
        <v>0.254</v>
      </c>
      <c r="Q12" s="34">
        <f t="shared" si="22"/>
        <v>12800</v>
      </c>
      <c r="R12" s="34"/>
      <c r="S12" s="20">
        <v>8855</v>
      </c>
      <c r="T12" s="20">
        <v>0.25800000000000001</v>
      </c>
      <c r="U12" s="34">
        <f t="shared" si="23"/>
        <v>1600</v>
      </c>
      <c r="V12" s="34"/>
      <c r="W12" s="20">
        <v>57512</v>
      </c>
      <c r="X12" s="20">
        <v>2.6110000000000002</v>
      </c>
      <c r="Y12" s="34">
        <f t="shared" si="24"/>
        <v>79500</v>
      </c>
      <c r="Z12" s="34"/>
      <c r="AA12" s="20">
        <v>54848</v>
      </c>
      <c r="AB12" s="20">
        <v>2.2759999999999998</v>
      </c>
      <c r="AC12" s="34">
        <f t="shared" si="25"/>
        <v>57300</v>
      </c>
      <c r="AD12" s="34"/>
      <c r="AE12" s="20">
        <v>14238</v>
      </c>
      <c r="AF12" s="20">
        <v>3.48</v>
      </c>
      <c r="AG12" s="34">
        <f t="shared" si="26"/>
        <v>9120</v>
      </c>
      <c r="AH12" s="34"/>
      <c r="AI12" s="20">
        <v>9776</v>
      </c>
      <c r="AJ12" s="20">
        <v>0.311</v>
      </c>
      <c r="AK12" s="34">
        <f t="shared" si="27"/>
        <v>4960</v>
      </c>
      <c r="AL12" s="34"/>
      <c r="AM12" s="20">
        <v>70772</v>
      </c>
      <c r="AN12" s="20">
        <v>2.1720000000000002</v>
      </c>
      <c r="AO12" s="34">
        <f t="shared" si="28"/>
        <v>56600</v>
      </c>
      <c r="AP12" s="34"/>
      <c r="AQ12" s="20">
        <v>13672</v>
      </c>
      <c r="AR12" s="20">
        <v>0.318</v>
      </c>
      <c r="AS12" s="34">
        <f t="shared" si="29"/>
        <v>1480</v>
      </c>
      <c r="AT12" s="34"/>
      <c r="AU12" s="205">
        <v>28396</v>
      </c>
      <c r="AV12" s="205"/>
      <c r="AW12" s="34">
        <f t="shared" si="30"/>
        <v>615</v>
      </c>
      <c r="AX12" s="34"/>
      <c r="AZ12" s="34">
        <f t="shared" si="0"/>
        <v>330535</v>
      </c>
      <c r="BA12" s="20">
        <f t="shared" si="1"/>
        <v>58080</v>
      </c>
      <c r="BB12" s="20">
        <f t="shared" si="2"/>
        <v>0.17571512850378931</v>
      </c>
      <c r="BD12" s="14"/>
      <c r="BE12" s="64">
        <v>43520</v>
      </c>
      <c r="BF12" s="20">
        <v>48950</v>
      </c>
      <c r="BG12" s="34">
        <f t="shared" si="31"/>
        <v>17000</v>
      </c>
      <c r="BI12" s="20">
        <v>6257</v>
      </c>
      <c r="BJ12" s="34">
        <f t="shared" si="32"/>
        <v>1900</v>
      </c>
      <c r="BL12" s="20">
        <v>45524</v>
      </c>
      <c r="BM12" s="34">
        <f t="shared" si="33"/>
        <v>896</v>
      </c>
      <c r="BN12" s="20"/>
      <c r="BO12" s="20">
        <v>43546</v>
      </c>
      <c r="BP12" s="34">
        <f t="shared" si="34"/>
        <v>2880</v>
      </c>
      <c r="BR12" s="14"/>
      <c r="BS12" s="20">
        <f t="shared" si="3"/>
        <v>22676</v>
      </c>
      <c r="BW12" s="14"/>
      <c r="BY12" s="19">
        <f t="shared" si="4"/>
        <v>28396</v>
      </c>
      <c r="CC12" s="60">
        <f t="shared" si="5"/>
        <v>68630</v>
      </c>
      <c r="CL12" s="60">
        <f t="shared" si="6"/>
        <v>73420</v>
      </c>
      <c r="CU12" s="60">
        <f t="shared" si="35"/>
        <v>57512</v>
      </c>
      <c r="DD12" s="60">
        <f t="shared" si="7"/>
        <v>13672</v>
      </c>
      <c r="DM12" s="60">
        <f t="shared" si="8"/>
        <v>54848</v>
      </c>
      <c r="DV12" s="60">
        <f t="shared" si="9"/>
        <v>8290</v>
      </c>
      <c r="EE12" s="60">
        <f t="shared" si="10"/>
        <v>57512</v>
      </c>
      <c r="EN12" s="60">
        <f t="shared" si="11"/>
        <v>8855</v>
      </c>
      <c r="EW12" s="60">
        <f t="shared" si="12"/>
        <v>14238</v>
      </c>
      <c r="FF12" s="60">
        <f t="shared" si="13"/>
        <v>9776</v>
      </c>
      <c r="FO12" s="19">
        <f t="shared" si="14"/>
        <v>70772</v>
      </c>
      <c r="FX12" s="50"/>
      <c r="GC12" s="14"/>
      <c r="GE12" s="60">
        <f t="shared" si="15"/>
        <v>6257</v>
      </c>
      <c r="GN12" s="60">
        <f t="shared" si="16"/>
        <v>48950</v>
      </c>
      <c r="GW12" s="60">
        <f t="shared" si="17"/>
        <v>45524</v>
      </c>
      <c r="HC12" s="60">
        <f t="shared" si="18"/>
        <v>43546</v>
      </c>
      <c r="HP12" s="18"/>
    </row>
    <row r="13" spans="2:228">
      <c r="B13" s="58">
        <v>43524</v>
      </c>
      <c r="C13" s="20">
        <v>73663</v>
      </c>
      <c r="D13" s="20">
        <v>2.2040000000000002</v>
      </c>
      <c r="E13" s="34">
        <f t="shared" si="19"/>
        <v>38880</v>
      </c>
      <c r="F13" s="34"/>
      <c r="G13" s="20">
        <v>68766</v>
      </c>
      <c r="H13" s="20">
        <v>2.286</v>
      </c>
      <c r="I13" s="34">
        <f t="shared" si="20"/>
        <v>21760</v>
      </c>
      <c r="J13" s="34"/>
      <c r="K13" s="20">
        <v>8319</v>
      </c>
      <c r="L13" s="20">
        <v>2.71</v>
      </c>
      <c r="M13" s="34">
        <f t="shared" si="21"/>
        <v>5600</v>
      </c>
      <c r="N13" s="34"/>
      <c r="O13" s="20">
        <v>8304</v>
      </c>
      <c r="P13" s="20">
        <v>0.254</v>
      </c>
      <c r="Q13" s="34">
        <f t="shared" si="22"/>
        <v>5600</v>
      </c>
      <c r="R13" s="34"/>
      <c r="S13" s="20">
        <v>8910</v>
      </c>
      <c r="T13" s="20">
        <v>0.27300000000000002</v>
      </c>
      <c r="U13" s="34">
        <f t="shared" si="23"/>
        <v>22000</v>
      </c>
      <c r="V13" s="34"/>
      <c r="W13" s="20">
        <v>57591</v>
      </c>
      <c r="X13" s="20">
        <v>2.6110000000000002</v>
      </c>
      <c r="Y13" s="34">
        <f t="shared" si="24"/>
        <v>23700</v>
      </c>
      <c r="Z13" s="34"/>
      <c r="AA13" s="20">
        <v>54923</v>
      </c>
      <c r="AB13" s="20">
        <v>2.2759999999999998</v>
      </c>
      <c r="AC13" s="34">
        <f t="shared" si="25"/>
        <v>22500</v>
      </c>
      <c r="AD13" s="34"/>
      <c r="AE13" s="20">
        <v>14261</v>
      </c>
      <c r="AF13" s="20">
        <v>3.82</v>
      </c>
      <c r="AG13" s="34">
        <f t="shared" si="26"/>
        <v>3680</v>
      </c>
      <c r="AH13" s="34"/>
      <c r="AI13" s="20">
        <v>9792</v>
      </c>
      <c r="AJ13" s="20">
        <v>0.35699999999999998</v>
      </c>
      <c r="AK13" s="34">
        <f t="shared" si="27"/>
        <v>2560</v>
      </c>
      <c r="AL13" s="34"/>
      <c r="AM13" s="20">
        <v>70874</v>
      </c>
      <c r="AN13" s="20">
        <v>2.1720000000000002</v>
      </c>
      <c r="AO13" s="34">
        <f t="shared" si="28"/>
        <v>20400</v>
      </c>
      <c r="AP13" s="34"/>
      <c r="AQ13" s="20">
        <v>13704</v>
      </c>
      <c r="AR13" s="20">
        <v>0.378</v>
      </c>
      <c r="AS13" s="34">
        <f t="shared" si="29"/>
        <v>1280</v>
      </c>
      <c r="AT13" s="34"/>
      <c r="AU13" s="205">
        <v>28685</v>
      </c>
      <c r="AV13" s="205"/>
      <c r="AW13" s="34">
        <f t="shared" si="30"/>
        <v>289</v>
      </c>
      <c r="AX13" s="34"/>
      <c r="AZ13" s="34">
        <f t="shared" si="0"/>
        <v>168249</v>
      </c>
      <c r="BA13" s="20">
        <f t="shared" si="1"/>
        <v>21680</v>
      </c>
      <c r="BB13" s="20">
        <f t="shared" si="2"/>
        <v>0.12885663510630077</v>
      </c>
      <c r="BC13" s="20">
        <f>SUM(AZ9:AZ13)</f>
        <v>1224816</v>
      </c>
      <c r="BD13" s="14"/>
      <c r="BE13" s="64">
        <v>43524</v>
      </c>
      <c r="BF13" s="20">
        <v>49011</v>
      </c>
      <c r="BG13" s="34">
        <f t="shared" si="31"/>
        <v>6100</v>
      </c>
      <c r="BI13" s="20">
        <v>6265</v>
      </c>
      <c r="BJ13" s="34">
        <f t="shared" si="32"/>
        <v>800</v>
      </c>
      <c r="BL13" s="20">
        <v>45898</v>
      </c>
      <c r="BM13" s="34">
        <f t="shared" si="33"/>
        <v>374</v>
      </c>
      <c r="BN13" s="20"/>
      <c r="BO13" s="20">
        <v>43573</v>
      </c>
      <c r="BP13" s="34">
        <f t="shared" si="34"/>
        <v>1080</v>
      </c>
      <c r="BR13" s="14"/>
      <c r="BS13" s="20">
        <f t="shared" si="3"/>
        <v>8354</v>
      </c>
      <c r="BT13" s="20">
        <f>SUM(BS9:BS13)</f>
        <v>78873</v>
      </c>
      <c r="BU13" s="20">
        <f>SUM(BC13+BT13)</f>
        <v>1303689</v>
      </c>
      <c r="BW13" s="14"/>
      <c r="BY13" s="19">
        <f t="shared" si="4"/>
        <v>28685</v>
      </c>
      <c r="BZ13" s="20">
        <v>28418</v>
      </c>
      <c r="CA13" s="19">
        <f>SUM(BZ13-BZ7)</f>
        <v>3031</v>
      </c>
      <c r="CB13" s="59">
        <f>SUM(CA13*0.12043+CA13*0.03046)*1.08+1.91</f>
        <v>495.84539720000004</v>
      </c>
      <c r="CC13" s="60">
        <f t="shared" si="5"/>
        <v>68766</v>
      </c>
      <c r="CD13" s="20">
        <v>68709</v>
      </c>
      <c r="CE13" s="20">
        <v>2.3220000000000001</v>
      </c>
      <c r="CF13" s="19">
        <f>SUM(CD13-CD7)*160</f>
        <v>217440</v>
      </c>
      <c r="CG13" s="19">
        <f>(CE13)*160</f>
        <v>371.52</v>
      </c>
      <c r="CH13" s="59">
        <f>SUM(CF13*0.03699)</f>
        <v>8043.1056000000008</v>
      </c>
      <c r="CI13" s="59">
        <f>SUM(CF13*0.03046)</f>
        <v>6623.2224000000006</v>
      </c>
      <c r="CJ13" s="59">
        <f>SUM(CG13*7.447)</f>
        <v>2766.7094400000001</v>
      </c>
      <c r="CK13" s="59">
        <f>SUM(CH13+CI13)</f>
        <v>14666.328000000001</v>
      </c>
      <c r="CL13" s="60">
        <f t="shared" si="6"/>
        <v>73663</v>
      </c>
      <c r="CM13" s="20">
        <v>73496</v>
      </c>
      <c r="CN13" s="20">
        <v>2.1949999999999998</v>
      </c>
      <c r="CO13" s="19">
        <f>SUM(CM13-CM7)*160</f>
        <v>216000</v>
      </c>
      <c r="CP13" s="19">
        <f>(CN13)*160</f>
        <v>351.2</v>
      </c>
      <c r="CQ13" s="59">
        <f>SUM(CO13*0.03699)</f>
        <v>7989.84</v>
      </c>
      <c r="CR13" s="59">
        <f>SUM(CO13*0.03046)</f>
        <v>6579.3600000000006</v>
      </c>
      <c r="CS13" s="59">
        <f>SUM(CP13*7.447)</f>
        <v>2615.3863999999999</v>
      </c>
      <c r="CT13" s="59">
        <f>SUM(CQ13+CR13)+45</f>
        <v>14614.2</v>
      </c>
      <c r="CU13" s="60">
        <f t="shared" si="35"/>
        <v>57591</v>
      </c>
      <c r="CV13" s="20">
        <v>57554</v>
      </c>
      <c r="CW13" s="20">
        <v>2.6549999999999998</v>
      </c>
      <c r="CX13" s="19">
        <f>SUM(CV13-CV7)*300</f>
        <v>277500</v>
      </c>
      <c r="CY13" s="19">
        <f>(CW13)*300</f>
        <v>796.49999999999989</v>
      </c>
      <c r="CZ13" s="59">
        <f>SUM(CX13*0.03699)</f>
        <v>10264.725</v>
      </c>
      <c r="DA13" s="59">
        <f>SUM(CX13*0.03046)</f>
        <v>8452.65</v>
      </c>
      <c r="DB13" s="59">
        <f>SUM(CY13*7.447)</f>
        <v>5931.535499999999</v>
      </c>
      <c r="DC13" s="59">
        <f>SUM(CZ13+DA13)</f>
        <v>18717.375</v>
      </c>
      <c r="DD13" s="60">
        <f t="shared" si="7"/>
        <v>13704</v>
      </c>
      <c r="DE13" s="20">
        <v>13695</v>
      </c>
      <c r="DF13" s="20">
        <v>0.41499999999999998</v>
      </c>
      <c r="DG13" s="19">
        <f>(DE13-DE7)*40</f>
        <v>9000</v>
      </c>
      <c r="DH13" s="19">
        <f>(DF13)*40</f>
        <v>16.599999999999998</v>
      </c>
      <c r="DI13" s="59">
        <f>SUM(DG13*0.03699)</f>
        <v>332.91</v>
      </c>
      <c r="DJ13" s="59">
        <f>SUM(DG13*0.03046)</f>
        <v>274.14</v>
      </c>
      <c r="DK13" s="59">
        <f>SUM(DH13*7.447)</f>
        <v>123.62019999999998</v>
      </c>
      <c r="DL13" s="59">
        <f>SUM(DI13+DJ13)+24</f>
        <v>631.04999999999995</v>
      </c>
      <c r="DM13" s="60">
        <f t="shared" si="8"/>
        <v>54923</v>
      </c>
      <c r="DN13" s="20">
        <v>54889</v>
      </c>
      <c r="DO13" s="20">
        <v>1.9</v>
      </c>
      <c r="DP13" s="19">
        <f>SUM(DN13-DN7)*300</f>
        <v>198000</v>
      </c>
      <c r="DQ13" s="61">
        <f>(DO13)*300</f>
        <v>570</v>
      </c>
      <c r="DR13" s="59">
        <f>SUM(DP13*0.03699)</f>
        <v>7324.02</v>
      </c>
      <c r="DS13" s="59">
        <f>SUM(DP13*0.03046)</f>
        <v>6031.08</v>
      </c>
      <c r="DT13" s="59">
        <f>SUM(DQ13*7.447)</f>
        <v>4244.79</v>
      </c>
      <c r="DU13" s="59">
        <f>SUM(DR13+DS13)+45</f>
        <v>13400.1</v>
      </c>
      <c r="DV13" s="60">
        <f t="shared" si="9"/>
        <v>8304</v>
      </c>
      <c r="DW13" s="20">
        <v>8296</v>
      </c>
      <c r="DX13" s="20">
        <v>0.27400000000000002</v>
      </c>
      <c r="DY13" s="19">
        <f>SUM(DW13-DW7)*400</f>
        <v>60400</v>
      </c>
      <c r="DZ13" s="61">
        <f>(DX13)*400</f>
        <v>109.60000000000001</v>
      </c>
      <c r="EA13" s="59">
        <f>SUM(DY13*0.03699)</f>
        <v>2234.1959999999999</v>
      </c>
      <c r="EB13" s="59">
        <f>SUM(DY13*0.03046)</f>
        <v>1839.7840000000001</v>
      </c>
      <c r="EC13" s="59">
        <f>SUM(DZ13*7.447)</f>
        <v>816.19120000000009</v>
      </c>
      <c r="ED13" s="59">
        <f>SUM(EA13+EB13)+40</f>
        <v>4113.9799999999996</v>
      </c>
      <c r="EE13" s="60">
        <f t="shared" si="10"/>
        <v>57591</v>
      </c>
      <c r="EF13" s="20">
        <v>8314</v>
      </c>
      <c r="EG13" s="20">
        <v>0.28199999999999997</v>
      </c>
      <c r="EH13" s="19">
        <f>SUM(EF13-EF7)*400</f>
        <v>59200</v>
      </c>
      <c r="EI13" s="19">
        <f>(EG13)*400</f>
        <v>112.79999999999998</v>
      </c>
      <c r="EJ13" s="59">
        <f>SUM(EH13*0.03699)</f>
        <v>2189.808</v>
      </c>
      <c r="EK13" s="59">
        <f>SUM(EH13*0.03046)</f>
        <v>1803.232</v>
      </c>
      <c r="EL13" s="59">
        <f>SUM(EI13*7.447)</f>
        <v>840.02159999999992</v>
      </c>
      <c r="EM13" s="59">
        <f>SUM(EJ13+EK13)+20</f>
        <v>4013.04</v>
      </c>
      <c r="EN13" s="60">
        <f t="shared" si="11"/>
        <v>8910</v>
      </c>
      <c r="EO13" s="20">
        <v>8904</v>
      </c>
      <c r="EP13" s="20">
        <v>0.317</v>
      </c>
      <c r="EQ13" s="19">
        <f>SUM(EO13-EO7)*400</f>
        <v>62000</v>
      </c>
      <c r="ER13" s="19">
        <f>(EP13)*400</f>
        <v>126.8</v>
      </c>
      <c r="ES13" s="59">
        <f>SUM(EQ13*0.03699)</f>
        <v>2293.38</v>
      </c>
      <c r="ET13" s="59">
        <f>SUM(EQ13*0.03046)</f>
        <v>1888.52</v>
      </c>
      <c r="EU13" s="59">
        <f>SUM(ER13*7.447)</f>
        <v>944.27959999999996</v>
      </c>
      <c r="EV13" s="59">
        <f>SUM(ES13+ET13)+20</f>
        <v>4201.8999999999996</v>
      </c>
      <c r="EW13" s="60">
        <f t="shared" si="12"/>
        <v>14261</v>
      </c>
      <c r="EX13" s="20">
        <v>14251</v>
      </c>
      <c r="EY13" s="20">
        <v>0.56999999999999995</v>
      </c>
      <c r="EZ13" s="19">
        <f>SUM(EX13-EX7)*160</f>
        <v>38400</v>
      </c>
      <c r="FA13" s="19">
        <f>(EY13)*160</f>
        <v>91.199999999999989</v>
      </c>
      <c r="FB13" s="59">
        <f>SUM(EZ13*0.03699)</f>
        <v>1420.4160000000002</v>
      </c>
      <c r="FC13" s="59">
        <f>SUM(EZ13*0.03046)</f>
        <v>1169.664</v>
      </c>
      <c r="FD13" s="59">
        <f>SUM(FA13*7.447)</f>
        <v>679.16639999999995</v>
      </c>
      <c r="FE13" s="59">
        <f>SUM(FB13+FC13)+20</f>
        <v>2610.08</v>
      </c>
      <c r="FF13" s="60">
        <f t="shared" si="13"/>
        <v>9792</v>
      </c>
      <c r="FG13" s="20">
        <v>9785</v>
      </c>
      <c r="FH13" s="20">
        <v>0.35699999999999998</v>
      </c>
      <c r="FI13" s="19">
        <f>SUM(FG13-FG7)*160</f>
        <v>23040</v>
      </c>
      <c r="FJ13" s="19">
        <f>(FH13)*160</f>
        <v>57.12</v>
      </c>
      <c r="FK13" s="59">
        <f>SUM(FI13*0.03699)</f>
        <v>852.2496000000001</v>
      </c>
      <c r="FL13" s="59">
        <f>SUM(FI13*0.03046)</f>
        <v>701.79840000000002</v>
      </c>
      <c r="FM13" s="59">
        <f>SUM(FJ13*7.447)</f>
        <v>425.37263999999999</v>
      </c>
      <c r="FN13" s="59">
        <f>SUM(FK13+FL13)+20</f>
        <v>1574.0480000000002</v>
      </c>
      <c r="FO13" s="19">
        <f t="shared" si="14"/>
        <v>70874</v>
      </c>
      <c r="FP13" s="20">
        <v>70830</v>
      </c>
      <c r="FQ13" s="20">
        <v>2.3650000000000002</v>
      </c>
      <c r="FR13" s="19">
        <f>SUM(FP13-FP7)*200</f>
        <v>271200</v>
      </c>
      <c r="FS13" s="19">
        <f>(FQ13)*200</f>
        <v>473.00000000000006</v>
      </c>
      <c r="FT13" s="59">
        <f>SUM(FR13*0.03699)</f>
        <v>10031.688</v>
      </c>
      <c r="FU13" s="59">
        <f>SUM(FR13*0.03046)</f>
        <v>8260.7520000000004</v>
      </c>
      <c r="FV13" s="59">
        <f>SUM(FS13*7.447)</f>
        <v>3522.4310000000005</v>
      </c>
      <c r="FW13" s="59">
        <f>SUM((FT13+FU13)+20)*1.09</f>
        <v>19960.559600000004</v>
      </c>
      <c r="FX13" s="50"/>
      <c r="FY13" s="74">
        <f>SUM(CA13+CF13+CO13+CX13+DG13+DP13+DY13+EH13+EQ13+EZ13+FI13+FR13)</f>
        <v>1435211</v>
      </c>
      <c r="FZ13" s="75">
        <f>SUM(CB13+CK13,CT13,DC13,DL13,DU13,ED13,EM13,EV13,FE13,FN13+FW13)</f>
        <v>98998.505997200002</v>
      </c>
      <c r="GA13" s="75">
        <f>SUM(CJ13,CS13,DB13,DK13,DT13,EC13,EL13,EU13,FD13,FM13,FV13)</f>
        <v>22909.503980000001</v>
      </c>
      <c r="GB13" s="75">
        <f>SUM(FZ13:GA13)</f>
        <v>121908.00997720001</v>
      </c>
      <c r="GC13" s="14"/>
      <c r="GE13" s="60">
        <f t="shared" si="15"/>
        <v>6265</v>
      </c>
      <c r="GF13" s="20">
        <v>6261</v>
      </c>
      <c r="GG13" s="20">
        <v>0.27400000000000002</v>
      </c>
      <c r="GH13" s="19">
        <f>SUM(GF13-GF7)*100</f>
        <v>8500</v>
      </c>
      <c r="GI13" s="19">
        <f>SUM(GG13)*100</f>
        <v>27.400000000000002</v>
      </c>
      <c r="GJ13" s="62">
        <f>SUM(GH13*0.03699)</f>
        <v>314.41500000000002</v>
      </c>
      <c r="GK13" s="62">
        <f>SUM(GH13*0.03046)</f>
        <v>258.91000000000003</v>
      </c>
      <c r="GL13" s="62">
        <f>SUM(GI13*7.447)</f>
        <v>204.04780000000002</v>
      </c>
      <c r="GM13" s="59">
        <f>SUM(GK13+GJ13+20)*1.1048</f>
        <v>655.50546000000008</v>
      </c>
      <c r="GN13" s="60">
        <f t="shared" si="16"/>
        <v>49011</v>
      </c>
      <c r="GO13" s="20">
        <v>48985</v>
      </c>
      <c r="GP13" s="20">
        <v>1.7290000000000001</v>
      </c>
      <c r="GQ13" s="19">
        <f>SUM(GO13-GO7)*100</f>
        <v>70600</v>
      </c>
      <c r="GR13" s="19">
        <f>SUM(GP13)*100</f>
        <v>172.9</v>
      </c>
      <c r="GS13" s="62">
        <f>SUM(GQ13*0.03699)</f>
        <v>2611.4940000000001</v>
      </c>
      <c r="GT13" s="62">
        <f>SUM(GQ13*0.03046)</f>
        <v>2150.4760000000001</v>
      </c>
      <c r="GU13" s="62">
        <f>SUM(GR13*7.447)</f>
        <v>1287.5863000000002</v>
      </c>
      <c r="GV13" s="59">
        <f>SUM(GT13+GS13+20)*1.1048</f>
        <v>5283.1204560000006</v>
      </c>
      <c r="GW13" s="60">
        <f t="shared" si="17"/>
        <v>45898</v>
      </c>
      <c r="GX13" s="20">
        <v>45759</v>
      </c>
      <c r="GY13" s="19">
        <f>SUM(GX13-GX7)</f>
        <v>4177</v>
      </c>
      <c r="GZ13" s="59">
        <f>SUM(GY13*0.12043)</f>
        <v>503.03611000000001</v>
      </c>
      <c r="HA13" s="59">
        <f>SUM(GY13*0.03046)</f>
        <v>127.23142</v>
      </c>
      <c r="HB13" s="59">
        <f>SUM(GZ13+HA13+2.85)*1.07</f>
        <v>677.43575710000005</v>
      </c>
      <c r="HC13" s="60">
        <f t="shared" si="18"/>
        <v>43573</v>
      </c>
      <c r="HD13" s="20">
        <v>43568</v>
      </c>
      <c r="HE13" s="20">
        <v>3.7570000000000001</v>
      </c>
      <c r="HF13" s="19">
        <f>SUM(HD13-HD7)*40</f>
        <v>9080</v>
      </c>
      <c r="HG13" s="19">
        <f>SUM(HE13)*40</f>
        <v>150.28</v>
      </c>
      <c r="HH13" s="59">
        <f>SUM(HF13*0.03699)</f>
        <v>335.86920000000003</v>
      </c>
      <c r="HI13" s="59">
        <f>SUM(HF13*0.03046)</f>
        <v>276.57679999999999</v>
      </c>
      <c r="HJ13" s="59">
        <f>SUM(HG13*7.447)</f>
        <v>1119.13516</v>
      </c>
      <c r="HK13" s="59">
        <f>SUM(HI13+HH13+20)*1.1048</f>
        <v>698.7263408</v>
      </c>
      <c r="HL13" s="20">
        <f>SUM(GH13+GQ13+GY13+HF13)</f>
        <v>92357</v>
      </c>
      <c r="HM13" s="75">
        <f>SUM(HK13+HB13+GV13+GM13)</f>
        <v>7314.7880139000008</v>
      </c>
      <c r="HN13" s="75">
        <f>SUM(GL13+GU13+HJ13)</f>
        <v>2610.76926</v>
      </c>
      <c r="HO13" s="75">
        <f>SUM(HM13:HN13)</f>
        <v>9925.5572739000017</v>
      </c>
      <c r="HP13" s="18"/>
      <c r="HQ13" s="74">
        <f t="shared" ref="HQ13:HS13" si="38">(FY13+HL13)</f>
        <v>1527568</v>
      </c>
      <c r="HR13" s="75">
        <f t="shared" si="38"/>
        <v>106313.29401110001</v>
      </c>
      <c r="HS13" s="75">
        <f t="shared" si="38"/>
        <v>25520.273240000002</v>
      </c>
      <c r="HT13" s="75">
        <f t="shared" ref="HT13" si="39">(HR13+HS13)</f>
        <v>131833.5672511</v>
      </c>
    </row>
    <row r="14" spans="2:228">
      <c r="B14" s="58">
        <v>43528</v>
      </c>
      <c r="C14" s="20">
        <v>73703</v>
      </c>
      <c r="D14" s="20">
        <v>2.2040000000000002</v>
      </c>
      <c r="E14" s="34">
        <f t="shared" si="19"/>
        <v>6400</v>
      </c>
      <c r="F14" s="34"/>
      <c r="G14" s="20">
        <v>68923</v>
      </c>
      <c r="H14" s="20">
        <v>2.286</v>
      </c>
      <c r="I14" s="34">
        <f t="shared" si="20"/>
        <v>25120</v>
      </c>
      <c r="J14" s="34"/>
      <c r="K14" s="20">
        <v>8336</v>
      </c>
      <c r="L14" s="20">
        <v>3.71</v>
      </c>
      <c r="M14" s="34">
        <f t="shared" si="21"/>
        <v>6800</v>
      </c>
      <c r="N14" s="34"/>
      <c r="O14" s="20">
        <v>8321</v>
      </c>
      <c r="P14" s="20">
        <v>0.254</v>
      </c>
      <c r="Q14" s="34">
        <f t="shared" si="22"/>
        <v>6800</v>
      </c>
      <c r="R14" s="34"/>
      <c r="S14" s="20">
        <v>8927</v>
      </c>
      <c r="T14" s="20">
        <v>0.27300000000000002</v>
      </c>
      <c r="U14" s="34">
        <f t="shared" si="23"/>
        <v>6800</v>
      </c>
      <c r="V14" s="34"/>
      <c r="W14" s="20">
        <v>57690</v>
      </c>
      <c r="X14" s="20">
        <v>2.6110000000000002</v>
      </c>
      <c r="Y14" s="34">
        <f t="shared" si="24"/>
        <v>29700</v>
      </c>
      <c r="Z14" s="34"/>
      <c r="AA14" s="20">
        <v>55021</v>
      </c>
      <c r="AB14" s="20">
        <v>2.2759999999999998</v>
      </c>
      <c r="AC14" s="34">
        <f t="shared" si="25"/>
        <v>29400</v>
      </c>
      <c r="AD14" s="34"/>
      <c r="AE14" s="20">
        <v>14285</v>
      </c>
      <c r="AF14" s="20">
        <v>3.85</v>
      </c>
      <c r="AG14" s="34">
        <f t="shared" si="26"/>
        <v>3840</v>
      </c>
      <c r="AH14" s="34"/>
      <c r="AI14" s="20">
        <v>9808</v>
      </c>
      <c r="AJ14" s="20">
        <v>0.35699999999999998</v>
      </c>
      <c r="AK14" s="34">
        <f t="shared" si="27"/>
        <v>2560</v>
      </c>
      <c r="AL14" s="34"/>
      <c r="AM14" s="20">
        <v>70992</v>
      </c>
      <c r="AN14" s="20">
        <v>2.1720000000000002</v>
      </c>
      <c r="AO14" s="34">
        <f t="shared" si="28"/>
        <v>23600</v>
      </c>
      <c r="AP14" s="34"/>
      <c r="AQ14" s="20">
        <v>13730</v>
      </c>
      <c r="AR14" s="20">
        <v>0.378</v>
      </c>
      <c r="AS14" s="34">
        <f t="shared" si="29"/>
        <v>1040</v>
      </c>
      <c r="AT14" s="34"/>
      <c r="AU14" s="205">
        <v>29025</v>
      </c>
      <c r="AV14" s="205"/>
      <c r="AW14" s="34">
        <f t="shared" si="30"/>
        <v>340</v>
      </c>
      <c r="AX14" s="34"/>
      <c r="AZ14" s="34">
        <f t="shared" si="0"/>
        <v>142400</v>
      </c>
      <c r="BA14" s="20">
        <f t="shared" si="1"/>
        <v>24640</v>
      </c>
      <c r="BB14" s="20">
        <f t="shared" si="2"/>
        <v>0.17303370786516853</v>
      </c>
      <c r="BD14" s="14"/>
      <c r="BE14" s="64">
        <f t="shared" ref="BE14:BE61" si="40">B14</f>
        <v>43528</v>
      </c>
      <c r="BF14" s="20">
        <v>49101</v>
      </c>
      <c r="BG14" s="34">
        <f t="shared" si="31"/>
        <v>9000</v>
      </c>
      <c r="BI14" s="20">
        <v>6274</v>
      </c>
      <c r="BJ14" s="34">
        <f t="shared" si="32"/>
        <v>900</v>
      </c>
      <c r="BL14" s="20">
        <v>46406</v>
      </c>
      <c r="BM14" s="34">
        <f t="shared" si="33"/>
        <v>508</v>
      </c>
      <c r="BN14" s="20"/>
      <c r="BO14" s="20">
        <v>43620</v>
      </c>
      <c r="BP14" s="34">
        <f t="shared" si="34"/>
        <v>1880</v>
      </c>
      <c r="BR14" s="14"/>
      <c r="BS14" s="20">
        <f t="shared" si="3"/>
        <v>12288</v>
      </c>
      <c r="BW14" s="14"/>
      <c r="BY14" s="19">
        <f t="shared" si="4"/>
        <v>29025</v>
      </c>
      <c r="CC14" s="60">
        <f t="shared" si="5"/>
        <v>68923</v>
      </c>
      <c r="CL14" s="60">
        <f t="shared" si="6"/>
        <v>73703</v>
      </c>
      <c r="CU14" s="60">
        <f t="shared" si="35"/>
        <v>57690</v>
      </c>
      <c r="DD14" s="60">
        <f t="shared" si="7"/>
        <v>13730</v>
      </c>
      <c r="DM14" s="60">
        <f t="shared" si="8"/>
        <v>55021</v>
      </c>
      <c r="DV14" s="60">
        <f t="shared" si="9"/>
        <v>8321</v>
      </c>
      <c r="EE14" s="60">
        <f t="shared" si="10"/>
        <v>57690</v>
      </c>
      <c r="EN14" s="60">
        <f t="shared" si="11"/>
        <v>8927</v>
      </c>
      <c r="EW14" s="60">
        <f t="shared" si="12"/>
        <v>14285</v>
      </c>
      <c r="FF14" s="60">
        <f t="shared" si="13"/>
        <v>9808</v>
      </c>
      <c r="FO14" s="19">
        <f t="shared" si="14"/>
        <v>70992</v>
      </c>
      <c r="FX14" s="50"/>
      <c r="GC14" s="14"/>
      <c r="GE14" s="60">
        <f t="shared" si="15"/>
        <v>6274</v>
      </c>
      <c r="GN14" s="60">
        <f t="shared" si="16"/>
        <v>49101</v>
      </c>
      <c r="GW14" s="60">
        <f t="shared" si="17"/>
        <v>46406</v>
      </c>
      <c r="HC14" s="60">
        <f t="shared" si="18"/>
        <v>43620</v>
      </c>
      <c r="HP14" s="18"/>
    </row>
    <row r="15" spans="2:228">
      <c r="B15" s="58">
        <v>43534</v>
      </c>
      <c r="C15" s="20">
        <v>73985</v>
      </c>
      <c r="D15" s="20">
        <v>2.2040000000000002</v>
      </c>
      <c r="E15" s="34">
        <f t="shared" si="19"/>
        <v>45120</v>
      </c>
      <c r="F15" s="34"/>
      <c r="G15" s="20">
        <v>69213</v>
      </c>
      <c r="H15" s="20">
        <v>2.2850000000000001</v>
      </c>
      <c r="I15" s="34">
        <f t="shared" si="20"/>
        <v>46400</v>
      </c>
      <c r="J15" s="34"/>
      <c r="K15" s="20">
        <v>8368</v>
      </c>
      <c r="L15" s="20">
        <v>2.71</v>
      </c>
      <c r="M15" s="34">
        <f t="shared" si="21"/>
        <v>12800</v>
      </c>
      <c r="N15" s="34"/>
      <c r="O15" s="20">
        <v>8351</v>
      </c>
      <c r="P15" s="20">
        <v>0.254</v>
      </c>
      <c r="Q15" s="34">
        <f t="shared" si="22"/>
        <v>12000</v>
      </c>
      <c r="R15" s="34"/>
      <c r="S15" s="20">
        <v>8959</v>
      </c>
      <c r="T15" s="20">
        <v>0.27300000000000002</v>
      </c>
      <c r="U15" s="34">
        <f t="shared" si="23"/>
        <v>12800</v>
      </c>
      <c r="V15" s="34"/>
      <c r="W15" s="20">
        <v>57837</v>
      </c>
      <c r="X15" s="20">
        <v>2.6110000000000002</v>
      </c>
      <c r="Y15" s="34">
        <f t="shared" si="24"/>
        <v>44100</v>
      </c>
      <c r="Z15" s="34"/>
      <c r="AA15" s="20">
        <v>55172</v>
      </c>
      <c r="AB15" s="20">
        <v>2.2759999999999998</v>
      </c>
      <c r="AC15" s="34">
        <f t="shared" si="25"/>
        <v>45300</v>
      </c>
      <c r="AD15" s="34"/>
      <c r="AE15" s="20">
        <v>14331</v>
      </c>
      <c r="AF15" s="20">
        <v>4.26</v>
      </c>
      <c r="AG15" s="34">
        <f t="shared" si="26"/>
        <v>7360</v>
      </c>
      <c r="AH15" s="34"/>
      <c r="AI15" s="20">
        <v>9840</v>
      </c>
      <c r="AJ15" s="20">
        <v>0.38300000000000001</v>
      </c>
      <c r="AK15" s="34">
        <f t="shared" si="27"/>
        <v>5120</v>
      </c>
      <c r="AL15" s="34"/>
      <c r="AM15" s="20">
        <v>71239</v>
      </c>
      <c r="AN15" s="20">
        <v>2.1720000000000002</v>
      </c>
      <c r="AO15" s="34">
        <f t="shared" si="28"/>
        <v>49400</v>
      </c>
      <c r="AP15" s="34"/>
      <c r="AQ15" s="20">
        <v>13777</v>
      </c>
      <c r="AR15" s="20">
        <v>0.39400000000000002</v>
      </c>
      <c r="AS15" s="34">
        <f t="shared" si="29"/>
        <v>1880</v>
      </c>
      <c r="AT15" s="34"/>
      <c r="AU15" s="205">
        <v>29618</v>
      </c>
      <c r="AV15" s="205"/>
      <c r="AW15" s="34">
        <f t="shared" si="30"/>
        <v>593</v>
      </c>
      <c r="AX15" s="34"/>
      <c r="AZ15" s="34">
        <f t="shared" si="0"/>
        <v>282873</v>
      </c>
      <c r="BA15" s="20">
        <f t="shared" si="1"/>
        <v>51280</v>
      </c>
      <c r="BB15" s="20">
        <f t="shared" si="2"/>
        <v>0.18128276647117259</v>
      </c>
      <c r="BD15" s="14"/>
      <c r="BE15" s="64">
        <f t="shared" si="40"/>
        <v>43534</v>
      </c>
      <c r="BF15" s="20">
        <v>49252</v>
      </c>
      <c r="BG15" s="34">
        <f t="shared" si="31"/>
        <v>15100</v>
      </c>
      <c r="BI15" s="20">
        <v>6292</v>
      </c>
      <c r="BJ15" s="34">
        <f t="shared" si="32"/>
        <v>1800</v>
      </c>
      <c r="BL15" s="20">
        <v>47291</v>
      </c>
      <c r="BM15" s="34">
        <f t="shared" si="33"/>
        <v>885</v>
      </c>
      <c r="BN15" s="20"/>
      <c r="BO15" s="20">
        <v>43703</v>
      </c>
      <c r="BP15" s="34">
        <f t="shared" si="34"/>
        <v>3320</v>
      </c>
      <c r="BR15" s="14"/>
      <c r="BS15" s="20">
        <f t="shared" si="3"/>
        <v>21105</v>
      </c>
      <c r="BW15" s="14"/>
      <c r="BY15" s="19">
        <f t="shared" si="4"/>
        <v>29618</v>
      </c>
      <c r="CC15" s="60">
        <f t="shared" si="5"/>
        <v>69213</v>
      </c>
      <c r="CL15" s="60">
        <f t="shared" si="6"/>
        <v>73985</v>
      </c>
      <c r="CU15" s="60">
        <f t="shared" si="35"/>
        <v>57837</v>
      </c>
      <c r="DD15" s="60">
        <f t="shared" si="7"/>
        <v>13777</v>
      </c>
      <c r="DM15" s="60">
        <f t="shared" si="8"/>
        <v>55172</v>
      </c>
      <c r="DV15" s="60">
        <f t="shared" si="9"/>
        <v>8351</v>
      </c>
      <c r="EE15" s="60">
        <f t="shared" si="10"/>
        <v>57837</v>
      </c>
      <c r="EN15" s="60">
        <f t="shared" si="11"/>
        <v>8959</v>
      </c>
      <c r="EW15" s="60">
        <f t="shared" si="12"/>
        <v>14331</v>
      </c>
      <c r="FF15" s="60">
        <f t="shared" si="13"/>
        <v>9840</v>
      </c>
      <c r="FO15" s="19">
        <f t="shared" si="14"/>
        <v>71239</v>
      </c>
      <c r="FX15" s="50"/>
      <c r="GC15" s="14"/>
      <c r="GE15" s="60">
        <f t="shared" si="15"/>
        <v>6292</v>
      </c>
      <c r="GN15" s="60">
        <f t="shared" si="16"/>
        <v>49252</v>
      </c>
      <c r="GW15" s="60">
        <f t="shared" si="17"/>
        <v>47291</v>
      </c>
      <c r="HC15" s="60">
        <f t="shared" si="18"/>
        <v>43703</v>
      </c>
      <c r="HP15" s="18"/>
    </row>
    <row r="16" spans="2:228">
      <c r="B16" s="58">
        <v>43541</v>
      </c>
      <c r="C16" s="20">
        <v>74273</v>
      </c>
      <c r="D16" s="20">
        <v>2.2040000000000002</v>
      </c>
      <c r="E16" s="34">
        <f t="shared" si="19"/>
        <v>46080</v>
      </c>
      <c r="F16" s="34"/>
      <c r="G16" s="20">
        <v>69505</v>
      </c>
      <c r="H16" s="20">
        <v>2.2850000000000001</v>
      </c>
      <c r="I16" s="34">
        <f t="shared" si="20"/>
        <v>46720</v>
      </c>
      <c r="J16" s="34"/>
      <c r="K16" s="20">
        <v>8397</v>
      </c>
      <c r="L16" s="20">
        <v>2.71</v>
      </c>
      <c r="M16" s="34">
        <f t="shared" si="21"/>
        <v>11600</v>
      </c>
      <c r="N16" s="34"/>
      <c r="O16" s="20">
        <v>8380</v>
      </c>
      <c r="P16" s="20">
        <v>0.254</v>
      </c>
      <c r="Q16" s="34">
        <f t="shared" si="22"/>
        <v>11600</v>
      </c>
      <c r="R16" s="34"/>
      <c r="S16" s="20">
        <v>8991</v>
      </c>
      <c r="T16" s="20">
        <v>0.27300000000000002</v>
      </c>
      <c r="U16" s="34">
        <f t="shared" si="23"/>
        <v>12800</v>
      </c>
      <c r="V16" s="34"/>
      <c r="W16" s="20">
        <v>58047</v>
      </c>
      <c r="X16" s="20">
        <v>2.6110000000000002</v>
      </c>
      <c r="Y16" s="34">
        <f t="shared" si="24"/>
        <v>63000</v>
      </c>
      <c r="Z16" s="34"/>
      <c r="AA16" s="20">
        <v>55313</v>
      </c>
      <c r="AB16" s="20">
        <v>2.2759999999999998</v>
      </c>
      <c r="AC16" s="34">
        <f t="shared" si="25"/>
        <v>42300</v>
      </c>
      <c r="AD16" s="34"/>
      <c r="AE16" s="20">
        <v>14379</v>
      </c>
      <c r="AF16" s="20">
        <v>4.95</v>
      </c>
      <c r="AG16" s="34">
        <f t="shared" si="26"/>
        <v>7680</v>
      </c>
      <c r="AH16" s="34"/>
      <c r="AI16" s="20">
        <v>9870</v>
      </c>
      <c r="AJ16" s="20">
        <v>0.38300000000000001</v>
      </c>
      <c r="AK16" s="34">
        <f t="shared" si="27"/>
        <v>4800</v>
      </c>
      <c r="AL16" s="34"/>
      <c r="AM16" s="20">
        <v>71497</v>
      </c>
      <c r="AN16" s="20">
        <v>2.1720000000000002</v>
      </c>
      <c r="AO16" s="34">
        <f t="shared" si="28"/>
        <v>51600</v>
      </c>
      <c r="AP16" s="34"/>
      <c r="AQ16" s="20">
        <v>13827</v>
      </c>
      <c r="AR16" s="20">
        <v>0.39800000000000002</v>
      </c>
      <c r="AS16" s="34">
        <f t="shared" si="29"/>
        <v>2000</v>
      </c>
      <c r="AT16" s="34"/>
      <c r="AU16" s="205">
        <v>30229</v>
      </c>
      <c r="AV16" s="205"/>
      <c r="AW16" s="34">
        <f t="shared" si="30"/>
        <v>611</v>
      </c>
      <c r="AX16" s="34"/>
      <c r="AZ16" s="34">
        <f t="shared" si="0"/>
        <v>300791</v>
      </c>
      <c r="BA16" s="20">
        <f t="shared" si="1"/>
        <v>53600</v>
      </c>
      <c r="BB16" s="20">
        <f t="shared" si="2"/>
        <v>0.17819682104850212</v>
      </c>
      <c r="BD16" s="14"/>
      <c r="BE16" s="64">
        <f t="shared" si="40"/>
        <v>43541</v>
      </c>
      <c r="BF16" s="20">
        <v>49410</v>
      </c>
      <c r="BG16" s="34">
        <f t="shared" si="31"/>
        <v>15800</v>
      </c>
      <c r="BI16" s="20">
        <v>6309</v>
      </c>
      <c r="BJ16" s="34">
        <f t="shared" si="32"/>
        <v>1700</v>
      </c>
      <c r="BL16" s="20">
        <v>48172</v>
      </c>
      <c r="BM16" s="34">
        <f t="shared" si="33"/>
        <v>881</v>
      </c>
      <c r="BN16" s="20"/>
      <c r="BO16" s="20">
        <v>43789</v>
      </c>
      <c r="BP16" s="34">
        <f t="shared" si="34"/>
        <v>3440</v>
      </c>
      <c r="BR16" s="14"/>
      <c r="BS16" s="20">
        <f t="shared" si="3"/>
        <v>21821</v>
      </c>
      <c r="BW16" s="14"/>
      <c r="BY16" s="19">
        <f t="shared" si="4"/>
        <v>30229</v>
      </c>
      <c r="CC16" s="60">
        <f t="shared" si="5"/>
        <v>69505</v>
      </c>
      <c r="CL16" s="60">
        <f t="shared" si="6"/>
        <v>74273</v>
      </c>
      <c r="CU16" s="60">
        <f t="shared" si="35"/>
        <v>58047</v>
      </c>
      <c r="DD16" s="60">
        <f t="shared" si="7"/>
        <v>13827</v>
      </c>
      <c r="DM16" s="60">
        <f t="shared" si="8"/>
        <v>55313</v>
      </c>
      <c r="DV16" s="60">
        <f t="shared" si="9"/>
        <v>8380</v>
      </c>
      <c r="EE16" s="60">
        <f t="shared" si="10"/>
        <v>58047</v>
      </c>
      <c r="EN16" s="60">
        <f t="shared" si="11"/>
        <v>8991</v>
      </c>
      <c r="EW16" s="60">
        <f t="shared" si="12"/>
        <v>14379</v>
      </c>
      <c r="FF16" s="60">
        <f t="shared" si="13"/>
        <v>9870</v>
      </c>
      <c r="FO16" s="19">
        <f t="shared" si="14"/>
        <v>71497</v>
      </c>
      <c r="FX16" s="50"/>
      <c r="GC16" s="14"/>
      <c r="GE16" s="60">
        <f t="shared" si="15"/>
        <v>6309</v>
      </c>
      <c r="GN16" s="60">
        <f t="shared" si="16"/>
        <v>49410</v>
      </c>
      <c r="GW16" s="60">
        <f t="shared" si="17"/>
        <v>48172</v>
      </c>
      <c r="HC16" s="60">
        <f t="shared" si="18"/>
        <v>43789</v>
      </c>
      <c r="HP16" s="18"/>
    </row>
    <row r="17" spans="2:232">
      <c r="B17" s="58">
        <v>43548</v>
      </c>
      <c r="C17" s="20">
        <v>74561</v>
      </c>
      <c r="D17" s="20">
        <v>2.0529999999999999</v>
      </c>
      <c r="E17" s="34">
        <f t="shared" si="19"/>
        <v>46080</v>
      </c>
      <c r="F17" s="34"/>
      <c r="G17" s="20">
        <v>69801</v>
      </c>
      <c r="H17" s="20">
        <v>2.1779999999999999</v>
      </c>
      <c r="I17" s="34">
        <f t="shared" si="20"/>
        <v>47360</v>
      </c>
      <c r="J17" s="34"/>
      <c r="K17" s="20">
        <v>8429</v>
      </c>
      <c r="L17" s="20">
        <v>0.317</v>
      </c>
      <c r="M17" s="34">
        <f t="shared" si="21"/>
        <v>12800</v>
      </c>
      <c r="N17" s="34"/>
      <c r="O17" s="20">
        <v>8411</v>
      </c>
      <c r="P17" s="20">
        <v>0.23699999999999999</v>
      </c>
      <c r="Q17" s="34">
        <f t="shared" si="22"/>
        <v>12400</v>
      </c>
      <c r="R17" s="34"/>
      <c r="S17" s="20">
        <v>9025</v>
      </c>
      <c r="T17" s="20">
        <v>0.25700000000000001</v>
      </c>
      <c r="U17" s="34">
        <f t="shared" si="23"/>
        <v>13600</v>
      </c>
      <c r="V17" s="34"/>
      <c r="W17" s="20">
        <v>58217</v>
      </c>
      <c r="X17" s="20">
        <v>1.488</v>
      </c>
      <c r="Y17" s="34">
        <f t="shared" si="24"/>
        <v>51000</v>
      </c>
      <c r="Z17" s="34"/>
      <c r="AA17" s="20">
        <v>55397</v>
      </c>
      <c r="AB17" s="20">
        <v>0.69099999999999995</v>
      </c>
      <c r="AC17" s="34">
        <f t="shared" si="25"/>
        <v>25200</v>
      </c>
      <c r="AD17" s="34"/>
      <c r="AE17" s="20">
        <v>14422</v>
      </c>
      <c r="AF17" s="20">
        <v>0.36599999999999999</v>
      </c>
      <c r="AG17" s="34">
        <f t="shared" si="26"/>
        <v>6880</v>
      </c>
      <c r="AH17" s="34"/>
      <c r="AI17" s="20">
        <v>9896</v>
      </c>
      <c r="AJ17" s="20">
        <v>0.25900000000000001</v>
      </c>
      <c r="AK17" s="34">
        <f t="shared" si="27"/>
        <v>4160</v>
      </c>
      <c r="AL17" s="34"/>
      <c r="AM17" s="20">
        <v>71726</v>
      </c>
      <c r="AN17" s="20">
        <v>1.9419999999999999</v>
      </c>
      <c r="AO17" s="34">
        <f t="shared" si="28"/>
        <v>45800</v>
      </c>
      <c r="AP17" s="34"/>
      <c r="AQ17" s="20">
        <v>13877</v>
      </c>
      <c r="AR17" s="20">
        <v>0.373</v>
      </c>
      <c r="AS17" s="34">
        <f t="shared" si="29"/>
        <v>2000</v>
      </c>
      <c r="AT17" s="34"/>
      <c r="AU17" s="205">
        <v>30821</v>
      </c>
      <c r="AV17" s="205"/>
      <c r="AW17" s="34">
        <f t="shared" si="30"/>
        <v>592</v>
      </c>
      <c r="AX17" s="34"/>
      <c r="AZ17" s="34">
        <f t="shared" si="0"/>
        <v>267872</v>
      </c>
      <c r="BA17" s="20">
        <f t="shared" si="1"/>
        <v>47800</v>
      </c>
      <c r="BB17" s="20">
        <f t="shared" si="2"/>
        <v>0.17844343567076812</v>
      </c>
      <c r="BD17" s="14"/>
      <c r="BE17" s="64">
        <f t="shared" si="40"/>
        <v>43548</v>
      </c>
      <c r="BF17" s="20">
        <v>49547</v>
      </c>
      <c r="BG17" s="34">
        <f t="shared" si="31"/>
        <v>13700</v>
      </c>
      <c r="BI17" s="20">
        <v>6326</v>
      </c>
      <c r="BJ17" s="34">
        <f t="shared" si="32"/>
        <v>1700</v>
      </c>
      <c r="BL17" s="20">
        <v>49049</v>
      </c>
      <c r="BM17" s="34">
        <f t="shared" si="33"/>
        <v>877</v>
      </c>
      <c r="BN17" s="20"/>
      <c r="BO17" s="20">
        <v>43866</v>
      </c>
      <c r="BP17" s="34">
        <f t="shared" si="34"/>
        <v>3080</v>
      </c>
      <c r="BR17" s="14"/>
      <c r="BS17" s="20">
        <f t="shared" si="3"/>
        <v>19357</v>
      </c>
      <c r="BW17" s="14"/>
      <c r="BY17" s="19">
        <f t="shared" si="4"/>
        <v>30821</v>
      </c>
      <c r="CC17" s="60">
        <f t="shared" si="5"/>
        <v>69801</v>
      </c>
      <c r="CL17" s="60">
        <f t="shared" si="6"/>
        <v>74561</v>
      </c>
      <c r="CU17" s="60">
        <f t="shared" si="35"/>
        <v>58217</v>
      </c>
      <c r="DD17" s="60">
        <f t="shared" si="7"/>
        <v>13877</v>
      </c>
      <c r="DM17" s="60">
        <f t="shared" si="8"/>
        <v>55397</v>
      </c>
      <c r="DV17" s="60">
        <f t="shared" si="9"/>
        <v>8411</v>
      </c>
      <c r="EE17" s="60">
        <f t="shared" si="10"/>
        <v>58217</v>
      </c>
      <c r="EN17" s="60">
        <f t="shared" si="11"/>
        <v>9025</v>
      </c>
      <c r="EW17" s="60">
        <f t="shared" si="12"/>
        <v>14422</v>
      </c>
      <c r="FF17" s="60">
        <f t="shared" si="13"/>
        <v>9896</v>
      </c>
      <c r="FO17" s="19">
        <f t="shared" si="14"/>
        <v>71726</v>
      </c>
      <c r="FX17" s="50"/>
      <c r="GC17" s="14"/>
      <c r="GE17" s="60">
        <f t="shared" si="15"/>
        <v>6326</v>
      </c>
      <c r="GN17" s="60">
        <f t="shared" si="16"/>
        <v>49547</v>
      </c>
      <c r="GW17" s="60">
        <f t="shared" si="17"/>
        <v>49049</v>
      </c>
      <c r="HC17" s="60">
        <f t="shared" si="18"/>
        <v>43866</v>
      </c>
      <c r="HP17" s="18"/>
    </row>
    <row r="18" spans="2:232">
      <c r="B18" s="58">
        <v>43556</v>
      </c>
      <c r="C18" s="20">
        <v>74843</v>
      </c>
      <c r="D18" s="20">
        <v>2.0710000000000002</v>
      </c>
      <c r="E18" s="34">
        <f t="shared" si="19"/>
        <v>45120</v>
      </c>
      <c r="F18" s="34"/>
      <c r="G18" s="20">
        <v>70091</v>
      </c>
      <c r="H18" s="20">
        <v>2.1779999999999999</v>
      </c>
      <c r="I18" s="34">
        <f t="shared" si="20"/>
        <v>46400</v>
      </c>
      <c r="J18" s="34"/>
      <c r="K18" s="20">
        <v>8461</v>
      </c>
      <c r="L18" s="20">
        <v>0.32600000000000001</v>
      </c>
      <c r="M18" s="34">
        <f t="shared" si="21"/>
        <v>12800</v>
      </c>
      <c r="N18" s="34"/>
      <c r="O18" s="20">
        <v>8442</v>
      </c>
      <c r="P18" s="20">
        <v>0.24299999999999999</v>
      </c>
      <c r="Q18" s="34">
        <f t="shared" si="22"/>
        <v>12400</v>
      </c>
      <c r="R18" s="34"/>
      <c r="S18" s="20">
        <v>9053</v>
      </c>
      <c r="T18" s="20">
        <v>0.314</v>
      </c>
      <c r="U18" s="34">
        <f t="shared" si="23"/>
        <v>11200</v>
      </c>
      <c r="V18" s="34"/>
      <c r="W18" s="20">
        <v>58342</v>
      </c>
      <c r="X18" s="20">
        <v>1.8839999999999999</v>
      </c>
      <c r="Y18" s="34">
        <f t="shared" si="24"/>
        <v>37500</v>
      </c>
      <c r="Z18" s="34"/>
      <c r="AA18" s="20">
        <v>55564</v>
      </c>
      <c r="AB18" s="20">
        <v>1.766</v>
      </c>
      <c r="AC18" s="34">
        <f t="shared" si="25"/>
        <v>50100</v>
      </c>
      <c r="AD18" s="34"/>
      <c r="AE18" s="20">
        <v>14464</v>
      </c>
      <c r="AF18" s="20">
        <v>0.378</v>
      </c>
      <c r="AG18" s="34">
        <f t="shared" si="26"/>
        <v>6720</v>
      </c>
      <c r="AH18" s="34"/>
      <c r="AI18" s="20">
        <v>9923</v>
      </c>
      <c r="AJ18" s="20">
        <v>0.31900000000000001</v>
      </c>
      <c r="AK18" s="34">
        <f t="shared" si="27"/>
        <v>4320</v>
      </c>
      <c r="AL18" s="34"/>
      <c r="AM18" s="20">
        <v>71965</v>
      </c>
      <c r="AN18" s="20">
        <v>1.9419999999999999</v>
      </c>
      <c r="AO18" s="34">
        <f t="shared" si="28"/>
        <v>47800</v>
      </c>
      <c r="AP18" s="34"/>
      <c r="AQ18" s="20">
        <v>13921</v>
      </c>
      <c r="AR18" s="20">
        <v>0.373</v>
      </c>
      <c r="AS18" s="34">
        <f t="shared" si="29"/>
        <v>1760</v>
      </c>
      <c r="AT18" s="34"/>
      <c r="AU18" s="205">
        <v>31365</v>
      </c>
      <c r="AV18" s="205"/>
      <c r="AW18" s="34">
        <f t="shared" si="30"/>
        <v>544</v>
      </c>
      <c r="AX18" s="34"/>
      <c r="AZ18" s="34">
        <f t="shared" si="0"/>
        <v>276664</v>
      </c>
      <c r="BA18" s="20">
        <f t="shared" si="1"/>
        <v>49560</v>
      </c>
      <c r="BB18" s="20">
        <f t="shared" si="2"/>
        <v>0.17913425671572739</v>
      </c>
      <c r="BC18" s="20">
        <f>SUM(AZ14:AZ18)</f>
        <v>1270600</v>
      </c>
      <c r="BD18" s="14"/>
      <c r="BE18" s="64">
        <f t="shared" si="40"/>
        <v>43556</v>
      </c>
      <c r="BF18" s="20">
        <v>49699</v>
      </c>
      <c r="BG18" s="34">
        <f t="shared" si="31"/>
        <v>15200</v>
      </c>
      <c r="BI18" s="20">
        <v>6344</v>
      </c>
      <c r="BJ18" s="34">
        <f t="shared" si="32"/>
        <v>1800</v>
      </c>
      <c r="BL18" s="20">
        <v>49930</v>
      </c>
      <c r="BM18" s="34">
        <f t="shared" si="33"/>
        <v>881</v>
      </c>
      <c r="BN18" s="20"/>
      <c r="BO18" s="20">
        <v>43971</v>
      </c>
      <c r="BP18" s="34">
        <f t="shared" si="34"/>
        <v>4200</v>
      </c>
      <c r="BR18" s="14"/>
      <c r="BS18" s="20">
        <f t="shared" si="3"/>
        <v>22081</v>
      </c>
      <c r="BT18" s="20">
        <f>SUM(BS14:BS18)</f>
        <v>96652</v>
      </c>
      <c r="BU18" s="20">
        <f>SUM(BC18+BT18)</f>
        <v>1367252</v>
      </c>
      <c r="BW18" s="14"/>
      <c r="BY18" s="19">
        <f t="shared" si="4"/>
        <v>31365</v>
      </c>
      <c r="BZ18" s="20">
        <v>30840</v>
      </c>
      <c r="CA18" s="19">
        <f>SUM(BZ18-BZ13)</f>
        <v>2422</v>
      </c>
      <c r="CB18" s="59">
        <f>SUM(CA18*0.12043+CA18*0.03046)*1.08+1.91</f>
        <v>396.60202640000006</v>
      </c>
      <c r="CC18" s="60">
        <f t="shared" ref="CC18" si="41">SUM(G18)</f>
        <v>70091</v>
      </c>
      <c r="CD18" s="20">
        <v>69884</v>
      </c>
      <c r="CE18" s="20">
        <v>2.286</v>
      </c>
      <c r="CF18" s="19">
        <f>SUM(CD18-CD13)*160</f>
        <v>188000</v>
      </c>
      <c r="CG18" s="19">
        <f>(CE18)*160</f>
        <v>365.76</v>
      </c>
      <c r="CH18" s="59">
        <f>SUM(CF18*0.04326)</f>
        <v>8132.88</v>
      </c>
      <c r="CI18" s="59">
        <f>SUM(CF18*0.02111)</f>
        <v>3968.68</v>
      </c>
      <c r="CJ18" s="59">
        <f>SUM(CG18*7.447)</f>
        <v>2723.8147199999999</v>
      </c>
      <c r="CK18" s="59">
        <f>SUM(CH18+CI18)</f>
        <v>12101.56</v>
      </c>
      <c r="CL18" s="60">
        <f t="shared" si="6"/>
        <v>74843</v>
      </c>
      <c r="CM18" s="20">
        <v>74641</v>
      </c>
      <c r="CN18" s="20">
        <v>2.2040000000000002</v>
      </c>
      <c r="CO18" s="19">
        <f>SUM(CM18-CM13)*160</f>
        <v>183200</v>
      </c>
      <c r="CP18" s="19">
        <f>(CN18)*160</f>
        <v>352.64000000000004</v>
      </c>
      <c r="CQ18" s="59">
        <f>SUM(CO18*0.04326)</f>
        <v>7925.232</v>
      </c>
      <c r="CR18" s="59">
        <f>SUM(CO18*0.02111)</f>
        <v>3867.3519999999999</v>
      </c>
      <c r="CS18" s="59">
        <f>SUM(CP18*7.447)</f>
        <v>2626.1100800000004</v>
      </c>
      <c r="CT18" s="59">
        <f>SUM(CQ18+CR18)+45</f>
        <v>11837.583999999999</v>
      </c>
      <c r="CU18" s="60">
        <f t="shared" si="35"/>
        <v>58342</v>
      </c>
      <c r="CV18" s="20">
        <v>58262</v>
      </c>
      <c r="CW18" s="20">
        <v>2.6110000000000002</v>
      </c>
      <c r="CX18" s="19">
        <f>SUM(CV18-CV13)*300</f>
        <v>212400</v>
      </c>
      <c r="CY18" s="19">
        <f>(CW18)*300</f>
        <v>783.30000000000007</v>
      </c>
      <c r="CZ18" s="59">
        <f>SUM(CX18*0.04326)</f>
        <v>9188.4239999999991</v>
      </c>
      <c r="DA18" s="59">
        <f>SUM(CX18*0.02111)</f>
        <v>4483.7640000000001</v>
      </c>
      <c r="DB18" s="59">
        <f>SUM(CY18*7.447)</f>
        <v>5833.2351000000008</v>
      </c>
      <c r="DC18" s="59">
        <f>SUM(CZ18+DA18)+45</f>
        <v>13717.187999999998</v>
      </c>
      <c r="DD18" s="60">
        <f t="shared" si="7"/>
        <v>13921</v>
      </c>
      <c r="DE18" s="20">
        <v>13889</v>
      </c>
      <c r="DF18" s="20">
        <v>0.40400000000000003</v>
      </c>
      <c r="DG18" s="19">
        <f>(DE18-DE13)*40</f>
        <v>7760</v>
      </c>
      <c r="DH18" s="19">
        <f>(DF18)*40</f>
        <v>16.16</v>
      </c>
      <c r="DI18" s="59">
        <f>SUM(DG18*0.04326)</f>
        <v>335.69760000000002</v>
      </c>
      <c r="DJ18" s="59">
        <f>SUM(DG18*0.02111)</f>
        <v>163.81360000000001</v>
      </c>
      <c r="DK18" s="59">
        <f>SUM(DH18*7.447)</f>
        <v>120.34352</v>
      </c>
      <c r="DL18" s="59">
        <f>SUM(DI18+DJ18)+24</f>
        <v>523.51120000000003</v>
      </c>
      <c r="DM18" s="60">
        <f t="shared" si="8"/>
        <v>55564</v>
      </c>
      <c r="DN18" s="20">
        <v>55446</v>
      </c>
      <c r="DO18" s="20">
        <v>2.2759999999999998</v>
      </c>
      <c r="DP18" s="19">
        <f>SUM(DN18-DN13)*300</f>
        <v>167100</v>
      </c>
      <c r="DQ18" s="61">
        <f>(DO18)*300</f>
        <v>682.8</v>
      </c>
      <c r="DR18" s="59">
        <f>SUM(DP18*0.04326)</f>
        <v>7228.7460000000001</v>
      </c>
      <c r="DS18" s="59">
        <f>SUM(DP18*0.02111)</f>
        <v>3527.4810000000002</v>
      </c>
      <c r="DT18" s="59">
        <f>SUM(DQ18*7.447)</f>
        <v>5084.8116</v>
      </c>
      <c r="DU18" s="59">
        <f>SUM(DR18+DS18)+45</f>
        <v>10801.227000000001</v>
      </c>
      <c r="DV18" s="60">
        <f t="shared" si="9"/>
        <v>8442</v>
      </c>
      <c r="DW18" s="20">
        <v>8420</v>
      </c>
      <c r="DX18" s="20">
        <v>0.254</v>
      </c>
      <c r="DY18" s="19">
        <f>SUM(DW18-DW13)*400</f>
        <v>49600</v>
      </c>
      <c r="DZ18" s="61">
        <f>(DX18)*400</f>
        <v>101.6</v>
      </c>
      <c r="EA18" s="59">
        <f>SUM(DY18*0.04326)</f>
        <v>2145.6959999999999</v>
      </c>
      <c r="EB18" s="59">
        <f>SUM(DY18*0.02111)</f>
        <v>1047.056</v>
      </c>
      <c r="EC18" s="59">
        <f>SUM(DZ18*7.447)</f>
        <v>756.61519999999996</v>
      </c>
      <c r="ED18" s="59">
        <f>SUM(EA18+EB18)+40</f>
        <v>3232.752</v>
      </c>
      <c r="EE18" s="60">
        <f t="shared" si="10"/>
        <v>58342</v>
      </c>
      <c r="EF18" s="20">
        <v>8438</v>
      </c>
      <c r="EG18" s="20">
        <v>0.318</v>
      </c>
      <c r="EH18" s="19">
        <f>SUM(EF18-EF13)*400</f>
        <v>49600</v>
      </c>
      <c r="EI18" s="19">
        <f>(EG18)*400</f>
        <v>127.2</v>
      </c>
      <c r="EJ18" s="59">
        <f>SUM(EH18*0.04326)</f>
        <v>2145.6959999999999</v>
      </c>
      <c r="EK18" s="59">
        <f>SUM(EH18*0.02111)</f>
        <v>1047.056</v>
      </c>
      <c r="EL18" s="59">
        <f>SUM(EI18*7.447)</f>
        <v>947.25840000000005</v>
      </c>
      <c r="EM18" s="59">
        <f>SUM(EJ18+EK18)+20</f>
        <v>3212.752</v>
      </c>
      <c r="EN18" s="60">
        <f t="shared" si="11"/>
        <v>9053</v>
      </c>
      <c r="EO18" s="20">
        <v>9034</v>
      </c>
      <c r="EP18" s="20">
        <v>0.28699999999999998</v>
      </c>
      <c r="EQ18" s="19">
        <f>SUM(EO18-EO13)*400</f>
        <v>52000</v>
      </c>
      <c r="ER18" s="19">
        <f>(EP18)*400</f>
        <v>114.8</v>
      </c>
      <c r="ES18" s="59">
        <f>SUM(EQ18*0.04326)</f>
        <v>2249.52</v>
      </c>
      <c r="ET18" s="59">
        <f>SUM(EQ18*0.02111)</f>
        <v>1097.72</v>
      </c>
      <c r="EU18" s="59">
        <f>SUM(ER18*7.447)</f>
        <v>854.91560000000004</v>
      </c>
      <c r="EV18" s="59">
        <f>SUM(ES18+ET18)+20</f>
        <v>3367.24</v>
      </c>
      <c r="EW18" s="60">
        <f t="shared" si="12"/>
        <v>14464</v>
      </c>
      <c r="EX18" s="20">
        <v>14434</v>
      </c>
      <c r="EY18" s="20">
        <v>0.496</v>
      </c>
      <c r="EZ18" s="19">
        <f>SUM(EX18-EX13)*160</f>
        <v>29280</v>
      </c>
      <c r="FA18" s="19">
        <f>(EY18)*160</f>
        <v>79.36</v>
      </c>
      <c r="FB18" s="59">
        <f>SUM(EZ18*0.04326)</f>
        <v>1266.6528000000001</v>
      </c>
      <c r="FC18" s="59">
        <f>SUM(EZ18*0.02111)</f>
        <v>618.10080000000005</v>
      </c>
      <c r="FD18" s="59">
        <f>SUM(FA18*7.447)</f>
        <v>590.99392</v>
      </c>
      <c r="FE18" s="59">
        <f>SUM(FB18+FC18)+20</f>
        <v>1904.7536</v>
      </c>
      <c r="FF18" s="60">
        <f t="shared" si="13"/>
        <v>9923</v>
      </c>
      <c r="FG18" s="20">
        <v>9904</v>
      </c>
      <c r="FH18" s="20">
        <v>0.38300000000000001</v>
      </c>
      <c r="FI18" s="19">
        <f>SUM(FG18-FG13)*160</f>
        <v>19040</v>
      </c>
      <c r="FJ18" s="19">
        <f>(FH18)*160</f>
        <v>61.28</v>
      </c>
      <c r="FK18" s="59">
        <f>SUM(FI18*0.04326)</f>
        <v>823.67039999999997</v>
      </c>
      <c r="FL18" s="59">
        <f>SUM(FI18*0.02111)</f>
        <v>401.93439999999998</v>
      </c>
      <c r="FM18" s="59">
        <f>SUM(FJ18*7.447)</f>
        <v>456.35216000000003</v>
      </c>
      <c r="FN18" s="59">
        <f>SUM(FK18+FL18)+20</f>
        <v>1245.6048000000001</v>
      </c>
      <c r="FO18" s="19">
        <f t="shared" si="14"/>
        <v>71965</v>
      </c>
      <c r="FP18" s="20">
        <v>71796</v>
      </c>
      <c r="FQ18" s="20">
        <v>2.1720000000000002</v>
      </c>
      <c r="FR18" s="19">
        <f>SUM(FP18-FP13)*200</f>
        <v>193200</v>
      </c>
      <c r="FS18" s="19">
        <f>(FQ18)*200</f>
        <v>434.40000000000003</v>
      </c>
      <c r="FT18" s="59">
        <f>SUM(FR18*0.04326)</f>
        <v>8357.8320000000003</v>
      </c>
      <c r="FU18" s="59">
        <f>SUM(FR18*0.02111)</f>
        <v>4078.4520000000002</v>
      </c>
      <c r="FV18" s="59">
        <f>SUM(FS18*7.447)</f>
        <v>3234.9768000000004</v>
      </c>
      <c r="FW18" s="59">
        <f>SUM((FT18+FU18)+20)*1.09</f>
        <v>13577.349560000001</v>
      </c>
      <c r="FX18" s="50"/>
      <c r="FY18" s="74">
        <f>SUM(CA18+CF18+CO18+CX18+DG18+DP18+DY18+EH18+EQ18+EZ18+FI18+FR18)</f>
        <v>1153602</v>
      </c>
      <c r="FZ18" s="75">
        <f>SUM(CB18+CK18,CT18,DC18,DL18,DU18,ED18,EM18,EV18,FE18,FN18+FW18)</f>
        <v>75918.124186399989</v>
      </c>
      <c r="GA18" s="75">
        <f>SUM(CJ18,CS18,DB18,DK18,DT18,EC18,EL18,EU18,FD18,FM18,FV18)</f>
        <v>23229.427100000001</v>
      </c>
      <c r="GB18" s="75">
        <f>SUM(FZ18:GA18)</f>
        <v>99147.55128639999</v>
      </c>
      <c r="GC18" s="14"/>
      <c r="GE18" s="60">
        <f t="shared" ref="GE18" si="42">SUM(BI18)</f>
        <v>6344</v>
      </c>
      <c r="GF18" s="20">
        <v>6331</v>
      </c>
      <c r="GG18" s="20">
        <v>0.23100000000000001</v>
      </c>
      <c r="GH18" s="19">
        <f>SUM(GF18-GF13)*100</f>
        <v>7000</v>
      </c>
      <c r="GI18" s="19">
        <f>SUM(GG18)*100</f>
        <v>23.1</v>
      </c>
      <c r="GJ18" s="62">
        <f>SUM(GH18*0.04326)</f>
        <v>302.82</v>
      </c>
      <c r="GK18" s="62">
        <f>SUM(GH18*0.02111)</f>
        <v>147.77000000000001</v>
      </c>
      <c r="GL18" s="62">
        <f>SUM(GI18*7.447)</f>
        <v>172.0257</v>
      </c>
      <c r="GM18" s="59">
        <f>SUM(GK18+GJ18+20)*1.1048</f>
        <v>519.90783199999998</v>
      </c>
      <c r="GN18" s="60">
        <f t="shared" si="16"/>
        <v>49699</v>
      </c>
      <c r="GO18" s="20">
        <v>49590</v>
      </c>
      <c r="GP18" s="20">
        <v>1.7809999999999999</v>
      </c>
      <c r="GQ18" s="19">
        <f>SUM(GO18-GO13)*100</f>
        <v>60500</v>
      </c>
      <c r="GR18" s="19">
        <f>SUM(GP18)*100</f>
        <v>178.1</v>
      </c>
      <c r="GS18" s="62">
        <f>SUM(GQ18*0.04326)</f>
        <v>2617.23</v>
      </c>
      <c r="GT18" s="62">
        <f>SUM(GQ18*0.02111)</f>
        <v>1277.155</v>
      </c>
      <c r="GU18" s="62">
        <f>SUM(GR18*7.447)</f>
        <v>1326.3107</v>
      </c>
      <c r="GV18" s="59">
        <f>SUM(GT18+GS18+20)*1.1048</f>
        <v>4324.6125480000001</v>
      </c>
      <c r="GW18" s="60">
        <f t="shared" si="17"/>
        <v>49930</v>
      </c>
      <c r="GX18" s="20">
        <v>49294</v>
      </c>
      <c r="GY18" s="19">
        <f>SUM(GX18-GX13)</f>
        <v>3535</v>
      </c>
      <c r="GZ18" s="59">
        <f>SUM(GY18*0.12673)</f>
        <v>447.99055000000004</v>
      </c>
      <c r="HA18" s="59">
        <f>SUM(GY18*0.02111)</f>
        <v>74.623850000000004</v>
      </c>
      <c r="HB18" s="59">
        <f>SUM(GZ18+HA18+2.85)*1.07</f>
        <v>562.24690800000008</v>
      </c>
      <c r="HC18" s="60">
        <f t="shared" si="18"/>
        <v>43971</v>
      </c>
      <c r="HD18" s="20">
        <v>43904</v>
      </c>
      <c r="HE18" s="20">
        <v>3.3919999999999999</v>
      </c>
      <c r="HF18" s="19">
        <f>SUM(HD18-HD13)*40</f>
        <v>13440</v>
      </c>
      <c r="HG18" s="19">
        <f>SUM(HE18)*40</f>
        <v>135.68</v>
      </c>
      <c r="HH18" s="59">
        <f>SUM(HF18*0.04326)</f>
        <v>581.4144</v>
      </c>
      <c r="HI18" s="59">
        <f>SUM(HF18*0.02111)</f>
        <v>283.71840000000003</v>
      </c>
      <c r="HJ18" s="59">
        <f>SUM(HG18*7.447)</f>
        <v>1010.4089600000001</v>
      </c>
      <c r="HK18" s="59">
        <f>SUM(HI18+HH18+20)*1.1048</f>
        <v>977.89471744000014</v>
      </c>
      <c r="HL18" s="20">
        <f>SUM(GH18+GQ18+GY18+HF18)</f>
        <v>84475</v>
      </c>
      <c r="HM18" s="75">
        <f>SUM(HK18+HB18+GV18+GM18)</f>
        <v>6384.66200544</v>
      </c>
      <c r="HN18" s="75">
        <f>SUM(GL18+GU18+HJ18)</f>
        <v>2508.7453599999999</v>
      </c>
      <c r="HO18" s="75">
        <f>SUM(HM18:HN18)</f>
        <v>8893.4073654399999</v>
      </c>
      <c r="HP18" s="18"/>
      <c r="HQ18" s="74">
        <f t="shared" ref="HQ18:HS18" si="43">(FY18+HL18)</f>
        <v>1238077</v>
      </c>
      <c r="HR18" s="75">
        <f t="shared" si="43"/>
        <v>82302.786191839987</v>
      </c>
      <c r="HS18" s="75">
        <f t="shared" si="43"/>
        <v>25738.172460000002</v>
      </c>
      <c r="HT18" s="75">
        <f t="shared" ref="HT18" si="44">(HR18+HS18)</f>
        <v>108040.95865183999</v>
      </c>
    </row>
    <row r="19" spans="2:232">
      <c r="B19" s="58">
        <v>43563</v>
      </c>
      <c r="C19" s="20">
        <v>75130</v>
      </c>
      <c r="D19" s="20">
        <v>2.0710000000000002</v>
      </c>
      <c r="E19" s="34">
        <f t="shared" si="19"/>
        <v>45920</v>
      </c>
      <c r="F19" s="34"/>
      <c r="G19" s="20">
        <v>70385</v>
      </c>
      <c r="H19" s="20">
        <v>2.3109999999999999</v>
      </c>
      <c r="I19" s="34">
        <f t="shared" si="20"/>
        <v>47040</v>
      </c>
      <c r="J19" s="34"/>
      <c r="K19" s="20">
        <v>8491</v>
      </c>
      <c r="L19" s="20">
        <v>0.32600000000000001</v>
      </c>
      <c r="M19" s="34">
        <f t="shared" si="21"/>
        <v>12000</v>
      </c>
      <c r="N19" s="34"/>
      <c r="O19" s="20">
        <v>8472</v>
      </c>
      <c r="P19" s="20">
        <v>0.24299999999999999</v>
      </c>
      <c r="Q19" s="34">
        <f t="shared" si="22"/>
        <v>12000</v>
      </c>
      <c r="R19" s="34"/>
      <c r="S19" s="20">
        <v>9090</v>
      </c>
      <c r="T19" s="20">
        <v>0.314</v>
      </c>
      <c r="U19" s="34">
        <f t="shared" si="23"/>
        <v>14800</v>
      </c>
      <c r="V19" s="34"/>
      <c r="W19" s="20">
        <v>58513</v>
      </c>
      <c r="X19" s="20">
        <v>1.9550000000000001</v>
      </c>
      <c r="Y19" s="34">
        <f t="shared" si="24"/>
        <v>51300</v>
      </c>
      <c r="Z19" s="34"/>
      <c r="AA19" s="20">
        <v>55721</v>
      </c>
      <c r="AB19" s="20">
        <v>1.93</v>
      </c>
      <c r="AC19" s="34">
        <f t="shared" si="25"/>
        <v>47100</v>
      </c>
      <c r="AD19" s="34"/>
      <c r="AE19" s="20">
        <v>14506</v>
      </c>
      <c r="AF19" s="20">
        <v>0.378</v>
      </c>
      <c r="AG19" s="34">
        <f t="shared" si="26"/>
        <v>6720</v>
      </c>
      <c r="AH19" s="34"/>
      <c r="AI19" s="20">
        <v>9949</v>
      </c>
      <c r="AJ19" s="20">
        <v>0.31900000000000001</v>
      </c>
      <c r="AK19" s="34">
        <f t="shared" si="27"/>
        <v>4160</v>
      </c>
      <c r="AL19" s="34"/>
      <c r="AM19" s="20">
        <v>72207</v>
      </c>
      <c r="AN19" s="20">
        <v>1.9419999999999999</v>
      </c>
      <c r="AO19" s="34">
        <f t="shared" si="28"/>
        <v>48400</v>
      </c>
      <c r="AP19" s="34"/>
      <c r="AQ19" s="20">
        <v>13966</v>
      </c>
      <c r="AR19" s="20">
        <v>0.373</v>
      </c>
      <c r="AS19" s="34">
        <f t="shared" si="29"/>
        <v>1800</v>
      </c>
      <c r="AT19" s="34"/>
      <c r="AU19" s="205">
        <v>31913</v>
      </c>
      <c r="AV19" s="205"/>
      <c r="AW19" s="34">
        <f t="shared" si="30"/>
        <v>548</v>
      </c>
      <c r="AX19" s="34"/>
      <c r="AZ19" s="34">
        <f t="shared" si="0"/>
        <v>291788</v>
      </c>
      <c r="BA19" s="20">
        <f t="shared" si="1"/>
        <v>50200</v>
      </c>
      <c r="BB19" s="20">
        <f t="shared" si="2"/>
        <v>0.17204271594445283</v>
      </c>
      <c r="BC19" s="20"/>
      <c r="BD19" s="14"/>
      <c r="BE19" s="64">
        <f t="shared" si="40"/>
        <v>43563</v>
      </c>
      <c r="BF19" s="20">
        <v>49883</v>
      </c>
      <c r="BG19" s="34">
        <f t="shared" si="31"/>
        <v>18400</v>
      </c>
      <c r="BI19" s="20">
        <v>6366</v>
      </c>
      <c r="BJ19" s="34">
        <f t="shared" si="32"/>
        <v>2200</v>
      </c>
      <c r="BL19" s="20">
        <v>50947</v>
      </c>
      <c r="BM19" s="34">
        <f t="shared" si="33"/>
        <v>1017</v>
      </c>
      <c r="BN19" s="20"/>
      <c r="BO19" s="20">
        <v>44087</v>
      </c>
      <c r="BP19" s="34">
        <f t="shared" si="34"/>
        <v>4640</v>
      </c>
      <c r="BR19" s="14"/>
      <c r="BS19" s="20">
        <f t="shared" si="3"/>
        <v>26257</v>
      </c>
      <c r="BW19" s="14"/>
      <c r="BY19" s="19">
        <f t="shared" si="4"/>
        <v>31913</v>
      </c>
      <c r="CC19" s="60">
        <f t="shared" ref="CC19:CC21" si="45">SUM(G19)</f>
        <v>70385</v>
      </c>
      <c r="CL19" s="60">
        <f t="shared" si="6"/>
        <v>75130</v>
      </c>
      <c r="CU19" s="60">
        <f t="shared" si="35"/>
        <v>58513</v>
      </c>
      <c r="DD19" s="60">
        <f t="shared" si="7"/>
        <v>13966</v>
      </c>
      <c r="DM19" s="60">
        <f t="shared" si="8"/>
        <v>55721</v>
      </c>
      <c r="DV19" s="60">
        <f t="shared" si="9"/>
        <v>8472</v>
      </c>
      <c r="EE19" s="60">
        <f t="shared" si="10"/>
        <v>58513</v>
      </c>
      <c r="EN19" s="60">
        <f t="shared" si="11"/>
        <v>9090</v>
      </c>
      <c r="EW19" s="60">
        <f t="shared" si="12"/>
        <v>14506</v>
      </c>
      <c r="FF19" s="60">
        <f t="shared" si="13"/>
        <v>9949</v>
      </c>
      <c r="FO19" s="19">
        <f t="shared" si="14"/>
        <v>72207</v>
      </c>
      <c r="FX19" s="50"/>
      <c r="GC19" s="14"/>
      <c r="GE19" s="60">
        <f t="shared" ref="GE19:GE21" si="46">SUM(BI19)</f>
        <v>6366</v>
      </c>
      <c r="GN19" s="60">
        <f t="shared" si="16"/>
        <v>49883</v>
      </c>
      <c r="GW19" s="60">
        <f t="shared" si="17"/>
        <v>50947</v>
      </c>
      <c r="HC19" s="60">
        <f t="shared" si="18"/>
        <v>44087</v>
      </c>
      <c r="HP19" s="18"/>
    </row>
    <row r="20" spans="2:232">
      <c r="B20" s="58">
        <v>43569</v>
      </c>
      <c r="C20" s="20">
        <v>75417</v>
      </c>
      <c r="D20" s="20">
        <v>2.1389999999999998</v>
      </c>
      <c r="E20" s="34">
        <f t="shared" si="19"/>
        <v>45920</v>
      </c>
      <c r="F20" s="34"/>
      <c r="G20" s="20">
        <v>70676</v>
      </c>
      <c r="H20" s="20">
        <v>2.3109999999999999</v>
      </c>
      <c r="I20" s="34">
        <f t="shared" si="20"/>
        <v>46560</v>
      </c>
      <c r="J20" s="34"/>
      <c r="K20" s="20">
        <v>8522</v>
      </c>
      <c r="L20" s="20">
        <v>0.32600000000000001</v>
      </c>
      <c r="M20" s="34">
        <f t="shared" si="21"/>
        <v>12400</v>
      </c>
      <c r="N20" s="34"/>
      <c r="O20" s="20">
        <v>8503</v>
      </c>
      <c r="P20" s="20">
        <v>0.24399999999999999</v>
      </c>
      <c r="Q20" s="34">
        <f t="shared" si="22"/>
        <v>12400</v>
      </c>
      <c r="R20" s="34"/>
      <c r="S20" s="20">
        <v>9122</v>
      </c>
      <c r="T20" s="20">
        <v>0.314</v>
      </c>
      <c r="U20" s="34">
        <f t="shared" si="23"/>
        <v>12800</v>
      </c>
      <c r="V20" s="34"/>
      <c r="W20" s="20">
        <v>58741</v>
      </c>
      <c r="X20" s="20">
        <v>2.831</v>
      </c>
      <c r="Y20" s="34">
        <f t="shared" si="24"/>
        <v>68400</v>
      </c>
      <c r="Z20" s="34"/>
      <c r="AA20" s="20">
        <v>55983</v>
      </c>
      <c r="AB20" s="20">
        <v>2.1970000000000001</v>
      </c>
      <c r="AC20" s="34">
        <f t="shared" si="25"/>
        <v>78600</v>
      </c>
      <c r="AD20" s="34"/>
      <c r="AE20" s="20">
        <v>14553</v>
      </c>
      <c r="AF20" s="20">
        <v>0.42899999999999999</v>
      </c>
      <c r="AG20" s="34">
        <f t="shared" si="26"/>
        <v>7520</v>
      </c>
      <c r="AH20" s="34"/>
      <c r="AI20" s="20">
        <v>9980</v>
      </c>
      <c r="AJ20" s="20">
        <v>0.42899999999999999</v>
      </c>
      <c r="AK20" s="34">
        <f t="shared" si="27"/>
        <v>4960</v>
      </c>
      <c r="AL20" s="34"/>
      <c r="AM20" s="20">
        <v>72458</v>
      </c>
      <c r="AN20" s="20">
        <v>1.9910000000000001</v>
      </c>
      <c r="AO20" s="34">
        <f t="shared" si="28"/>
        <v>50200</v>
      </c>
      <c r="AP20" s="34"/>
      <c r="AQ20" s="20">
        <v>14011</v>
      </c>
      <c r="AR20" s="20">
        <v>0.373</v>
      </c>
      <c r="AS20" s="34">
        <f t="shared" si="29"/>
        <v>1800</v>
      </c>
      <c r="AT20" s="34"/>
      <c r="AU20" s="205">
        <v>32477</v>
      </c>
      <c r="AV20" s="205"/>
      <c r="AW20" s="34">
        <f t="shared" si="30"/>
        <v>564</v>
      </c>
      <c r="AX20" s="34"/>
      <c r="AZ20" s="34">
        <f t="shared" si="0"/>
        <v>342124</v>
      </c>
      <c r="BA20" s="20">
        <f t="shared" si="1"/>
        <v>52000</v>
      </c>
      <c r="BB20" s="20">
        <f t="shared" si="2"/>
        <v>0.15199167553284773</v>
      </c>
      <c r="BC20" s="20"/>
      <c r="BD20" s="14"/>
      <c r="BE20" s="64">
        <f t="shared" si="40"/>
        <v>43569</v>
      </c>
      <c r="BF20" s="20">
        <v>50036</v>
      </c>
      <c r="BG20" s="34">
        <f t="shared" si="31"/>
        <v>15300</v>
      </c>
      <c r="BI20" s="20">
        <v>6383</v>
      </c>
      <c r="BJ20" s="34">
        <f t="shared" si="32"/>
        <v>1700</v>
      </c>
      <c r="BL20" s="20">
        <v>51705</v>
      </c>
      <c r="BM20" s="34">
        <f t="shared" si="33"/>
        <v>758</v>
      </c>
      <c r="BN20" s="20"/>
      <c r="BO20" s="20">
        <v>44132</v>
      </c>
      <c r="BP20" s="34">
        <f t="shared" si="34"/>
        <v>1800</v>
      </c>
      <c r="BR20" s="14"/>
      <c r="BS20" s="20">
        <f t="shared" si="3"/>
        <v>19558</v>
      </c>
      <c r="BW20" s="14"/>
      <c r="BY20" s="19">
        <f t="shared" si="4"/>
        <v>32477</v>
      </c>
      <c r="CC20" s="60">
        <f t="shared" si="45"/>
        <v>70676</v>
      </c>
      <c r="CL20" s="60">
        <f t="shared" si="6"/>
        <v>75417</v>
      </c>
      <c r="CU20" s="60">
        <f t="shared" si="35"/>
        <v>58741</v>
      </c>
      <c r="DD20" s="60">
        <f t="shared" si="7"/>
        <v>14011</v>
      </c>
      <c r="DM20" s="60">
        <f t="shared" si="8"/>
        <v>55983</v>
      </c>
      <c r="DV20" s="60">
        <f t="shared" si="9"/>
        <v>8503</v>
      </c>
      <c r="EE20" s="60">
        <f t="shared" si="10"/>
        <v>58741</v>
      </c>
      <c r="EN20" s="60">
        <f t="shared" si="11"/>
        <v>9122</v>
      </c>
      <c r="EW20" s="60">
        <f t="shared" si="12"/>
        <v>14553</v>
      </c>
      <c r="FF20" s="60">
        <f t="shared" si="13"/>
        <v>9980</v>
      </c>
      <c r="FO20" s="19">
        <f t="shared" si="14"/>
        <v>72458</v>
      </c>
      <c r="FX20" s="50"/>
      <c r="GC20" s="14"/>
      <c r="GE20" s="60">
        <f t="shared" si="46"/>
        <v>6383</v>
      </c>
      <c r="GN20" s="60">
        <f t="shared" si="16"/>
        <v>50036</v>
      </c>
      <c r="GW20" s="60">
        <f t="shared" si="17"/>
        <v>51705</v>
      </c>
      <c r="HC20" s="60">
        <f t="shared" si="18"/>
        <v>44132</v>
      </c>
      <c r="HP20" s="18"/>
    </row>
    <row r="21" spans="2:232">
      <c r="B21" s="58">
        <v>43576</v>
      </c>
      <c r="C21" s="20">
        <v>75708</v>
      </c>
      <c r="D21" s="20">
        <v>1.6930000000000001</v>
      </c>
      <c r="E21" s="34">
        <f t="shared" si="19"/>
        <v>46560</v>
      </c>
      <c r="F21" s="34"/>
      <c r="G21" s="20">
        <v>70979</v>
      </c>
      <c r="H21" s="20">
        <v>1.4870000000000001</v>
      </c>
      <c r="I21" s="34">
        <f t="shared" si="20"/>
        <v>48480</v>
      </c>
      <c r="J21" s="34"/>
      <c r="K21" s="20">
        <v>8554</v>
      </c>
      <c r="L21" s="20">
        <v>0.154</v>
      </c>
      <c r="M21" s="34">
        <f t="shared" si="21"/>
        <v>12800</v>
      </c>
      <c r="N21" s="34"/>
      <c r="O21" s="20">
        <v>8535</v>
      </c>
      <c r="P21" s="20">
        <v>0.161</v>
      </c>
      <c r="Q21" s="34">
        <f t="shared" si="22"/>
        <v>12800</v>
      </c>
      <c r="R21" s="34"/>
      <c r="S21" s="20">
        <v>9155</v>
      </c>
      <c r="T21" s="20">
        <v>0.16500000000000001</v>
      </c>
      <c r="U21" s="34">
        <f t="shared" si="23"/>
        <v>13200</v>
      </c>
      <c r="V21" s="34"/>
      <c r="W21" s="20">
        <v>58937</v>
      </c>
      <c r="X21" s="20">
        <v>2.831</v>
      </c>
      <c r="Y21" s="34">
        <f t="shared" si="24"/>
        <v>58800</v>
      </c>
      <c r="Z21" s="34"/>
      <c r="AA21" s="20">
        <v>56046</v>
      </c>
      <c r="AB21" s="20">
        <v>0.441</v>
      </c>
      <c r="AC21" s="34">
        <f t="shared" si="25"/>
        <v>18900</v>
      </c>
      <c r="AD21" s="34"/>
      <c r="AE21" s="20">
        <v>14593</v>
      </c>
      <c r="AF21" s="20">
        <v>0.222</v>
      </c>
      <c r="AG21" s="34">
        <f t="shared" si="26"/>
        <v>6400</v>
      </c>
      <c r="AH21" s="34"/>
      <c r="AI21" s="20">
        <v>10001</v>
      </c>
      <c r="AJ21" s="20">
        <v>0.107</v>
      </c>
      <c r="AK21" s="34">
        <f t="shared" si="27"/>
        <v>3360</v>
      </c>
      <c r="AL21" s="34"/>
      <c r="AM21" s="20">
        <v>72709</v>
      </c>
      <c r="AN21" s="20">
        <v>1.1120000000000001</v>
      </c>
      <c r="AO21" s="34">
        <f t="shared" si="28"/>
        <v>50200</v>
      </c>
      <c r="AP21" s="34"/>
      <c r="AQ21" s="20">
        <v>14034</v>
      </c>
      <c r="AR21" s="20">
        <v>0.315</v>
      </c>
      <c r="AS21" s="34">
        <f t="shared" si="29"/>
        <v>920</v>
      </c>
      <c r="AT21" s="34"/>
      <c r="AU21" s="205">
        <v>33036</v>
      </c>
      <c r="AV21" s="205"/>
      <c r="AW21" s="34">
        <f t="shared" si="30"/>
        <v>559</v>
      </c>
      <c r="AX21" s="34"/>
      <c r="AZ21" s="34">
        <f t="shared" si="0"/>
        <v>272979</v>
      </c>
      <c r="BA21" s="20">
        <f t="shared" ref="BA21" si="47">SUM(AO21+AS21)</f>
        <v>51120</v>
      </c>
      <c r="BB21" s="20">
        <f t="shared" ref="BB21" si="48">SUM(BA21/AZ21)</f>
        <v>0.1872671524183179</v>
      </c>
      <c r="BC21" s="20"/>
      <c r="BD21" s="14"/>
      <c r="BE21" s="64">
        <f t="shared" si="40"/>
        <v>43576</v>
      </c>
      <c r="BF21" s="20">
        <v>50192</v>
      </c>
      <c r="BG21" s="34">
        <f t="shared" ref="BG21" si="49">SUM(BF21-BF20)*100</f>
        <v>15600</v>
      </c>
      <c r="BI21" s="20">
        <v>6404</v>
      </c>
      <c r="BJ21" s="34">
        <f t="shared" ref="BJ21" si="50">SUM(BI21-BI20)*100</f>
        <v>2100</v>
      </c>
      <c r="BL21" s="20">
        <v>52584</v>
      </c>
      <c r="BM21" s="34">
        <f t="shared" si="33"/>
        <v>879</v>
      </c>
      <c r="BN21" s="20"/>
      <c r="BO21" s="20">
        <v>44202</v>
      </c>
      <c r="BP21" s="34">
        <f t="shared" si="34"/>
        <v>2800</v>
      </c>
      <c r="BR21" s="14"/>
      <c r="BS21" s="20">
        <f t="shared" si="3"/>
        <v>21379</v>
      </c>
      <c r="BW21" s="14"/>
      <c r="BY21" s="19">
        <f t="shared" si="4"/>
        <v>33036</v>
      </c>
      <c r="CC21" s="60">
        <f t="shared" si="45"/>
        <v>70979</v>
      </c>
      <c r="CL21" s="60">
        <f t="shared" si="6"/>
        <v>75708</v>
      </c>
      <c r="CU21" s="60">
        <f t="shared" si="35"/>
        <v>58937</v>
      </c>
      <c r="DD21" s="60">
        <f t="shared" si="7"/>
        <v>14034</v>
      </c>
      <c r="DM21" s="60">
        <f t="shared" si="8"/>
        <v>56046</v>
      </c>
      <c r="DV21" s="60">
        <f t="shared" si="9"/>
        <v>8535</v>
      </c>
      <c r="EE21" s="60">
        <f t="shared" si="10"/>
        <v>58937</v>
      </c>
      <c r="EN21" s="60">
        <f t="shared" si="11"/>
        <v>9155</v>
      </c>
      <c r="EW21" s="60">
        <f t="shared" si="12"/>
        <v>14593</v>
      </c>
      <c r="FF21" s="60">
        <f t="shared" si="13"/>
        <v>10001</v>
      </c>
      <c r="FO21" s="19">
        <f t="shared" si="14"/>
        <v>72709</v>
      </c>
      <c r="FX21" s="50"/>
      <c r="GC21" s="14"/>
      <c r="GE21" s="60">
        <f t="shared" si="46"/>
        <v>6404</v>
      </c>
      <c r="GN21" s="60">
        <f t="shared" si="16"/>
        <v>50192</v>
      </c>
      <c r="GW21" s="60">
        <f t="shared" si="17"/>
        <v>52584</v>
      </c>
      <c r="HC21" s="60">
        <f t="shared" si="18"/>
        <v>44202</v>
      </c>
      <c r="HP21" s="18"/>
    </row>
    <row r="22" spans="2:232">
      <c r="B22" s="58">
        <v>43583</v>
      </c>
      <c r="C22" s="20">
        <v>75989</v>
      </c>
      <c r="D22" s="20">
        <v>2.0720000000000001</v>
      </c>
      <c r="E22" s="34">
        <f t="shared" si="19"/>
        <v>44960</v>
      </c>
      <c r="F22" s="34"/>
      <c r="G22" s="20">
        <v>71267</v>
      </c>
      <c r="H22" s="20">
        <v>2.2919999999999998</v>
      </c>
      <c r="I22" s="34">
        <f t="shared" si="20"/>
        <v>46080</v>
      </c>
      <c r="J22" s="34"/>
      <c r="K22" s="20">
        <v>8582</v>
      </c>
      <c r="L22" s="20">
        <v>0.246</v>
      </c>
      <c r="M22" s="34">
        <f t="shared" si="21"/>
        <v>11200</v>
      </c>
      <c r="N22" s="34"/>
      <c r="O22" s="20">
        <v>8563</v>
      </c>
      <c r="P22" s="20">
        <v>0.22500000000000001</v>
      </c>
      <c r="Q22" s="34">
        <f t="shared" si="22"/>
        <v>11200</v>
      </c>
      <c r="R22" s="34"/>
      <c r="S22" s="20">
        <v>9186</v>
      </c>
      <c r="T22" s="20">
        <v>0.314</v>
      </c>
      <c r="U22" s="34">
        <f t="shared" si="23"/>
        <v>12400</v>
      </c>
      <c r="V22" s="34"/>
      <c r="W22" s="20">
        <v>59114</v>
      </c>
      <c r="X22" s="20">
        <v>2.0739999999999998</v>
      </c>
      <c r="Y22" s="34">
        <f t="shared" si="24"/>
        <v>53100</v>
      </c>
      <c r="Z22" s="34"/>
      <c r="AA22" s="20">
        <v>56205</v>
      </c>
      <c r="AB22" s="20">
        <v>2.081</v>
      </c>
      <c r="AC22" s="34">
        <f t="shared" si="25"/>
        <v>47700</v>
      </c>
      <c r="AD22" s="34"/>
      <c r="AE22" s="20">
        <v>14647</v>
      </c>
      <c r="AF22" s="20">
        <v>0.56100000000000005</v>
      </c>
      <c r="AG22" s="34">
        <f t="shared" si="26"/>
        <v>8640</v>
      </c>
      <c r="AH22" s="34"/>
      <c r="AI22" s="20">
        <v>10030</v>
      </c>
      <c r="AJ22" s="20">
        <v>0.3</v>
      </c>
      <c r="AK22" s="34">
        <f t="shared" si="27"/>
        <v>4640</v>
      </c>
      <c r="AL22" s="34"/>
      <c r="AM22" s="20">
        <v>72950</v>
      </c>
      <c r="AN22" s="20">
        <v>1.948</v>
      </c>
      <c r="AO22" s="34">
        <f t="shared" si="28"/>
        <v>48200</v>
      </c>
      <c r="AP22" s="34"/>
      <c r="AQ22" s="20">
        <v>14094</v>
      </c>
      <c r="AR22" s="20">
        <v>0.36699999999999999</v>
      </c>
      <c r="AS22" s="34">
        <f t="shared" si="29"/>
        <v>2400</v>
      </c>
      <c r="AT22" s="34"/>
      <c r="AU22" s="205">
        <v>33532</v>
      </c>
      <c r="AV22" s="205"/>
      <c r="AW22" s="34">
        <f t="shared" si="30"/>
        <v>496</v>
      </c>
      <c r="AX22" s="34"/>
      <c r="AZ22" s="34">
        <f t="shared" si="0"/>
        <v>291016</v>
      </c>
      <c r="BA22" s="20">
        <f t="shared" ref="BA22:BA61" si="51">SUM(AO22+AS22)</f>
        <v>50600</v>
      </c>
      <c r="BB22" s="20">
        <f t="shared" ref="BB22:BB61" si="52">SUM(BA22/AZ22)</f>
        <v>0.17387360145146658</v>
      </c>
      <c r="BC22" s="20"/>
      <c r="BD22" s="14"/>
      <c r="BE22" s="64">
        <f t="shared" si="40"/>
        <v>43583</v>
      </c>
      <c r="BF22" s="20">
        <v>50353</v>
      </c>
      <c r="BG22" s="34">
        <f t="shared" ref="BG22:BG61" si="53">SUM(BF22-BF21)*100</f>
        <v>16100</v>
      </c>
      <c r="BI22" s="20">
        <v>6422</v>
      </c>
      <c r="BJ22" s="34">
        <f t="shared" ref="BJ22:BJ61" si="54">SUM(BI22-BI21)*100</f>
        <v>1800</v>
      </c>
      <c r="BL22" s="20">
        <v>53463</v>
      </c>
      <c r="BM22" s="34">
        <f t="shared" si="33"/>
        <v>879</v>
      </c>
      <c r="BN22" s="20"/>
      <c r="BO22" s="20">
        <v>44357</v>
      </c>
      <c r="BP22" s="34">
        <f t="shared" si="34"/>
        <v>6200</v>
      </c>
      <c r="BR22" s="14"/>
      <c r="BS22" s="20">
        <f t="shared" si="3"/>
        <v>24979</v>
      </c>
      <c r="BW22" s="14"/>
      <c r="BY22" s="19">
        <f t="shared" si="4"/>
        <v>33532</v>
      </c>
      <c r="BZ22" s="20">
        <v>33126</v>
      </c>
      <c r="CA22" s="19">
        <f>SUM(BZ22-BZ18)</f>
        <v>2286</v>
      </c>
      <c r="CB22" s="59">
        <f>SUM(CA22*0.12043+CA22*0.03046)*1.08+1.91</f>
        <v>374.43930320000004</v>
      </c>
      <c r="CC22" s="60">
        <f t="shared" ref="CC22" si="55">SUM(G22)</f>
        <v>71267</v>
      </c>
      <c r="CD22" s="20">
        <v>71183</v>
      </c>
      <c r="CE22" s="20">
        <v>2.4889999999999999</v>
      </c>
      <c r="CF22" s="19">
        <f>SUM(CD22-CD18)*160</f>
        <v>207840</v>
      </c>
      <c r="CG22" s="19">
        <f>(CE22)*160</f>
        <v>398.24</v>
      </c>
      <c r="CH22" s="59">
        <f>SUM(CF22*0.04326)</f>
        <v>8991.1584000000003</v>
      </c>
      <c r="CI22" s="59">
        <f>SUM(CF22*0.02111)</f>
        <v>4387.5024000000003</v>
      </c>
      <c r="CJ22" s="59">
        <f>SUM(CG22*7.447)</f>
        <v>2965.69328</v>
      </c>
      <c r="CK22" s="59">
        <f>SUM(CH22+CI22)</f>
        <v>13378.660800000001</v>
      </c>
      <c r="CL22" s="60">
        <f t="shared" si="6"/>
        <v>75989</v>
      </c>
      <c r="CM22" s="20">
        <v>75905</v>
      </c>
      <c r="CN22" s="20">
        <v>2.1389999999999998</v>
      </c>
      <c r="CO22" s="19">
        <f>SUM(CM22-CM18)*160</f>
        <v>202240</v>
      </c>
      <c r="CP22" s="19">
        <f>(CN22)*160</f>
        <v>342.23999999999995</v>
      </c>
      <c r="CQ22" s="59">
        <f>SUM(CO22*0.04326)</f>
        <v>8748.9024000000009</v>
      </c>
      <c r="CR22" s="59">
        <f>SUM(CO22*0.02111)</f>
        <v>4269.2864</v>
      </c>
      <c r="CS22" s="59">
        <f>SUM(CP22*7.447)</f>
        <v>2548.6612799999998</v>
      </c>
      <c r="CT22" s="59">
        <f>SUM(CQ22+CR22)+45</f>
        <v>13063.1888</v>
      </c>
      <c r="CU22" s="60">
        <f t="shared" si="35"/>
        <v>59114</v>
      </c>
      <c r="CV22" s="20">
        <v>59073</v>
      </c>
      <c r="CW22" s="20">
        <v>2.831</v>
      </c>
      <c r="CX22" s="19">
        <f>SUM(CV22-CV18)*300</f>
        <v>243300</v>
      </c>
      <c r="CY22" s="19">
        <f>(CW22)*300</f>
        <v>849.3</v>
      </c>
      <c r="CZ22" s="59">
        <f>SUM(CX22*0.04326)</f>
        <v>10525.157999999999</v>
      </c>
      <c r="DA22" s="59">
        <f>SUM(CX22*0.02111)</f>
        <v>5136.0630000000001</v>
      </c>
      <c r="DB22" s="59">
        <f>SUM(CY22*7.447)</f>
        <v>6324.7370999999994</v>
      </c>
      <c r="DC22" s="59">
        <f>SUM(CZ22+DA22)+45</f>
        <v>15706.221</v>
      </c>
      <c r="DD22" s="60">
        <f t="shared" si="7"/>
        <v>14094</v>
      </c>
      <c r="DE22" s="20">
        <v>14081</v>
      </c>
      <c r="DF22" s="20">
        <v>0.373</v>
      </c>
      <c r="DG22" s="19">
        <f>(DE22-DE18)*40</f>
        <v>7680</v>
      </c>
      <c r="DH22" s="19">
        <f>(DF22)*40</f>
        <v>14.92</v>
      </c>
      <c r="DI22" s="59">
        <f>SUM(DG22*0.04326)</f>
        <v>332.23680000000002</v>
      </c>
      <c r="DJ22" s="59">
        <f>SUM(DG22*0.02111)</f>
        <v>162.12479999999999</v>
      </c>
      <c r="DK22" s="59">
        <f>SUM(DH22*7.447)</f>
        <v>111.10924</v>
      </c>
      <c r="DL22" s="59">
        <f>SUM(DI22+DJ22)+24</f>
        <v>518.36159999999995</v>
      </c>
      <c r="DM22" s="60">
        <f t="shared" si="8"/>
        <v>56205</v>
      </c>
      <c r="DN22" s="20">
        <v>56093</v>
      </c>
      <c r="DO22" s="20">
        <v>2.1970000000000001</v>
      </c>
      <c r="DP22" s="19">
        <f>SUM(DN22-DN18)*300</f>
        <v>194100</v>
      </c>
      <c r="DQ22" s="61">
        <f>(DO22)*300</f>
        <v>659.1</v>
      </c>
      <c r="DR22" s="59">
        <f>SUM(DP22*0.04326)</f>
        <v>8396.7659999999996</v>
      </c>
      <c r="DS22" s="59">
        <f>SUM(DP22*0.02111)</f>
        <v>4097.451</v>
      </c>
      <c r="DT22" s="59">
        <f>SUM(DQ22*7.447)</f>
        <v>4908.3177000000005</v>
      </c>
      <c r="DU22" s="59">
        <f>SUM(DR22+DS22)+45</f>
        <v>12539.217000000001</v>
      </c>
      <c r="DV22" s="60">
        <f t="shared" si="9"/>
        <v>8563</v>
      </c>
      <c r="DW22" s="20">
        <v>8554</v>
      </c>
      <c r="DX22" s="20">
        <v>0.24399999999999999</v>
      </c>
      <c r="DY22" s="19">
        <f>SUM(DW22-DW18)*400</f>
        <v>53600</v>
      </c>
      <c r="DZ22" s="61">
        <f>(DX22)*400</f>
        <v>97.6</v>
      </c>
      <c r="EA22" s="59">
        <f>SUM(DY22*0.04326)</f>
        <v>2318.7359999999999</v>
      </c>
      <c r="EB22" s="59">
        <f>SUM(DY22*0.02111)</f>
        <v>1131.4960000000001</v>
      </c>
      <c r="EC22" s="59">
        <f>SUM(DZ22*7.447)</f>
        <v>726.82719999999995</v>
      </c>
      <c r="ED22" s="59">
        <f>SUM(EA22+EB22)+40</f>
        <v>3490.232</v>
      </c>
      <c r="EE22" s="60">
        <f t="shared" si="10"/>
        <v>59114</v>
      </c>
      <c r="EF22" s="20">
        <v>8573</v>
      </c>
      <c r="EG22" s="20">
        <v>0.32700000000000001</v>
      </c>
      <c r="EH22" s="19">
        <f>SUM(EF22-EF18)*400</f>
        <v>54000</v>
      </c>
      <c r="EI22" s="19">
        <f>(EG22)*400</f>
        <v>130.80000000000001</v>
      </c>
      <c r="EJ22" s="59">
        <f>SUM(EH22*0.04326)</f>
        <v>2336.04</v>
      </c>
      <c r="EK22" s="59">
        <f>SUM(EH22*0.02111)</f>
        <v>1139.94</v>
      </c>
      <c r="EL22" s="59">
        <f>SUM(EI22*7.447)</f>
        <v>974.06760000000008</v>
      </c>
      <c r="EM22" s="59">
        <f>SUM(EJ22+EK22)+20</f>
        <v>3495.98</v>
      </c>
      <c r="EN22" s="60">
        <f t="shared" si="11"/>
        <v>9186</v>
      </c>
      <c r="EO22" s="20">
        <v>9177</v>
      </c>
      <c r="EP22" s="20">
        <v>0.316</v>
      </c>
      <c r="EQ22" s="19">
        <f>SUM(EO22-EO18)*400</f>
        <v>57200</v>
      </c>
      <c r="ER22" s="19">
        <f>(EP22)*400</f>
        <v>126.4</v>
      </c>
      <c r="ES22" s="59">
        <f>SUM(EQ22*0.04326)</f>
        <v>2474.4720000000002</v>
      </c>
      <c r="ET22" s="59">
        <f>SUM(EQ22*0.02111)</f>
        <v>1207.492</v>
      </c>
      <c r="EU22" s="59">
        <f>SUM(ER22*7.447)</f>
        <v>941.30080000000009</v>
      </c>
      <c r="EV22" s="59">
        <f>SUM(ES22+ET22)+20</f>
        <v>3701.9639999999999</v>
      </c>
      <c r="EW22" s="60">
        <f t="shared" si="12"/>
        <v>14647</v>
      </c>
      <c r="EX22" s="20">
        <v>14615</v>
      </c>
      <c r="EY22" s="20">
        <v>0.42899999999999999</v>
      </c>
      <c r="EZ22" s="19">
        <f>SUM(EX22-EX18)*160</f>
        <v>28960</v>
      </c>
      <c r="FA22" s="19">
        <f>(EY22)*160</f>
        <v>68.64</v>
      </c>
      <c r="FB22" s="59">
        <f>SUM(EZ22*0.04326)</f>
        <v>1252.8096</v>
      </c>
      <c r="FC22" s="59">
        <f>SUM(EZ22*0.02111)</f>
        <v>611.34559999999999</v>
      </c>
      <c r="FD22" s="59">
        <f>SUM(FA22*7.447)</f>
        <v>511.16208</v>
      </c>
      <c r="FE22" s="59">
        <f>SUM(FB22+FC22)+20</f>
        <v>1884.1552000000001</v>
      </c>
      <c r="FF22" s="60">
        <f t="shared" si="13"/>
        <v>10030</v>
      </c>
      <c r="FG22" s="20">
        <v>10020</v>
      </c>
      <c r="FH22" s="20">
        <v>0.42899999999999999</v>
      </c>
      <c r="FI22" s="19">
        <f>SUM(FG22-FG18)*160</f>
        <v>18560</v>
      </c>
      <c r="FJ22" s="19">
        <f>(FH22)*160</f>
        <v>68.64</v>
      </c>
      <c r="FK22" s="59">
        <f>SUM(FI22*0.04326)</f>
        <v>802.90560000000005</v>
      </c>
      <c r="FL22" s="59">
        <f>SUM(FI22*0.02111)</f>
        <v>391.80160000000001</v>
      </c>
      <c r="FM22" s="59">
        <f>SUM(FJ22*7.447)</f>
        <v>511.16208</v>
      </c>
      <c r="FN22" s="59">
        <f>SUM(FK22+FL22)+20</f>
        <v>1214.7072000000001</v>
      </c>
      <c r="FO22" s="19">
        <f t="shared" si="14"/>
        <v>72950</v>
      </c>
      <c r="FP22" s="20">
        <v>72877</v>
      </c>
      <c r="FQ22" s="20">
        <v>2.1219999999999999</v>
      </c>
      <c r="FR22" s="19">
        <f>SUM(FP22-FP18)*200</f>
        <v>216200</v>
      </c>
      <c r="FS22" s="19">
        <f>(FQ22)*200</f>
        <v>424.4</v>
      </c>
      <c r="FT22" s="59">
        <f>SUM(FR22*0.04326)</f>
        <v>9352.8119999999999</v>
      </c>
      <c r="FU22" s="59">
        <f>SUM(FR22*0.02111)</f>
        <v>4563.982</v>
      </c>
      <c r="FV22" s="59">
        <f>SUM(FS22*7.447)</f>
        <v>3160.5067999999997</v>
      </c>
      <c r="FW22" s="59">
        <f>SUM((FT22+FU22)+20)*1.09</f>
        <v>15191.105460000001</v>
      </c>
      <c r="FX22" s="50"/>
      <c r="FY22" s="74">
        <f>SUM(CA22+CF22+CO22+CX22+DG22+DP22+DY22+EH22+EQ22+EZ22+FI22+FR22)</f>
        <v>1285966</v>
      </c>
      <c r="FZ22" s="75">
        <f>SUM(CB22+CK22,CT22,DC22,DL22,DU22,ED22,EM22,EV22,FE22,FN22+FW22)</f>
        <v>84558.23236319999</v>
      </c>
      <c r="GA22" s="75">
        <f>SUM(CJ22,CS22,DB22,DK22,DT22,EC22,EL22,EU22,FD22,FM22,FV22)</f>
        <v>23683.545159999994</v>
      </c>
      <c r="GB22" s="75">
        <f>SUM(FZ22:GA22)</f>
        <v>108241.77752319998</v>
      </c>
      <c r="GC22" s="14"/>
      <c r="GE22" s="60">
        <f t="shared" ref="GE22" si="56">SUM(BI22)</f>
        <v>6422</v>
      </c>
      <c r="GF22" s="20">
        <v>6411</v>
      </c>
      <c r="GG22" s="20">
        <v>0.249</v>
      </c>
      <c r="GH22" s="19">
        <f>SUM(GF22-GF18)*100</f>
        <v>8000</v>
      </c>
      <c r="GI22" s="19">
        <f>SUM(GG22)*100</f>
        <v>24.9</v>
      </c>
      <c r="GJ22" s="62">
        <f>SUM(GH22*0.04326)</f>
        <v>346.08</v>
      </c>
      <c r="GK22" s="62">
        <f>SUM(GH22*0.02111)</f>
        <v>168.88</v>
      </c>
      <c r="GL22" s="62">
        <f>SUM(GI22*7.447)</f>
        <v>185.43029999999999</v>
      </c>
      <c r="GM22" s="59">
        <f>SUM(GK22+GJ22+20)*1.1048</f>
        <v>591.02380800000003</v>
      </c>
      <c r="GN22" s="60">
        <f t="shared" si="16"/>
        <v>50353</v>
      </c>
      <c r="GO22" s="20">
        <v>50255</v>
      </c>
      <c r="GP22" s="20">
        <v>1.837</v>
      </c>
      <c r="GQ22" s="19">
        <f>SUM(GO22-GO18)*100</f>
        <v>66500</v>
      </c>
      <c r="GR22" s="19">
        <f>SUM(GP22)*100</f>
        <v>183.7</v>
      </c>
      <c r="GS22" s="62">
        <f>SUM(GQ22*0.04326)</f>
        <v>2876.79</v>
      </c>
      <c r="GT22" s="62">
        <f>SUM(GQ22*0.02111)</f>
        <v>1403.8150000000001</v>
      </c>
      <c r="GU22" s="62">
        <f>SUM(GR22*7.447)</f>
        <v>1368.0138999999999</v>
      </c>
      <c r="GV22" s="59">
        <f>SUM(GT22+GS22+20)*1.1048</f>
        <v>4751.3084039999994</v>
      </c>
      <c r="GW22" s="60">
        <f t="shared" si="17"/>
        <v>53463</v>
      </c>
      <c r="GX22" s="20">
        <v>53193</v>
      </c>
      <c r="GY22" s="19">
        <f>SUM(GX22-GX18)</f>
        <v>3899</v>
      </c>
      <c r="GZ22" s="59">
        <f>SUM(GY22*0.12673)</f>
        <v>494.12027000000006</v>
      </c>
      <c r="HA22" s="59">
        <f>SUM(GY22*0.02111)</f>
        <v>82.30789</v>
      </c>
      <c r="HB22" s="59">
        <f>SUM(GZ22+HA22+2.85)*1.07</f>
        <v>619.82763120000016</v>
      </c>
      <c r="HC22" s="60">
        <f t="shared" si="18"/>
        <v>44357</v>
      </c>
      <c r="HD22" s="20">
        <v>44291</v>
      </c>
      <c r="HE22" s="20">
        <v>3.875</v>
      </c>
      <c r="HF22" s="19">
        <f>SUM(HD22-HD18)*40</f>
        <v>15480</v>
      </c>
      <c r="HG22" s="19">
        <f>SUM(HE22)*40</f>
        <v>155</v>
      </c>
      <c r="HH22" s="59">
        <f>SUM(HF22*0.04326)</f>
        <v>669.66480000000001</v>
      </c>
      <c r="HI22" s="59">
        <f>SUM(HF22*0.02111)</f>
        <v>326.78280000000001</v>
      </c>
      <c r="HJ22" s="59">
        <f>SUM(HG22*7.447)</f>
        <v>1154.2850000000001</v>
      </c>
      <c r="HK22" s="59">
        <f>SUM(HI22+HH22+20)*1.1048</f>
        <v>1122.9713084800001</v>
      </c>
      <c r="HL22" s="20">
        <f>SUM(GH22+GQ22+GY22+HF22)</f>
        <v>93879</v>
      </c>
      <c r="HM22" s="75">
        <f>SUM(HK22+HB22+GV22+GM22)</f>
        <v>7085.1311516799997</v>
      </c>
      <c r="HN22" s="75">
        <f>SUM(GL22+GU22+HJ22)</f>
        <v>2707.7291999999998</v>
      </c>
      <c r="HO22" s="75">
        <f>SUM(HM22:HN22)</f>
        <v>9792.8603516799994</v>
      </c>
      <c r="HP22" s="18"/>
      <c r="HQ22" s="74">
        <f t="shared" ref="HQ22:HS22" si="57">(FY22+HL22)</f>
        <v>1379845</v>
      </c>
      <c r="HR22" s="75">
        <f t="shared" si="57"/>
        <v>91643.363514879995</v>
      </c>
      <c r="HS22" s="75">
        <f t="shared" si="57"/>
        <v>26391.274359999996</v>
      </c>
      <c r="HT22" s="75">
        <f t="shared" ref="HT22" si="58">(HR22+HS22)</f>
        <v>118034.63787487999</v>
      </c>
    </row>
    <row r="23" spans="2:232">
      <c r="B23" s="58">
        <v>43586</v>
      </c>
      <c r="C23" s="20">
        <v>76090</v>
      </c>
      <c r="D23" s="20">
        <v>2.0920000000000001</v>
      </c>
      <c r="E23" s="34">
        <f t="shared" si="19"/>
        <v>16160</v>
      </c>
      <c r="F23" s="34"/>
      <c r="G23" s="20">
        <v>71367</v>
      </c>
      <c r="H23" s="20">
        <v>2.2919999999999998</v>
      </c>
      <c r="I23" s="34">
        <f t="shared" si="20"/>
        <v>16000</v>
      </c>
      <c r="J23" s="34"/>
      <c r="K23" s="20">
        <v>8593</v>
      </c>
      <c r="L23" s="20">
        <v>0.246</v>
      </c>
      <c r="M23" s="34">
        <f t="shared" si="21"/>
        <v>4400</v>
      </c>
      <c r="N23" s="34"/>
      <c r="O23" s="20">
        <v>8574</v>
      </c>
      <c r="P23" s="20">
        <v>0.245</v>
      </c>
      <c r="Q23" s="34">
        <f t="shared" si="22"/>
        <v>4400</v>
      </c>
      <c r="R23" s="34"/>
      <c r="S23" s="20">
        <v>9197</v>
      </c>
      <c r="T23" s="20">
        <v>0.314</v>
      </c>
      <c r="U23" s="34">
        <f t="shared" si="23"/>
        <v>4400</v>
      </c>
      <c r="V23" s="34"/>
      <c r="W23" s="20">
        <v>59184</v>
      </c>
      <c r="X23" s="20">
        <v>2.0739999999999998</v>
      </c>
      <c r="Y23" s="34">
        <f t="shared" si="24"/>
        <v>21000</v>
      </c>
      <c r="Z23" s="34"/>
      <c r="AA23" s="20">
        <v>56300</v>
      </c>
      <c r="AB23" s="20">
        <v>2.081</v>
      </c>
      <c r="AC23" s="34">
        <f t="shared" si="25"/>
        <v>28500</v>
      </c>
      <c r="AD23" s="34"/>
      <c r="AE23" s="20">
        <v>14664</v>
      </c>
      <c r="AF23" s="20">
        <v>0.56100000000000005</v>
      </c>
      <c r="AG23" s="34">
        <f t="shared" si="26"/>
        <v>2720</v>
      </c>
      <c r="AH23" s="34"/>
      <c r="AI23" s="20">
        <v>10035</v>
      </c>
      <c r="AJ23" s="20">
        <v>0.35</v>
      </c>
      <c r="AK23" s="34">
        <f t="shared" si="27"/>
        <v>800</v>
      </c>
      <c r="AL23" s="34"/>
      <c r="AM23" s="20">
        <v>73042</v>
      </c>
      <c r="AN23" s="20">
        <v>1.9490000000000001</v>
      </c>
      <c r="AO23" s="34">
        <f t="shared" si="28"/>
        <v>18400</v>
      </c>
      <c r="AP23" s="34"/>
      <c r="AQ23" s="20">
        <v>14109</v>
      </c>
      <c r="AR23" s="20">
        <v>0.36699999999999999</v>
      </c>
      <c r="AS23" s="34">
        <f t="shared" si="29"/>
        <v>600</v>
      </c>
      <c r="AT23" s="34"/>
      <c r="AU23" s="205">
        <v>33725</v>
      </c>
      <c r="AV23" s="205"/>
      <c r="AW23" s="34">
        <f t="shared" si="30"/>
        <v>193</v>
      </c>
      <c r="AX23" s="34"/>
      <c r="AZ23" s="34">
        <f t="shared" si="0"/>
        <v>117573</v>
      </c>
      <c r="BA23" s="20">
        <f t="shared" si="51"/>
        <v>19000</v>
      </c>
      <c r="BB23" s="20">
        <f t="shared" si="52"/>
        <v>0.16160172828795727</v>
      </c>
      <c r="BC23" s="20">
        <f>SUM(AZ19:AZ23)</f>
        <v>1315480</v>
      </c>
      <c r="BD23" s="14"/>
      <c r="BE23" s="64">
        <f t="shared" si="40"/>
        <v>43586</v>
      </c>
      <c r="BF23" s="20">
        <v>50400</v>
      </c>
      <c r="BG23" s="34">
        <f t="shared" si="53"/>
        <v>4700</v>
      </c>
      <c r="BI23" s="20">
        <v>6428</v>
      </c>
      <c r="BJ23" s="34">
        <f t="shared" si="54"/>
        <v>600</v>
      </c>
      <c r="BL23" s="20">
        <v>53713</v>
      </c>
      <c r="BM23" s="34">
        <f t="shared" si="33"/>
        <v>250</v>
      </c>
      <c r="BN23" s="20"/>
      <c r="BO23" s="20">
        <v>44420</v>
      </c>
      <c r="BP23" s="34">
        <f t="shared" si="34"/>
        <v>2520</v>
      </c>
      <c r="BR23" s="14"/>
      <c r="BS23" s="20">
        <f t="shared" si="3"/>
        <v>8070</v>
      </c>
      <c r="BT23" s="20">
        <f>SUM(BS19:BS23)</f>
        <v>100243</v>
      </c>
      <c r="BU23" s="20">
        <f>SUM(BC23+BT23)</f>
        <v>1415723</v>
      </c>
      <c r="BW23" s="14"/>
      <c r="BY23" s="19">
        <f t="shared" si="4"/>
        <v>33725</v>
      </c>
      <c r="CC23" s="60">
        <f t="shared" ref="CC23:CC27" si="59">SUM(G23)</f>
        <v>71367</v>
      </c>
      <c r="CL23" s="60">
        <f t="shared" si="6"/>
        <v>76090</v>
      </c>
      <c r="CU23" s="60">
        <f t="shared" si="35"/>
        <v>59184</v>
      </c>
      <c r="DD23" s="60">
        <f t="shared" si="7"/>
        <v>14109</v>
      </c>
      <c r="DM23" s="60">
        <f t="shared" si="8"/>
        <v>56300</v>
      </c>
      <c r="DV23" s="60">
        <f t="shared" si="9"/>
        <v>8574</v>
      </c>
      <c r="EE23" s="60">
        <f t="shared" si="10"/>
        <v>59184</v>
      </c>
      <c r="EN23" s="60">
        <f t="shared" si="11"/>
        <v>9197</v>
      </c>
      <c r="EW23" s="60">
        <f t="shared" si="12"/>
        <v>14664</v>
      </c>
      <c r="FF23" s="60">
        <f t="shared" si="13"/>
        <v>10035</v>
      </c>
      <c r="FO23" s="19">
        <f t="shared" si="14"/>
        <v>73042</v>
      </c>
      <c r="FX23" s="50"/>
      <c r="GC23" s="14"/>
      <c r="GE23" s="60">
        <f t="shared" ref="GE23:GE27" si="60">SUM(BI23)</f>
        <v>6428</v>
      </c>
      <c r="GN23" s="60">
        <f t="shared" si="16"/>
        <v>50400</v>
      </c>
      <c r="GW23" s="60">
        <f t="shared" si="17"/>
        <v>53713</v>
      </c>
      <c r="HC23" s="60">
        <f t="shared" si="18"/>
        <v>44420</v>
      </c>
      <c r="HP23" s="18"/>
      <c r="HV23">
        <v>5.1549999999999999E-2</v>
      </c>
      <c r="HW23">
        <v>2.095E-2</v>
      </c>
      <c r="HX23">
        <v>7.6890000000000001</v>
      </c>
    </row>
    <row r="24" spans="2:232">
      <c r="B24" s="58">
        <v>43590</v>
      </c>
      <c r="C24" s="20">
        <v>76275</v>
      </c>
      <c r="D24" s="20">
        <v>2.0920000000000001</v>
      </c>
      <c r="E24" s="34">
        <f t="shared" si="19"/>
        <v>29600</v>
      </c>
      <c r="F24" s="34"/>
      <c r="G24" s="20">
        <v>71555</v>
      </c>
      <c r="H24" s="20">
        <v>2.2919999999999998</v>
      </c>
      <c r="I24" s="34">
        <f t="shared" si="20"/>
        <v>30080</v>
      </c>
      <c r="J24" s="34"/>
      <c r="K24" s="20">
        <v>8613</v>
      </c>
      <c r="L24" s="20">
        <v>0.26200000000000001</v>
      </c>
      <c r="M24" s="34">
        <f t="shared" si="21"/>
        <v>8000</v>
      </c>
      <c r="N24" s="34"/>
      <c r="O24" s="20">
        <v>8593</v>
      </c>
      <c r="P24" s="20">
        <v>0.23699999999999999</v>
      </c>
      <c r="Q24" s="34">
        <f t="shared" si="22"/>
        <v>7600</v>
      </c>
      <c r="R24" s="34"/>
      <c r="S24" s="20">
        <v>9219</v>
      </c>
      <c r="T24" s="20">
        <v>0.314</v>
      </c>
      <c r="U24" s="34">
        <f t="shared" si="23"/>
        <v>8800</v>
      </c>
      <c r="V24" s="34"/>
      <c r="W24" s="20">
        <v>59309</v>
      </c>
      <c r="X24" s="20">
        <v>2.0739999999999998</v>
      </c>
      <c r="Y24" s="34">
        <f t="shared" si="24"/>
        <v>37500</v>
      </c>
      <c r="Z24" s="34"/>
      <c r="AA24" s="20">
        <v>56473</v>
      </c>
      <c r="AB24" s="20">
        <v>2.2679999999999998</v>
      </c>
      <c r="AC24" s="34">
        <f t="shared" si="25"/>
        <v>51900</v>
      </c>
      <c r="AD24" s="34"/>
      <c r="AE24" s="20">
        <v>14691</v>
      </c>
      <c r="AF24" s="20">
        <v>0.56100000000000005</v>
      </c>
      <c r="AG24" s="34">
        <f t="shared" si="26"/>
        <v>4320</v>
      </c>
      <c r="AH24" s="34"/>
      <c r="AI24" s="20">
        <v>10062</v>
      </c>
      <c r="AJ24" s="20">
        <v>0.35</v>
      </c>
      <c r="AK24" s="34">
        <f t="shared" si="27"/>
        <v>4320</v>
      </c>
      <c r="AL24" s="34"/>
      <c r="AM24" s="20">
        <v>73217</v>
      </c>
      <c r="AN24" s="20">
        <v>2.0609999999999999</v>
      </c>
      <c r="AO24" s="34">
        <f t="shared" si="28"/>
        <v>35000</v>
      </c>
      <c r="AP24" s="34"/>
      <c r="AQ24" s="20">
        <v>14136</v>
      </c>
      <c r="AR24" s="20">
        <v>0.36699999999999999</v>
      </c>
      <c r="AS24" s="34">
        <f t="shared" si="29"/>
        <v>1080</v>
      </c>
      <c r="AT24" s="34"/>
      <c r="AU24" s="205">
        <v>34045</v>
      </c>
      <c r="AV24" s="205"/>
      <c r="AW24" s="34">
        <f t="shared" si="30"/>
        <v>320</v>
      </c>
      <c r="AX24" s="34"/>
      <c r="AZ24" s="34">
        <f t="shared" si="0"/>
        <v>218520</v>
      </c>
      <c r="BA24" s="20">
        <f t="shared" si="51"/>
        <v>36080</v>
      </c>
      <c r="BB24" s="20">
        <f t="shared" si="52"/>
        <v>0.16511074501189824</v>
      </c>
      <c r="BC24" s="20"/>
      <c r="BD24" s="14"/>
      <c r="BE24" s="64">
        <f t="shared" si="40"/>
        <v>43590</v>
      </c>
      <c r="BF24" s="20">
        <v>50521</v>
      </c>
      <c r="BG24" s="34">
        <f t="shared" si="53"/>
        <v>12100</v>
      </c>
      <c r="BI24" s="20">
        <v>6442</v>
      </c>
      <c r="BJ24" s="34">
        <f t="shared" si="54"/>
        <v>1400</v>
      </c>
      <c r="BL24" s="20">
        <v>54346</v>
      </c>
      <c r="BM24" s="34">
        <f t="shared" si="33"/>
        <v>633</v>
      </c>
      <c r="BN24" s="20"/>
      <c r="BO24" s="20">
        <v>44495</v>
      </c>
      <c r="BP24" s="34">
        <f t="shared" si="34"/>
        <v>3000</v>
      </c>
      <c r="BR24" s="14"/>
      <c r="BS24" s="20">
        <f t="shared" si="3"/>
        <v>17133</v>
      </c>
      <c r="BW24" s="14"/>
      <c r="BY24" s="19">
        <f t="shared" si="4"/>
        <v>34045</v>
      </c>
      <c r="CC24" s="60">
        <f t="shared" si="59"/>
        <v>71555</v>
      </c>
      <c r="CL24" s="60">
        <f t="shared" si="6"/>
        <v>76275</v>
      </c>
      <c r="CU24" s="60">
        <f t="shared" si="35"/>
        <v>59309</v>
      </c>
      <c r="DD24" s="60">
        <f t="shared" si="7"/>
        <v>14136</v>
      </c>
      <c r="DM24" s="60">
        <f t="shared" si="8"/>
        <v>56473</v>
      </c>
      <c r="DV24" s="60">
        <f t="shared" si="9"/>
        <v>8593</v>
      </c>
      <c r="EE24" s="60">
        <f t="shared" si="10"/>
        <v>59309</v>
      </c>
      <c r="EN24" s="60">
        <f t="shared" si="11"/>
        <v>9219</v>
      </c>
      <c r="EW24" s="60">
        <f t="shared" si="12"/>
        <v>14691</v>
      </c>
      <c r="FF24" s="60">
        <f t="shared" si="13"/>
        <v>10062</v>
      </c>
      <c r="FO24" s="19">
        <f t="shared" si="14"/>
        <v>73217</v>
      </c>
      <c r="FX24" s="50"/>
      <c r="GC24" s="14"/>
      <c r="GE24" s="60">
        <f t="shared" si="60"/>
        <v>6442</v>
      </c>
      <c r="GN24" s="60">
        <f t="shared" si="16"/>
        <v>50521</v>
      </c>
      <c r="GW24" s="60">
        <f t="shared" si="17"/>
        <v>54346</v>
      </c>
      <c r="HC24" s="60">
        <f t="shared" si="18"/>
        <v>44495</v>
      </c>
      <c r="HP24" s="18"/>
      <c r="HV24" t="e">
        <f>SUM(HV23/#REF!)</f>
        <v>#REF!</v>
      </c>
      <c r="HW24" t="e">
        <f>SUM(HW23/#REF!)</f>
        <v>#REF!</v>
      </c>
      <c r="HX24" t="e">
        <f>SUM(HX23/#REF!)</f>
        <v>#REF!</v>
      </c>
    </row>
    <row r="25" spans="2:232">
      <c r="B25" s="58">
        <v>43598</v>
      </c>
      <c r="C25" s="20">
        <v>76561</v>
      </c>
      <c r="D25" s="20">
        <v>2.1890000000000001</v>
      </c>
      <c r="E25" s="34">
        <f t="shared" si="19"/>
        <v>45760</v>
      </c>
      <c r="F25" s="34"/>
      <c r="G25" s="20">
        <v>71843</v>
      </c>
      <c r="H25" s="20">
        <v>2.2919999999999998</v>
      </c>
      <c r="I25" s="34">
        <f t="shared" si="20"/>
        <v>46080</v>
      </c>
      <c r="J25" s="34"/>
      <c r="K25" s="20">
        <v>8645</v>
      </c>
      <c r="L25" s="20">
        <v>0.26200000000000001</v>
      </c>
      <c r="M25" s="34">
        <f t="shared" si="21"/>
        <v>12800</v>
      </c>
      <c r="N25" s="34"/>
      <c r="O25" s="20">
        <v>8624</v>
      </c>
      <c r="P25" s="20">
        <v>0.24</v>
      </c>
      <c r="Q25" s="34">
        <f t="shared" si="22"/>
        <v>12400</v>
      </c>
      <c r="R25" s="34"/>
      <c r="S25" s="20">
        <v>9253</v>
      </c>
      <c r="T25" s="20">
        <v>0.314</v>
      </c>
      <c r="U25" s="34">
        <f t="shared" si="23"/>
        <v>13600</v>
      </c>
      <c r="V25" s="34"/>
      <c r="W25" s="20">
        <v>59617</v>
      </c>
      <c r="X25" s="20">
        <v>2.871</v>
      </c>
      <c r="Y25" s="34">
        <f t="shared" si="24"/>
        <v>92400</v>
      </c>
      <c r="Z25" s="34"/>
      <c r="AA25" s="20">
        <v>56642</v>
      </c>
      <c r="AB25" s="20">
        <v>2.2679999999999998</v>
      </c>
      <c r="AC25" s="34">
        <f t="shared" si="25"/>
        <v>50700</v>
      </c>
      <c r="AD25" s="34"/>
      <c r="AE25" s="20">
        <v>14736</v>
      </c>
      <c r="AF25" s="20">
        <v>0.56100000000000005</v>
      </c>
      <c r="AG25" s="34">
        <f t="shared" si="26"/>
        <v>7200</v>
      </c>
      <c r="AH25" s="34"/>
      <c r="AI25" s="20">
        <v>10090</v>
      </c>
      <c r="AJ25" s="20">
        <v>0.35</v>
      </c>
      <c r="AK25" s="34">
        <f t="shared" si="27"/>
        <v>4480</v>
      </c>
      <c r="AL25" s="34"/>
      <c r="AM25" s="20">
        <v>73490</v>
      </c>
      <c r="AN25" s="20">
        <v>2.1280000000000001</v>
      </c>
      <c r="AO25" s="34">
        <f t="shared" si="28"/>
        <v>54600</v>
      </c>
      <c r="AP25" s="34"/>
      <c r="AQ25" s="20">
        <v>14179</v>
      </c>
      <c r="AR25" s="20">
        <v>0.372</v>
      </c>
      <c r="AS25" s="34">
        <f t="shared" si="29"/>
        <v>1720</v>
      </c>
      <c r="AT25" s="34"/>
      <c r="AU25" s="205">
        <v>34550</v>
      </c>
      <c r="AV25" s="205"/>
      <c r="AW25" s="34">
        <f t="shared" si="30"/>
        <v>505</v>
      </c>
      <c r="AX25" s="34"/>
      <c r="AZ25" s="34">
        <f t="shared" si="0"/>
        <v>342245</v>
      </c>
      <c r="BA25" s="20">
        <f t="shared" si="51"/>
        <v>56320</v>
      </c>
      <c r="BB25" s="20">
        <f t="shared" si="52"/>
        <v>0.16456047568262502</v>
      </c>
      <c r="BC25" s="20"/>
      <c r="BD25" s="14"/>
      <c r="BE25" s="64">
        <f t="shared" si="40"/>
        <v>43598</v>
      </c>
      <c r="BF25" s="20">
        <v>50699</v>
      </c>
      <c r="BG25" s="34">
        <f t="shared" si="53"/>
        <v>17800</v>
      </c>
      <c r="BI25" s="20">
        <v>6461</v>
      </c>
      <c r="BJ25" s="34">
        <f t="shared" si="54"/>
        <v>1900</v>
      </c>
      <c r="BL25" s="20">
        <v>55227</v>
      </c>
      <c r="BM25" s="34">
        <f t="shared" si="33"/>
        <v>881</v>
      </c>
      <c r="BN25" s="20"/>
      <c r="BO25" s="20">
        <v>44578</v>
      </c>
      <c r="BP25" s="34">
        <f t="shared" si="34"/>
        <v>3320</v>
      </c>
      <c r="BR25" s="14"/>
      <c r="BS25" s="20">
        <f t="shared" si="3"/>
        <v>23901</v>
      </c>
      <c r="BW25" s="14"/>
      <c r="BY25" s="19">
        <f t="shared" si="4"/>
        <v>34550</v>
      </c>
      <c r="CC25" s="60">
        <f t="shared" si="59"/>
        <v>71843</v>
      </c>
      <c r="CL25" s="60">
        <f t="shared" si="6"/>
        <v>76561</v>
      </c>
      <c r="CU25" s="60">
        <f t="shared" si="35"/>
        <v>59617</v>
      </c>
      <c r="DD25" s="60">
        <f t="shared" si="7"/>
        <v>14179</v>
      </c>
      <c r="DM25" s="60">
        <f t="shared" si="8"/>
        <v>56642</v>
      </c>
      <c r="DV25" s="60">
        <f t="shared" si="9"/>
        <v>8624</v>
      </c>
      <c r="EE25" s="60">
        <f t="shared" si="10"/>
        <v>59617</v>
      </c>
      <c r="EN25" s="60">
        <f t="shared" si="11"/>
        <v>9253</v>
      </c>
      <c r="EW25" s="60">
        <f t="shared" si="12"/>
        <v>14736</v>
      </c>
      <c r="FF25" s="60">
        <f t="shared" si="13"/>
        <v>10090</v>
      </c>
      <c r="FO25" s="19">
        <f t="shared" si="14"/>
        <v>73490</v>
      </c>
      <c r="FX25" s="50"/>
      <c r="GC25" s="14"/>
      <c r="GE25" s="60">
        <f t="shared" si="60"/>
        <v>6461</v>
      </c>
      <c r="GN25" s="60">
        <f t="shared" si="16"/>
        <v>50699</v>
      </c>
      <c r="GW25" s="60">
        <f t="shared" si="17"/>
        <v>55227</v>
      </c>
      <c r="HC25" s="60">
        <f t="shared" si="18"/>
        <v>44578</v>
      </c>
      <c r="HP25" s="18"/>
    </row>
    <row r="26" spans="2:232">
      <c r="B26" s="58">
        <v>43605</v>
      </c>
      <c r="C26" s="20">
        <v>76849</v>
      </c>
      <c r="D26" s="20">
        <v>2.1890000000000001</v>
      </c>
      <c r="E26" s="34">
        <f t="shared" si="19"/>
        <v>46080</v>
      </c>
      <c r="F26" s="34"/>
      <c r="G26" s="20">
        <v>72134</v>
      </c>
      <c r="H26" s="20">
        <v>2.2919999999999998</v>
      </c>
      <c r="I26" s="34">
        <f t="shared" si="20"/>
        <v>46560</v>
      </c>
      <c r="J26" s="34"/>
      <c r="K26" s="20">
        <v>8676</v>
      </c>
      <c r="L26" s="20">
        <v>0.26200000000000001</v>
      </c>
      <c r="M26" s="34">
        <f t="shared" si="21"/>
        <v>12400</v>
      </c>
      <c r="N26" s="34"/>
      <c r="O26" s="20">
        <v>8654</v>
      </c>
      <c r="P26" s="20">
        <v>0.24</v>
      </c>
      <c r="Q26" s="34">
        <f t="shared" si="22"/>
        <v>12000</v>
      </c>
      <c r="R26" s="34"/>
      <c r="S26" s="20">
        <v>9286</v>
      </c>
      <c r="T26" s="20">
        <v>0.314</v>
      </c>
      <c r="U26" s="34">
        <f t="shared" si="23"/>
        <v>13200</v>
      </c>
      <c r="V26" s="34"/>
      <c r="W26" s="20">
        <v>59843</v>
      </c>
      <c r="X26" s="20">
        <v>2.871</v>
      </c>
      <c r="Y26" s="34">
        <f t="shared" si="24"/>
        <v>67800</v>
      </c>
      <c r="Z26" s="34"/>
      <c r="AA26" s="20">
        <v>56827</v>
      </c>
      <c r="AB26" s="20">
        <v>2.2679999999999998</v>
      </c>
      <c r="AC26" s="34">
        <f t="shared" si="25"/>
        <v>55500</v>
      </c>
      <c r="AD26" s="34"/>
      <c r="AE26" s="20">
        <v>14778</v>
      </c>
      <c r="AF26" s="20">
        <v>0.56100000000000005</v>
      </c>
      <c r="AG26" s="34">
        <f t="shared" si="26"/>
        <v>6720</v>
      </c>
      <c r="AH26" s="34"/>
      <c r="AI26" s="20">
        <v>10118</v>
      </c>
      <c r="AJ26" s="20">
        <v>0.35</v>
      </c>
      <c r="AK26" s="34">
        <f t="shared" si="27"/>
        <v>4480</v>
      </c>
      <c r="AL26" s="34"/>
      <c r="AM26" s="20">
        <v>73755</v>
      </c>
      <c r="AN26" s="20">
        <v>2.1280000000000001</v>
      </c>
      <c r="AO26" s="34">
        <f t="shared" si="28"/>
        <v>53000</v>
      </c>
      <c r="AP26" s="34"/>
      <c r="AQ26" s="20">
        <v>14222</v>
      </c>
      <c r="AR26" s="20">
        <v>0.372</v>
      </c>
      <c r="AS26" s="34">
        <f t="shared" si="29"/>
        <v>1720</v>
      </c>
      <c r="AT26" s="34"/>
      <c r="AU26" s="205">
        <v>35076</v>
      </c>
      <c r="AV26" s="205"/>
      <c r="AW26" s="34">
        <f t="shared" si="30"/>
        <v>526</v>
      </c>
      <c r="AX26" s="34"/>
      <c r="AZ26" s="34">
        <f t="shared" si="0"/>
        <v>319986</v>
      </c>
      <c r="BA26" s="20">
        <f t="shared" si="51"/>
        <v>54720</v>
      </c>
      <c r="BB26" s="20">
        <f t="shared" si="52"/>
        <v>0.17100748157731901</v>
      </c>
      <c r="BC26" s="20"/>
      <c r="BD26" s="14"/>
      <c r="BE26" s="64">
        <f t="shared" si="40"/>
        <v>43605</v>
      </c>
      <c r="BF26" s="20">
        <v>50876</v>
      </c>
      <c r="BG26" s="34">
        <f t="shared" si="53"/>
        <v>17700</v>
      </c>
      <c r="BI26" s="20">
        <v>6482</v>
      </c>
      <c r="BJ26" s="34">
        <f t="shared" si="54"/>
        <v>2100</v>
      </c>
      <c r="BL26" s="20">
        <v>56095</v>
      </c>
      <c r="BM26" s="34">
        <f t="shared" si="33"/>
        <v>868</v>
      </c>
      <c r="BN26" s="20"/>
      <c r="BO26" s="20">
        <v>44664</v>
      </c>
      <c r="BP26" s="34">
        <f t="shared" si="34"/>
        <v>3440</v>
      </c>
      <c r="BR26" s="14"/>
      <c r="BS26" s="20">
        <f t="shared" si="3"/>
        <v>24108</v>
      </c>
      <c r="BW26" s="14"/>
      <c r="BY26" s="19">
        <f t="shared" si="4"/>
        <v>35076</v>
      </c>
      <c r="CC26" s="60">
        <f t="shared" si="59"/>
        <v>72134</v>
      </c>
      <c r="CL26" s="60">
        <f t="shared" si="6"/>
        <v>76849</v>
      </c>
      <c r="CU26" s="60">
        <f t="shared" si="35"/>
        <v>59843</v>
      </c>
      <c r="DD26" s="60">
        <f t="shared" si="7"/>
        <v>14222</v>
      </c>
      <c r="DM26" s="60">
        <f t="shared" si="8"/>
        <v>56827</v>
      </c>
      <c r="DV26" s="60">
        <f t="shared" si="9"/>
        <v>8654</v>
      </c>
      <c r="EE26" s="60">
        <f t="shared" si="10"/>
        <v>59843</v>
      </c>
      <c r="EN26" s="60">
        <f t="shared" si="11"/>
        <v>9286</v>
      </c>
      <c r="EW26" s="60">
        <f t="shared" si="12"/>
        <v>14778</v>
      </c>
      <c r="FF26" s="60">
        <f t="shared" si="13"/>
        <v>10118</v>
      </c>
      <c r="FO26" s="19">
        <f t="shared" si="14"/>
        <v>73755</v>
      </c>
      <c r="FX26" s="50"/>
      <c r="GC26" s="14"/>
      <c r="GE26" s="60">
        <f t="shared" si="60"/>
        <v>6482</v>
      </c>
      <c r="GN26" s="60">
        <f t="shared" si="16"/>
        <v>50876</v>
      </c>
      <c r="GW26" s="60">
        <f t="shared" si="17"/>
        <v>56095</v>
      </c>
      <c r="HC26" s="60">
        <f t="shared" si="18"/>
        <v>44664</v>
      </c>
      <c r="HP26" s="18"/>
    </row>
    <row r="27" spans="2:232">
      <c r="B27" s="58">
        <v>43611</v>
      </c>
      <c r="C27" s="20">
        <v>77130</v>
      </c>
      <c r="D27" s="20">
        <v>2.1320000000000001</v>
      </c>
      <c r="E27" s="34">
        <f t="shared" si="19"/>
        <v>44960</v>
      </c>
      <c r="F27" s="34"/>
      <c r="G27" s="20">
        <v>72421</v>
      </c>
      <c r="H27" s="20">
        <v>2.2559999999999998</v>
      </c>
      <c r="I27" s="34">
        <f t="shared" si="20"/>
        <v>45920</v>
      </c>
      <c r="J27" s="34"/>
      <c r="K27" s="20">
        <v>8708</v>
      </c>
      <c r="L27" s="20">
        <v>0.248</v>
      </c>
      <c r="M27" s="34">
        <f t="shared" si="21"/>
        <v>12800</v>
      </c>
      <c r="N27" s="34"/>
      <c r="O27" s="20">
        <v>8684</v>
      </c>
      <c r="P27" s="20">
        <v>0.24199999999999999</v>
      </c>
      <c r="Q27" s="34">
        <f t="shared" si="22"/>
        <v>12000</v>
      </c>
      <c r="R27" s="34"/>
      <c r="S27" s="20">
        <v>9319</v>
      </c>
      <c r="T27" s="20">
        <v>0.26100000000000001</v>
      </c>
      <c r="U27" s="34">
        <f t="shared" si="23"/>
        <v>13200</v>
      </c>
      <c r="V27" s="34"/>
      <c r="W27" s="20">
        <v>60058</v>
      </c>
      <c r="X27" s="20">
        <v>2.1520000000000001</v>
      </c>
      <c r="Y27" s="34">
        <f t="shared" si="24"/>
        <v>64500</v>
      </c>
      <c r="Z27" s="34"/>
      <c r="AA27" s="20">
        <v>57091</v>
      </c>
      <c r="AB27" s="20">
        <v>2.1779999999999999</v>
      </c>
      <c r="AC27" s="34">
        <f t="shared" si="25"/>
        <v>79200</v>
      </c>
      <c r="AD27" s="34"/>
      <c r="AE27" s="20">
        <v>14820</v>
      </c>
      <c r="AF27" s="20">
        <v>0.36099999999999999</v>
      </c>
      <c r="AG27" s="34">
        <f t="shared" si="26"/>
        <v>6720</v>
      </c>
      <c r="AH27" s="34"/>
      <c r="AI27" s="20">
        <v>10146</v>
      </c>
      <c r="AJ27" s="20">
        <v>0.32800000000000001</v>
      </c>
      <c r="AK27" s="34">
        <f t="shared" si="27"/>
        <v>4480</v>
      </c>
      <c r="AL27" s="34"/>
      <c r="AM27" s="20">
        <v>74017</v>
      </c>
      <c r="AN27" s="20">
        <v>2.1</v>
      </c>
      <c r="AO27" s="34">
        <f t="shared" si="28"/>
        <v>52400</v>
      </c>
      <c r="AP27" s="34"/>
      <c r="AQ27" s="20">
        <v>14263</v>
      </c>
      <c r="AR27" s="20">
        <v>0.34699999999999998</v>
      </c>
      <c r="AS27" s="34">
        <f t="shared" si="29"/>
        <v>1640</v>
      </c>
      <c r="AT27" s="34"/>
      <c r="AU27" s="205">
        <v>35547</v>
      </c>
      <c r="AV27" s="205"/>
      <c r="AW27" s="34">
        <f t="shared" si="30"/>
        <v>471</v>
      </c>
      <c r="AX27" s="34"/>
      <c r="AZ27" s="34">
        <f t="shared" si="0"/>
        <v>338291</v>
      </c>
      <c r="BA27" s="20">
        <f t="shared" si="51"/>
        <v>54040</v>
      </c>
      <c r="BB27" s="20">
        <f t="shared" si="52"/>
        <v>0.15974412561965881</v>
      </c>
      <c r="BC27" s="20"/>
      <c r="BD27" s="14"/>
      <c r="BE27" s="64">
        <f t="shared" si="40"/>
        <v>43611</v>
      </c>
      <c r="BF27" s="20">
        <v>51050</v>
      </c>
      <c r="BG27" s="34">
        <f t="shared" si="53"/>
        <v>17400</v>
      </c>
      <c r="BI27" s="20">
        <v>6502</v>
      </c>
      <c r="BJ27" s="34">
        <f t="shared" si="54"/>
        <v>2000</v>
      </c>
      <c r="BL27" s="20">
        <v>56973</v>
      </c>
      <c r="BM27" s="34">
        <f t="shared" si="33"/>
        <v>878</v>
      </c>
      <c r="BN27" s="20"/>
      <c r="BO27" s="20">
        <v>44829</v>
      </c>
      <c r="BP27" s="34">
        <f t="shared" si="34"/>
        <v>6600</v>
      </c>
      <c r="BR27" s="14"/>
      <c r="BS27" s="20">
        <f t="shared" si="3"/>
        <v>26878</v>
      </c>
      <c r="BW27" s="14"/>
      <c r="BY27" s="19">
        <f t="shared" si="4"/>
        <v>35547</v>
      </c>
      <c r="CC27" s="60">
        <f t="shared" si="59"/>
        <v>72421</v>
      </c>
      <c r="CL27" s="60">
        <f t="shared" si="6"/>
        <v>77130</v>
      </c>
      <c r="CU27" s="60">
        <f t="shared" si="35"/>
        <v>60058</v>
      </c>
      <c r="DD27" s="60">
        <f t="shared" si="7"/>
        <v>14263</v>
      </c>
      <c r="DM27" s="60">
        <f t="shared" si="8"/>
        <v>57091</v>
      </c>
      <c r="DV27" s="60">
        <f t="shared" si="9"/>
        <v>8684</v>
      </c>
      <c r="EE27" s="60">
        <f t="shared" si="10"/>
        <v>60058</v>
      </c>
      <c r="EN27" s="60">
        <f t="shared" si="11"/>
        <v>9319</v>
      </c>
      <c r="EW27" s="60">
        <f t="shared" si="12"/>
        <v>14820</v>
      </c>
      <c r="FF27" s="60">
        <f t="shared" si="13"/>
        <v>10146</v>
      </c>
      <c r="FO27" s="19">
        <f t="shared" si="14"/>
        <v>74017</v>
      </c>
      <c r="FX27" s="50"/>
      <c r="GC27" s="14"/>
      <c r="GE27" s="60">
        <f t="shared" si="60"/>
        <v>6502</v>
      </c>
      <c r="GN27" s="60">
        <f t="shared" si="16"/>
        <v>51050</v>
      </c>
      <c r="GW27" s="60">
        <f t="shared" si="17"/>
        <v>56973</v>
      </c>
      <c r="HC27" s="60">
        <f t="shared" si="18"/>
        <v>44829</v>
      </c>
      <c r="HP27" s="18"/>
    </row>
    <row r="28" spans="2:232">
      <c r="B28" s="58">
        <v>43617</v>
      </c>
      <c r="C28" s="20">
        <v>77414</v>
      </c>
      <c r="D28" s="20">
        <v>2.1819999999999999</v>
      </c>
      <c r="E28" s="34">
        <f t="shared" si="19"/>
        <v>45440</v>
      </c>
      <c r="F28" s="34"/>
      <c r="G28" s="20">
        <v>72713</v>
      </c>
      <c r="H28" s="20">
        <v>2.2559999999999998</v>
      </c>
      <c r="I28" s="34">
        <f t="shared" si="20"/>
        <v>46720</v>
      </c>
      <c r="J28" s="34"/>
      <c r="K28" s="20">
        <v>8741</v>
      </c>
      <c r="L28" s="20">
        <v>0.26</v>
      </c>
      <c r="M28" s="34">
        <f t="shared" si="21"/>
        <v>13200</v>
      </c>
      <c r="N28" s="34"/>
      <c r="O28" s="20">
        <v>8715</v>
      </c>
      <c r="P28" s="20">
        <v>0.24199999999999999</v>
      </c>
      <c r="Q28" s="34">
        <f t="shared" si="22"/>
        <v>12400</v>
      </c>
      <c r="R28" s="34"/>
      <c r="S28" s="20">
        <v>9354</v>
      </c>
      <c r="T28" s="20">
        <v>0.28799999999999998</v>
      </c>
      <c r="U28" s="34">
        <f t="shared" si="23"/>
        <v>14000</v>
      </c>
      <c r="V28" s="34"/>
      <c r="W28" s="20">
        <v>60305</v>
      </c>
      <c r="X28" s="20">
        <v>2.3980000000000001</v>
      </c>
      <c r="Y28" s="34">
        <f t="shared" si="24"/>
        <v>74100</v>
      </c>
      <c r="Z28" s="34"/>
      <c r="AA28" s="20">
        <v>57373</v>
      </c>
      <c r="AB28" s="20">
        <v>2.1779999999999999</v>
      </c>
      <c r="AC28" s="34">
        <f t="shared" si="25"/>
        <v>84600</v>
      </c>
      <c r="AD28" s="34"/>
      <c r="AE28" s="20">
        <v>14861</v>
      </c>
      <c r="AF28" s="20">
        <v>0.36099999999999999</v>
      </c>
      <c r="AG28" s="34">
        <f t="shared" si="26"/>
        <v>6560</v>
      </c>
      <c r="AH28" s="34"/>
      <c r="AI28" s="20">
        <v>10172</v>
      </c>
      <c r="AJ28" s="20">
        <v>0.32800000000000001</v>
      </c>
      <c r="AK28" s="34">
        <f t="shared" si="27"/>
        <v>4160</v>
      </c>
      <c r="AL28" s="34"/>
      <c r="AM28" s="20">
        <v>74284</v>
      </c>
      <c r="AN28" s="20">
        <v>2.1</v>
      </c>
      <c r="AO28" s="34">
        <f t="shared" si="28"/>
        <v>53400</v>
      </c>
      <c r="AP28" s="34"/>
      <c r="AQ28" s="20">
        <v>14305</v>
      </c>
      <c r="AR28" s="20">
        <v>0.34699999999999998</v>
      </c>
      <c r="AS28" s="34">
        <f t="shared" si="29"/>
        <v>1680</v>
      </c>
      <c r="AT28" s="34"/>
      <c r="AU28" s="205">
        <v>36038</v>
      </c>
      <c r="AV28" s="205"/>
      <c r="AW28" s="34">
        <f t="shared" si="30"/>
        <v>491</v>
      </c>
      <c r="AX28" s="34"/>
      <c r="AZ28" s="34">
        <f t="shared" si="0"/>
        <v>356751</v>
      </c>
      <c r="BA28" s="20">
        <f t="shared" si="51"/>
        <v>55080</v>
      </c>
      <c r="BB28" s="20">
        <f t="shared" si="52"/>
        <v>0.15439340043896163</v>
      </c>
      <c r="BC28" s="20">
        <f>SUM(AZ24:AZ28)</f>
        <v>1575793</v>
      </c>
      <c r="BD28" s="14"/>
      <c r="BE28" s="64">
        <f t="shared" si="40"/>
        <v>43617</v>
      </c>
      <c r="BF28" s="20">
        <v>51159</v>
      </c>
      <c r="BG28" s="34">
        <f t="shared" si="53"/>
        <v>10900</v>
      </c>
      <c r="BI28" s="20">
        <v>6515</v>
      </c>
      <c r="BJ28" s="34">
        <f t="shared" si="54"/>
        <v>1300</v>
      </c>
      <c r="BL28" s="20">
        <v>57485</v>
      </c>
      <c r="BM28" s="34">
        <f t="shared" si="33"/>
        <v>512</v>
      </c>
      <c r="BN28" s="20"/>
      <c r="BO28" s="20">
        <v>44953</v>
      </c>
      <c r="BP28" s="34">
        <f t="shared" si="34"/>
        <v>4960</v>
      </c>
      <c r="BR28" s="14"/>
      <c r="BS28" s="20">
        <f t="shared" si="3"/>
        <v>17672</v>
      </c>
      <c r="BT28" s="20">
        <f>SUM(BS24:BS28)</f>
        <v>109692</v>
      </c>
      <c r="BU28" s="20">
        <f>SUM(BC28+BT28)</f>
        <v>1685485</v>
      </c>
      <c r="BW28" s="14"/>
      <c r="BY28" s="19">
        <f t="shared" si="4"/>
        <v>36038</v>
      </c>
      <c r="BZ28" s="20">
        <v>35589</v>
      </c>
      <c r="CA28" s="19">
        <f>SUM(BZ28-BZ22)</f>
        <v>2463</v>
      </c>
      <c r="CB28" s="59">
        <f>SUM(CA28*0.12043+CA28*0.03046)*1.08+1.91</f>
        <v>403.28343560000002</v>
      </c>
      <c r="CC28" s="60">
        <f t="shared" ref="CC28" si="61">SUM(G28)</f>
        <v>72713</v>
      </c>
      <c r="CD28" s="20">
        <v>72547</v>
      </c>
      <c r="CE28" s="20">
        <v>2.2919999999999998</v>
      </c>
      <c r="CF28" s="19">
        <f>SUM(CD28-CD22)*160</f>
        <v>218240</v>
      </c>
      <c r="CG28" s="19">
        <f>(CE28)*160</f>
        <v>366.71999999999997</v>
      </c>
      <c r="CH28" s="59">
        <f>SUM(CF28*0.04326)</f>
        <v>9441.0624000000007</v>
      </c>
      <c r="CI28" s="59">
        <f>SUM(CF28*0.02111)</f>
        <v>4607.0464000000002</v>
      </c>
      <c r="CJ28" s="59">
        <f>SUM(CG28*7.447)</f>
        <v>2730.9638399999999</v>
      </c>
      <c r="CK28" s="59">
        <f>SUM(CH28+CI28)</f>
        <v>14048.108800000002</v>
      </c>
      <c r="CL28" s="60">
        <f t="shared" si="6"/>
        <v>77414</v>
      </c>
      <c r="CM28" s="20">
        <v>77251</v>
      </c>
      <c r="CN28" s="20">
        <v>2.1890000000000001</v>
      </c>
      <c r="CO28" s="19">
        <f>SUM(CM28-CM22)*160</f>
        <v>215360</v>
      </c>
      <c r="CP28" s="19">
        <f>(CN28)*160</f>
        <v>350.24</v>
      </c>
      <c r="CQ28" s="59">
        <f>SUM(CO28*0.04326)</f>
        <v>9316.4735999999994</v>
      </c>
      <c r="CR28" s="59">
        <f>SUM(CO28*0.02111)</f>
        <v>4546.2496000000001</v>
      </c>
      <c r="CS28" s="59">
        <f>SUM(CP28*7.447)</f>
        <v>2608.2372800000003</v>
      </c>
      <c r="CT28" s="59">
        <f>SUM(CQ28+CR28)+45</f>
        <v>13907.7232</v>
      </c>
      <c r="CU28" s="60">
        <f t="shared" si="35"/>
        <v>60305</v>
      </c>
      <c r="CV28" s="20">
        <v>60154</v>
      </c>
      <c r="CW28" s="20">
        <v>2.871</v>
      </c>
      <c r="CX28" s="19">
        <f>SUM(CV28-CV22)*300</f>
        <v>324300</v>
      </c>
      <c r="CY28" s="19">
        <f>(CW28)*300</f>
        <v>861.3</v>
      </c>
      <c r="CZ28" s="59">
        <f>SUM(CX28*0.04326)</f>
        <v>14029.218000000001</v>
      </c>
      <c r="DA28" s="59">
        <f>SUM(CX28*0.02111)</f>
        <v>6845.973</v>
      </c>
      <c r="DB28" s="59">
        <f>SUM(CY28*7.447)</f>
        <v>6414.1010999999999</v>
      </c>
      <c r="DC28" s="59">
        <f>SUM(CZ28+DA28)+45</f>
        <v>20920.190999999999</v>
      </c>
      <c r="DD28" s="60">
        <f t="shared" si="7"/>
        <v>14305</v>
      </c>
      <c r="DE28" s="20">
        <v>14281</v>
      </c>
      <c r="DF28" s="20">
        <v>0.372</v>
      </c>
      <c r="DG28" s="19">
        <f>(DE28-DE22)*40</f>
        <v>8000</v>
      </c>
      <c r="DH28" s="19">
        <f>(DF28)*40</f>
        <v>14.879999999999999</v>
      </c>
      <c r="DI28" s="59">
        <f>SUM(DG28*0.04326)</f>
        <v>346.08</v>
      </c>
      <c r="DJ28" s="59">
        <f>SUM(DG28*0.02111)</f>
        <v>168.88</v>
      </c>
      <c r="DK28" s="59">
        <f>SUM(DH28*7.447)</f>
        <v>110.81135999999999</v>
      </c>
      <c r="DL28" s="59">
        <f>SUM(DI28+DJ28)+24</f>
        <v>538.96</v>
      </c>
      <c r="DM28" s="60">
        <f t="shared" si="8"/>
        <v>57373</v>
      </c>
      <c r="DN28" s="20">
        <v>57208</v>
      </c>
      <c r="DO28" s="20">
        <v>2.2679999999999998</v>
      </c>
      <c r="DP28" s="19">
        <f>SUM(DN28-DN22)*300</f>
        <v>334500</v>
      </c>
      <c r="DQ28" s="61">
        <f>(DO28)*300</f>
        <v>680.4</v>
      </c>
      <c r="DR28" s="59">
        <f>SUM(DP28*0.04326)</f>
        <v>14470.47</v>
      </c>
      <c r="DS28" s="59">
        <f>SUM(DP28*0.02111)</f>
        <v>7061.2950000000001</v>
      </c>
      <c r="DT28" s="59">
        <f>SUM(DQ28*7.447)</f>
        <v>5066.9387999999999</v>
      </c>
      <c r="DU28" s="59">
        <f>SUM(DR28+DS28)+45</f>
        <v>21576.764999999999</v>
      </c>
      <c r="DV28" s="60">
        <f t="shared" si="9"/>
        <v>8715</v>
      </c>
      <c r="DW28" s="20">
        <v>8698</v>
      </c>
      <c r="DX28" s="20">
        <v>0.24</v>
      </c>
      <c r="DY28" s="19">
        <f>SUM(DW28-DW22)*400</f>
        <v>57600</v>
      </c>
      <c r="DZ28" s="61">
        <f>(DX28)*400</f>
        <v>96</v>
      </c>
      <c r="EA28" s="59">
        <f>SUM(DY28*0.04326)</f>
        <v>2491.7759999999998</v>
      </c>
      <c r="EB28" s="59">
        <f>SUM(DY28*0.02111)</f>
        <v>1215.9359999999999</v>
      </c>
      <c r="EC28" s="59">
        <f>SUM(DZ28*7.447)</f>
        <v>714.91200000000003</v>
      </c>
      <c r="ED28" s="59">
        <f>SUM(EA28+EB28)+40</f>
        <v>3747.7119999999995</v>
      </c>
      <c r="EE28" s="60">
        <f t="shared" si="10"/>
        <v>60305</v>
      </c>
      <c r="EF28" s="20">
        <v>8722</v>
      </c>
      <c r="EG28" s="20">
        <v>0.26200000000000001</v>
      </c>
      <c r="EH28" s="19">
        <f>SUM(EF28-EF22)*400</f>
        <v>59600</v>
      </c>
      <c r="EI28" s="19">
        <f>(EG28)*400</f>
        <v>104.80000000000001</v>
      </c>
      <c r="EJ28" s="59">
        <f>SUM(EH28*0.04326)</f>
        <v>2578.2959999999998</v>
      </c>
      <c r="EK28" s="59">
        <f>SUM(EH28*0.02111)</f>
        <v>1258.1559999999999</v>
      </c>
      <c r="EL28" s="59">
        <f>SUM(EI28*7.447)</f>
        <v>780.44560000000013</v>
      </c>
      <c r="EM28" s="59">
        <f>SUM(EJ28+EK28)+20</f>
        <v>3856.4519999999998</v>
      </c>
      <c r="EN28" s="60">
        <f t="shared" si="11"/>
        <v>9354</v>
      </c>
      <c r="EO28" s="20">
        <v>9354</v>
      </c>
      <c r="EP28" s="20">
        <v>0.314</v>
      </c>
      <c r="EQ28" s="19">
        <f>SUM(EO28-EO22)*400</f>
        <v>70800</v>
      </c>
      <c r="ER28" s="19">
        <f>(EP28)*400</f>
        <v>125.6</v>
      </c>
      <c r="ES28" s="59">
        <f>SUM(EQ28*0.04326)</f>
        <v>3062.808</v>
      </c>
      <c r="ET28" s="59">
        <f>SUM(EQ28*0.02111)</f>
        <v>1494.588</v>
      </c>
      <c r="EU28" s="59">
        <f>SUM(ER28*7.447)</f>
        <v>935.34319999999991</v>
      </c>
      <c r="EV28" s="59">
        <f>SUM(ES28+ET28)+20</f>
        <v>4577.3959999999997</v>
      </c>
      <c r="EW28" s="60">
        <f t="shared" si="12"/>
        <v>14861</v>
      </c>
      <c r="EX28" s="20">
        <v>14837</v>
      </c>
      <c r="EY28" s="20">
        <v>0.56100000000000005</v>
      </c>
      <c r="EZ28" s="19">
        <f>SUM(EX28-EX22)*160</f>
        <v>35520</v>
      </c>
      <c r="FA28" s="19">
        <f>(EY28)*160</f>
        <v>89.76</v>
      </c>
      <c r="FB28" s="59">
        <f>SUM(EZ28*0.04326)</f>
        <v>1536.5952</v>
      </c>
      <c r="FC28" s="59">
        <f>SUM(EZ28*0.02111)</f>
        <v>749.82720000000006</v>
      </c>
      <c r="FD28" s="59">
        <f>SUM(FA28*7.447)</f>
        <v>668.44272000000001</v>
      </c>
      <c r="FE28" s="59">
        <f>SUM(FB28+FC28)+20</f>
        <v>2306.4223999999999</v>
      </c>
      <c r="FF28" s="60">
        <f t="shared" si="13"/>
        <v>10172</v>
      </c>
      <c r="FG28" s="20">
        <v>10156</v>
      </c>
      <c r="FH28" s="20">
        <v>0.35</v>
      </c>
      <c r="FI28" s="19">
        <f>SUM(FG28-FG22)*160</f>
        <v>21760</v>
      </c>
      <c r="FJ28" s="19">
        <f>(FH28)*160</f>
        <v>56</v>
      </c>
      <c r="FK28" s="59">
        <f>SUM(FI28*0.04326)</f>
        <v>941.33759999999995</v>
      </c>
      <c r="FL28" s="59">
        <f>SUM(FI28*0.02111)</f>
        <v>459.35360000000003</v>
      </c>
      <c r="FM28" s="59">
        <f>SUM(FJ28*7.447)</f>
        <v>417.03199999999998</v>
      </c>
      <c r="FN28" s="59">
        <f>SUM(FK28+FL28)+20</f>
        <v>1420.6912</v>
      </c>
      <c r="FO28" s="19">
        <f t="shared" si="14"/>
        <v>74284</v>
      </c>
      <c r="FP28" s="20">
        <v>74129</v>
      </c>
      <c r="FQ28" s="20">
        <v>2.1280000000000001</v>
      </c>
      <c r="FR28" s="19">
        <f>SUM(FP28-FP22)*200</f>
        <v>250400</v>
      </c>
      <c r="FS28" s="19">
        <f>(FQ28)*200</f>
        <v>425.6</v>
      </c>
      <c r="FT28" s="59">
        <f>SUM(FR28*0.04326)</f>
        <v>10832.304</v>
      </c>
      <c r="FU28" s="59">
        <f>SUM(FR28*0.02111)</f>
        <v>5285.9440000000004</v>
      </c>
      <c r="FV28" s="59">
        <f>SUM(FS28*7.447)</f>
        <v>3169.4432000000002</v>
      </c>
      <c r="FW28" s="59">
        <f>SUM((FT28+FU28)+20)*1.09</f>
        <v>17590.690320000002</v>
      </c>
      <c r="FX28" s="50"/>
      <c r="FY28" s="74">
        <f>SUM(CA28+CF28+CO28+CX28+DG28+DP28+DY28+EH28+EQ28+EZ28+FI28+FR28)</f>
        <v>1598543</v>
      </c>
      <c r="FZ28" s="75">
        <f>SUM(CB28+CK28,CT28,DC28,DL28,DU28,ED28,EM28,EV28,FE28,FN28+FW28)</f>
        <v>104894.39535559999</v>
      </c>
      <c r="GA28" s="75">
        <f>SUM(CJ28,CS28,DB28,DK28,DT28,EC28,EL28,EU28,FD28,FM28,FV28)</f>
        <v>23616.6711</v>
      </c>
      <c r="GB28" s="75">
        <f>SUM(FZ28:GA28)</f>
        <v>128511.0664556</v>
      </c>
      <c r="GC28" s="14"/>
      <c r="GE28" s="60">
        <f t="shared" ref="GE28" si="62">SUM(BI28)</f>
        <v>6515</v>
      </c>
      <c r="GF28" s="20">
        <v>6511</v>
      </c>
      <c r="GG28" s="20">
        <v>0.224</v>
      </c>
      <c r="GH28" s="19">
        <f>SUM(GF28-GF22)*100</f>
        <v>10000</v>
      </c>
      <c r="GI28" s="19">
        <f>SUM(GG28)*100</f>
        <v>22.400000000000002</v>
      </c>
      <c r="GJ28" s="62">
        <f>SUM(GH28*0.04326)</f>
        <v>432.6</v>
      </c>
      <c r="GK28" s="62">
        <f>SUM(GH28*0.02111)</f>
        <v>211.1</v>
      </c>
      <c r="GL28" s="62">
        <f>SUM(GI28*7.447)</f>
        <v>166.81280000000001</v>
      </c>
      <c r="GM28" s="59">
        <f>SUM(GK28+GJ28+20)*1.1048</f>
        <v>733.25576000000001</v>
      </c>
      <c r="GN28" s="60">
        <f t="shared" si="16"/>
        <v>51159</v>
      </c>
      <c r="GO28" s="20">
        <v>51126</v>
      </c>
      <c r="GP28" s="20">
        <v>1.837</v>
      </c>
      <c r="GQ28" s="19">
        <f>SUM(GO28-GO22)*100</f>
        <v>87100</v>
      </c>
      <c r="GR28" s="19">
        <f>SUM(GP28)*100</f>
        <v>183.7</v>
      </c>
      <c r="GS28" s="62">
        <f>SUM(GQ28*0.04326)</f>
        <v>3767.9459999999999</v>
      </c>
      <c r="GT28" s="62">
        <f>SUM(GQ28*0.02111)</f>
        <v>1838.681</v>
      </c>
      <c r="GU28" s="62">
        <f>SUM(GR28*7.447)</f>
        <v>1368.0138999999999</v>
      </c>
      <c r="GV28" s="59">
        <f>SUM(GT28+GS28+20)*1.1048</f>
        <v>6216.2975096000009</v>
      </c>
      <c r="GW28" s="60">
        <f t="shared" si="17"/>
        <v>57485</v>
      </c>
      <c r="GX28" s="20">
        <v>57843</v>
      </c>
      <c r="GY28" s="19">
        <f>SUM(GX28-GX22)</f>
        <v>4650</v>
      </c>
      <c r="GZ28" s="59">
        <f>SUM(GY28*0.12673)</f>
        <v>589.29450000000008</v>
      </c>
      <c r="HA28" s="59">
        <f>SUM(GY28*0.02111)</f>
        <v>98.161500000000004</v>
      </c>
      <c r="HB28" s="59">
        <f>SUM(GZ28+HA28+2.85)*1.07</f>
        <v>738.62742000000026</v>
      </c>
      <c r="HC28" s="60">
        <f t="shared" si="18"/>
        <v>44953</v>
      </c>
      <c r="HD28" s="20">
        <v>45032</v>
      </c>
      <c r="HE28" s="20">
        <v>3.8439999999999999</v>
      </c>
      <c r="HF28" s="19">
        <f>SUM(HD28-HD22)*40</f>
        <v>29640</v>
      </c>
      <c r="HG28" s="19">
        <f>SUM(HE28)*40</f>
        <v>153.76</v>
      </c>
      <c r="HH28" s="59">
        <f>SUM(HF28*0.04326)</f>
        <v>1282.2264</v>
      </c>
      <c r="HI28" s="59">
        <f>SUM(HF28*0.02111)</f>
        <v>625.70040000000006</v>
      </c>
      <c r="HJ28" s="59">
        <f>SUM(HG28*7.447)</f>
        <v>1145.05072</v>
      </c>
      <c r="HK28" s="59">
        <f>SUM(HI28+HH28+20)*1.1048</f>
        <v>2129.97352864</v>
      </c>
      <c r="HL28" s="20">
        <f>SUM(GH28+GQ28+GY28+HF28)</f>
        <v>131390</v>
      </c>
      <c r="HM28" s="75">
        <f>SUM(HK28+HB28+GV28+GM28)</f>
        <v>9818.1542182400008</v>
      </c>
      <c r="HN28" s="75">
        <f>SUM(GL28+GU28+HJ28)</f>
        <v>2679.8774199999998</v>
      </c>
      <c r="HO28" s="75">
        <f>SUM(HM28:HN28)</f>
        <v>12498.031638240001</v>
      </c>
      <c r="HP28" s="18"/>
      <c r="HQ28" s="74">
        <f t="shared" ref="HQ28:HS28" si="63">(FY28+HL28)</f>
        <v>1729933</v>
      </c>
      <c r="HR28" s="75">
        <f t="shared" si="63"/>
        <v>114712.54957383999</v>
      </c>
      <c r="HS28" s="75">
        <f t="shared" si="63"/>
        <v>26296.54852</v>
      </c>
      <c r="HT28" s="75">
        <f t="shared" ref="HT28" si="64">(HR28+HS28)</f>
        <v>141009.09809384</v>
      </c>
    </row>
    <row r="29" spans="2:232">
      <c r="B29" s="58">
        <v>43625</v>
      </c>
      <c r="C29" s="20">
        <v>77703</v>
      </c>
      <c r="D29" s="20">
        <v>2.1819999999999999</v>
      </c>
      <c r="E29" s="34">
        <f t="shared" si="19"/>
        <v>46240</v>
      </c>
      <c r="F29" s="34"/>
      <c r="G29" s="20">
        <v>73005</v>
      </c>
      <c r="H29" s="20">
        <v>2.2559999999999998</v>
      </c>
      <c r="I29" s="34">
        <f t="shared" si="20"/>
        <v>46720</v>
      </c>
      <c r="J29" s="34"/>
      <c r="K29" s="20">
        <v>8776</v>
      </c>
      <c r="L29" s="20">
        <v>0.28100000000000003</v>
      </c>
      <c r="M29" s="34">
        <f t="shared" si="21"/>
        <v>14000</v>
      </c>
      <c r="N29" s="34"/>
      <c r="O29" s="20">
        <v>8748</v>
      </c>
      <c r="P29" s="20">
        <v>0.246</v>
      </c>
      <c r="Q29" s="34">
        <f t="shared" si="22"/>
        <v>13200</v>
      </c>
      <c r="R29" s="34"/>
      <c r="S29" s="20">
        <v>9388</v>
      </c>
      <c r="T29" s="20">
        <v>0.28799999999999998</v>
      </c>
      <c r="U29" s="34">
        <f t="shared" si="23"/>
        <v>13600</v>
      </c>
      <c r="V29" s="34"/>
      <c r="W29" s="20">
        <v>60586</v>
      </c>
      <c r="X29" s="20">
        <v>2.6850000000000001</v>
      </c>
      <c r="Y29" s="34">
        <f t="shared" si="24"/>
        <v>84300</v>
      </c>
      <c r="Z29" s="34"/>
      <c r="AA29" s="20">
        <v>57666</v>
      </c>
      <c r="AB29" s="20">
        <v>2.25</v>
      </c>
      <c r="AC29" s="34">
        <f t="shared" si="25"/>
        <v>87900</v>
      </c>
      <c r="AD29" s="34"/>
      <c r="AE29" s="20">
        <v>14902</v>
      </c>
      <c r="AF29" s="20">
        <v>0.36099999999999999</v>
      </c>
      <c r="AG29" s="34">
        <f t="shared" si="26"/>
        <v>6560</v>
      </c>
      <c r="AH29" s="34"/>
      <c r="AI29" s="20">
        <v>10199</v>
      </c>
      <c r="AJ29" s="20">
        <v>0.34499999999999997</v>
      </c>
      <c r="AK29" s="34">
        <f t="shared" si="27"/>
        <v>4320</v>
      </c>
      <c r="AL29" s="34"/>
      <c r="AM29" s="20">
        <v>74554</v>
      </c>
      <c r="AN29" s="20">
        <v>2.1</v>
      </c>
      <c r="AO29" s="34">
        <f t="shared" si="28"/>
        <v>54000</v>
      </c>
      <c r="AP29" s="34"/>
      <c r="AQ29" s="20">
        <v>14346</v>
      </c>
      <c r="AR29" s="20">
        <v>0.34699999999999998</v>
      </c>
      <c r="AS29" s="34">
        <f t="shared" si="29"/>
        <v>1640</v>
      </c>
      <c r="AT29" s="34"/>
      <c r="AU29" s="205">
        <v>36527</v>
      </c>
      <c r="AV29" s="205"/>
      <c r="AW29" s="34">
        <f t="shared" si="30"/>
        <v>489</v>
      </c>
      <c r="AX29" s="34"/>
      <c r="AZ29" s="34">
        <f t="shared" si="0"/>
        <v>372969</v>
      </c>
      <c r="BA29" s="20">
        <f t="shared" si="51"/>
        <v>55640</v>
      </c>
      <c r="BB29" s="20">
        <f t="shared" si="52"/>
        <v>0.14918129925007173</v>
      </c>
      <c r="BC29" s="20"/>
      <c r="BD29" s="14"/>
      <c r="BE29" s="64">
        <f t="shared" si="40"/>
        <v>43625</v>
      </c>
      <c r="BF29" s="20">
        <v>51522</v>
      </c>
      <c r="BG29" s="34">
        <f t="shared" si="53"/>
        <v>36300</v>
      </c>
      <c r="BI29" s="20">
        <v>6539</v>
      </c>
      <c r="BJ29" s="34">
        <f t="shared" si="54"/>
        <v>2400</v>
      </c>
      <c r="BL29" s="20">
        <v>58735</v>
      </c>
      <c r="BM29" s="34">
        <f t="shared" si="33"/>
        <v>1250</v>
      </c>
      <c r="BN29" s="20"/>
      <c r="BO29" s="20">
        <v>45071</v>
      </c>
      <c r="BP29" s="34">
        <f t="shared" si="34"/>
        <v>4720</v>
      </c>
      <c r="BR29" s="14"/>
      <c r="BS29" s="20">
        <f t="shared" si="3"/>
        <v>44670</v>
      </c>
      <c r="BT29" s="20"/>
      <c r="BU29" s="20"/>
      <c r="BW29" s="14"/>
      <c r="BY29" s="19">
        <f t="shared" si="4"/>
        <v>36527</v>
      </c>
      <c r="CC29" s="60">
        <f t="shared" ref="CC29:CC31" si="65">SUM(G29)</f>
        <v>73005</v>
      </c>
      <c r="CL29" s="60">
        <f t="shared" si="6"/>
        <v>77703</v>
      </c>
      <c r="CU29" s="60">
        <f t="shared" si="35"/>
        <v>60586</v>
      </c>
      <c r="DD29" s="60">
        <f t="shared" si="7"/>
        <v>14346</v>
      </c>
      <c r="DM29" s="60">
        <f t="shared" si="8"/>
        <v>57666</v>
      </c>
      <c r="DV29" s="60">
        <f t="shared" si="9"/>
        <v>8748</v>
      </c>
      <c r="EE29" s="60">
        <f t="shared" si="10"/>
        <v>60586</v>
      </c>
      <c r="EN29" s="60">
        <f t="shared" si="11"/>
        <v>9388</v>
      </c>
      <c r="EW29" s="60">
        <f t="shared" si="12"/>
        <v>14902</v>
      </c>
      <c r="FF29" s="60">
        <f t="shared" si="13"/>
        <v>10199</v>
      </c>
      <c r="FO29" s="19">
        <f t="shared" si="14"/>
        <v>74554</v>
      </c>
      <c r="FX29" s="50"/>
      <c r="GC29" s="14"/>
      <c r="GE29" s="60">
        <f t="shared" ref="GE29:GE31" si="66">SUM(BI29)</f>
        <v>6539</v>
      </c>
      <c r="GN29" s="60">
        <f t="shared" si="16"/>
        <v>51522</v>
      </c>
      <c r="GW29" s="60">
        <f t="shared" si="17"/>
        <v>58735</v>
      </c>
      <c r="HC29" s="60">
        <f t="shared" si="18"/>
        <v>45071</v>
      </c>
      <c r="HP29" s="18"/>
    </row>
    <row r="30" spans="2:232">
      <c r="B30" s="58">
        <v>43632</v>
      </c>
      <c r="C30" s="20">
        <v>77996</v>
      </c>
      <c r="D30" s="20">
        <v>2.2090000000000001</v>
      </c>
      <c r="E30" s="34">
        <f t="shared" si="19"/>
        <v>46880</v>
      </c>
      <c r="F30" s="34"/>
      <c r="G30" s="20">
        <v>73295</v>
      </c>
      <c r="H30" s="20">
        <v>2.2559999999999998</v>
      </c>
      <c r="I30" s="34">
        <f t="shared" si="20"/>
        <v>46400</v>
      </c>
      <c r="J30" s="34"/>
      <c r="K30" s="20">
        <v>8810</v>
      </c>
      <c r="L30" s="20">
        <v>0.28100000000000003</v>
      </c>
      <c r="M30" s="34">
        <f t="shared" si="21"/>
        <v>13600</v>
      </c>
      <c r="N30" s="34"/>
      <c r="O30" s="20">
        <v>8780</v>
      </c>
      <c r="P30" s="20">
        <v>0.25700000000000001</v>
      </c>
      <c r="Q30" s="34">
        <f t="shared" si="22"/>
        <v>12800</v>
      </c>
      <c r="R30" s="34"/>
      <c r="S30" s="20">
        <v>9423</v>
      </c>
      <c r="T30" s="20">
        <v>0.28799999999999998</v>
      </c>
      <c r="U30" s="34">
        <f t="shared" si="23"/>
        <v>14000</v>
      </c>
      <c r="V30" s="34"/>
      <c r="W30" s="20">
        <v>60864</v>
      </c>
      <c r="X30" s="20">
        <v>2.7429999999999999</v>
      </c>
      <c r="Y30" s="34">
        <f t="shared" si="24"/>
        <v>83400</v>
      </c>
      <c r="Z30" s="34"/>
      <c r="AA30" s="20">
        <v>57932</v>
      </c>
      <c r="AB30" s="20">
        <v>2.25</v>
      </c>
      <c r="AC30" s="34">
        <f t="shared" si="25"/>
        <v>79800</v>
      </c>
      <c r="AD30" s="34"/>
      <c r="AE30" s="20">
        <v>14944</v>
      </c>
      <c r="AF30" s="20">
        <v>0.36099999999999999</v>
      </c>
      <c r="AG30" s="34">
        <f t="shared" si="26"/>
        <v>6720</v>
      </c>
      <c r="AH30" s="34"/>
      <c r="AI30" s="20">
        <v>10228</v>
      </c>
      <c r="AJ30" s="20">
        <v>0.34499999999999997</v>
      </c>
      <c r="AK30" s="34">
        <f t="shared" si="27"/>
        <v>4640</v>
      </c>
      <c r="AL30" s="34"/>
      <c r="AM30" s="20">
        <v>74823</v>
      </c>
      <c r="AN30" s="20">
        <v>2.1</v>
      </c>
      <c r="AO30" s="34">
        <f t="shared" si="28"/>
        <v>53800</v>
      </c>
      <c r="AP30" s="34"/>
      <c r="AQ30" s="20">
        <v>14388</v>
      </c>
      <c r="AR30" s="20">
        <v>0.34699999999999998</v>
      </c>
      <c r="AS30" s="34">
        <f t="shared" si="29"/>
        <v>1680</v>
      </c>
      <c r="AT30" s="34"/>
      <c r="AU30" s="205">
        <v>37001</v>
      </c>
      <c r="AV30" s="205"/>
      <c r="AW30" s="34">
        <f t="shared" si="30"/>
        <v>474</v>
      </c>
      <c r="AX30" s="34"/>
      <c r="AZ30" s="34">
        <f t="shared" si="0"/>
        <v>364194</v>
      </c>
      <c r="BA30" s="20">
        <f t="shared" si="51"/>
        <v>55480</v>
      </c>
      <c r="BB30" s="20">
        <f t="shared" si="52"/>
        <v>0.15233639214264924</v>
      </c>
      <c r="BC30" s="20"/>
      <c r="BD30" s="14"/>
      <c r="BE30" s="64">
        <f t="shared" si="40"/>
        <v>43632</v>
      </c>
      <c r="BF30" s="20">
        <v>51615</v>
      </c>
      <c r="BG30" s="34">
        <f t="shared" si="53"/>
        <v>9300</v>
      </c>
      <c r="BI30" s="20">
        <v>6565</v>
      </c>
      <c r="BJ30" s="34">
        <f t="shared" si="54"/>
        <v>2600</v>
      </c>
      <c r="BL30" s="20">
        <v>59621</v>
      </c>
      <c r="BM30" s="34">
        <f t="shared" si="33"/>
        <v>886</v>
      </c>
      <c r="BN30" s="20"/>
      <c r="BO30" s="20">
        <v>45103</v>
      </c>
      <c r="BP30" s="34">
        <f t="shared" si="34"/>
        <v>1280</v>
      </c>
      <c r="BR30" s="14"/>
      <c r="BS30" s="20">
        <f t="shared" si="3"/>
        <v>14066</v>
      </c>
      <c r="BT30" s="20"/>
      <c r="BU30" s="20"/>
      <c r="BW30" s="14"/>
      <c r="BY30" s="19">
        <f t="shared" si="4"/>
        <v>37001</v>
      </c>
      <c r="CC30" s="60">
        <f t="shared" si="65"/>
        <v>73295</v>
      </c>
      <c r="CL30" s="60">
        <f t="shared" si="6"/>
        <v>77996</v>
      </c>
      <c r="CU30" s="60">
        <f t="shared" si="35"/>
        <v>60864</v>
      </c>
      <c r="DD30" s="60">
        <f t="shared" si="7"/>
        <v>14388</v>
      </c>
      <c r="DM30" s="60">
        <f t="shared" si="8"/>
        <v>57932</v>
      </c>
      <c r="DV30" s="60">
        <f t="shared" si="9"/>
        <v>8780</v>
      </c>
      <c r="EE30" s="60">
        <f t="shared" si="10"/>
        <v>60864</v>
      </c>
      <c r="EN30" s="60">
        <f t="shared" si="11"/>
        <v>9423</v>
      </c>
      <c r="EW30" s="60">
        <f t="shared" si="12"/>
        <v>14944</v>
      </c>
      <c r="FF30" s="60">
        <f t="shared" si="13"/>
        <v>10228</v>
      </c>
      <c r="FO30" s="19">
        <f t="shared" si="14"/>
        <v>74823</v>
      </c>
      <c r="FX30" s="50"/>
      <c r="GC30" s="14"/>
      <c r="GE30" s="60">
        <f t="shared" si="66"/>
        <v>6565</v>
      </c>
      <c r="GN30" s="60">
        <f t="shared" si="16"/>
        <v>51615</v>
      </c>
      <c r="GW30" s="60">
        <f t="shared" si="17"/>
        <v>59621</v>
      </c>
      <c r="HC30" s="60">
        <f t="shared" si="18"/>
        <v>45103</v>
      </c>
      <c r="HP30" s="18"/>
    </row>
    <row r="31" spans="2:232">
      <c r="B31" s="58">
        <v>43639</v>
      </c>
      <c r="C31" s="20">
        <v>78288</v>
      </c>
      <c r="D31" s="20">
        <v>2.15</v>
      </c>
      <c r="E31" s="34">
        <f t="shared" si="19"/>
        <v>46720</v>
      </c>
      <c r="F31" s="34"/>
      <c r="G31" s="20">
        <v>73589</v>
      </c>
      <c r="H31" s="20">
        <v>2.2559999999999998</v>
      </c>
      <c r="I31" s="34">
        <f t="shared" si="20"/>
        <v>47040</v>
      </c>
      <c r="J31" s="34"/>
      <c r="K31" s="20">
        <v>8842</v>
      </c>
      <c r="L31" s="20">
        <v>0.24199999999999999</v>
      </c>
      <c r="M31" s="34">
        <f t="shared" si="21"/>
        <v>12800</v>
      </c>
      <c r="N31" s="34"/>
      <c r="O31" s="20">
        <v>8812</v>
      </c>
      <c r="P31" s="20">
        <v>0.23</v>
      </c>
      <c r="Q31" s="34">
        <f t="shared" si="22"/>
        <v>12800</v>
      </c>
      <c r="R31" s="34"/>
      <c r="S31" s="20">
        <v>9456</v>
      </c>
      <c r="T31" s="20">
        <v>0.25900000000000001</v>
      </c>
      <c r="U31" s="34">
        <f t="shared" si="23"/>
        <v>13200</v>
      </c>
      <c r="V31" s="34"/>
      <c r="W31" s="20">
        <v>61161</v>
      </c>
      <c r="X31" s="20">
        <v>2.5859999999999999</v>
      </c>
      <c r="Y31" s="34">
        <f t="shared" si="24"/>
        <v>89100</v>
      </c>
      <c r="Z31" s="34"/>
      <c r="AA31" s="20">
        <v>58219</v>
      </c>
      <c r="AB31" s="20">
        <v>2.29</v>
      </c>
      <c r="AC31" s="34">
        <f t="shared" si="25"/>
        <v>86100</v>
      </c>
      <c r="AD31" s="34"/>
      <c r="AE31" s="20">
        <v>14992</v>
      </c>
      <c r="AF31" s="20">
        <v>0.52200000000000002</v>
      </c>
      <c r="AG31" s="34">
        <f t="shared" si="26"/>
        <v>7680</v>
      </c>
      <c r="AH31" s="34"/>
      <c r="AI31" s="20">
        <v>10256</v>
      </c>
      <c r="AJ31" s="20">
        <v>0.32100000000000001</v>
      </c>
      <c r="AK31" s="34">
        <f t="shared" si="27"/>
        <v>4480</v>
      </c>
      <c r="AL31" s="34"/>
      <c r="AM31" s="20">
        <v>75096</v>
      </c>
      <c r="AN31" s="20">
        <v>2.0779999999999998</v>
      </c>
      <c r="AO31" s="34">
        <f t="shared" si="28"/>
        <v>54600</v>
      </c>
      <c r="AP31" s="34"/>
      <c r="AQ31" s="20">
        <v>14430</v>
      </c>
      <c r="AR31" s="20">
        <v>0.38</v>
      </c>
      <c r="AS31" s="34">
        <f t="shared" si="29"/>
        <v>1680</v>
      </c>
      <c r="AT31" s="34"/>
      <c r="AU31" s="205">
        <v>37470</v>
      </c>
      <c r="AV31" s="205"/>
      <c r="AW31" s="34">
        <f t="shared" si="30"/>
        <v>469</v>
      </c>
      <c r="AX31" s="34"/>
      <c r="AZ31" s="34">
        <f t="shared" si="0"/>
        <v>376669</v>
      </c>
      <c r="BA31" s="20">
        <f t="shared" si="51"/>
        <v>56280</v>
      </c>
      <c r="BB31" s="20">
        <f t="shared" si="52"/>
        <v>0.14941500362387136</v>
      </c>
      <c r="BC31" s="20"/>
      <c r="BD31" s="14"/>
      <c r="BE31" s="64">
        <f t="shared" si="40"/>
        <v>43639</v>
      </c>
      <c r="BF31" s="20">
        <v>51795</v>
      </c>
      <c r="BG31" s="34">
        <f t="shared" si="53"/>
        <v>18000</v>
      </c>
      <c r="BI31" s="20">
        <v>6586</v>
      </c>
      <c r="BJ31" s="34">
        <f t="shared" si="54"/>
        <v>2100</v>
      </c>
      <c r="BL31" s="20">
        <v>60506</v>
      </c>
      <c r="BM31" s="34">
        <f t="shared" si="33"/>
        <v>885</v>
      </c>
      <c r="BN31" s="20"/>
      <c r="BO31" s="20">
        <v>45144</v>
      </c>
      <c r="BP31" s="34">
        <f t="shared" si="34"/>
        <v>1640</v>
      </c>
      <c r="BR31" s="14"/>
      <c r="BS31" s="20">
        <f t="shared" si="3"/>
        <v>22625</v>
      </c>
      <c r="BT31" s="20"/>
      <c r="BU31" s="20"/>
      <c r="BW31" s="14"/>
      <c r="BY31" s="19">
        <f t="shared" si="4"/>
        <v>37470</v>
      </c>
      <c r="CC31" s="60">
        <f t="shared" si="65"/>
        <v>73589</v>
      </c>
      <c r="CL31" s="60">
        <f t="shared" si="6"/>
        <v>78288</v>
      </c>
      <c r="CU31" s="60">
        <f t="shared" si="35"/>
        <v>61161</v>
      </c>
      <c r="DD31" s="60">
        <f t="shared" si="7"/>
        <v>14430</v>
      </c>
      <c r="DM31" s="60">
        <f t="shared" si="8"/>
        <v>58219</v>
      </c>
      <c r="DV31" s="60">
        <f t="shared" si="9"/>
        <v>8812</v>
      </c>
      <c r="EE31" s="60">
        <f t="shared" si="10"/>
        <v>61161</v>
      </c>
      <c r="EN31" s="60">
        <f t="shared" si="11"/>
        <v>9456</v>
      </c>
      <c r="EW31" s="60">
        <f t="shared" si="12"/>
        <v>14992</v>
      </c>
      <c r="FF31" s="60">
        <f t="shared" si="13"/>
        <v>10256</v>
      </c>
      <c r="FO31" s="19">
        <f t="shared" si="14"/>
        <v>75096</v>
      </c>
      <c r="FX31" s="50"/>
      <c r="GC31" s="14"/>
      <c r="GE31" s="60">
        <f t="shared" si="66"/>
        <v>6586</v>
      </c>
      <c r="GN31" s="60">
        <f t="shared" si="16"/>
        <v>51795</v>
      </c>
      <c r="GW31" s="60">
        <f t="shared" si="17"/>
        <v>60506</v>
      </c>
      <c r="HC31" s="60">
        <f t="shared" si="18"/>
        <v>45144</v>
      </c>
      <c r="HP31" s="18"/>
    </row>
    <row r="32" spans="2:232">
      <c r="B32" s="58">
        <v>43647</v>
      </c>
      <c r="C32" s="20">
        <v>78574</v>
      </c>
      <c r="D32" s="20">
        <v>2.234</v>
      </c>
      <c r="E32" s="34">
        <f t="shared" si="19"/>
        <v>45760</v>
      </c>
      <c r="F32" s="34"/>
      <c r="G32" s="20">
        <v>73883</v>
      </c>
      <c r="H32" s="20">
        <v>2.3180000000000001</v>
      </c>
      <c r="I32" s="34">
        <f t="shared" si="20"/>
        <v>47040</v>
      </c>
      <c r="J32" s="34"/>
      <c r="K32" s="20">
        <v>8875</v>
      </c>
      <c r="L32" s="20">
        <v>0.25</v>
      </c>
      <c r="M32" s="34">
        <f t="shared" si="21"/>
        <v>13200</v>
      </c>
      <c r="N32" s="34"/>
      <c r="O32" s="20">
        <v>8844</v>
      </c>
      <c r="P32" s="20">
        <v>0.248</v>
      </c>
      <c r="Q32" s="34">
        <f t="shared" si="22"/>
        <v>12800</v>
      </c>
      <c r="R32" s="34"/>
      <c r="S32" s="20">
        <v>9489</v>
      </c>
      <c r="T32" s="20">
        <v>0.26600000000000001</v>
      </c>
      <c r="U32" s="34">
        <f t="shared" si="23"/>
        <v>13200</v>
      </c>
      <c r="V32" s="34"/>
      <c r="W32" s="20">
        <v>61456</v>
      </c>
      <c r="X32" s="20">
        <v>2.778</v>
      </c>
      <c r="Y32" s="34">
        <f t="shared" si="24"/>
        <v>88500</v>
      </c>
      <c r="Z32" s="34"/>
      <c r="AA32" s="20">
        <v>58504</v>
      </c>
      <c r="AB32" s="20">
        <v>2.3620000000000001</v>
      </c>
      <c r="AC32" s="34">
        <f t="shared" si="25"/>
        <v>85500</v>
      </c>
      <c r="AD32" s="34"/>
      <c r="AE32" s="20">
        <v>15039</v>
      </c>
      <c r="AF32" s="20">
        <v>0.52200000000000002</v>
      </c>
      <c r="AG32" s="34">
        <f t="shared" si="26"/>
        <v>7520</v>
      </c>
      <c r="AH32" s="34"/>
      <c r="AI32" s="20">
        <v>10284</v>
      </c>
      <c r="AJ32" s="20">
        <v>0.32400000000000001</v>
      </c>
      <c r="AK32" s="34">
        <f t="shared" si="27"/>
        <v>4480</v>
      </c>
      <c r="AL32" s="34"/>
      <c r="AM32" s="20">
        <v>75374</v>
      </c>
      <c r="AN32" s="20">
        <v>2.0830000000000002</v>
      </c>
      <c r="AO32" s="34">
        <f t="shared" si="28"/>
        <v>55600</v>
      </c>
      <c r="AP32" s="34"/>
      <c r="AQ32" s="20">
        <v>14472</v>
      </c>
      <c r="AR32" s="20">
        <v>0.34300000000000003</v>
      </c>
      <c r="AS32" s="34">
        <f t="shared" si="29"/>
        <v>1680</v>
      </c>
      <c r="AT32" s="34"/>
      <c r="AU32" s="205">
        <v>37935</v>
      </c>
      <c r="AV32" s="205"/>
      <c r="AW32" s="34">
        <f t="shared" si="30"/>
        <v>465</v>
      </c>
      <c r="AX32" s="34"/>
      <c r="AZ32" s="34">
        <f t="shared" si="0"/>
        <v>375745</v>
      </c>
      <c r="BA32" s="20">
        <f t="shared" si="51"/>
        <v>57280</v>
      </c>
      <c r="BB32" s="20">
        <f t="shared" si="52"/>
        <v>0.15244381162756657</v>
      </c>
      <c r="BC32" s="20">
        <f>SUM(AZ29:AZ32)</f>
        <v>1489577</v>
      </c>
      <c r="BD32" s="14"/>
      <c r="BE32" s="64">
        <f t="shared" si="40"/>
        <v>43647</v>
      </c>
      <c r="BF32" s="20">
        <v>51983</v>
      </c>
      <c r="BG32" s="34">
        <f t="shared" si="53"/>
        <v>18800</v>
      </c>
      <c r="BI32" s="20">
        <v>6608</v>
      </c>
      <c r="BJ32" s="34">
        <f t="shared" si="54"/>
        <v>2200</v>
      </c>
      <c r="BL32" s="20">
        <v>61399</v>
      </c>
      <c r="BM32" s="34">
        <f t="shared" si="33"/>
        <v>893</v>
      </c>
      <c r="BN32" s="20"/>
      <c r="BO32" s="20">
        <v>45282</v>
      </c>
      <c r="BP32" s="34">
        <f t="shared" si="34"/>
        <v>5520</v>
      </c>
      <c r="BR32" s="14"/>
      <c r="BS32" s="20">
        <f t="shared" si="3"/>
        <v>27413</v>
      </c>
      <c r="BT32" s="20">
        <f>SUM(BS29:BS32)</f>
        <v>108774</v>
      </c>
      <c r="BU32" s="20">
        <f>SUM(BC32+BT32)</f>
        <v>1598351</v>
      </c>
      <c r="BW32" s="14"/>
      <c r="BY32" s="19">
        <f t="shared" si="4"/>
        <v>37935</v>
      </c>
      <c r="BZ32" s="20">
        <v>37511</v>
      </c>
      <c r="CA32" s="19">
        <f>SUM(BZ32-BZ28)</f>
        <v>1922</v>
      </c>
      <c r="CB32" s="59">
        <f>SUM(CA32*0.12043+CA32*0.03046)*1.08+1.91</f>
        <v>315.12142640000008</v>
      </c>
      <c r="CC32" s="60">
        <f t="shared" ref="CC32" si="67">SUM(G32)</f>
        <v>73883</v>
      </c>
      <c r="CD32" s="20">
        <v>73757</v>
      </c>
      <c r="CE32" s="20">
        <v>2.2559999999999998</v>
      </c>
      <c r="CF32" s="19">
        <f>SUM(CD32-CD28)*160</f>
        <v>193600</v>
      </c>
      <c r="CG32" s="19">
        <f>(CE32)*160</f>
        <v>360.96</v>
      </c>
      <c r="CH32" s="59">
        <f>SUM(CF32*0.04326)</f>
        <v>8375.1360000000004</v>
      </c>
      <c r="CI32" s="59">
        <f>SUM(CF32*0.02111)</f>
        <v>4086.8960000000002</v>
      </c>
      <c r="CJ32" s="59">
        <f>SUM(CG32*7.447)</f>
        <v>2688.0691199999997</v>
      </c>
      <c r="CK32" s="59">
        <f>SUM(CH32+CI32)</f>
        <v>12462.032000000001</v>
      </c>
      <c r="CL32" s="60">
        <f t="shared" si="6"/>
        <v>78574</v>
      </c>
      <c r="CM32" s="20">
        <v>78450</v>
      </c>
      <c r="CN32" s="20">
        <v>2.2090000000000001</v>
      </c>
      <c r="CO32" s="19">
        <f>SUM(CM32-CM28)*160</f>
        <v>191840</v>
      </c>
      <c r="CP32" s="19">
        <f>(CN32)*160</f>
        <v>353.44</v>
      </c>
      <c r="CQ32" s="59">
        <f>SUM(CO32*0.04326)</f>
        <v>8298.9984000000004</v>
      </c>
      <c r="CR32" s="59">
        <f>SUM(CO32*0.02111)</f>
        <v>4049.7424000000001</v>
      </c>
      <c r="CS32" s="59">
        <f>SUM(CP32*7.447)</f>
        <v>2632.0676800000001</v>
      </c>
      <c r="CT32" s="59">
        <f>SUM(CQ32+CR32)+45</f>
        <v>12393.7408</v>
      </c>
      <c r="CU32" s="60">
        <f t="shared" si="35"/>
        <v>61456</v>
      </c>
      <c r="CV32" s="20">
        <v>61306</v>
      </c>
      <c r="CW32" s="20">
        <v>2.7429999999999999</v>
      </c>
      <c r="CX32" s="19">
        <f>SUM(CV32-CV28)*300</f>
        <v>345600</v>
      </c>
      <c r="CY32" s="19">
        <f>(CW32)*300</f>
        <v>822.9</v>
      </c>
      <c r="CZ32" s="59">
        <f>SUM(CX32*0.04326)</f>
        <v>14950.655999999999</v>
      </c>
      <c r="DA32" s="59">
        <f>SUM(CX32*0.02111)</f>
        <v>7295.616</v>
      </c>
      <c r="DB32" s="59">
        <f>SUM(CY32*7.447)</f>
        <v>6128.1363000000001</v>
      </c>
      <c r="DC32" s="59">
        <f>SUM(CZ32+DA32)+45</f>
        <v>22291.271999999997</v>
      </c>
      <c r="DD32" s="60">
        <f t="shared" si="7"/>
        <v>14472</v>
      </c>
      <c r="DE32" s="20">
        <v>14448</v>
      </c>
      <c r="DF32" s="20">
        <v>0.34699999999999998</v>
      </c>
      <c r="DG32" s="19">
        <f>(DE32-DE28)*40</f>
        <v>6680</v>
      </c>
      <c r="DH32" s="19">
        <f>(DF32)*40</f>
        <v>13.879999999999999</v>
      </c>
      <c r="DI32" s="59">
        <f>SUM(DG32*0.04326)</f>
        <v>288.97680000000003</v>
      </c>
      <c r="DJ32" s="59">
        <f>SUM(DG32*0.02111)</f>
        <v>141.01480000000001</v>
      </c>
      <c r="DK32" s="59">
        <f>SUM(DH32*7.447)</f>
        <v>103.36435999999999</v>
      </c>
      <c r="DL32" s="59">
        <f>SUM(DI32+DJ32)+24</f>
        <v>453.99160000000006</v>
      </c>
      <c r="DM32" s="60">
        <f t="shared" si="8"/>
        <v>58504</v>
      </c>
      <c r="DN32" s="20">
        <v>58356</v>
      </c>
      <c r="DO32" s="20">
        <v>2.25</v>
      </c>
      <c r="DP32" s="19">
        <f>SUM(DN32-DN28)*300</f>
        <v>344400</v>
      </c>
      <c r="DQ32" s="61">
        <f>(DO32)*300</f>
        <v>675</v>
      </c>
      <c r="DR32" s="59">
        <f>SUM(DP32*0.04326)</f>
        <v>14898.744000000001</v>
      </c>
      <c r="DS32" s="59">
        <f>SUM(DP32*0.02111)</f>
        <v>7270.2839999999997</v>
      </c>
      <c r="DT32" s="59">
        <f>SUM(DQ32*7.447)</f>
        <v>5026.7250000000004</v>
      </c>
      <c r="DU32" s="59">
        <f>SUM(DR32+DS32)+45</f>
        <v>22214.027999999998</v>
      </c>
      <c r="DV32" s="60">
        <f t="shared" si="9"/>
        <v>8844</v>
      </c>
      <c r="DW32" s="20">
        <v>8830</v>
      </c>
      <c r="DX32" s="20">
        <v>0.25700000000000001</v>
      </c>
      <c r="DY32" s="19">
        <f>SUM(DW32-DW28)*400</f>
        <v>52800</v>
      </c>
      <c r="DZ32" s="61">
        <f>(DX32)*400</f>
        <v>102.8</v>
      </c>
      <c r="EA32" s="59">
        <f>SUM(DY32*0.04326)</f>
        <v>2284.1280000000002</v>
      </c>
      <c r="EB32" s="59">
        <f>SUM(DY32*0.02111)</f>
        <v>1114.6079999999999</v>
      </c>
      <c r="EC32" s="59">
        <f>SUM(DZ32*7.447)</f>
        <v>765.55160000000001</v>
      </c>
      <c r="ED32" s="59">
        <f>SUM(EA32+EB32)+40</f>
        <v>3438.7359999999999</v>
      </c>
      <c r="EE32" s="60">
        <f t="shared" si="10"/>
        <v>61456</v>
      </c>
      <c r="EF32" s="20">
        <v>8861</v>
      </c>
      <c r="EG32" s="20">
        <v>0.28100000000000003</v>
      </c>
      <c r="EH32" s="19">
        <f>SUM(EF32-EF28)*400</f>
        <v>55600</v>
      </c>
      <c r="EI32" s="19">
        <f>(EG32)*400</f>
        <v>112.4</v>
      </c>
      <c r="EJ32" s="59">
        <f>SUM(EH32*0.04326)</f>
        <v>2405.2559999999999</v>
      </c>
      <c r="EK32" s="59">
        <f>SUM(EH32*0.02111)</f>
        <v>1173.7160000000001</v>
      </c>
      <c r="EL32" s="59">
        <f>SUM(EI32*7.447)</f>
        <v>837.04280000000006</v>
      </c>
      <c r="EM32" s="59">
        <f>SUM(EJ32+EK32)+20</f>
        <v>3598.9719999999998</v>
      </c>
      <c r="EN32" s="60">
        <f t="shared" si="11"/>
        <v>9489</v>
      </c>
      <c r="EO32" s="20">
        <v>9475</v>
      </c>
      <c r="EP32" s="20">
        <v>0.28799999999999998</v>
      </c>
      <c r="EQ32" s="19">
        <f>SUM(EO32-EO28)*400</f>
        <v>48400</v>
      </c>
      <c r="ER32" s="19">
        <f>(EP32)*400</f>
        <v>115.19999999999999</v>
      </c>
      <c r="ES32" s="59">
        <f>SUM(EQ32*0.04326)</f>
        <v>2093.7840000000001</v>
      </c>
      <c r="ET32" s="59">
        <f>SUM(EQ32*0.02111)</f>
        <v>1021.724</v>
      </c>
      <c r="EU32" s="59">
        <f>SUM(ER32*7.447)</f>
        <v>857.89439999999991</v>
      </c>
      <c r="EV32" s="59">
        <f>SUM(ES32+ET32)+20</f>
        <v>3135.5080000000003</v>
      </c>
      <c r="EW32" s="60">
        <f t="shared" si="12"/>
        <v>15039</v>
      </c>
      <c r="EX32" s="20">
        <v>15017</v>
      </c>
      <c r="EY32" s="20">
        <v>0.374</v>
      </c>
      <c r="EZ32" s="19">
        <f>SUM(EX32-EX28)*160</f>
        <v>28800</v>
      </c>
      <c r="FA32" s="19">
        <f>(EY32)*160</f>
        <v>59.84</v>
      </c>
      <c r="FB32" s="59">
        <f>SUM(EZ32*0.04326)</f>
        <v>1245.8879999999999</v>
      </c>
      <c r="FC32" s="59">
        <f>SUM(EZ32*0.02111)</f>
        <v>607.96799999999996</v>
      </c>
      <c r="FD32" s="59">
        <f>SUM(FA32*7.447)</f>
        <v>445.62848000000002</v>
      </c>
      <c r="FE32" s="59">
        <f>SUM(FB32+FC32)+20</f>
        <v>1873.8559999999998</v>
      </c>
      <c r="FF32" s="60">
        <f t="shared" si="13"/>
        <v>10284</v>
      </c>
      <c r="FG32" s="20">
        <v>10274</v>
      </c>
      <c r="FH32" s="20">
        <v>0.34499999999999997</v>
      </c>
      <c r="FI32" s="19">
        <f>SUM(FG32-FG28)*160</f>
        <v>18880</v>
      </c>
      <c r="FJ32" s="19">
        <f>(FH32)*160</f>
        <v>55.199999999999996</v>
      </c>
      <c r="FK32" s="59">
        <f>SUM(FI32*0.04326)</f>
        <v>816.74879999999996</v>
      </c>
      <c r="FL32" s="59">
        <f>SUM(FI32*0.02111)</f>
        <v>398.55680000000001</v>
      </c>
      <c r="FM32" s="59">
        <f>SUM(FJ32*7.447)</f>
        <v>411.07439999999997</v>
      </c>
      <c r="FN32" s="59">
        <f>SUM(FK32+FL32)+20</f>
        <v>1235.3055999999999</v>
      </c>
      <c r="FO32" s="19">
        <f t="shared" si="14"/>
        <v>75374</v>
      </c>
      <c r="FP32" s="20">
        <v>75217</v>
      </c>
      <c r="FQ32" s="20">
        <v>2.1</v>
      </c>
      <c r="FR32" s="19">
        <f>SUM(FP32-FP28)*200</f>
        <v>217600</v>
      </c>
      <c r="FS32" s="19">
        <f>(FQ32)*200</f>
        <v>420</v>
      </c>
      <c r="FT32" s="59">
        <f>SUM(FR32*0.04326)</f>
        <v>9413.3760000000002</v>
      </c>
      <c r="FU32" s="59">
        <f>SUM(FR32*0.02111)</f>
        <v>4593.5360000000001</v>
      </c>
      <c r="FV32" s="59">
        <f>SUM(FS32*7.447)</f>
        <v>3127.7400000000002</v>
      </c>
      <c r="FW32" s="59">
        <f>SUM((FT32+FU32)+20)*1.09</f>
        <v>15289.334080000001</v>
      </c>
      <c r="FX32" s="50"/>
      <c r="FY32" s="74">
        <f>SUM(CA32+CF32+CO32+CX32+DG32+DP32+DY32+EH32+EQ32+EZ32+FI32+FR32)</f>
        <v>1506122</v>
      </c>
      <c r="FZ32" s="75">
        <f>SUM(CB32+CK32,CT32,DC32,DL32,DU32,ED32,EM32,EV32,FE32,FN32+FW32)</f>
        <v>98701.897506400011</v>
      </c>
      <c r="GA32" s="75">
        <f>SUM(CJ32,CS32,DB32,DK32,DT32,EC32,EL32,EU32,FD32,FM32,FV32)</f>
        <v>23023.294140000002</v>
      </c>
      <c r="GB32" s="75">
        <f>SUM(FZ32:GA32)</f>
        <v>121725.19164640001</v>
      </c>
      <c r="GC32" s="14"/>
      <c r="GE32" s="60">
        <f t="shared" ref="GE32" si="68">SUM(BI32)</f>
        <v>6608</v>
      </c>
      <c r="GF32" s="20">
        <v>6595</v>
      </c>
      <c r="GG32" s="20">
        <v>0.253</v>
      </c>
      <c r="GH32" s="19">
        <f>SUM(GF32-GF28)*100</f>
        <v>8400</v>
      </c>
      <c r="GI32" s="19">
        <f>SUM(GG32)*100</f>
        <v>25.3</v>
      </c>
      <c r="GJ32" s="62">
        <f>SUM(GH32*0.04326)</f>
        <v>363.38400000000001</v>
      </c>
      <c r="GK32" s="62">
        <f>SUM(GH32*0.02111)</f>
        <v>177.32400000000001</v>
      </c>
      <c r="GL32" s="62">
        <f>SUM(GI32*7.447)</f>
        <v>188.4091</v>
      </c>
      <c r="GM32" s="59">
        <f>SUM(GK32+GJ32+20)*1.1048</f>
        <v>619.47019840000007</v>
      </c>
      <c r="GN32" s="60">
        <f t="shared" si="16"/>
        <v>51983</v>
      </c>
      <c r="GO32" s="20">
        <v>51876</v>
      </c>
      <c r="GP32" s="20">
        <v>2.0270000000000001</v>
      </c>
      <c r="GQ32" s="19">
        <f>SUM(GO32-GO28)*100</f>
        <v>75000</v>
      </c>
      <c r="GR32" s="19">
        <f>SUM(GP32)*100</f>
        <v>202.70000000000002</v>
      </c>
      <c r="GS32" s="62">
        <f>SUM(GQ32*0.04326)</f>
        <v>3244.5</v>
      </c>
      <c r="GT32" s="62">
        <f>SUM(GQ32*0.02111)</f>
        <v>1583.25</v>
      </c>
      <c r="GU32" s="62">
        <f>SUM(GR32*7.447)</f>
        <v>1509.5069000000001</v>
      </c>
      <c r="GV32" s="59">
        <f>SUM(GT32+GS32+20)*1.1048</f>
        <v>5355.7942000000003</v>
      </c>
      <c r="GW32" s="60">
        <f t="shared" si="17"/>
        <v>61399</v>
      </c>
      <c r="GX32" s="20">
        <v>61006</v>
      </c>
      <c r="GY32" s="19">
        <f>SUM(GX32-GX28)</f>
        <v>3163</v>
      </c>
      <c r="GZ32" s="59">
        <f>SUM(GY32*0.12673)</f>
        <v>400.84699000000001</v>
      </c>
      <c r="HA32" s="59">
        <f>SUM(GY32*0.02111)</f>
        <v>66.770930000000007</v>
      </c>
      <c r="HB32" s="59">
        <f>SUM(GZ32+HA32+2.85)*1.07</f>
        <v>503.40067440000007</v>
      </c>
      <c r="HC32" s="60">
        <f t="shared" si="18"/>
        <v>45282</v>
      </c>
      <c r="HD32" s="20">
        <v>45239</v>
      </c>
      <c r="HE32" s="20">
        <v>3.9329999999999998</v>
      </c>
      <c r="HF32" s="19">
        <f>SUM(HD32-HD28)*40</f>
        <v>8280</v>
      </c>
      <c r="HG32" s="19">
        <f>SUM(HE32)*40</f>
        <v>157.32</v>
      </c>
      <c r="HH32" s="59">
        <f>SUM(HF32*0.04326)</f>
        <v>358.19279999999998</v>
      </c>
      <c r="HI32" s="59">
        <f>SUM(HF32*0.02111)</f>
        <v>174.79079999999999</v>
      </c>
      <c r="HJ32" s="59">
        <f>SUM(HG32*7.447)</f>
        <v>1171.56204</v>
      </c>
      <c r="HK32" s="59">
        <f>SUM(HI32+HH32+20)*1.1048</f>
        <v>610.93628128</v>
      </c>
      <c r="HL32" s="20">
        <f>SUM(GH32+GQ32+GY32+HF32)</f>
        <v>94843</v>
      </c>
      <c r="HM32" s="75">
        <f>SUM(HK32+HB32+GV32+GM32)</f>
        <v>7089.6013540800004</v>
      </c>
      <c r="HN32" s="75">
        <f>SUM(GL32+GU32+HJ32)</f>
        <v>2869.47804</v>
      </c>
      <c r="HO32" s="75">
        <f>SUM(HM32:HN32)</f>
        <v>9959.0793940799995</v>
      </c>
      <c r="HP32" s="18"/>
      <c r="HQ32" s="74">
        <f t="shared" ref="HQ32:HS32" si="69">(FY32+HL32)</f>
        <v>1600965</v>
      </c>
      <c r="HR32" s="75">
        <f t="shared" si="69"/>
        <v>105791.49886048002</v>
      </c>
      <c r="HS32" s="75">
        <f t="shared" si="69"/>
        <v>25892.77218</v>
      </c>
      <c r="HT32" s="75">
        <f t="shared" ref="HT32" si="70">(HR32+HS32)</f>
        <v>131684.27104048</v>
      </c>
    </row>
    <row r="33" spans="2:228">
      <c r="B33" s="58">
        <v>43654</v>
      </c>
      <c r="C33" s="20">
        <v>78867</v>
      </c>
      <c r="D33" s="20">
        <v>2.234</v>
      </c>
      <c r="E33" s="34">
        <f t="shared" si="19"/>
        <v>46880</v>
      </c>
      <c r="F33" s="34"/>
      <c r="G33" s="20">
        <v>74178</v>
      </c>
      <c r="H33" s="20">
        <v>2.3180000000000001</v>
      </c>
      <c r="I33" s="34">
        <f t="shared" si="20"/>
        <v>47200</v>
      </c>
      <c r="J33" s="34"/>
      <c r="K33" s="20">
        <v>8911</v>
      </c>
      <c r="L33" s="20">
        <v>0.29899999999999999</v>
      </c>
      <c r="M33" s="34">
        <f t="shared" si="21"/>
        <v>14400</v>
      </c>
      <c r="N33" s="34"/>
      <c r="O33" s="20">
        <v>8877</v>
      </c>
      <c r="P33" s="20">
        <v>0.26900000000000002</v>
      </c>
      <c r="Q33" s="34">
        <f t="shared" si="22"/>
        <v>13200</v>
      </c>
      <c r="R33" s="34"/>
      <c r="S33" s="20">
        <v>9523</v>
      </c>
      <c r="T33" s="20">
        <v>0.27</v>
      </c>
      <c r="U33" s="34">
        <f t="shared" si="23"/>
        <v>13600</v>
      </c>
      <c r="V33" s="34"/>
      <c r="W33" s="20">
        <v>61764</v>
      </c>
      <c r="X33" s="20">
        <v>2.778</v>
      </c>
      <c r="Y33" s="34">
        <f t="shared" si="24"/>
        <v>92400</v>
      </c>
      <c r="Z33" s="34"/>
      <c r="AA33" s="20">
        <v>58800</v>
      </c>
      <c r="AB33" s="20">
        <v>2.3620000000000001</v>
      </c>
      <c r="AC33" s="34">
        <f t="shared" si="25"/>
        <v>88800</v>
      </c>
      <c r="AD33" s="34"/>
      <c r="AE33" s="20">
        <v>15077</v>
      </c>
      <c r="AF33" s="20">
        <v>0.52200000000000002</v>
      </c>
      <c r="AG33" s="34">
        <f t="shared" si="26"/>
        <v>6080</v>
      </c>
      <c r="AH33" s="34"/>
      <c r="AI33" s="20">
        <v>10307</v>
      </c>
      <c r="AJ33" s="20">
        <v>0.32400000000000001</v>
      </c>
      <c r="AK33" s="34">
        <f t="shared" si="27"/>
        <v>3680</v>
      </c>
      <c r="AL33" s="34"/>
      <c r="AM33" s="20">
        <v>75656</v>
      </c>
      <c r="AN33" s="20">
        <v>2.153</v>
      </c>
      <c r="AO33" s="34">
        <f t="shared" si="28"/>
        <v>56400</v>
      </c>
      <c r="AP33" s="34"/>
      <c r="AQ33" s="20">
        <v>14515</v>
      </c>
      <c r="AR33" s="20">
        <v>0.34300000000000003</v>
      </c>
      <c r="AS33" s="34">
        <f t="shared" si="29"/>
        <v>1720</v>
      </c>
      <c r="AT33" s="34"/>
      <c r="AU33" s="205">
        <v>38453</v>
      </c>
      <c r="AV33" s="205"/>
      <c r="AW33" s="34">
        <f t="shared" si="30"/>
        <v>518</v>
      </c>
      <c r="AX33" s="34"/>
      <c r="AZ33" s="34">
        <f t="shared" si="0"/>
        <v>384878</v>
      </c>
      <c r="BA33" s="20">
        <f t="shared" si="51"/>
        <v>58120</v>
      </c>
      <c r="BB33" s="20">
        <f t="shared" si="52"/>
        <v>0.15100889112913701</v>
      </c>
      <c r="BC33" s="20"/>
      <c r="BD33" s="14"/>
      <c r="BE33" s="64">
        <f t="shared" si="40"/>
        <v>43654</v>
      </c>
      <c r="BF33" s="20">
        <v>52172</v>
      </c>
      <c r="BG33" s="34">
        <f t="shared" si="53"/>
        <v>18900</v>
      </c>
      <c r="BI33" s="20">
        <v>6629</v>
      </c>
      <c r="BJ33" s="34">
        <f t="shared" si="54"/>
        <v>2100</v>
      </c>
      <c r="BL33" s="20">
        <v>62293</v>
      </c>
      <c r="BM33" s="34">
        <f t="shared" si="33"/>
        <v>894</v>
      </c>
      <c r="BN33" s="20"/>
      <c r="BO33" s="20">
        <v>45384</v>
      </c>
      <c r="BP33" s="34">
        <f t="shared" si="34"/>
        <v>4080</v>
      </c>
      <c r="BR33" s="14"/>
      <c r="BS33" s="20">
        <f t="shared" si="3"/>
        <v>25974</v>
      </c>
      <c r="BT33" s="20"/>
      <c r="BU33" s="20"/>
      <c r="BW33" s="14"/>
      <c r="BY33" s="19">
        <f t="shared" si="4"/>
        <v>38453</v>
      </c>
      <c r="CC33" s="60">
        <f t="shared" ref="CC33:CC36" si="71">SUM(G33)</f>
        <v>74178</v>
      </c>
      <c r="CL33" s="60">
        <f t="shared" si="6"/>
        <v>78867</v>
      </c>
      <c r="CU33" s="60">
        <f t="shared" si="35"/>
        <v>61764</v>
      </c>
      <c r="DD33" s="60">
        <f t="shared" si="7"/>
        <v>14515</v>
      </c>
      <c r="DM33" s="60">
        <f t="shared" si="8"/>
        <v>58800</v>
      </c>
      <c r="DV33" s="60">
        <f t="shared" si="9"/>
        <v>8877</v>
      </c>
      <c r="EE33" s="60">
        <f t="shared" si="10"/>
        <v>61764</v>
      </c>
      <c r="EN33" s="60">
        <f t="shared" si="11"/>
        <v>9523</v>
      </c>
      <c r="EW33" s="60">
        <f t="shared" si="12"/>
        <v>15077</v>
      </c>
      <c r="FF33" s="60">
        <f t="shared" si="13"/>
        <v>10307</v>
      </c>
      <c r="FO33" s="19">
        <f t="shared" si="14"/>
        <v>75656</v>
      </c>
      <c r="FX33" s="50"/>
      <c r="GC33" s="14"/>
      <c r="GE33" s="60">
        <f t="shared" ref="GE33:GE36" si="72">SUM(BI33)</f>
        <v>6629</v>
      </c>
      <c r="GN33" s="60">
        <f t="shared" si="16"/>
        <v>52172</v>
      </c>
      <c r="GW33" s="60">
        <f t="shared" si="17"/>
        <v>62293</v>
      </c>
      <c r="HC33" s="60">
        <f t="shared" si="18"/>
        <v>45384</v>
      </c>
      <c r="HP33" s="18"/>
    </row>
    <row r="34" spans="2:228">
      <c r="B34" s="58">
        <v>43661</v>
      </c>
      <c r="C34" s="20">
        <v>79157</v>
      </c>
      <c r="D34" s="20">
        <v>2.234</v>
      </c>
      <c r="E34" s="34">
        <f t="shared" si="19"/>
        <v>46400</v>
      </c>
      <c r="F34" s="34"/>
      <c r="G34" s="20">
        <v>74468</v>
      </c>
      <c r="H34" s="20">
        <v>2.3180000000000001</v>
      </c>
      <c r="I34" s="34">
        <f t="shared" si="20"/>
        <v>46400</v>
      </c>
      <c r="J34" s="34"/>
      <c r="K34" s="20">
        <v>8947</v>
      </c>
      <c r="L34" s="20">
        <v>0.29899999999999999</v>
      </c>
      <c r="M34" s="34">
        <f t="shared" si="21"/>
        <v>14400</v>
      </c>
      <c r="N34" s="34"/>
      <c r="O34" s="20">
        <v>8908</v>
      </c>
      <c r="P34" s="20">
        <v>0.26900000000000002</v>
      </c>
      <c r="Q34" s="34">
        <f t="shared" si="22"/>
        <v>12400</v>
      </c>
      <c r="R34" s="34"/>
      <c r="S34" s="20">
        <v>9555</v>
      </c>
      <c r="T34" s="20">
        <v>0.27</v>
      </c>
      <c r="U34" s="34">
        <f t="shared" si="23"/>
        <v>12800</v>
      </c>
      <c r="V34" s="34"/>
      <c r="W34" s="20">
        <v>62059</v>
      </c>
      <c r="X34" s="20">
        <v>2.778</v>
      </c>
      <c r="Y34" s="34">
        <f t="shared" si="24"/>
        <v>88500</v>
      </c>
      <c r="Z34" s="34"/>
      <c r="AA34" s="20">
        <v>59101</v>
      </c>
      <c r="AB34" s="20">
        <v>2.3620000000000001</v>
      </c>
      <c r="AC34" s="34">
        <f t="shared" si="25"/>
        <v>90300</v>
      </c>
      <c r="AD34" s="34"/>
      <c r="AE34" s="20">
        <v>15119</v>
      </c>
      <c r="AF34" s="20">
        <v>0.52200000000000002</v>
      </c>
      <c r="AG34" s="34">
        <f t="shared" si="26"/>
        <v>6720</v>
      </c>
      <c r="AH34" s="34"/>
      <c r="AI34" s="20">
        <v>10333</v>
      </c>
      <c r="AJ34" s="20">
        <v>0.32400000000000001</v>
      </c>
      <c r="AK34" s="34">
        <f t="shared" si="27"/>
        <v>4160</v>
      </c>
      <c r="AL34" s="34"/>
      <c r="AM34" s="20">
        <v>75921</v>
      </c>
      <c r="AN34" s="20">
        <v>2.153</v>
      </c>
      <c r="AO34" s="34">
        <f t="shared" si="28"/>
        <v>53000</v>
      </c>
      <c r="AP34" s="34"/>
      <c r="AQ34" s="20">
        <v>14557</v>
      </c>
      <c r="AR34" s="20">
        <v>0.36199999999999999</v>
      </c>
      <c r="AS34" s="34">
        <f t="shared" si="29"/>
        <v>1680</v>
      </c>
      <c r="AT34" s="34"/>
      <c r="AU34" s="205">
        <v>38926</v>
      </c>
      <c r="AV34" s="205"/>
      <c r="AW34" s="34">
        <f t="shared" si="30"/>
        <v>473</v>
      </c>
      <c r="AX34" s="34"/>
      <c r="AZ34" s="34">
        <f t="shared" si="0"/>
        <v>377233</v>
      </c>
      <c r="BA34" s="20">
        <f t="shared" si="51"/>
        <v>54680</v>
      </c>
      <c r="BB34" s="20">
        <f t="shared" si="52"/>
        <v>0.14495020319007085</v>
      </c>
      <c r="BC34" s="20"/>
      <c r="BD34" s="14"/>
      <c r="BE34" s="64">
        <f t="shared" si="40"/>
        <v>43661</v>
      </c>
      <c r="BF34" s="20">
        <v>52419</v>
      </c>
      <c r="BG34" s="34">
        <f t="shared" si="53"/>
        <v>24700</v>
      </c>
      <c r="BI34" s="20">
        <v>6660</v>
      </c>
      <c r="BJ34" s="34">
        <f t="shared" si="54"/>
        <v>3100</v>
      </c>
      <c r="BL34" s="20">
        <v>63469</v>
      </c>
      <c r="BM34" s="34">
        <f t="shared" si="33"/>
        <v>1176</v>
      </c>
      <c r="BN34" s="20"/>
      <c r="BO34" s="20">
        <v>45443</v>
      </c>
      <c r="BP34" s="34">
        <f t="shared" si="34"/>
        <v>2360</v>
      </c>
      <c r="BR34" s="14"/>
      <c r="BS34" s="20">
        <f t="shared" si="3"/>
        <v>31336</v>
      </c>
      <c r="BT34" s="20"/>
      <c r="BU34" s="20"/>
      <c r="BW34" s="14"/>
      <c r="BY34" s="19">
        <f t="shared" si="4"/>
        <v>38926</v>
      </c>
      <c r="CC34" s="60">
        <f t="shared" si="71"/>
        <v>74468</v>
      </c>
      <c r="CL34" s="60">
        <f t="shared" si="6"/>
        <v>79157</v>
      </c>
      <c r="CU34" s="60">
        <f t="shared" si="35"/>
        <v>62059</v>
      </c>
      <c r="DD34" s="60">
        <f t="shared" si="7"/>
        <v>14557</v>
      </c>
      <c r="DM34" s="60">
        <f t="shared" si="8"/>
        <v>59101</v>
      </c>
      <c r="DV34" s="60">
        <f t="shared" si="9"/>
        <v>8908</v>
      </c>
      <c r="EE34" s="60">
        <f t="shared" si="10"/>
        <v>62059</v>
      </c>
      <c r="EN34" s="60">
        <f t="shared" si="11"/>
        <v>9555</v>
      </c>
      <c r="EW34" s="60">
        <f t="shared" si="12"/>
        <v>15119</v>
      </c>
      <c r="FF34" s="60">
        <f t="shared" si="13"/>
        <v>10333</v>
      </c>
      <c r="FO34" s="19">
        <f t="shared" si="14"/>
        <v>75921</v>
      </c>
      <c r="FX34" s="50"/>
      <c r="GC34" s="14"/>
      <c r="GE34" s="60">
        <f t="shared" si="72"/>
        <v>6660</v>
      </c>
      <c r="GN34" s="60">
        <f t="shared" si="16"/>
        <v>52419</v>
      </c>
      <c r="GW34" s="60">
        <f t="shared" si="17"/>
        <v>63469</v>
      </c>
      <c r="HC34" s="60">
        <f t="shared" si="18"/>
        <v>45443</v>
      </c>
      <c r="HP34" s="18"/>
    </row>
    <row r="35" spans="2:228">
      <c r="B35" s="58">
        <v>43667</v>
      </c>
      <c r="C35" s="20">
        <v>79448</v>
      </c>
      <c r="D35" s="20">
        <v>1.5620000000000001</v>
      </c>
      <c r="E35" s="34">
        <f t="shared" si="19"/>
        <v>46560</v>
      </c>
      <c r="F35" s="34"/>
      <c r="G35" s="20">
        <v>74764</v>
      </c>
      <c r="H35" s="20">
        <v>1.675</v>
      </c>
      <c r="I35" s="34">
        <f t="shared" si="20"/>
        <v>47360</v>
      </c>
      <c r="J35" s="34"/>
      <c r="K35" s="20">
        <v>8983</v>
      </c>
      <c r="L35" s="20">
        <v>0.17599999999999999</v>
      </c>
      <c r="M35" s="34">
        <f t="shared" si="21"/>
        <v>14400</v>
      </c>
      <c r="N35" s="34"/>
      <c r="O35" s="20">
        <v>8940</v>
      </c>
      <c r="P35" s="20">
        <v>0.16300000000000001</v>
      </c>
      <c r="Q35" s="34">
        <f t="shared" si="22"/>
        <v>12800</v>
      </c>
      <c r="R35" s="34"/>
      <c r="S35" s="20">
        <v>9590</v>
      </c>
      <c r="T35" s="20">
        <v>0.184</v>
      </c>
      <c r="U35" s="34">
        <f t="shared" si="23"/>
        <v>14000</v>
      </c>
      <c r="V35" s="34"/>
      <c r="W35" s="20">
        <v>62349</v>
      </c>
      <c r="X35" s="20">
        <v>1.016</v>
      </c>
      <c r="Y35" s="34">
        <f t="shared" si="24"/>
        <v>87000</v>
      </c>
      <c r="Z35" s="34"/>
      <c r="AA35" s="20">
        <v>59383</v>
      </c>
      <c r="AB35" s="20">
        <v>1.4750000000000001</v>
      </c>
      <c r="AC35" s="34">
        <f t="shared" si="25"/>
        <v>84600</v>
      </c>
      <c r="AD35" s="34"/>
      <c r="AE35" s="20">
        <v>15161</v>
      </c>
      <c r="AF35" s="20">
        <v>0.20699999999999999</v>
      </c>
      <c r="AG35" s="34">
        <f t="shared" si="26"/>
        <v>6720</v>
      </c>
      <c r="AH35" s="34"/>
      <c r="AI35" s="20">
        <v>10356</v>
      </c>
      <c r="AJ35" s="20">
        <v>0.107</v>
      </c>
      <c r="AK35" s="34">
        <f t="shared" si="27"/>
        <v>3680</v>
      </c>
      <c r="AL35" s="34"/>
      <c r="AM35" s="20">
        <v>76191</v>
      </c>
      <c r="AN35" s="20">
        <v>0</v>
      </c>
      <c r="AO35" s="34">
        <f t="shared" si="28"/>
        <v>54000</v>
      </c>
      <c r="AP35" s="34"/>
      <c r="AQ35" s="20">
        <v>14599</v>
      </c>
      <c r="AR35" s="20">
        <v>0</v>
      </c>
      <c r="AS35" s="34">
        <f t="shared" si="29"/>
        <v>1680</v>
      </c>
      <c r="AT35" s="34"/>
      <c r="AU35" s="205">
        <v>39395</v>
      </c>
      <c r="AV35" s="205"/>
      <c r="AW35" s="34">
        <f t="shared" si="30"/>
        <v>469</v>
      </c>
      <c r="AX35" s="34"/>
      <c r="AZ35" s="34">
        <f t="shared" si="0"/>
        <v>373269</v>
      </c>
      <c r="BA35" s="20">
        <f t="shared" si="51"/>
        <v>55680</v>
      </c>
      <c r="BB35" s="20">
        <f t="shared" si="52"/>
        <v>0.14916856208257315</v>
      </c>
      <c r="BC35" s="20"/>
      <c r="BD35" s="14"/>
      <c r="BE35" s="64">
        <f t="shared" si="40"/>
        <v>43667</v>
      </c>
      <c r="BF35" s="20">
        <v>52542</v>
      </c>
      <c r="BG35" s="34">
        <f t="shared" si="53"/>
        <v>12300</v>
      </c>
      <c r="BI35" s="20">
        <v>6673</v>
      </c>
      <c r="BJ35" s="34">
        <f t="shared" si="54"/>
        <v>1300</v>
      </c>
      <c r="BL35" s="20">
        <v>64087</v>
      </c>
      <c r="BM35" s="34">
        <f t="shared" si="33"/>
        <v>618</v>
      </c>
      <c r="BN35" s="20"/>
      <c r="BO35" s="20">
        <v>45469</v>
      </c>
      <c r="BP35" s="34">
        <f t="shared" si="34"/>
        <v>1040</v>
      </c>
      <c r="BR35" s="14"/>
      <c r="BS35" s="20">
        <f t="shared" si="3"/>
        <v>15258</v>
      </c>
      <c r="BT35" s="20"/>
      <c r="BU35" s="20"/>
      <c r="BW35" s="14"/>
      <c r="BY35" s="19">
        <f t="shared" si="4"/>
        <v>39395</v>
      </c>
      <c r="CC35" s="60">
        <f t="shared" si="71"/>
        <v>74764</v>
      </c>
      <c r="CL35" s="60">
        <f t="shared" si="6"/>
        <v>79448</v>
      </c>
      <c r="CU35" s="60">
        <f t="shared" si="35"/>
        <v>62349</v>
      </c>
      <c r="DD35" s="60">
        <f t="shared" si="7"/>
        <v>14599</v>
      </c>
      <c r="DM35" s="60">
        <f t="shared" si="8"/>
        <v>59383</v>
      </c>
      <c r="DV35" s="60">
        <f t="shared" si="9"/>
        <v>8940</v>
      </c>
      <c r="EE35" s="60">
        <f t="shared" si="10"/>
        <v>62349</v>
      </c>
      <c r="EN35" s="60">
        <f t="shared" si="11"/>
        <v>9590</v>
      </c>
      <c r="EW35" s="60">
        <f t="shared" si="12"/>
        <v>15161</v>
      </c>
      <c r="FF35" s="60">
        <f t="shared" si="13"/>
        <v>10356</v>
      </c>
      <c r="FO35" s="19">
        <f t="shared" si="14"/>
        <v>76191</v>
      </c>
      <c r="FX35" s="50"/>
      <c r="GC35" s="14"/>
      <c r="GE35" s="60">
        <f t="shared" si="72"/>
        <v>6673</v>
      </c>
      <c r="GN35" s="60">
        <f t="shared" si="16"/>
        <v>52542</v>
      </c>
      <c r="GW35" s="60">
        <f t="shared" si="17"/>
        <v>64087</v>
      </c>
      <c r="HC35" s="60">
        <f t="shared" si="18"/>
        <v>45469</v>
      </c>
      <c r="HP35" s="18"/>
    </row>
    <row r="36" spans="2:228">
      <c r="B36" s="58">
        <v>43674</v>
      </c>
      <c r="C36" s="20">
        <v>79742</v>
      </c>
      <c r="D36" s="20">
        <v>2.1560000000000001</v>
      </c>
      <c r="E36" s="34">
        <f t="shared" si="19"/>
        <v>47040</v>
      </c>
      <c r="F36" s="34"/>
      <c r="G36" s="20">
        <v>75063</v>
      </c>
      <c r="H36" s="20">
        <v>2.2410000000000001</v>
      </c>
      <c r="I36" s="34">
        <f t="shared" si="20"/>
        <v>47840</v>
      </c>
      <c r="J36" s="34"/>
      <c r="K36" s="20">
        <v>9015</v>
      </c>
      <c r="L36" s="20">
        <v>0.27400000000000002</v>
      </c>
      <c r="M36" s="34">
        <f t="shared" si="21"/>
        <v>12800</v>
      </c>
      <c r="N36" s="34"/>
      <c r="O36" s="20">
        <v>8970</v>
      </c>
      <c r="P36" s="20">
        <v>0.24299999999999999</v>
      </c>
      <c r="Q36" s="34">
        <f t="shared" si="22"/>
        <v>12000</v>
      </c>
      <c r="R36" s="34"/>
      <c r="S36" s="20">
        <v>9623</v>
      </c>
      <c r="T36" s="20">
        <v>0.25</v>
      </c>
      <c r="U36" s="34">
        <f t="shared" si="23"/>
        <v>13200</v>
      </c>
      <c r="V36" s="34"/>
      <c r="W36" s="20">
        <v>62624</v>
      </c>
      <c r="X36" s="20">
        <v>2.476</v>
      </c>
      <c r="Y36" s="34">
        <f t="shared" si="24"/>
        <v>82500</v>
      </c>
      <c r="Z36" s="34"/>
      <c r="AA36" s="20">
        <v>59648</v>
      </c>
      <c r="AB36" s="20">
        <v>2.1760000000000002</v>
      </c>
      <c r="AC36" s="34">
        <f t="shared" si="25"/>
        <v>79500</v>
      </c>
      <c r="AD36" s="34"/>
      <c r="AE36" s="20">
        <v>15201</v>
      </c>
      <c r="AF36" s="20">
        <v>0.36199999999999999</v>
      </c>
      <c r="AG36" s="34">
        <f t="shared" si="26"/>
        <v>6400</v>
      </c>
      <c r="AH36" s="34"/>
      <c r="AI36" s="20">
        <v>10379</v>
      </c>
      <c r="AJ36" s="20">
        <v>0.26</v>
      </c>
      <c r="AK36" s="34">
        <f t="shared" si="27"/>
        <v>3680</v>
      </c>
      <c r="AL36" s="34"/>
      <c r="AM36" s="20">
        <v>76476</v>
      </c>
      <c r="AN36" s="20">
        <v>2.1960000000000002</v>
      </c>
      <c r="AO36" s="34">
        <f t="shared" si="28"/>
        <v>57000</v>
      </c>
      <c r="AP36" s="34"/>
      <c r="AQ36" s="20">
        <v>14640</v>
      </c>
      <c r="AR36" s="20">
        <v>0.33300000000000002</v>
      </c>
      <c r="AS36" s="34">
        <f t="shared" si="29"/>
        <v>1640</v>
      </c>
      <c r="AT36" s="34"/>
      <c r="AU36" s="205">
        <v>39824</v>
      </c>
      <c r="AV36" s="205"/>
      <c r="AW36" s="34">
        <f t="shared" si="30"/>
        <v>429</v>
      </c>
      <c r="AX36" s="34"/>
      <c r="AZ36" s="34">
        <f t="shared" si="0"/>
        <v>364029</v>
      </c>
      <c r="BA36" s="20">
        <f t="shared" si="51"/>
        <v>58640</v>
      </c>
      <c r="BB36" s="20">
        <f t="shared" si="52"/>
        <v>0.1610860673188125</v>
      </c>
      <c r="BC36" s="20"/>
      <c r="BD36" s="14"/>
      <c r="BE36" s="64">
        <f t="shared" si="40"/>
        <v>43674</v>
      </c>
      <c r="BF36" s="20">
        <v>52753</v>
      </c>
      <c r="BG36" s="34">
        <f t="shared" si="53"/>
        <v>21100</v>
      </c>
      <c r="BI36" s="20">
        <v>6698</v>
      </c>
      <c r="BJ36" s="34">
        <f t="shared" si="54"/>
        <v>2500</v>
      </c>
      <c r="BL36" s="20">
        <v>65129</v>
      </c>
      <c r="BM36" s="34">
        <f t="shared" si="33"/>
        <v>1042</v>
      </c>
      <c r="BN36" s="20"/>
      <c r="BO36" s="20">
        <v>45516</v>
      </c>
      <c r="BP36" s="34">
        <f t="shared" si="34"/>
        <v>1880</v>
      </c>
      <c r="BR36" s="14"/>
      <c r="BS36" s="20">
        <f t="shared" si="3"/>
        <v>26522</v>
      </c>
      <c r="BT36" s="20"/>
      <c r="BU36" s="20"/>
      <c r="BW36" s="14"/>
      <c r="BY36" s="19">
        <f t="shared" si="4"/>
        <v>39824</v>
      </c>
      <c r="CC36" s="60">
        <f t="shared" si="71"/>
        <v>75063</v>
      </c>
      <c r="CL36" s="60">
        <f t="shared" si="6"/>
        <v>79742</v>
      </c>
      <c r="CU36" s="60">
        <f t="shared" si="35"/>
        <v>62624</v>
      </c>
      <c r="DD36" s="60">
        <f t="shared" si="7"/>
        <v>14640</v>
      </c>
      <c r="DM36" s="60">
        <f t="shared" si="8"/>
        <v>59648</v>
      </c>
      <c r="DV36" s="60">
        <f t="shared" si="9"/>
        <v>8970</v>
      </c>
      <c r="EE36" s="60">
        <f t="shared" si="10"/>
        <v>62624</v>
      </c>
      <c r="EN36" s="60">
        <f t="shared" si="11"/>
        <v>9623</v>
      </c>
      <c r="EW36" s="60">
        <f t="shared" si="12"/>
        <v>15201</v>
      </c>
      <c r="FF36" s="60">
        <f t="shared" si="13"/>
        <v>10379</v>
      </c>
      <c r="FO36" s="19">
        <f t="shared" si="14"/>
        <v>76476</v>
      </c>
      <c r="FX36" s="50"/>
      <c r="GC36" s="14"/>
      <c r="GE36" s="60">
        <f t="shared" si="72"/>
        <v>6698</v>
      </c>
      <c r="GN36" s="60">
        <f t="shared" si="16"/>
        <v>52753</v>
      </c>
      <c r="GW36" s="60">
        <f t="shared" si="17"/>
        <v>65129</v>
      </c>
      <c r="HC36" s="60">
        <f t="shared" si="18"/>
        <v>45516</v>
      </c>
      <c r="HP36" s="18"/>
    </row>
    <row r="37" spans="2:228">
      <c r="B37" s="58">
        <v>43677</v>
      </c>
      <c r="C37" s="20">
        <v>79869</v>
      </c>
      <c r="D37" s="20">
        <v>2.1560000000000001</v>
      </c>
      <c r="E37" s="34">
        <f t="shared" si="19"/>
        <v>20320</v>
      </c>
      <c r="F37" s="34"/>
      <c r="G37" s="20">
        <v>75193</v>
      </c>
      <c r="H37" s="20">
        <v>2.2599999999999998</v>
      </c>
      <c r="I37" s="34">
        <f t="shared" si="20"/>
        <v>20800</v>
      </c>
      <c r="J37" s="34"/>
      <c r="K37" s="20">
        <v>9030</v>
      </c>
      <c r="L37" s="20">
        <v>0.27400000000000002</v>
      </c>
      <c r="M37" s="34">
        <f t="shared" si="21"/>
        <v>6000</v>
      </c>
      <c r="N37" s="34"/>
      <c r="O37" s="20">
        <v>8984</v>
      </c>
      <c r="P37" s="20">
        <v>0.24299999999999999</v>
      </c>
      <c r="Q37" s="34">
        <f t="shared" si="22"/>
        <v>5600</v>
      </c>
      <c r="R37" s="34"/>
      <c r="S37" s="20">
        <v>9638</v>
      </c>
      <c r="T37" s="20">
        <v>0.25</v>
      </c>
      <c r="U37" s="34">
        <f t="shared" si="23"/>
        <v>6000</v>
      </c>
      <c r="V37" s="34"/>
      <c r="W37" s="20">
        <v>62753</v>
      </c>
      <c r="X37" s="20">
        <v>2.476</v>
      </c>
      <c r="Y37" s="34">
        <f t="shared" si="24"/>
        <v>38700</v>
      </c>
      <c r="Z37" s="34"/>
      <c r="AA37" s="20">
        <v>59777</v>
      </c>
      <c r="AB37" s="20">
        <v>2.1760000000000002</v>
      </c>
      <c r="AC37" s="34">
        <f t="shared" si="25"/>
        <v>38700</v>
      </c>
      <c r="AD37" s="34"/>
      <c r="AE37" s="20">
        <v>15218</v>
      </c>
      <c r="AF37" s="20">
        <v>0.36199999999999999</v>
      </c>
      <c r="AG37" s="34">
        <f t="shared" si="26"/>
        <v>2720</v>
      </c>
      <c r="AH37" s="34"/>
      <c r="AI37" s="20">
        <v>10390</v>
      </c>
      <c r="AJ37" s="20">
        <v>0.26</v>
      </c>
      <c r="AK37" s="34">
        <f t="shared" si="27"/>
        <v>1760</v>
      </c>
      <c r="AL37" s="34"/>
      <c r="AM37" s="20">
        <v>76598</v>
      </c>
      <c r="AN37" s="20">
        <v>2.1960000000000002</v>
      </c>
      <c r="AO37" s="34">
        <f t="shared" si="28"/>
        <v>24400</v>
      </c>
      <c r="AP37" s="34"/>
      <c r="AQ37" s="20">
        <v>14658</v>
      </c>
      <c r="AR37" s="20">
        <v>0.33300000000000002</v>
      </c>
      <c r="AS37" s="34">
        <f t="shared" si="29"/>
        <v>720</v>
      </c>
      <c r="AT37" s="34"/>
      <c r="AU37" s="205">
        <v>39997</v>
      </c>
      <c r="AV37" s="205"/>
      <c r="AW37" s="34">
        <f t="shared" si="30"/>
        <v>173</v>
      </c>
      <c r="AX37" s="34"/>
      <c r="AZ37" s="34">
        <f t="shared" si="0"/>
        <v>165893</v>
      </c>
      <c r="BA37" s="20">
        <f t="shared" si="51"/>
        <v>25120</v>
      </c>
      <c r="BB37" s="20">
        <f t="shared" si="52"/>
        <v>0.151422905125593</v>
      </c>
      <c r="BC37" s="20">
        <f>SUM(AZ33:AZ37)</f>
        <v>1665302</v>
      </c>
      <c r="BD37" s="14"/>
      <c r="BE37" s="64">
        <f t="shared" si="40"/>
        <v>43677</v>
      </c>
      <c r="BF37" s="20">
        <v>52772</v>
      </c>
      <c r="BG37" s="34">
        <f t="shared" si="53"/>
        <v>1900</v>
      </c>
      <c r="BI37" s="20">
        <v>6701</v>
      </c>
      <c r="BJ37" s="34">
        <f t="shared" si="54"/>
        <v>300</v>
      </c>
      <c r="BL37" s="20">
        <v>65234</v>
      </c>
      <c r="BM37" s="34">
        <f t="shared" si="33"/>
        <v>105</v>
      </c>
      <c r="BN37" s="20"/>
      <c r="BO37" s="20">
        <v>45521</v>
      </c>
      <c r="BP37" s="34">
        <f t="shared" si="34"/>
        <v>200</v>
      </c>
      <c r="BR37" s="14"/>
      <c r="BS37" s="20">
        <f t="shared" si="3"/>
        <v>2505</v>
      </c>
      <c r="BT37" s="20">
        <f>SUM(BS33:BS37)</f>
        <v>101595</v>
      </c>
      <c r="BU37" s="20">
        <f>SUM(BC37+BT37)</f>
        <v>1766897</v>
      </c>
      <c r="BW37" s="14"/>
      <c r="BY37" s="19">
        <f t="shared" si="4"/>
        <v>39997</v>
      </c>
      <c r="BZ37" s="20">
        <v>39435</v>
      </c>
      <c r="CA37" s="19">
        <f>SUM(BZ37-BZ32)</f>
        <v>1924</v>
      </c>
      <c r="CB37" s="59">
        <f>SUM(CA37*0.12043+CA37*0.03046)*1.08+1.91</f>
        <v>315.44734880000004</v>
      </c>
      <c r="CC37" s="60">
        <f t="shared" ref="CC37" si="73">SUM(G37)</f>
        <v>75193</v>
      </c>
      <c r="CD37" s="20">
        <v>74928</v>
      </c>
      <c r="CE37" s="20">
        <v>2.3180000000000001</v>
      </c>
      <c r="CF37" s="19">
        <f>SUM(CD37-CD32)*160</f>
        <v>187360</v>
      </c>
      <c r="CG37" s="19">
        <f>(CE37)*160</f>
        <v>370.88</v>
      </c>
      <c r="CH37" s="59">
        <f>SUM(CF37*0.04326)</f>
        <v>8105.1935999999996</v>
      </c>
      <c r="CI37" s="59">
        <f>SUM(CF37*0.02111)</f>
        <v>3955.1696000000002</v>
      </c>
      <c r="CJ37" s="59">
        <f>SUM(CG37*7.447)</f>
        <v>2761.9433600000002</v>
      </c>
      <c r="CK37" s="59">
        <f>SUM(CH37+CI37)</f>
        <v>12060.3632</v>
      </c>
      <c r="CL37" s="60">
        <f t="shared" si="6"/>
        <v>79869</v>
      </c>
      <c r="CM37" s="20">
        <v>79611</v>
      </c>
      <c r="CN37" s="20">
        <v>2.234</v>
      </c>
      <c r="CO37" s="19">
        <f>SUM(CM37-CM32)*160</f>
        <v>185760</v>
      </c>
      <c r="CP37" s="19">
        <f>(CN37)*160</f>
        <v>357.44</v>
      </c>
      <c r="CQ37" s="59">
        <f>SUM(CO37*0.04326)</f>
        <v>8035.9776000000002</v>
      </c>
      <c r="CR37" s="59">
        <f>SUM(CO37*0.02111)</f>
        <v>3921.3935999999999</v>
      </c>
      <c r="CS37" s="59">
        <f>SUM(CP37*7.447)</f>
        <v>2661.8556800000001</v>
      </c>
      <c r="CT37" s="59">
        <f>SUM(CQ37+CR37)+45</f>
        <v>12002.3712</v>
      </c>
      <c r="CU37" s="60">
        <f t="shared" si="35"/>
        <v>62753</v>
      </c>
      <c r="CV37" s="20">
        <v>62466</v>
      </c>
      <c r="CW37" s="20">
        <v>2.778</v>
      </c>
      <c r="CX37" s="19">
        <f>SUM(CV37-CV32)*300</f>
        <v>348000</v>
      </c>
      <c r="CY37" s="19">
        <f>(CW37)*300</f>
        <v>833.4</v>
      </c>
      <c r="CZ37" s="59">
        <f>SUM(CX37*0.04326)</f>
        <v>15054.48</v>
      </c>
      <c r="DA37" s="59">
        <f>SUM(CX37*0.02111)</f>
        <v>7346.28</v>
      </c>
      <c r="DB37" s="59">
        <f>SUM(CY37*7.447)</f>
        <v>6206.3297999999995</v>
      </c>
      <c r="DC37" s="59">
        <f>SUM(CZ37+DA37)+45</f>
        <v>22445.759999999998</v>
      </c>
      <c r="DD37" s="60">
        <f t="shared" si="7"/>
        <v>14658</v>
      </c>
      <c r="DE37" s="20">
        <v>14618</v>
      </c>
      <c r="DF37" s="20">
        <v>0.36199999999999999</v>
      </c>
      <c r="DG37" s="19">
        <f>(DE37-DE32)*40</f>
        <v>6800</v>
      </c>
      <c r="DH37" s="19">
        <f>(DF37)*40</f>
        <v>14.48</v>
      </c>
      <c r="DI37" s="59">
        <f>SUM(DG37*0.04326)</f>
        <v>294.16800000000001</v>
      </c>
      <c r="DJ37" s="59">
        <f>SUM(DG37*0.02111)</f>
        <v>143.548</v>
      </c>
      <c r="DK37" s="59">
        <f>SUM(DH37*7.447)</f>
        <v>107.83256</v>
      </c>
      <c r="DL37" s="59">
        <f>SUM(DI37+DJ37)+24</f>
        <v>461.71600000000001</v>
      </c>
      <c r="DM37" s="60">
        <f t="shared" si="8"/>
        <v>59777</v>
      </c>
      <c r="DN37" s="20">
        <v>59497</v>
      </c>
      <c r="DO37" s="20">
        <v>2.3620000000000001</v>
      </c>
      <c r="DP37" s="19">
        <f>SUM(DN37-DN32)*300</f>
        <v>342300</v>
      </c>
      <c r="DQ37" s="61">
        <f>(DO37)*300</f>
        <v>708.6</v>
      </c>
      <c r="DR37" s="59">
        <f>SUM(DP37*0.04326)</f>
        <v>14807.897999999999</v>
      </c>
      <c r="DS37" s="59">
        <f>SUM(DP37*0.02111)</f>
        <v>7225.9530000000004</v>
      </c>
      <c r="DT37" s="59">
        <f>SUM(DQ37*7.447)</f>
        <v>5276.9441999999999</v>
      </c>
      <c r="DU37" s="59">
        <f>SUM(DR37+DS37)+45</f>
        <v>22078.850999999999</v>
      </c>
      <c r="DV37" s="60">
        <f t="shared" si="9"/>
        <v>8984</v>
      </c>
      <c r="DW37" s="20">
        <v>8956</v>
      </c>
      <c r="DX37" s="20">
        <v>0.26900000000000002</v>
      </c>
      <c r="DY37" s="19">
        <f>SUM(DW37-DW32)*400</f>
        <v>50400</v>
      </c>
      <c r="DZ37" s="61">
        <f>(DX37)*400</f>
        <v>107.60000000000001</v>
      </c>
      <c r="EA37" s="59">
        <f>SUM(DY37*0.04326)</f>
        <v>2180.3040000000001</v>
      </c>
      <c r="EB37" s="59">
        <f>SUM(DY37*0.02111)</f>
        <v>1063.944</v>
      </c>
      <c r="EC37" s="59">
        <f>SUM(DZ37*7.447)</f>
        <v>801.29720000000009</v>
      </c>
      <c r="ED37" s="59">
        <f>SUM(EA37+EB37)+40</f>
        <v>3284.248</v>
      </c>
      <c r="EE37" s="60">
        <f t="shared" si="10"/>
        <v>62753</v>
      </c>
      <c r="EF37" s="20">
        <v>9000</v>
      </c>
      <c r="EG37" s="20">
        <v>0.29899999999999999</v>
      </c>
      <c r="EH37" s="19">
        <f>SUM(EF37-EF32)*400</f>
        <v>55600</v>
      </c>
      <c r="EI37" s="19">
        <f>(EG37)*400</f>
        <v>119.6</v>
      </c>
      <c r="EJ37" s="59">
        <f>SUM(EH37*0.04326)</f>
        <v>2405.2559999999999</v>
      </c>
      <c r="EK37" s="59">
        <f>SUM(EH37*0.02111)</f>
        <v>1173.7160000000001</v>
      </c>
      <c r="EL37" s="59">
        <f>SUM(EI37*7.447)</f>
        <v>890.66120000000001</v>
      </c>
      <c r="EM37" s="59">
        <f>SUM(EJ37+EK37)+20</f>
        <v>3598.9719999999998</v>
      </c>
      <c r="EN37" s="60">
        <f t="shared" si="11"/>
        <v>9638</v>
      </c>
      <c r="EO37" s="20">
        <v>9608</v>
      </c>
      <c r="EP37" s="20">
        <v>0.28799999999999998</v>
      </c>
      <c r="EQ37" s="19">
        <f>SUM(EO37-EO32)*400</f>
        <v>53200</v>
      </c>
      <c r="ER37" s="19">
        <f>(EP37)*400</f>
        <v>115.19999999999999</v>
      </c>
      <c r="ES37" s="59">
        <f>SUM(EQ37*0.04326)</f>
        <v>2301.4319999999998</v>
      </c>
      <c r="ET37" s="59">
        <f>SUM(EQ37*0.02111)</f>
        <v>1123.0519999999999</v>
      </c>
      <c r="EU37" s="59">
        <f>SUM(ER37*7.447)</f>
        <v>857.89439999999991</v>
      </c>
      <c r="EV37" s="59">
        <f>SUM(ES37+ET37)+20</f>
        <v>3444.4839999999995</v>
      </c>
      <c r="EW37" s="60">
        <f t="shared" si="12"/>
        <v>15218</v>
      </c>
      <c r="EX37" s="20">
        <v>15179</v>
      </c>
      <c r="EY37" s="20">
        <v>0.52200000000000002</v>
      </c>
      <c r="EZ37" s="19">
        <f>SUM(EX37-EX32)*160</f>
        <v>25920</v>
      </c>
      <c r="FA37" s="19">
        <f>(EY37)*160</f>
        <v>83.52000000000001</v>
      </c>
      <c r="FB37" s="59">
        <f>SUM(EZ37*0.04326)</f>
        <v>1121.2991999999999</v>
      </c>
      <c r="FC37" s="59">
        <f>SUM(EZ37*0.02111)</f>
        <v>547.1712</v>
      </c>
      <c r="FD37" s="59">
        <f>SUM(FA37*7.447)</f>
        <v>621.9734400000001</v>
      </c>
      <c r="FE37" s="59">
        <f>SUM(FB37+FC37)+20</f>
        <v>1688.4703999999999</v>
      </c>
      <c r="FF37" s="60">
        <f t="shared" si="13"/>
        <v>10390</v>
      </c>
      <c r="FG37" s="20">
        <v>10369</v>
      </c>
      <c r="FH37" s="20">
        <v>0.32400000000000001</v>
      </c>
      <c r="FI37" s="19">
        <f>SUM(FG37-FG32)*160</f>
        <v>15200</v>
      </c>
      <c r="FJ37" s="19">
        <f>(FH37)*160</f>
        <v>51.84</v>
      </c>
      <c r="FK37" s="59">
        <f>SUM(FI37*0.04326)</f>
        <v>657.55200000000002</v>
      </c>
      <c r="FL37" s="59">
        <f>SUM(FI37*0.02111)</f>
        <v>320.87200000000001</v>
      </c>
      <c r="FM37" s="59">
        <f>SUM(FJ37*7.447)</f>
        <v>386.05248</v>
      </c>
      <c r="FN37" s="59">
        <f>SUM(FK37+FL37)+20</f>
        <v>998.42399999999998</v>
      </c>
      <c r="FO37" s="19">
        <f t="shared" si="14"/>
        <v>76598</v>
      </c>
      <c r="FP37" s="20">
        <v>76318</v>
      </c>
      <c r="FQ37" s="20">
        <v>2.153</v>
      </c>
      <c r="FR37" s="19">
        <f>SUM(FP37-FP32)*200</f>
        <v>220200</v>
      </c>
      <c r="FS37" s="19">
        <f>(FQ37)*200</f>
        <v>430.6</v>
      </c>
      <c r="FT37" s="59">
        <f>SUM(FR37*0.04326)</f>
        <v>9525.8520000000008</v>
      </c>
      <c r="FU37" s="59">
        <f>SUM(FR37*0.02111)</f>
        <v>4648.4220000000005</v>
      </c>
      <c r="FV37" s="59">
        <f>SUM(FS37*7.447)</f>
        <v>3206.6782000000003</v>
      </c>
      <c r="FW37" s="59">
        <f>SUM((FT37+FU37)+20)*1.09</f>
        <v>15471.758660000003</v>
      </c>
      <c r="FX37" s="50"/>
      <c r="FY37" s="74">
        <f>SUM(CA37+CF37+CO37+CX37+DG37+DP37+DY37+EH37+EQ37+EZ37+FI37+FR37)</f>
        <v>1492664</v>
      </c>
      <c r="FZ37" s="75">
        <f>SUM(CB37+CK37,CT37,DC37,DL37,DU37,ED37,EM37,EV37,FE37,FN37+FW37)</f>
        <v>97850.865808800008</v>
      </c>
      <c r="GA37" s="75">
        <f>SUM(CJ37,CS37,DB37,DK37,DT37,EC37,EL37,EU37,FD37,FM37,FV37)</f>
        <v>23779.462520000001</v>
      </c>
      <c r="GB37" s="75">
        <f>SUM(FZ37:GA37)</f>
        <v>121630.32832880001</v>
      </c>
      <c r="GC37" s="14"/>
      <c r="GE37" s="60">
        <f t="shared" ref="GE37" si="74">SUM(BI37)</f>
        <v>6701</v>
      </c>
      <c r="GF37" s="20">
        <v>6679</v>
      </c>
      <c r="GG37" s="20">
        <v>0.27700000000000002</v>
      </c>
      <c r="GH37" s="19">
        <f>SUM(GF37-GF32)*100</f>
        <v>8400</v>
      </c>
      <c r="GI37" s="19">
        <f>SUM(GG37)*100</f>
        <v>27.700000000000003</v>
      </c>
      <c r="GJ37" s="62">
        <f>SUM(GH37*0.04326)</f>
        <v>363.38400000000001</v>
      </c>
      <c r="GK37" s="62">
        <f>SUM(GH37*0.02111)</f>
        <v>177.32400000000001</v>
      </c>
      <c r="GL37" s="62">
        <f>SUM(GI37*7.447)</f>
        <v>206.28190000000004</v>
      </c>
      <c r="GM37" s="59">
        <f>SUM(GK37+GJ37+20)*1.1048</f>
        <v>619.47019840000007</v>
      </c>
      <c r="GN37" s="60">
        <f t="shared" si="16"/>
        <v>52772</v>
      </c>
      <c r="GO37" s="20">
        <v>52588</v>
      </c>
      <c r="GP37" s="20">
        <v>2.3530000000000002</v>
      </c>
      <c r="GQ37" s="19">
        <f>SUM(GO37-GO32)*100</f>
        <v>71200</v>
      </c>
      <c r="GR37" s="19">
        <f>SUM(GP37)*100</f>
        <v>235.3</v>
      </c>
      <c r="GS37" s="62">
        <f>SUM(GQ37*0.04326)</f>
        <v>3080.1120000000001</v>
      </c>
      <c r="GT37" s="62">
        <f>SUM(GQ37*0.02111)</f>
        <v>1503.0319999999999</v>
      </c>
      <c r="GU37" s="62">
        <f>SUM(GR37*7.447)</f>
        <v>1752.2791000000002</v>
      </c>
      <c r="GV37" s="59">
        <f>SUM(GT37+GS37+20)*1.1048</f>
        <v>5085.5534912000003</v>
      </c>
      <c r="GW37" s="60">
        <f t="shared" si="17"/>
        <v>65234</v>
      </c>
      <c r="GX37" s="20">
        <v>64583</v>
      </c>
      <c r="GY37" s="19">
        <f>SUM(GX37-GX32)</f>
        <v>3577</v>
      </c>
      <c r="GZ37" s="59">
        <f>SUM(GY37*0.12673)</f>
        <v>453.31321000000003</v>
      </c>
      <c r="HA37" s="59">
        <f>SUM(GY37*0.02111)</f>
        <v>75.510469999999998</v>
      </c>
      <c r="HB37" s="59">
        <f>SUM(GZ37+HA37+2.85)*1.07</f>
        <v>568.89083760000005</v>
      </c>
      <c r="HC37" s="60">
        <f t="shared" si="18"/>
        <v>45521</v>
      </c>
      <c r="HD37" s="20">
        <v>45489</v>
      </c>
      <c r="HE37" s="20">
        <v>3.31</v>
      </c>
      <c r="HF37" s="19">
        <f>SUM(HD37-HD32)*40</f>
        <v>10000</v>
      </c>
      <c r="HG37" s="19">
        <f>SUM(HE37)*40</f>
        <v>132.4</v>
      </c>
      <c r="HH37" s="59">
        <f>SUM(HF37*0.04326)</f>
        <v>432.6</v>
      </c>
      <c r="HI37" s="59">
        <f>SUM(HF37*0.02111)</f>
        <v>211.1</v>
      </c>
      <c r="HJ37" s="59">
        <f>SUM(HG37*7.447)</f>
        <v>985.9828</v>
      </c>
      <c r="HK37" s="59">
        <f>SUM(HI37+HH37+20)*1.1048</f>
        <v>733.25576000000001</v>
      </c>
      <c r="HL37" s="20">
        <f>SUM(GH37+GQ37+GY37+HF37)</f>
        <v>93177</v>
      </c>
      <c r="HM37" s="75">
        <f>SUM(HK37+HB37+GV37+GM37)</f>
        <v>7007.1702872000005</v>
      </c>
      <c r="HN37" s="75">
        <f>SUM(GL37+GU37+HJ37)</f>
        <v>2944.5438000000004</v>
      </c>
      <c r="HO37" s="75">
        <f>SUM(HM37:HN37)</f>
        <v>9951.7140872000018</v>
      </c>
      <c r="HP37" s="18"/>
      <c r="HQ37" s="74">
        <f t="shared" ref="HQ37:HS37" si="75">(FY37+HL37)</f>
        <v>1585841</v>
      </c>
      <c r="HR37" s="75">
        <f t="shared" si="75"/>
        <v>104858.03609600001</v>
      </c>
      <c r="HS37" s="75">
        <f t="shared" si="75"/>
        <v>26724.00632</v>
      </c>
      <c r="HT37" s="75">
        <f t="shared" ref="HT37" si="76">(HR37+HS37)</f>
        <v>131582.04241600001</v>
      </c>
    </row>
    <row r="38" spans="2:228">
      <c r="B38" s="58">
        <v>43682</v>
      </c>
      <c r="C38" s="20">
        <v>80038</v>
      </c>
      <c r="D38" s="20">
        <v>2.1560000000000001</v>
      </c>
      <c r="E38" s="34">
        <f t="shared" si="19"/>
        <v>27040</v>
      </c>
      <c r="F38" s="34"/>
      <c r="G38" s="20">
        <v>75369</v>
      </c>
      <c r="H38" s="20">
        <v>2.286</v>
      </c>
      <c r="I38" s="34">
        <f t="shared" si="20"/>
        <v>28160</v>
      </c>
      <c r="J38" s="34"/>
      <c r="K38" s="20">
        <v>9050</v>
      </c>
      <c r="L38" s="20">
        <v>0.27400000000000002</v>
      </c>
      <c r="M38" s="34">
        <f t="shared" si="21"/>
        <v>8000</v>
      </c>
      <c r="N38" s="34"/>
      <c r="O38" s="20">
        <v>9002</v>
      </c>
      <c r="P38" s="20">
        <v>0.24299999999999999</v>
      </c>
      <c r="Q38" s="34">
        <f t="shared" si="22"/>
        <v>7200</v>
      </c>
      <c r="R38" s="34"/>
      <c r="S38" s="20">
        <v>9657</v>
      </c>
      <c r="T38" s="20">
        <v>0.252</v>
      </c>
      <c r="U38" s="34">
        <f t="shared" si="23"/>
        <v>7600</v>
      </c>
      <c r="V38" s="34"/>
      <c r="W38" s="20">
        <v>62936</v>
      </c>
      <c r="X38" s="20">
        <v>2.6930000000000001</v>
      </c>
      <c r="Y38" s="34">
        <f t="shared" si="24"/>
        <v>54900</v>
      </c>
      <c r="Z38" s="34"/>
      <c r="AA38" s="20">
        <v>59945</v>
      </c>
      <c r="AB38" s="20">
        <v>2.3199999999999998</v>
      </c>
      <c r="AC38" s="34">
        <f t="shared" si="25"/>
        <v>50400</v>
      </c>
      <c r="AD38" s="34"/>
      <c r="AE38" s="20">
        <v>15243</v>
      </c>
      <c r="AF38" s="20">
        <v>0.40899999999999997</v>
      </c>
      <c r="AG38" s="34">
        <f t="shared" si="26"/>
        <v>4000</v>
      </c>
      <c r="AH38" s="34"/>
      <c r="AI38" s="20">
        <v>10405</v>
      </c>
      <c r="AJ38" s="20">
        <v>0.26</v>
      </c>
      <c r="AK38" s="34">
        <f t="shared" si="27"/>
        <v>2400</v>
      </c>
      <c r="AL38" s="34"/>
      <c r="AM38" s="20">
        <v>76762</v>
      </c>
      <c r="AN38" s="20">
        <v>2.1960000000000002</v>
      </c>
      <c r="AO38" s="34">
        <f t="shared" si="28"/>
        <v>32800</v>
      </c>
      <c r="AP38" s="34"/>
      <c r="AQ38" s="20">
        <v>14682</v>
      </c>
      <c r="AR38" s="20">
        <v>0.33300000000000002</v>
      </c>
      <c r="AS38" s="34">
        <f t="shared" si="29"/>
        <v>960</v>
      </c>
      <c r="AT38" s="34"/>
      <c r="AU38" s="205">
        <v>40211</v>
      </c>
      <c r="AV38" s="205"/>
      <c r="AW38" s="34">
        <f t="shared" si="30"/>
        <v>214</v>
      </c>
      <c r="AX38" s="34"/>
      <c r="AZ38" s="34">
        <f t="shared" si="0"/>
        <v>223674</v>
      </c>
      <c r="BA38" s="20">
        <f t="shared" si="51"/>
        <v>33760</v>
      </c>
      <c r="BB38" s="20">
        <f t="shared" si="52"/>
        <v>0.15093394851435571</v>
      </c>
      <c r="BC38" s="20"/>
      <c r="BD38" s="14"/>
      <c r="BE38" s="64">
        <f t="shared" si="40"/>
        <v>43682</v>
      </c>
      <c r="BF38" s="20">
        <v>52904</v>
      </c>
      <c r="BG38" s="34">
        <f t="shared" si="53"/>
        <v>13200</v>
      </c>
      <c r="BI38" s="20">
        <v>6714</v>
      </c>
      <c r="BJ38" s="34">
        <f t="shared" si="54"/>
        <v>1300</v>
      </c>
      <c r="BL38" s="20">
        <v>65872</v>
      </c>
      <c r="BM38" s="34">
        <f t="shared" si="33"/>
        <v>638</v>
      </c>
      <c r="BN38" s="20"/>
      <c r="BO38" s="20">
        <v>45546</v>
      </c>
      <c r="BP38" s="34">
        <f t="shared" si="34"/>
        <v>1000</v>
      </c>
      <c r="BR38" s="14"/>
      <c r="BS38" s="20">
        <f t="shared" si="3"/>
        <v>16138</v>
      </c>
      <c r="BT38" s="20"/>
      <c r="BU38" s="20"/>
      <c r="BW38" s="14"/>
      <c r="BY38" s="19">
        <f t="shared" si="4"/>
        <v>40211</v>
      </c>
      <c r="CC38" s="60">
        <f t="shared" ref="CC38:CC41" si="77">SUM(G38)</f>
        <v>75369</v>
      </c>
      <c r="CL38" s="60">
        <f t="shared" si="6"/>
        <v>80038</v>
      </c>
      <c r="CU38" s="60">
        <f t="shared" si="35"/>
        <v>62936</v>
      </c>
      <c r="DD38" s="60">
        <f t="shared" si="7"/>
        <v>14682</v>
      </c>
      <c r="DM38" s="60">
        <f t="shared" si="8"/>
        <v>59945</v>
      </c>
      <c r="DV38" s="60">
        <f t="shared" si="9"/>
        <v>9002</v>
      </c>
      <c r="EE38" s="60">
        <f t="shared" si="10"/>
        <v>62936</v>
      </c>
      <c r="EN38" s="60">
        <f t="shared" si="11"/>
        <v>9657</v>
      </c>
      <c r="EW38" s="60">
        <f t="shared" si="12"/>
        <v>15243</v>
      </c>
      <c r="FF38" s="60">
        <f t="shared" si="13"/>
        <v>10405</v>
      </c>
      <c r="FO38" s="19">
        <f t="shared" si="14"/>
        <v>76762</v>
      </c>
      <c r="FX38" s="50"/>
      <c r="GC38" s="14"/>
      <c r="GE38" s="60">
        <f t="shared" ref="GE38:GE41" si="78">SUM(BI38)</f>
        <v>6714</v>
      </c>
      <c r="GN38" s="60">
        <f t="shared" si="16"/>
        <v>52904</v>
      </c>
      <c r="GW38" s="60">
        <f t="shared" si="17"/>
        <v>65872</v>
      </c>
      <c r="HC38" s="60">
        <f t="shared" si="18"/>
        <v>45546</v>
      </c>
      <c r="HP38" s="18"/>
    </row>
    <row r="39" spans="2:228">
      <c r="B39" s="58">
        <v>43689</v>
      </c>
      <c r="C39" s="20">
        <v>80333</v>
      </c>
      <c r="D39" s="20">
        <v>2.1560000000000001</v>
      </c>
      <c r="E39" s="34">
        <f t="shared" si="19"/>
        <v>47200</v>
      </c>
      <c r="F39" s="34"/>
      <c r="G39" s="20">
        <v>75666</v>
      </c>
      <c r="H39" s="20">
        <v>2.3879999999999999</v>
      </c>
      <c r="I39" s="34">
        <f t="shared" si="20"/>
        <v>47520</v>
      </c>
      <c r="J39" s="34"/>
      <c r="K39" s="20">
        <v>9085</v>
      </c>
      <c r="L39" s="20">
        <v>0.27400000000000002</v>
      </c>
      <c r="M39" s="34">
        <f t="shared" si="21"/>
        <v>14000</v>
      </c>
      <c r="N39" s="34"/>
      <c r="O39" s="20">
        <v>9035</v>
      </c>
      <c r="P39" s="20">
        <v>0.24399999999999999</v>
      </c>
      <c r="Q39" s="34">
        <f t="shared" si="22"/>
        <v>13200</v>
      </c>
      <c r="R39" s="34"/>
      <c r="S39" s="20">
        <v>9692</v>
      </c>
      <c r="T39" s="20">
        <v>0.26500000000000001</v>
      </c>
      <c r="U39" s="34">
        <f t="shared" si="23"/>
        <v>14000</v>
      </c>
      <c r="V39" s="34"/>
      <c r="W39" s="20">
        <v>63241</v>
      </c>
      <c r="X39" s="20">
        <v>2.6930000000000001</v>
      </c>
      <c r="Y39" s="34">
        <f t="shared" si="24"/>
        <v>91500</v>
      </c>
      <c r="Z39" s="34"/>
      <c r="AA39" s="20">
        <v>60234</v>
      </c>
      <c r="AB39" s="20">
        <v>2.3199999999999998</v>
      </c>
      <c r="AC39" s="34">
        <f t="shared" si="25"/>
        <v>86700</v>
      </c>
      <c r="AD39" s="34"/>
      <c r="AE39" s="20">
        <v>15281</v>
      </c>
      <c r="AF39" s="20">
        <v>0.40899999999999997</v>
      </c>
      <c r="AG39" s="34">
        <f t="shared" si="26"/>
        <v>6080</v>
      </c>
      <c r="AH39" s="34"/>
      <c r="AI39" s="20">
        <v>10420</v>
      </c>
      <c r="AJ39" s="20">
        <v>0.26</v>
      </c>
      <c r="AK39" s="34">
        <f t="shared" si="27"/>
        <v>2400</v>
      </c>
      <c r="AL39" s="34"/>
      <c r="AM39" s="20">
        <v>77050</v>
      </c>
      <c r="AN39" s="20">
        <v>2.2869999999999999</v>
      </c>
      <c r="AO39" s="34">
        <f t="shared" si="28"/>
        <v>57600</v>
      </c>
      <c r="AP39" s="34"/>
      <c r="AQ39" s="20">
        <v>14725</v>
      </c>
      <c r="AR39" s="20">
        <v>0.34399999999999997</v>
      </c>
      <c r="AS39" s="34">
        <f t="shared" si="29"/>
        <v>1720</v>
      </c>
      <c r="AT39" s="34"/>
      <c r="AU39" s="205">
        <v>40588</v>
      </c>
      <c r="AV39" s="205"/>
      <c r="AW39" s="34">
        <f t="shared" si="30"/>
        <v>377</v>
      </c>
      <c r="AX39" s="34"/>
      <c r="AZ39" s="34">
        <f t="shared" si="0"/>
        <v>382297</v>
      </c>
      <c r="BA39" s="20">
        <f t="shared" si="51"/>
        <v>59320</v>
      </c>
      <c r="BB39" s="20">
        <f t="shared" si="52"/>
        <v>0.15516731755676869</v>
      </c>
      <c r="BC39" s="20"/>
      <c r="BD39" s="14"/>
      <c r="BE39" s="64">
        <f t="shared" si="40"/>
        <v>43689</v>
      </c>
      <c r="BF39" s="20">
        <v>53092</v>
      </c>
      <c r="BG39" s="34">
        <f t="shared" si="53"/>
        <v>18800</v>
      </c>
      <c r="BI39" s="20">
        <v>6736</v>
      </c>
      <c r="BJ39" s="34">
        <f t="shared" si="54"/>
        <v>2200</v>
      </c>
      <c r="BL39" s="20">
        <v>66750</v>
      </c>
      <c r="BM39" s="34">
        <f t="shared" si="33"/>
        <v>878</v>
      </c>
      <c r="BN39" s="20"/>
      <c r="BO39" s="20">
        <v>45603</v>
      </c>
      <c r="BP39" s="34">
        <f t="shared" si="34"/>
        <v>2280</v>
      </c>
      <c r="BR39" s="14"/>
      <c r="BS39" s="20">
        <f t="shared" si="3"/>
        <v>24158</v>
      </c>
      <c r="BT39" s="20"/>
      <c r="BU39" s="20"/>
      <c r="BW39" s="14"/>
      <c r="BY39" s="19">
        <f t="shared" si="4"/>
        <v>40588</v>
      </c>
      <c r="CC39" s="60">
        <f t="shared" si="77"/>
        <v>75666</v>
      </c>
      <c r="CL39" s="60">
        <f t="shared" si="6"/>
        <v>80333</v>
      </c>
      <c r="CU39" s="60">
        <f t="shared" si="35"/>
        <v>63241</v>
      </c>
      <c r="DD39" s="60">
        <f t="shared" si="7"/>
        <v>14725</v>
      </c>
      <c r="DM39" s="60">
        <f t="shared" si="8"/>
        <v>60234</v>
      </c>
      <c r="DV39" s="60">
        <f t="shared" si="9"/>
        <v>9035</v>
      </c>
      <c r="EE39" s="60">
        <f t="shared" si="10"/>
        <v>63241</v>
      </c>
      <c r="EN39" s="60">
        <f t="shared" si="11"/>
        <v>9692</v>
      </c>
      <c r="EW39" s="60">
        <f t="shared" si="12"/>
        <v>15281</v>
      </c>
      <c r="FF39" s="60">
        <f t="shared" si="13"/>
        <v>10420</v>
      </c>
      <c r="FO39" s="19">
        <f t="shared" si="14"/>
        <v>77050</v>
      </c>
      <c r="FX39" s="50"/>
      <c r="GC39" s="14"/>
      <c r="GE39" s="60">
        <f t="shared" si="78"/>
        <v>6736</v>
      </c>
      <c r="GN39" s="60">
        <f t="shared" si="16"/>
        <v>53092</v>
      </c>
      <c r="GW39" s="60">
        <f t="shared" si="17"/>
        <v>66750</v>
      </c>
      <c r="HC39" s="60">
        <f t="shared" si="18"/>
        <v>45603</v>
      </c>
      <c r="HP39" s="18"/>
    </row>
    <row r="40" spans="2:228">
      <c r="B40" s="58">
        <v>43696</v>
      </c>
      <c r="C40" s="20">
        <v>80633</v>
      </c>
      <c r="D40" s="20">
        <v>2.1560000000000001</v>
      </c>
      <c r="E40" s="34">
        <f t="shared" si="19"/>
        <v>48000</v>
      </c>
      <c r="F40" s="34"/>
      <c r="G40" s="20">
        <v>75969</v>
      </c>
      <c r="H40" s="20">
        <v>2.3879999999999999</v>
      </c>
      <c r="I40" s="34">
        <f t="shared" si="20"/>
        <v>48480</v>
      </c>
      <c r="J40" s="34"/>
      <c r="K40" s="20">
        <v>9120</v>
      </c>
      <c r="L40" s="20">
        <v>0.27400000000000002</v>
      </c>
      <c r="M40" s="34">
        <f t="shared" si="21"/>
        <v>14000</v>
      </c>
      <c r="N40" s="34"/>
      <c r="O40" s="20">
        <v>9067</v>
      </c>
      <c r="P40" s="20">
        <v>0.254</v>
      </c>
      <c r="Q40" s="34">
        <f t="shared" si="22"/>
        <v>12800</v>
      </c>
      <c r="R40" s="34"/>
      <c r="S40" s="20">
        <v>9726</v>
      </c>
      <c r="T40" s="20">
        <v>0.26500000000000001</v>
      </c>
      <c r="U40" s="34">
        <f t="shared" si="23"/>
        <v>13600</v>
      </c>
      <c r="V40" s="34"/>
      <c r="W40" s="20">
        <v>63538</v>
      </c>
      <c r="X40" s="20">
        <v>2.6930000000000001</v>
      </c>
      <c r="Y40" s="34">
        <f t="shared" si="24"/>
        <v>89100</v>
      </c>
      <c r="Z40" s="34"/>
      <c r="AA40" s="20">
        <v>60522</v>
      </c>
      <c r="AB40" s="20">
        <v>2.3199999999999998</v>
      </c>
      <c r="AC40" s="34">
        <f t="shared" si="25"/>
        <v>86400</v>
      </c>
      <c r="AD40" s="34"/>
      <c r="AE40" s="20">
        <v>15320</v>
      </c>
      <c r="AF40" s="20">
        <v>0.40899999999999997</v>
      </c>
      <c r="AG40" s="34">
        <f t="shared" si="26"/>
        <v>6240</v>
      </c>
      <c r="AH40" s="34"/>
      <c r="AI40" s="20">
        <v>10448</v>
      </c>
      <c r="AJ40" s="20">
        <v>0.26</v>
      </c>
      <c r="AK40" s="34">
        <f t="shared" si="27"/>
        <v>4480</v>
      </c>
      <c r="AL40" s="34"/>
      <c r="AM40" s="20">
        <v>77337</v>
      </c>
      <c r="AN40" s="20">
        <v>2.2869999999999999</v>
      </c>
      <c r="AO40" s="34">
        <f t="shared" si="28"/>
        <v>57400</v>
      </c>
      <c r="AP40" s="34"/>
      <c r="AQ40" s="20">
        <v>14767</v>
      </c>
      <c r="AR40" s="20">
        <v>0.34399999999999997</v>
      </c>
      <c r="AS40" s="34">
        <f t="shared" si="29"/>
        <v>1680</v>
      </c>
      <c r="AT40" s="34"/>
      <c r="AU40" s="205">
        <v>40973</v>
      </c>
      <c r="AV40" s="205"/>
      <c r="AW40" s="34">
        <f t="shared" si="30"/>
        <v>385</v>
      </c>
      <c r="AX40" s="34"/>
      <c r="AZ40" s="34">
        <f t="shared" si="0"/>
        <v>382565</v>
      </c>
      <c r="BA40" s="20">
        <f t="shared" si="51"/>
        <v>59080</v>
      </c>
      <c r="BB40" s="20">
        <f t="shared" si="52"/>
        <v>0.15443127311698665</v>
      </c>
      <c r="BC40" s="20"/>
      <c r="BD40" s="14"/>
      <c r="BE40" s="64">
        <f t="shared" si="40"/>
        <v>43696</v>
      </c>
      <c r="BF40" s="20">
        <v>53280</v>
      </c>
      <c r="BG40" s="34">
        <f t="shared" si="53"/>
        <v>18800</v>
      </c>
      <c r="BI40" s="20">
        <v>6758</v>
      </c>
      <c r="BJ40" s="34">
        <f t="shared" si="54"/>
        <v>2200</v>
      </c>
      <c r="BL40" s="20">
        <v>67684</v>
      </c>
      <c r="BM40" s="34">
        <f t="shared" si="33"/>
        <v>934</v>
      </c>
      <c r="BN40" s="20"/>
      <c r="BO40" s="20">
        <v>45637</v>
      </c>
      <c r="BP40" s="34">
        <f t="shared" si="34"/>
        <v>1360</v>
      </c>
      <c r="BR40" s="14"/>
      <c r="BS40" s="20">
        <f t="shared" si="3"/>
        <v>23294</v>
      </c>
      <c r="BT40" s="20"/>
      <c r="BU40" s="20"/>
      <c r="BW40" s="14"/>
      <c r="BY40" s="19">
        <f t="shared" si="4"/>
        <v>40973</v>
      </c>
      <c r="CC40" s="60">
        <f t="shared" si="77"/>
        <v>75969</v>
      </c>
      <c r="CL40" s="60">
        <f t="shared" si="6"/>
        <v>80633</v>
      </c>
      <c r="CU40" s="60">
        <f t="shared" si="35"/>
        <v>63538</v>
      </c>
      <c r="DD40" s="60">
        <f t="shared" si="7"/>
        <v>14767</v>
      </c>
      <c r="DM40" s="60">
        <f t="shared" si="8"/>
        <v>60522</v>
      </c>
      <c r="DV40" s="60">
        <f t="shared" si="9"/>
        <v>9067</v>
      </c>
      <c r="EE40" s="60">
        <f t="shared" si="10"/>
        <v>63538</v>
      </c>
      <c r="EN40" s="60">
        <f t="shared" si="11"/>
        <v>9726</v>
      </c>
      <c r="EW40" s="60">
        <f t="shared" si="12"/>
        <v>15320</v>
      </c>
      <c r="FF40" s="60">
        <f t="shared" si="13"/>
        <v>10448</v>
      </c>
      <c r="FO40" s="19">
        <f t="shared" si="14"/>
        <v>77337</v>
      </c>
      <c r="FX40" s="50"/>
      <c r="GC40" s="14"/>
      <c r="GE40" s="60">
        <f t="shared" si="78"/>
        <v>6758</v>
      </c>
      <c r="GN40" s="60">
        <f t="shared" si="16"/>
        <v>53280</v>
      </c>
      <c r="GW40" s="60">
        <f t="shared" si="17"/>
        <v>67684</v>
      </c>
      <c r="HC40" s="60">
        <f t="shared" si="18"/>
        <v>45637</v>
      </c>
      <c r="HP40" s="18"/>
    </row>
    <row r="41" spans="2:228">
      <c r="B41" s="58">
        <v>43703</v>
      </c>
      <c r="C41" s="20">
        <v>80931</v>
      </c>
      <c r="D41" s="20">
        <v>2.11</v>
      </c>
      <c r="E41" s="34">
        <f t="shared" si="19"/>
        <v>47680</v>
      </c>
      <c r="F41" s="34"/>
      <c r="G41" s="20">
        <v>76271</v>
      </c>
      <c r="H41" s="20">
        <v>2.3660000000000001</v>
      </c>
      <c r="I41" s="34">
        <f t="shared" si="20"/>
        <v>48320</v>
      </c>
      <c r="J41" s="34"/>
      <c r="K41" s="20">
        <v>9154</v>
      </c>
      <c r="L41" s="20">
        <v>0.26200000000000001</v>
      </c>
      <c r="M41" s="34">
        <f t="shared" si="21"/>
        <v>13600</v>
      </c>
      <c r="N41" s="34"/>
      <c r="O41" s="20">
        <v>9099</v>
      </c>
      <c r="P41" s="20">
        <v>0.24099999999999999</v>
      </c>
      <c r="Q41" s="34">
        <f t="shared" si="22"/>
        <v>12800</v>
      </c>
      <c r="R41" s="34"/>
      <c r="S41" s="20">
        <v>9759</v>
      </c>
      <c r="T41" s="20">
        <v>0.26</v>
      </c>
      <c r="U41" s="34">
        <f t="shared" si="23"/>
        <v>13200</v>
      </c>
      <c r="V41" s="34"/>
      <c r="W41" s="20">
        <v>63855</v>
      </c>
      <c r="X41" s="20">
        <v>2.5819999999999999</v>
      </c>
      <c r="Y41" s="34">
        <f t="shared" si="24"/>
        <v>95100</v>
      </c>
      <c r="Z41" s="34"/>
      <c r="AA41" s="20">
        <v>60828</v>
      </c>
      <c r="AB41" s="20">
        <v>2.46</v>
      </c>
      <c r="AC41" s="34">
        <f t="shared" si="25"/>
        <v>91800</v>
      </c>
      <c r="AD41" s="34"/>
      <c r="AE41" s="20">
        <v>15361</v>
      </c>
      <c r="AF41" s="20">
        <v>0.35299999999999998</v>
      </c>
      <c r="AG41" s="34">
        <f t="shared" si="26"/>
        <v>6560</v>
      </c>
      <c r="AH41" s="34"/>
      <c r="AI41" s="20">
        <v>10472</v>
      </c>
      <c r="AJ41" s="20">
        <v>0.248</v>
      </c>
      <c r="AK41" s="34">
        <f t="shared" si="27"/>
        <v>3840</v>
      </c>
      <c r="AL41" s="34"/>
      <c r="AM41" s="20">
        <v>77624</v>
      </c>
      <c r="AN41" s="20">
        <v>2.23</v>
      </c>
      <c r="AO41" s="34">
        <f t="shared" si="28"/>
        <v>57400</v>
      </c>
      <c r="AP41" s="34"/>
      <c r="AQ41" s="20">
        <v>14810</v>
      </c>
      <c r="AR41" s="20">
        <v>0.32500000000000001</v>
      </c>
      <c r="AS41" s="34">
        <f t="shared" si="29"/>
        <v>1720</v>
      </c>
      <c r="AT41" s="34"/>
      <c r="AU41" s="205">
        <v>41358</v>
      </c>
      <c r="AV41" s="205"/>
      <c r="AW41" s="34">
        <f t="shared" si="30"/>
        <v>385</v>
      </c>
      <c r="AX41" s="34"/>
      <c r="AZ41" s="34">
        <f t="shared" si="0"/>
        <v>392405</v>
      </c>
      <c r="BA41" s="20">
        <f t="shared" si="51"/>
        <v>59120</v>
      </c>
      <c r="BB41" s="20">
        <f t="shared" si="52"/>
        <v>0.15066066946139831</v>
      </c>
      <c r="BC41" s="20"/>
      <c r="BD41" s="14"/>
      <c r="BE41" s="64">
        <f t="shared" si="40"/>
        <v>43703</v>
      </c>
      <c r="BF41" s="20">
        <v>53471</v>
      </c>
      <c r="BG41" s="34">
        <f t="shared" si="53"/>
        <v>19100</v>
      </c>
      <c r="BI41" s="20">
        <v>6781</v>
      </c>
      <c r="BJ41" s="34">
        <f t="shared" si="54"/>
        <v>2300</v>
      </c>
      <c r="BL41" s="20">
        <v>68558</v>
      </c>
      <c r="BM41" s="34">
        <f t="shared" si="33"/>
        <v>874</v>
      </c>
      <c r="BN41" s="20"/>
      <c r="BO41" s="20">
        <v>45751</v>
      </c>
      <c r="BP41" s="34">
        <f t="shared" si="34"/>
        <v>4560</v>
      </c>
      <c r="BR41" s="14"/>
      <c r="BS41" s="20">
        <f t="shared" si="3"/>
        <v>26834</v>
      </c>
      <c r="BT41" s="20"/>
      <c r="BU41" s="20"/>
      <c r="BW41" s="14"/>
      <c r="BY41" s="19">
        <f t="shared" si="4"/>
        <v>41358</v>
      </c>
      <c r="CC41" s="60">
        <f t="shared" si="77"/>
        <v>76271</v>
      </c>
      <c r="CL41" s="60">
        <f t="shared" si="6"/>
        <v>80931</v>
      </c>
      <c r="CU41" s="60">
        <f t="shared" si="35"/>
        <v>63855</v>
      </c>
      <c r="DD41" s="60">
        <f t="shared" si="7"/>
        <v>14810</v>
      </c>
      <c r="DM41" s="60">
        <f t="shared" si="8"/>
        <v>60828</v>
      </c>
      <c r="DV41" s="60">
        <f t="shared" si="9"/>
        <v>9099</v>
      </c>
      <c r="EE41" s="60">
        <f t="shared" si="10"/>
        <v>63855</v>
      </c>
      <c r="EN41" s="60">
        <f t="shared" si="11"/>
        <v>9759</v>
      </c>
      <c r="EW41" s="60">
        <f t="shared" si="12"/>
        <v>15361</v>
      </c>
      <c r="FF41" s="60">
        <f t="shared" si="13"/>
        <v>10472</v>
      </c>
      <c r="FO41" s="19">
        <f t="shared" si="14"/>
        <v>77624</v>
      </c>
      <c r="FX41" s="50"/>
      <c r="GC41" s="14"/>
      <c r="GE41" s="60">
        <f t="shared" si="78"/>
        <v>6781</v>
      </c>
      <c r="GN41" s="60">
        <f t="shared" si="16"/>
        <v>53471</v>
      </c>
      <c r="GW41" s="60">
        <f t="shared" si="17"/>
        <v>68558</v>
      </c>
      <c r="HC41" s="60">
        <f t="shared" si="18"/>
        <v>45751</v>
      </c>
      <c r="HP41" s="18"/>
    </row>
    <row r="42" spans="2:228">
      <c r="B42" s="58">
        <v>43709</v>
      </c>
      <c r="C42" s="20">
        <v>81201</v>
      </c>
      <c r="D42" s="20">
        <v>2.173</v>
      </c>
      <c r="E42" s="34">
        <f t="shared" si="19"/>
        <v>43200</v>
      </c>
      <c r="F42" s="34"/>
      <c r="G42" s="20">
        <v>76543</v>
      </c>
      <c r="H42" s="20">
        <v>2.3660000000000001</v>
      </c>
      <c r="I42" s="34">
        <f t="shared" si="20"/>
        <v>43520</v>
      </c>
      <c r="J42" s="34"/>
      <c r="K42" s="20">
        <v>9182</v>
      </c>
      <c r="L42" s="20">
        <v>0.26200000000000001</v>
      </c>
      <c r="M42" s="34">
        <f t="shared" si="21"/>
        <v>11200</v>
      </c>
      <c r="N42" s="34"/>
      <c r="O42" s="20">
        <v>9127</v>
      </c>
      <c r="P42" s="20">
        <v>0.24099999999999999</v>
      </c>
      <c r="Q42" s="34">
        <f t="shared" si="22"/>
        <v>11200</v>
      </c>
      <c r="R42" s="34"/>
      <c r="S42" s="20">
        <v>9787</v>
      </c>
      <c r="T42" s="20">
        <v>0.26</v>
      </c>
      <c r="U42" s="34">
        <f t="shared" si="23"/>
        <v>11200</v>
      </c>
      <c r="V42" s="34"/>
      <c r="W42" s="20">
        <v>64140</v>
      </c>
      <c r="X42" s="20">
        <v>2.5819999999999999</v>
      </c>
      <c r="Y42" s="34">
        <f t="shared" si="24"/>
        <v>85500</v>
      </c>
      <c r="Z42" s="34"/>
      <c r="AA42" s="20">
        <v>61109</v>
      </c>
      <c r="AB42" s="20">
        <v>2.46</v>
      </c>
      <c r="AC42" s="34">
        <f t="shared" si="25"/>
        <v>84300</v>
      </c>
      <c r="AD42" s="34"/>
      <c r="AE42" s="20">
        <v>15398</v>
      </c>
      <c r="AF42" s="20">
        <v>0.35299999999999998</v>
      </c>
      <c r="AG42" s="34">
        <f t="shared" si="26"/>
        <v>5920</v>
      </c>
      <c r="AH42" s="34"/>
      <c r="AI42" s="20">
        <v>10493</v>
      </c>
      <c r="AJ42" s="20">
        <v>0.25900000000000001</v>
      </c>
      <c r="AK42" s="34">
        <f t="shared" si="27"/>
        <v>3360</v>
      </c>
      <c r="AL42" s="34"/>
      <c r="AM42" s="20">
        <v>77887</v>
      </c>
      <c r="AN42" s="20">
        <v>2.23</v>
      </c>
      <c r="AO42" s="34">
        <f t="shared" si="28"/>
        <v>52600</v>
      </c>
      <c r="AP42" s="34"/>
      <c r="AQ42" s="20">
        <v>14849</v>
      </c>
      <c r="AR42" s="20">
        <v>0.32600000000000001</v>
      </c>
      <c r="AS42" s="34">
        <f t="shared" si="29"/>
        <v>1560</v>
      </c>
      <c r="AT42" s="34"/>
      <c r="AU42" s="205">
        <v>41729</v>
      </c>
      <c r="AV42" s="205"/>
      <c r="AW42" s="34">
        <f t="shared" si="30"/>
        <v>371</v>
      </c>
      <c r="AX42" s="34"/>
      <c r="AZ42" s="34">
        <f t="shared" si="0"/>
        <v>353931</v>
      </c>
      <c r="BA42" s="20">
        <f t="shared" si="51"/>
        <v>54160</v>
      </c>
      <c r="BB42" s="20">
        <f t="shared" si="52"/>
        <v>0.1530241770288559</v>
      </c>
      <c r="BC42" s="20">
        <f>SUM(AZ38:AZ42)</f>
        <v>1734872</v>
      </c>
      <c r="BD42" s="14"/>
      <c r="BE42" s="64">
        <f t="shared" si="40"/>
        <v>43709</v>
      </c>
      <c r="BF42" s="20">
        <v>53618</v>
      </c>
      <c r="BG42" s="34">
        <f t="shared" si="53"/>
        <v>14700</v>
      </c>
      <c r="BI42" s="20">
        <v>6800</v>
      </c>
      <c r="BJ42" s="34">
        <f t="shared" si="54"/>
        <v>1900</v>
      </c>
      <c r="BL42" s="20">
        <v>69391</v>
      </c>
      <c r="BM42" s="34">
        <f t="shared" si="33"/>
        <v>833</v>
      </c>
      <c r="BN42" s="20"/>
      <c r="BO42" s="20">
        <v>45787</v>
      </c>
      <c r="BP42" s="34">
        <f t="shared" si="34"/>
        <v>1440</v>
      </c>
      <c r="BR42" s="14"/>
      <c r="BS42" s="20">
        <f t="shared" si="3"/>
        <v>18873</v>
      </c>
      <c r="BT42" s="20">
        <f>SUM(BS38:BS42)</f>
        <v>109297</v>
      </c>
      <c r="BU42" s="20">
        <f>SUM(BC42+BT42)</f>
        <v>1844169</v>
      </c>
      <c r="BW42" s="14"/>
      <c r="BY42" s="19">
        <f t="shared" si="4"/>
        <v>41729</v>
      </c>
      <c r="BZ42" s="20">
        <v>41393</v>
      </c>
      <c r="CA42" s="19">
        <f>SUM(BZ42-BZ37)</f>
        <v>1958</v>
      </c>
      <c r="CB42" s="59">
        <f>SUM(CA42*0.12043+CA42*0.03046)*1.08+1.91</f>
        <v>320.98802960000006</v>
      </c>
      <c r="CC42" s="60">
        <f t="shared" ref="CC42" si="79">SUM(G42)</f>
        <v>76543</v>
      </c>
      <c r="CD42" s="20">
        <v>76395</v>
      </c>
      <c r="CE42" s="20">
        <v>2.3879999999999999</v>
      </c>
      <c r="CF42" s="19">
        <f>SUM(CD42-CD37)*160</f>
        <v>234720</v>
      </c>
      <c r="CG42" s="19">
        <f>(CE42)*160</f>
        <v>382.08</v>
      </c>
      <c r="CH42" s="59">
        <f>SUM(CF42*0.04326)</f>
        <v>10153.9872</v>
      </c>
      <c r="CI42" s="59">
        <f>SUM(CF42*0.02111)</f>
        <v>4954.9391999999998</v>
      </c>
      <c r="CJ42" s="59">
        <f>SUM(CG42*7.447)</f>
        <v>2845.3497600000001</v>
      </c>
      <c r="CK42" s="59">
        <f>SUM(CH42+CI42)</f>
        <v>15108.9264</v>
      </c>
      <c r="CL42" s="60">
        <f t="shared" si="6"/>
        <v>81201</v>
      </c>
      <c r="CM42" s="20">
        <v>81054</v>
      </c>
      <c r="CN42" s="20">
        <v>2.16</v>
      </c>
      <c r="CO42" s="19">
        <f>SUM(CM42-CM37)*160</f>
        <v>230880</v>
      </c>
      <c r="CP42" s="19">
        <f>(CN42)*160</f>
        <v>345.6</v>
      </c>
      <c r="CQ42" s="59">
        <f>SUM(CO42*0.04326)</f>
        <v>9987.8688000000002</v>
      </c>
      <c r="CR42" s="59">
        <f>SUM(CO42*0.02111)</f>
        <v>4873.8768</v>
      </c>
      <c r="CS42" s="59">
        <f>SUM(CP42*7.447)</f>
        <v>2573.6832000000004</v>
      </c>
      <c r="CT42" s="59">
        <f>SUM(CQ42+CR42)+45</f>
        <v>14906.7456</v>
      </c>
      <c r="CU42" s="60">
        <f t="shared" si="35"/>
        <v>64140</v>
      </c>
      <c r="CV42" s="20">
        <v>63985</v>
      </c>
      <c r="CW42" s="20">
        <v>2.6930000000000001</v>
      </c>
      <c r="CX42" s="19">
        <f>SUM(CV42-CV37)*300</f>
        <v>455700</v>
      </c>
      <c r="CY42" s="19">
        <f>(CW42)*300</f>
        <v>807.9</v>
      </c>
      <c r="CZ42" s="59">
        <f>SUM(CX42*0.04326)</f>
        <v>19713.581999999999</v>
      </c>
      <c r="DA42" s="59">
        <f>SUM(CX42*0.02111)</f>
        <v>9619.8269999999993</v>
      </c>
      <c r="DB42" s="59">
        <f>SUM(CY42*7.447)</f>
        <v>6016.4313000000002</v>
      </c>
      <c r="DC42" s="59">
        <f>SUM(CZ42+DA42)+45</f>
        <v>29378.409</v>
      </c>
      <c r="DD42" s="60">
        <f t="shared" si="7"/>
        <v>14849</v>
      </c>
      <c r="DE42" s="20">
        <v>14828</v>
      </c>
      <c r="DF42" s="20">
        <v>0.34399999999999997</v>
      </c>
      <c r="DG42" s="19">
        <f>(DE42-DE37)*40</f>
        <v>8400</v>
      </c>
      <c r="DH42" s="19">
        <f>(DF42)*40</f>
        <v>13.759999999999998</v>
      </c>
      <c r="DI42" s="59">
        <f>SUM(DG42*0.04326)</f>
        <v>363.38400000000001</v>
      </c>
      <c r="DJ42" s="59">
        <f>SUM(DG42*0.02111)</f>
        <v>177.32400000000001</v>
      </c>
      <c r="DK42" s="59">
        <f>SUM(DH42*7.447)</f>
        <v>102.47071999999999</v>
      </c>
      <c r="DL42" s="59">
        <f>SUM(DI42+DJ42)+24</f>
        <v>564.70800000000008</v>
      </c>
      <c r="DM42" s="60">
        <f t="shared" si="8"/>
        <v>61109</v>
      </c>
      <c r="DN42" s="20">
        <v>60958</v>
      </c>
      <c r="DO42" s="20">
        <v>2.3199999999999998</v>
      </c>
      <c r="DP42" s="19">
        <f>SUM(DN42-DN37)*300</f>
        <v>438300</v>
      </c>
      <c r="DQ42" s="61">
        <f>(DO42)*300</f>
        <v>696</v>
      </c>
      <c r="DR42" s="59">
        <f>SUM(DP42*0.04326)</f>
        <v>18960.858</v>
      </c>
      <c r="DS42" s="59">
        <f>SUM(DP42*0.02111)</f>
        <v>9252.5130000000008</v>
      </c>
      <c r="DT42" s="59">
        <f>SUM(DQ42*7.447)</f>
        <v>5183.1120000000001</v>
      </c>
      <c r="DU42" s="59">
        <f>SUM(DR42+DS42)+45</f>
        <v>28258.370999999999</v>
      </c>
      <c r="DV42" s="60">
        <f t="shared" si="9"/>
        <v>9127</v>
      </c>
      <c r="DW42" s="20">
        <v>9113</v>
      </c>
      <c r="DX42" s="20">
        <v>0.26300000000000001</v>
      </c>
      <c r="DY42" s="19">
        <f>SUM(DW42-DW37)*400</f>
        <v>62800</v>
      </c>
      <c r="DZ42" s="61">
        <f>(DX42)*400</f>
        <v>105.2</v>
      </c>
      <c r="EA42" s="59">
        <f>SUM(DY42*0.04326)</f>
        <v>2716.7280000000001</v>
      </c>
      <c r="EB42" s="59">
        <f>SUM(DY42*0.02111)</f>
        <v>1325.7080000000001</v>
      </c>
      <c r="EC42" s="59">
        <f>SUM(DZ42*7.447)</f>
        <v>783.42439999999999</v>
      </c>
      <c r="ED42" s="59">
        <f>SUM(EA42+EB42)+40</f>
        <v>4082.4360000000001</v>
      </c>
      <c r="EE42" s="60">
        <f t="shared" si="10"/>
        <v>64140</v>
      </c>
      <c r="EF42" s="20">
        <v>9167</v>
      </c>
      <c r="EG42" s="20">
        <v>0.27900000000000003</v>
      </c>
      <c r="EH42" s="19">
        <f>SUM(EF42-EF37)*400</f>
        <v>66800</v>
      </c>
      <c r="EI42" s="19">
        <f>(EG42)*400</f>
        <v>111.60000000000001</v>
      </c>
      <c r="EJ42" s="59">
        <f>SUM(EH42*0.04326)</f>
        <v>2889.768</v>
      </c>
      <c r="EK42" s="59">
        <f>SUM(EH42*0.02111)</f>
        <v>1410.1479999999999</v>
      </c>
      <c r="EL42" s="59">
        <f>SUM(EI42*7.447)</f>
        <v>831.0852000000001</v>
      </c>
      <c r="EM42" s="59">
        <f>SUM(EJ42+EK42)+20</f>
        <v>4319.9160000000002</v>
      </c>
      <c r="EN42" s="60">
        <f t="shared" si="11"/>
        <v>9787</v>
      </c>
      <c r="EO42" s="20">
        <v>9772</v>
      </c>
      <c r="EP42" s="20">
        <v>0.26500000000000001</v>
      </c>
      <c r="EQ42" s="19">
        <f>SUM(EO42-EO37)*400</f>
        <v>65600</v>
      </c>
      <c r="ER42" s="19">
        <f>(EP42)*400</f>
        <v>106</v>
      </c>
      <c r="ES42" s="59">
        <f>SUM(EQ42*0.04326)</f>
        <v>2837.8559999999998</v>
      </c>
      <c r="ET42" s="59">
        <f>SUM(EQ42*0.02111)</f>
        <v>1384.816</v>
      </c>
      <c r="EU42" s="59">
        <f>SUM(ER42*7.447)</f>
        <v>789.38200000000006</v>
      </c>
      <c r="EV42" s="59">
        <f>SUM(ES42+ET42)+20</f>
        <v>4242.6719999999996</v>
      </c>
      <c r="EW42" s="60">
        <f t="shared" si="12"/>
        <v>15398</v>
      </c>
      <c r="EX42" s="20">
        <v>15378</v>
      </c>
      <c r="EY42" s="20">
        <v>0.40899999999999997</v>
      </c>
      <c r="EZ42" s="19">
        <f>SUM(EX42-EX37)*160</f>
        <v>31840</v>
      </c>
      <c r="FA42" s="19">
        <f>(EY42)*160</f>
        <v>65.44</v>
      </c>
      <c r="FB42" s="59">
        <f>SUM(EZ42*0.04326)</f>
        <v>1377.3984</v>
      </c>
      <c r="FC42" s="59">
        <f>SUM(EZ42*0.02111)</f>
        <v>672.14240000000007</v>
      </c>
      <c r="FD42" s="59">
        <f>SUM(FA42*7.447)</f>
        <v>487.33168000000001</v>
      </c>
      <c r="FE42" s="59">
        <f>SUM(FB42+FC42)+20</f>
        <v>2069.5408000000002</v>
      </c>
      <c r="FF42" s="60">
        <f t="shared" si="13"/>
        <v>10493</v>
      </c>
      <c r="FG42" s="20">
        <v>10482</v>
      </c>
      <c r="FH42" s="20">
        <v>0.26</v>
      </c>
      <c r="FI42" s="19">
        <f>SUM(FG42-FG37)*160</f>
        <v>18080</v>
      </c>
      <c r="FJ42" s="19">
        <f>(FH42)*160</f>
        <v>41.6</v>
      </c>
      <c r="FK42" s="59">
        <f>SUM(FI42*0.04326)</f>
        <v>782.14080000000001</v>
      </c>
      <c r="FL42" s="59">
        <f>SUM(FI42*0.02111)</f>
        <v>381.66880000000003</v>
      </c>
      <c r="FM42" s="59">
        <f>SUM(FJ42*7.447)</f>
        <v>309.79520000000002</v>
      </c>
      <c r="FN42" s="59">
        <f>SUM(FK42+FL42)+20</f>
        <v>1183.8096</v>
      </c>
      <c r="FO42" s="19">
        <f t="shared" si="14"/>
        <v>77887</v>
      </c>
      <c r="FP42" s="20">
        <v>77742</v>
      </c>
      <c r="FQ42" s="20">
        <v>2.2869999999999999</v>
      </c>
      <c r="FR42" s="19">
        <f>SUM(FP42-FP37)*200</f>
        <v>284800</v>
      </c>
      <c r="FS42" s="19">
        <f>(FQ42)*200</f>
        <v>457.4</v>
      </c>
      <c r="FT42" s="59">
        <f>SUM(FR42*0.04326)</f>
        <v>12320.448</v>
      </c>
      <c r="FU42" s="59">
        <f>SUM(FR42*0.02111)</f>
        <v>6012.1279999999997</v>
      </c>
      <c r="FV42" s="59">
        <f>SUM(FS42*7.447)</f>
        <v>3406.2577999999999</v>
      </c>
      <c r="FW42" s="59">
        <f>SUM((FT42+FU42)+20)*1.09</f>
        <v>20004.307840000001</v>
      </c>
      <c r="FX42" s="50"/>
      <c r="FY42" s="74">
        <f>SUM(CA42+CF42+CO42+CX42+DG42+DP42+DY42+EH42+EQ42+EZ42+FI42+FR42)</f>
        <v>1899878</v>
      </c>
      <c r="FZ42" s="75">
        <f>SUM(CB42+CK42,CT42,DC42,DL42,DU42,ED42,EM42,EV42,FE42,FN42+FW42)</f>
        <v>124440.8302696</v>
      </c>
      <c r="GA42" s="75">
        <f>SUM(CJ42,CS42,DB42,DK42,DT42,EC42,EL42,EU42,FD42,FM42,FV42)</f>
        <v>23328.323260000001</v>
      </c>
      <c r="GB42" s="75">
        <f>SUM(FZ42:GA42)</f>
        <v>147769.15352960001</v>
      </c>
      <c r="GC42" s="14"/>
      <c r="GE42" s="60">
        <f t="shared" ref="GE42" si="80">SUM(BI42)</f>
        <v>6800</v>
      </c>
      <c r="GF42" s="20">
        <v>6791</v>
      </c>
      <c r="GG42" s="20">
        <v>0.24099999999999999</v>
      </c>
      <c r="GH42" s="19">
        <f>SUM(GF42-GF37)*100</f>
        <v>11200</v>
      </c>
      <c r="GI42" s="19">
        <f>SUM(GG42)*100</f>
        <v>24.099999999999998</v>
      </c>
      <c r="GJ42" s="62">
        <f>SUM(GH42*0.04326)</f>
        <v>484.512</v>
      </c>
      <c r="GK42" s="62">
        <f>SUM(GH42*0.02111)</f>
        <v>236.43200000000002</v>
      </c>
      <c r="GL42" s="62">
        <f>SUM(GI42*7.447)</f>
        <v>179.47269999999997</v>
      </c>
      <c r="GM42" s="59">
        <f>SUM(GK42+GJ42+20)*1.1048</f>
        <v>818.59493119999991</v>
      </c>
      <c r="GN42" s="60">
        <f t="shared" si="16"/>
        <v>53618</v>
      </c>
      <c r="GO42" s="20">
        <v>53537</v>
      </c>
      <c r="GP42" s="20">
        <v>1.964</v>
      </c>
      <c r="GQ42" s="19">
        <f>SUM(GO42-GO37)*100</f>
        <v>94900</v>
      </c>
      <c r="GR42" s="19">
        <f>SUM(GP42)*100</f>
        <v>196.4</v>
      </c>
      <c r="GS42" s="62">
        <f>SUM(GQ42*0.04326)</f>
        <v>4105.3739999999998</v>
      </c>
      <c r="GT42" s="62">
        <f>SUM(GQ42*0.02111)</f>
        <v>2003.3389999999999</v>
      </c>
      <c r="GU42" s="62">
        <f>SUM(GR42*7.447)</f>
        <v>1462.5907999999999</v>
      </c>
      <c r="GV42" s="59">
        <f>SUM(GT42+GS42+20)*1.1048</f>
        <v>6771.0021224000002</v>
      </c>
      <c r="GW42" s="60">
        <f t="shared" si="17"/>
        <v>69391</v>
      </c>
      <c r="GX42" s="20">
        <v>68931</v>
      </c>
      <c r="GY42" s="19">
        <f>SUM(GX42-GX37)</f>
        <v>4348</v>
      </c>
      <c r="GZ42" s="59">
        <f>SUM(GY42*0.12673)</f>
        <v>551.02204000000006</v>
      </c>
      <c r="HA42" s="59">
        <f>SUM(GY42*0.02111)</f>
        <v>91.786280000000005</v>
      </c>
      <c r="HB42" s="59">
        <f>SUM(GZ42+HA42+2.85)*1.07</f>
        <v>690.85440240000014</v>
      </c>
      <c r="HC42" s="60">
        <f t="shared" si="18"/>
        <v>45787</v>
      </c>
      <c r="HD42" s="20">
        <v>45781</v>
      </c>
      <c r="HE42" s="20">
        <v>3.36</v>
      </c>
      <c r="HF42" s="19">
        <f>SUM(HD42-HD37)*40</f>
        <v>11680</v>
      </c>
      <c r="HG42" s="19">
        <f>SUM(HE42)*40</f>
        <v>134.4</v>
      </c>
      <c r="HH42" s="59">
        <f>SUM(HF42*0.04326)</f>
        <v>505.27679999999998</v>
      </c>
      <c r="HI42" s="59">
        <f>SUM(HF42*0.02111)</f>
        <v>246.56479999999999</v>
      </c>
      <c r="HJ42" s="59">
        <f>SUM(HG42*7.447)</f>
        <v>1000.8768</v>
      </c>
      <c r="HK42" s="59">
        <f>SUM(HI42+HH42+20)*1.1048</f>
        <v>852.73059967999995</v>
      </c>
      <c r="HL42" s="20">
        <f>SUM(GH42+GQ42+GY42+HF42)</f>
        <v>122128</v>
      </c>
      <c r="HM42" s="75">
        <f>SUM(HK42+HB42+GV42+GM42)</f>
        <v>9133.1820556799994</v>
      </c>
      <c r="HN42" s="75">
        <f>SUM(GL42+GU42+HJ42)</f>
        <v>2642.9403000000002</v>
      </c>
      <c r="HO42" s="75">
        <f>SUM(HM42:HN42)</f>
        <v>11776.12235568</v>
      </c>
      <c r="HP42" s="18"/>
      <c r="HQ42" s="74">
        <f t="shared" ref="HQ42:HS42" si="81">(FY42+HL42)</f>
        <v>2022006</v>
      </c>
      <c r="HR42" s="75">
        <f t="shared" si="81"/>
        <v>133574.01232528</v>
      </c>
      <c r="HS42" s="75">
        <f t="shared" si="81"/>
        <v>25971.263559999999</v>
      </c>
      <c r="HT42" s="75">
        <f t="shared" ref="HT42" si="82">(HR42+HS42)</f>
        <v>159545.27588527999</v>
      </c>
    </row>
    <row r="43" spans="2:228">
      <c r="B43" s="58">
        <v>43716</v>
      </c>
      <c r="C43" s="20">
        <v>81511</v>
      </c>
      <c r="D43" s="20">
        <v>2.173</v>
      </c>
      <c r="E43" s="34">
        <f t="shared" si="19"/>
        <v>49600</v>
      </c>
      <c r="F43" s="34"/>
      <c r="G43" s="20">
        <v>76861</v>
      </c>
      <c r="H43" s="20">
        <v>2.3660000000000001</v>
      </c>
      <c r="I43" s="34">
        <f t="shared" si="20"/>
        <v>50880</v>
      </c>
      <c r="J43" s="34"/>
      <c r="K43" s="20">
        <v>9211</v>
      </c>
      <c r="L43" s="20">
        <v>0.26200000000000001</v>
      </c>
      <c r="M43" s="34">
        <f t="shared" si="21"/>
        <v>11600</v>
      </c>
      <c r="N43" s="34"/>
      <c r="O43" s="20">
        <v>9155</v>
      </c>
      <c r="P43" s="20">
        <v>0.24099999999999999</v>
      </c>
      <c r="Q43" s="34">
        <f t="shared" si="22"/>
        <v>11200</v>
      </c>
      <c r="R43" s="34"/>
      <c r="S43" s="20">
        <v>9818</v>
      </c>
      <c r="T43" s="20">
        <v>0.26</v>
      </c>
      <c r="U43" s="34">
        <f t="shared" si="23"/>
        <v>12400</v>
      </c>
      <c r="V43" s="34"/>
      <c r="W43" s="20">
        <v>64451</v>
      </c>
      <c r="X43" s="20">
        <v>2.5819999999999999</v>
      </c>
      <c r="Y43" s="34">
        <f t="shared" si="24"/>
        <v>93300</v>
      </c>
      <c r="Z43" s="34"/>
      <c r="AA43" s="20">
        <v>61400</v>
      </c>
      <c r="AB43" s="20">
        <v>2.46</v>
      </c>
      <c r="AC43" s="34">
        <f t="shared" si="25"/>
        <v>87300</v>
      </c>
      <c r="AD43" s="34"/>
      <c r="AE43" s="20">
        <v>15439</v>
      </c>
      <c r="AF43" s="20">
        <v>0.35299999999999998</v>
      </c>
      <c r="AG43" s="34">
        <f t="shared" si="26"/>
        <v>6560</v>
      </c>
      <c r="AH43" s="34"/>
      <c r="AI43" s="20">
        <v>10516</v>
      </c>
      <c r="AJ43" s="20">
        <v>0.25900000000000001</v>
      </c>
      <c r="AK43" s="34">
        <f t="shared" si="27"/>
        <v>3680</v>
      </c>
      <c r="AL43" s="34"/>
      <c r="AM43" s="20">
        <v>78166</v>
      </c>
      <c r="AN43" s="20">
        <v>2.23</v>
      </c>
      <c r="AO43" s="34">
        <f t="shared" si="28"/>
        <v>55800</v>
      </c>
      <c r="AP43" s="34"/>
      <c r="AQ43" s="20">
        <v>14894</v>
      </c>
      <c r="AR43" s="20">
        <v>0.33</v>
      </c>
      <c r="AS43" s="34">
        <f t="shared" si="29"/>
        <v>1800</v>
      </c>
      <c r="AT43" s="34"/>
      <c r="AU43" s="205">
        <v>42144</v>
      </c>
      <c r="AV43" s="205"/>
      <c r="AW43" s="34">
        <f t="shared" si="30"/>
        <v>415</v>
      </c>
      <c r="AX43" s="34"/>
      <c r="AZ43" s="34">
        <f t="shared" si="0"/>
        <v>384535</v>
      </c>
      <c r="BA43" s="20">
        <f t="shared" si="51"/>
        <v>57600</v>
      </c>
      <c r="BB43" s="20">
        <f t="shared" si="52"/>
        <v>0.14979130638303406</v>
      </c>
      <c r="BC43" s="20"/>
      <c r="BD43" s="14"/>
      <c r="BE43" s="64">
        <f t="shared" si="40"/>
        <v>43716</v>
      </c>
      <c r="BF43" s="20">
        <v>53803</v>
      </c>
      <c r="BG43" s="34">
        <f t="shared" si="53"/>
        <v>18500</v>
      </c>
      <c r="BI43" s="20">
        <v>6822</v>
      </c>
      <c r="BJ43" s="34">
        <f t="shared" si="54"/>
        <v>2200</v>
      </c>
      <c r="BL43" s="20">
        <v>70064</v>
      </c>
      <c r="BM43" s="34">
        <f t="shared" si="33"/>
        <v>673</v>
      </c>
      <c r="BN43" s="20"/>
      <c r="BO43" s="20">
        <v>45856</v>
      </c>
      <c r="BP43" s="34">
        <f t="shared" si="34"/>
        <v>2760</v>
      </c>
      <c r="BR43" s="14"/>
      <c r="BS43" s="20">
        <f t="shared" si="3"/>
        <v>24133</v>
      </c>
      <c r="BT43" s="20"/>
      <c r="BU43" s="20"/>
      <c r="BW43" s="14"/>
      <c r="BY43" s="19">
        <f t="shared" si="4"/>
        <v>42144</v>
      </c>
      <c r="CC43" s="60">
        <f t="shared" ref="CC43:CC45" si="83">SUM(G43)</f>
        <v>76861</v>
      </c>
      <c r="CL43" s="60">
        <f t="shared" si="6"/>
        <v>81511</v>
      </c>
      <c r="CU43" s="60">
        <f t="shared" si="35"/>
        <v>64451</v>
      </c>
      <c r="DD43" s="60">
        <f t="shared" si="7"/>
        <v>14894</v>
      </c>
      <c r="DM43" s="60">
        <f t="shared" si="8"/>
        <v>61400</v>
      </c>
      <c r="DV43" s="60">
        <f t="shared" si="9"/>
        <v>9155</v>
      </c>
      <c r="EE43" s="60">
        <f t="shared" si="10"/>
        <v>64451</v>
      </c>
      <c r="EN43" s="60">
        <f t="shared" si="11"/>
        <v>9818</v>
      </c>
      <c r="EW43" s="60">
        <f t="shared" si="12"/>
        <v>15439</v>
      </c>
      <c r="FF43" s="60">
        <f t="shared" si="13"/>
        <v>10516</v>
      </c>
      <c r="FO43" s="19">
        <f t="shared" si="14"/>
        <v>78166</v>
      </c>
      <c r="FX43" s="50"/>
      <c r="GC43" s="14"/>
      <c r="GE43" s="60">
        <f t="shared" ref="GE43:GE45" si="84">SUM(BI43)</f>
        <v>6822</v>
      </c>
      <c r="GN43" s="60">
        <f t="shared" si="16"/>
        <v>53803</v>
      </c>
      <c r="GW43" s="60">
        <f t="shared" si="17"/>
        <v>70064</v>
      </c>
      <c r="HC43" s="60">
        <f t="shared" si="18"/>
        <v>45856</v>
      </c>
      <c r="HP43" s="18"/>
    </row>
    <row r="44" spans="2:228">
      <c r="B44" s="58">
        <v>43724</v>
      </c>
      <c r="C44" s="20">
        <v>81804</v>
      </c>
      <c r="D44" s="20">
        <v>2.173</v>
      </c>
      <c r="E44" s="34">
        <f t="shared" si="19"/>
        <v>46880</v>
      </c>
      <c r="F44" s="34"/>
      <c r="G44" s="20">
        <v>77163</v>
      </c>
      <c r="H44" s="20">
        <v>2.4329999999999998</v>
      </c>
      <c r="I44" s="34">
        <f t="shared" si="20"/>
        <v>48320</v>
      </c>
      <c r="J44" s="34"/>
      <c r="K44" s="20">
        <v>9241</v>
      </c>
      <c r="L44" s="20">
        <v>0.26200000000000001</v>
      </c>
      <c r="M44" s="34">
        <f t="shared" si="21"/>
        <v>12000</v>
      </c>
      <c r="N44" s="34"/>
      <c r="O44" s="20">
        <v>9182</v>
      </c>
      <c r="P44" s="20">
        <v>0.24099999999999999</v>
      </c>
      <c r="Q44" s="34">
        <f t="shared" si="22"/>
        <v>10800</v>
      </c>
      <c r="R44" s="34"/>
      <c r="S44" s="20">
        <v>9850</v>
      </c>
      <c r="T44" s="20">
        <v>0.28199999999999997</v>
      </c>
      <c r="U44" s="34">
        <f t="shared" si="23"/>
        <v>12800</v>
      </c>
      <c r="V44" s="34"/>
      <c r="W44" s="20">
        <v>64761</v>
      </c>
      <c r="X44" s="20">
        <v>2.6120000000000001</v>
      </c>
      <c r="Y44" s="34">
        <f t="shared" si="24"/>
        <v>93000</v>
      </c>
      <c r="Z44" s="34"/>
      <c r="AA44" s="20">
        <v>61706</v>
      </c>
      <c r="AB44" s="20">
        <v>2.46</v>
      </c>
      <c r="AC44" s="34">
        <f t="shared" si="25"/>
        <v>91800</v>
      </c>
      <c r="AD44" s="34"/>
      <c r="AE44" s="20">
        <v>15487</v>
      </c>
      <c r="AF44" s="20">
        <v>0.54</v>
      </c>
      <c r="AG44" s="34">
        <f t="shared" si="26"/>
        <v>7680</v>
      </c>
      <c r="AH44" s="34"/>
      <c r="AI44" s="20">
        <v>10543</v>
      </c>
      <c r="AJ44" s="20">
        <v>0.313</v>
      </c>
      <c r="AK44" s="34">
        <f t="shared" si="27"/>
        <v>4320</v>
      </c>
      <c r="AL44" s="34"/>
      <c r="AM44" s="20">
        <v>78442</v>
      </c>
      <c r="AN44" s="20">
        <v>2.234</v>
      </c>
      <c r="AO44" s="34">
        <f t="shared" si="28"/>
        <v>55200</v>
      </c>
      <c r="AP44" s="34"/>
      <c r="AQ44" s="20">
        <v>14937</v>
      </c>
      <c r="AR44" s="20">
        <v>0.36899999999999999</v>
      </c>
      <c r="AS44" s="34">
        <f t="shared" si="29"/>
        <v>1720</v>
      </c>
      <c r="AT44" s="34"/>
      <c r="AU44" s="205">
        <v>42540</v>
      </c>
      <c r="AV44" s="205"/>
      <c r="AW44" s="34">
        <f t="shared" si="30"/>
        <v>396</v>
      </c>
      <c r="AX44" s="34"/>
      <c r="AZ44" s="34">
        <f t="shared" si="0"/>
        <v>384916</v>
      </c>
      <c r="BA44" s="20">
        <f t="shared" si="51"/>
        <v>56920</v>
      </c>
      <c r="BB44" s="20">
        <f t="shared" si="52"/>
        <v>0.1478764197902919</v>
      </c>
      <c r="BC44" s="20"/>
      <c r="BD44" s="14"/>
      <c r="BE44" s="64">
        <f t="shared" si="40"/>
        <v>43724</v>
      </c>
      <c r="BF44" s="20">
        <v>53988</v>
      </c>
      <c r="BG44" s="34">
        <f t="shared" si="53"/>
        <v>18500</v>
      </c>
      <c r="BI44" s="20">
        <v>6844</v>
      </c>
      <c r="BJ44" s="34">
        <f t="shared" si="54"/>
        <v>2200</v>
      </c>
      <c r="BL44" s="20">
        <v>70975</v>
      </c>
      <c r="BM44" s="34">
        <f t="shared" si="33"/>
        <v>911</v>
      </c>
      <c r="BN44" s="20"/>
      <c r="BO44" s="20">
        <v>45973</v>
      </c>
      <c r="BP44" s="34">
        <f t="shared" si="34"/>
        <v>4680</v>
      </c>
      <c r="BR44" s="14"/>
      <c r="BS44" s="20">
        <f t="shared" si="3"/>
        <v>26291</v>
      </c>
      <c r="BT44" s="20"/>
      <c r="BU44" s="20"/>
      <c r="BW44" s="14"/>
      <c r="BY44" s="19">
        <f t="shared" si="4"/>
        <v>42540</v>
      </c>
      <c r="CC44" s="60">
        <f t="shared" si="83"/>
        <v>77163</v>
      </c>
      <c r="CL44" s="60">
        <f t="shared" si="6"/>
        <v>81804</v>
      </c>
      <c r="CU44" s="60">
        <f t="shared" si="35"/>
        <v>64761</v>
      </c>
      <c r="DD44" s="60">
        <f t="shared" si="7"/>
        <v>14937</v>
      </c>
      <c r="DM44" s="60">
        <f t="shared" si="8"/>
        <v>61706</v>
      </c>
      <c r="DV44" s="60">
        <f t="shared" si="9"/>
        <v>9182</v>
      </c>
      <c r="EE44" s="60">
        <f t="shared" si="10"/>
        <v>64761</v>
      </c>
      <c r="EN44" s="60">
        <f t="shared" si="11"/>
        <v>9850</v>
      </c>
      <c r="EW44" s="60">
        <f t="shared" si="12"/>
        <v>15487</v>
      </c>
      <c r="FF44" s="60">
        <f t="shared" si="13"/>
        <v>10543</v>
      </c>
      <c r="FO44" s="19">
        <f t="shared" si="14"/>
        <v>78442</v>
      </c>
      <c r="FX44" s="50"/>
      <c r="GC44" s="14"/>
      <c r="GE44" s="60">
        <f t="shared" si="84"/>
        <v>6844</v>
      </c>
      <c r="GN44" s="60">
        <f t="shared" si="16"/>
        <v>53988</v>
      </c>
      <c r="GW44" s="60">
        <f t="shared" si="17"/>
        <v>70975</v>
      </c>
      <c r="HC44" s="60">
        <f t="shared" si="18"/>
        <v>45973</v>
      </c>
      <c r="HP44" s="18"/>
    </row>
    <row r="45" spans="2:228">
      <c r="B45" s="58">
        <v>43730</v>
      </c>
      <c r="C45" s="20">
        <v>82098</v>
      </c>
      <c r="D45" s="20">
        <v>2.1179999999999999</v>
      </c>
      <c r="E45" s="34">
        <f t="shared" si="19"/>
        <v>47040</v>
      </c>
      <c r="F45" s="34"/>
      <c r="G45" s="20">
        <v>77467</v>
      </c>
      <c r="H45" s="20">
        <v>2.4039999999999999</v>
      </c>
      <c r="I45" s="34">
        <f t="shared" si="20"/>
        <v>48640</v>
      </c>
      <c r="J45" s="34"/>
      <c r="K45" s="20">
        <v>9273</v>
      </c>
      <c r="L45" s="20">
        <v>0.24399999999999999</v>
      </c>
      <c r="M45" s="34">
        <f t="shared" si="21"/>
        <v>12800</v>
      </c>
      <c r="N45" s="34"/>
      <c r="O45" s="20">
        <v>9210</v>
      </c>
      <c r="P45" s="20">
        <v>0.21199999999999999</v>
      </c>
      <c r="Q45" s="34">
        <f t="shared" si="22"/>
        <v>11200</v>
      </c>
      <c r="R45" s="34"/>
      <c r="S45" s="20">
        <v>9881</v>
      </c>
      <c r="T45" s="20">
        <v>0.26700000000000002</v>
      </c>
      <c r="U45" s="34">
        <f t="shared" si="23"/>
        <v>12400</v>
      </c>
      <c r="V45" s="34"/>
      <c r="W45" s="20">
        <v>65037</v>
      </c>
      <c r="X45" s="20">
        <v>2.0489999999999999</v>
      </c>
      <c r="Y45" s="34">
        <f t="shared" si="24"/>
        <v>82800</v>
      </c>
      <c r="Z45" s="34"/>
      <c r="AA45" s="20">
        <v>61947</v>
      </c>
      <c r="AB45" s="20">
        <v>0.94299999999999995</v>
      </c>
      <c r="AC45" s="34">
        <f t="shared" si="25"/>
        <v>72300</v>
      </c>
      <c r="AD45" s="34"/>
      <c r="AE45" s="20">
        <v>15537</v>
      </c>
      <c r="AF45" s="20">
        <v>0.22</v>
      </c>
      <c r="AG45" s="34">
        <f t="shared" si="26"/>
        <v>8000</v>
      </c>
      <c r="AH45" s="34"/>
      <c r="AI45" s="20">
        <v>10570</v>
      </c>
      <c r="AJ45" s="20">
        <v>0.14099999999999999</v>
      </c>
      <c r="AK45" s="34">
        <f t="shared" si="27"/>
        <v>4320</v>
      </c>
      <c r="AL45" s="34"/>
      <c r="AM45" s="20">
        <v>78713</v>
      </c>
      <c r="AN45" s="20">
        <v>2.0720000000000001</v>
      </c>
      <c r="AO45" s="34">
        <f t="shared" si="28"/>
        <v>54200</v>
      </c>
      <c r="AP45" s="34"/>
      <c r="AQ45" s="20">
        <v>14981</v>
      </c>
      <c r="AR45" s="20">
        <v>0.315</v>
      </c>
      <c r="AS45" s="34">
        <f t="shared" si="29"/>
        <v>1760</v>
      </c>
      <c r="AT45" s="34"/>
      <c r="AU45" s="205">
        <v>42943</v>
      </c>
      <c r="AV45" s="205"/>
      <c r="AW45" s="34">
        <f t="shared" si="30"/>
        <v>403</v>
      </c>
      <c r="AX45" s="34"/>
      <c r="AZ45" s="34">
        <f t="shared" si="0"/>
        <v>355863</v>
      </c>
      <c r="BA45" s="20">
        <f t="shared" si="51"/>
        <v>55960</v>
      </c>
      <c r="BB45" s="20">
        <f t="shared" si="52"/>
        <v>0.15725152657061847</v>
      </c>
      <c r="BC45" s="20"/>
      <c r="BD45" s="14"/>
      <c r="BE45" s="64">
        <f t="shared" si="40"/>
        <v>43730</v>
      </c>
      <c r="BF45" s="20">
        <v>54161</v>
      </c>
      <c r="BG45" s="34">
        <f t="shared" si="53"/>
        <v>17300</v>
      </c>
      <c r="BI45" s="20">
        <v>6865</v>
      </c>
      <c r="BJ45" s="34">
        <f t="shared" si="54"/>
        <v>2100</v>
      </c>
      <c r="BL45" s="20">
        <v>71879</v>
      </c>
      <c r="BM45" s="34">
        <f t="shared" si="33"/>
        <v>904</v>
      </c>
      <c r="BN45" s="20"/>
      <c r="BO45" s="20">
        <v>46075</v>
      </c>
      <c r="BP45" s="34">
        <f t="shared" si="34"/>
        <v>4080</v>
      </c>
      <c r="BR45" s="14"/>
      <c r="BS45" s="20">
        <f t="shared" si="3"/>
        <v>24384</v>
      </c>
      <c r="BT45" s="20"/>
      <c r="BU45" s="20"/>
      <c r="BW45" s="14"/>
      <c r="BY45" s="19">
        <f t="shared" si="4"/>
        <v>42943</v>
      </c>
      <c r="CC45" s="60">
        <f t="shared" si="83"/>
        <v>77467</v>
      </c>
      <c r="CL45" s="60">
        <f t="shared" si="6"/>
        <v>82098</v>
      </c>
      <c r="CU45" s="60">
        <f t="shared" si="35"/>
        <v>65037</v>
      </c>
      <c r="DD45" s="60">
        <f t="shared" si="7"/>
        <v>14981</v>
      </c>
      <c r="DM45" s="60">
        <f t="shared" si="8"/>
        <v>61947</v>
      </c>
      <c r="DV45" s="60">
        <f t="shared" si="9"/>
        <v>9210</v>
      </c>
      <c r="EE45" s="60">
        <f t="shared" si="10"/>
        <v>65037</v>
      </c>
      <c r="EN45" s="60">
        <f t="shared" si="11"/>
        <v>9881</v>
      </c>
      <c r="EW45" s="60">
        <f t="shared" si="12"/>
        <v>15537</v>
      </c>
      <c r="FF45" s="60">
        <f t="shared" si="13"/>
        <v>10570</v>
      </c>
      <c r="FO45" s="19">
        <f t="shared" si="14"/>
        <v>78713</v>
      </c>
      <c r="FX45" s="50"/>
      <c r="GC45" s="14"/>
      <c r="GE45" s="60">
        <f t="shared" si="84"/>
        <v>6865</v>
      </c>
      <c r="GN45" s="60">
        <f t="shared" si="16"/>
        <v>54161</v>
      </c>
      <c r="GW45" s="60">
        <f t="shared" si="17"/>
        <v>71879</v>
      </c>
      <c r="HC45" s="60">
        <f t="shared" si="18"/>
        <v>46075</v>
      </c>
      <c r="HP45" s="18"/>
    </row>
    <row r="46" spans="2:228">
      <c r="B46" s="58">
        <v>43738</v>
      </c>
      <c r="C46" s="20">
        <v>82396</v>
      </c>
      <c r="D46" s="20">
        <v>2.1709999999999998</v>
      </c>
      <c r="E46" s="34">
        <f t="shared" si="19"/>
        <v>47680</v>
      </c>
      <c r="F46" s="34"/>
      <c r="G46" s="20">
        <v>77776</v>
      </c>
      <c r="H46" s="20">
        <v>2.4039999999999999</v>
      </c>
      <c r="I46" s="34">
        <f t="shared" si="20"/>
        <v>49440</v>
      </c>
      <c r="J46" s="34"/>
      <c r="K46" s="20">
        <v>9305</v>
      </c>
      <c r="L46" s="20">
        <v>0.26300000000000001</v>
      </c>
      <c r="M46" s="34">
        <f t="shared" si="21"/>
        <v>12800</v>
      </c>
      <c r="N46" s="34"/>
      <c r="O46" s="20">
        <v>9240</v>
      </c>
      <c r="P46" s="20">
        <v>0.253</v>
      </c>
      <c r="Q46" s="34">
        <f t="shared" si="22"/>
        <v>12000</v>
      </c>
      <c r="R46" s="34"/>
      <c r="S46" s="20">
        <v>9913</v>
      </c>
      <c r="T46" s="20">
        <v>0.26700000000000002</v>
      </c>
      <c r="U46" s="34">
        <f t="shared" si="23"/>
        <v>12800</v>
      </c>
      <c r="V46" s="34"/>
      <c r="W46" s="20">
        <v>65264</v>
      </c>
      <c r="X46" s="20">
        <v>2.5529999999999999</v>
      </c>
      <c r="Y46" s="34">
        <f t="shared" si="24"/>
        <v>68100</v>
      </c>
      <c r="Z46" s="34"/>
      <c r="AA46" s="20">
        <v>62207</v>
      </c>
      <c r="AB46" s="20">
        <v>2.1309999999999998</v>
      </c>
      <c r="AC46" s="34">
        <f t="shared" si="25"/>
        <v>78000</v>
      </c>
      <c r="AD46" s="34"/>
      <c r="AE46" s="20">
        <v>15576</v>
      </c>
      <c r="AF46" s="20">
        <v>0.33300000000000002</v>
      </c>
      <c r="AG46" s="34">
        <f t="shared" si="26"/>
        <v>6240</v>
      </c>
      <c r="AH46" s="34"/>
      <c r="AI46" s="20">
        <v>10596</v>
      </c>
      <c r="AJ46" s="20">
        <v>0.307</v>
      </c>
      <c r="AK46" s="34">
        <f t="shared" si="27"/>
        <v>4160</v>
      </c>
      <c r="AL46" s="34"/>
      <c r="AM46" s="20">
        <v>78993</v>
      </c>
      <c r="AN46" s="20">
        <v>2.266</v>
      </c>
      <c r="AO46" s="34">
        <f t="shared" si="28"/>
        <v>56000</v>
      </c>
      <c r="AP46" s="34"/>
      <c r="AQ46" s="20">
        <v>15024</v>
      </c>
      <c r="AR46" s="20">
        <v>0.35699999999999998</v>
      </c>
      <c r="AS46" s="34">
        <f t="shared" si="29"/>
        <v>1720</v>
      </c>
      <c r="AT46" s="34"/>
      <c r="AU46" s="205">
        <v>43355</v>
      </c>
      <c r="AV46" s="205"/>
      <c r="AW46" s="34">
        <f t="shared" si="30"/>
        <v>412</v>
      </c>
      <c r="AX46" s="34"/>
      <c r="AZ46" s="34">
        <f t="shared" si="0"/>
        <v>349352</v>
      </c>
      <c r="BA46" s="20">
        <f t="shared" si="51"/>
        <v>57720</v>
      </c>
      <c r="BB46" s="20">
        <f t="shared" si="52"/>
        <v>0.16522017907440059</v>
      </c>
      <c r="BC46" s="20">
        <f>SUM(AZ43:AZ46)</f>
        <v>1474666</v>
      </c>
      <c r="BD46" s="14"/>
      <c r="BE46" s="64">
        <f t="shared" si="40"/>
        <v>43738</v>
      </c>
      <c r="BF46" s="20">
        <v>54331</v>
      </c>
      <c r="BG46" s="34">
        <f t="shared" si="53"/>
        <v>17000</v>
      </c>
      <c r="BI46" s="20">
        <v>6885</v>
      </c>
      <c r="BJ46" s="34">
        <f t="shared" si="54"/>
        <v>2000</v>
      </c>
      <c r="BL46" s="20">
        <v>72785</v>
      </c>
      <c r="BM46" s="34">
        <f t="shared" si="33"/>
        <v>906</v>
      </c>
      <c r="BN46" s="20"/>
      <c r="BO46" s="20">
        <v>46217</v>
      </c>
      <c r="BP46" s="34">
        <f t="shared" si="34"/>
        <v>5680</v>
      </c>
      <c r="BR46" s="14"/>
      <c r="BS46" s="20">
        <f t="shared" si="3"/>
        <v>25586</v>
      </c>
      <c r="BT46" s="20">
        <f>SUM(BS43:BS46)</f>
        <v>100394</v>
      </c>
      <c r="BU46" s="20">
        <f>SUM(BC46+BT46)</f>
        <v>1575060</v>
      </c>
      <c r="BW46" s="14"/>
      <c r="BY46" s="19">
        <f t="shared" si="4"/>
        <v>43355</v>
      </c>
      <c r="BZ46" s="20">
        <v>42980</v>
      </c>
      <c r="CA46" s="19">
        <f>SUM(BZ46-BZ42)</f>
        <v>1587</v>
      </c>
      <c r="CB46" s="59">
        <f>SUM(CA46*0.11895+CA46*0.02531)*1.08+2.85</f>
        <v>250.10586960000001</v>
      </c>
      <c r="CC46" s="60">
        <f t="shared" ref="CC46" si="85">SUM(G46)</f>
        <v>77776</v>
      </c>
      <c r="CD46" s="20">
        <v>77554</v>
      </c>
      <c r="CE46" s="20">
        <v>2.4329999999999998</v>
      </c>
      <c r="CF46" s="19">
        <f>SUM(CD46-CD42)*160</f>
        <v>185440</v>
      </c>
      <c r="CG46" s="19">
        <f>(CE46)*160</f>
        <v>389.28</v>
      </c>
      <c r="CH46" s="59">
        <f>SUM(CF46*0.0406)</f>
        <v>7528.8639999999996</v>
      </c>
      <c r="CI46" s="59">
        <f>SUM(CF46*0.02531)</f>
        <v>4693.4863999999998</v>
      </c>
      <c r="CJ46" s="59">
        <f>SUM(CG46*6.99)</f>
        <v>2721.0672</v>
      </c>
      <c r="CK46" s="59">
        <f>SUM(CH46+CI46)*1.08</f>
        <v>13200.138432</v>
      </c>
      <c r="CL46" s="60">
        <f t="shared" si="6"/>
        <v>82396</v>
      </c>
      <c r="CM46" s="20">
        <v>82181</v>
      </c>
      <c r="CN46" s="20">
        <v>2.173</v>
      </c>
      <c r="CO46" s="19">
        <f>SUM(CM46-CM42)*160</f>
        <v>180320</v>
      </c>
      <c r="CP46" s="19">
        <f>(CN46)*160</f>
        <v>347.68</v>
      </c>
      <c r="CQ46" s="59">
        <f>SUM(CO46*0.0406)</f>
        <v>7320.9919999999993</v>
      </c>
      <c r="CR46" s="59">
        <f>SUM(CO46*0.02531)</f>
        <v>4563.8991999999998</v>
      </c>
      <c r="CS46" s="59">
        <f>SUM(CP46*6.99)</f>
        <v>2430.2832000000003</v>
      </c>
      <c r="CT46" s="59">
        <f>SUM((CQ46+CR46)+20)* 1.08</f>
        <v>12857.282496</v>
      </c>
      <c r="CU46" s="60">
        <f t="shared" si="35"/>
        <v>65264</v>
      </c>
      <c r="CV46" s="20">
        <v>65098</v>
      </c>
      <c r="CW46" s="20">
        <v>2.6120000000000001</v>
      </c>
      <c r="CX46" s="19">
        <f>SUM(CV46-CV42)*300</f>
        <v>333900</v>
      </c>
      <c r="CY46" s="19">
        <f>(CW46)*300</f>
        <v>783.6</v>
      </c>
      <c r="CZ46" s="59">
        <f>SUM(CX46*0.0406)</f>
        <v>13556.339999999998</v>
      </c>
      <c r="DA46" s="59">
        <f>SUM(CX46*0.02531)</f>
        <v>8451.009</v>
      </c>
      <c r="DB46" s="59">
        <f>SUM(CY46*6.99)</f>
        <v>5477.3640000000005</v>
      </c>
      <c r="DC46" s="59">
        <f>SUM((CZ46+DA46)+20)*1.09</f>
        <v>24009.810409999998</v>
      </c>
      <c r="DD46" s="60">
        <f t="shared" si="7"/>
        <v>15024</v>
      </c>
      <c r="DE46" s="20">
        <v>14993</v>
      </c>
      <c r="DF46" s="20">
        <v>0.36899999999999999</v>
      </c>
      <c r="DG46" s="19">
        <f>(DE46-DE42)*40</f>
        <v>6600</v>
      </c>
      <c r="DH46" s="19">
        <f>(DF46)*40</f>
        <v>14.76</v>
      </c>
      <c r="DI46" s="59">
        <f>SUM(DG46*0.0406)</f>
        <v>267.95999999999998</v>
      </c>
      <c r="DJ46" s="59">
        <f>SUM(DG46*0.02531)</f>
        <v>167.04599999999999</v>
      </c>
      <c r="DK46" s="59">
        <f>SUM(DH46*6.99)</f>
        <v>103.1724</v>
      </c>
      <c r="DL46" s="59">
        <f>SUM((DI46+DJ46)+20)*1.09</f>
        <v>495.95654000000002</v>
      </c>
      <c r="DM46" s="60">
        <f t="shared" si="8"/>
        <v>62207</v>
      </c>
      <c r="DN46" s="20">
        <v>62009</v>
      </c>
      <c r="DO46" s="20">
        <v>2.46</v>
      </c>
      <c r="DP46" s="19">
        <f>SUM(DN46-DN42)*300</f>
        <v>315300</v>
      </c>
      <c r="DQ46" s="61">
        <f>(DO46)*300</f>
        <v>738</v>
      </c>
      <c r="DR46" s="59">
        <f>SUM(DP46*0.0406)</f>
        <v>12801.179999999998</v>
      </c>
      <c r="DS46" s="59">
        <f>SUM(DP46*0.02531)</f>
        <v>7980.2429999999995</v>
      </c>
      <c r="DT46" s="59">
        <f>SUM(DQ46*6.99)</f>
        <v>5158.62</v>
      </c>
      <c r="DU46" s="59">
        <f>SUM((DR46+DS46)+20)*1.085</f>
        <v>22569.543954999997</v>
      </c>
      <c r="DV46" s="60">
        <f t="shared" si="9"/>
        <v>9240</v>
      </c>
      <c r="DW46" s="20">
        <v>9218</v>
      </c>
      <c r="DX46" s="20">
        <v>0.24099999999999999</v>
      </c>
      <c r="DY46" s="19">
        <f>SUM(DW46-DW42)*400</f>
        <v>42000</v>
      </c>
      <c r="DZ46" s="61">
        <f>(DX46)*400</f>
        <v>96.399999999999991</v>
      </c>
      <c r="EA46" s="59">
        <f>SUM(DY46*0.0406)</f>
        <v>1705.1999999999998</v>
      </c>
      <c r="EB46" s="59">
        <f>SUM(DY46*0.02531)</f>
        <v>1063.02</v>
      </c>
      <c r="EC46" s="59">
        <f>SUM(DZ46*6.99)</f>
        <v>673.83600000000001</v>
      </c>
      <c r="ED46" s="59">
        <f>SUM((EA46+EB46)+20)*1.09</f>
        <v>3039.1597999999999</v>
      </c>
      <c r="EE46" s="60">
        <f t="shared" si="10"/>
        <v>65264</v>
      </c>
      <c r="EF46" s="20">
        <v>9281</v>
      </c>
      <c r="EG46" s="20">
        <v>0.26200000000000001</v>
      </c>
      <c r="EH46" s="19">
        <f>SUM(EF46-EF42)*400</f>
        <v>45600</v>
      </c>
      <c r="EI46" s="19">
        <f>(EG46)*400</f>
        <v>104.80000000000001</v>
      </c>
      <c r="EJ46" s="59">
        <f>SUM(EH46*0.0406)</f>
        <v>1851.36</v>
      </c>
      <c r="EK46" s="59">
        <f>SUM(EH46*0.02531)</f>
        <v>1154.136</v>
      </c>
      <c r="EL46" s="59">
        <f>SUM(EI46*6.99)</f>
        <v>732.55200000000013</v>
      </c>
      <c r="EM46" s="59">
        <f>SUM((EJ46+EK46)+20)*1.09</f>
        <v>3297.7906400000002</v>
      </c>
      <c r="EN46" s="60">
        <f t="shared" si="11"/>
        <v>9913</v>
      </c>
      <c r="EO46" s="20">
        <v>9890</v>
      </c>
      <c r="EP46" s="20">
        <v>0.28199999999999997</v>
      </c>
      <c r="EQ46" s="19">
        <f>SUM(EO46-EO42)*400</f>
        <v>47200</v>
      </c>
      <c r="ER46" s="19">
        <f>(EP46)*400</f>
        <v>112.79999999999998</v>
      </c>
      <c r="ES46" s="59">
        <f>SUM(EQ46*0.0406)</f>
        <v>1916.32</v>
      </c>
      <c r="ET46" s="59">
        <f>SUM(EQ46*0.02531)</f>
        <v>1194.6320000000001</v>
      </c>
      <c r="EU46" s="59">
        <f>SUM(ER46*6.99)</f>
        <v>788.47199999999987</v>
      </c>
      <c r="EV46" s="59">
        <f>SUM((ES46+ET46)+20)*1.09</f>
        <v>3412.7376800000006</v>
      </c>
      <c r="EW46" s="60">
        <f t="shared" si="12"/>
        <v>15576</v>
      </c>
      <c r="EX46" s="20">
        <v>15548</v>
      </c>
      <c r="EY46" s="20">
        <v>0.58599999999999997</v>
      </c>
      <c r="EZ46" s="19">
        <f>SUM(EX46-EX42)*160</f>
        <v>27200</v>
      </c>
      <c r="FA46" s="19">
        <f>(EY46)*160</f>
        <v>93.759999999999991</v>
      </c>
      <c r="FB46" s="59">
        <f>SUM(EZ46*0.0406)</f>
        <v>1104.32</v>
      </c>
      <c r="FC46" s="59">
        <f>SUM(EZ46*0.02531)</f>
        <v>688.43200000000002</v>
      </c>
      <c r="FD46" s="59">
        <f>SUM(FA46*6.99)</f>
        <v>655.38239999999996</v>
      </c>
      <c r="FE46" s="59">
        <f>SUM((FB46+FC46)+20)*1.09</f>
        <v>1975.89968</v>
      </c>
      <c r="FF46" s="60">
        <f t="shared" si="13"/>
        <v>10596</v>
      </c>
      <c r="FG46" s="20">
        <v>10577</v>
      </c>
      <c r="FH46" s="20">
        <v>0.34</v>
      </c>
      <c r="FI46" s="19">
        <f>SUM(FG46-FG42)*160</f>
        <v>15200</v>
      </c>
      <c r="FJ46" s="19">
        <f>(FH46)*160</f>
        <v>54.400000000000006</v>
      </c>
      <c r="FK46" s="59">
        <f>SUM(FI46*0.0406)</f>
        <v>617.12</v>
      </c>
      <c r="FL46" s="59">
        <f>SUM(FI46*0.02531)</f>
        <v>384.71199999999999</v>
      </c>
      <c r="FM46" s="59">
        <f>SUM(FJ46*6.99)</f>
        <v>380.25600000000003</v>
      </c>
      <c r="FN46" s="59">
        <f>SUM((FK46+FL46)+20)*1.09</f>
        <v>1113.7968800000001</v>
      </c>
      <c r="FO46" s="19">
        <f t="shared" si="14"/>
        <v>78993</v>
      </c>
      <c r="FP46" s="20">
        <v>78789</v>
      </c>
      <c r="FQ46" s="20">
        <v>2.234</v>
      </c>
      <c r="FR46" s="19">
        <f>SUM(FP46-FP42)*200</f>
        <v>209400</v>
      </c>
      <c r="FS46" s="19">
        <f>(FQ46)*200</f>
        <v>446.8</v>
      </c>
      <c r="FT46" s="59">
        <f>SUM(FR46*0.0406)</f>
        <v>8501.64</v>
      </c>
      <c r="FU46" s="59">
        <f>SUM(FR46*0.02531)</f>
        <v>5299.9139999999998</v>
      </c>
      <c r="FV46" s="59">
        <f>SUM(FS46*6.99)</f>
        <v>3123.1320000000001</v>
      </c>
      <c r="FW46" s="59">
        <f>SUM((FT46+FU46)+20)*1.09</f>
        <v>15065.49386</v>
      </c>
      <c r="FX46" s="50"/>
      <c r="FY46" s="74">
        <f>SUM(CA46+CF46+CO46+CX46+DG46+DP46+DY46+EH46+EQ46+EZ46+FI46+FR46)</f>
        <v>1409747</v>
      </c>
      <c r="FZ46" s="75">
        <f>SUM(CB46+CK46,CT46,DC46,DL46,DU46,ED46,EM46,EV46,FE46,FN46+FW46)</f>
        <v>101287.7162426</v>
      </c>
      <c r="GA46" s="75">
        <f>SUM(CJ46,CS46,DB46,DK46,DT46,EC46,EL46,EU46,FD46,FM46,FV46)</f>
        <v>22244.137200000001</v>
      </c>
      <c r="GB46" s="75">
        <f>SUM(FZ46:GA46)</f>
        <v>123531.8534426</v>
      </c>
      <c r="GC46" s="14"/>
      <c r="GE46" s="60">
        <f t="shared" ref="GE46" si="86">SUM(BI46)</f>
        <v>6885</v>
      </c>
      <c r="GF46" s="20">
        <v>6870</v>
      </c>
      <c r="GG46" s="20">
        <v>0.27700000000000002</v>
      </c>
      <c r="GH46" s="19">
        <f>SUM(GF46-GF42)*100</f>
        <v>7900</v>
      </c>
      <c r="GI46" s="19">
        <f>SUM(GG46)*100</f>
        <v>27.700000000000003</v>
      </c>
      <c r="GJ46" s="62">
        <f>SUM(GH46*0.0406)</f>
        <v>320.73999999999995</v>
      </c>
      <c r="GK46" s="62">
        <f>SUM(GH46*0.02531)</f>
        <v>199.94899999999998</v>
      </c>
      <c r="GL46" s="62">
        <f>SUM(GI46*6.99)</f>
        <v>193.62300000000002</v>
      </c>
      <c r="GM46" s="59">
        <f>SUM(GK46+GJ46+20)*1.1048</f>
        <v>597.35320719999993</v>
      </c>
      <c r="GN46" s="60">
        <f t="shared" si="16"/>
        <v>54331</v>
      </c>
      <c r="GO46" s="20">
        <v>54204</v>
      </c>
      <c r="GP46" s="20">
        <v>2.1259999999999999</v>
      </c>
      <c r="GQ46" s="19">
        <f>SUM(GO46-GO42)*100</f>
        <v>66700</v>
      </c>
      <c r="GR46" s="19">
        <f>SUM(GP46)*100</f>
        <v>212.6</v>
      </c>
      <c r="GS46" s="62">
        <f>SUM(GQ46*0.0406)</f>
        <v>2708.02</v>
      </c>
      <c r="GT46" s="62">
        <f>SUM(GQ46*0.02531)</f>
        <v>1688.1769999999999</v>
      </c>
      <c r="GU46" s="62">
        <f>SUM(GR46*6.99)</f>
        <v>1486.0740000000001</v>
      </c>
      <c r="GV46" s="59">
        <f>SUM(GT46+GS46+20)*1.1048</f>
        <v>4879.0144455999998</v>
      </c>
      <c r="GW46" s="60">
        <f t="shared" si="17"/>
        <v>72785</v>
      </c>
      <c r="GX46" s="20">
        <v>72126</v>
      </c>
      <c r="GY46" s="19">
        <f>SUM(GX46-GX42)</f>
        <v>3195</v>
      </c>
      <c r="GZ46" s="59">
        <f>SUM(GY46*0.11895)</f>
        <v>380.04525000000001</v>
      </c>
      <c r="HA46" s="59">
        <f>SUM(GY46*0.02531)</f>
        <v>80.865449999999996</v>
      </c>
      <c r="HB46" s="59">
        <f>SUM(GZ46+HA46+2.32)*1.07</f>
        <v>495.65684900000002</v>
      </c>
      <c r="HC46" s="60">
        <f t="shared" si="18"/>
        <v>46217</v>
      </c>
      <c r="HD46" s="20">
        <v>46102</v>
      </c>
      <c r="HE46" s="20">
        <v>3.4969999999999999</v>
      </c>
      <c r="HF46" s="19">
        <f>SUM(HD46-HD42)*40</f>
        <v>12840</v>
      </c>
      <c r="HG46" s="19">
        <f>SUM(HE46)*40</f>
        <v>139.88</v>
      </c>
      <c r="HH46" s="59">
        <f>SUM(HF46*0.0406)</f>
        <v>521.30399999999997</v>
      </c>
      <c r="HI46" s="59">
        <f>SUM(HF46*0.02531)</f>
        <v>324.98039999999997</v>
      </c>
      <c r="HJ46" s="59">
        <f>SUM(HG46*6.99)</f>
        <v>977.76120000000003</v>
      </c>
      <c r="HK46" s="59">
        <f>SUM(HI46+HH46+20)*1.1048</f>
        <v>957.07100512</v>
      </c>
      <c r="HL46" s="20">
        <f>SUM(GH46+GQ46+GY46+HF46)</f>
        <v>90635</v>
      </c>
      <c r="HM46" s="75">
        <f>SUM(HK46+HB46+GV46+GM46)</f>
        <v>6929.0955069199999</v>
      </c>
      <c r="HN46" s="75">
        <f>SUM(GL46+GU46+HJ46)</f>
        <v>2657.4582</v>
      </c>
      <c r="HO46" s="75">
        <f>SUM(HM46:HN46)</f>
        <v>9586.55370692</v>
      </c>
      <c r="HP46" s="18"/>
      <c r="HQ46" s="74">
        <f t="shared" ref="HQ46:HS46" si="87">(FY46+HL46)</f>
        <v>1500382</v>
      </c>
      <c r="HR46" s="75">
        <f t="shared" si="87"/>
        <v>108216.81174952</v>
      </c>
      <c r="HS46" s="75">
        <f t="shared" si="87"/>
        <v>24901.595400000002</v>
      </c>
      <c r="HT46" s="75">
        <f t="shared" ref="HT46" si="88">(HR46+HS46)</f>
        <v>133118.40714952</v>
      </c>
    </row>
    <row r="47" spans="2:228">
      <c r="B47" s="58">
        <v>43744</v>
      </c>
      <c r="C47" s="20">
        <v>82687</v>
      </c>
      <c r="D47" s="20">
        <v>2.1709999999999998</v>
      </c>
      <c r="E47" s="34">
        <f t="shared" si="19"/>
        <v>46560</v>
      </c>
      <c r="F47" s="34"/>
      <c r="G47" s="20">
        <v>78076</v>
      </c>
      <c r="H47" s="20">
        <v>2.4039999999999999</v>
      </c>
      <c r="I47" s="34">
        <f t="shared" si="20"/>
        <v>48000</v>
      </c>
      <c r="J47" s="34"/>
      <c r="K47" s="20">
        <v>9337</v>
      </c>
      <c r="L47" s="20">
        <v>0.26600000000000001</v>
      </c>
      <c r="M47" s="34">
        <f t="shared" si="21"/>
        <v>12800</v>
      </c>
      <c r="N47" s="34"/>
      <c r="O47" s="20">
        <v>9269</v>
      </c>
      <c r="P47" s="20">
        <v>0.253</v>
      </c>
      <c r="Q47" s="34">
        <f t="shared" si="22"/>
        <v>11600</v>
      </c>
      <c r="R47" s="34"/>
      <c r="S47" s="20">
        <v>9945</v>
      </c>
      <c r="T47" s="20">
        <v>0.26700000000000002</v>
      </c>
      <c r="U47" s="34">
        <f t="shared" si="23"/>
        <v>12800</v>
      </c>
      <c r="V47" s="34"/>
      <c r="W47" s="20">
        <v>65621</v>
      </c>
      <c r="X47" s="20">
        <v>2.8490000000000002</v>
      </c>
      <c r="Y47" s="34">
        <f t="shared" si="24"/>
        <v>107100</v>
      </c>
      <c r="Z47" s="34"/>
      <c r="AA47" s="20">
        <v>62364</v>
      </c>
      <c r="AB47" s="20">
        <v>2.2360000000000002</v>
      </c>
      <c r="AC47" s="34">
        <f t="shared" si="25"/>
        <v>47100</v>
      </c>
      <c r="AD47" s="34"/>
      <c r="AE47" s="20">
        <v>15618</v>
      </c>
      <c r="AF47" s="20">
        <v>0.35799999999999998</v>
      </c>
      <c r="AG47" s="34">
        <f t="shared" si="26"/>
        <v>6720</v>
      </c>
      <c r="AH47" s="34"/>
      <c r="AI47" s="20">
        <v>10621</v>
      </c>
      <c r="AJ47" s="20">
        <v>0.315</v>
      </c>
      <c r="AK47" s="34">
        <f t="shared" si="27"/>
        <v>4000</v>
      </c>
      <c r="AL47" s="34"/>
      <c r="AM47" s="20">
        <v>79261</v>
      </c>
      <c r="AN47" s="20">
        <v>2.266</v>
      </c>
      <c r="AO47" s="34">
        <f t="shared" si="28"/>
        <v>53600</v>
      </c>
      <c r="AP47" s="34"/>
      <c r="AQ47" s="20">
        <v>15067</v>
      </c>
      <c r="AR47" s="20">
        <v>0.36199999999999999</v>
      </c>
      <c r="AS47" s="34">
        <f t="shared" si="29"/>
        <v>1720</v>
      </c>
      <c r="AT47" s="34"/>
      <c r="AU47" s="205">
        <v>43771</v>
      </c>
      <c r="AV47" s="205"/>
      <c r="AW47" s="34">
        <f t="shared" si="30"/>
        <v>416</v>
      </c>
      <c r="AX47" s="34"/>
      <c r="AZ47" s="34">
        <f t="shared" si="0"/>
        <v>352416</v>
      </c>
      <c r="BA47" s="20">
        <f t="shared" si="51"/>
        <v>55320</v>
      </c>
      <c r="BB47" s="20">
        <f t="shared" si="52"/>
        <v>0.15697357668210296</v>
      </c>
      <c r="BC47" s="20"/>
      <c r="BD47" s="14"/>
      <c r="BE47" s="64">
        <f t="shared" si="40"/>
        <v>43744</v>
      </c>
      <c r="BF47" s="20">
        <v>54531</v>
      </c>
      <c r="BG47" s="34">
        <f t="shared" si="53"/>
        <v>20000</v>
      </c>
      <c r="BI47" s="20">
        <v>6909</v>
      </c>
      <c r="BJ47" s="34">
        <f t="shared" si="54"/>
        <v>2400</v>
      </c>
      <c r="BL47" s="20">
        <v>73814</v>
      </c>
      <c r="BM47" s="34">
        <f t="shared" si="33"/>
        <v>1029</v>
      </c>
      <c r="BN47" s="20"/>
      <c r="BO47" s="20">
        <v>46313</v>
      </c>
      <c r="BP47" s="34">
        <f t="shared" si="34"/>
        <v>3840</v>
      </c>
      <c r="BR47" s="14"/>
      <c r="BS47" s="20">
        <f t="shared" si="3"/>
        <v>27269</v>
      </c>
      <c r="BT47" s="20"/>
      <c r="BU47" s="20"/>
      <c r="BW47" s="14"/>
      <c r="BY47" s="19">
        <f t="shared" si="4"/>
        <v>43771</v>
      </c>
      <c r="CC47" s="60">
        <f t="shared" ref="CC47:CC50" si="89">SUM(G47)</f>
        <v>78076</v>
      </c>
      <c r="CL47" s="60">
        <f t="shared" si="6"/>
        <v>82687</v>
      </c>
      <c r="CU47" s="60">
        <f t="shared" si="35"/>
        <v>65621</v>
      </c>
      <c r="DD47" s="60">
        <f t="shared" si="7"/>
        <v>15067</v>
      </c>
      <c r="DM47" s="60">
        <f t="shared" si="8"/>
        <v>62364</v>
      </c>
      <c r="DV47" s="60">
        <f t="shared" si="9"/>
        <v>9269</v>
      </c>
      <c r="EE47" s="60">
        <f t="shared" si="10"/>
        <v>65621</v>
      </c>
      <c r="EN47" s="60">
        <f t="shared" si="11"/>
        <v>9945</v>
      </c>
      <c r="EW47" s="60">
        <f t="shared" si="12"/>
        <v>15618</v>
      </c>
      <c r="FF47" s="60">
        <f t="shared" si="13"/>
        <v>10621</v>
      </c>
      <c r="FO47" s="19">
        <f t="shared" si="14"/>
        <v>79261</v>
      </c>
      <c r="FX47" s="50"/>
      <c r="GC47" s="14"/>
      <c r="GE47" s="60">
        <f t="shared" ref="GE47:GE50" si="90">SUM(BI47)</f>
        <v>6909</v>
      </c>
      <c r="GN47" s="60">
        <f t="shared" si="16"/>
        <v>54531</v>
      </c>
      <c r="GW47" s="60">
        <f t="shared" si="17"/>
        <v>73814</v>
      </c>
      <c r="HC47" s="60">
        <f t="shared" si="18"/>
        <v>46313</v>
      </c>
      <c r="HP47" s="18"/>
    </row>
    <row r="48" spans="2:228">
      <c r="B48" s="58">
        <v>43751</v>
      </c>
      <c r="C48" s="20">
        <v>82978</v>
      </c>
      <c r="D48" s="20">
        <v>2.1709999999999998</v>
      </c>
      <c r="E48" s="34">
        <f t="shared" si="19"/>
        <v>46560</v>
      </c>
      <c r="F48" s="34"/>
      <c r="G48" s="20">
        <v>78379</v>
      </c>
      <c r="H48" s="20">
        <v>2.4039999999999999</v>
      </c>
      <c r="I48" s="34">
        <f t="shared" si="20"/>
        <v>48480</v>
      </c>
      <c r="J48" s="34"/>
      <c r="K48" s="20">
        <v>9370</v>
      </c>
      <c r="L48" s="20">
        <v>0.26600000000000001</v>
      </c>
      <c r="M48" s="34">
        <f t="shared" si="21"/>
        <v>13200</v>
      </c>
      <c r="N48" s="34"/>
      <c r="O48" s="20">
        <v>9299</v>
      </c>
      <c r="P48" s="20">
        <v>0.253</v>
      </c>
      <c r="Q48" s="34">
        <f t="shared" si="22"/>
        <v>12000</v>
      </c>
      <c r="R48" s="34"/>
      <c r="S48" s="20">
        <v>9977</v>
      </c>
      <c r="T48" s="20">
        <v>0.26700000000000002</v>
      </c>
      <c r="U48" s="34">
        <f t="shared" si="23"/>
        <v>12800</v>
      </c>
      <c r="V48" s="34"/>
      <c r="W48" s="20">
        <v>65950</v>
      </c>
      <c r="X48" s="20">
        <v>2.8809999999999998</v>
      </c>
      <c r="Y48" s="34">
        <f t="shared" si="24"/>
        <v>98700</v>
      </c>
      <c r="Z48" s="34"/>
      <c r="AA48" s="20">
        <v>62513</v>
      </c>
      <c r="AB48" s="20">
        <v>2.2360000000000002</v>
      </c>
      <c r="AC48" s="34">
        <f t="shared" si="25"/>
        <v>44700</v>
      </c>
      <c r="AD48" s="34"/>
      <c r="AE48" s="20">
        <v>15656</v>
      </c>
      <c r="AF48" s="20">
        <v>0.35799999999999998</v>
      </c>
      <c r="AG48" s="34">
        <f t="shared" si="26"/>
        <v>6080</v>
      </c>
      <c r="AH48" s="34"/>
      <c r="AI48" s="20">
        <v>10648</v>
      </c>
      <c r="AJ48" s="20">
        <v>0.315</v>
      </c>
      <c r="AK48" s="34">
        <f t="shared" si="27"/>
        <v>4320</v>
      </c>
      <c r="AL48" s="34"/>
      <c r="AM48" s="20">
        <v>79523</v>
      </c>
      <c r="AN48" s="20">
        <v>2.266</v>
      </c>
      <c r="AO48" s="34">
        <f t="shared" si="28"/>
        <v>52400</v>
      </c>
      <c r="AP48" s="34"/>
      <c r="AQ48" s="20">
        <v>15111</v>
      </c>
      <c r="AR48" s="20">
        <v>0.36199999999999999</v>
      </c>
      <c r="AS48" s="34">
        <f t="shared" si="29"/>
        <v>1760</v>
      </c>
      <c r="AT48" s="34"/>
      <c r="AU48" s="205">
        <v>44203</v>
      </c>
      <c r="AV48" s="205"/>
      <c r="AW48" s="34">
        <f t="shared" si="30"/>
        <v>432</v>
      </c>
      <c r="AX48" s="34"/>
      <c r="AZ48" s="34">
        <f t="shared" si="0"/>
        <v>341432</v>
      </c>
      <c r="BA48" s="20">
        <f t="shared" si="51"/>
        <v>54160</v>
      </c>
      <c r="BB48" s="20">
        <f t="shared" si="52"/>
        <v>0.15862602216546778</v>
      </c>
      <c r="BC48" s="20"/>
      <c r="BD48" s="14"/>
      <c r="BE48" s="64">
        <f t="shared" si="40"/>
        <v>43751</v>
      </c>
      <c r="BF48" s="20">
        <v>54681</v>
      </c>
      <c r="BG48" s="34">
        <f t="shared" si="53"/>
        <v>15000</v>
      </c>
      <c r="BI48" s="20">
        <v>6928</v>
      </c>
      <c r="BJ48" s="34">
        <f t="shared" si="54"/>
        <v>1900</v>
      </c>
      <c r="BL48" s="20">
        <v>74607</v>
      </c>
      <c r="BM48" s="34">
        <f t="shared" si="33"/>
        <v>793</v>
      </c>
      <c r="BN48" s="20"/>
      <c r="BO48" s="20">
        <v>46350</v>
      </c>
      <c r="BP48" s="34">
        <f t="shared" si="34"/>
        <v>1480</v>
      </c>
      <c r="BR48" s="14"/>
      <c r="BS48" s="20">
        <f t="shared" si="3"/>
        <v>19173</v>
      </c>
      <c r="BT48" s="20"/>
      <c r="BU48" s="20"/>
      <c r="BW48" s="14"/>
      <c r="BY48" s="19">
        <f t="shared" si="4"/>
        <v>44203</v>
      </c>
      <c r="CC48" s="60">
        <f t="shared" si="89"/>
        <v>78379</v>
      </c>
      <c r="CL48" s="60">
        <f t="shared" si="6"/>
        <v>82978</v>
      </c>
      <c r="CU48" s="60">
        <f t="shared" si="35"/>
        <v>65950</v>
      </c>
      <c r="DD48" s="60">
        <f t="shared" si="7"/>
        <v>15111</v>
      </c>
      <c r="DM48" s="60">
        <f t="shared" si="8"/>
        <v>62513</v>
      </c>
      <c r="DV48" s="60">
        <f t="shared" si="9"/>
        <v>9299</v>
      </c>
      <c r="EE48" s="60">
        <f t="shared" si="10"/>
        <v>65950</v>
      </c>
      <c r="EN48" s="60">
        <f t="shared" si="11"/>
        <v>9977</v>
      </c>
      <c r="EW48" s="60">
        <f t="shared" si="12"/>
        <v>15656</v>
      </c>
      <c r="FF48" s="60">
        <f t="shared" si="13"/>
        <v>10648</v>
      </c>
      <c r="FO48" s="19">
        <f t="shared" si="14"/>
        <v>79523</v>
      </c>
      <c r="FX48" s="50"/>
      <c r="GC48" s="14"/>
      <c r="GE48" s="60">
        <f t="shared" si="90"/>
        <v>6928</v>
      </c>
      <c r="GN48" s="60">
        <f t="shared" si="16"/>
        <v>54681</v>
      </c>
      <c r="GW48" s="60">
        <f t="shared" si="17"/>
        <v>74607</v>
      </c>
      <c r="HC48" s="60">
        <f t="shared" si="18"/>
        <v>46350</v>
      </c>
      <c r="HP48" s="18"/>
    </row>
    <row r="49" spans="2:228">
      <c r="B49" s="58">
        <v>43758</v>
      </c>
      <c r="C49" s="20">
        <v>83271</v>
      </c>
      <c r="D49" s="20">
        <v>2.1709999999999998</v>
      </c>
      <c r="E49" s="34">
        <f t="shared" si="19"/>
        <v>46880</v>
      </c>
      <c r="F49" s="34"/>
      <c r="G49" s="20">
        <v>78670</v>
      </c>
      <c r="H49" s="20">
        <v>2.4039999999999999</v>
      </c>
      <c r="I49" s="34">
        <f t="shared" si="20"/>
        <v>46560</v>
      </c>
      <c r="J49" s="34"/>
      <c r="K49" s="20">
        <v>9402</v>
      </c>
      <c r="L49" s="20">
        <v>0.26600000000000001</v>
      </c>
      <c r="M49" s="34">
        <f t="shared" si="21"/>
        <v>12800</v>
      </c>
      <c r="N49" s="34"/>
      <c r="O49" s="20">
        <v>9329</v>
      </c>
      <c r="P49" s="20">
        <v>0.253</v>
      </c>
      <c r="Q49" s="34">
        <f t="shared" si="22"/>
        <v>12000</v>
      </c>
      <c r="R49" s="34"/>
      <c r="S49" s="20">
        <v>10010</v>
      </c>
      <c r="T49" s="20">
        <v>0.27300000000000002</v>
      </c>
      <c r="U49" s="34">
        <f t="shared" si="23"/>
        <v>13200</v>
      </c>
      <c r="V49" s="34"/>
      <c r="W49" s="20">
        <v>66213</v>
      </c>
      <c r="X49" s="20">
        <v>2.8809999999999998</v>
      </c>
      <c r="Y49" s="34">
        <f t="shared" si="24"/>
        <v>78900</v>
      </c>
      <c r="Z49" s="34"/>
      <c r="AA49" s="20">
        <v>62743</v>
      </c>
      <c r="AB49" s="20">
        <v>2.375</v>
      </c>
      <c r="AC49" s="34">
        <f t="shared" si="25"/>
        <v>69000</v>
      </c>
      <c r="AD49" s="34"/>
      <c r="AE49" s="20">
        <v>15700</v>
      </c>
      <c r="AF49" s="20">
        <v>0.39400000000000002</v>
      </c>
      <c r="AG49" s="34">
        <f t="shared" si="26"/>
        <v>7040</v>
      </c>
      <c r="AH49" s="34"/>
      <c r="AI49" s="20">
        <v>10678</v>
      </c>
      <c r="AJ49" s="20">
        <v>0.34300000000000003</v>
      </c>
      <c r="AK49" s="34">
        <f t="shared" si="27"/>
        <v>4800</v>
      </c>
      <c r="AL49" s="34"/>
      <c r="AM49" s="20">
        <v>79786</v>
      </c>
      <c r="AN49" s="20">
        <v>2.266</v>
      </c>
      <c r="AO49" s="34">
        <f t="shared" si="28"/>
        <v>52600</v>
      </c>
      <c r="AP49" s="34"/>
      <c r="AQ49" s="20">
        <v>15153</v>
      </c>
      <c r="AR49" s="20">
        <v>0.36199999999999999</v>
      </c>
      <c r="AS49" s="34">
        <f t="shared" si="29"/>
        <v>1680</v>
      </c>
      <c r="AT49" s="34"/>
      <c r="AU49" s="205">
        <v>44641</v>
      </c>
      <c r="AV49" s="205"/>
      <c r="AW49" s="34">
        <f t="shared" si="30"/>
        <v>438</v>
      </c>
      <c r="AX49" s="34"/>
      <c r="AZ49" s="34">
        <f t="shared" si="0"/>
        <v>345898</v>
      </c>
      <c r="BA49" s="20">
        <f t="shared" si="51"/>
        <v>54280</v>
      </c>
      <c r="BB49" s="20">
        <f t="shared" si="52"/>
        <v>0.15692487380672915</v>
      </c>
      <c r="BC49" s="20"/>
      <c r="BD49" s="14"/>
      <c r="BE49" s="64">
        <f t="shared" si="40"/>
        <v>43758</v>
      </c>
      <c r="BF49" s="20">
        <v>54858</v>
      </c>
      <c r="BG49" s="34">
        <f t="shared" si="53"/>
        <v>17700</v>
      </c>
      <c r="BI49" s="20">
        <v>6948</v>
      </c>
      <c r="BJ49" s="34">
        <f t="shared" si="54"/>
        <v>2000</v>
      </c>
      <c r="BL49" s="20">
        <v>75472</v>
      </c>
      <c r="BM49" s="34">
        <f t="shared" si="33"/>
        <v>865</v>
      </c>
      <c r="BN49" s="20"/>
      <c r="BO49" s="20">
        <v>46426</v>
      </c>
      <c r="BP49" s="34">
        <f t="shared" si="34"/>
        <v>3040</v>
      </c>
      <c r="BR49" s="14"/>
      <c r="BS49" s="20">
        <f t="shared" si="3"/>
        <v>23605</v>
      </c>
      <c r="BT49" s="20"/>
      <c r="BU49" s="20"/>
      <c r="BW49" s="14"/>
      <c r="BY49" s="19">
        <f t="shared" si="4"/>
        <v>44641</v>
      </c>
      <c r="CC49" s="60">
        <f t="shared" si="89"/>
        <v>78670</v>
      </c>
      <c r="CL49" s="60">
        <f t="shared" si="6"/>
        <v>83271</v>
      </c>
      <c r="CU49" s="60">
        <f t="shared" si="35"/>
        <v>66213</v>
      </c>
      <c r="DD49" s="60">
        <f t="shared" si="7"/>
        <v>15153</v>
      </c>
      <c r="DM49" s="60">
        <f t="shared" si="8"/>
        <v>62743</v>
      </c>
      <c r="DV49" s="60">
        <f t="shared" si="9"/>
        <v>9329</v>
      </c>
      <c r="EE49" s="60">
        <f t="shared" si="10"/>
        <v>66213</v>
      </c>
      <c r="EN49" s="60">
        <f t="shared" si="11"/>
        <v>10010</v>
      </c>
      <c r="EW49" s="60">
        <f t="shared" si="12"/>
        <v>15700</v>
      </c>
      <c r="FF49" s="60">
        <f t="shared" si="13"/>
        <v>10678</v>
      </c>
      <c r="FO49" s="19">
        <f t="shared" si="14"/>
        <v>79786</v>
      </c>
      <c r="FX49" s="50"/>
      <c r="GC49" s="14"/>
      <c r="GE49" s="60">
        <f t="shared" si="90"/>
        <v>6948</v>
      </c>
      <c r="GN49" s="60">
        <f t="shared" si="16"/>
        <v>54858</v>
      </c>
      <c r="GW49" s="60">
        <f t="shared" si="17"/>
        <v>75472</v>
      </c>
      <c r="HC49" s="60">
        <f t="shared" si="18"/>
        <v>46426</v>
      </c>
      <c r="HP49" s="18"/>
    </row>
    <row r="50" spans="2:228">
      <c r="B50" s="58">
        <v>43765</v>
      </c>
      <c r="C50" s="20">
        <v>83564</v>
      </c>
      <c r="D50" s="20">
        <v>2.133</v>
      </c>
      <c r="E50" s="34">
        <f t="shared" si="19"/>
        <v>46880</v>
      </c>
      <c r="F50" s="34"/>
      <c r="G50" s="20">
        <v>78955</v>
      </c>
      <c r="H50" s="20">
        <v>2.1349999999999998</v>
      </c>
      <c r="I50" s="34">
        <f t="shared" si="20"/>
        <v>45600</v>
      </c>
      <c r="J50" s="34"/>
      <c r="K50" s="20">
        <v>9434</v>
      </c>
      <c r="L50" s="20">
        <v>0.254</v>
      </c>
      <c r="M50" s="34">
        <f t="shared" si="21"/>
        <v>12800</v>
      </c>
      <c r="N50" s="34"/>
      <c r="O50" s="20">
        <v>9359</v>
      </c>
      <c r="P50" s="20">
        <v>0.23200000000000001</v>
      </c>
      <c r="Q50" s="34">
        <f t="shared" si="22"/>
        <v>12000</v>
      </c>
      <c r="R50" s="34"/>
      <c r="S50" s="20">
        <v>10042</v>
      </c>
      <c r="T50" s="20">
        <v>0.26500000000000001</v>
      </c>
      <c r="U50" s="34">
        <f t="shared" si="23"/>
        <v>12800</v>
      </c>
      <c r="V50" s="34"/>
      <c r="W50" s="20">
        <v>66472</v>
      </c>
      <c r="X50" s="20">
        <v>2.3969999999999998</v>
      </c>
      <c r="Y50" s="34">
        <f t="shared" si="24"/>
        <v>77700</v>
      </c>
      <c r="Z50" s="34"/>
      <c r="AA50" s="20">
        <v>63010</v>
      </c>
      <c r="AB50" s="20">
        <v>2.0539999999999998</v>
      </c>
      <c r="AC50" s="34">
        <f t="shared" si="25"/>
        <v>80100</v>
      </c>
      <c r="AD50" s="34"/>
      <c r="AE50" s="20">
        <v>15743</v>
      </c>
      <c r="AF50" s="20">
        <v>0.38400000000000001</v>
      </c>
      <c r="AG50" s="34">
        <f t="shared" si="26"/>
        <v>6880</v>
      </c>
      <c r="AH50" s="34"/>
      <c r="AI50" s="20">
        <v>10708</v>
      </c>
      <c r="AJ50" s="20">
        <v>0.33200000000000002</v>
      </c>
      <c r="AK50" s="34">
        <f t="shared" si="27"/>
        <v>4800</v>
      </c>
      <c r="AL50" s="34"/>
      <c r="AM50" s="20">
        <v>80054</v>
      </c>
      <c r="AN50" s="20">
        <v>2.1429999999999998</v>
      </c>
      <c r="AO50" s="34">
        <f t="shared" si="28"/>
        <v>53600</v>
      </c>
      <c r="AP50" s="34"/>
      <c r="AQ50" s="20">
        <v>15196</v>
      </c>
      <c r="AR50" s="20">
        <v>0.33600000000000002</v>
      </c>
      <c r="AS50" s="34">
        <f t="shared" si="29"/>
        <v>1720</v>
      </c>
      <c r="AT50" s="34"/>
      <c r="AU50" s="205">
        <v>45082</v>
      </c>
      <c r="AV50" s="205"/>
      <c r="AW50" s="34">
        <f t="shared" si="30"/>
        <v>441</v>
      </c>
      <c r="AX50" s="34"/>
      <c r="AZ50" s="34">
        <f t="shared" si="0"/>
        <v>355321</v>
      </c>
      <c r="BA50" s="20">
        <f t="shared" si="51"/>
        <v>55320</v>
      </c>
      <c r="BB50" s="20">
        <f t="shared" si="52"/>
        <v>0.15569020688335336</v>
      </c>
      <c r="BC50" s="20"/>
      <c r="BD50" s="14"/>
      <c r="BE50" s="64">
        <f t="shared" si="40"/>
        <v>43765</v>
      </c>
      <c r="BF50" s="20">
        <v>55046</v>
      </c>
      <c r="BG50" s="34">
        <f t="shared" si="53"/>
        <v>18800</v>
      </c>
      <c r="BI50" s="20">
        <v>6970</v>
      </c>
      <c r="BJ50" s="34">
        <f t="shared" si="54"/>
        <v>2200</v>
      </c>
      <c r="BL50" s="20">
        <v>76402</v>
      </c>
      <c r="BM50" s="34">
        <f t="shared" si="33"/>
        <v>930</v>
      </c>
      <c r="BN50" s="20"/>
      <c r="BO50" s="20">
        <v>46436</v>
      </c>
      <c r="BP50" s="34">
        <f t="shared" si="34"/>
        <v>400</v>
      </c>
      <c r="BR50" s="14"/>
      <c r="BS50" s="20">
        <f t="shared" si="3"/>
        <v>22330</v>
      </c>
      <c r="BT50" s="20"/>
      <c r="BU50" s="20"/>
      <c r="BW50" s="14"/>
      <c r="BY50" s="19">
        <f t="shared" si="4"/>
        <v>45082</v>
      </c>
      <c r="CC50" s="60">
        <f t="shared" si="89"/>
        <v>78955</v>
      </c>
      <c r="CL50" s="60">
        <f t="shared" si="6"/>
        <v>83564</v>
      </c>
      <c r="CU50" s="60">
        <f t="shared" si="35"/>
        <v>66472</v>
      </c>
      <c r="DD50" s="60">
        <f t="shared" si="7"/>
        <v>15196</v>
      </c>
      <c r="DM50" s="60">
        <f t="shared" si="8"/>
        <v>63010</v>
      </c>
      <c r="DV50" s="60">
        <f t="shared" si="9"/>
        <v>9359</v>
      </c>
      <c r="EE50" s="60">
        <f t="shared" si="10"/>
        <v>66472</v>
      </c>
      <c r="EN50" s="60">
        <f t="shared" si="11"/>
        <v>10042</v>
      </c>
      <c r="EW50" s="60">
        <f t="shared" si="12"/>
        <v>15743</v>
      </c>
      <c r="FF50" s="60">
        <f t="shared" si="13"/>
        <v>10708</v>
      </c>
      <c r="FO50" s="19">
        <f t="shared" si="14"/>
        <v>80054</v>
      </c>
      <c r="FX50" s="50"/>
      <c r="GC50" s="14"/>
      <c r="GE50" s="60">
        <f t="shared" si="90"/>
        <v>6970</v>
      </c>
      <c r="GN50" s="60">
        <f t="shared" si="16"/>
        <v>55046</v>
      </c>
      <c r="GW50" s="60">
        <f t="shared" si="17"/>
        <v>76402</v>
      </c>
      <c r="HC50" s="60">
        <f t="shared" si="18"/>
        <v>46436</v>
      </c>
      <c r="HP50" s="18"/>
    </row>
    <row r="51" spans="2:228">
      <c r="B51" s="58">
        <v>43770</v>
      </c>
      <c r="C51" s="20">
        <v>83720</v>
      </c>
      <c r="D51" s="20">
        <v>2.133</v>
      </c>
      <c r="E51" s="34">
        <f t="shared" si="19"/>
        <v>24960</v>
      </c>
      <c r="F51" s="34"/>
      <c r="G51" s="20">
        <v>79111</v>
      </c>
      <c r="H51" s="20">
        <v>2.1349999999999998</v>
      </c>
      <c r="I51" s="34">
        <f t="shared" si="20"/>
        <v>24960</v>
      </c>
      <c r="J51" s="34"/>
      <c r="K51" s="20">
        <v>9452</v>
      </c>
      <c r="L51" s="20">
        <v>0.254</v>
      </c>
      <c r="M51" s="34">
        <f t="shared" si="21"/>
        <v>7200</v>
      </c>
      <c r="N51" s="34"/>
      <c r="O51" s="20">
        <v>9376</v>
      </c>
      <c r="P51" s="20">
        <v>0.23200000000000001</v>
      </c>
      <c r="Q51" s="34">
        <f t="shared" si="22"/>
        <v>6800</v>
      </c>
      <c r="R51" s="34"/>
      <c r="S51" s="20">
        <v>10059</v>
      </c>
      <c r="T51" s="20">
        <v>0.26500000000000001</v>
      </c>
      <c r="U51" s="34">
        <f t="shared" si="23"/>
        <v>6800</v>
      </c>
      <c r="V51" s="34"/>
      <c r="W51" s="20">
        <v>66620</v>
      </c>
      <c r="X51" s="20">
        <v>2.7789999999999999</v>
      </c>
      <c r="Y51" s="34">
        <f t="shared" si="24"/>
        <v>44400</v>
      </c>
      <c r="Z51" s="34"/>
      <c r="AA51" s="20">
        <v>63162</v>
      </c>
      <c r="AB51" s="20">
        <v>2.06</v>
      </c>
      <c r="AC51" s="34">
        <f t="shared" si="25"/>
        <v>45600</v>
      </c>
      <c r="AD51" s="34"/>
      <c r="AE51" s="20">
        <v>15765</v>
      </c>
      <c r="AF51" s="20">
        <v>0.38400000000000001</v>
      </c>
      <c r="AG51" s="34">
        <f t="shared" si="26"/>
        <v>3520</v>
      </c>
      <c r="AH51" s="34"/>
      <c r="AI51" s="20">
        <v>10725</v>
      </c>
      <c r="AJ51" s="20">
        <v>0.33200000000000002</v>
      </c>
      <c r="AK51" s="34">
        <f t="shared" si="27"/>
        <v>2720</v>
      </c>
      <c r="AL51" s="34"/>
      <c r="AM51" s="20">
        <v>80206</v>
      </c>
      <c r="AN51" s="20">
        <v>2.1429999999999998</v>
      </c>
      <c r="AO51" s="34">
        <f t="shared" si="28"/>
        <v>30400</v>
      </c>
      <c r="AP51" s="34"/>
      <c r="AQ51" s="20">
        <v>15221</v>
      </c>
      <c r="AR51" s="20">
        <v>0.33600000000000002</v>
      </c>
      <c r="AS51" s="34">
        <f t="shared" si="29"/>
        <v>1000</v>
      </c>
      <c r="AT51" s="34"/>
      <c r="AU51" s="205">
        <v>45346</v>
      </c>
      <c r="AV51" s="205"/>
      <c r="AW51" s="34">
        <f t="shared" si="30"/>
        <v>264</v>
      </c>
      <c r="AX51" s="34"/>
      <c r="AZ51" s="34">
        <f t="shared" si="0"/>
        <v>198624</v>
      </c>
      <c r="BA51" s="20">
        <f t="shared" si="51"/>
        <v>31400</v>
      </c>
      <c r="BB51" s="20">
        <f t="shared" si="52"/>
        <v>0.15808764298372804</v>
      </c>
      <c r="BC51" s="20">
        <f>SUM(AZ47:AZ51)</f>
        <v>1593691</v>
      </c>
      <c r="BD51" s="14"/>
      <c r="BE51" s="64">
        <f t="shared" si="40"/>
        <v>43770</v>
      </c>
      <c r="BF51" s="20">
        <v>55153</v>
      </c>
      <c r="BG51" s="34">
        <f t="shared" si="53"/>
        <v>10700</v>
      </c>
      <c r="BI51" s="20">
        <v>6983</v>
      </c>
      <c r="BJ51" s="34">
        <f t="shared" si="54"/>
        <v>1300</v>
      </c>
      <c r="BL51" s="20">
        <v>76924</v>
      </c>
      <c r="BM51" s="34">
        <f t="shared" si="33"/>
        <v>522</v>
      </c>
      <c r="BN51" s="20"/>
      <c r="BO51" s="20">
        <v>46456</v>
      </c>
      <c r="BP51" s="34">
        <f t="shared" si="34"/>
        <v>800</v>
      </c>
      <c r="BR51" s="14"/>
      <c r="BS51" s="20">
        <f t="shared" si="3"/>
        <v>13322</v>
      </c>
      <c r="BT51" s="20">
        <f>SUM(BS47:BS51)</f>
        <v>105699</v>
      </c>
      <c r="BU51" s="20">
        <f>SUM(BC51+BT51)</f>
        <v>1699390</v>
      </c>
      <c r="BW51" s="14"/>
      <c r="BY51" s="19">
        <f t="shared" si="4"/>
        <v>45346</v>
      </c>
      <c r="BZ51" s="20">
        <v>45119</v>
      </c>
      <c r="CA51" s="19">
        <f>SUM(BZ51-BZ46)</f>
        <v>2139</v>
      </c>
      <c r="CB51" s="59">
        <f>SUM(CA51*0.11895+CA51*0.02531)*1.08+2.85</f>
        <v>336.10791120000005</v>
      </c>
      <c r="CC51" s="60">
        <f t="shared" ref="CC51" si="91">SUM(G51)</f>
        <v>79111</v>
      </c>
      <c r="CD51" s="20">
        <v>79071</v>
      </c>
      <c r="CE51" s="20">
        <v>2.4039999999999999</v>
      </c>
      <c r="CF51" s="19">
        <f>SUM(CD51-CD46)*160</f>
        <v>242720</v>
      </c>
      <c r="CG51" s="19">
        <f>(CE51)*160</f>
        <v>384.64</v>
      </c>
      <c r="CH51" s="59">
        <f>SUM(CF51*0.0406)</f>
        <v>9854.4319999999989</v>
      </c>
      <c r="CI51" s="59">
        <f>SUM(CF51*0.02531)</f>
        <v>6143.2431999999999</v>
      </c>
      <c r="CJ51" s="59">
        <f>SUM(CG51*6.99)</f>
        <v>2688.6336000000001</v>
      </c>
      <c r="CK51" s="59">
        <f>SUM(CH51+CI51)*1.08</f>
        <v>17277.489215999998</v>
      </c>
      <c r="CL51" s="60">
        <f t="shared" si="6"/>
        <v>83720</v>
      </c>
      <c r="CM51" s="20">
        <v>83681</v>
      </c>
      <c r="CN51" s="20">
        <v>2.1709999999999998</v>
      </c>
      <c r="CO51" s="19">
        <f>SUM(CM51-CM46)*160</f>
        <v>240000</v>
      </c>
      <c r="CP51" s="19">
        <f>(CN51)*160</f>
        <v>347.35999999999996</v>
      </c>
      <c r="CQ51" s="59">
        <f>SUM(CO51*0.0406)</f>
        <v>9744</v>
      </c>
      <c r="CR51" s="59">
        <f>SUM(CO51*0.02531)</f>
        <v>6074.4</v>
      </c>
      <c r="CS51" s="59">
        <f>SUM(CP51*6.99)</f>
        <v>2428.0463999999997</v>
      </c>
      <c r="CT51" s="59">
        <f>SUM((CQ51+CR51)+20)* 1.08</f>
        <v>17105.472000000002</v>
      </c>
      <c r="CU51" s="60">
        <f t="shared" si="35"/>
        <v>66620</v>
      </c>
      <c r="CV51" s="20">
        <v>66582</v>
      </c>
      <c r="CW51" s="20">
        <v>2.8809999999999998</v>
      </c>
      <c r="CX51" s="19">
        <f>SUM(CV51-CV46)*300</f>
        <v>445200</v>
      </c>
      <c r="CY51" s="19">
        <f>(CW51)*300</f>
        <v>864.3</v>
      </c>
      <c r="CZ51" s="59">
        <f>SUM(CX51*0.0406)</f>
        <v>18075.12</v>
      </c>
      <c r="DA51" s="59">
        <f>SUM(CX51*0.02531)</f>
        <v>11268.011999999999</v>
      </c>
      <c r="DB51" s="59">
        <f>SUM(CY51*6.99)</f>
        <v>6041.4569999999994</v>
      </c>
      <c r="DC51" s="59">
        <f>SUM((CZ51+DA51)+20)*1.09</f>
        <v>32005.813880000002</v>
      </c>
      <c r="DD51" s="60">
        <f t="shared" si="7"/>
        <v>15221</v>
      </c>
      <c r="DE51" s="20">
        <v>15215</v>
      </c>
      <c r="DF51" s="20">
        <v>0.36199999999999999</v>
      </c>
      <c r="DG51" s="19">
        <f>(DE51-DE46)*40</f>
        <v>8880</v>
      </c>
      <c r="DH51" s="19">
        <f>(DF51)*40</f>
        <v>14.48</v>
      </c>
      <c r="DI51" s="59">
        <f>SUM(DG51*0.0406)</f>
        <v>360.52799999999996</v>
      </c>
      <c r="DJ51" s="59">
        <f>SUM(DG51*0.02531)</f>
        <v>224.75279999999998</v>
      </c>
      <c r="DK51" s="59">
        <f>SUM(DH51*6.99)</f>
        <v>101.21520000000001</v>
      </c>
      <c r="DL51" s="59">
        <f>SUM((DI51+DJ51)+20)*1.09</f>
        <v>659.75607200000002</v>
      </c>
      <c r="DM51" s="60">
        <f t="shared" si="8"/>
        <v>63162</v>
      </c>
      <c r="DN51" s="20">
        <v>63124</v>
      </c>
      <c r="DO51" s="20">
        <v>2.375</v>
      </c>
      <c r="DP51" s="19">
        <f>SUM(DN51-DN46)*300</f>
        <v>334500</v>
      </c>
      <c r="DQ51" s="61">
        <f>(DO51)*300</f>
        <v>712.5</v>
      </c>
      <c r="DR51" s="59">
        <f>SUM(DP51*0.0406)</f>
        <v>13580.699999999999</v>
      </c>
      <c r="DS51" s="59">
        <f>SUM(DP51*0.02531)</f>
        <v>8466.1949999999997</v>
      </c>
      <c r="DT51" s="59">
        <f>SUM(DQ51*6.99)</f>
        <v>4980.375</v>
      </c>
      <c r="DU51" s="59">
        <f>SUM((DR51+DS51)+20)*1.085</f>
        <v>23942.581074999995</v>
      </c>
      <c r="DV51" s="60">
        <f t="shared" si="9"/>
        <v>9376</v>
      </c>
      <c r="DW51" s="20">
        <v>9371</v>
      </c>
      <c r="DX51" s="20">
        <v>0.253</v>
      </c>
      <c r="DY51" s="19">
        <f>SUM(DW51-DW46)*400</f>
        <v>61200</v>
      </c>
      <c r="DZ51" s="61">
        <f>(DX51)*400</f>
        <v>101.2</v>
      </c>
      <c r="EA51" s="59">
        <f>SUM(DY51*0.0406)</f>
        <v>2484.7199999999998</v>
      </c>
      <c r="EB51" s="59">
        <f>SUM(DY51*0.02531)</f>
        <v>1548.972</v>
      </c>
      <c r="EC51" s="59">
        <f>SUM(DZ51*6.99)</f>
        <v>707.38800000000003</v>
      </c>
      <c r="ED51" s="59">
        <f>SUM((EA51+EB51)+20)*1.09</f>
        <v>4418.5242800000005</v>
      </c>
      <c r="EE51" s="60">
        <f t="shared" si="10"/>
        <v>66620</v>
      </c>
      <c r="EF51" s="20">
        <v>9448</v>
      </c>
      <c r="EG51" s="20">
        <v>0.26900000000000002</v>
      </c>
      <c r="EH51" s="19">
        <f>SUM(EF51-EF46)*400</f>
        <v>66800</v>
      </c>
      <c r="EI51" s="19">
        <f>(EG51)*400</f>
        <v>107.60000000000001</v>
      </c>
      <c r="EJ51" s="59">
        <f>SUM(EH51*0.0406)</f>
        <v>2712.08</v>
      </c>
      <c r="EK51" s="59">
        <f>SUM(EH51*0.02531)</f>
        <v>1690.7079999999999</v>
      </c>
      <c r="EL51" s="59">
        <f>SUM(EI51*6.99)</f>
        <v>752.12400000000014</v>
      </c>
      <c r="EM51" s="59">
        <f>SUM((EJ51+EK51)+20)*1.09</f>
        <v>4820.8389200000001</v>
      </c>
      <c r="EN51" s="60">
        <f t="shared" si="11"/>
        <v>10059</v>
      </c>
      <c r="EO51" s="20">
        <v>10054</v>
      </c>
      <c r="EP51" s="20">
        <v>0.27300000000000002</v>
      </c>
      <c r="EQ51" s="19">
        <f>SUM(EO51-EO46)*400</f>
        <v>65600</v>
      </c>
      <c r="ER51" s="19">
        <f>(EP51)*400</f>
        <v>109.2</v>
      </c>
      <c r="ES51" s="59">
        <f>SUM(EQ51*0.0406)</f>
        <v>2663.3599999999997</v>
      </c>
      <c r="ET51" s="59">
        <f>SUM(EQ51*0.02531)</f>
        <v>1660.336</v>
      </c>
      <c r="EU51" s="59">
        <f>SUM(ER51*6.99)</f>
        <v>763.30799999999999</v>
      </c>
      <c r="EV51" s="59">
        <f>SUM((ES51+ET51)+20)*1.09</f>
        <v>4734.6286399999999</v>
      </c>
      <c r="EW51" s="60">
        <f t="shared" si="12"/>
        <v>15765</v>
      </c>
      <c r="EX51" s="20">
        <v>15759</v>
      </c>
      <c r="EY51" s="20">
        <v>0.39400000000000002</v>
      </c>
      <c r="EZ51" s="19">
        <f>SUM(EX51-EX46)*160</f>
        <v>33760</v>
      </c>
      <c r="FA51" s="19">
        <f>(EY51)*160</f>
        <v>63.040000000000006</v>
      </c>
      <c r="FB51" s="59">
        <f>SUM(EZ51*0.0406)</f>
        <v>1370.6559999999999</v>
      </c>
      <c r="FC51" s="59">
        <f>SUM(EZ51*0.02531)</f>
        <v>854.46559999999999</v>
      </c>
      <c r="FD51" s="59">
        <f>SUM(FA51*6.99)</f>
        <v>440.64960000000008</v>
      </c>
      <c r="FE51" s="59">
        <f>SUM((FB51+FC51)+20)*1.09</f>
        <v>2447.1825440000002</v>
      </c>
      <c r="FF51" s="60">
        <f t="shared" si="13"/>
        <v>10725</v>
      </c>
      <c r="FG51" s="20">
        <v>10721</v>
      </c>
      <c r="FH51" s="20">
        <v>0.34300000000000003</v>
      </c>
      <c r="FI51" s="19">
        <f>SUM(FG51-FG46)*160</f>
        <v>23040</v>
      </c>
      <c r="FJ51" s="19">
        <f>(FH51)*160</f>
        <v>54.88</v>
      </c>
      <c r="FK51" s="59">
        <f>SUM(FI51*0.0406)</f>
        <v>935.42399999999998</v>
      </c>
      <c r="FL51" s="59">
        <f>SUM(FI51*0.02531)</f>
        <v>583.14239999999995</v>
      </c>
      <c r="FM51" s="59">
        <f>SUM(FJ51*6.99)</f>
        <v>383.61120000000005</v>
      </c>
      <c r="FN51" s="59">
        <f>SUM((FK51+FL51)+20)*1.09</f>
        <v>1677.037376</v>
      </c>
      <c r="FO51" s="19">
        <f t="shared" si="14"/>
        <v>80206</v>
      </c>
      <c r="FP51" s="20">
        <v>80167</v>
      </c>
      <c r="FQ51" s="20">
        <v>2.266</v>
      </c>
      <c r="FR51" s="19">
        <f>SUM(FP51-FP46)*200</f>
        <v>275600</v>
      </c>
      <c r="FS51" s="19">
        <f>(FQ51)*200</f>
        <v>453.2</v>
      </c>
      <c r="FT51" s="59">
        <f>SUM(FR51*0.0406)</f>
        <v>11189.359999999999</v>
      </c>
      <c r="FU51" s="59">
        <f>SUM(FR51*0.02531)</f>
        <v>6975.4359999999997</v>
      </c>
      <c r="FV51" s="59">
        <f>SUM(FS51*6.99)</f>
        <v>3167.8679999999999</v>
      </c>
      <c r="FW51" s="59">
        <f>SUM((FT51+FU51)+20)*1.09</f>
        <v>19821.427639999998</v>
      </c>
      <c r="FX51" s="50"/>
      <c r="FY51" s="74">
        <f>SUM(CA51+CF51+CO51+CX51+DG51+DP51+DY51+EH51+EQ51+EZ51+FI51+FR51)</f>
        <v>1799439</v>
      </c>
      <c r="FZ51" s="75">
        <f>SUM(CB51+CK51,CT51,DC51,DL51,DU51,ED51,EM51,EV51,FE51,FN51+FW51)</f>
        <v>129246.85955419998</v>
      </c>
      <c r="GA51" s="75">
        <f>SUM(CJ51,CS51,DB51,DK51,DT51,EC51,EL51,EU51,FD51,FM51,FV51)</f>
        <v>22454.675999999999</v>
      </c>
      <c r="GB51" s="75">
        <f>SUM(FZ51:GA51)</f>
        <v>151701.53555419997</v>
      </c>
      <c r="GC51" s="14"/>
      <c r="GE51" s="60">
        <f t="shared" ref="GE51" si="92">SUM(BI51)</f>
        <v>6983</v>
      </c>
      <c r="GF51" s="20">
        <v>6978</v>
      </c>
      <c r="GG51" s="20">
        <v>0.23499999999999999</v>
      </c>
      <c r="GH51" s="19">
        <f>SUM(GF51-GF46)*100</f>
        <v>10800</v>
      </c>
      <c r="GI51" s="19">
        <f>SUM(GG51)*100</f>
        <v>23.5</v>
      </c>
      <c r="GJ51" s="62">
        <f>SUM(GH51*0.0406)</f>
        <v>438.47999999999996</v>
      </c>
      <c r="GK51" s="62">
        <f>SUM(GH51*0.02531)</f>
        <v>273.34800000000001</v>
      </c>
      <c r="GL51" s="62">
        <f>SUM(GI51*6.99)</f>
        <v>164.26500000000001</v>
      </c>
      <c r="GM51" s="59">
        <f>SUM(GK51+GJ51+20)*1.1048</f>
        <v>808.52357440000003</v>
      </c>
      <c r="GN51" s="60">
        <f t="shared" si="16"/>
        <v>55153</v>
      </c>
      <c r="GO51" s="20">
        <v>55118</v>
      </c>
      <c r="GP51" s="20">
        <v>1.774</v>
      </c>
      <c r="GQ51" s="19">
        <f>SUM(GO51-GO46)*100</f>
        <v>91400</v>
      </c>
      <c r="GR51" s="19">
        <f>SUM(GP51)*100</f>
        <v>177.4</v>
      </c>
      <c r="GS51" s="62">
        <f>SUM(GQ51*0.0406)</f>
        <v>3710.8399999999997</v>
      </c>
      <c r="GT51" s="62">
        <f>SUM(GQ51*0.02531)</f>
        <v>2313.3339999999998</v>
      </c>
      <c r="GU51" s="62">
        <f>SUM(GR51*6.99)</f>
        <v>1240.0260000000001</v>
      </c>
      <c r="GV51" s="59">
        <f>SUM(GT51+GS51+20)*1.1048</f>
        <v>6677.6034351999988</v>
      </c>
      <c r="GW51" s="60">
        <f t="shared" si="17"/>
        <v>76924</v>
      </c>
      <c r="GX51" s="20">
        <v>76747</v>
      </c>
      <c r="GY51" s="19">
        <f>SUM(GX51-GX46)</f>
        <v>4621</v>
      </c>
      <c r="GZ51" s="59">
        <f>SUM(GY51*0.11895)</f>
        <v>549.66795000000002</v>
      </c>
      <c r="HA51" s="59">
        <f>SUM(GY51*0.02531)</f>
        <v>116.95751</v>
      </c>
      <c r="HB51" s="59">
        <f>SUM(GZ51+HA51+2.32)*1.07</f>
        <v>715.77164220000009</v>
      </c>
      <c r="HC51" s="60">
        <f t="shared" si="18"/>
        <v>46456</v>
      </c>
      <c r="HD51" s="20">
        <v>46450</v>
      </c>
      <c r="HE51" s="20">
        <v>3.9239999999999999</v>
      </c>
      <c r="HF51" s="19">
        <f>SUM(HD51-HD46)*40</f>
        <v>13920</v>
      </c>
      <c r="HG51" s="19">
        <f>SUM(HE51)*40</f>
        <v>156.96</v>
      </c>
      <c r="HH51" s="59">
        <f>SUM(HF51*0.0406)</f>
        <v>565.15199999999993</v>
      </c>
      <c r="HI51" s="59">
        <f>SUM(HF51*0.02531)</f>
        <v>352.3152</v>
      </c>
      <c r="HJ51" s="59">
        <f>SUM(HG51*6.99)</f>
        <v>1097.1504</v>
      </c>
      <c r="HK51" s="59">
        <f>SUM(HI51+HH51+20)*1.1048</f>
        <v>1035.7137625599999</v>
      </c>
      <c r="HL51" s="20">
        <f>SUM(GH51+GQ51+GY51+HF51)</f>
        <v>120741</v>
      </c>
      <c r="HM51" s="75">
        <f>SUM(HK51+HB51+GV51+GM51)</f>
        <v>9237.6124143599991</v>
      </c>
      <c r="HN51" s="75">
        <f>SUM(GL51+GU51+HJ51)</f>
        <v>2501.4414000000002</v>
      </c>
      <c r="HO51" s="75">
        <f>SUM(HM51:HN51)</f>
        <v>11739.053814359999</v>
      </c>
      <c r="HP51" s="18"/>
      <c r="HQ51" s="74">
        <f t="shared" ref="HQ51:HS51" si="93">(FY51+HL51)</f>
        <v>1920180</v>
      </c>
      <c r="HR51" s="75">
        <f t="shared" si="93"/>
        <v>138484.47196855998</v>
      </c>
      <c r="HS51" s="75">
        <f t="shared" si="93"/>
        <v>24956.117399999999</v>
      </c>
      <c r="HT51" s="75">
        <f t="shared" ref="HT51" si="94">(HR51+HS51)</f>
        <v>163440.58936855997</v>
      </c>
    </row>
    <row r="52" spans="2:228">
      <c r="B52" s="58">
        <v>43772</v>
      </c>
      <c r="C52" s="20">
        <v>83845</v>
      </c>
      <c r="D52" s="20">
        <v>2.133</v>
      </c>
      <c r="E52" s="34">
        <f t="shared" si="19"/>
        <v>20000</v>
      </c>
      <c r="F52" s="34"/>
      <c r="G52" s="20">
        <v>79246</v>
      </c>
      <c r="H52" s="20">
        <v>2.3170000000000002</v>
      </c>
      <c r="I52" s="34">
        <f t="shared" si="20"/>
        <v>21600</v>
      </c>
      <c r="J52" s="34"/>
      <c r="K52" s="20">
        <v>9467</v>
      </c>
      <c r="L52" s="20">
        <v>0.254</v>
      </c>
      <c r="M52" s="34">
        <f t="shared" si="21"/>
        <v>6000</v>
      </c>
      <c r="N52" s="34"/>
      <c r="O52" s="20">
        <v>9388</v>
      </c>
      <c r="P52" s="20">
        <v>0.23200000000000001</v>
      </c>
      <c r="Q52" s="34">
        <f t="shared" si="22"/>
        <v>4800</v>
      </c>
      <c r="R52" s="34"/>
      <c r="S52" s="20">
        <v>10073</v>
      </c>
      <c r="T52" s="20">
        <v>0.26500000000000001</v>
      </c>
      <c r="U52" s="34">
        <f t="shared" si="23"/>
        <v>5600</v>
      </c>
      <c r="V52" s="34"/>
      <c r="W52" s="20">
        <v>66713</v>
      </c>
      <c r="X52" s="20">
        <v>2.7789999999999999</v>
      </c>
      <c r="Y52" s="34">
        <f t="shared" si="24"/>
        <v>27900</v>
      </c>
      <c r="Z52" s="34"/>
      <c r="AA52" s="20">
        <v>63249</v>
      </c>
      <c r="AB52" s="20">
        <v>2.06</v>
      </c>
      <c r="AC52" s="34">
        <f t="shared" si="25"/>
        <v>26100</v>
      </c>
      <c r="AD52" s="34"/>
      <c r="AE52" s="20">
        <v>15781</v>
      </c>
      <c r="AF52" s="20">
        <v>0.38400000000000001</v>
      </c>
      <c r="AG52" s="34">
        <f t="shared" si="26"/>
        <v>2560</v>
      </c>
      <c r="AH52" s="34"/>
      <c r="AI52" s="20">
        <v>10738</v>
      </c>
      <c r="AJ52" s="20">
        <v>0.40799999999999997</v>
      </c>
      <c r="AK52" s="34">
        <f t="shared" si="27"/>
        <v>2080</v>
      </c>
      <c r="AL52" s="34"/>
      <c r="AM52" s="20">
        <v>80320</v>
      </c>
      <c r="AN52" s="20">
        <v>2.1429999999999998</v>
      </c>
      <c r="AO52" s="34">
        <f t="shared" si="28"/>
        <v>22800</v>
      </c>
      <c r="AP52" s="34"/>
      <c r="AQ52" s="20">
        <v>15240</v>
      </c>
      <c r="AR52" s="20">
        <v>0.33600000000000002</v>
      </c>
      <c r="AS52" s="34">
        <f t="shared" si="29"/>
        <v>760</v>
      </c>
      <c r="AT52" s="34"/>
      <c r="AU52" s="205">
        <v>45533</v>
      </c>
      <c r="AV52" s="205"/>
      <c r="AW52" s="34">
        <f t="shared" si="30"/>
        <v>187</v>
      </c>
      <c r="AX52" s="34"/>
      <c r="AZ52" s="34">
        <f t="shared" si="0"/>
        <v>140387</v>
      </c>
      <c r="BA52" s="20">
        <f t="shared" si="51"/>
        <v>23560</v>
      </c>
      <c r="BB52" s="20">
        <f t="shared" si="52"/>
        <v>0.16782180686245876</v>
      </c>
      <c r="BC52" s="20"/>
      <c r="BD52" s="14"/>
      <c r="BE52" s="64">
        <f t="shared" si="40"/>
        <v>43772</v>
      </c>
      <c r="BF52" s="20">
        <v>55219</v>
      </c>
      <c r="BG52" s="34">
        <f t="shared" si="53"/>
        <v>6600</v>
      </c>
      <c r="BI52" s="20">
        <v>6990</v>
      </c>
      <c r="BJ52" s="34">
        <f t="shared" si="54"/>
        <v>700</v>
      </c>
      <c r="BL52" s="20">
        <v>77277</v>
      </c>
      <c r="BM52" s="34">
        <f t="shared" si="33"/>
        <v>353</v>
      </c>
      <c r="BN52" s="20"/>
      <c r="BO52" s="20">
        <v>46473</v>
      </c>
      <c r="BP52" s="34">
        <f t="shared" si="34"/>
        <v>680</v>
      </c>
      <c r="BR52" s="14"/>
      <c r="BS52" s="20">
        <f t="shared" si="3"/>
        <v>8333</v>
      </c>
      <c r="BT52" s="20"/>
      <c r="BU52" s="20"/>
      <c r="BW52" s="14"/>
      <c r="BY52" s="19">
        <f t="shared" si="4"/>
        <v>45533</v>
      </c>
      <c r="CC52" s="60">
        <f t="shared" ref="CC52:CC55" si="95">SUM(G52)</f>
        <v>79246</v>
      </c>
      <c r="CL52" s="60">
        <f t="shared" si="6"/>
        <v>83845</v>
      </c>
      <c r="CU52" s="60">
        <f t="shared" si="35"/>
        <v>66713</v>
      </c>
      <c r="DD52" s="60">
        <f t="shared" si="7"/>
        <v>15240</v>
      </c>
      <c r="DM52" s="60">
        <f t="shared" si="8"/>
        <v>63249</v>
      </c>
      <c r="DV52" s="60">
        <f t="shared" si="9"/>
        <v>9388</v>
      </c>
      <c r="EE52" s="60">
        <f t="shared" si="10"/>
        <v>66713</v>
      </c>
      <c r="EN52" s="60">
        <f t="shared" si="11"/>
        <v>10073</v>
      </c>
      <c r="EW52" s="60">
        <f t="shared" si="12"/>
        <v>15781</v>
      </c>
      <c r="FF52" s="60">
        <f t="shared" si="13"/>
        <v>10738</v>
      </c>
      <c r="FO52" s="19">
        <f t="shared" si="14"/>
        <v>80320</v>
      </c>
      <c r="FX52" s="50"/>
      <c r="GC52" s="14"/>
      <c r="GE52" s="60">
        <f t="shared" ref="GE52:GE55" si="96">SUM(BI52)</f>
        <v>6990</v>
      </c>
      <c r="GN52" s="60">
        <f t="shared" si="16"/>
        <v>55219</v>
      </c>
      <c r="GW52" s="60">
        <f t="shared" si="17"/>
        <v>77277</v>
      </c>
      <c r="HC52" s="60">
        <f t="shared" si="18"/>
        <v>46473</v>
      </c>
      <c r="HP52" s="18"/>
    </row>
    <row r="53" spans="2:228">
      <c r="B53" s="58">
        <v>43779</v>
      </c>
      <c r="C53" s="20">
        <v>84132</v>
      </c>
      <c r="D53" s="20">
        <v>2.149</v>
      </c>
      <c r="E53" s="34">
        <f t="shared" si="19"/>
        <v>45920</v>
      </c>
      <c r="F53" s="34"/>
      <c r="G53" s="20">
        <v>79557</v>
      </c>
      <c r="H53" s="20">
        <v>2.4289999999999998</v>
      </c>
      <c r="I53" s="34">
        <f t="shared" si="20"/>
        <v>49760</v>
      </c>
      <c r="J53" s="34"/>
      <c r="K53" s="20">
        <v>9499</v>
      </c>
      <c r="L53" s="20">
        <v>0.311</v>
      </c>
      <c r="M53" s="34">
        <f t="shared" si="21"/>
        <v>12800</v>
      </c>
      <c r="N53" s="34"/>
      <c r="O53" s="20">
        <v>9407</v>
      </c>
      <c r="P53" s="20">
        <v>0.25</v>
      </c>
      <c r="Q53" s="34">
        <f t="shared" si="22"/>
        <v>7600</v>
      </c>
      <c r="R53" s="34"/>
      <c r="S53" s="20">
        <v>10104</v>
      </c>
      <c r="T53" s="20">
        <v>0.26500000000000001</v>
      </c>
      <c r="U53" s="34">
        <f t="shared" si="23"/>
        <v>12400</v>
      </c>
      <c r="V53" s="34"/>
      <c r="W53" s="20">
        <v>66926</v>
      </c>
      <c r="X53" s="20">
        <v>2.7789999999999999</v>
      </c>
      <c r="Y53" s="34">
        <f t="shared" si="24"/>
        <v>63900</v>
      </c>
      <c r="Z53" s="34"/>
      <c r="AA53" s="20">
        <v>63495</v>
      </c>
      <c r="AB53" s="20">
        <v>2.06</v>
      </c>
      <c r="AC53" s="34">
        <f t="shared" si="25"/>
        <v>73800</v>
      </c>
      <c r="AD53" s="34"/>
      <c r="AE53" s="20">
        <v>15823</v>
      </c>
      <c r="AF53" s="20">
        <v>0.38400000000000001</v>
      </c>
      <c r="AG53" s="34">
        <f t="shared" si="26"/>
        <v>6720</v>
      </c>
      <c r="AH53" s="34"/>
      <c r="AI53" s="20">
        <v>10770</v>
      </c>
      <c r="AJ53" s="20">
        <v>0.40799999999999997</v>
      </c>
      <c r="AK53" s="34">
        <f t="shared" si="27"/>
        <v>5120</v>
      </c>
      <c r="AL53" s="34"/>
      <c r="AM53" s="20">
        <v>80587</v>
      </c>
      <c r="AN53" s="20">
        <v>2.1429999999999998</v>
      </c>
      <c r="AO53" s="34">
        <f t="shared" si="28"/>
        <v>53400</v>
      </c>
      <c r="AP53" s="34"/>
      <c r="AQ53" s="20">
        <v>15283</v>
      </c>
      <c r="AR53" s="20">
        <v>0.33600000000000002</v>
      </c>
      <c r="AS53" s="34">
        <f t="shared" si="29"/>
        <v>1720</v>
      </c>
      <c r="AT53" s="34"/>
      <c r="AU53" s="205">
        <v>45988</v>
      </c>
      <c r="AV53" s="205"/>
      <c r="AW53" s="34">
        <f t="shared" si="30"/>
        <v>455</v>
      </c>
      <c r="AX53" s="34"/>
      <c r="AZ53" s="34">
        <f t="shared" si="0"/>
        <v>333595</v>
      </c>
      <c r="BA53" s="20">
        <f t="shared" si="51"/>
        <v>55120</v>
      </c>
      <c r="BB53" s="20">
        <f t="shared" si="52"/>
        <v>0.16523029421903807</v>
      </c>
      <c r="BC53" s="20"/>
      <c r="BD53" s="14"/>
      <c r="BE53" s="64">
        <f t="shared" si="40"/>
        <v>43779</v>
      </c>
      <c r="BF53" s="20">
        <v>55393</v>
      </c>
      <c r="BG53" s="34">
        <f t="shared" si="53"/>
        <v>17400</v>
      </c>
      <c r="BI53" s="20">
        <v>7010</v>
      </c>
      <c r="BJ53" s="34">
        <f t="shared" si="54"/>
        <v>2000</v>
      </c>
      <c r="BL53" s="20">
        <v>78247</v>
      </c>
      <c r="BM53" s="34">
        <f t="shared" si="33"/>
        <v>970</v>
      </c>
      <c r="BN53" s="20"/>
      <c r="BO53" s="20">
        <v>46500</v>
      </c>
      <c r="BP53" s="34">
        <f t="shared" si="34"/>
        <v>1080</v>
      </c>
      <c r="BR53" s="14"/>
      <c r="BS53" s="20">
        <f t="shared" si="3"/>
        <v>21450</v>
      </c>
      <c r="BT53" s="20"/>
      <c r="BU53" s="20"/>
      <c r="BW53" s="14"/>
      <c r="BY53" s="19">
        <f t="shared" si="4"/>
        <v>45988</v>
      </c>
      <c r="CC53" s="60">
        <f t="shared" si="95"/>
        <v>79557</v>
      </c>
      <c r="CL53" s="60">
        <f t="shared" si="6"/>
        <v>84132</v>
      </c>
      <c r="CU53" s="60">
        <f t="shared" si="35"/>
        <v>66926</v>
      </c>
      <c r="DD53" s="60">
        <f t="shared" si="7"/>
        <v>15283</v>
      </c>
      <c r="DM53" s="60">
        <f t="shared" si="8"/>
        <v>63495</v>
      </c>
      <c r="DV53" s="60">
        <f t="shared" si="9"/>
        <v>9407</v>
      </c>
      <c r="EE53" s="60">
        <f t="shared" si="10"/>
        <v>66926</v>
      </c>
      <c r="EN53" s="60">
        <f t="shared" si="11"/>
        <v>10104</v>
      </c>
      <c r="EW53" s="60">
        <f t="shared" si="12"/>
        <v>15823</v>
      </c>
      <c r="FF53" s="60">
        <f t="shared" si="13"/>
        <v>10770</v>
      </c>
      <c r="FO53" s="19">
        <f t="shared" si="14"/>
        <v>80587</v>
      </c>
      <c r="FX53" s="50"/>
      <c r="GC53" s="14"/>
      <c r="GE53" s="60">
        <f t="shared" si="96"/>
        <v>7010</v>
      </c>
      <c r="GN53" s="60">
        <f t="shared" si="16"/>
        <v>55393</v>
      </c>
      <c r="GW53" s="60">
        <f t="shared" si="17"/>
        <v>78247</v>
      </c>
      <c r="HC53" s="60">
        <f t="shared" si="18"/>
        <v>46500</v>
      </c>
      <c r="HP53" s="18"/>
    </row>
    <row r="54" spans="2:228">
      <c r="B54" s="58">
        <v>43786</v>
      </c>
      <c r="C54" s="20">
        <v>84417</v>
      </c>
      <c r="D54" s="20">
        <v>2.149</v>
      </c>
      <c r="E54" s="34">
        <f t="shared" si="19"/>
        <v>45600</v>
      </c>
      <c r="F54" s="34"/>
      <c r="G54" s="20">
        <v>79875</v>
      </c>
      <c r="H54" s="20">
        <v>2.5310000000000001</v>
      </c>
      <c r="I54" s="34">
        <f t="shared" si="20"/>
        <v>50880</v>
      </c>
      <c r="J54" s="34"/>
      <c r="K54" s="20">
        <v>9535</v>
      </c>
      <c r="L54" s="20">
        <v>0.35599999999999998</v>
      </c>
      <c r="M54" s="34">
        <f t="shared" si="21"/>
        <v>14400</v>
      </c>
      <c r="N54" s="34"/>
      <c r="O54" s="20">
        <v>9450</v>
      </c>
      <c r="P54" s="20">
        <v>0.317</v>
      </c>
      <c r="Q54" s="34">
        <f t="shared" si="22"/>
        <v>17200</v>
      </c>
      <c r="R54" s="34"/>
      <c r="S54" s="20">
        <v>10140</v>
      </c>
      <c r="T54" s="20">
        <v>0.33400000000000002</v>
      </c>
      <c r="U54" s="34">
        <f t="shared" si="23"/>
        <v>14400</v>
      </c>
      <c r="V54" s="34"/>
      <c r="W54" s="20">
        <v>67068</v>
      </c>
      <c r="X54" s="20">
        <v>2.7789999999999999</v>
      </c>
      <c r="Y54" s="34">
        <f t="shared" si="24"/>
        <v>42600</v>
      </c>
      <c r="Z54" s="34"/>
      <c r="AA54" s="20">
        <v>63676</v>
      </c>
      <c r="AB54" s="20">
        <v>2.06</v>
      </c>
      <c r="AC54" s="34">
        <f t="shared" si="25"/>
        <v>54300</v>
      </c>
      <c r="AD54" s="34"/>
      <c r="AE54" s="20">
        <v>15865</v>
      </c>
      <c r="AF54" s="20">
        <v>0.38400000000000001</v>
      </c>
      <c r="AG54" s="34">
        <f t="shared" si="26"/>
        <v>6720</v>
      </c>
      <c r="AH54" s="34"/>
      <c r="AI54" s="20">
        <v>10802</v>
      </c>
      <c r="AJ54" s="20">
        <v>0.40799999999999997</v>
      </c>
      <c r="AK54" s="34">
        <f t="shared" si="27"/>
        <v>5120</v>
      </c>
      <c r="AL54" s="34"/>
      <c r="AM54" s="20">
        <v>80821</v>
      </c>
      <c r="AN54" s="20">
        <v>2.1429999999999998</v>
      </c>
      <c r="AO54" s="34">
        <f t="shared" si="28"/>
        <v>46800</v>
      </c>
      <c r="AP54" s="34"/>
      <c r="AQ54" s="20">
        <v>15323</v>
      </c>
      <c r="AR54" s="20">
        <v>0.33600000000000002</v>
      </c>
      <c r="AS54" s="34">
        <f t="shared" si="29"/>
        <v>1600</v>
      </c>
      <c r="AT54" s="34"/>
      <c r="AU54" s="205">
        <v>46453</v>
      </c>
      <c r="AV54" s="205"/>
      <c r="AW54" s="34">
        <f t="shared" si="30"/>
        <v>465</v>
      </c>
      <c r="AX54" s="34"/>
      <c r="AZ54" s="34">
        <f t="shared" si="0"/>
        <v>300085</v>
      </c>
      <c r="BA54" s="20">
        <f t="shared" si="51"/>
        <v>48400</v>
      </c>
      <c r="BB54" s="20">
        <f t="shared" si="52"/>
        <v>0.16128763517003517</v>
      </c>
      <c r="BC54" s="20"/>
      <c r="BD54" s="14"/>
      <c r="BE54" s="64">
        <f t="shared" si="40"/>
        <v>43786</v>
      </c>
      <c r="BF54" s="20">
        <v>55541</v>
      </c>
      <c r="BG54" s="34">
        <f t="shared" si="53"/>
        <v>14800</v>
      </c>
      <c r="BI54" s="20">
        <v>7027</v>
      </c>
      <c r="BJ54" s="34">
        <f t="shared" si="54"/>
        <v>1700</v>
      </c>
      <c r="BL54" s="20">
        <v>79256</v>
      </c>
      <c r="BM54" s="34">
        <f t="shared" si="33"/>
        <v>1009</v>
      </c>
      <c r="BN54" s="20"/>
      <c r="BO54" s="20">
        <v>46554</v>
      </c>
      <c r="BP54" s="34">
        <f t="shared" si="34"/>
        <v>2160</v>
      </c>
      <c r="BR54" s="14"/>
      <c r="BS54" s="20">
        <f t="shared" si="3"/>
        <v>19669</v>
      </c>
      <c r="BT54" s="20"/>
      <c r="BU54" s="20"/>
      <c r="BW54" s="14"/>
      <c r="BY54" s="19">
        <f t="shared" si="4"/>
        <v>46453</v>
      </c>
      <c r="CC54" s="60">
        <f t="shared" si="95"/>
        <v>79875</v>
      </c>
      <c r="CL54" s="60">
        <f t="shared" si="6"/>
        <v>84417</v>
      </c>
      <c r="CU54" s="60">
        <f t="shared" si="35"/>
        <v>67068</v>
      </c>
      <c r="DD54" s="60">
        <f t="shared" si="7"/>
        <v>15323</v>
      </c>
      <c r="DM54" s="60">
        <f t="shared" si="8"/>
        <v>63676</v>
      </c>
      <c r="DV54" s="60">
        <f t="shared" si="9"/>
        <v>9450</v>
      </c>
      <c r="EE54" s="60">
        <f t="shared" si="10"/>
        <v>67068</v>
      </c>
      <c r="EN54" s="60">
        <f t="shared" si="11"/>
        <v>10140</v>
      </c>
      <c r="EW54" s="60">
        <f t="shared" si="12"/>
        <v>15865</v>
      </c>
      <c r="FF54" s="60">
        <f t="shared" si="13"/>
        <v>10802</v>
      </c>
      <c r="FO54" s="19">
        <f t="shared" si="14"/>
        <v>80821</v>
      </c>
      <c r="FX54" s="50"/>
      <c r="GC54" s="14"/>
      <c r="GE54" s="60">
        <f t="shared" si="96"/>
        <v>7027</v>
      </c>
      <c r="GN54" s="60">
        <f t="shared" si="16"/>
        <v>55541</v>
      </c>
      <c r="GW54" s="60">
        <f t="shared" si="17"/>
        <v>79256</v>
      </c>
      <c r="HC54" s="60">
        <f t="shared" si="18"/>
        <v>46554</v>
      </c>
      <c r="HP54" s="18"/>
    </row>
    <row r="55" spans="2:228">
      <c r="B55" s="58">
        <v>43793</v>
      </c>
      <c r="C55" s="20">
        <v>84702</v>
      </c>
      <c r="D55" s="20">
        <v>2.1280000000000001</v>
      </c>
      <c r="E55" s="34">
        <f t="shared" si="19"/>
        <v>45600</v>
      </c>
      <c r="F55" s="34"/>
      <c r="G55" s="20">
        <v>80172</v>
      </c>
      <c r="H55" s="20">
        <v>2.302</v>
      </c>
      <c r="I55" s="34">
        <f t="shared" si="20"/>
        <v>47520</v>
      </c>
      <c r="J55" s="34"/>
      <c r="K55" s="20">
        <v>9569</v>
      </c>
      <c r="L55" s="20">
        <v>0.32500000000000001</v>
      </c>
      <c r="M55" s="34">
        <f t="shared" si="21"/>
        <v>13600</v>
      </c>
      <c r="N55" s="34"/>
      <c r="O55" s="20">
        <v>9482</v>
      </c>
      <c r="P55" s="20">
        <v>0.23599999999999999</v>
      </c>
      <c r="Q55" s="34">
        <f t="shared" si="22"/>
        <v>12800</v>
      </c>
      <c r="R55" s="34"/>
      <c r="S55" s="20">
        <v>10173</v>
      </c>
      <c r="T55" s="20">
        <v>0.29399999999999998</v>
      </c>
      <c r="U55" s="34">
        <f t="shared" si="23"/>
        <v>13200</v>
      </c>
      <c r="V55" s="34"/>
      <c r="W55" s="20">
        <v>67189</v>
      </c>
      <c r="X55" s="20">
        <v>1.659</v>
      </c>
      <c r="Y55" s="34">
        <f t="shared" si="24"/>
        <v>36300</v>
      </c>
      <c r="Z55" s="34"/>
      <c r="AA55" s="20">
        <v>63836</v>
      </c>
      <c r="AB55" s="20">
        <v>1.153</v>
      </c>
      <c r="AC55" s="34">
        <f t="shared" si="25"/>
        <v>48000</v>
      </c>
      <c r="AD55" s="34"/>
      <c r="AE55" s="20">
        <v>15905</v>
      </c>
      <c r="AF55" s="20">
        <v>0.36399999999999999</v>
      </c>
      <c r="AG55" s="34">
        <f t="shared" si="26"/>
        <v>6400</v>
      </c>
      <c r="AH55" s="34"/>
      <c r="AI55" s="20">
        <v>10830</v>
      </c>
      <c r="AJ55" s="20">
        <v>0.308</v>
      </c>
      <c r="AK55" s="34">
        <f t="shared" si="27"/>
        <v>4480</v>
      </c>
      <c r="AL55" s="34"/>
      <c r="AM55" s="20">
        <v>81046</v>
      </c>
      <c r="AN55" s="20">
        <v>1.847</v>
      </c>
      <c r="AO55" s="34">
        <f t="shared" si="28"/>
        <v>45000</v>
      </c>
      <c r="AP55" s="34"/>
      <c r="AQ55" s="20">
        <v>15363</v>
      </c>
      <c r="AR55" s="20">
        <v>0.311</v>
      </c>
      <c r="AS55" s="34">
        <f t="shared" si="29"/>
        <v>1600</v>
      </c>
      <c r="AT55" s="34"/>
      <c r="AU55" s="205">
        <v>46919</v>
      </c>
      <c r="AV55" s="205"/>
      <c r="AW55" s="34">
        <f t="shared" si="30"/>
        <v>466</v>
      </c>
      <c r="AX55" s="34"/>
      <c r="AZ55" s="34">
        <f t="shared" si="0"/>
        <v>274966</v>
      </c>
      <c r="BA55" s="20">
        <f t="shared" si="51"/>
        <v>46600</v>
      </c>
      <c r="BB55" s="20">
        <f t="shared" si="52"/>
        <v>0.16947549878894116</v>
      </c>
      <c r="BC55" s="20"/>
      <c r="BD55" s="14"/>
      <c r="BE55" s="64">
        <f t="shared" si="40"/>
        <v>43793</v>
      </c>
      <c r="BF55" s="20">
        <v>55669</v>
      </c>
      <c r="BG55" s="34">
        <f t="shared" si="53"/>
        <v>12800</v>
      </c>
      <c r="BI55" s="20">
        <v>7047</v>
      </c>
      <c r="BJ55" s="34">
        <f t="shared" si="54"/>
        <v>2000</v>
      </c>
      <c r="BL55" s="20">
        <v>80307</v>
      </c>
      <c r="BM55" s="34">
        <f t="shared" si="33"/>
        <v>1051</v>
      </c>
      <c r="BN55" s="20"/>
      <c r="BO55" s="20">
        <v>46662</v>
      </c>
      <c r="BP55" s="34">
        <f t="shared" si="34"/>
        <v>4320</v>
      </c>
      <c r="BR55" s="14"/>
      <c r="BS55" s="20">
        <f t="shared" si="3"/>
        <v>20171</v>
      </c>
      <c r="BT55" s="20"/>
      <c r="BU55" s="20"/>
      <c r="BW55" s="14"/>
      <c r="BY55" s="19">
        <f t="shared" si="4"/>
        <v>46919</v>
      </c>
      <c r="CC55" s="60">
        <f t="shared" si="95"/>
        <v>80172</v>
      </c>
      <c r="CL55" s="60">
        <f t="shared" si="6"/>
        <v>84702</v>
      </c>
      <c r="CU55" s="60">
        <f t="shared" si="35"/>
        <v>67189</v>
      </c>
      <c r="DD55" s="60">
        <f t="shared" si="7"/>
        <v>15363</v>
      </c>
      <c r="DM55" s="60">
        <f t="shared" si="8"/>
        <v>63836</v>
      </c>
      <c r="DV55" s="60">
        <f t="shared" si="9"/>
        <v>9482</v>
      </c>
      <c r="EE55" s="60">
        <f t="shared" si="10"/>
        <v>67189</v>
      </c>
      <c r="EN55" s="60">
        <f t="shared" si="11"/>
        <v>10173</v>
      </c>
      <c r="EW55" s="60">
        <f t="shared" si="12"/>
        <v>15905</v>
      </c>
      <c r="FF55" s="60">
        <f t="shared" si="13"/>
        <v>10830</v>
      </c>
      <c r="FO55" s="19">
        <f t="shared" si="14"/>
        <v>81046</v>
      </c>
      <c r="FX55" s="50"/>
      <c r="GC55" s="14"/>
      <c r="GE55" s="60">
        <f t="shared" si="96"/>
        <v>7047</v>
      </c>
      <c r="GN55" s="60">
        <f t="shared" si="16"/>
        <v>55669</v>
      </c>
      <c r="GW55" s="60">
        <f t="shared" si="17"/>
        <v>80307</v>
      </c>
      <c r="HC55" s="60">
        <f t="shared" si="18"/>
        <v>46662</v>
      </c>
      <c r="HP55" s="18"/>
    </row>
    <row r="56" spans="2:228">
      <c r="B56" s="58">
        <v>43800</v>
      </c>
      <c r="C56" s="20">
        <v>84990</v>
      </c>
      <c r="D56" s="20">
        <v>2.1280000000000001</v>
      </c>
      <c r="E56" s="34">
        <f t="shared" si="19"/>
        <v>46080</v>
      </c>
      <c r="F56" s="34"/>
      <c r="G56" s="20">
        <v>80486</v>
      </c>
      <c r="H56" s="20">
        <v>2.33</v>
      </c>
      <c r="I56" s="34">
        <f t="shared" si="20"/>
        <v>50240</v>
      </c>
      <c r="J56" s="34"/>
      <c r="K56" s="20">
        <v>9603</v>
      </c>
      <c r="L56" s="20">
        <v>0.32500000000000001</v>
      </c>
      <c r="M56" s="34">
        <f t="shared" si="21"/>
        <v>13600</v>
      </c>
      <c r="N56" s="34"/>
      <c r="O56" s="20">
        <v>9512</v>
      </c>
      <c r="P56" s="20">
        <v>0.26</v>
      </c>
      <c r="Q56" s="34">
        <f t="shared" si="22"/>
        <v>12000</v>
      </c>
      <c r="R56" s="34"/>
      <c r="S56" s="20">
        <v>10207</v>
      </c>
      <c r="T56" s="20">
        <v>0.31</v>
      </c>
      <c r="U56" s="34">
        <f t="shared" si="23"/>
        <v>13600</v>
      </c>
      <c r="V56" s="34"/>
      <c r="W56" s="20">
        <v>67327</v>
      </c>
      <c r="X56" s="20">
        <v>1.659</v>
      </c>
      <c r="Y56" s="34">
        <f t="shared" si="24"/>
        <v>41400</v>
      </c>
      <c r="Z56" s="34"/>
      <c r="AA56" s="20">
        <v>63959</v>
      </c>
      <c r="AB56" s="20">
        <v>1.7050000000000001</v>
      </c>
      <c r="AC56" s="34">
        <f t="shared" si="25"/>
        <v>36900</v>
      </c>
      <c r="AD56" s="34"/>
      <c r="AE56" s="20">
        <v>15939</v>
      </c>
      <c r="AF56" s="20">
        <v>0.36399999999999999</v>
      </c>
      <c r="AG56" s="34">
        <f t="shared" si="26"/>
        <v>5440</v>
      </c>
      <c r="AH56" s="34"/>
      <c r="AI56" s="20">
        <v>10852</v>
      </c>
      <c r="AJ56" s="20">
        <v>0.308</v>
      </c>
      <c r="AK56" s="34">
        <f t="shared" si="27"/>
        <v>3520</v>
      </c>
      <c r="AL56" s="34"/>
      <c r="AM56" s="20">
        <v>81278</v>
      </c>
      <c r="AN56" s="20">
        <v>1.0959000000000001</v>
      </c>
      <c r="AO56" s="34">
        <f t="shared" si="28"/>
        <v>46400</v>
      </c>
      <c r="AP56" s="34"/>
      <c r="AQ56" s="20">
        <v>15404</v>
      </c>
      <c r="AR56" s="20">
        <v>0.311</v>
      </c>
      <c r="AS56" s="34">
        <f t="shared" si="29"/>
        <v>1640</v>
      </c>
      <c r="AT56" s="34"/>
      <c r="AU56" s="205">
        <v>47380</v>
      </c>
      <c r="AV56" s="205"/>
      <c r="AW56" s="34">
        <f t="shared" si="30"/>
        <v>461</v>
      </c>
      <c r="AX56" s="34"/>
      <c r="AZ56" s="34">
        <f t="shared" si="0"/>
        <v>271281</v>
      </c>
      <c r="BA56" s="20">
        <f t="shared" si="51"/>
        <v>48040</v>
      </c>
      <c r="BB56" s="20">
        <f t="shared" si="52"/>
        <v>0.17708575241170593</v>
      </c>
      <c r="BC56" s="20">
        <f>SUM(AZ52:AZ56)</f>
        <v>1320314</v>
      </c>
      <c r="BD56" s="14"/>
      <c r="BE56" s="64">
        <f t="shared" si="40"/>
        <v>43800</v>
      </c>
      <c r="BF56" s="20">
        <v>55800</v>
      </c>
      <c r="BG56" s="34">
        <f t="shared" si="53"/>
        <v>13100</v>
      </c>
      <c r="BI56" s="20">
        <v>7063</v>
      </c>
      <c r="BJ56" s="34">
        <f t="shared" si="54"/>
        <v>1600</v>
      </c>
      <c r="BL56" s="20">
        <v>81294</v>
      </c>
      <c r="BM56" s="34">
        <f t="shared" si="33"/>
        <v>987</v>
      </c>
      <c r="BN56" s="20"/>
      <c r="BO56" s="20">
        <v>46756</v>
      </c>
      <c r="BP56" s="34">
        <f t="shared" si="34"/>
        <v>3760</v>
      </c>
      <c r="BR56" s="14"/>
      <c r="BS56" s="20">
        <f t="shared" si="3"/>
        <v>19447</v>
      </c>
      <c r="BT56" s="20">
        <f>SUM(BS52:BS56)</f>
        <v>89070</v>
      </c>
      <c r="BU56" s="20">
        <f>SUM(BC56+BT56)</f>
        <v>1409384</v>
      </c>
      <c r="BW56" s="14"/>
      <c r="BY56" s="19">
        <f t="shared" si="4"/>
        <v>47380</v>
      </c>
      <c r="BZ56" s="20">
        <v>47107</v>
      </c>
      <c r="CA56" s="19">
        <f>SUM(BZ56-BZ51)</f>
        <v>1988</v>
      </c>
      <c r="CB56" s="59">
        <f>SUM(CA56*0.11895+CA56*0.02531)*1.08+2.85</f>
        <v>312.58199040000005</v>
      </c>
      <c r="CC56" s="60">
        <f t="shared" ref="CC56" si="97">SUM(G56)</f>
        <v>80486</v>
      </c>
      <c r="CD56" s="20">
        <v>80305</v>
      </c>
      <c r="CE56" s="20">
        <v>2.5310000000000001</v>
      </c>
      <c r="CF56" s="19">
        <f>SUM(CD56-CD51)*160</f>
        <v>197440</v>
      </c>
      <c r="CG56" s="19">
        <f>(CE56)*160</f>
        <v>404.96000000000004</v>
      </c>
      <c r="CH56" s="59">
        <f>SUM(CF56*0.0406)</f>
        <v>8016.0639999999994</v>
      </c>
      <c r="CI56" s="59">
        <f>SUM(CF56*0.02531)</f>
        <v>4997.2064</v>
      </c>
      <c r="CJ56" s="59">
        <f>SUM(CG56*6.99)</f>
        <v>2830.6704000000004</v>
      </c>
      <c r="CK56" s="59">
        <f>SUM(CH56+CI56)*1.08</f>
        <v>14054.332032</v>
      </c>
      <c r="CL56" s="60">
        <f t="shared" si="6"/>
        <v>84990</v>
      </c>
      <c r="CM56" s="20">
        <v>84824</v>
      </c>
      <c r="CN56" s="20">
        <v>2.2330000000000001</v>
      </c>
      <c r="CO56" s="19">
        <f>SUM(CM56-CM51)*160</f>
        <v>182880</v>
      </c>
      <c r="CP56" s="19">
        <f>(CN56)*160</f>
        <v>357.28000000000003</v>
      </c>
      <c r="CQ56" s="59">
        <f>SUM(CO56*0.0406)</f>
        <v>7424.9279999999999</v>
      </c>
      <c r="CR56" s="59">
        <f>SUM(CO56*0.02531)</f>
        <v>4628.6927999999998</v>
      </c>
      <c r="CS56" s="59">
        <f>SUM(CP56*6.99)</f>
        <v>2497.3872000000001</v>
      </c>
      <c r="CT56" s="59">
        <f>SUM((CQ56+CR56)+20)* 1.08</f>
        <v>13039.510464000001</v>
      </c>
      <c r="CU56" s="60">
        <f t="shared" si="35"/>
        <v>67327</v>
      </c>
      <c r="CV56" s="20">
        <v>67246</v>
      </c>
      <c r="CW56" s="20">
        <v>2.7789999999999999</v>
      </c>
      <c r="CX56" s="19">
        <f>SUM(CV56-CV51)*300</f>
        <v>199200</v>
      </c>
      <c r="CY56" s="19">
        <f>(CW56)*300</f>
        <v>833.69999999999993</v>
      </c>
      <c r="CZ56" s="59">
        <f>SUM(CX56*0.0406)</f>
        <v>8087.5199999999995</v>
      </c>
      <c r="DA56" s="59">
        <f>SUM(CX56*0.02531)</f>
        <v>5041.7519999999995</v>
      </c>
      <c r="DB56" s="59">
        <f>SUM(CY56*6.99)</f>
        <v>5827.5630000000001</v>
      </c>
      <c r="DC56" s="59">
        <f>SUM((CZ56+DA56)+20)*1.09</f>
        <v>14332.706480000001</v>
      </c>
      <c r="DD56" s="60">
        <f t="shared" si="7"/>
        <v>15404</v>
      </c>
      <c r="DE56" s="20">
        <v>15381</v>
      </c>
      <c r="DF56" s="20">
        <v>0.33600000000000002</v>
      </c>
      <c r="DG56" s="19">
        <f>(DE56-DE51)*40</f>
        <v>6640</v>
      </c>
      <c r="DH56" s="19">
        <f>(DF56)*40</f>
        <v>13.440000000000001</v>
      </c>
      <c r="DI56" s="59">
        <f>SUM(DG56*0.0406)</f>
        <v>269.584</v>
      </c>
      <c r="DJ56" s="59">
        <f>SUM(DG56*0.02531)</f>
        <v>168.05840000000001</v>
      </c>
      <c r="DK56" s="59">
        <f>SUM(DH56*6.99)</f>
        <v>93.945600000000013</v>
      </c>
      <c r="DL56" s="59">
        <f>SUM((DI56+DJ56)+20)*1.09</f>
        <v>498.83021600000006</v>
      </c>
      <c r="DM56" s="60">
        <f t="shared" si="8"/>
        <v>63959</v>
      </c>
      <c r="DN56" s="20">
        <v>63861</v>
      </c>
      <c r="DO56" s="20">
        <v>2.06</v>
      </c>
      <c r="DP56" s="19">
        <f>SUM(DN56-DN51)*300</f>
        <v>221100</v>
      </c>
      <c r="DQ56" s="61">
        <f>(DO56)*300</f>
        <v>618</v>
      </c>
      <c r="DR56" s="59">
        <f>SUM(DP56*0.0406)</f>
        <v>8976.66</v>
      </c>
      <c r="DS56" s="59">
        <f>SUM(DP56*0.02531)</f>
        <v>5596.0410000000002</v>
      </c>
      <c r="DT56" s="59">
        <f>SUM(DQ56*6.99)</f>
        <v>4319.82</v>
      </c>
      <c r="DU56" s="59">
        <f>SUM((DR56+DS56)+20)*1.085</f>
        <v>15833.080585</v>
      </c>
      <c r="DV56" s="60">
        <f t="shared" si="9"/>
        <v>9512</v>
      </c>
      <c r="DW56" s="20">
        <v>9495</v>
      </c>
      <c r="DX56" s="20">
        <v>0.317</v>
      </c>
      <c r="DY56" s="19">
        <f>SUM(DW56-DW51)*400</f>
        <v>49600</v>
      </c>
      <c r="DZ56" s="61">
        <f>(DX56)*400</f>
        <v>126.8</v>
      </c>
      <c r="EA56" s="59">
        <f>SUM(DY56*0.0406)</f>
        <v>2013.7599999999998</v>
      </c>
      <c r="EB56" s="59">
        <f>SUM(DY56*0.02531)</f>
        <v>1255.376</v>
      </c>
      <c r="EC56" s="59">
        <f>SUM(DZ56*6.99)</f>
        <v>886.33199999999999</v>
      </c>
      <c r="ED56" s="59">
        <f>SUM((EA56+EB56)+20)*1.09</f>
        <v>3585.1582399999998</v>
      </c>
      <c r="EE56" s="60">
        <f t="shared" si="10"/>
        <v>67327</v>
      </c>
      <c r="EF56" s="20">
        <v>9584</v>
      </c>
      <c r="EG56" s="20">
        <v>0.317</v>
      </c>
      <c r="EH56" s="19">
        <f>SUM(EF56-EF51)*400</f>
        <v>54400</v>
      </c>
      <c r="EI56" s="19">
        <f>(EG56)*400</f>
        <v>126.8</v>
      </c>
      <c r="EJ56" s="59">
        <f>SUM(EH56*0.0406)</f>
        <v>2208.64</v>
      </c>
      <c r="EK56" s="59">
        <f>SUM(EH56*0.02531)</f>
        <v>1376.864</v>
      </c>
      <c r="EL56" s="59">
        <f>SUM(EI56*6.99)</f>
        <v>886.33199999999999</v>
      </c>
      <c r="EM56" s="59">
        <f>SUM((EJ56+EK56)+20)*1.09</f>
        <v>3929.9993600000003</v>
      </c>
      <c r="EN56" s="60">
        <f t="shared" si="11"/>
        <v>10207</v>
      </c>
      <c r="EO56" s="20">
        <v>10188</v>
      </c>
      <c r="EP56" s="20">
        <v>0.33400000000000002</v>
      </c>
      <c r="EQ56" s="19">
        <f>SUM(EO56-EO51)*400</f>
        <v>53600</v>
      </c>
      <c r="ER56" s="19">
        <f>(EP56)*400</f>
        <v>133.6</v>
      </c>
      <c r="ES56" s="59">
        <f>SUM(EQ56*0.0406)</f>
        <v>2176.16</v>
      </c>
      <c r="ET56" s="59">
        <f>SUM(EQ56*0.02531)</f>
        <v>1356.616</v>
      </c>
      <c r="EU56" s="59">
        <f>SUM(ER56*6.99)</f>
        <v>933.86400000000003</v>
      </c>
      <c r="EV56" s="59">
        <f>SUM((ES56+ET56)+20)*1.09</f>
        <v>3872.5258400000002</v>
      </c>
      <c r="EW56" s="60">
        <f t="shared" si="12"/>
        <v>15939</v>
      </c>
      <c r="EX56" s="20">
        <v>15920</v>
      </c>
      <c r="EY56" s="20">
        <v>0.38400000000000001</v>
      </c>
      <c r="EZ56" s="19">
        <f>SUM(EX56-EX51)*160</f>
        <v>25760</v>
      </c>
      <c r="FA56" s="19">
        <f>(EY56)*160</f>
        <v>61.44</v>
      </c>
      <c r="FB56" s="59">
        <f>SUM(EZ56*0.0406)</f>
        <v>1045.856</v>
      </c>
      <c r="FC56" s="59">
        <f>SUM(EZ56*0.02531)</f>
        <v>651.98559999999998</v>
      </c>
      <c r="FD56" s="59">
        <f>SUM(FA56*6.99)</f>
        <v>429.46559999999999</v>
      </c>
      <c r="FE56" s="59">
        <f>SUM((FB56+FC56)+20)*1.09</f>
        <v>1872.4473440000002</v>
      </c>
      <c r="FF56" s="60">
        <f t="shared" si="13"/>
        <v>10852</v>
      </c>
      <c r="FG56" s="20">
        <v>10839</v>
      </c>
      <c r="FH56" s="20">
        <v>0.40799999999999997</v>
      </c>
      <c r="FI56" s="19">
        <f>SUM(FG56-FG51)*160</f>
        <v>18880</v>
      </c>
      <c r="FJ56" s="19">
        <f>(FH56)*160</f>
        <v>65.28</v>
      </c>
      <c r="FK56" s="59">
        <f>SUM(FI56*0.0406)</f>
        <v>766.52799999999991</v>
      </c>
      <c r="FL56" s="59">
        <f>SUM(FI56*0.02531)</f>
        <v>477.8528</v>
      </c>
      <c r="FM56" s="59">
        <f>SUM(FJ56*6.99)</f>
        <v>456.30720000000002</v>
      </c>
      <c r="FN56" s="59">
        <f>SUM((FK56+FL56)+20)*1.09</f>
        <v>1378.175072</v>
      </c>
      <c r="FO56" s="19">
        <f t="shared" si="14"/>
        <v>81278</v>
      </c>
      <c r="FP56" s="20">
        <v>81143</v>
      </c>
      <c r="FQ56" s="20">
        <v>2.1429999999999998</v>
      </c>
      <c r="FR56" s="19">
        <f>SUM(FP56-FP51)*200</f>
        <v>195200</v>
      </c>
      <c r="FS56" s="19">
        <f>(FQ56)*200</f>
        <v>428.59999999999997</v>
      </c>
      <c r="FT56" s="59">
        <f>SUM(FR56*0.0406)</f>
        <v>7925.12</v>
      </c>
      <c r="FU56" s="59">
        <f>SUM(FR56*0.02531)</f>
        <v>4940.5119999999997</v>
      </c>
      <c r="FV56" s="59">
        <f>SUM(FS56*6.99)</f>
        <v>2995.9139999999998</v>
      </c>
      <c r="FW56" s="59">
        <f>SUM((FT56+FU56)+20)*1.09</f>
        <v>14045.338880000001</v>
      </c>
      <c r="FX56" s="50"/>
      <c r="FY56" s="74">
        <f>SUM(CA56+CF56+CO56+CX56+DG56+DP56+DY56+EH56+EQ56+EZ56+FI56+FR56)</f>
        <v>1206688</v>
      </c>
      <c r="FZ56" s="75">
        <f>SUM(CB56+CK56,CT56,DC56,DL56,DU56,ED56,EM56,EV56,FE56,FN56+FW56)</f>
        <v>86754.686503400007</v>
      </c>
      <c r="GA56" s="75">
        <f>SUM(CJ56,CS56,DB56,DK56,DT56,EC56,EL56,EU56,FD56,FM56,FV56)</f>
        <v>22157.600999999999</v>
      </c>
      <c r="GB56" s="75">
        <f>SUM(FZ56:GA56)</f>
        <v>108912.2875034</v>
      </c>
      <c r="GC56" s="14"/>
      <c r="GE56" s="60">
        <f t="shared" ref="GE56" si="98">SUM(BI56)</f>
        <v>7063</v>
      </c>
      <c r="GF56" s="20">
        <v>7054</v>
      </c>
      <c r="GG56" s="20">
        <v>0.24199999999999999</v>
      </c>
      <c r="GH56" s="19">
        <f>SUM(GF56-GF51)*100</f>
        <v>7600</v>
      </c>
      <c r="GI56" s="19">
        <f>SUM(GG56)*100</f>
        <v>24.2</v>
      </c>
      <c r="GJ56" s="62">
        <f>SUM(GH56*0.0406)</f>
        <v>308.56</v>
      </c>
      <c r="GK56" s="62">
        <f>SUM(GH56*0.02531)</f>
        <v>192.35599999999999</v>
      </c>
      <c r="GL56" s="62">
        <f>SUM(GI56*6.99)</f>
        <v>169.15799999999999</v>
      </c>
      <c r="GM56" s="59">
        <f>SUM(GK56+GJ56+20)*1.1048</f>
        <v>575.50799679999989</v>
      </c>
      <c r="GN56" s="60">
        <f t="shared" si="16"/>
        <v>55800</v>
      </c>
      <c r="GO56" s="20">
        <v>55716</v>
      </c>
      <c r="GP56" s="20">
        <v>1.83</v>
      </c>
      <c r="GQ56" s="19">
        <f>SUM(GO56-GO51)*100</f>
        <v>59800</v>
      </c>
      <c r="GR56" s="19">
        <f>SUM(GP56)*100</f>
        <v>183</v>
      </c>
      <c r="GS56" s="62">
        <f>SUM(GQ56*0.0406)</f>
        <v>2427.8799999999997</v>
      </c>
      <c r="GT56" s="62">
        <f>SUM(GQ56*0.02531)</f>
        <v>1513.538</v>
      </c>
      <c r="GU56" s="62">
        <f>SUM(GR56*6.99)</f>
        <v>1279.17</v>
      </c>
      <c r="GV56" s="59">
        <f>SUM(GT56+GS56+20)*1.1048</f>
        <v>4376.5746063999995</v>
      </c>
      <c r="GW56" s="60">
        <f t="shared" si="17"/>
        <v>81294</v>
      </c>
      <c r="GX56" s="20">
        <v>80674</v>
      </c>
      <c r="GY56" s="19">
        <f>SUM(GX56-GX51)</f>
        <v>3927</v>
      </c>
      <c r="GZ56" s="59">
        <f>SUM(GY56*0.11895)</f>
        <v>467.11664999999999</v>
      </c>
      <c r="HA56" s="59">
        <f>SUM(GY56*0.02531)</f>
        <v>99.39237</v>
      </c>
      <c r="HB56" s="59">
        <f>SUM(GZ56+HA56+2.32)*1.07</f>
        <v>608.64705140000001</v>
      </c>
      <c r="HC56" s="60">
        <f t="shared" si="18"/>
        <v>46756</v>
      </c>
      <c r="HD56" s="20">
        <v>46701</v>
      </c>
      <c r="HE56" s="20">
        <v>3.5179999999999998</v>
      </c>
      <c r="HF56" s="19">
        <f>SUM(HD56-HD51)*40</f>
        <v>10040</v>
      </c>
      <c r="HG56" s="19">
        <f>SUM(HE56)*40</f>
        <v>140.72</v>
      </c>
      <c r="HH56" s="59">
        <f>SUM(HF56*0.0406)</f>
        <v>407.62399999999997</v>
      </c>
      <c r="HI56" s="59">
        <f>SUM(HF56*0.02531)</f>
        <v>254.11239999999998</v>
      </c>
      <c r="HJ56" s="59">
        <f>SUM(HG56*6.99)</f>
        <v>983.63279999999997</v>
      </c>
      <c r="HK56" s="59">
        <f>SUM(HI56+HH56+20)*1.1048</f>
        <v>753.18237471999998</v>
      </c>
      <c r="HL56" s="20">
        <f>SUM(GH56+GQ56+GY56+HF56)</f>
        <v>81367</v>
      </c>
      <c r="HM56" s="75">
        <f>SUM(HK56+HB56+GV56+GM56)</f>
        <v>6313.9120293199994</v>
      </c>
      <c r="HN56" s="75">
        <f>SUM(GL56+GU56+HJ56)</f>
        <v>2431.9607999999998</v>
      </c>
      <c r="HO56" s="75">
        <f>SUM(HM56:HN56)</f>
        <v>8745.8728293200002</v>
      </c>
      <c r="HP56" s="18"/>
      <c r="HQ56" s="74">
        <f t="shared" ref="HQ56:HS56" si="99">(FY56+HL56)</f>
        <v>1288055</v>
      </c>
      <c r="HR56" s="75">
        <f t="shared" si="99"/>
        <v>93068.598532720003</v>
      </c>
      <c r="HS56" s="75">
        <f t="shared" si="99"/>
        <v>24589.561799999999</v>
      </c>
      <c r="HT56" s="75">
        <f t="shared" ref="HT56" si="100">(HR56+HS56)</f>
        <v>117658.16033272</v>
      </c>
    </row>
    <row r="57" spans="2:228">
      <c r="B57" s="58">
        <v>43807</v>
      </c>
      <c r="C57" s="20">
        <v>85282</v>
      </c>
      <c r="D57" s="20">
        <v>2.1640000000000001</v>
      </c>
      <c r="E57" s="34">
        <f t="shared" si="19"/>
        <v>46720</v>
      </c>
      <c r="F57" s="34"/>
      <c r="G57" s="20">
        <v>80795</v>
      </c>
      <c r="H57" s="20">
        <v>2.3969999999999998</v>
      </c>
      <c r="I57" s="34">
        <f t="shared" si="20"/>
        <v>49440</v>
      </c>
      <c r="J57" s="34"/>
      <c r="K57" s="20">
        <v>9642</v>
      </c>
      <c r="L57" s="20">
        <v>0.33600000000000002</v>
      </c>
      <c r="M57" s="34">
        <f t="shared" si="21"/>
        <v>15600</v>
      </c>
      <c r="N57" s="34"/>
      <c r="O57" s="20">
        <v>9548</v>
      </c>
      <c r="P57" s="20">
        <v>0.28399999999999997</v>
      </c>
      <c r="Q57" s="34">
        <f t="shared" si="22"/>
        <v>14400</v>
      </c>
      <c r="R57" s="34"/>
      <c r="S57" s="20">
        <v>10242</v>
      </c>
      <c r="T57" s="20">
        <v>0.32900000000000001</v>
      </c>
      <c r="U57" s="34">
        <f t="shared" si="23"/>
        <v>14000</v>
      </c>
      <c r="V57" s="34"/>
      <c r="W57" s="20">
        <v>67480</v>
      </c>
      <c r="X57" s="20">
        <v>1.659</v>
      </c>
      <c r="Y57" s="34">
        <f t="shared" si="24"/>
        <v>45900</v>
      </c>
      <c r="Z57" s="34"/>
      <c r="AA57" s="20">
        <v>64059</v>
      </c>
      <c r="AB57" s="20">
        <v>1.766</v>
      </c>
      <c r="AC57" s="34">
        <f t="shared" si="25"/>
        <v>30000</v>
      </c>
      <c r="AD57" s="34"/>
      <c r="AE57" s="20">
        <v>15978</v>
      </c>
      <c r="AF57" s="20">
        <v>0.38300000000000001</v>
      </c>
      <c r="AG57" s="34">
        <f t="shared" si="26"/>
        <v>6240</v>
      </c>
      <c r="AH57" s="34"/>
      <c r="AI57" s="20">
        <v>10880</v>
      </c>
      <c r="AJ57" s="20">
        <v>0.442</v>
      </c>
      <c r="AK57" s="34">
        <f t="shared" si="27"/>
        <v>4480</v>
      </c>
      <c r="AL57" s="34"/>
      <c r="AM57" s="20">
        <v>81501</v>
      </c>
      <c r="AN57" s="20">
        <v>1.9590000000000001</v>
      </c>
      <c r="AO57" s="34">
        <f t="shared" si="28"/>
        <v>44600</v>
      </c>
      <c r="AP57" s="34"/>
      <c r="AQ57" s="20">
        <v>15444</v>
      </c>
      <c r="AR57" s="20">
        <v>0.311</v>
      </c>
      <c r="AS57" s="34">
        <f t="shared" si="29"/>
        <v>1600</v>
      </c>
      <c r="AT57" s="34"/>
      <c r="AU57" s="205">
        <v>47851</v>
      </c>
      <c r="AV57" s="205"/>
      <c r="AW57" s="34">
        <f t="shared" si="30"/>
        <v>471</v>
      </c>
      <c r="AX57" s="34"/>
      <c r="AZ57" s="34">
        <f t="shared" si="0"/>
        <v>273451</v>
      </c>
      <c r="BA57" s="20">
        <f t="shared" si="51"/>
        <v>46200</v>
      </c>
      <c r="BB57" s="20">
        <f t="shared" si="52"/>
        <v>0.16895165861525466</v>
      </c>
      <c r="BC57" s="20"/>
      <c r="BD57" s="14"/>
      <c r="BE57" s="64">
        <f t="shared" si="40"/>
        <v>43807</v>
      </c>
      <c r="BF57" s="20">
        <v>55920</v>
      </c>
      <c r="BG57" s="34">
        <f t="shared" si="53"/>
        <v>12000</v>
      </c>
      <c r="BI57" s="20">
        <v>7080</v>
      </c>
      <c r="BJ57" s="34">
        <f t="shared" si="54"/>
        <v>1700</v>
      </c>
      <c r="BL57" s="20">
        <v>82265</v>
      </c>
      <c r="BM57" s="34">
        <f t="shared" si="33"/>
        <v>971</v>
      </c>
      <c r="BN57" s="20"/>
      <c r="BO57" s="20">
        <v>46830</v>
      </c>
      <c r="BP57" s="34">
        <f t="shared" si="34"/>
        <v>2960</v>
      </c>
      <c r="BR57" s="14"/>
      <c r="BS57" s="20">
        <f t="shared" si="3"/>
        <v>17631</v>
      </c>
      <c r="BT57" s="20"/>
      <c r="BU57" s="20"/>
      <c r="BW57" s="14"/>
      <c r="BY57" s="19">
        <f t="shared" si="4"/>
        <v>47851</v>
      </c>
      <c r="CC57" s="60">
        <f t="shared" ref="CC57:CC60" si="101">SUM(G57)</f>
        <v>80795</v>
      </c>
      <c r="CL57" s="60">
        <f t="shared" si="6"/>
        <v>85282</v>
      </c>
      <c r="CU57" s="60">
        <f t="shared" si="35"/>
        <v>67480</v>
      </c>
      <c r="DD57" s="60">
        <f t="shared" si="7"/>
        <v>15444</v>
      </c>
      <c r="DM57" s="60">
        <f t="shared" si="8"/>
        <v>64059</v>
      </c>
      <c r="DV57" s="60">
        <f t="shared" si="9"/>
        <v>9548</v>
      </c>
      <c r="EE57" s="60">
        <f t="shared" si="10"/>
        <v>67480</v>
      </c>
      <c r="EN57" s="60">
        <f t="shared" si="11"/>
        <v>10242</v>
      </c>
      <c r="EW57" s="60">
        <f t="shared" si="12"/>
        <v>15978</v>
      </c>
      <c r="FF57" s="60">
        <f t="shared" si="13"/>
        <v>10880</v>
      </c>
      <c r="FO57" s="19">
        <f t="shared" si="14"/>
        <v>81501</v>
      </c>
      <c r="FX57" s="50"/>
      <c r="GC57" s="14"/>
      <c r="GE57" s="60">
        <f t="shared" ref="GE57:GE60" si="102">SUM(BI57)</f>
        <v>7080</v>
      </c>
      <c r="GN57" s="60">
        <f t="shared" si="16"/>
        <v>55920</v>
      </c>
      <c r="GW57" s="60">
        <f t="shared" si="17"/>
        <v>82265</v>
      </c>
      <c r="HC57" s="60">
        <f t="shared" si="18"/>
        <v>46830</v>
      </c>
      <c r="HP57" s="18"/>
    </row>
    <row r="58" spans="2:228">
      <c r="B58" s="58">
        <v>43814</v>
      </c>
      <c r="C58" s="20">
        <v>85576</v>
      </c>
      <c r="D58" s="20">
        <v>2.1779999999999999</v>
      </c>
      <c r="E58" s="34">
        <f t="shared" si="19"/>
        <v>47040</v>
      </c>
      <c r="F58" s="34"/>
      <c r="G58" s="20">
        <v>81103</v>
      </c>
      <c r="H58" s="20">
        <v>2.4390000000000001</v>
      </c>
      <c r="I58" s="34">
        <f t="shared" si="20"/>
        <v>49280</v>
      </c>
      <c r="J58" s="34"/>
      <c r="K58" s="20">
        <v>9675</v>
      </c>
      <c r="L58" s="20">
        <v>0.33600000000000002</v>
      </c>
      <c r="M58" s="34">
        <f t="shared" si="21"/>
        <v>13200</v>
      </c>
      <c r="N58" s="34"/>
      <c r="O58" s="20">
        <v>9578</v>
      </c>
      <c r="P58" s="20">
        <v>0.28399999999999997</v>
      </c>
      <c r="Q58" s="34">
        <f t="shared" si="22"/>
        <v>12000</v>
      </c>
      <c r="R58" s="34"/>
      <c r="S58" s="20">
        <v>10273</v>
      </c>
      <c r="T58" s="20">
        <v>0.32900000000000001</v>
      </c>
      <c r="U58" s="34">
        <f t="shared" si="23"/>
        <v>12400</v>
      </c>
      <c r="V58" s="34"/>
      <c r="W58" s="20">
        <v>67630</v>
      </c>
      <c r="X58" s="20">
        <v>2.181</v>
      </c>
      <c r="Y58" s="34">
        <f t="shared" si="24"/>
        <v>45000</v>
      </c>
      <c r="Z58" s="34"/>
      <c r="AA58" s="20">
        <v>64249</v>
      </c>
      <c r="AB58" s="20">
        <v>1.8779999999999999</v>
      </c>
      <c r="AC58" s="34">
        <f t="shared" si="25"/>
        <v>57000</v>
      </c>
      <c r="AD58" s="34"/>
      <c r="AE58" s="20">
        <v>16016</v>
      </c>
      <c r="AF58" s="20">
        <v>0.38300000000000001</v>
      </c>
      <c r="AG58" s="34">
        <f t="shared" si="26"/>
        <v>6080</v>
      </c>
      <c r="AH58" s="34"/>
      <c r="AI58" s="20">
        <v>10906</v>
      </c>
      <c r="AJ58" s="20">
        <v>0.442</v>
      </c>
      <c r="AK58" s="34">
        <f t="shared" si="27"/>
        <v>4160</v>
      </c>
      <c r="AL58" s="34"/>
      <c r="AM58" s="20">
        <v>81737</v>
      </c>
      <c r="AN58" s="20">
        <v>2.0129999999999999</v>
      </c>
      <c r="AO58" s="34">
        <f t="shared" si="28"/>
        <v>47200</v>
      </c>
      <c r="AP58" s="34"/>
      <c r="AQ58" s="20">
        <v>15435</v>
      </c>
      <c r="AR58" s="20">
        <v>0.311</v>
      </c>
      <c r="AS58" s="34">
        <f t="shared" si="29"/>
        <v>-360</v>
      </c>
      <c r="AT58" s="34"/>
      <c r="AU58" s="205">
        <v>48326</v>
      </c>
      <c r="AV58" s="205"/>
      <c r="AW58" s="34">
        <f t="shared" si="30"/>
        <v>475</v>
      </c>
      <c r="AX58" s="34"/>
      <c r="AZ58" s="34">
        <f t="shared" si="0"/>
        <v>293475</v>
      </c>
      <c r="BA58" s="20">
        <f t="shared" si="51"/>
        <v>46840</v>
      </c>
      <c r="BB58" s="20">
        <f t="shared" si="52"/>
        <v>0.15960473634892239</v>
      </c>
      <c r="BC58" s="20"/>
      <c r="BD58" s="14"/>
      <c r="BE58" s="64">
        <f t="shared" si="40"/>
        <v>43814</v>
      </c>
      <c r="BF58" s="20">
        <v>56068</v>
      </c>
      <c r="BG58" s="34">
        <f t="shared" si="53"/>
        <v>14800</v>
      </c>
      <c r="BI58" s="20">
        <v>7097</v>
      </c>
      <c r="BJ58" s="34">
        <f t="shared" si="54"/>
        <v>1700</v>
      </c>
      <c r="BL58" s="20">
        <v>83264</v>
      </c>
      <c r="BM58" s="34">
        <f t="shared" si="33"/>
        <v>999</v>
      </c>
      <c r="BN58" s="20"/>
      <c r="BO58" s="20">
        <v>46865</v>
      </c>
      <c r="BP58" s="34">
        <f t="shared" si="34"/>
        <v>1400</v>
      </c>
      <c r="BR58" s="14"/>
      <c r="BS58" s="20">
        <f t="shared" si="3"/>
        <v>18899</v>
      </c>
      <c r="BT58" s="20"/>
      <c r="BU58" s="20"/>
      <c r="BW58" s="14"/>
      <c r="BY58" s="19">
        <f t="shared" si="4"/>
        <v>48326</v>
      </c>
      <c r="CC58" s="60">
        <f t="shared" si="101"/>
        <v>81103</v>
      </c>
      <c r="CL58" s="60">
        <f t="shared" si="6"/>
        <v>85576</v>
      </c>
      <c r="CU58" s="60">
        <f t="shared" si="35"/>
        <v>67630</v>
      </c>
      <c r="DD58" s="60">
        <f t="shared" si="7"/>
        <v>15435</v>
      </c>
      <c r="DM58" s="60">
        <f t="shared" si="8"/>
        <v>64249</v>
      </c>
      <c r="DV58" s="60">
        <f t="shared" si="9"/>
        <v>9578</v>
      </c>
      <c r="EE58" s="60">
        <f t="shared" si="10"/>
        <v>67630</v>
      </c>
      <c r="EN58" s="60">
        <f t="shared" si="11"/>
        <v>10273</v>
      </c>
      <c r="EW58" s="60">
        <f t="shared" si="12"/>
        <v>16016</v>
      </c>
      <c r="FF58" s="60">
        <f t="shared" si="13"/>
        <v>10906</v>
      </c>
      <c r="FO58" s="19">
        <f t="shared" si="14"/>
        <v>81737</v>
      </c>
      <c r="FX58" s="50"/>
      <c r="GC58" s="14"/>
      <c r="GE58" s="60">
        <f t="shared" si="102"/>
        <v>7097</v>
      </c>
      <c r="GN58" s="60">
        <f t="shared" si="16"/>
        <v>56068</v>
      </c>
      <c r="GW58" s="60">
        <f t="shared" si="17"/>
        <v>83264</v>
      </c>
      <c r="HC58" s="60">
        <f t="shared" si="18"/>
        <v>46865</v>
      </c>
      <c r="HP58" s="18"/>
    </row>
    <row r="59" spans="2:228">
      <c r="B59" s="58">
        <v>43821</v>
      </c>
      <c r="C59" s="20">
        <v>85878</v>
      </c>
      <c r="D59" s="20">
        <v>2.0299999999999998</v>
      </c>
      <c r="E59" s="34">
        <f t="shared" si="19"/>
        <v>48320</v>
      </c>
      <c r="F59" s="34"/>
      <c r="G59" s="20">
        <v>81421</v>
      </c>
      <c r="H59" s="20">
        <v>2.3090000000000002</v>
      </c>
      <c r="I59" s="34">
        <f t="shared" si="20"/>
        <v>50880</v>
      </c>
      <c r="J59" s="34"/>
      <c r="K59" s="20">
        <v>9709</v>
      </c>
      <c r="L59" s="20">
        <v>0.26400000000000001</v>
      </c>
      <c r="M59" s="34">
        <f t="shared" si="21"/>
        <v>13600</v>
      </c>
      <c r="N59" s="34"/>
      <c r="O59" s="20">
        <v>9608</v>
      </c>
      <c r="P59" s="20">
        <v>0.245</v>
      </c>
      <c r="Q59" s="34">
        <f t="shared" si="22"/>
        <v>12000</v>
      </c>
      <c r="R59" s="34"/>
      <c r="S59" s="20">
        <v>10304</v>
      </c>
      <c r="T59" s="20">
        <v>0.25</v>
      </c>
      <c r="U59" s="34">
        <f t="shared" si="23"/>
        <v>12400</v>
      </c>
      <c r="V59" s="34"/>
      <c r="W59" s="20">
        <v>67789</v>
      </c>
      <c r="X59" s="20">
        <v>1.8859999999999999</v>
      </c>
      <c r="Y59" s="34">
        <f t="shared" si="24"/>
        <v>47700</v>
      </c>
      <c r="Z59" s="34"/>
      <c r="AA59" s="20">
        <v>64411</v>
      </c>
      <c r="AB59" s="20">
        <v>1.6060000000000001</v>
      </c>
      <c r="AC59" s="34">
        <f t="shared" si="25"/>
        <v>48600</v>
      </c>
      <c r="AD59" s="34"/>
      <c r="AE59" s="20">
        <v>16056</v>
      </c>
      <c r="AF59" s="20">
        <v>0.312</v>
      </c>
      <c r="AG59" s="34">
        <f t="shared" si="26"/>
        <v>6400</v>
      </c>
      <c r="AH59" s="34"/>
      <c r="AI59" s="20">
        <v>10935</v>
      </c>
      <c r="AJ59" s="20">
        <v>0.20599999999999999</v>
      </c>
      <c r="AK59" s="34">
        <f t="shared" si="27"/>
        <v>4640</v>
      </c>
      <c r="AL59" s="34"/>
      <c r="AM59" s="20">
        <v>81978</v>
      </c>
      <c r="AN59" s="20">
        <v>1.9610000000000001</v>
      </c>
      <c r="AO59" s="34">
        <f t="shared" si="28"/>
        <v>48200</v>
      </c>
      <c r="AP59" s="34"/>
      <c r="AQ59" s="20">
        <v>15526</v>
      </c>
      <c r="AR59" s="20">
        <v>0.29199999999999998</v>
      </c>
      <c r="AS59" s="34">
        <f t="shared" si="29"/>
        <v>3640</v>
      </c>
      <c r="AT59" s="34"/>
      <c r="AU59" s="205">
        <v>48810</v>
      </c>
      <c r="AV59" s="205"/>
      <c r="AW59" s="34">
        <f t="shared" si="30"/>
        <v>484</v>
      </c>
      <c r="AX59" s="34"/>
      <c r="AZ59" s="34">
        <f t="shared" si="0"/>
        <v>296864</v>
      </c>
      <c r="BA59" s="20">
        <f t="shared" si="51"/>
        <v>51840</v>
      </c>
      <c r="BB59" s="20">
        <f t="shared" si="52"/>
        <v>0.1746254176996874</v>
      </c>
      <c r="BC59" s="20"/>
      <c r="BD59" s="14"/>
      <c r="BE59" s="64">
        <f t="shared" si="40"/>
        <v>43821</v>
      </c>
      <c r="BF59" s="20">
        <v>56206</v>
      </c>
      <c r="BG59" s="34">
        <f t="shared" si="53"/>
        <v>13800</v>
      </c>
      <c r="BI59" s="20">
        <v>7115</v>
      </c>
      <c r="BJ59" s="34">
        <f t="shared" si="54"/>
        <v>1800</v>
      </c>
      <c r="BL59" s="20">
        <v>84297</v>
      </c>
      <c r="BM59" s="34">
        <f t="shared" si="33"/>
        <v>1033</v>
      </c>
      <c r="BN59" s="20"/>
      <c r="BO59" s="20">
        <v>46892</v>
      </c>
      <c r="BP59" s="34">
        <f t="shared" si="34"/>
        <v>1080</v>
      </c>
      <c r="BR59" s="14"/>
      <c r="BS59" s="20">
        <f t="shared" si="3"/>
        <v>17713</v>
      </c>
      <c r="BT59" s="20"/>
      <c r="BU59" s="20"/>
      <c r="BW59" s="14"/>
      <c r="BY59" s="19">
        <f t="shared" si="4"/>
        <v>48810</v>
      </c>
      <c r="CC59" s="60">
        <f t="shared" si="101"/>
        <v>81421</v>
      </c>
      <c r="CL59" s="60">
        <f t="shared" si="6"/>
        <v>85878</v>
      </c>
      <c r="CU59" s="60">
        <f t="shared" si="35"/>
        <v>67789</v>
      </c>
      <c r="DD59" s="60">
        <f t="shared" si="7"/>
        <v>15526</v>
      </c>
      <c r="DM59" s="60">
        <f t="shared" si="8"/>
        <v>64411</v>
      </c>
      <c r="DV59" s="60">
        <f t="shared" si="9"/>
        <v>9608</v>
      </c>
      <c r="EE59" s="60">
        <f t="shared" si="10"/>
        <v>67789</v>
      </c>
      <c r="EN59" s="60">
        <f t="shared" si="11"/>
        <v>10304</v>
      </c>
      <c r="EW59" s="60">
        <f t="shared" si="12"/>
        <v>16056</v>
      </c>
      <c r="FF59" s="60">
        <f t="shared" si="13"/>
        <v>10935</v>
      </c>
      <c r="FO59" s="19">
        <f t="shared" si="14"/>
        <v>81978</v>
      </c>
      <c r="FX59" s="50"/>
      <c r="GC59" s="14"/>
      <c r="GE59" s="60">
        <f t="shared" si="102"/>
        <v>7115</v>
      </c>
      <c r="GN59" s="60">
        <f t="shared" si="16"/>
        <v>56206</v>
      </c>
      <c r="GW59" s="60">
        <f t="shared" si="17"/>
        <v>84297</v>
      </c>
      <c r="HC59" s="60">
        <f t="shared" si="18"/>
        <v>46892</v>
      </c>
      <c r="HP59" s="18"/>
    </row>
    <row r="60" spans="2:228">
      <c r="B60" s="58">
        <v>43828</v>
      </c>
      <c r="C60" s="20">
        <v>86173</v>
      </c>
      <c r="D60" s="20">
        <v>2.15</v>
      </c>
      <c r="E60" s="34">
        <f t="shared" si="19"/>
        <v>47200</v>
      </c>
      <c r="F60" s="34"/>
      <c r="G60" s="20">
        <v>81737</v>
      </c>
      <c r="H60" s="20">
        <v>2.5379999999999998</v>
      </c>
      <c r="I60" s="34">
        <f t="shared" si="20"/>
        <v>50560</v>
      </c>
      <c r="J60" s="34"/>
      <c r="K60" s="20">
        <v>9742</v>
      </c>
      <c r="L60" s="20">
        <v>0.32400000000000001</v>
      </c>
      <c r="M60" s="34">
        <f t="shared" si="21"/>
        <v>13200</v>
      </c>
      <c r="N60" s="34"/>
      <c r="O60" s="20">
        <v>9639</v>
      </c>
      <c r="P60" s="20">
        <v>0.27100000000000002</v>
      </c>
      <c r="Q60" s="34">
        <f t="shared" si="22"/>
        <v>12400</v>
      </c>
      <c r="R60" s="34"/>
      <c r="S60" s="20">
        <v>10336</v>
      </c>
      <c r="T60" s="20">
        <v>0.30099999999999999</v>
      </c>
      <c r="U60" s="34">
        <f t="shared" si="23"/>
        <v>12800</v>
      </c>
      <c r="V60" s="34"/>
      <c r="W60" s="20">
        <v>67994</v>
      </c>
      <c r="X60" s="20">
        <v>2.2970000000000002</v>
      </c>
      <c r="Y60" s="34">
        <f t="shared" si="24"/>
        <v>61500</v>
      </c>
      <c r="Z60" s="34"/>
      <c r="AA60" s="20">
        <v>64547</v>
      </c>
      <c r="AB60" s="20">
        <v>1.679</v>
      </c>
      <c r="AC60" s="34">
        <f t="shared" si="25"/>
        <v>40800</v>
      </c>
      <c r="AD60" s="34"/>
      <c r="AE60" s="20">
        <v>16089</v>
      </c>
      <c r="AF60" s="20">
        <v>0.312</v>
      </c>
      <c r="AG60" s="34">
        <f t="shared" si="26"/>
        <v>5280</v>
      </c>
      <c r="AH60" s="34"/>
      <c r="AI60" s="20">
        <v>10957</v>
      </c>
      <c r="AJ60" s="20">
        <v>0.20599999999999999</v>
      </c>
      <c r="AK60" s="34">
        <f t="shared" si="27"/>
        <v>3520</v>
      </c>
      <c r="AL60" s="34"/>
      <c r="AM60" s="20">
        <v>82220</v>
      </c>
      <c r="AN60" s="20">
        <v>1.976</v>
      </c>
      <c r="AO60" s="34">
        <f t="shared" si="28"/>
        <v>48400</v>
      </c>
      <c r="AP60" s="34"/>
      <c r="AQ60" s="20">
        <v>15566</v>
      </c>
      <c r="AR60" s="20">
        <v>0.313</v>
      </c>
      <c r="AS60" s="34">
        <f t="shared" si="29"/>
        <v>1600</v>
      </c>
      <c r="AT60" s="34"/>
      <c r="AU60" s="205">
        <v>49287</v>
      </c>
      <c r="AV60" s="205"/>
      <c r="AW60" s="34">
        <f t="shared" si="30"/>
        <v>477</v>
      </c>
      <c r="AX60" s="34"/>
      <c r="AZ60" s="34">
        <f t="shared" si="0"/>
        <v>297737</v>
      </c>
      <c r="BA60" s="20">
        <f t="shared" si="51"/>
        <v>50000</v>
      </c>
      <c r="BB60" s="20">
        <f t="shared" si="52"/>
        <v>0.16793344461722931</v>
      </c>
      <c r="BC60" s="20"/>
      <c r="BD60" s="14"/>
      <c r="BE60" s="64">
        <f t="shared" si="40"/>
        <v>43828</v>
      </c>
      <c r="BF60" s="20">
        <v>56347</v>
      </c>
      <c r="BG60" s="34">
        <f t="shared" si="53"/>
        <v>14100</v>
      </c>
      <c r="BI60" s="20">
        <v>7129</v>
      </c>
      <c r="BJ60" s="34">
        <f t="shared" si="54"/>
        <v>1400</v>
      </c>
      <c r="BL60" s="20">
        <v>85300</v>
      </c>
      <c r="BM60" s="34">
        <f t="shared" si="33"/>
        <v>1003</v>
      </c>
      <c r="BN60" s="20"/>
      <c r="BO60" s="20">
        <v>46917</v>
      </c>
      <c r="BP60" s="34">
        <f t="shared" si="34"/>
        <v>1000</v>
      </c>
      <c r="BR60" s="14"/>
      <c r="BS60" s="20">
        <f t="shared" si="3"/>
        <v>17503</v>
      </c>
      <c r="BT60" s="20"/>
      <c r="BU60" s="20"/>
      <c r="BW60" s="14"/>
      <c r="BY60" s="19">
        <f t="shared" si="4"/>
        <v>49287</v>
      </c>
      <c r="CC60" s="60">
        <f t="shared" si="101"/>
        <v>81737</v>
      </c>
      <c r="CL60" s="60">
        <f t="shared" si="6"/>
        <v>86173</v>
      </c>
      <c r="CU60" s="60">
        <f t="shared" si="35"/>
        <v>67994</v>
      </c>
      <c r="DD60" s="60">
        <f t="shared" si="7"/>
        <v>15566</v>
      </c>
      <c r="DM60" s="60">
        <f t="shared" si="8"/>
        <v>64547</v>
      </c>
      <c r="DV60" s="60">
        <f t="shared" si="9"/>
        <v>9639</v>
      </c>
      <c r="EE60" s="60">
        <f t="shared" si="10"/>
        <v>67994</v>
      </c>
      <c r="EN60" s="60">
        <f t="shared" si="11"/>
        <v>10336</v>
      </c>
      <c r="EW60" s="60">
        <f t="shared" si="12"/>
        <v>16089</v>
      </c>
      <c r="FF60" s="60">
        <f t="shared" si="13"/>
        <v>10957</v>
      </c>
      <c r="FO60" s="19">
        <f t="shared" si="14"/>
        <v>82220</v>
      </c>
      <c r="FX60" s="50"/>
      <c r="GC60" s="14"/>
      <c r="GE60" s="60">
        <f t="shared" si="102"/>
        <v>7129</v>
      </c>
      <c r="GN60" s="60">
        <f t="shared" si="16"/>
        <v>56347</v>
      </c>
      <c r="GW60" s="60">
        <f t="shared" si="17"/>
        <v>85300</v>
      </c>
      <c r="HC60" s="60">
        <f t="shared" si="18"/>
        <v>46917</v>
      </c>
      <c r="HP60" s="18"/>
    </row>
    <row r="61" spans="2:228">
      <c r="B61" s="58">
        <v>43830</v>
      </c>
      <c r="C61" s="20">
        <v>86230</v>
      </c>
      <c r="D61" s="20">
        <v>2.15</v>
      </c>
      <c r="E61" s="34">
        <f t="shared" si="19"/>
        <v>9120</v>
      </c>
      <c r="F61" s="34"/>
      <c r="G61" s="20">
        <v>81797</v>
      </c>
      <c r="H61" s="20">
        <v>2.5379999999999998</v>
      </c>
      <c r="I61" s="34">
        <f t="shared" si="20"/>
        <v>9600</v>
      </c>
      <c r="J61" s="34"/>
      <c r="K61" s="20">
        <v>9749</v>
      </c>
      <c r="L61" s="20">
        <v>0.32400000000000001</v>
      </c>
      <c r="M61" s="34">
        <f t="shared" si="21"/>
        <v>2800</v>
      </c>
      <c r="N61" s="34"/>
      <c r="O61" s="20">
        <v>9644</v>
      </c>
      <c r="P61" s="20">
        <v>0.27100000000000002</v>
      </c>
      <c r="Q61" s="34">
        <f t="shared" si="22"/>
        <v>2000</v>
      </c>
      <c r="R61" s="34"/>
      <c r="S61" s="20">
        <v>10343</v>
      </c>
      <c r="T61" s="20">
        <v>0.311</v>
      </c>
      <c r="U61" s="34">
        <f t="shared" si="23"/>
        <v>2800</v>
      </c>
      <c r="V61" s="34"/>
      <c r="W61" s="20">
        <v>68047</v>
      </c>
      <c r="X61" s="20">
        <v>2.516</v>
      </c>
      <c r="Y61" s="34">
        <f t="shared" si="24"/>
        <v>15900</v>
      </c>
      <c r="Z61" s="34"/>
      <c r="AA61" s="20">
        <v>64573</v>
      </c>
      <c r="AB61" s="20">
        <v>1.679</v>
      </c>
      <c r="AC61" s="34">
        <f t="shared" si="25"/>
        <v>7800</v>
      </c>
      <c r="AD61" s="34"/>
      <c r="AE61" s="20">
        <v>16096</v>
      </c>
      <c r="AF61" s="20">
        <v>0.312</v>
      </c>
      <c r="AG61" s="34">
        <f t="shared" si="26"/>
        <v>1120</v>
      </c>
      <c r="AH61" s="34"/>
      <c r="AI61" s="20">
        <v>10963</v>
      </c>
      <c r="AJ61" s="20">
        <v>0.217</v>
      </c>
      <c r="AK61" s="34">
        <f t="shared" si="27"/>
        <v>960</v>
      </c>
      <c r="AL61" s="34"/>
      <c r="AM61" s="20">
        <v>82267</v>
      </c>
      <c r="AN61" s="20">
        <v>1.976</v>
      </c>
      <c r="AO61" s="34">
        <f t="shared" si="28"/>
        <v>9400</v>
      </c>
      <c r="AP61" s="34"/>
      <c r="AQ61" s="20">
        <v>15574</v>
      </c>
      <c r="AR61" s="20">
        <v>0.313</v>
      </c>
      <c r="AS61" s="34">
        <f t="shared" si="29"/>
        <v>320</v>
      </c>
      <c r="AT61" s="34"/>
      <c r="AU61" s="205">
        <v>49414</v>
      </c>
      <c r="AV61" s="205"/>
      <c r="AW61" s="34">
        <f t="shared" si="30"/>
        <v>127</v>
      </c>
      <c r="AX61" s="34"/>
      <c r="AZ61" s="34">
        <f t="shared" si="0"/>
        <v>61947</v>
      </c>
      <c r="BA61" s="20">
        <f t="shared" si="51"/>
        <v>9720</v>
      </c>
      <c r="BB61" s="20">
        <f t="shared" si="52"/>
        <v>0.15690832485834666</v>
      </c>
      <c r="BC61" s="20">
        <f>SUM(AZ57:AZ61)</f>
        <v>1223474</v>
      </c>
      <c r="BD61" s="14"/>
      <c r="BE61" s="64">
        <f t="shared" si="40"/>
        <v>43830</v>
      </c>
      <c r="BF61" s="20">
        <v>56373</v>
      </c>
      <c r="BG61" s="34">
        <f t="shared" si="53"/>
        <v>2600</v>
      </c>
      <c r="BI61" s="20">
        <v>7133</v>
      </c>
      <c r="BJ61" s="34">
        <f t="shared" si="54"/>
        <v>400</v>
      </c>
      <c r="BL61" s="20">
        <v>85497</v>
      </c>
      <c r="BM61" s="34">
        <f t="shared" si="33"/>
        <v>197</v>
      </c>
      <c r="BN61" s="20"/>
      <c r="BO61" s="20">
        <v>46922</v>
      </c>
      <c r="BP61" s="34">
        <f t="shared" si="34"/>
        <v>200</v>
      </c>
      <c r="BR61" s="14"/>
      <c r="BS61" s="20">
        <f t="shared" si="3"/>
        <v>3397</v>
      </c>
      <c r="BT61" s="20">
        <f>SUM(BS57:BS61)</f>
        <v>75143</v>
      </c>
      <c r="BU61" s="20">
        <f>SUM(BC61+BT61)</f>
        <v>1298617</v>
      </c>
      <c r="BW61" s="14"/>
      <c r="BY61" s="19">
        <f t="shared" si="4"/>
        <v>49414</v>
      </c>
      <c r="BZ61" s="20">
        <v>48845</v>
      </c>
      <c r="CA61" s="19">
        <f>SUM(BZ61-BZ56)</f>
        <v>1738</v>
      </c>
      <c r="CB61" s="59">
        <f>SUM(CA61*0.11895+CA61*0.02531)*1.09+2.85</f>
        <v>276.13902920000004</v>
      </c>
      <c r="CC61" s="60">
        <f t="shared" ref="CC61" si="103">SUM(G61)</f>
        <v>81797</v>
      </c>
      <c r="CD61" s="20">
        <v>81830</v>
      </c>
      <c r="CE61" s="20">
        <v>2.4830000000000001</v>
      </c>
      <c r="CF61" s="19">
        <f>SUM(CD61-CD56)*160</f>
        <v>244000</v>
      </c>
      <c r="CG61" s="19">
        <f>(CE61)*160</f>
        <v>397.28000000000003</v>
      </c>
      <c r="CH61" s="59">
        <f>SUM(CF61*0.0406)</f>
        <v>9906.4</v>
      </c>
      <c r="CI61" s="59">
        <f>SUM(CF61*0.02531)</f>
        <v>6175.6399999999994</v>
      </c>
      <c r="CJ61" s="59">
        <f>SUM(CG61*6.99)</f>
        <v>2776.9872000000005</v>
      </c>
      <c r="CK61" s="59">
        <f>SUM(CH61+CI61)*1.09</f>
        <v>17529.423600000002</v>
      </c>
      <c r="CL61" s="60">
        <f t="shared" si="6"/>
        <v>86230</v>
      </c>
      <c r="CM61" s="20">
        <v>86258</v>
      </c>
      <c r="CN61" s="20">
        <v>2.2320000000000002</v>
      </c>
      <c r="CO61" s="19">
        <f>SUM(CM61-CM56)*160</f>
        <v>229440</v>
      </c>
      <c r="CP61" s="19">
        <f>(CN61)*160</f>
        <v>357.12</v>
      </c>
      <c r="CQ61" s="59">
        <f>SUM(CO61*0.0406)</f>
        <v>9315.2639999999992</v>
      </c>
      <c r="CR61" s="59">
        <f>SUM(CO61*0.02531)</f>
        <v>5807.1264000000001</v>
      </c>
      <c r="CS61" s="59">
        <f>SUM(CP61*6.99)</f>
        <v>2496.2688000000003</v>
      </c>
      <c r="CT61" s="59">
        <f>SUM((CQ61+CR61)+20)* 1.08</f>
        <v>16353.781632000002</v>
      </c>
      <c r="CU61" s="60">
        <f t="shared" si="35"/>
        <v>68047</v>
      </c>
      <c r="CV61" s="20">
        <v>67906</v>
      </c>
      <c r="CW61" s="20">
        <v>2.3879999999999999</v>
      </c>
      <c r="CX61" s="19">
        <f>SUM(CV61-CV56)*300</f>
        <v>198000</v>
      </c>
      <c r="CY61" s="19">
        <f>(CW61)*300</f>
        <v>716.4</v>
      </c>
      <c r="CZ61" s="59">
        <f>SUM(CX61*0.0406)</f>
        <v>8038.7999999999993</v>
      </c>
      <c r="DA61" s="59">
        <f>SUM(CX61*0.02531)</f>
        <v>5011.38</v>
      </c>
      <c r="DB61" s="59">
        <f>SUM(CY61*6.99)</f>
        <v>5007.6360000000004</v>
      </c>
      <c r="DC61" s="59">
        <f>SUM((CZ61+DA61)+20)*1.09</f>
        <v>14246.496200000001</v>
      </c>
      <c r="DD61" s="60">
        <f t="shared" si="7"/>
        <v>15574</v>
      </c>
      <c r="DE61" s="20">
        <v>15553</v>
      </c>
      <c r="DF61" s="20">
        <v>0.315</v>
      </c>
      <c r="DG61" s="19">
        <f>(DE61-DE56)*40</f>
        <v>6880</v>
      </c>
      <c r="DH61" s="19">
        <f>(DF61)*40</f>
        <v>12.6</v>
      </c>
      <c r="DI61" s="59">
        <f>SUM(DG61*0.0406)</f>
        <v>279.32799999999997</v>
      </c>
      <c r="DJ61" s="59">
        <f>SUM(DG61*0.02531)</f>
        <v>174.1328</v>
      </c>
      <c r="DK61" s="59">
        <f>SUM(DH61*6.99)</f>
        <v>88.073999999999998</v>
      </c>
      <c r="DL61" s="59">
        <f>SUM((DI61+DJ61)+20)*1.09</f>
        <v>516.072272</v>
      </c>
      <c r="DM61" s="60">
        <f t="shared" si="8"/>
        <v>64573</v>
      </c>
      <c r="DN61" s="20">
        <v>64505</v>
      </c>
      <c r="DO61" s="20">
        <v>1.9119999999999999</v>
      </c>
      <c r="DP61" s="19">
        <f>SUM(DN61-DN56)*300</f>
        <v>193200</v>
      </c>
      <c r="DQ61" s="61">
        <f>(DO61)*300</f>
        <v>573.6</v>
      </c>
      <c r="DR61" s="59">
        <f>SUM(DP61*0.0406)</f>
        <v>7843.9199999999992</v>
      </c>
      <c r="DS61" s="59">
        <f>SUM(DP61*0.02531)</f>
        <v>4889.8919999999998</v>
      </c>
      <c r="DT61" s="59">
        <f>SUM(DQ61*6.99)</f>
        <v>4009.4640000000004</v>
      </c>
      <c r="DU61" s="59">
        <f>SUM((DR61+DS61)+20)*1.085</f>
        <v>13837.886019999998</v>
      </c>
      <c r="DV61" s="60">
        <f t="shared" si="9"/>
        <v>9644</v>
      </c>
      <c r="DW61" s="20">
        <v>9621</v>
      </c>
      <c r="DX61" s="20">
        <v>0.28399999999999997</v>
      </c>
      <c r="DY61" s="19">
        <f>SUM(DW61-DW56)*400</f>
        <v>50400</v>
      </c>
      <c r="DZ61" s="61">
        <f>(DX61)*400</f>
        <v>113.6</v>
      </c>
      <c r="EA61" s="59">
        <f>SUM(DY61*0.0406)</f>
        <v>2046.2399999999998</v>
      </c>
      <c r="EB61" s="59">
        <f>SUM(DY61*0.02531)</f>
        <v>1275.624</v>
      </c>
      <c r="EC61" s="59">
        <f>SUM(DZ61*6.99)</f>
        <v>794.06399999999996</v>
      </c>
      <c r="ED61" s="59">
        <f>SUM((EA61+EB61)+20)*1.09</f>
        <v>3642.6317599999998</v>
      </c>
      <c r="EE61" s="60">
        <f t="shared" si="10"/>
        <v>68047</v>
      </c>
      <c r="EF61" s="20">
        <v>9753</v>
      </c>
      <c r="EG61" s="20">
        <v>0.33600000000000002</v>
      </c>
      <c r="EH61" s="19">
        <f>SUM(EF61-EF56)*400</f>
        <v>67600</v>
      </c>
      <c r="EI61" s="19">
        <f>(EG61)*400</f>
        <v>134.4</v>
      </c>
      <c r="EJ61" s="59">
        <f>SUM(EH61*0.0406)</f>
        <v>2744.56</v>
      </c>
      <c r="EK61" s="59">
        <f>SUM(EH61*0.02531)</f>
        <v>1710.9559999999999</v>
      </c>
      <c r="EL61" s="59">
        <f>SUM(EI61*6.99)</f>
        <v>939.45600000000002</v>
      </c>
      <c r="EM61" s="59">
        <f>SUM((EJ61+EK61)+20)*1.09</f>
        <v>4878.3124399999997</v>
      </c>
      <c r="EN61" s="60">
        <f t="shared" si="11"/>
        <v>10343</v>
      </c>
      <c r="EO61" s="20">
        <v>10346</v>
      </c>
      <c r="EP61" s="20">
        <v>0.32900000000000001</v>
      </c>
      <c r="EQ61" s="19">
        <f>SUM(EO61-EO56)*400</f>
        <v>63200</v>
      </c>
      <c r="ER61" s="19">
        <f>(EP61)*400</f>
        <v>131.6</v>
      </c>
      <c r="ES61" s="59">
        <f>SUM(EQ61*0.0406)</f>
        <v>2565.9199999999996</v>
      </c>
      <c r="ET61" s="59">
        <f>SUM(EQ61*0.02531)</f>
        <v>1599.5919999999999</v>
      </c>
      <c r="EU61" s="59">
        <f>SUM(ER61*6.99)</f>
        <v>919.88400000000001</v>
      </c>
      <c r="EV61" s="59">
        <f>SUM((ES61+ET61)+20)*1.09</f>
        <v>4562.2080800000003</v>
      </c>
      <c r="EW61" s="60">
        <f t="shared" si="12"/>
        <v>16096</v>
      </c>
      <c r="EX61" s="20">
        <v>16079</v>
      </c>
      <c r="EY61" s="20">
        <v>0.38300000000000001</v>
      </c>
      <c r="EZ61" s="19">
        <f>SUM(EX61-EX56)*160</f>
        <v>25440</v>
      </c>
      <c r="FA61" s="19">
        <f>(EY61)*160</f>
        <v>61.28</v>
      </c>
      <c r="FB61" s="59">
        <f>SUM(EZ61*0.0406)</f>
        <v>1032.864</v>
      </c>
      <c r="FC61" s="59">
        <f>SUM(EZ61*0.02531)</f>
        <v>643.88639999999998</v>
      </c>
      <c r="FD61" s="59">
        <f>SUM(FA61*6.99)</f>
        <v>428.34720000000004</v>
      </c>
      <c r="FE61" s="59">
        <f>SUM((FB61+FC61)+20)*1.09</f>
        <v>1849.457936</v>
      </c>
      <c r="FF61" s="60">
        <f t="shared" si="13"/>
        <v>10963</v>
      </c>
      <c r="FG61" s="20">
        <v>10951</v>
      </c>
      <c r="FH61" s="20">
        <v>0.442</v>
      </c>
      <c r="FI61" s="19">
        <f>SUM(FG61-FG56)*160</f>
        <v>17920</v>
      </c>
      <c r="FJ61" s="19">
        <f>(FH61)*160</f>
        <v>70.72</v>
      </c>
      <c r="FK61" s="59">
        <f>SUM(FI61*0.0406)</f>
        <v>727.55199999999991</v>
      </c>
      <c r="FL61" s="59">
        <f>SUM(FI61*0.02531)</f>
        <v>453.55520000000001</v>
      </c>
      <c r="FM61" s="59">
        <f>SUM(FJ61*6.99)</f>
        <v>494.33280000000002</v>
      </c>
      <c r="FN61" s="59">
        <f>SUM((FK61+FL61)+20)*1.09</f>
        <v>1309.206848</v>
      </c>
      <c r="FO61" s="19">
        <f t="shared" si="14"/>
        <v>82267</v>
      </c>
      <c r="FP61" s="20">
        <v>82046</v>
      </c>
      <c r="FQ61" s="20">
        <v>2.0129999999999999</v>
      </c>
      <c r="FR61" s="19">
        <f>SUM(FP61-FP56)*200</f>
        <v>180600</v>
      </c>
      <c r="FS61" s="19">
        <f>(FQ61)*200</f>
        <v>402.59999999999997</v>
      </c>
      <c r="FT61" s="59">
        <f>SUM(FR61*0.0406)</f>
        <v>7332.36</v>
      </c>
      <c r="FU61" s="59">
        <f>SUM(FR61*0.02531)</f>
        <v>4570.9859999999999</v>
      </c>
      <c r="FV61" s="59">
        <f>SUM(FS61*6.99)</f>
        <v>2814.174</v>
      </c>
      <c r="FW61" s="59">
        <f>SUM((FT61+FU61)+20)*1.09</f>
        <v>12996.44714</v>
      </c>
      <c r="FX61" s="50"/>
      <c r="FY61" s="74">
        <f>SUM(CA61+CF61+CO61+CX61+DG61+DP61+DY61+EH61+EQ61+EZ61+FI61+FR61)</f>
        <v>1278418</v>
      </c>
      <c r="FZ61" s="75">
        <f>SUM(CB61+CK61,CT61,DC61,DL61,DU61,ED61,EM61,EV61,FE61,FN61+FW61)</f>
        <v>91998.062957200003</v>
      </c>
      <c r="GA61" s="75">
        <f>SUM(CJ61,CS61,DB61,DK61,DT61,EC61,EL61,EU61,FD61,FM61,FV61)</f>
        <v>20768.688000000002</v>
      </c>
      <c r="GB61" s="75">
        <f>SUM(FZ61:GA61)</f>
        <v>112766.75095720001</v>
      </c>
      <c r="GC61" s="14"/>
      <c r="GE61" s="60">
        <f t="shared" ref="GE61" si="104">SUM(BI61)</f>
        <v>7133</v>
      </c>
      <c r="GF61" s="20">
        <v>7119</v>
      </c>
      <c r="GG61" s="20">
        <v>0.222</v>
      </c>
      <c r="GH61" s="19">
        <f>SUM(GF61-GF56)*100</f>
        <v>6500</v>
      </c>
      <c r="GI61" s="19">
        <f>SUM(GG61)*100</f>
        <v>22.2</v>
      </c>
      <c r="GJ61" s="62">
        <f>SUM(GH61*0.0406)</f>
        <v>263.89999999999998</v>
      </c>
      <c r="GK61" s="62">
        <f>SUM(GH61*0.02531)</f>
        <v>164.51499999999999</v>
      </c>
      <c r="GL61" s="62">
        <f>SUM(GI61*6.99)</f>
        <v>155.178</v>
      </c>
      <c r="GM61" s="59">
        <f>SUM(GK61+GJ61+20)*1.1048</f>
        <v>495.40889199999998</v>
      </c>
      <c r="GN61" s="60">
        <f t="shared" si="16"/>
        <v>56373</v>
      </c>
      <c r="GO61" s="20">
        <v>56256</v>
      </c>
      <c r="GP61" s="20">
        <v>1.575</v>
      </c>
      <c r="GQ61" s="19">
        <f>SUM(GO61-GO56)*100</f>
        <v>54000</v>
      </c>
      <c r="GR61" s="19">
        <f>SUM(GP61)*100</f>
        <v>157.5</v>
      </c>
      <c r="GS61" s="62">
        <f>SUM(GQ61*0.0406)</f>
        <v>2192.3999999999996</v>
      </c>
      <c r="GT61" s="62">
        <f>SUM(GQ61*0.02531)</f>
        <v>1366.74</v>
      </c>
      <c r="GU61" s="62">
        <f>SUM(GR61*6.99)</f>
        <v>1100.925</v>
      </c>
      <c r="GV61" s="59">
        <f>SUM(GT61+GS61+20)*1.1048</f>
        <v>3954.2338719999993</v>
      </c>
      <c r="GW61" s="60">
        <f t="shared" si="17"/>
        <v>85497</v>
      </c>
      <c r="GX61" s="20">
        <v>85579</v>
      </c>
      <c r="GY61" s="19">
        <f>SUM(GX61-GX56)</f>
        <v>4905</v>
      </c>
      <c r="GZ61" s="59">
        <f>SUM(GY61*0.11895)</f>
        <v>583.44974999999999</v>
      </c>
      <c r="HA61" s="59">
        <f>SUM(GY61*0.02531)</f>
        <v>124.14555</v>
      </c>
      <c r="HB61" s="59">
        <f>SUM(GZ61+HA61+2.32)*1.07</f>
        <v>759.60937100000001</v>
      </c>
      <c r="HC61" s="60">
        <f t="shared" si="18"/>
        <v>46922</v>
      </c>
      <c r="HD61" s="20">
        <v>46925</v>
      </c>
      <c r="HE61" s="20">
        <v>3.7040000000000002</v>
      </c>
      <c r="HF61" s="19">
        <f>SUM(HD61-HD56)*40</f>
        <v>8960</v>
      </c>
      <c r="HG61" s="19">
        <f>SUM(HE61)*40</f>
        <v>148.16</v>
      </c>
      <c r="HH61" s="59">
        <f>SUM(HF61*0.0406)</f>
        <v>363.77599999999995</v>
      </c>
      <c r="HI61" s="59">
        <f>SUM(HF61*0.02531)</f>
        <v>226.77760000000001</v>
      </c>
      <c r="HJ61" s="59">
        <f>SUM(HG61*6.99)</f>
        <v>1035.6384</v>
      </c>
      <c r="HK61" s="59">
        <f>SUM(HI61+HH61+20)*1.2</f>
        <v>732.66431999999998</v>
      </c>
      <c r="HL61" s="20">
        <f>SUM(GH61+GQ61+GY61+HF61)</f>
        <v>74365</v>
      </c>
      <c r="HM61" s="75">
        <f>SUM(HK61+HB61+GV61+GM61)</f>
        <v>5941.9164549999996</v>
      </c>
      <c r="HN61" s="75">
        <f>SUM(GL61+GU61+HJ61)</f>
        <v>2291.7413999999999</v>
      </c>
      <c r="HO61" s="75">
        <f>SUM(HM61:HN61)</f>
        <v>8233.6578549999995</v>
      </c>
      <c r="HP61" s="18"/>
      <c r="HQ61" s="74">
        <f t="shared" ref="HQ61:HS61" si="105">(FY61+HL61)</f>
        <v>1352783</v>
      </c>
      <c r="HR61" s="75">
        <f t="shared" si="105"/>
        <v>97939.979412200002</v>
      </c>
      <c r="HS61" s="75">
        <f t="shared" si="105"/>
        <v>23060.429400000001</v>
      </c>
      <c r="HT61" s="75">
        <f t="shared" ref="HT61" si="106">(HR61+HS61)</f>
        <v>121000.40881220001</v>
      </c>
    </row>
    <row r="62" spans="2:228">
      <c r="B62" s="58">
        <f t="shared" ref="B62:B63" si="107">B61+7</f>
        <v>43837</v>
      </c>
      <c r="C62" s="20"/>
      <c r="D62" s="20"/>
      <c r="E62" s="34"/>
      <c r="F62" s="34"/>
      <c r="G62" s="20"/>
      <c r="H62" s="20"/>
      <c r="I62" s="34"/>
      <c r="J62" s="34"/>
      <c r="K62" s="20"/>
      <c r="L62" s="20"/>
      <c r="M62" s="34"/>
      <c r="N62" s="34"/>
      <c r="O62" s="20"/>
      <c r="P62" s="20"/>
      <c r="Q62" s="34"/>
      <c r="R62" s="34"/>
      <c r="S62" s="20"/>
      <c r="T62" s="20"/>
      <c r="U62" s="34"/>
      <c r="V62" s="34"/>
      <c r="W62" s="20"/>
      <c r="X62" s="20"/>
      <c r="Y62" s="34"/>
      <c r="Z62" s="34"/>
      <c r="AA62" s="20"/>
      <c r="AB62" s="20"/>
      <c r="AC62" s="34"/>
      <c r="AD62" s="34"/>
      <c r="AE62" s="20"/>
      <c r="AF62" s="20"/>
      <c r="AG62" s="34"/>
      <c r="AH62" s="34"/>
      <c r="AI62" s="20"/>
      <c r="AJ62" s="20"/>
      <c r="AK62" s="34"/>
      <c r="AL62" s="34"/>
      <c r="AM62" s="20"/>
      <c r="AN62" s="20"/>
      <c r="AO62" s="34"/>
      <c r="AP62" s="34"/>
      <c r="AQ62" s="20"/>
      <c r="AR62" s="20"/>
      <c r="AS62" s="34"/>
      <c r="AT62" s="34"/>
      <c r="AU62" s="205"/>
      <c r="AV62" s="205"/>
      <c r="AW62" s="34"/>
      <c r="AX62" s="34"/>
      <c r="AZ62" s="34"/>
      <c r="BA62" s="20"/>
      <c r="BB62" s="20"/>
      <c r="BC62" s="20"/>
      <c r="BD62" s="14"/>
      <c r="BE62" s="58">
        <f t="shared" ref="BE62:BE63" si="108">BE61+7</f>
        <v>43837</v>
      </c>
      <c r="BF62" s="20"/>
      <c r="BG62" s="34"/>
      <c r="BI62" s="20"/>
      <c r="BJ62" s="34"/>
      <c r="BL62" s="76"/>
      <c r="BM62" s="77"/>
      <c r="BN62" s="20"/>
      <c r="BO62" s="20"/>
      <c r="BP62" s="34"/>
      <c r="BR62" s="14"/>
      <c r="BS62" s="20"/>
      <c r="BT62" s="20"/>
      <c r="BU62" s="20"/>
      <c r="BW62" s="14"/>
      <c r="BY62" s="19"/>
      <c r="CC62" s="60"/>
      <c r="CL62" s="60"/>
      <c r="CU62" s="60"/>
      <c r="DD62" s="60"/>
      <c r="DM62" s="60"/>
      <c r="DV62" s="60"/>
      <c r="EE62" s="60"/>
      <c r="EN62" s="60"/>
      <c r="EW62" s="60"/>
      <c r="FF62" s="60"/>
      <c r="FO62" s="19"/>
      <c r="FX62" s="50"/>
      <c r="GC62" s="14"/>
      <c r="GE62" s="60"/>
      <c r="GN62" s="60"/>
      <c r="GW62" s="60"/>
      <c r="HC62" s="60"/>
      <c r="HP62" s="18"/>
    </row>
    <row r="63" spans="2:228">
      <c r="B63" s="58">
        <f t="shared" si="107"/>
        <v>43844</v>
      </c>
      <c r="C63" s="20"/>
      <c r="D63" s="20"/>
      <c r="E63" s="34"/>
      <c r="F63" s="34"/>
      <c r="G63" s="20"/>
      <c r="H63" s="20"/>
      <c r="I63" s="34"/>
      <c r="J63" s="34"/>
      <c r="K63" s="20"/>
      <c r="L63" s="20"/>
      <c r="M63" s="34"/>
      <c r="N63" s="34"/>
      <c r="O63" s="20"/>
      <c r="P63" s="20"/>
      <c r="Q63" s="34"/>
      <c r="R63" s="34"/>
      <c r="S63" s="20"/>
      <c r="T63" s="20"/>
      <c r="U63" s="34"/>
      <c r="V63" s="34"/>
      <c r="W63" s="20"/>
      <c r="X63" s="20"/>
      <c r="Y63" s="34"/>
      <c r="Z63" s="34"/>
      <c r="AA63" s="20"/>
      <c r="AB63" s="20"/>
      <c r="AC63" s="34"/>
      <c r="AD63" s="34"/>
      <c r="AE63" s="20"/>
      <c r="AF63" s="20"/>
      <c r="AG63" s="34"/>
      <c r="AH63" s="34"/>
      <c r="AI63" s="20"/>
      <c r="AJ63" s="20"/>
      <c r="AK63" s="34"/>
      <c r="AL63" s="34"/>
      <c r="AM63" s="20"/>
      <c r="AN63" s="20"/>
      <c r="AO63" s="34"/>
      <c r="AP63" s="34"/>
      <c r="AQ63" s="20"/>
      <c r="AR63" s="20"/>
      <c r="AS63" s="34"/>
      <c r="AT63" s="34"/>
      <c r="AU63" s="205"/>
      <c r="AV63" s="205"/>
      <c r="AW63" s="34"/>
      <c r="AX63" s="34"/>
      <c r="AZ63" s="34"/>
      <c r="BA63" s="20"/>
      <c r="BB63" s="20"/>
      <c r="BC63" s="20"/>
      <c r="BD63" s="14"/>
      <c r="BE63" s="58">
        <f t="shared" si="108"/>
        <v>43844</v>
      </c>
      <c r="BF63" s="20"/>
      <c r="BG63" s="34"/>
      <c r="BI63" s="20"/>
      <c r="BJ63" s="34"/>
      <c r="BL63" s="76"/>
      <c r="BM63" s="77"/>
      <c r="BN63" s="20"/>
      <c r="BO63" s="20"/>
      <c r="BP63" s="34"/>
      <c r="BR63" s="14"/>
      <c r="BS63" s="20"/>
      <c r="BT63" s="20"/>
      <c r="BU63" s="20"/>
      <c r="BW63" s="14"/>
      <c r="BY63" s="19"/>
      <c r="CC63" s="60"/>
      <c r="CL63" s="60"/>
      <c r="CU63" s="60"/>
      <c r="DD63" s="60"/>
      <c r="DM63" s="60"/>
      <c r="DV63" s="60"/>
      <c r="EE63" s="60"/>
      <c r="EN63" s="60"/>
      <c r="EW63" s="60"/>
      <c r="FF63" s="60"/>
      <c r="FO63" s="19"/>
      <c r="FX63" s="50"/>
      <c r="GC63" s="14"/>
      <c r="GE63" s="60"/>
      <c r="GN63" s="60"/>
      <c r="GW63" s="60"/>
      <c r="HC63" s="60"/>
      <c r="HP63" s="18"/>
    </row>
    <row r="64" spans="2:228">
      <c r="B64" s="58">
        <v>44197</v>
      </c>
      <c r="C64" s="20"/>
      <c r="D64" s="20"/>
      <c r="E64" s="34"/>
      <c r="F64" s="34"/>
      <c r="G64" s="20"/>
      <c r="H64" s="20"/>
      <c r="I64" s="34"/>
      <c r="J64" s="34"/>
      <c r="K64" s="20"/>
      <c r="L64" s="20"/>
      <c r="M64" s="34"/>
      <c r="N64" s="34"/>
      <c r="O64" s="20"/>
      <c r="P64" s="20"/>
      <c r="Q64" s="34"/>
      <c r="R64" s="34"/>
      <c r="S64" s="20"/>
      <c r="T64" s="20"/>
      <c r="U64" s="34"/>
      <c r="V64" s="34"/>
      <c r="W64" s="20"/>
      <c r="X64" s="20"/>
      <c r="Y64" s="34"/>
      <c r="Z64" s="34"/>
      <c r="AA64" s="20"/>
      <c r="AB64" s="20"/>
      <c r="AC64" s="34"/>
      <c r="AD64" s="34"/>
      <c r="AE64" s="20"/>
      <c r="AF64" s="20"/>
      <c r="AG64" s="34"/>
      <c r="AH64" s="34"/>
      <c r="AI64" s="20"/>
      <c r="AJ64" s="20"/>
      <c r="AK64" s="34"/>
      <c r="AL64" s="34"/>
      <c r="AM64" s="20"/>
      <c r="AN64" s="20"/>
      <c r="AO64" s="34"/>
      <c r="AP64" s="34"/>
      <c r="AQ64" s="20"/>
      <c r="AR64" s="20"/>
      <c r="AS64" s="34"/>
      <c r="AT64" s="34"/>
      <c r="AU64" s="205"/>
      <c r="AV64" s="205"/>
      <c r="AW64" s="34"/>
      <c r="AX64" s="34"/>
      <c r="AZ64" s="34"/>
      <c r="BA64" s="20"/>
      <c r="BB64" s="20"/>
      <c r="BC64" s="20"/>
      <c r="BD64" s="14"/>
      <c r="BE64" s="58">
        <v>44197</v>
      </c>
      <c r="BF64" s="20"/>
      <c r="BG64" s="34"/>
      <c r="BI64" s="20"/>
      <c r="BJ64" s="34"/>
      <c r="BL64" s="76"/>
      <c r="BM64" s="77"/>
      <c r="BN64" s="20"/>
      <c r="BO64" s="20"/>
      <c r="BP64" s="34"/>
      <c r="BR64" s="14"/>
      <c r="BS64" s="20"/>
      <c r="BT64" s="20"/>
      <c r="BU64" s="20"/>
      <c r="BW64" s="14"/>
      <c r="BY64" s="19"/>
      <c r="CC64" s="60"/>
      <c r="CL64" s="60"/>
      <c r="CU64" s="60"/>
      <c r="DD64" s="60"/>
      <c r="DM64" s="60"/>
      <c r="DV64" s="60"/>
      <c r="EE64" s="60"/>
      <c r="EN64" s="60"/>
      <c r="EW64" s="60"/>
      <c r="FF64" s="60"/>
      <c r="FO64" s="19"/>
      <c r="FX64" s="50"/>
      <c r="GC64" s="14"/>
      <c r="GE64" s="60"/>
      <c r="GN64" s="60"/>
      <c r="GW64" s="60"/>
      <c r="HC64" s="60"/>
      <c r="HP64" s="18"/>
    </row>
  </sheetData>
  <mergeCells count="96">
    <mergeCell ref="AU54:AV54"/>
    <mergeCell ref="AU45:AV45"/>
    <mergeCell ref="AU46:AV46"/>
    <mergeCell ref="AU47:AV47"/>
    <mergeCell ref="AU48:AV48"/>
    <mergeCell ref="AU49:AV49"/>
    <mergeCell ref="AU50:AV50"/>
    <mergeCell ref="AU51:AV51"/>
    <mergeCell ref="AU52:AV52"/>
    <mergeCell ref="AU53:AV53"/>
    <mergeCell ref="AU61:AV61"/>
    <mergeCell ref="AU62:AV62"/>
    <mergeCell ref="AU63:AV63"/>
    <mergeCell ref="AU64:AV64"/>
    <mergeCell ref="AU55:AV55"/>
    <mergeCell ref="AU56:AV56"/>
    <mergeCell ref="AU57:AV57"/>
    <mergeCell ref="AU58:AV58"/>
    <mergeCell ref="AU59:AV59"/>
    <mergeCell ref="AU60:AV60"/>
    <mergeCell ref="AQ1:AT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U3:AV3"/>
    <mergeCell ref="EE1:EM1"/>
    <mergeCell ref="EN1:EV1"/>
    <mergeCell ref="EW1:FE1"/>
    <mergeCell ref="FF1:FN1"/>
    <mergeCell ref="CC1:CK1"/>
    <mergeCell ref="CL1:CT1"/>
    <mergeCell ref="CU1:DC1"/>
    <mergeCell ref="DD1:DL1"/>
    <mergeCell ref="DM1:DU1"/>
    <mergeCell ref="DV1:ED1"/>
    <mergeCell ref="AU1:AX1"/>
    <mergeCell ref="BF1:BH1"/>
    <mergeCell ref="BI1:BK1"/>
    <mergeCell ref="BL1:BN1"/>
    <mergeCell ref="BO1:BQ1"/>
    <mergeCell ref="GN1:GV1"/>
    <mergeCell ref="GW1:HB1"/>
    <mergeCell ref="HC1:HK1"/>
    <mergeCell ref="AU2:AV2"/>
    <mergeCell ref="BY2:CB2"/>
    <mergeCell ref="FO1:FW1"/>
    <mergeCell ref="GE1:GM1"/>
    <mergeCell ref="BY1:CB1"/>
    <mergeCell ref="AU15:AV15"/>
    <mergeCell ref="AU4:AV4"/>
    <mergeCell ref="AU5:AV5"/>
    <mergeCell ref="AU6:AV6"/>
    <mergeCell ref="AU7:AV7"/>
    <mergeCell ref="AU8:AV8"/>
    <mergeCell ref="AU9:AV9"/>
    <mergeCell ref="AU10:AV10"/>
    <mergeCell ref="AU11:AV11"/>
    <mergeCell ref="AU12:AV12"/>
    <mergeCell ref="AU13:AV13"/>
    <mergeCell ref="AU14:AV14"/>
    <mergeCell ref="AU27:AV27"/>
    <mergeCell ref="AU16:AV16"/>
    <mergeCell ref="AU17:AV17"/>
    <mergeCell ref="AU18:AV18"/>
    <mergeCell ref="AU19:AV19"/>
    <mergeCell ref="AU20:AV20"/>
    <mergeCell ref="AU21:AV21"/>
    <mergeCell ref="AU22:AV22"/>
    <mergeCell ref="AU23:AV23"/>
    <mergeCell ref="AU24:AV24"/>
    <mergeCell ref="AU25:AV25"/>
    <mergeCell ref="AU26:AV26"/>
    <mergeCell ref="AU39:AV39"/>
    <mergeCell ref="AU28:AV28"/>
    <mergeCell ref="AU29:AV29"/>
    <mergeCell ref="AU30:AV30"/>
    <mergeCell ref="AU31:AV31"/>
    <mergeCell ref="AU32:AV32"/>
    <mergeCell ref="AU33:AV33"/>
    <mergeCell ref="AU34:AV34"/>
    <mergeCell ref="AU35:AV35"/>
    <mergeCell ref="AU36:AV36"/>
    <mergeCell ref="AU37:AV37"/>
    <mergeCell ref="AU38:AV38"/>
    <mergeCell ref="AU40:AV40"/>
    <mergeCell ref="AU41:AV41"/>
    <mergeCell ref="AU42:AV42"/>
    <mergeCell ref="AU43:AV43"/>
    <mergeCell ref="AU44:AV44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F1" zoomScaleNormal="100" workbookViewId="0">
      <selection activeCell="F7" sqref="F7:G7"/>
    </sheetView>
  </sheetViews>
  <sheetFormatPr defaultRowHeight="1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32" customWidth="1"/>
    <col min="26" max="26" width="2.7109375" customWidth="1"/>
    <col min="27" max="42" width="11.7109375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47" customWidth="1"/>
    <col min="65" max="65" width="11.7109375" style="47" customWidth="1"/>
    <col min="66" max="70" width="10.7109375" customWidth="1"/>
    <col min="71" max="71" width="15.7109375" customWidth="1"/>
    <col min="72" max="72" width="10.7109375" customWidth="1"/>
    <col min="73" max="73" width="12.85546875" style="78" customWidth="1"/>
    <col min="74" max="74" width="13" style="78" customWidth="1"/>
    <col min="75" max="75" width="13" style="79" customWidth="1"/>
    <col min="76" max="76" width="13" style="80" customWidth="1"/>
    <col min="77" max="77" width="13" style="78" customWidth="1"/>
    <col min="78" max="78" width="13" style="80" customWidth="1"/>
    <col min="79" max="79" width="13" style="78" customWidth="1"/>
    <col min="80" max="80" width="2.7109375" customWidth="1"/>
    <col min="81" max="83" width="10.7109375" customWidth="1"/>
    <col min="84" max="84" width="13.7109375" style="47" customWidth="1"/>
    <col min="85" max="85" width="11.7109375" style="47" customWidth="1"/>
    <col min="86" max="86" width="14.7109375" style="47" customWidth="1"/>
    <col min="87" max="89" width="10.7109375" customWidth="1"/>
    <col min="90" max="90" width="13.7109375" style="47" customWidth="1"/>
    <col min="91" max="91" width="11.7109375" style="81" customWidth="1"/>
    <col min="92" max="92" width="10.7109375" customWidth="1"/>
    <col min="93" max="93" width="15.7109375" customWidth="1"/>
    <col min="94" max="94" width="10.7109375" customWidth="1"/>
    <col min="95" max="95" width="11.7109375" style="82" customWidth="1"/>
    <col min="96" max="98" width="10.7109375" customWidth="1"/>
    <col min="99" max="99" width="13.7109375" style="47" customWidth="1"/>
    <col min="100" max="100" width="11.7109375" style="81" customWidth="1"/>
    <col min="101" max="101" width="12.7109375" customWidth="1"/>
    <col min="102" max="103" width="10.7109375" customWidth="1"/>
    <col min="104" max="104" width="13.7109375" style="47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65" customFormat="1" ht="31.5" customHeight="1">
      <c r="B1" s="93">
        <v>2019</v>
      </c>
      <c r="C1" s="236">
        <v>74860172</v>
      </c>
      <c r="D1" s="239"/>
      <c r="E1" s="237"/>
      <c r="F1" s="236">
        <v>74860173</v>
      </c>
      <c r="G1" s="239"/>
      <c r="H1" s="237"/>
      <c r="I1" s="236">
        <v>44553004</v>
      </c>
      <c r="J1" s="239"/>
      <c r="K1" s="237"/>
      <c r="L1" s="236">
        <v>70275191</v>
      </c>
      <c r="M1" s="239"/>
      <c r="N1" s="237"/>
      <c r="O1" s="236">
        <v>2130521</v>
      </c>
      <c r="P1" s="239"/>
      <c r="Q1" s="237"/>
      <c r="R1" s="17"/>
      <c r="S1" s="240" t="s">
        <v>166</v>
      </c>
      <c r="T1" s="239"/>
      <c r="U1" s="237"/>
      <c r="V1" s="201">
        <v>93477704</v>
      </c>
      <c r="W1" s="238"/>
      <c r="X1" s="202"/>
      <c r="Y1" s="26" t="s">
        <v>360</v>
      </c>
      <c r="Z1" s="17"/>
      <c r="AA1" s="229">
        <v>79177804</v>
      </c>
      <c r="AB1" s="231"/>
      <c r="AC1" s="229">
        <v>79305675</v>
      </c>
      <c r="AD1" s="231"/>
      <c r="AE1" s="229">
        <v>79190041</v>
      </c>
      <c r="AF1" s="231"/>
      <c r="AG1" s="229" t="s">
        <v>49</v>
      </c>
      <c r="AH1" s="231"/>
      <c r="AI1" s="229">
        <v>79190039</v>
      </c>
      <c r="AJ1" s="231"/>
      <c r="AK1" s="229">
        <v>79324776</v>
      </c>
      <c r="AL1" s="231"/>
      <c r="AM1" s="229" t="s">
        <v>160</v>
      </c>
      <c r="AN1" s="231"/>
      <c r="AO1" s="229" t="s">
        <v>162</v>
      </c>
      <c r="AP1" s="231"/>
      <c r="AQ1" s="14"/>
      <c r="AS1" s="236" t="s">
        <v>218</v>
      </c>
      <c r="AT1" s="237"/>
      <c r="AU1" s="14"/>
      <c r="AV1" s="236" t="s">
        <v>55</v>
      </c>
      <c r="AW1" s="237"/>
      <c r="AX1" s="236">
        <v>65956268</v>
      </c>
      <c r="AY1" s="237"/>
      <c r="AZ1" s="27" t="s">
        <v>57</v>
      </c>
      <c r="BA1" s="236">
        <v>1334021</v>
      </c>
      <c r="BB1" s="237"/>
      <c r="BC1" s="236">
        <v>63265094</v>
      </c>
      <c r="BD1" s="237"/>
      <c r="BE1" s="236" t="s">
        <v>361</v>
      </c>
      <c r="BF1" s="237"/>
      <c r="BI1" s="229" t="s">
        <v>362</v>
      </c>
      <c r="BJ1" s="230"/>
      <c r="BK1" s="230"/>
      <c r="BL1" s="230"/>
      <c r="BM1" s="231"/>
      <c r="BN1" s="229" t="s">
        <v>363</v>
      </c>
      <c r="BO1" s="230"/>
      <c r="BP1" s="230"/>
      <c r="BQ1" s="231"/>
      <c r="BR1" s="229" t="s">
        <v>276</v>
      </c>
      <c r="BS1" s="230"/>
      <c r="BT1" s="230"/>
      <c r="BU1" s="231"/>
      <c r="BV1" s="232" t="s">
        <v>276</v>
      </c>
      <c r="BW1" s="233"/>
      <c r="BX1" s="233"/>
      <c r="BY1" s="234"/>
      <c r="BZ1" s="16" t="s">
        <v>364</v>
      </c>
      <c r="CA1" s="94" t="s">
        <v>365</v>
      </c>
      <c r="CB1"/>
      <c r="CC1" s="229" t="s">
        <v>366</v>
      </c>
      <c r="CD1" s="230"/>
      <c r="CE1" s="230"/>
      <c r="CF1" s="230"/>
      <c r="CG1" s="235" t="s">
        <v>119</v>
      </c>
      <c r="CH1" s="235"/>
      <c r="CI1" s="229" t="s">
        <v>367</v>
      </c>
      <c r="CJ1" s="230"/>
      <c r="CK1" s="230"/>
      <c r="CL1" s="231"/>
      <c r="CM1" s="95"/>
      <c r="CN1" s="229" t="s">
        <v>368</v>
      </c>
      <c r="CO1" s="230"/>
      <c r="CP1" s="230"/>
      <c r="CQ1" s="231"/>
      <c r="CR1" s="229" t="s">
        <v>369</v>
      </c>
      <c r="CS1" s="230"/>
      <c r="CT1" s="230"/>
      <c r="CU1" s="231"/>
      <c r="CV1" s="226" t="s">
        <v>370</v>
      </c>
      <c r="CW1" s="229" t="s">
        <v>371</v>
      </c>
      <c r="CX1" s="230"/>
      <c r="CY1" s="230"/>
      <c r="CZ1" s="231"/>
      <c r="DC1" s="51" t="s">
        <v>372</v>
      </c>
      <c r="DD1" s="51" t="s">
        <v>372</v>
      </c>
      <c r="DE1" s="51" t="s">
        <v>373</v>
      </c>
      <c r="DF1" s="51" t="s">
        <v>374</v>
      </c>
      <c r="DG1" s="51" t="s">
        <v>339</v>
      </c>
      <c r="DI1" s="96" t="s">
        <v>375</v>
      </c>
      <c r="DJ1" s="96" t="s">
        <v>376</v>
      </c>
    </row>
    <row r="2" spans="2:114" ht="15.75">
      <c r="B2" s="30" t="s">
        <v>335</v>
      </c>
      <c r="C2" s="28" t="s">
        <v>377</v>
      </c>
      <c r="D2" s="29"/>
      <c r="E2" s="30" t="s">
        <v>339</v>
      </c>
      <c r="F2" s="28" t="s">
        <v>132</v>
      </c>
      <c r="G2" s="29"/>
      <c r="H2" s="30" t="s">
        <v>339</v>
      </c>
      <c r="I2" s="28"/>
      <c r="J2" s="29"/>
      <c r="K2" s="31"/>
      <c r="L2" s="28" t="s">
        <v>151</v>
      </c>
      <c r="M2" s="29"/>
      <c r="N2" s="31"/>
      <c r="O2" s="199" t="s">
        <v>138</v>
      </c>
      <c r="P2" s="200"/>
      <c r="Q2" s="30" t="s">
        <v>339</v>
      </c>
      <c r="R2" s="17"/>
      <c r="S2" s="28" t="s">
        <v>138</v>
      </c>
      <c r="T2" s="29" t="s">
        <v>378</v>
      </c>
      <c r="U2" s="31"/>
      <c r="V2" s="28" t="s">
        <v>138</v>
      </c>
      <c r="W2" s="29" t="s">
        <v>378</v>
      </c>
      <c r="X2" s="31"/>
      <c r="Z2" s="14"/>
      <c r="AA2" s="203" t="s">
        <v>379</v>
      </c>
      <c r="AB2" s="204"/>
      <c r="AC2" s="203" t="s">
        <v>380</v>
      </c>
      <c r="AD2" s="204"/>
      <c r="AE2" s="203" t="s">
        <v>381</v>
      </c>
      <c r="AF2" s="204"/>
      <c r="AG2" s="203" t="s">
        <v>382</v>
      </c>
      <c r="AH2" s="204"/>
      <c r="AI2" s="203" t="s">
        <v>286</v>
      </c>
      <c r="AJ2" s="204"/>
      <c r="AK2" s="203" t="s">
        <v>383</v>
      </c>
      <c r="AL2" s="204"/>
      <c r="AM2" s="203" t="s">
        <v>384</v>
      </c>
      <c r="AN2" s="204"/>
      <c r="AO2" s="203" t="s">
        <v>385</v>
      </c>
      <c r="AP2" s="204"/>
      <c r="AQ2" s="14"/>
      <c r="AS2" s="28">
        <v>46801014</v>
      </c>
      <c r="AT2" s="31"/>
      <c r="AU2" s="14"/>
      <c r="AV2" s="28"/>
      <c r="AW2" s="30" t="s">
        <v>339</v>
      </c>
      <c r="AX2" s="28" t="s">
        <v>386</v>
      </c>
      <c r="AY2" s="30" t="s">
        <v>339</v>
      </c>
      <c r="AZ2" s="30" t="s">
        <v>339</v>
      </c>
      <c r="BA2" s="28"/>
      <c r="BB2" s="30" t="s">
        <v>339</v>
      </c>
      <c r="BC2" s="28"/>
      <c r="BD2" s="30" t="s">
        <v>339</v>
      </c>
      <c r="BE2" s="28"/>
      <c r="BF2" s="30" t="s">
        <v>339</v>
      </c>
      <c r="BI2" s="203" t="s">
        <v>387</v>
      </c>
      <c r="BJ2" s="209"/>
      <c r="BK2" s="209"/>
      <c r="BL2" s="209"/>
      <c r="BM2" s="204"/>
      <c r="BN2" s="203" t="s">
        <v>388</v>
      </c>
      <c r="BO2" s="209"/>
      <c r="BP2" s="209"/>
      <c r="BQ2" s="204"/>
      <c r="BR2" s="203" t="s">
        <v>389</v>
      </c>
      <c r="BS2" s="209"/>
      <c r="BT2" s="209"/>
      <c r="BU2" s="204"/>
      <c r="BV2" s="203" t="s">
        <v>389</v>
      </c>
      <c r="BW2" s="209"/>
      <c r="BX2" s="209"/>
      <c r="BY2" s="204"/>
      <c r="BZ2" s="83" t="s">
        <v>390</v>
      </c>
      <c r="CA2" s="84" t="s">
        <v>391</v>
      </c>
      <c r="CB2" s="14"/>
      <c r="CC2" s="203" t="s">
        <v>392</v>
      </c>
      <c r="CD2" s="209"/>
      <c r="CE2" s="209"/>
      <c r="CF2" s="209"/>
      <c r="CG2" s="224" t="s">
        <v>393</v>
      </c>
      <c r="CH2" s="224" t="s">
        <v>394</v>
      </c>
      <c r="CI2" s="203" t="s">
        <v>395</v>
      </c>
      <c r="CJ2" s="209"/>
      <c r="CK2" s="209"/>
      <c r="CL2" s="204"/>
      <c r="CM2" s="226" t="s">
        <v>393</v>
      </c>
      <c r="CN2" s="203" t="s">
        <v>396</v>
      </c>
      <c r="CO2" s="209"/>
      <c r="CP2" s="209"/>
      <c r="CQ2" s="204"/>
      <c r="CR2" s="203" t="s">
        <v>397</v>
      </c>
      <c r="CS2" s="209"/>
      <c r="CT2" s="209"/>
      <c r="CU2" s="204"/>
      <c r="CV2" s="228"/>
      <c r="CW2" s="203" t="s">
        <v>398</v>
      </c>
      <c r="CX2" s="209"/>
      <c r="CY2" s="209"/>
      <c r="CZ2" s="204"/>
      <c r="DC2" s="97" t="s">
        <v>130</v>
      </c>
      <c r="DD2" s="97" t="s">
        <v>130</v>
      </c>
      <c r="DE2" s="97" t="s">
        <v>299</v>
      </c>
      <c r="DF2" s="97" t="s">
        <v>339</v>
      </c>
      <c r="DG2" s="97" t="s">
        <v>130</v>
      </c>
      <c r="DI2" s="31" t="s">
        <v>339</v>
      </c>
      <c r="DJ2" s="31" t="s">
        <v>339</v>
      </c>
    </row>
    <row r="3" spans="2:114">
      <c r="B3" s="23"/>
      <c r="C3" s="203" t="s">
        <v>183</v>
      </c>
      <c r="D3" s="204"/>
      <c r="E3" s="22" t="s">
        <v>399</v>
      </c>
      <c r="F3" s="203" t="s">
        <v>184</v>
      </c>
      <c r="G3" s="204"/>
      <c r="H3" s="22" t="s">
        <v>399</v>
      </c>
      <c r="I3" s="203" t="s">
        <v>185</v>
      </c>
      <c r="J3" s="204"/>
      <c r="K3" s="22"/>
      <c r="L3" s="203" t="s">
        <v>400</v>
      </c>
      <c r="M3" s="204"/>
      <c r="N3" s="22"/>
      <c r="O3" s="203" t="s">
        <v>187</v>
      </c>
      <c r="P3" s="204"/>
      <c r="Q3" s="22" t="s">
        <v>399</v>
      </c>
      <c r="R3" s="33"/>
      <c r="S3" s="203" t="s">
        <v>401</v>
      </c>
      <c r="T3" s="204"/>
      <c r="U3" s="23"/>
      <c r="V3" s="203" t="s">
        <v>401</v>
      </c>
      <c r="W3" s="204"/>
      <c r="X3" s="23"/>
      <c r="Z3" s="14"/>
      <c r="AA3" s="164" t="s">
        <v>287</v>
      </c>
      <c r="AB3" s="164" t="s">
        <v>402</v>
      </c>
      <c r="AC3" s="164" t="s">
        <v>287</v>
      </c>
      <c r="AD3" s="164" t="s">
        <v>402</v>
      </c>
      <c r="AE3" s="164" t="s">
        <v>287</v>
      </c>
      <c r="AF3" s="164" t="s">
        <v>402</v>
      </c>
      <c r="AG3" s="164" t="s">
        <v>287</v>
      </c>
      <c r="AH3" s="164" t="s">
        <v>402</v>
      </c>
      <c r="AI3" s="164" t="s">
        <v>287</v>
      </c>
      <c r="AJ3" s="164" t="s">
        <v>402</v>
      </c>
      <c r="AK3" s="164" t="s">
        <v>287</v>
      </c>
      <c r="AL3" s="164" t="s">
        <v>402</v>
      </c>
      <c r="AM3" s="164" t="s">
        <v>287</v>
      </c>
      <c r="AN3" s="164" t="s">
        <v>402</v>
      </c>
      <c r="AO3" s="164" t="s">
        <v>287</v>
      </c>
      <c r="AP3" s="164" t="s">
        <v>402</v>
      </c>
      <c r="AQ3" s="14"/>
      <c r="AS3" s="163" t="s">
        <v>285</v>
      </c>
      <c r="AT3" s="23"/>
      <c r="AU3" s="14"/>
      <c r="AV3" s="163" t="s">
        <v>284</v>
      </c>
      <c r="AW3" s="22" t="s">
        <v>399</v>
      </c>
      <c r="AX3" s="163" t="s">
        <v>284</v>
      </c>
      <c r="AY3" s="22" t="s">
        <v>399</v>
      </c>
      <c r="AZ3" s="22" t="s">
        <v>399</v>
      </c>
      <c r="BA3" s="163" t="s">
        <v>284</v>
      </c>
      <c r="BB3" s="22" t="s">
        <v>399</v>
      </c>
      <c r="BC3" s="163" t="s">
        <v>284</v>
      </c>
      <c r="BD3" s="22" t="s">
        <v>399</v>
      </c>
      <c r="BE3" s="163" t="s">
        <v>284</v>
      </c>
      <c r="BF3" s="22" t="s">
        <v>399</v>
      </c>
      <c r="BI3" s="25" t="s">
        <v>353</v>
      </c>
      <c r="BJ3" s="164" t="s">
        <v>354</v>
      </c>
      <c r="BK3" s="25" t="s">
        <v>330</v>
      </c>
      <c r="BL3" s="85" t="s">
        <v>339</v>
      </c>
      <c r="BM3" s="75" t="s">
        <v>393</v>
      </c>
      <c r="BN3" s="25" t="s">
        <v>353</v>
      </c>
      <c r="BO3" s="164" t="s">
        <v>354</v>
      </c>
      <c r="BP3" s="25" t="s">
        <v>330</v>
      </c>
      <c r="BQ3" s="85" t="s">
        <v>339</v>
      </c>
      <c r="BR3" s="25" t="s">
        <v>353</v>
      </c>
      <c r="BS3" s="164" t="s">
        <v>354</v>
      </c>
      <c r="BT3" s="164" t="s">
        <v>403</v>
      </c>
      <c r="BU3" s="86" t="s">
        <v>339</v>
      </c>
      <c r="BV3" s="25" t="s">
        <v>353</v>
      </c>
      <c r="BW3" s="99" t="s">
        <v>354</v>
      </c>
      <c r="BX3" s="38" t="s">
        <v>403</v>
      </c>
      <c r="BY3" s="86" t="s">
        <v>339</v>
      </c>
      <c r="BZ3" s="89" t="s">
        <v>339</v>
      </c>
      <c r="CA3" s="87"/>
      <c r="CB3" s="14"/>
      <c r="CC3" s="25" t="s">
        <v>353</v>
      </c>
      <c r="CD3" s="164" t="s">
        <v>354</v>
      </c>
      <c r="CE3" s="25" t="s">
        <v>330</v>
      </c>
      <c r="CF3" s="85" t="s">
        <v>339</v>
      </c>
      <c r="CG3" s="225"/>
      <c r="CH3" s="225"/>
      <c r="CI3" s="25" t="s">
        <v>353</v>
      </c>
      <c r="CJ3" s="164" t="s">
        <v>354</v>
      </c>
      <c r="CK3" s="25" t="s">
        <v>330</v>
      </c>
      <c r="CL3" s="85" t="s">
        <v>339</v>
      </c>
      <c r="CM3" s="227"/>
      <c r="CN3" s="25" t="s">
        <v>353</v>
      </c>
      <c r="CO3" s="164" t="s">
        <v>354</v>
      </c>
      <c r="CP3" s="164" t="s">
        <v>330</v>
      </c>
      <c r="CQ3" s="86" t="s">
        <v>339</v>
      </c>
      <c r="CR3" s="25" t="s">
        <v>353</v>
      </c>
      <c r="CS3" s="164" t="s">
        <v>354</v>
      </c>
      <c r="CT3" s="25" t="s">
        <v>330</v>
      </c>
      <c r="CU3" s="85" t="s">
        <v>339</v>
      </c>
      <c r="CV3" s="227"/>
      <c r="CW3" s="25" t="s">
        <v>353</v>
      </c>
      <c r="CX3" s="164" t="s">
        <v>354</v>
      </c>
      <c r="CY3" s="25" t="s">
        <v>330</v>
      </c>
      <c r="CZ3" s="85" t="s">
        <v>339</v>
      </c>
      <c r="DC3" s="23" t="s">
        <v>287</v>
      </c>
      <c r="DD3" s="23" t="s">
        <v>339</v>
      </c>
      <c r="DE3" s="23" t="s">
        <v>339</v>
      </c>
      <c r="DF3" s="23"/>
      <c r="DG3" s="23"/>
      <c r="DI3" s="23"/>
      <c r="DJ3" s="23"/>
    </row>
    <row r="4" spans="2:114">
      <c r="B4" s="58">
        <v>43466</v>
      </c>
      <c r="C4" s="201">
        <v>30075235</v>
      </c>
      <c r="D4" s="202"/>
      <c r="E4" s="34"/>
      <c r="F4" s="201">
        <v>3465315</v>
      </c>
      <c r="G4" s="202"/>
      <c r="H4" s="34"/>
      <c r="I4" s="222">
        <v>145530</v>
      </c>
      <c r="J4" s="223"/>
      <c r="K4" s="34"/>
      <c r="L4" s="222">
        <v>217597</v>
      </c>
      <c r="M4" s="223"/>
      <c r="N4" s="34"/>
      <c r="O4" s="222">
        <v>677</v>
      </c>
      <c r="P4" s="223"/>
      <c r="Q4" s="34"/>
      <c r="R4" s="14"/>
      <c r="S4" s="222">
        <v>498680</v>
      </c>
      <c r="T4" s="223"/>
      <c r="U4" s="34"/>
      <c r="V4" s="199">
        <v>624992</v>
      </c>
      <c r="W4" s="221"/>
      <c r="X4" s="34"/>
      <c r="Y4" s="36"/>
      <c r="Z4" s="14"/>
      <c r="AA4" s="151">
        <v>35612649</v>
      </c>
      <c r="AB4" s="34"/>
      <c r="AC4" s="151">
        <v>876766773</v>
      </c>
      <c r="AD4" s="34"/>
      <c r="AE4" s="151">
        <v>74511</v>
      </c>
      <c r="AF4" s="34"/>
      <c r="AG4" s="151">
        <v>1931459</v>
      </c>
      <c r="AH4" s="34"/>
      <c r="AI4" s="151">
        <v>2721122</v>
      </c>
      <c r="AJ4" s="34"/>
      <c r="AK4" s="151">
        <v>11704</v>
      </c>
      <c r="AL4" s="34"/>
      <c r="AM4" s="20">
        <v>671</v>
      </c>
      <c r="AN4" s="34"/>
      <c r="AO4" s="20">
        <v>7048</v>
      </c>
      <c r="AP4" s="34"/>
      <c r="AQ4" s="14"/>
      <c r="AR4" s="58">
        <v>43466</v>
      </c>
      <c r="AS4" s="20">
        <v>8274</v>
      </c>
      <c r="AT4" s="34"/>
      <c r="AU4" s="14"/>
      <c r="AV4" s="20">
        <v>11650152</v>
      </c>
      <c r="AW4" s="34"/>
      <c r="AX4" s="20">
        <v>3163080</v>
      </c>
      <c r="AY4" s="34"/>
      <c r="AZ4" s="34"/>
      <c r="BA4" s="20">
        <v>6593300</v>
      </c>
      <c r="BB4" s="34"/>
      <c r="BC4" s="20">
        <v>3657100</v>
      </c>
      <c r="BD4" s="34"/>
      <c r="BE4" s="20">
        <v>27687854</v>
      </c>
      <c r="BF4" s="34"/>
      <c r="BI4" s="19">
        <f t="shared" ref="BI4:BI61" si="0">(C4)</f>
        <v>30075235</v>
      </c>
      <c r="BJ4" s="20">
        <v>300817</v>
      </c>
      <c r="BK4" s="19"/>
      <c r="BL4" s="59"/>
      <c r="BM4" s="75"/>
      <c r="BN4" s="19">
        <f t="shared" ref="BN4:BN61" si="1">(F4)</f>
        <v>3465315</v>
      </c>
      <c r="BO4" s="20">
        <v>34653</v>
      </c>
      <c r="BP4" s="19"/>
      <c r="BQ4" s="59"/>
      <c r="BR4" s="19">
        <f t="shared" ref="BR4:BR61" si="2">(S4)</f>
        <v>498680</v>
      </c>
      <c r="BS4" s="20"/>
      <c r="BT4" s="20"/>
      <c r="BU4" s="90"/>
      <c r="BV4" s="19">
        <f t="shared" ref="BV4:BV61" si="3">V4</f>
        <v>624992</v>
      </c>
      <c r="BW4" s="159"/>
      <c r="BX4" s="160"/>
      <c r="BY4" s="161"/>
      <c r="BZ4" s="160"/>
      <c r="CA4" s="87"/>
      <c r="CB4" s="14"/>
      <c r="CC4" s="19">
        <f>(BA4)</f>
        <v>6593300</v>
      </c>
      <c r="CD4" s="20">
        <v>6577</v>
      </c>
      <c r="CE4" s="19"/>
      <c r="CF4" s="59"/>
      <c r="CG4" s="75"/>
      <c r="CH4" s="75"/>
      <c r="CI4" s="19">
        <f>(AV4)</f>
        <v>11650152</v>
      </c>
      <c r="CJ4" s="20">
        <v>11535</v>
      </c>
      <c r="CK4" s="19"/>
      <c r="CL4" s="59"/>
      <c r="CM4" s="91"/>
      <c r="CN4" s="19">
        <f>(AS4)</f>
        <v>8274</v>
      </c>
      <c r="CO4" s="20"/>
      <c r="CP4" s="20"/>
      <c r="CQ4" s="90"/>
      <c r="CR4" s="19">
        <f>(BC4)</f>
        <v>3657100</v>
      </c>
      <c r="CS4" s="20">
        <v>3656</v>
      </c>
      <c r="CT4" s="19"/>
      <c r="CU4" s="59"/>
      <c r="CV4" s="91"/>
      <c r="CW4" s="19">
        <f>(BE4)</f>
        <v>27687854</v>
      </c>
      <c r="CX4" s="20">
        <v>276786</v>
      </c>
      <c r="CY4" s="19"/>
      <c r="CZ4" s="59"/>
      <c r="DD4" s="47"/>
      <c r="DE4" s="47"/>
      <c r="DF4" s="47"/>
      <c r="DG4" s="47"/>
      <c r="DI4" s="100"/>
      <c r="DJ4" s="100"/>
    </row>
    <row r="5" spans="2:114">
      <c r="B5" s="58">
        <v>43478</v>
      </c>
      <c r="C5" s="205">
        <v>30456923</v>
      </c>
      <c r="D5" s="205"/>
      <c r="E5" s="34">
        <f t="shared" ref="E5" si="4">SUM(C5-C4)*10</f>
        <v>3816880</v>
      </c>
      <c r="F5" s="205">
        <v>3476385</v>
      </c>
      <c r="G5" s="205"/>
      <c r="H5" s="34">
        <f t="shared" ref="H5" si="5">SUM(F5-F4)*10</f>
        <v>110700</v>
      </c>
      <c r="I5" s="205">
        <v>145990</v>
      </c>
      <c r="J5" s="205"/>
      <c r="K5" s="34">
        <f t="shared" ref="K5:K22" si="6">SUM(I5-I4)*10</f>
        <v>4600</v>
      </c>
      <c r="L5" s="205">
        <v>220393</v>
      </c>
      <c r="M5" s="205"/>
      <c r="N5" s="34">
        <f t="shared" ref="N5:N61" si="7">SUM(L5-L4)*1000</f>
        <v>2796000</v>
      </c>
      <c r="O5" s="205">
        <v>677</v>
      </c>
      <c r="P5" s="205"/>
      <c r="Q5" s="34">
        <f t="shared" ref="Q5:Q61" si="8">SUM(O5-O4)*100</f>
        <v>0</v>
      </c>
      <c r="R5" s="35"/>
      <c r="S5" s="205">
        <v>503095</v>
      </c>
      <c r="T5" s="205"/>
      <c r="U5" s="34">
        <f t="shared" ref="U5:U58" si="9">SUM(S5-S4)*100</f>
        <v>441500</v>
      </c>
      <c r="V5" s="205">
        <v>670475</v>
      </c>
      <c r="W5" s="205"/>
      <c r="X5" s="34">
        <f t="shared" ref="X5:X59" si="10">SUM(V5-V4)*100</f>
        <v>4548300</v>
      </c>
      <c r="Y5" s="36">
        <f t="shared" ref="Y5:Y61" si="11">SUM(U5+X5)</f>
        <v>4989800</v>
      </c>
      <c r="Z5" s="17"/>
      <c r="AA5" s="20">
        <v>35614040</v>
      </c>
      <c r="AB5" s="34">
        <f t="shared" ref="AB5:AB39" si="12">SUM(AA5-AA4)*1000</f>
        <v>1391000</v>
      </c>
      <c r="AC5" s="20">
        <v>887562083</v>
      </c>
      <c r="AD5" s="34">
        <f t="shared" ref="AD5:AD29" si="13">SUM(AC5-AC4)</f>
        <v>10795310</v>
      </c>
      <c r="AE5" s="20">
        <v>76127</v>
      </c>
      <c r="AF5" s="34">
        <f t="shared" ref="AF5:AF60" si="14">SUM(AE5-AE4)*1000</f>
        <v>1616000</v>
      </c>
      <c r="AG5" s="20">
        <v>1963567</v>
      </c>
      <c r="AH5" s="34">
        <f t="shared" ref="AH5:AH60" si="15">SUM(AG5-AG4)*1000</f>
        <v>32108000</v>
      </c>
      <c r="AI5" s="20">
        <v>2750624</v>
      </c>
      <c r="AJ5" s="34">
        <f t="shared" ref="AJ5:AJ61" si="16">SUM(AI5-AI4)</f>
        <v>29502</v>
      </c>
      <c r="AK5" s="20">
        <v>12053</v>
      </c>
      <c r="AL5" s="34">
        <f t="shared" ref="AL5:AL61" si="17">SUM(AK5-AK4)*1000</f>
        <v>349000</v>
      </c>
      <c r="AM5" s="20">
        <v>709</v>
      </c>
      <c r="AN5" s="34">
        <f t="shared" ref="AN5:AN26" si="18">SUM(AM5-AM4)*10</f>
        <v>380</v>
      </c>
      <c r="AO5" s="20">
        <v>7153</v>
      </c>
      <c r="AP5" s="34">
        <f t="shared" ref="AP5:AP60" si="19">SUM(AO5-AO4)*10</f>
        <v>1050</v>
      </c>
      <c r="AQ5" s="14"/>
      <c r="AR5" s="58">
        <v>43478</v>
      </c>
      <c r="AS5" s="20">
        <v>8435</v>
      </c>
      <c r="AT5" s="34">
        <f t="shared" ref="AT5:AT61" si="20">SUM(AS5-AS4)</f>
        <v>161</v>
      </c>
      <c r="AU5" s="14"/>
      <c r="AV5" s="20">
        <v>11724030</v>
      </c>
      <c r="AW5" s="34">
        <f t="shared" ref="AW5:AW61" si="21">SUM(AV5-AV4)</f>
        <v>73878</v>
      </c>
      <c r="AX5" s="20">
        <v>3164930</v>
      </c>
      <c r="AY5" s="34">
        <f t="shared" ref="AY5:AY24" si="22">SUM(AX5-AX4)</f>
        <v>1850</v>
      </c>
      <c r="AZ5" s="34">
        <f t="shared" ref="AZ5:AZ61" si="23">SUM(AW5-AY5)</f>
        <v>72028</v>
      </c>
      <c r="BA5" s="20">
        <v>6602900</v>
      </c>
      <c r="BB5" s="34">
        <f t="shared" ref="BB5:BB61" si="24">SUM(BA5-BA4)</f>
        <v>9600</v>
      </c>
      <c r="BC5" s="20">
        <v>3657800</v>
      </c>
      <c r="BD5" s="34">
        <f t="shared" ref="BD5:BD61" si="25">SUM(BC5-BC4)</f>
        <v>700</v>
      </c>
      <c r="BE5" s="20">
        <v>27759411</v>
      </c>
      <c r="BF5" s="34">
        <f t="shared" ref="BF5:BF61" si="26">SUM(BE5-BE4)</f>
        <v>71557</v>
      </c>
      <c r="BI5" s="19">
        <f t="shared" si="0"/>
        <v>30456923</v>
      </c>
      <c r="BN5" s="19">
        <f t="shared" si="1"/>
        <v>3476385</v>
      </c>
      <c r="BR5" s="19">
        <f t="shared" si="2"/>
        <v>503095</v>
      </c>
      <c r="BV5" s="19">
        <f t="shared" si="3"/>
        <v>670475</v>
      </c>
      <c r="CB5" s="14"/>
      <c r="CC5" s="19">
        <f t="shared" ref="CC5:CC61" si="27">(BA5)</f>
        <v>6602900</v>
      </c>
      <c r="CI5" s="19">
        <f t="shared" ref="CI5:CI61" si="28">(AV5)</f>
        <v>11724030</v>
      </c>
      <c r="CN5" s="19">
        <f t="shared" ref="CN5:CN61" si="29">(AS5)</f>
        <v>8435</v>
      </c>
      <c r="CR5" s="19">
        <f t="shared" ref="CR5:CR61" si="30">(BC5)</f>
        <v>3657800</v>
      </c>
      <c r="CW5" s="19">
        <f t="shared" ref="CW5:CW61" si="31">(BE5)</f>
        <v>27759411</v>
      </c>
    </row>
    <row r="6" spans="2:114">
      <c r="B6" s="58">
        <v>43486</v>
      </c>
      <c r="C6" s="205">
        <v>30574715</v>
      </c>
      <c r="D6" s="205"/>
      <c r="E6" s="34">
        <f t="shared" ref="E6:E7" si="32">SUM(C6-C5)*10</f>
        <v>1177920</v>
      </c>
      <c r="F6" s="205">
        <v>3488469</v>
      </c>
      <c r="G6" s="205"/>
      <c r="H6" s="34">
        <f t="shared" ref="H6:H7" si="33">SUM(F6-F5)*10</f>
        <v>120840</v>
      </c>
      <c r="I6" s="205">
        <v>146160</v>
      </c>
      <c r="J6" s="205"/>
      <c r="K6" s="34">
        <f t="shared" si="6"/>
        <v>1700</v>
      </c>
      <c r="L6" s="205">
        <v>221251</v>
      </c>
      <c r="M6" s="205"/>
      <c r="N6" s="34">
        <f t="shared" si="7"/>
        <v>858000</v>
      </c>
      <c r="O6" s="205">
        <v>677</v>
      </c>
      <c r="P6" s="205"/>
      <c r="Q6" s="34">
        <f t="shared" si="8"/>
        <v>0</v>
      </c>
      <c r="R6" s="35"/>
      <c r="S6" s="205">
        <v>504370</v>
      </c>
      <c r="T6" s="205"/>
      <c r="U6" s="34">
        <f t="shared" si="9"/>
        <v>127500</v>
      </c>
      <c r="V6" s="205">
        <v>690842</v>
      </c>
      <c r="W6" s="205"/>
      <c r="X6" s="34">
        <f t="shared" si="10"/>
        <v>2036700</v>
      </c>
      <c r="Y6" s="36">
        <f t="shared" si="11"/>
        <v>2164200</v>
      </c>
      <c r="Z6" s="17"/>
      <c r="AA6" s="20">
        <v>35614260</v>
      </c>
      <c r="AB6" s="34">
        <f t="shared" si="12"/>
        <v>220000</v>
      </c>
      <c r="AC6" s="20">
        <v>889977330</v>
      </c>
      <c r="AD6" s="34">
        <f t="shared" si="13"/>
        <v>2415247</v>
      </c>
      <c r="AE6" s="20">
        <v>76536</v>
      </c>
      <c r="AF6" s="34">
        <f t="shared" si="14"/>
        <v>409000</v>
      </c>
      <c r="AG6" s="20">
        <v>1968922</v>
      </c>
      <c r="AH6" s="34">
        <f t="shared" si="15"/>
        <v>5355000</v>
      </c>
      <c r="AI6" s="20">
        <v>2765109</v>
      </c>
      <c r="AJ6" s="34">
        <f t="shared" si="16"/>
        <v>14485</v>
      </c>
      <c r="AK6" s="20">
        <v>12217</v>
      </c>
      <c r="AL6" s="34">
        <f t="shared" si="17"/>
        <v>164000</v>
      </c>
      <c r="AM6" s="20">
        <v>711</v>
      </c>
      <c r="AN6" s="34">
        <f t="shared" si="18"/>
        <v>20</v>
      </c>
      <c r="AO6" s="20">
        <v>7197</v>
      </c>
      <c r="AP6" s="34">
        <f t="shared" si="19"/>
        <v>440</v>
      </c>
      <c r="AQ6" s="14"/>
      <c r="AR6" s="58">
        <v>43486</v>
      </c>
      <c r="AS6" s="20">
        <v>8555</v>
      </c>
      <c r="AT6" s="34">
        <f t="shared" si="20"/>
        <v>120</v>
      </c>
      <c r="AU6" s="14"/>
      <c r="AV6" s="20">
        <v>11787094</v>
      </c>
      <c r="AW6" s="34">
        <f t="shared" si="21"/>
        <v>63064</v>
      </c>
      <c r="AX6" s="20">
        <v>3166110</v>
      </c>
      <c r="AY6" s="34">
        <f t="shared" si="22"/>
        <v>1180</v>
      </c>
      <c r="AZ6" s="34">
        <f t="shared" si="23"/>
        <v>61884</v>
      </c>
      <c r="BA6" s="20">
        <v>6609300</v>
      </c>
      <c r="BB6" s="34">
        <f t="shared" si="24"/>
        <v>6400</v>
      </c>
      <c r="BC6" s="20">
        <v>3658800</v>
      </c>
      <c r="BD6" s="34">
        <f t="shared" si="25"/>
        <v>1000</v>
      </c>
      <c r="BE6" s="20">
        <v>27830365</v>
      </c>
      <c r="BF6" s="34">
        <f t="shared" si="26"/>
        <v>70954</v>
      </c>
      <c r="BI6" s="19">
        <f t="shared" si="0"/>
        <v>30574715</v>
      </c>
      <c r="BN6" s="19">
        <f t="shared" si="1"/>
        <v>3488469</v>
      </c>
      <c r="BR6" s="19">
        <f t="shared" si="2"/>
        <v>504370</v>
      </c>
      <c r="BV6" s="19">
        <f t="shared" si="3"/>
        <v>690842</v>
      </c>
      <c r="CB6" s="14"/>
      <c r="CC6" s="19">
        <f t="shared" si="27"/>
        <v>6609300</v>
      </c>
      <c r="CI6" s="19">
        <f t="shared" si="28"/>
        <v>11787094</v>
      </c>
      <c r="CN6" s="19">
        <f t="shared" si="29"/>
        <v>8555</v>
      </c>
      <c r="CR6" s="19">
        <f t="shared" si="30"/>
        <v>3658800</v>
      </c>
      <c r="CW6" s="19">
        <f t="shared" si="31"/>
        <v>27830365</v>
      </c>
    </row>
    <row r="7" spans="2:114">
      <c r="B7" s="58">
        <v>43493</v>
      </c>
      <c r="C7" s="205">
        <v>30682440</v>
      </c>
      <c r="D7" s="205"/>
      <c r="E7" s="34">
        <f t="shared" si="32"/>
        <v>1077250</v>
      </c>
      <c r="F7" s="205">
        <v>3502733</v>
      </c>
      <c r="G7" s="205"/>
      <c r="H7" s="34">
        <f t="shared" si="33"/>
        <v>142640</v>
      </c>
      <c r="I7" s="205">
        <v>146360</v>
      </c>
      <c r="J7" s="205"/>
      <c r="K7" s="34">
        <f t="shared" si="6"/>
        <v>2000</v>
      </c>
      <c r="L7" s="205">
        <v>222066</v>
      </c>
      <c r="M7" s="205"/>
      <c r="N7" s="34">
        <f t="shared" si="7"/>
        <v>815000</v>
      </c>
      <c r="O7" s="205">
        <v>677</v>
      </c>
      <c r="P7" s="205"/>
      <c r="Q7" s="34">
        <f t="shared" si="8"/>
        <v>0</v>
      </c>
      <c r="R7" s="35"/>
      <c r="S7" s="205">
        <v>506437</v>
      </c>
      <c r="T7" s="205"/>
      <c r="U7" s="34">
        <f t="shared" si="9"/>
        <v>206700</v>
      </c>
      <c r="V7" s="205">
        <v>713584</v>
      </c>
      <c r="W7" s="205"/>
      <c r="X7" s="34">
        <f t="shared" si="10"/>
        <v>2274200</v>
      </c>
      <c r="Y7" s="36">
        <f t="shared" si="11"/>
        <v>2480900</v>
      </c>
      <c r="Z7" s="17"/>
      <c r="AA7" s="20">
        <v>35614476</v>
      </c>
      <c r="AB7" s="34">
        <f t="shared" si="12"/>
        <v>216000</v>
      </c>
      <c r="AC7" s="20">
        <v>892690100</v>
      </c>
      <c r="AD7" s="34">
        <f t="shared" si="13"/>
        <v>2712770</v>
      </c>
      <c r="AE7" s="20">
        <v>76864</v>
      </c>
      <c r="AF7" s="34">
        <f t="shared" si="14"/>
        <v>328000</v>
      </c>
      <c r="AG7" s="20">
        <v>1972872</v>
      </c>
      <c r="AH7" s="34">
        <f t="shared" si="15"/>
        <v>3950000</v>
      </c>
      <c r="AI7" s="20">
        <v>2774895</v>
      </c>
      <c r="AJ7" s="34">
        <f t="shared" si="16"/>
        <v>9786</v>
      </c>
      <c r="AK7" s="20">
        <v>12341</v>
      </c>
      <c r="AL7" s="34">
        <f t="shared" si="17"/>
        <v>124000</v>
      </c>
      <c r="AM7" s="20">
        <v>715</v>
      </c>
      <c r="AN7" s="34">
        <f t="shared" si="18"/>
        <v>40</v>
      </c>
      <c r="AO7" s="20">
        <v>7243</v>
      </c>
      <c r="AP7" s="34">
        <f t="shared" si="19"/>
        <v>460</v>
      </c>
      <c r="AQ7" s="14"/>
      <c r="AR7" s="58">
        <v>43493</v>
      </c>
      <c r="AS7" s="20">
        <v>8683</v>
      </c>
      <c r="AT7" s="34">
        <f t="shared" si="20"/>
        <v>128</v>
      </c>
      <c r="AU7" s="14"/>
      <c r="AV7" s="20">
        <v>11848300</v>
      </c>
      <c r="AW7" s="34">
        <f t="shared" si="21"/>
        <v>61206</v>
      </c>
      <c r="AX7" s="20">
        <v>3167770</v>
      </c>
      <c r="AY7" s="34">
        <f t="shared" si="22"/>
        <v>1660</v>
      </c>
      <c r="AZ7" s="34">
        <f t="shared" si="23"/>
        <v>59546</v>
      </c>
      <c r="BA7" s="20">
        <v>6612200</v>
      </c>
      <c r="BB7" s="34">
        <f t="shared" si="24"/>
        <v>2900</v>
      </c>
      <c r="BC7" s="20">
        <v>3659100</v>
      </c>
      <c r="BD7" s="34">
        <f t="shared" si="25"/>
        <v>300</v>
      </c>
      <c r="BE7" s="20">
        <v>27928234</v>
      </c>
      <c r="BF7" s="34">
        <f t="shared" si="26"/>
        <v>97869</v>
      </c>
      <c r="BI7" s="19">
        <f t="shared" si="0"/>
        <v>30682440</v>
      </c>
      <c r="BJ7" s="20">
        <v>306291</v>
      </c>
      <c r="BK7" s="19">
        <f>SUM(BJ7-BJ4)</f>
        <v>5474</v>
      </c>
      <c r="BL7" s="59">
        <f>SUM(BK7*1.0766)+1986.71</f>
        <v>7880.0183999999999</v>
      </c>
      <c r="BM7" s="75">
        <v>30154.18</v>
      </c>
      <c r="BN7" s="19">
        <f t="shared" si="1"/>
        <v>3502733</v>
      </c>
      <c r="BO7" s="20">
        <v>34959</v>
      </c>
      <c r="BP7" s="19">
        <f>SUM(BO7-BO4)</f>
        <v>306</v>
      </c>
      <c r="BQ7" s="59">
        <f>SUM(BP7*0.8486)+1639.2</f>
        <v>1898.8715999999999</v>
      </c>
      <c r="BR7" s="19">
        <f t="shared" si="2"/>
        <v>506437</v>
      </c>
      <c r="BS7" s="20">
        <v>507082</v>
      </c>
      <c r="BT7" s="20">
        <v>49617.16</v>
      </c>
      <c r="BU7" s="87">
        <v>35195.9</v>
      </c>
      <c r="BV7" s="19">
        <f t="shared" si="3"/>
        <v>713584</v>
      </c>
      <c r="BW7" s="88">
        <v>70241</v>
      </c>
      <c r="BX7" s="39">
        <v>2972.46</v>
      </c>
      <c r="BY7" s="87">
        <v>2108.48</v>
      </c>
      <c r="BZ7" s="98">
        <f t="shared" ref="BZ7" si="34">SUM(BT7+BX7)</f>
        <v>52589.62</v>
      </c>
      <c r="CA7" s="87">
        <v>11313.71</v>
      </c>
      <c r="CB7" s="14"/>
      <c r="CC7" s="19">
        <f t="shared" si="27"/>
        <v>6612200</v>
      </c>
      <c r="CD7" s="20">
        <v>6612</v>
      </c>
      <c r="CE7" s="19">
        <f>SUM(CD7-CD4)</f>
        <v>35</v>
      </c>
      <c r="CF7" s="59">
        <f>SUM(CE7*1.0766)+124.09</f>
        <v>161.77100000000002</v>
      </c>
      <c r="CG7" s="75">
        <v>210.7</v>
      </c>
      <c r="CH7" s="75">
        <v>1070.74</v>
      </c>
      <c r="CI7" s="19">
        <f t="shared" si="28"/>
        <v>11848300</v>
      </c>
      <c r="CJ7" s="20">
        <v>11787</v>
      </c>
      <c r="CK7" s="19">
        <f>SUM(CJ7-CJ4)</f>
        <v>252</v>
      </c>
      <c r="CL7" s="59">
        <f>SUM(CK7*1.0766+198.63)</f>
        <v>469.9332</v>
      </c>
      <c r="CM7" s="91">
        <v>1480.92</v>
      </c>
      <c r="CN7" s="19">
        <f t="shared" si="29"/>
        <v>8683</v>
      </c>
      <c r="CO7" s="20">
        <v>8624</v>
      </c>
      <c r="CP7" s="20">
        <v>1351.63</v>
      </c>
      <c r="CQ7" s="90">
        <v>958.74</v>
      </c>
      <c r="CR7" s="19">
        <f t="shared" si="30"/>
        <v>3659100</v>
      </c>
      <c r="CS7" s="20">
        <v>3659</v>
      </c>
      <c r="CT7" s="19">
        <f>SUM(CS7-CS4)</f>
        <v>3</v>
      </c>
      <c r="CU7" s="59">
        <f>SUM(CT7*1.0766)+198.63</f>
        <v>201.85980000000001</v>
      </c>
      <c r="CV7" s="91"/>
      <c r="CW7" s="19">
        <f t="shared" si="31"/>
        <v>27928234</v>
      </c>
      <c r="CX7" s="20">
        <v>279253</v>
      </c>
      <c r="CY7" s="19">
        <f>SUM(CX7-CX4)</f>
        <v>2467</v>
      </c>
      <c r="CZ7" s="59">
        <f>SUM(CY7*0.8486)+1024.42</f>
        <v>3117.9162000000001</v>
      </c>
      <c r="DC7" s="20">
        <f>SUM(E5:E8)</f>
        <v>6663600</v>
      </c>
      <c r="DD7" s="75" t="e">
        <f>SUM(BL7+CF7+CL7+#REF!+CU7)</f>
        <v>#REF!</v>
      </c>
      <c r="DE7" s="75">
        <f>SUM(BQ7+CZ7)</f>
        <v>5016.7878000000001</v>
      </c>
      <c r="DF7" s="75">
        <f>SUM(BM7+CG7+CV7)</f>
        <v>30364.880000000001</v>
      </c>
      <c r="DG7" s="75" t="e">
        <f>SUM(DD7:DF7)</f>
        <v>#REF!</v>
      </c>
      <c r="DI7" s="92">
        <f>SUM(BU7+CQ7+BY7)</f>
        <v>38263.120000000003</v>
      </c>
      <c r="DJ7" s="92">
        <f>SUM(CA7+CH7)</f>
        <v>12384.449999999999</v>
      </c>
    </row>
    <row r="8" spans="2:114">
      <c r="B8" s="58">
        <v>43496</v>
      </c>
      <c r="C8" s="205">
        <v>30741595</v>
      </c>
      <c r="D8" s="205"/>
      <c r="E8" s="34">
        <f t="shared" ref="E8" si="35">SUM(C8-C7)*10</f>
        <v>591550</v>
      </c>
      <c r="F8" s="205">
        <v>3513387</v>
      </c>
      <c r="G8" s="205"/>
      <c r="H8" s="34">
        <f t="shared" ref="H8" si="36">SUM(F8-F7)*10</f>
        <v>106540</v>
      </c>
      <c r="I8" s="205">
        <v>146530</v>
      </c>
      <c r="J8" s="205"/>
      <c r="K8" s="34">
        <f t="shared" si="6"/>
        <v>1700</v>
      </c>
      <c r="L8" s="205">
        <v>222525</v>
      </c>
      <c r="M8" s="205"/>
      <c r="N8" s="34">
        <f t="shared" si="7"/>
        <v>459000</v>
      </c>
      <c r="O8" s="205">
        <v>677</v>
      </c>
      <c r="P8" s="205"/>
      <c r="Q8" s="34">
        <f t="shared" si="8"/>
        <v>0</v>
      </c>
      <c r="R8" s="35"/>
      <c r="S8" s="205">
        <v>508370</v>
      </c>
      <c r="T8" s="205"/>
      <c r="U8" s="34">
        <f t="shared" si="9"/>
        <v>193300</v>
      </c>
      <c r="V8" s="205">
        <v>728240</v>
      </c>
      <c r="W8" s="205"/>
      <c r="X8" s="34">
        <f t="shared" si="10"/>
        <v>1465600</v>
      </c>
      <c r="Y8" s="36">
        <f t="shared" si="11"/>
        <v>1658900</v>
      </c>
      <c r="Z8" s="17"/>
      <c r="AA8" s="20">
        <v>35614559</v>
      </c>
      <c r="AB8" s="34">
        <f t="shared" si="12"/>
        <v>83000</v>
      </c>
      <c r="AC8" s="20">
        <v>893778117</v>
      </c>
      <c r="AD8" s="34">
        <f t="shared" si="13"/>
        <v>1088017</v>
      </c>
      <c r="AE8" s="20">
        <v>76964</v>
      </c>
      <c r="AF8" s="34">
        <f t="shared" si="14"/>
        <v>100000</v>
      </c>
      <c r="AG8" s="20">
        <v>1975947</v>
      </c>
      <c r="AH8" s="34">
        <f t="shared" si="15"/>
        <v>3075000</v>
      </c>
      <c r="AI8" s="20">
        <v>2780656</v>
      </c>
      <c r="AJ8" s="34">
        <f t="shared" si="16"/>
        <v>5761</v>
      </c>
      <c r="AK8" s="20">
        <v>12388</v>
      </c>
      <c r="AL8" s="34">
        <f t="shared" si="17"/>
        <v>47000</v>
      </c>
      <c r="AM8" s="20">
        <v>717</v>
      </c>
      <c r="AN8" s="34">
        <f t="shared" si="18"/>
        <v>20</v>
      </c>
      <c r="AO8" s="20">
        <v>7260</v>
      </c>
      <c r="AP8" s="34">
        <f t="shared" si="19"/>
        <v>170</v>
      </c>
      <c r="AQ8" s="14"/>
      <c r="AR8" s="58">
        <v>43496</v>
      </c>
      <c r="AS8" s="20">
        <v>8774</v>
      </c>
      <c r="AT8" s="34">
        <f t="shared" si="20"/>
        <v>91</v>
      </c>
      <c r="AU8" s="14"/>
      <c r="AV8" s="20">
        <v>11883475</v>
      </c>
      <c r="AW8" s="34">
        <f t="shared" si="21"/>
        <v>35175</v>
      </c>
      <c r="AX8" s="20">
        <v>3168480</v>
      </c>
      <c r="AY8" s="34">
        <f t="shared" si="22"/>
        <v>710</v>
      </c>
      <c r="AZ8" s="34">
        <f t="shared" si="23"/>
        <v>34465</v>
      </c>
      <c r="BA8" s="20">
        <v>6617200</v>
      </c>
      <c r="BB8" s="34">
        <f t="shared" si="24"/>
        <v>5000</v>
      </c>
      <c r="BC8" s="20">
        <v>3659300</v>
      </c>
      <c r="BD8" s="34">
        <f t="shared" si="25"/>
        <v>200</v>
      </c>
      <c r="BE8" s="20">
        <v>27932418</v>
      </c>
      <c r="BF8" s="34">
        <f t="shared" si="26"/>
        <v>4184</v>
      </c>
      <c r="BI8" s="19">
        <f t="shared" si="0"/>
        <v>30741595</v>
      </c>
      <c r="BN8" s="19">
        <f t="shared" si="1"/>
        <v>3513387</v>
      </c>
      <c r="BR8" s="19">
        <f t="shared" si="2"/>
        <v>508370</v>
      </c>
      <c r="BV8" s="19">
        <f t="shared" si="3"/>
        <v>728240</v>
      </c>
      <c r="CB8" s="14"/>
      <c r="CC8" s="19">
        <f t="shared" si="27"/>
        <v>6617200</v>
      </c>
      <c r="CI8" s="19">
        <f t="shared" si="28"/>
        <v>11883475</v>
      </c>
      <c r="CN8" s="19">
        <f t="shared" si="29"/>
        <v>8774</v>
      </c>
      <c r="CR8" s="19">
        <f t="shared" si="30"/>
        <v>3659300</v>
      </c>
      <c r="CW8" s="19">
        <f t="shared" si="31"/>
        <v>27932418</v>
      </c>
    </row>
    <row r="9" spans="2:114">
      <c r="B9" s="58">
        <v>43499</v>
      </c>
      <c r="C9" s="205">
        <v>30787077</v>
      </c>
      <c r="D9" s="205"/>
      <c r="E9" s="34">
        <f t="shared" ref="E9:E13" si="37">SUM(C9-C8)*10</f>
        <v>454820</v>
      </c>
      <c r="F9" s="205">
        <v>3518019</v>
      </c>
      <c r="G9" s="205"/>
      <c r="H9" s="34">
        <f t="shared" ref="H9:H13" si="38">SUM(F9-F8)*10</f>
        <v>46320</v>
      </c>
      <c r="I9" s="205">
        <v>146640</v>
      </c>
      <c r="J9" s="205"/>
      <c r="K9" s="34">
        <f t="shared" si="6"/>
        <v>1100</v>
      </c>
      <c r="L9" s="205">
        <v>222877</v>
      </c>
      <c r="M9" s="205"/>
      <c r="N9" s="34">
        <f t="shared" si="7"/>
        <v>352000</v>
      </c>
      <c r="O9" s="205">
        <v>677</v>
      </c>
      <c r="P9" s="205"/>
      <c r="Q9" s="34">
        <f t="shared" si="8"/>
        <v>0</v>
      </c>
      <c r="R9" s="35"/>
      <c r="S9" s="205">
        <v>510766</v>
      </c>
      <c r="T9" s="205"/>
      <c r="U9" s="34">
        <f t="shared" si="9"/>
        <v>239600</v>
      </c>
      <c r="V9" s="205">
        <v>733427</v>
      </c>
      <c r="W9" s="205"/>
      <c r="X9" s="34">
        <f t="shared" si="10"/>
        <v>518700</v>
      </c>
      <c r="Y9" s="36">
        <f t="shared" si="11"/>
        <v>758300</v>
      </c>
      <c r="Z9" s="17"/>
      <c r="AA9" s="20">
        <v>35614811</v>
      </c>
      <c r="AB9" s="34">
        <f t="shared" si="12"/>
        <v>252000</v>
      </c>
      <c r="AC9" s="20">
        <v>893778117</v>
      </c>
      <c r="AD9" s="34">
        <f t="shared" si="13"/>
        <v>0</v>
      </c>
      <c r="AE9" s="20">
        <v>77134</v>
      </c>
      <c r="AF9" s="34">
        <f t="shared" si="14"/>
        <v>170000</v>
      </c>
      <c r="AG9" s="20">
        <v>1977617</v>
      </c>
      <c r="AH9" s="34">
        <f t="shared" si="15"/>
        <v>1670000</v>
      </c>
      <c r="AI9" s="20">
        <v>2784747</v>
      </c>
      <c r="AJ9" s="34">
        <f t="shared" si="16"/>
        <v>4091</v>
      </c>
      <c r="AK9" s="20">
        <v>12420</v>
      </c>
      <c r="AL9" s="34">
        <f t="shared" si="17"/>
        <v>32000</v>
      </c>
      <c r="AM9" s="20">
        <v>717</v>
      </c>
      <c r="AN9" s="34">
        <f t="shared" si="18"/>
        <v>0</v>
      </c>
      <c r="AO9" s="20">
        <v>7279</v>
      </c>
      <c r="AP9" s="34">
        <f t="shared" si="19"/>
        <v>190</v>
      </c>
      <c r="AQ9" s="14"/>
      <c r="AR9" s="58">
        <v>43499</v>
      </c>
      <c r="AS9" s="20">
        <v>8843</v>
      </c>
      <c r="AT9" s="34">
        <f t="shared" si="20"/>
        <v>69</v>
      </c>
      <c r="AU9" s="14"/>
      <c r="AV9" s="20">
        <v>11910398</v>
      </c>
      <c r="AW9" s="34">
        <f t="shared" si="21"/>
        <v>26923</v>
      </c>
      <c r="AX9" s="20">
        <v>3168900</v>
      </c>
      <c r="AY9" s="34">
        <f t="shared" si="22"/>
        <v>420</v>
      </c>
      <c r="AZ9" s="34">
        <f t="shared" si="23"/>
        <v>26503</v>
      </c>
      <c r="BA9" s="20">
        <v>6618300</v>
      </c>
      <c r="BB9" s="34">
        <f t="shared" si="24"/>
        <v>1100</v>
      </c>
      <c r="BC9" s="20">
        <v>3659500</v>
      </c>
      <c r="BD9" s="34">
        <f t="shared" si="25"/>
        <v>200</v>
      </c>
      <c r="BE9" s="20">
        <v>27935495</v>
      </c>
      <c r="BF9" s="34">
        <f t="shared" si="26"/>
        <v>3077</v>
      </c>
      <c r="BI9" s="19">
        <f t="shared" si="0"/>
        <v>30787077</v>
      </c>
      <c r="BN9" s="19">
        <f t="shared" si="1"/>
        <v>3518019</v>
      </c>
      <c r="BR9" s="19">
        <f t="shared" si="2"/>
        <v>510766</v>
      </c>
      <c r="BV9" s="19">
        <f t="shared" si="3"/>
        <v>733427</v>
      </c>
      <c r="CB9" s="14"/>
      <c r="CC9" s="19">
        <f t="shared" si="27"/>
        <v>6618300</v>
      </c>
      <c r="CI9" s="19">
        <f t="shared" si="28"/>
        <v>11910398</v>
      </c>
      <c r="CN9" s="19">
        <f t="shared" si="29"/>
        <v>8843</v>
      </c>
      <c r="CR9" s="19">
        <f t="shared" si="30"/>
        <v>3659500</v>
      </c>
      <c r="CW9" s="19">
        <f t="shared" si="31"/>
        <v>27935495</v>
      </c>
    </row>
    <row r="10" spans="2:114">
      <c r="B10" s="58">
        <v>43506</v>
      </c>
      <c r="C10" s="205">
        <v>30894168</v>
      </c>
      <c r="D10" s="205"/>
      <c r="E10" s="34">
        <f t="shared" si="37"/>
        <v>1070910</v>
      </c>
      <c r="F10" s="205">
        <v>3532662</v>
      </c>
      <c r="G10" s="205"/>
      <c r="H10" s="34">
        <f t="shared" si="38"/>
        <v>146430</v>
      </c>
      <c r="I10" s="205">
        <v>146990</v>
      </c>
      <c r="J10" s="205"/>
      <c r="K10" s="34">
        <f t="shared" si="6"/>
        <v>3500</v>
      </c>
      <c r="L10" s="205">
        <v>223702</v>
      </c>
      <c r="M10" s="205"/>
      <c r="N10" s="34">
        <f t="shared" si="7"/>
        <v>825000</v>
      </c>
      <c r="O10" s="205">
        <v>677</v>
      </c>
      <c r="P10" s="205"/>
      <c r="Q10" s="34">
        <f t="shared" si="8"/>
        <v>0</v>
      </c>
      <c r="R10" s="35"/>
      <c r="S10" s="205">
        <v>513154</v>
      </c>
      <c r="T10" s="205"/>
      <c r="U10" s="34">
        <f t="shared" si="9"/>
        <v>238800</v>
      </c>
      <c r="V10" s="205">
        <v>748073</v>
      </c>
      <c r="W10" s="205"/>
      <c r="X10" s="34">
        <f t="shared" si="10"/>
        <v>1464600</v>
      </c>
      <c r="Y10" s="36">
        <f t="shared" si="11"/>
        <v>1703400</v>
      </c>
      <c r="Z10" s="17"/>
      <c r="AA10" s="20">
        <v>35615126</v>
      </c>
      <c r="AB10" s="34">
        <f t="shared" si="12"/>
        <v>315000</v>
      </c>
      <c r="AC10" s="20">
        <v>899570420</v>
      </c>
      <c r="AD10" s="34">
        <f t="shared" si="13"/>
        <v>5792303</v>
      </c>
      <c r="AE10" s="20">
        <v>77360</v>
      </c>
      <c r="AF10" s="34">
        <f t="shared" si="14"/>
        <v>226000</v>
      </c>
      <c r="AG10" s="20">
        <v>1982109</v>
      </c>
      <c r="AH10" s="34">
        <f t="shared" si="15"/>
        <v>4492000</v>
      </c>
      <c r="AI10" s="20">
        <v>2793418</v>
      </c>
      <c r="AJ10" s="34">
        <f t="shared" si="16"/>
        <v>8671</v>
      </c>
      <c r="AK10" s="20">
        <v>12503</v>
      </c>
      <c r="AL10" s="34">
        <f t="shared" si="17"/>
        <v>83000</v>
      </c>
      <c r="AM10" s="20">
        <v>720</v>
      </c>
      <c r="AN10" s="34">
        <f t="shared" si="18"/>
        <v>30</v>
      </c>
      <c r="AO10" s="20">
        <v>7315</v>
      </c>
      <c r="AP10" s="34">
        <f t="shared" si="19"/>
        <v>360</v>
      </c>
      <c r="AQ10" s="14"/>
      <c r="AR10" s="58">
        <v>43506</v>
      </c>
      <c r="AS10" s="20">
        <v>8991</v>
      </c>
      <c r="AT10" s="34">
        <f t="shared" si="20"/>
        <v>148</v>
      </c>
      <c r="AU10" s="14"/>
      <c r="AV10" s="20">
        <v>11971858</v>
      </c>
      <c r="AW10" s="34">
        <f t="shared" si="21"/>
        <v>61460</v>
      </c>
      <c r="AX10" s="20">
        <v>3169670</v>
      </c>
      <c r="AY10" s="34">
        <f t="shared" si="22"/>
        <v>770</v>
      </c>
      <c r="AZ10" s="34">
        <f t="shared" si="23"/>
        <v>60690</v>
      </c>
      <c r="BA10" s="20">
        <v>6622900</v>
      </c>
      <c r="BB10" s="34">
        <f t="shared" si="24"/>
        <v>4600</v>
      </c>
      <c r="BC10" s="20">
        <v>3659800</v>
      </c>
      <c r="BD10" s="34">
        <f t="shared" si="25"/>
        <v>300</v>
      </c>
      <c r="BE10" s="20">
        <v>28045844</v>
      </c>
      <c r="BF10" s="34">
        <f t="shared" si="26"/>
        <v>110349</v>
      </c>
      <c r="BI10" s="19">
        <f t="shared" si="0"/>
        <v>30894168</v>
      </c>
      <c r="BN10" s="19">
        <f t="shared" si="1"/>
        <v>3532662</v>
      </c>
      <c r="BR10" s="19">
        <f t="shared" si="2"/>
        <v>513154</v>
      </c>
      <c r="BV10" s="19">
        <f t="shared" si="3"/>
        <v>748073</v>
      </c>
      <c r="CB10" s="14"/>
      <c r="CC10" s="19">
        <f t="shared" si="27"/>
        <v>6622900</v>
      </c>
      <c r="CI10" s="19">
        <f t="shared" si="28"/>
        <v>11971858</v>
      </c>
      <c r="CN10" s="19">
        <f t="shared" si="29"/>
        <v>8991</v>
      </c>
      <c r="CR10" s="19">
        <f t="shared" si="30"/>
        <v>3659800</v>
      </c>
      <c r="CW10" s="19">
        <f t="shared" si="31"/>
        <v>28045844</v>
      </c>
    </row>
    <row r="11" spans="2:114">
      <c r="B11" s="58">
        <v>43513</v>
      </c>
      <c r="C11" s="205">
        <v>31007616</v>
      </c>
      <c r="D11" s="205"/>
      <c r="E11" s="34">
        <f t="shared" si="37"/>
        <v>1134480</v>
      </c>
      <c r="F11" s="205">
        <v>3547055</v>
      </c>
      <c r="G11" s="205"/>
      <c r="H11" s="34">
        <f t="shared" si="38"/>
        <v>143930</v>
      </c>
      <c r="I11" s="205">
        <v>147310</v>
      </c>
      <c r="J11" s="205"/>
      <c r="K11" s="34">
        <f t="shared" si="6"/>
        <v>3200</v>
      </c>
      <c r="L11" s="205">
        <v>224592</v>
      </c>
      <c r="M11" s="205"/>
      <c r="N11" s="34">
        <f t="shared" si="7"/>
        <v>890000</v>
      </c>
      <c r="O11" s="205">
        <v>677</v>
      </c>
      <c r="P11" s="205"/>
      <c r="Q11" s="34">
        <f t="shared" si="8"/>
        <v>0</v>
      </c>
      <c r="R11" s="35"/>
      <c r="S11" s="205">
        <v>515491</v>
      </c>
      <c r="T11" s="205"/>
      <c r="U11" s="34">
        <f t="shared" si="9"/>
        <v>233700</v>
      </c>
      <c r="V11" s="205">
        <v>761785</v>
      </c>
      <c r="W11" s="205"/>
      <c r="X11" s="34">
        <f t="shared" si="10"/>
        <v>1371200</v>
      </c>
      <c r="Y11" s="36">
        <f t="shared" si="11"/>
        <v>1604900</v>
      </c>
      <c r="Z11" s="17"/>
      <c r="AA11" s="20">
        <v>35615376</v>
      </c>
      <c r="AB11" s="34">
        <f t="shared" si="12"/>
        <v>250000</v>
      </c>
      <c r="AC11" s="20">
        <v>903265552</v>
      </c>
      <c r="AD11" s="34">
        <f t="shared" si="13"/>
        <v>3695132</v>
      </c>
      <c r="AE11" s="20">
        <v>77548</v>
      </c>
      <c r="AF11" s="34">
        <f t="shared" si="14"/>
        <v>188000</v>
      </c>
      <c r="AG11" s="20">
        <v>1986684</v>
      </c>
      <c r="AH11" s="34">
        <f t="shared" si="15"/>
        <v>4575000</v>
      </c>
      <c r="AI11" s="20">
        <v>2802657</v>
      </c>
      <c r="AJ11" s="34">
        <f t="shared" si="16"/>
        <v>9239</v>
      </c>
      <c r="AK11" s="20">
        <v>12578</v>
      </c>
      <c r="AL11" s="34">
        <f t="shared" si="17"/>
        <v>75000</v>
      </c>
      <c r="AM11" s="20">
        <v>720</v>
      </c>
      <c r="AN11" s="34">
        <f t="shared" si="18"/>
        <v>0</v>
      </c>
      <c r="AO11" s="20">
        <v>7356</v>
      </c>
      <c r="AP11" s="34">
        <f t="shared" si="19"/>
        <v>410</v>
      </c>
      <c r="AQ11" s="14"/>
      <c r="AR11" s="58">
        <v>43513</v>
      </c>
      <c r="AS11" s="20">
        <v>9140</v>
      </c>
      <c r="AT11" s="34">
        <f t="shared" si="20"/>
        <v>149</v>
      </c>
      <c r="AU11" s="14"/>
      <c r="AV11" s="20">
        <v>12034146</v>
      </c>
      <c r="AW11" s="34">
        <f t="shared" si="21"/>
        <v>62288</v>
      </c>
      <c r="AX11" s="20">
        <v>3170380</v>
      </c>
      <c r="AY11" s="34">
        <f t="shared" si="22"/>
        <v>710</v>
      </c>
      <c r="AZ11" s="34">
        <f t="shared" si="23"/>
        <v>61578</v>
      </c>
      <c r="BA11" s="20">
        <v>6626100</v>
      </c>
      <c r="BB11" s="34">
        <f t="shared" si="24"/>
        <v>3200</v>
      </c>
      <c r="BC11" s="20">
        <v>3660100</v>
      </c>
      <c r="BD11" s="34">
        <f t="shared" si="25"/>
        <v>300</v>
      </c>
      <c r="BE11" s="20">
        <v>28053079</v>
      </c>
      <c r="BF11" s="34">
        <f t="shared" si="26"/>
        <v>7235</v>
      </c>
      <c r="BI11" s="19">
        <f t="shared" si="0"/>
        <v>31007616</v>
      </c>
      <c r="BN11" s="19">
        <f t="shared" si="1"/>
        <v>3547055</v>
      </c>
      <c r="BR11" s="19">
        <f t="shared" si="2"/>
        <v>515491</v>
      </c>
      <c r="BV11" s="19">
        <f t="shared" si="3"/>
        <v>761785</v>
      </c>
      <c r="CB11" s="14"/>
      <c r="CC11" s="19">
        <f t="shared" si="27"/>
        <v>6626100</v>
      </c>
      <c r="CI11" s="19">
        <f t="shared" si="28"/>
        <v>12034146</v>
      </c>
      <c r="CN11" s="19">
        <f t="shared" si="29"/>
        <v>9140</v>
      </c>
      <c r="CR11" s="19">
        <f t="shared" si="30"/>
        <v>3660100</v>
      </c>
      <c r="CW11" s="19">
        <f t="shared" si="31"/>
        <v>28053079</v>
      </c>
    </row>
    <row r="12" spans="2:114">
      <c r="B12" s="58">
        <v>43520</v>
      </c>
      <c r="C12" s="205">
        <v>31145811</v>
      </c>
      <c r="D12" s="205"/>
      <c r="E12" s="34">
        <f t="shared" si="37"/>
        <v>1381950</v>
      </c>
      <c r="F12" s="205">
        <v>3554363</v>
      </c>
      <c r="G12" s="205"/>
      <c r="H12" s="34">
        <f t="shared" si="38"/>
        <v>73080</v>
      </c>
      <c r="I12" s="205">
        <v>147660</v>
      </c>
      <c r="J12" s="205"/>
      <c r="K12" s="34">
        <f t="shared" si="6"/>
        <v>3500</v>
      </c>
      <c r="L12" s="205">
        <v>225657</v>
      </c>
      <c r="M12" s="205"/>
      <c r="N12" s="34">
        <f t="shared" si="7"/>
        <v>1065000</v>
      </c>
      <c r="O12" s="205">
        <v>677</v>
      </c>
      <c r="P12" s="205"/>
      <c r="Q12" s="34">
        <f t="shared" si="8"/>
        <v>0</v>
      </c>
      <c r="R12" s="35"/>
      <c r="S12" s="205">
        <v>517808</v>
      </c>
      <c r="T12" s="205"/>
      <c r="U12" s="34">
        <f t="shared" si="9"/>
        <v>231700</v>
      </c>
      <c r="V12" s="205">
        <v>770201</v>
      </c>
      <c r="W12" s="205"/>
      <c r="X12" s="34">
        <f t="shared" si="10"/>
        <v>841600</v>
      </c>
      <c r="Y12" s="36">
        <f t="shared" si="11"/>
        <v>1073300</v>
      </c>
      <c r="Z12" s="17"/>
      <c r="AA12" s="20">
        <v>35615676</v>
      </c>
      <c r="AB12" s="34">
        <f t="shared" si="12"/>
        <v>300000</v>
      </c>
      <c r="AC12" s="20">
        <v>908777928</v>
      </c>
      <c r="AD12" s="34">
        <f t="shared" si="13"/>
        <v>5512376</v>
      </c>
      <c r="AE12" s="20">
        <v>78082</v>
      </c>
      <c r="AF12" s="34">
        <f t="shared" si="14"/>
        <v>534000</v>
      </c>
      <c r="AG12" s="20">
        <v>1995513</v>
      </c>
      <c r="AH12" s="34">
        <f t="shared" si="15"/>
        <v>8829000</v>
      </c>
      <c r="AI12" s="20">
        <v>2811280</v>
      </c>
      <c r="AJ12" s="34">
        <f t="shared" si="16"/>
        <v>8623</v>
      </c>
      <c r="AK12" s="20">
        <v>12565</v>
      </c>
      <c r="AL12" s="34">
        <f t="shared" si="17"/>
        <v>-13000</v>
      </c>
      <c r="AM12" s="20">
        <v>720</v>
      </c>
      <c r="AN12" s="34">
        <f t="shared" si="18"/>
        <v>0</v>
      </c>
      <c r="AO12" s="20">
        <v>7419</v>
      </c>
      <c r="AP12" s="34">
        <f t="shared" si="19"/>
        <v>630</v>
      </c>
      <c r="AQ12" s="14"/>
      <c r="AR12" s="58">
        <v>43520</v>
      </c>
      <c r="AS12" s="20">
        <v>9285</v>
      </c>
      <c r="AT12" s="34">
        <f t="shared" si="20"/>
        <v>145</v>
      </c>
      <c r="AU12" s="14"/>
      <c r="AV12" s="20">
        <v>12095536</v>
      </c>
      <c r="AW12" s="34">
        <f t="shared" si="21"/>
        <v>61390</v>
      </c>
      <c r="AX12" s="20">
        <v>3171080</v>
      </c>
      <c r="AY12" s="34">
        <f t="shared" si="22"/>
        <v>700</v>
      </c>
      <c r="AZ12" s="34">
        <f t="shared" si="23"/>
        <v>60690</v>
      </c>
      <c r="BA12" s="20">
        <v>6634200</v>
      </c>
      <c r="BB12" s="34">
        <f t="shared" si="24"/>
        <v>8100</v>
      </c>
      <c r="BC12" s="20">
        <v>3660400</v>
      </c>
      <c r="BD12" s="34">
        <f t="shared" si="25"/>
        <v>300</v>
      </c>
      <c r="BE12" s="20">
        <v>28197693</v>
      </c>
      <c r="BF12" s="34">
        <f t="shared" si="26"/>
        <v>144614</v>
      </c>
      <c r="BI12" s="19">
        <f t="shared" si="0"/>
        <v>31145811</v>
      </c>
      <c r="BN12" s="19">
        <f t="shared" si="1"/>
        <v>3554363</v>
      </c>
      <c r="BR12" s="19">
        <f t="shared" si="2"/>
        <v>517808</v>
      </c>
      <c r="BV12" s="19">
        <f t="shared" si="3"/>
        <v>770201</v>
      </c>
      <c r="CB12" s="14"/>
      <c r="CC12" s="19">
        <f t="shared" si="27"/>
        <v>6634200</v>
      </c>
      <c r="CI12" s="19">
        <f t="shared" si="28"/>
        <v>12095536</v>
      </c>
      <c r="CN12" s="19">
        <f t="shared" si="29"/>
        <v>9285</v>
      </c>
      <c r="CR12" s="19">
        <f t="shared" si="30"/>
        <v>3660400</v>
      </c>
      <c r="CW12" s="19">
        <f t="shared" si="31"/>
        <v>28197693</v>
      </c>
    </row>
    <row r="13" spans="2:114">
      <c r="B13" s="58">
        <v>43524</v>
      </c>
      <c r="C13" s="205">
        <v>31200800</v>
      </c>
      <c r="D13" s="205"/>
      <c r="E13" s="34">
        <f t="shared" si="37"/>
        <v>549890</v>
      </c>
      <c r="F13" s="205">
        <v>3558805</v>
      </c>
      <c r="G13" s="205"/>
      <c r="H13" s="34">
        <f t="shared" si="38"/>
        <v>44420</v>
      </c>
      <c r="I13" s="205">
        <v>148330</v>
      </c>
      <c r="J13" s="205"/>
      <c r="K13" s="34">
        <f t="shared" si="6"/>
        <v>6700</v>
      </c>
      <c r="L13" s="205">
        <v>226078</v>
      </c>
      <c r="M13" s="205"/>
      <c r="N13" s="34">
        <f t="shared" si="7"/>
        <v>421000</v>
      </c>
      <c r="O13" s="205">
        <v>677</v>
      </c>
      <c r="P13" s="205"/>
      <c r="Q13" s="34">
        <f t="shared" si="8"/>
        <v>0</v>
      </c>
      <c r="R13" s="35"/>
      <c r="S13" s="205">
        <v>518969</v>
      </c>
      <c r="T13" s="205"/>
      <c r="U13" s="34">
        <f t="shared" si="9"/>
        <v>116100</v>
      </c>
      <c r="V13" s="205">
        <v>774140</v>
      </c>
      <c r="W13" s="205"/>
      <c r="X13" s="34">
        <f t="shared" si="10"/>
        <v>393900</v>
      </c>
      <c r="Y13" s="36">
        <f t="shared" si="11"/>
        <v>510000</v>
      </c>
      <c r="Z13" s="17"/>
      <c r="AA13" s="20">
        <v>35615772</v>
      </c>
      <c r="AB13" s="34">
        <f t="shared" si="12"/>
        <v>96000</v>
      </c>
      <c r="AC13" s="20">
        <v>910847241</v>
      </c>
      <c r="AD13" s="34">
        <f t="shared" si="13"/>
        <v>2069313</v>
      </c>
      <c r="AE13" s="20">
        <v>78405</v>
      </c>
      <c r="AF13" s="34">
        <f t="shared" si="14"/>
        <v>323000</v>
      </c>
      <c r="AG13" s="20">
        <v>2001207</v>
      </c>
      <c r="AH13" s="34">
        <f t="shared" si="15"/>
        <v>5694000</v>
      </c>
      <c r="AI13" s="20">
        <v>2815579</v>
      </c>
      <c r="AJ13" s="34">
        <f t="shared" si="16"/>
        <v>4299</v>
      </c>
      <c r="AK13" s="20">
        <v>12665</v>
      </c>
      <c r="AL13" s="34">
        <f t="shared" si="17"/>
        <v>100000</v>
      </c>
      <c r="AM13" s="20">
        <v>720</v>
      </c>
      <c r="AN13" s="34">
        <f t="shared" si="18"/>
        <v>0</v>
      </c>
      <c r="AO13" s="20">
        <v>7441</v>
      </c>
      <c r="AP13" s="34">
        <f t="shared" si="19"/>
        <v>220</v>
      </c>
      <c r="AQ13" s="14"/>
      <c r="AR13" s="58">
        <v>43524</v>
      </c>
      <c r="AS13" s="20">
        <v>9336</v>
      </c>
      <c r="AT13" s="34">
        <f t="shared" si="20"/>
        <v>51</v>
      </c>
      <c r="AU13" s="14"/>
      <c r="AV13" s="20">
        <v>12121241</v>
      </c>
      <c r="AW13" s="34">
        <f t="shared" si="21"/>
        <v>25705</v>
      </c>
      <c r="AX13" s="20">
        <v>3171380</v>
      </c>
      <c r="AY13" s="34">
        <f t="shared" si="22"/>
        <v>300</v>
      </c>
      <c r="AZ13" s="34">
        <f t="shared" si="23"/>
        <v>25405</v>
      </c>
      <c r="BA13" s="20">
        <v>6636200</v>
      </c>
      <c r="BB13" s="34">
        <f t="shared" si="24"/>
        <v>2000</v>
      </c>
      <c r="BC13" s="20">
        <v>3660600</v>
      </c>
      <c r="BD13" s="34">
        <f t="shared" si="25"/>
        <v>200</v>
      </c>
      <c r="BE13" s="20">
        <v>28258893</v>
      </c>
      <c r="BF13" s="34">
        <f t="shared" si="26"/>
        <v>61200</v>
      </c>
      <c r="BI13" s="19">
        <f t="shared" si="0"/>
        <v>31200800</v>
      </c>
      <c r="BJ13" s="20">
        <v>310899</v>
      </c>
      <c r="BK13" s="19">
        <f>SUM(BJ13-BJ7)</f>
        <v>4608</v>
      </c>
      <c r="BL13" s="59">
        <f>SUM(BK13*1.0766)+1986.71</f>
        <v>6947.6827999999996</v>
      </c>
      <c r="BM13" s="75">
        <v>26247.200000000001</v>
      </c>
      <c r="BN13" s="19">
        <f t="shared" si="1"/>
        <v>3558805</v>
      </c>
      <c r="BO13" s="20">
        <v>35543</v>
      </c>
      <c r="BP13" s="19">
        <f>SUM(BO13-BO7)</f>
        <v>584</v>
      </c>
      <c r="BQ13" s="59">
        <f>SUM(BP13*0.8486)+1639.2</f>
        <v>2134.7824000000001</v>
      </c>
      <c r="BR13" s="19">
        <f t="shared" si="2"/>
        <v>518969</v>
      </c>
      <c r="BS13" s="20">
        <v>518974</v>
      </c>
      <c r="BT13" s="20">
        <v>59325.82</v>
      </c>
      <c r="BU13" s="87">
        <v>41908.86</v>
      </c>
      <c r="BV13" s="19">
        <f t="shared" si="3"/>
        <v>774140</v>
      </c>
      <c r="BW13" s="88">
        <v>77414</v>
      </c>
      <c r="BX13" s="39">
        <v>3099.53</v>
      </c>
      <c r="BY13" s="87">
        <v>2198.58</v>
      </c>
      <c r="BZ13" s="98">
        <f t="shared" ref="BZ13" si="39">SUM(BT13+BX13)</f>
        <v>62425.35</v>
      </c>
      <c r="CA13" s="87">
        <v>13626.18</v>
      </c>
      <c r="CB13" s="14"/>
      <c r="CC13" s="19">
        <f t="shared" si="27"/>
        <v>6636200</v>
      </c>
      <c r="CD13" s="20">
        <v>6634</v>
      </c>
      <c r="CE13" s="19">
        <f>SUM(CD13-CD7)</f>
        <v>22</v>
      </c>
      <c r="CF13" s="59">
        <f>SUM(CE13*1.0766)+124.09</f>
        <v>147.77520000000001</v>
      </c>
      <c r="CG13" s="75">
        <v>132.44</v>
      </c>
      <c r="CH13" s="75">
        <v>1485.22</v>
      </c>
      <c r="CI13" s="19">
        <f t="shared" si="28"/>
        <v>12121241</v>
      </c>
      <c r="CJ13" s="20">
        <v>12096</v>
      </c>
      <c r="CK13" s="19">
        <f>SUM(CJ13-CJ7)</f>
        <v>309</v>
      </c>
      <c r="CL13" s="59">
        <f>SUM(CK13*1.0766+198.63)</f>
        <v>531.29939999999999</v>
      </c>
      <c r="CM13" s="91">
        <v>1836.1</v>
      </c>
      <c r="CN13" s="19">
        <f t="shared" si="29"/>
        <v>9336</v>
      </c>
      <c r="CO13" s="20">
        <v>9343</v>
      </c>
      <c r="CP13" s="20">
        <v>1666.93</v>
      </c>
      <c r="CQ13" s="90">
        <v>1182.4000000000001</v>
      </c>
      <c r="CR13" s="19">
        <f t="shared" si="30"/>
        <v>3660600</v>
      </c>
      <c r="CS13" s="20">
        <v>3660</v>
      </c>
      <c r="CT13" s="19">
        <f>SUM(CS13-CS7)</f>
        <v>1</v>
      </c>
      <c r="CU13" s="59">
        <f>SUM(CT13*1.0766)+198.63</f>
        <v>199.70660000000001</v>
      </c>
      <c r="CW13" s="19">
        <f t="shared" si="31"/>
        <v>28258893</v>
      </c>
      <c r="CX13" s="20">
        <v>281612</v>
      </c>
      <c r="CY13" s="19">
        <f>SUM(CX13-CX7)</f>
        <v>2359</v>
      </c>
      <c r="CZ13" s="59">
        <f>SUM(CY13*0.8486)+1024.42</f>
        <v>3026.2674000000002</v>
      </c>
      <c r="DC13" s="20">
        <f>SUM(E9:E13)</f>
        <v>4592050</v>
      </c>
      <c r="DD13" s="75" t="e">
        <f>SUM(BL13+CF13+CL13+#REF!+CU13)</f>
        <v>#REF!</v>
      </c>
      <c r="DE13" s="75">
        <f>SUM(BQ13+CZ13)</f>
        <v>5161.0498000000007</v>
      </c>
      <c r="DF13" s="75">
        <f>SUM(BM13+CG13+CV13)</f>
        <v>26379.64</v>
      </c>
      <c r="DG13" s="75" t="e">
        <f>SUM(DD13:DF13)</f>
        <v>#REF!</v>
      </c>
      <c r="DI13" s="92">
        <f>SUM(BU13+CQ13+BY13)</f>
        <v>45289.840000000004</v>
      </c>
      <c r="DJ13" s="92">
        <f>SUM(CA13+CH13)</f>
        <v>15111.4</v>
      </c>
    </row>
    <row r="14" spans="2:114">
      <c r="B14" s="58">
        <v>43528</v>
      </c>
      <c r="C14" s="205">
        <v>31289935</v>
      </c>
      <c r="D14" s="205"/>
      <c r="E14" s="34">
        <f t="shared" ref="E14" si="40">SUM(C14-C13)*10</f>
        <v>891350</v>
      </c>
      <c r="F14" s="205">
        <v>3565653</v>
      </c>
      <c r="G14" s="205"/>
      <c r="H14" s="34">
        <f t="shared" ref="H14" si="41">SUM(F14-F13)*10</f>
        <v>68480</v>
      </c>
      <c r="I14" s="205">
        <v>148410</v>
      </c>
      <c r="J14" s="205"/>
      <c r="K14" s="34">
        <f t="shared" si="6"/>
        <v>800</v>
      </c>
      <c r="L14" s="205">
        <v>226585</v>
      </c>
      <c r="M14" s="205"/>
      <c r="N14" s="34">
        <f t="shared" si="7"/>
        <v>507000</v>
      </c>
      <c r="O14" s="205">
        <v>677</v>
      </c>
      <c r="P14" s="205"/>
      <c r="Q14" s="34">
        <f t="shared" si="8"/>
        <v>0</v>
      </c>
      <c r="R14" s="35"/>
      <c r="S14" s="205">
        <v>520187</v>
      </c>
      <c r="T14" s="205"/>
      <c r="U14" s="34">
        <f t="shared" si="9"/>
        <v>121800</v>
      </c>
      <c r="V14" s="205">
        <v>777128</v>
      </c>
      <c r="W14" s="205"/>
      <c r="X14" s="34">
        <f t="shared" si="10"/>
        <v>298800</v>
      </c>
      <c r="Y14" s="36">
        <f t="shared" si="11"/>
        <v>420600</v>
      </c>
      <c r="Z14" s="17"/>
      <c r="AA14" s="20">
        <v>35615900</v>
      </c>
      <c r="AB14" s="34">
        <f t="shared" si="12"/>
        <v>128000</v>
      </c>
      <c r="AC14" s="20">
        <v>913472460</v>
      </c>
      <c r="AD14" s="34">
        <f t="shared" si="13"/>
        <v>2625219</v>
      </c>
      <c r="AE14" s="20">
        <v>78730</v>
      </c>
      <c r="AF14" s="34">
        <f t="shared" si="14"/>
        <v>325000</v>
      </c>
      <c r="AG14" s="20">
        <v>2006492</v>
      </c>
      <c r="AH14" s="34">
        <f t="shared" si="15"/>
        <v>5285000</v>
      </c>
      <c r="AI14" s="20">
        <v>2821132</v>
      </c>
      <c r="AJ14" s="34">
        <f t="shared" si="16"/>
        <v>5553</v>
      </c>
      <c r="AK14" s="20">
        <v>12686</v>
      </c>
      <c r="AL14" s="34">
        <f t="shared" si="17"/>
        <v>21000</v>
      </c>
      <c r="AM14" s="20">
        <v>720</v>
      </c>
      <c r="AN14" s="34">
        <f t="shared" si="18"/>
        <v>0</v>
      </c>
      <c r="AO14" s="20">
        <v>7465</v>
      </c>
      <c r="AP14" s="34">
        <f t="shared" si="19"/>
        <v>240</v>
      </c>
      <c r="AQ14" s="14"/>
      <c r="AR14" s="58">
        <f t="shared" ref="AR14:AR61" si="42">B14</f>
        <v>43528</v>
      </c>
      <c r="AS14" s="20">
        <v>9419</v>
      </c>
      <c r="AT14" s="34">
        <f t="shared" si="20"/>
        <v>83</v>
      </c>
      <c r="AU14" s="14"/>
      <c r="AV14" s="20">
        <v>12156422</v>
      </c>
      <c r="AW14" s="34">
        <f t="shared" si="21"/>
        <v>35181</v>
      </c>
      <c r="AX14" s="20">
        <v>3171800</v>
      </c>
      <c r="AY14" s="34">
        <f t="shared" si="22"/>
        <v>420</v>
      </c>
      <c r="AZ14" s="34">
        <f t="shared" si="23"/>
        <v>34761</v>
      </c>
      <c r="BA14" s="20">
        <v>6637400</v>
      </c>
      <c r="BB14" s="34">
        <f t="shared" si="24"/>
        <v>1200</v>
      </c>
      <c r="BC14" s="20">
        <v>3660800</v>
      </c>
      <c r="BD14" s="34">
        <f t="shared" si="25"/>
        <v>200</v>
      </c>
      <c r="BE14" s="20">
        <v>28364864</v>
      </c>
      <c r="BF14" s="34">
        <f t="shared" si="26"/>
        <v>105971</v>
      </c>
      <c r="BI14" s="19">
        <f t="shared" si="0"/>
        <v>31289935</v>
      </c>
      <c r="BN14" s="19">
        <f t="shared" si="1"/>
        <v>3565653</v>
      </c>
      <c r="BR14" s="19">
        <f t="shared" si="2"/>
        <v>520187</v>
      </c>
      <c r="BV14" s="19">
        <f t="shared" si="3"/>
        <v>777128</v>
      </c>
      <c r="CB14" s="14"/>
      <c r="CC14" s="19">
        <f t="shared" si="27"/>
        <v>6637400</v>
      </c>
      <c r="CI14" s="19">
        <f t="shared" si="28"/>
        <v>12156422</v>
      </c>
      <c r="CN14" s="19">
        <f t="shared" si="29"/>
        <v>9419</v>
      </c>
      <c r="CR14" s="19">
        <f t="shared" si="30"/>
        <v>3660800</v>
      </c>
      <c r="CW14" s="19">
        <f t="shared" si="31"/>
        <v>28364864</v>
      </c>
    </row>
    <row r="15" spans="2:114">
      <c r="B15" s="58">
        <v>43534</v>
      </c>
      <c r="C15" s="205">
        <v>31408038</v>
      </c>
      <c r="D15" s="205"/>
      <c r="E15" s="34">
        <f t="shared" ref="E15:E18" si="43">SUM(C15-C14)*10</f>
        <v>1181030</v>
      </c>
      <c r="F15" s="205">
        <v>3581018</v>
      </c>
      <c r="G15" s="205"/>
      <c r="H15" s="34">
        <f t="shared" ref="H15:H18" si="44">SUM(F15-F14)*10</f>
        <v>153650</v>
      </c>
      <c r="I15" s="205">
        <v>148540</v>
      </c>
      <c r="J15" s="205"/>
      <c r="K15" s="34">
        <f t="shared" si="6"/>
        <v>1300</v>
      </c>
      <c r="L15" s="205">
        <v>227474</v>
      </c>
      <c r="M15" s="205"/>
      <c r="N15" s="34">
        <f t="shared" si="7"/>
        <v>889000</v>
      </c>
      <c r="O15" s="205">
        <v>677</v>
      </c>
      <c r="P15" s="205"/>
      <c r="Q15" s="34">
        <f t="shared" si="8"/>
        <v>0</v>
      </c>
      <c r="R15" s="35"/>
      <c r="S15" s="205">
        <v>522634</v>
      </c>
      <c r="T15" s="205"/>
      <c r="U15" s="34">
        <f t="shared" si="9"/>
        <v>244700</v>
      </c>
      <c r="V15" s="205">
        <v>791980</v>
      </c>
      <c r="W15" s="205"/>
      <c r="X15" s="34">
        <f t="shared" si="10"/>
        <v>1485200</v>
      </c>
      <c r="Y15" s="36">
        <f t="shared" si="11"/>
        <v>1729900</v>
      </c>
      <c r="Z15" s="17"/>
      <c r="AA15" s="20">
        <v>35616052</v>
      </c>
      <c r="AB15" s="34">
        <f t="shared" si="12"/>
        <v>152000</v>
      </c>
      <c r="AC15" s="20">
        <v>917235757</v>
      </c>
      <c r="AD15" s="34">
        <f t="shared" si="13"/>
        <v>3763297</v>
      </c>
      <c r="AE15" s="20">
        <v>79100</v>
      </c>
      <c r="AF15" s="34">
        <f t="shared" si="14"/>
        <v>370000</v>
      </c>
      <c r="AG15" s="20">
        <v>2016905</v>
      </c>
      <c r="AH15" s="34">
        <f t="shared" si="15"/>
        <v>10413000</v>
      </c>
      <c r="AI15" s="20">
        <v>2829562</v>
      </c>
      <c r="AJ15" s="34">
        <f t="shared" si="16"/>
        <v>8430</v>
      </c>
      <c r="AK15" s="20">
        <v>12781</v>
      </c>
      <c r="AL15" s="34">
        <f t="shared" si="17"/>
        <v>95000</v>
      </c>
      <c r="AM15" s="20">
        <v>720</v>
      </c>
      <c r="AN15" s="34">
        <f t="shared" si="18"/>
        <v>0</v>
      </c>
      <c r="AO15" s="20">
        <v>7510</v>
      </c>
      <c r="AP15" s="34">
        <f t="shared" si="19"/>
        <v>450</v>
      </c>
      <c r="AQ15" s="14"/>
      <c r="AR15" s="58">
        <f t="shared" si="42"/>
        <v>43534</v>
      </c>
      <c r="AS15" s="20">
        <v>9566</v>
      </c>
      <c r="AT15" s="34">
        <f t="shared" si="20"/>
        <v>147</v>
      </c>
      <c r="AU15" s="14"/>
      <c r="AV15" s="20">
        <v>12219926</v>
      </c>
      <c r="AW15" s="34">
        <f t="shared" si="21"/>
        <v>63504</v>
      </c>
      <c r="AX15" s="20">
        <v>3172540</v>
      </c>
      <c r="AY15" s="34">
        <f t="shared" si="22"/>
        <v>740</v>
      </c>
      <c r="AZ15" s="34">
        <f t="shared" si="23"/>
        <v>62764</v>
      </c>
      <c r="BA15" s="20">
        <v>6639400</v>
      </c>
      <c r="BB15" s="34">
        <f t="shared" si="24"/>
        <v>2000</v>
      </c>
      <c r="BC15" s="20">
        <v>3661100</v>
      </c>
      <c r="BD15" s="34">
        <f t="shared" si="25"/>
        <v>300</v>
      </c>
      <c r="BE15" s="20">
        <v>28598825</v>
      </c>
      <c r="BF15" s="34">
        <f t="shared" si="26"/>
        <v>233961</v>
      </c>
      <c r="BI15" s="19">
        <f t="shared" si="0"/>
        <v>31408038</v>
      </c>
      <c r="BN15" s="19">
        <f t="shared" si="1"/>
        <v>3581018</v>
      </c>
      <c r="BR15" s="19">
        <f t="shared" si="2"/>
        <v>522634</v>
      </c>
      <c r="BV15" s="19">
        <f t="shared" si="3"/>
        <v>791980</v>
      </c>
      <c r="CB15" s="14"/>
      <c r="CC15" s="19">
        <f t="shared" si="27"/>
        <v>6639400</v>
      </c>
      <c r="CI15" s="19">
        <f t="shared" si="28"/>
        <v>12219926</v>
      </c>
      <c r="CN15" s="19">
        <f t="shared" si="29"/>
        <v>9566</v>
      </c>
      <c r="CR15" s="19">
        <f t="shared" si="30"/>
        <v>3661100</v>
      </c>
      <c r="CW15" s="19">
        <f t="shared" si="31"/>
        <v>28598825</v>
      </c>
    </row>
    <row r="16" spans="2:114">
      <c r="B16" s="58">
        <v>43541</v>
      </c>
      <c r="C16" s="205">
        <v>31524956</v>
      </c>
      <c r="D16" s="205"/>
      <c r="E16" s="34">
        <f t="shared" si="43"/>
        <v>1169180</v>
      </c>
      <c r="F16" s="205">
        <v>3599486</v>
      </c>
      <c r="G16" s="205"/>
      <c r="H16" s="34">
        <f t="shared" si="44"/>
        <v>184680</v>
      </c>
      <c r="I16" s="205">
        <v>148690</v>
      </c>
      <c r="J16" s="205"/>
      <c r="K16" s="34">
        <f t="shared" si="6"/>
        <v>1500</v>
      </c>
      <c r="L16" s="205">
        <v>228384</v>
      </c>
      <c r="M16" s="205"/>
      <c r="N16" s="34">
        <f t="shared" si="7"/>
        <v>910000</v>
      </c>
      <c r="O16" s="205">
        <v>91</v>
      </c>
      <c r="P16" s="205"/>
      <c r="Q16" s="34">
        <v>0</v>
      </c>
      <c r="R16" s="35"/>
      <c r="S16" s="205">
        <v>524938</v>
      </c>
      <c r="T16" s="205"/>
      <c r="U16" s="34">
        <f t="shared" si="9"/>
        <v>230400</v>
      </c>
      <c r="V16" s="205">
        <v>803270</v>
      </c>
      <c r="W16" s="205"/>
      <c r="X16" s="34">
        <f t="shared" si="10"/>
        <v>1129000</v>
      </c>
      <c r="Y16" s="36">
        <f t="shared" si="11"/>
        <v>1359400</v>
      </c>
      <c r="Z16" s="17"/>
      <c r="AA16" s="20">
        <v>35616271</v>
      </c>
      <c r="AB16" s="34">
        <f t="shared" si="12"/>
        <v>219000</v>
      </c>
      <c r="AC16" s="20">
        <v>920937389</v>
      </c>
      <c r="AD16" s="34">
        <f t="shared" si="13"/>
        <v>3701632</v>
      </c>
      <c r="AE16" s="20">
        <v>79746</v>
      </c>
      <c r="AF16" s="34">
        <f t="shared" si="14"/>
        <v>646000</v>
      </c>
      <c r="AG16" s="20">
        <v>2026963</v>
      </c>
      <c r="AH16" s="34">
        <f t="shared" si="15"/>
        <v>10058000</v>
      </c>
      <c r="AI16" s="20">
        <v>2839424</v>
      </c>
      <c r="AJ16" s="34">
        <f t="shared" si="16"/>
        <v>9862</v>
      </c>
      <c r="AK16" s="20">
        <v>12839</v>
      </c>
      <c r="AL16" s="34">
        <f t="shared" si="17"/>
        <v>58000</v>
      </c>
      <c r="AM16" s="20">
        <v>720</v>
      </c>
      <c r="AN16" s="34">
        <f t="shared" si="18"/>
        <v>0</v>
      </c>
      <c r="AO16" s="20">
        <v>7550</v>
      </c>
      <c r="AP16" s="34">
        <f t="shared" si="19"/>
        <v>400</v>
      </c>
      <c r="AQ16" s="14"/>
      <c r="AR16" s="58">
        <f t="shared" si="42"/>
        <v>43541</v>
      </c>
      <c r="AS16" s="20">
        <v>9719</v>
      </c>
      <c r="AT16" s="34">
        <f t="shared" si="20"/>
        <v>153</v>
      </c>
      <c r="AU16" s="14"/>
      <c r="AV16" s="20">
        <v>12281529</v>
      </c>
      <c r="AW16" s="34">
        <f t="shared" si="21"/>
        <v>61603</v>
      </c>
      <c r="AX16" s="20">
        <v>3173220</v>
      </c>
      <c r="AY16" s="34">
        <f t="shared" si="22"/>
        <v>680</v>
      </c>
      <c r="AZ16" s="34">
        <f t="shared" si="23"/>
        <v>60923</v>
      </c>
      <c r="BA16" s="20">
        <v>6642300</v>
      </c>
      <c r="BB16" s="34">
        <f t="shared" si="24"/>
        <v>2900</v>
      </c>
      <c r="BC16" s="20">
        <v>3663200</v>
      </c>
      <c r="BD16" s="34">
        <f t="shared" si="25"/>
        <v>2100</v>
      </c>
      <c r="BE16" s="20">
        <v>28831119</v>
      </c>
      <c r="BF16" s="34">
        <f t="shared" si="26"/>
        <v>232294</v>
      </c>
      <c r="BI16" s="19">
        <f t="shared" si="0"/>
        <v>31524956</v>
      </c>
      <c r="BN16" s="19">
        <f t="shared" si="1"/>
        <v>3599486</v>
      </c>
      <c r="BR16" s="19">
        <f t="shared" si="2"/>
        <v>524938</v>
      </c>
      <c r="BV16" s="19">
        <f t="shared" si="3"/>
        <v>803270</v>
      </c>
      <c r="CB16" s="14"/>
      <c r="CC16" s="19">
        <f t="shared" si="27"/>
        <v>6642300</v>
      </c>
      <c r="CI16" s="19">
        <f t="shared" si="28"/>
        <v>12281529</v>
      </c>
      <c r="CN16" s="19">
        <f t="shared" si="29"/>
        <v>9719</v>
      </c>
      <c r="CR16" s="19">
        <f t="shared" si="30"/>
        <v>3663200</v>
      </c>
      <c r="CW16" s="19">
        <f t="shared" si="31"/>
        <v>28831119</v>
      </c>
    </row>
    <row r="17" spans="2:114">
      <c r="B17" s="58">
        <v>43548</v>
      </c>
      <c r="C17" s="205">
        <v>31648436</v>
      </c>
      <c r="D17" s="205"/>
      <c r="E17" s="34">
        <f t="shared" si="43"/>
        <v>1234800</v>
      </c>
      <c r="F17" s="205">
        <v>3614578</v>
      </c>
      <c r="G17" s="205"/>
      <c r="H17" s="34">
        <f t="shared" si="44"/>
        <v>150920</v>
      </c>
      <c r="I17" s="205">
        <v>148830</v>
      </c>
      <c r="J17" s="205"/>
      <c r="K17" s="34">
        <f t="shared" si="6"/>
        <v>1400</v>
      </c>
      <c r="L17" s="205">
        <v>229309</v>
      </c>
      <c r="M17" s="205"/>
      <c r="N17" s="34">
        <f t="shared" si="7"/>
        <v>925000</v>
      </c>
      <c r="O17" s="205">
        <v>340</v>
      </c>
      <c r="P17" s="205"/>
      <c r="Q17" s="34">
        <f t="shared" si="8"/>
        <v>24900</v>
      </c>
      <c r="R17" s="35"/>
      <c r="S17" s="205">
        <v>527393</v>
      </c>
      <c r="T17" s="205"/>
      <c r="U17" s="34">
        <f t="shared" si="9"/>
        <v>245500</v>
      </c>
      <c r="V17" s="205">
        <v>819720</v>
      </c>
      <c r="W17" s="205"/>
      <c r="X17" s="34">
        <f t="shared" si="10"/>
        <v>1645000</v>
      </c>
      <c r="Y17" s="36">
        <f t="shared" si="11"/>
        <v>1890500</v>
      </c>
      <c r="Z17" s="17"/>
      <c r="AA17" s="20">
        <v>35616414</v>
      </c>
      <c r="AB17" s="34">
        <f t="shared" si="12"/>
        <v>143000</v>
      </c>
      <c r="AC17" s="20">
        <v>924283790</v>
      </c>
      <c r="AD17" s="34">
        <f t="shared" si="13"/>
        <v>3346401</v>
      </c>
      <c r="AE17" s="20">
        <v>80469</v>
      </c>
      <c r="AF17" s="34">
        <f t="shared" si="14"/>
        <v>723000</v>
      </c>
      <c r="AG17" s="20">
        <v>2039047</v>
      </c>
      <c r="AH17" s="34">
        <f t="shared" si="15"/>
        <v>12084000</v>
      </c>
      <c r="AI17" s="20">
        <v>2849887</v>
      </c>
      <c r="AJ17" s="34">
        <f t="shared" si="16"/>
        <v>10463</v>
      </c>
      <c r="AK17" s="20">
        <v>12914</v>
      </c>
      <c r="AL17" s="34">
        <f t="shared" si="17"/>
        <v>75000</v>
      </c>
      <c r="AM17" s="20">
        <v>720</v>
      </c>
      <c r="AN17" s="34">
        <f t="shared" si="18"/>
        <v>0</v>
      </c>
      <c r="AO17" s="20">
        <v>7590</v>
      </c>
      <c r="AP17" s="34">
        <f t="shared" si="19"/>
        <v>400</v>
      </c>
      <c r="AQ17" s="14"/>
      <c r="AR17" s="58">
        <f t="shared" si="42"/>
        <v>43548</v>
      </c>
      <c r="AS17" s="20">
        <v>9835</v>
      </c>
      <c r="AT17" s="34">
        <f t="shared" si="20"/>
        <v>116</v>
      </c>
      <c r="AU17" s="14"/>
      <c r="AV17" s="20">
        <v>12342983</v>
      </c>
      <c r="AW17" s="34">
        <f t="shared" si="21"/>
        <v>61454</v>
      </c>
      <c r="AX17" s="20">
        <v>3173960</v>
      </c>
      <c r="AY17" s="34">
        <f t="shared" si="22"/>
        <v>740</v>
      </c>
      <c r="AZ17" s="34">
        <f t="shared" si="23"/>
        <v>60714</v>
      </c>
      <c r="BA17" s="20">
        <v>6645900</v>
      </c>
      <c r="BB17" s="34">
        <f t="shared" si="24"/>
        <v>3600</v>
      </c>
      <c r="BC17" s="20">
        <v>3663600</v>
      </c>
      <c r="BD17" s="34">
        <f t="shared" si="25"/>
        <v>400</v>
      </c>
      <c r="BE17" s="20">
        <v>29043813</v>
      </c>
      <c r="BF17" s="34">
        <f t="shared" si="26"/>
        <v>212694</v>
      </c>
      <c r="BI17" s="19">
        <f t="shared" si="0"/>
        <v>31648436</v>
      </c>
      <c r="BN17" s="19">
        <f t="shared" si="1"/>
        <v>3614578</v>
      </c>
      <c r="BR17" s="19">
        <f t="shared" si="2"/>
        <v>527393</v>
      </c>
      <c r="BV17" s="19">
        <f t="shared" si="3"/>
        <v>819720</v>
      </c>
      <c r="CB17" s="14"/>
      <c r="CC17" s="19">
        <f t="shared" si="27"/>
        <v>6645900</v>
      </c>
      <c r="CI17" s="19">
        <f t="shared" si="28"/>
        <v>12342983</v>
      </c>
      <c r="CN17" s="19">
        <f t="shared" si="29"/>
        <v>9835</v>
      </c>
      <c r="CR17" s="19">
        <f t="shared" si="30"/>
        <v>3663600</v>
      </c>
      <c r="CW17" s="19">
        <f t="shared" si="31"/>
        <v>29043813</v>
      </c>
    </row>
    <row r="18" spans="2:114">
      <c r="B18" s="58">
        <v>43556</v>
      </c>
      <c r="C18" s="205">
        <v>31775119</v>
      </c>
      <c r="D18" s="205"/>
      <c r="E18" s="34">
        <f t="shared" si="43"/>
        <v>1266830</v>
      </c>
      <c r="F18" s="205">
        <v>3629038</v>
      </c>
      <c r="G18" s="205"/>
      <c r="H18" s="34">
        <f t="shared" si="44"/>
        <v>144600</v>
      </c>
      <c r="I18" s="205">
        <v>148970</v>
      </c>
      <c r="J18" s="205"/>
      <c r="K18" s="34">
        <f t="shared" si="6"/>
        <v>1400</v>
      </c>
      <c r="L18" s="205">
        <v>230295</v>
      </c>
      <c r="M18" s="205"/>
      <c r="N18" s="34">
        <f t="shared" si="7"/>
        <v>986000</v>
      </c>
      <c r="O18" s="205">
        <v>595</v>
      </c>
      <c r="P18" s="205"/>
      <c r="Q18" s="34">
        <f t="shared" si="8"/>
        <v>25500</v>
      </c>
      <c r="R18" s="35"/>
      <c r="S18" s="205">
        <v>529812</v>
      </c>
      <c r="T18" s="205"/>
      <c r="U18" s="34">
        <f t="shared" si="9"/>
        <v>241900</v>
      </c>
      <c r="V18" s="205">
        <v>832080</v>
      </c>
      <c r="W18" s="205"/>
      <c r="X18" s="34">
        <f t="shared" si="10"/>
        <v>1236000</v>
      </c>
      <c r="Y18" s="36">
        <f t="shared" si="11"/>
        <v>1477900</v>
      </c>
      <c r="Z18" s="17"/>
      <c r="AA18" s="20">
        <v>35616609</v>
      </c>
      <c r="AB18" s="34">
        <f t="shared" si="12"/>
        <v>195000</v>
      </c>
      <c r="AC18" s="20">
        <v>928383999</v>
      </c>
      <c r="AD18" s="34">
        <f t="shared" si="13"/>
        <v>4100209</v>
      </c>
      <c r="AE18" s="20">
        <v>80856</v>
      </c>
      <c r="AF18" s="34">
        <f t="shared" si="14"/>
        <v>387000</v>
      </c>
      <c r="AG18" s="20">
        <v>2049289</v>
      </c>
      <c r="AH18" s="34">
        <f t="shared" si="15"/>
        <v>10242000</v>
      </c>
      <c r="AI18" s="20">
        <v>2859217</v>
      </c>
      <c r="AJ18" s="34">
        <f t="shared" si="16"/>
        <v>9330</v>
      </c>
      <c r="AK18" s="20">
        <v>12978</v>
      </c>
      <c r="AL18" s="34">
        <f t="shared" si="17"/>
        <v>64000</v>
      </c>
      <c r="AM18" s="20">
        <v>721</v>
      </c>
      <c r="AN18" s="34">
        <f t="shared" si="18"/>
        <v>10</v>
      </c>
      <c r="AO18" s="20">
        <v>7776</v>
      </c>
      <c r="AP18" s="34">
        <f t="shared" si="19"/>
        <v>1860</v>
      </c>
      <c r="AQ18" s="14"/>
      <c r="AR18" s="58">
        <f t="shared" si="42"/>
        <v>43556</v>
      </c>
      <c r="AS18" s="20">
        <v>9968</v>
      </c>
      <c r="AT18" s="34">
        <f t="shared" si="20"/>
        <v>133</v>
      </c>
      <c r="AU18" s="14"/>
      <c r="AV18" s="20">
        <v>12403161</v>
      </c>
      <c r="AW18" s="34">
        <f t="shared" si="21"/>
        <v>60178</v>
      </c>
      <c r="AX18" s="20">
        <v>3174670</v>
      </c>
      <c r="AY18" s="34">
        <f t="shared" si="22"/>
        <v>710</v>
      </c>
      <c r="AZ18" s="34">
        <f t="shared" si="23"/>
        <v>59468</v>
      </c>
      <c r="BA18" s="20">
        <v>6648900</v>
      </c>
      <c r="BB18" s="34">
        <f t="shared" si="24"/>
        <v>3000</v>
      </c>
      <c r="BC18" s="20">
        <v>3663800</v>
      </c>
      <c r="BD18" s="34">
        <f t="shared" si="25"/>
        <v>200</v>
      </c>
      <c r="BE18" s="20">
        <v>29311591</v>
      </c>
      <c r="BF18" s="34">
        <f t="shared" si="26"/>
        <v>267778</v>
      </c>
      <c r="BI18" s="19">
        <f t="shared" si="0"/>
        <v>31775119</v>
      </c>
      <c r="BJ18" s="20">
        <v>316902</v>
      </c>
      <c r="BK18" s="19">
        <f>SUM(BJ18-BJ13)</f>
        <v>6003</v>
      </c>
      <c r="BL18" s="59">
        <f>SUM(BK18*1.0766)+1986.71</f>
        <v>8449.5398000000005</v>
      </c>
      <c r="BM18" s="75">
        <v>32694.62</v>
      </c>
      <c r="BN18" s="19">
        <f t="shared" si="1"/>
        <v>3629038</v>
      </c>
      <c r="BO18" s="20">
        <v>36197</v>
      </c>
      <c r="BP18" s="19">
        <f>SUM(BO18-BO13)</f>
        <v>654</v>
      </c>
      <c r="BQ18" s="59">
        <f>SUM(BP18*0.8486)+1639.2</f>
        <v>2194.1844000000001</v>
      </c>
      <c r="BR18" s="19">
        <f t="shared" si="2"/>
        <v>529812</v>
      </c>
      <c r="BS18" s="20">
        <v>528513</v>
      </c>
      <c r="BT18" s="20">
        <v>47587.21</v>
      </c>
      <c r="BU18" s="87">
        <v>30641.84</v>
      </c>
      <c r="BV18" s="19">
        <f t="shared" si="3"/>
        <v>832080</v>
      </c>
      <c r="BW18" s="88">
        <v>82590</v>
      </c>
      <c r="BX18" s="39">
        <v>2236.8000000000002</v>
      </c>
      <c r="BY18" s="87">
        <v>1445.78</v>
      </c>
      <c r="BZ18" s="98">
        <f t="shared" ref="BZ18" si="45">SUM(BT18+BX18)</f>
        <v>49824.01</v>
      </c>
      <c r="CA18" s="87">
        <v>10151.36</v>
      </c>
      <c r="CB18" s="14"/>
      <c r="CC18" s="19">
        <f t="shared" si="27"/>
        <v>6648900</v>
      </c>
      <c r="CD18" s="20">
        <v>6648</v>
      </c>
      <c r="CE18" s="19">
        <f>SUM(CD18-CD13)</f>
        <v>14</v>
      </c>
      <c r="CF18" s="59">
        <f>SUM(CE18*1.0766)+124.09</f>
        <v>139.16239999999999</v>
      </c>
      <c r="CG18" s="75">
        <v>84.28</v>
      </c>
      <c r="CH18" s="75">
        <v>1208.9000000000001</v>
      </c>
      <c r="CI18" s="19">
        <f t="shared" si="28"/>
        <v>12403161</v>
      </c>
      <c r="CJ18" s="20">
        <v>12336</v>
      </c>
      <c r="CK18" s="19">
        <f>SUM(CJ18-CJ13)</f>
        <v>240</v>
      </c>
      <c r="CL18" s="59">
        <f>SUM(CK18*1.0766+198.63)</f>
        <v>457.01400000000001</v>
      </c>
      <c r="CM18" s="91">
        <v>1426.74</v>
      </c>
      <c r="CN18" s="19">
        <f t="shared" si="29"/>
        <v>9968</v>
      </c>
      <c r="CO18" s="20">
        <v>9900</v>
      </c>
      <c r="CP18" s="20">
        <v>1291.3499999999999</v>
      </c>
      <c r="CQ18" s="90">
        <v>834.76</v>
      </c>
      <c r="CR18" s="19">
        <f t="shared" si="30"/>
        <v>3663800</v>
      </c>
      <c r="CS18" s="20">
        <v>3663</v>
      </c>
      <c r="CT18" s="19">
        <f>SUM(CS18-CS13)</f>
        <v>3</v>
      </c>
      <c r="CU18" s="59">
        <f>SUM(CT18*1.0766)+198.63</f>
        <v>201.85980000000001</v>
      </c>
      <c r="CW18" s="19">
        <f t="shared" si="31"/>
        <v>29311591</v>
      </c>
      <c r="CX18" s="20">
        <v>291684</v>
      </c>
      <c r="CY18" s="19">
        <f>SUM(CX18-CX13)</f>
        <v>10072</v>
      </c>
      <c r="CZ18" s="59">
        <f>SUM(CY18*0.8486)+1024.42</f>
        <v>9571.5192000000006</v>
      </c>
      <c r="DC18" s="20">
        <f>SUM(E14:E18)</f>
        <v>5743190</v>
      </c>
      <c r="DD18" s="75" t="e">
        <f>SUM(BL18+CF18+CL18+#REF!+CU18)</f>
        <v>#REF!</v>
      </c>
      <c r="DE18" s="75">
        <f>SUM(BQ18+CZ18)</f>
        <v>11765.703600000001</v>
      </c>
      <c r="DF18" s="75">
        <f>SUM(BM18+CG18+CV18)</f>
        <v>32778.9</v>
      </c>
      <c r="DG18" s="75" t="e">
        <f>SUM(DD18:DF18)</f>
        <v>#REF!</v>
      </c>
      <c r="DI18" s="92">
        <f>SUM(BU18+CQ18+BY18)</f>
        <v>32922.379999999997</v>
      </c>
      <c r="DJ18" s="92">
        <f>SUM(CA18+CH18)</f>
        <v>11360.26</v>
      </c>
    </row>
    <row r="19" spans="2:114">
      <c r="B19" s="58">
        <v>43563</v>
      </c>
      <c r="C19" s="205">
        <v>31903112</v>
      </c>
      <c r="D19" s="205"/>
      <c r="E19" s="34">
        <f t="shared" ref="E19:E23" si="46">SUM(C19-C18)*10</f>
        <v>1279930</v>
      </c>
      <c r="F19" s="205">
        <v>3643389</v>
      </c>
      <c r="G19" s="205"/>
      <c r="H19" s="34">
        <f t="shared" ref="H19" si="47">SUM(F19-F18)*10</f>
        <v>143510</v>
      </c>
      <c r="I19" s="205">
        <v>149340</v>
      </c>
      <c r="J19" s="205"/>
      <c r="K19" s="34">
        <f t="shared" si="6"/>
        <v>3700</v>
      </c>
      <c r="L19" s="205">
        <v>231248</v>
      </c>
      <c r="M19" s="205"/>
      <c r="N19" s="34">
        <f t="shared" si="7"/>
        <v>953000</v>
      </c>
      <c r="O19" s="205">
        <v>835</v>
      </c>
      <c r="P19" s="205"/>
      <c r="Q19" s="34">
        <f t="shared" si="8"/>
        <v>24000</v>
      </c>
      <c r="R19" s="35"/>
      <c r="S19" s="205">
        <v>532065</v>
      </c>
      <c r="T19" s="205"/>
      <c r="U19" s="34">
        <f t="shared" si="9"/>
        <v>225300</v>
      </c>
      <c r="V19" s="205">
        <v>841880</v>
      </c>
      <c r="W19" s="205"/>
      <c r="X19" s="34">
        <f t="shared" si="10"/>
        <v>980000</v>
      </c>
      <c r="Y19" s="36">
        <f t="shared" si="11"/>
        <v>1205300</v>
      </c>
      <c r="Z19" s="17"/>
      <c r="AA19" s="20">
        <v>35616833</v>
      </c>
      <c r="AB19" s="34">
        <f t="shared" si="12"/>
        <v>224000</v>
      </c>
      <c r="AC19" s="20">
        <v>933304368</v>
      </c>
      <c r="AD19" s="34">
        <f t="shared" si="13"/>
        <v>4920369</v>
      </c>
      <c r="AE19" s="20">
        <v>81308</v>
      </c>
      <c r="AF19" s="34">
        <f t="shared" si="14"/>
        <v>452000</v>
      </c>
      <c r="AG19" s="20">
        <v>2061658</v>
      </c>
      <c r="AH19" s="34">
        <f t="shared" si="15"/>
        <v>12369000</v>
      </c>
      <c r="AI19" s="20">
        <v>2867654</v>
      </c>
      <c r="AJ19" s="34">
        <f t="shared" si="16"/>
        <v>8437</v>
      </c>
      <c r="AK19" s="20">
        <v>13045</v>
      </c>
      <c r="AL19" s="34">
        <f t="shared" si="17"/>
        <v>67000</v>
      </c>
      <c r="AM19" s="20">
        <v>721</v>
      </c>
      <c r="AN19" s="34">
        <f t="shared" si="18"/>
        <v>0</v>
      </c>
      <c r="AO19" s="20">
        <v>7821</v>
      </c>
      <c r="AP19" s="34">
        <f t="shared" si="19"/>
        <v>450</v>
      </c>
      <c r="AQ19" s="14"/>
      <c r="AR19" s="58">
        <f t="shared" si="42"/>
        <v>43563</v>
      </c>
      <c r="AS19" s="20">
        <v>10137</v>
      </c>
      <c r="AT19" s="34">
        <f t="shared" si="20"/>
        <v>169</v>
      </c>
      <c r="AU19" s="14"/>
      <c r="AV19" s="20">
        <v>12473405</v>
      </c>
      <c r="AW19" s="34">
        <f t="shared" si="21"/>
        <v>70244</v>
      </c>
      <c r="AX19" s="20">
        <v>3175390</v>
      </c>
      <c r="AY19" s="34">
        <f t="shared" si="22"/>
        <v>720</v>
      </c>
      <c r="AZ19" s="34">
        <f t="shared" si="23"/>
        <v>69524</v>
      </c>
      <c r="BA19" s="20">
        <v>6653100</v>
      </c>
      <c r="BB19" s="34">
        <f t="shared" si="24"/>
        <v>4200</v>
      </c>
      <c r="BC19" s="20">
        <v>3666900</v>
      </c>
      <c r="BD19" s="34">
        <f t="shared" si="25"/>
        <v>3100</v>
      </c>
      <c r="BE19" s="20">
        <v>29630469</v>
      </c>
      <c r="BF19" s="34">
        <f t="shared" si="26"/>
        <v>318878</v>
      </c>
      <c r="BI19" s="19">
        <f t="shared" si="0"/>
        <v>31903112</v>
      </c>
      <c r="BN19" s="19">
        <f t="shared" si="1"/>
        <v>3643389</v>
      </c>
      <c r="BR19" s="19">
        <f t="shared" si="2"/>
        <v>532065</v>
      </c>
      <c r="BV19" s="19">
        <f t="shared" si="3"/>
        <v>841880</v>
      </c>
      <c r="CB19" s="14"/>
      <c r="CC19" s="19">
        <f t="shared" si="27"/>
        <v>6653100</v>
      </c>
      <c r="CI19" s="19">
        <f t="shared" si="28"/>
        <v>12473405</v>
      </c>
      <c r="CN19" s="19">
        <f t="shared" si="29"/>
        <v>10137</v>
      </c>
      <c r="CR19" s="19">
        <f t="shared" si="30"/>
        <v>3666900</v>
      </c>
      <c r="CW19" s="19">
        <f t="shared" si="31"/>
        <v>29630469</v>
      </c>
      <c r="DD19" s="47"/>
      <c r="DE19" s="47"/>
      <c r="DF19" s="47"/>
      <c r="DG19" s="47"/>
      <c r="DI19" s="100"/>
      <c r="DJ19" s="100"/>
    </row>
    <row r="20" spans="2:114">
      <c r="B20" s="58">
        <v>43569</v>
      </c>
      <c r="C20" s="205">
        <v>32025643</v>
      </c>
      <c r="D20" s="205"/>
      <c r="E20" s="34">
        <f t="shared" si="46"/>
        <v>1225310</v>
      </c>
      <c r="F20" s="205">
        <v>3657573</v>
      </c>
      <c r="G20" s="205"/>
      <c r="H20" s="34">
        <f t="shared" ref="H20:H22" si="48">SUM(F20-F19)*10</f>
        <v>141840</v>
      </c>
      <c r="I20" s="205">
        <v>149500</v>
      </c>
      <c r="J20" s="205"/>
      <c r="K20" s="34">
        <f t="shared" si="6"/>
        <v>1600</v>
      </c>
      <c r="L20" s="205">
        <v>232258</v>
      </c>
      <c r="M20" s="205"/>
      <c r="N20" s="34">
        <f t="shared" si="7"/>
        <v>1010000</v>
      </c>
      <c r="O20" s="205">
        <v>1049</v>
      </c>
      <c r="P20" s="205"/>
      <c r="Q20" s="34">
        <f t="shared" si="8"/>
        <v>21400</v>
      </c>
      <c r="R20" s="35"/>
      <c r="S20" s="205">
        <v>534205</v>
      </c>
      <c r="T20" s="205"/>
      <c r="U20" s="34">
        <f t="shared" si="9"/>
        <v>214000</v>
      </c>
      <c r="V20" s="205">
        <v>848360</v>
      </c>
      <c r="W20" s="205"/>
      <c r="X20" s="34">
        <f t="shared" si="10"/>
        <v>648000</v>
      </c>
      <c r="Y20" s="36">
        <f t="shared" si="11"/>
        <v>862000</v>
      </c>
      <c r="Z20" s="17"/>
      <c r="AA20" s="20">
        <v>35617109</v>
      </c>
      <c r="AB20" s="34">
        <f t="shared" si="12"/>
        <v>276000</v>
      </c>
      <c r="AC20" s="20">
        <v>939671963</v>
      </c>
      <c r="AD20" s="34">
        <f t="shared" si="13"/>
        <v>6367595</v>
      </c>
      <c r="AE20" s="20">
        <v>81917</v>
      </c>
      <c r="AF20" s="34">
        <f t="shared" si="14"/>
        <v>609000</v>
      </c>
      <c r="AG20" s="20">
        <v>2066984</v>
      </c>
      <c r="AH20" s="34">
        <f t="shared" si="15"/>
        <v>5326000</v>
      </c>
      <c r="AI20" s="20">
        <v>2878217</v>
      </c>
      <c r="AJ20" s="34">
        <f t="shared" si="16"/>
        <v>10563</v>
      </c>
      <c r="AK20" s="20">
        <v>13087</v>
      </c>
      <c r="AL20" s="34">
        <f t="shared" si="17"/>
        <v>42000</v>
      </c>
      <c r="AM20" s="20">
        <v>721</v>
      </c>
      <c r="AN20" s="34">
        <f t="shared" si="18"/>
        <v>0</v>
      </c>
      <c r="AO20" s="20">
        <v>7868</v>
      </c>
      <c r="AP20" s="34">
        <f t="shared" si="19"/>
        <v>470</v>
      </c>
      <c r="AQ20" s="14"/>
      <c r="AR20" s="58">
        <f t="shared" si="42"/>
        <v>43569</v>
      </c>
      <c r="AS20" s="20">
        <v>10264</v>
      </c>
      <c r="AT20" s="34">
        <f t="shared" si="20"/>
        <v>127</v>
      </c>
      <c r="AU20" s="14"/>
      <c r="AV20" s="20">
        <v>12526767</v>
      </c>
      <c r="AW20" s="34">
        <f t="shared" si="21"/>
        <v>53362</v>
      </c>
      <c r="AX20" s="20">
        <v>3175950</v>
      </c>
      <c r="AY20" s="34">
        <f t="shared" si="22"/>
        <v>560</v>
      </c>
      <c r="AZ20" s="34">
        <f t="shared" si="23"/>
        <v>52802</v>
      </c>
      <c r="BA20" s="20">
        <v>6655500</v>
      </c>
      <c r="BB20" s="34">
        <f t="shared" si="24"/>
        <v>2400</v>
      </c>
      <c r="BC20" s="20">
        <v>3669400</v>
      </c>
      <c r="BD20" s="34">
        <f t="shared" si="25"/>
        <v>2500</v>
      </c>
      <c r="BE20" s="20">
        <v>29701786</v>
      </c>
      <c r="BF20" s="34">
        <f t="shared" si="26"/>
        <v>71317</v>
      </c>
      <c r="BI20" s="19">
        <f t="shared" si="0"/>
        <v>32025643</v>
      </c>
      <c r="BN20" s="19">
        <f t="shared" si="1"/>
        <v>3657573</v>
      </c>
      <c r="BR20" s="19">
        <f t="shared" si="2"/>
        <v>534205</v>
      </c>
      <c r="BV20" s="19">
        <f t="shared" si="3"/>
        <v>848360</v>
      </c>
      <c r="CB20" s="14"/>
      <c r="CC20" s="19">
        <f t="shared" si="27"/>
        <v>6655500</v>
      </c>
      <c r="CI20" s="19">
        <f t="shared" si="28"/>
        <v>12526767</v>
      </c>
      <c r="CN20" s="19">
        <f t="shared" si="29"/>
        <v>10264</v>
      </c>
      <c r="CR20" s="19">
        <f t="shared" si="30"/>
        <v>3669400</v>
      </c>
      <c r="CW20" s="19">
        <f t="shared" si="31"/>
        <v>29701786</v>
      </c>
      <c r="DD20" s="47"/>
      <c r="DE20" s="47"/>
      <c r="DF20" s="47"/>
      <c r="DG20" s="47"/>
      <c r="DI20" s="100"/>
      <c r="DJ20" s="100"/>
    </row>
    <row r="21" spans="2:114">
      <c r="B21" s="58">
        <v>43576</v>
      </c>
      <c r="C21" s="205">
        <v>32161479</v>
      </c>
      <c r="D21" s="205"/>
      <c r="E21" s="34">
        <f t="shared" si="46"/>
        <v>1358360</v>
      </c>
      <c r="F21" s="205">
        <v>3667517</v>
      </c>
      <c r="G21" s="205"/>
      <c r="H21" s="34">
        <f t="shared" si="48"/>
        <v>99440</v>
      </c>
      <c r="I21" s="205">
        <v>149890</v>
      </c>
      <c r="J21" s="205"/>
      <c r="K21" s="34">
        <f t="shared" si="6"/>
        <v>3900</v>
      </c>
      <c r="L21" s="205">
        <v>233282</v>
      </c>
      <c r="M21" s="205"/>
      <c r="N21" s="34">
        <f t="shared" si="7"/>
        <v>1024000</v>
      </c>
      <c r="O21" s="205">
        <v>1273</v>
      </c>
      <c r="P21" s="205"/>
      <c r="Q21" s="34">
        <f t="shared" si="8"/>
        <v>22400</v>
      </c>
      <c r="R21" s="35"/>
      <c r="S21" s="205">
        <v>536485</v>
      </c>
      <c r="T21" s="205"/>
      <c r="U21" s="34">
        <f t="shared" si="9"/>
        <v>228000</v>
      </c>
      <c r="V21" s="205">
        <v>859334</v>
      </c>
      <c r="W21" s="205"/>
      <c r="X21" s="34">
        <f t="shared" si="10"/>
        <v>1097400</v>
      </c>
      <c r="Y21" s="36">
        <f t="shared" si="11"/>
        <v>1325400</v>
      </c>
      <c r="Z21" s="17"/>
      <c r="AA21" s="20">
        <v>35617314</v>
      </c>
      <c r="AB21" s="34">
        <f t="shared" si="12"/>
        <v>205000</v>
      </c>
      <c r="AC21" s="20">
        <v>944435846</v>
      </c>
      <c r="AD21" s="34">
        <f t="shared" si="13"/>
        <v>4763883</v>
      </c>
      <c r="AE21" s="20">
        <v>82324</v>
      </c>
      <c r="AF21" s="34">
        <f t="shared" si="14"/>
        <v>407000</v>
      </c>
      <c r="AG21" s="20">
        <v>2074936</v>
      </c>
      <c r="AH21" s="34">
        <f t="shared" si="15"/>
        <v>7952000</v>
      </c>
      <c r="AI21" s="20">
        <v>2886864</v>
      </c>
      <c r="AJ21" s="34">
        <f t="shared" si="16"/>
        <v>8647</v>
      </c>
      <c r="AK21" s="20">
        <v>13155</v>
      </c>
      <c r="AL21" s="34">
        <f t="shared" si="17"/>
        <v>68000</v>
      </c>
      <c r="AM21" s="20">
        <v>721</v>
      </c>
      <c r="AN21" s="34">
        <f t="shared" si="18"/>
        <v>0</v>
      </c>
      <c r="AO21" s="20">
        <v>7919</v>
      </c>
      <c r="AP21" s="34">
        <f t="shared" si="19"/>
        <v>510</v>
      </c>
      <c r="AQ21" s="14"/>
      <c r="AR21" s="58">
        <f t="shared" si="42"/>
        <v>43576</v>
      </c>
      <c r="AS21" s="20">
        <v>10384</v>
      </c>
      <c r="AT21" s="34">
        <f t="shared" si="20"/>
        <v>120</v>
      </c>
      <c r="AU21" s="14"/>
      <c r="AV21" s="20">
        <v>12588118</v>
      </c>
      <c r="AW21" s="34">
        <f t="shared" si="21"/>
        <v>61351</v>
      </c>
      <c r="AX21" s="20">
        <v>3177160</v>
      </c>
      <c r="AY21" s="34">
        <f t="shared" si="22"/>
        <v>1210</v>
      </c>
      <c r="AZ21" s="34">
        <f t="shared" si="23"/>
        <v>60141</v>
      </c>
      <c r="BA21" s="20">
        <v>6657600</v>
      </c>
      <c r="BB21" s="34">
        <f t="shared" si="24"/>
        <v>2100</v>
      </c>
      <c r="BC21" s="20">
        <v>3670300</v>
      </c>
      <c r="BD21" s="34">
        <f t="shared" si="25"/>
        <v>900</v>
      </c>
      <c r="BE21" s="20">
        <v>29826224</v>
      </c>
      <c r="BF21" s="34">
        <f t="shared" si="26"/>
        <v>124438</v>
      </c>
      <c r="BI21" s="19">
        <f t="shared" si="0"/>
        <v>32161479</v>
      </c>
      <c r="BN21" s="19">
        <f t="shared" si="1"/>
        <v>3667517</v>
      </c>
      <c r="BR21" s="19">
        <f t="shared" si="2"/>
        <v>536485</v>
      </c>
      <c r="BV21" s="19">
        <f t="shared" si="3"/>
        <v>859334</v>
      </c>
      <c r="CB21" s="14"/>
      <c r="CC21" s="19">
        <f t="shared" si="27"/>
        <v>6657600</v>
      </c>
      <c r="CI21" s="19">
        <f t="shared" si="28"/>
        <v>12588118</v>
      </c>
      <c r="CN21" s="19">
        <f t="shared" si="29"/>
        <v>10384</v>
      </c>
      <c r="CR21" s="19">
        <f t="shared" si="30"/>
        <v>3670300</v>
      </c>
      <c r="CW21" s="19">
        <f t="shared" si="31"/>
        <v>29826224</v>
      </c>
      <c r="DD21" s="47"/>
      <c r="DE21" s="47"/>
      <c r="DF21" s="47"/>
      <c r="DG21" s="47"/>
      <c r="DI21" s="100"/>
      <c r="DJ21" s="100"/>
    </row>
    <row r="22" spans="2:114">
      <c r="B22" s="58">
        <v>43583</v>
      </c>
      <c r="C22" s="205">
        <v>32276541</v>
      </c>
      <c r="D22" s="205"/>
      <c r="E22" s="34">
        <f t="shared" si="46"/>
        <v>1150620</v>
      </c>
      <c r="F22" s="205">
        <v>3680912</v>
      </c>
      <c r="G22" s="205"/>
      <c r="H22" s="34">
        <f t="shared" si="48"/>
        <v>133950</v>
      </c>
      <c r="I22" s="205">
        <v>150290</v>
      </c>
      <c r="J22" s="205"/>
      <c r="K22" s="34">
        <f t="shared" si="6"/>
        <v>4000</v>
      </c>
      <c r="L22" s="205">
        <v>234208</v>
      </c>
      <c r="M22" s="205"/>
      <c r="N22" s="34">
        <f t="shared" si="7"/>
        <v>926000</v>
      </c>
      <c r="O22" s="205">
        <v>1497</v>
      </c>
      <c r="P22" s="205"/>
      <c r="Q22" s="34">
        <f t="shared" si="8"/>
        <v>22400</v>
      </c>
      <c r="R22" s="35"/>
      <c r="S22" s="205">
        <v>538607</v>
      </c>
      <c r="T22" s="205"/>
      <c r="U22" s="34">
        <f t="shared" si="9"/>
        <v>212200</v>
      </c>
      <c r="V22" s="205">
        <v>867380</v>
      </c>
      <c r="W22" s="205"/>
      <c r="X22" s="34">
        <f t="shared" si="10"/>
        <v>804600</v>
      </c>
      <c r="Y22" s="36">
        <f t="shared" si="11"/>
        <v>1016800</v>
      </c>
      <c r="Z22" s="17"/>
      <c r="AA22" s="20">
        <v>35617573</v>
      </c>
      <c r="AB22" s="34">
        <f t="shared" si="12"/>
        <v>259000</v>
      </c>
      <c r="AC22" s="20">
        <v>949470708</v>
      </c>
      <c r="AD22" s="34">
        <f t="shared" si="13"/>
        <v>5034862</v>
      </c>
      <c r="AE22" s="20">
        <v>82423</v>
      </c>
      <c r="AF22" s="34">
        <f t="shared" si="14"/>
        <v>99000</v>
      </c>
      <c r="AG22" s="20">
        <v>2079170</v>
      </c>
      <c r="AH22" s="34">
        <f t="shared" si="15"/>
        <v>4234000</v>
      </c>
      <c r="AI22" s="20">
        <v>2906378</v>
      </c>
      <c r="AJ22" s="34">
        <f t="shared" si="16"/>
        <v>19514</v>
      </c>
      <c r="AK22" s="20">
        <v>13213</v>
      </c>
      <c r="AL22" s="34">
        <f t="shared" si="17"/>
        <v>58000</v>
      </c>
      <c r="AM22" s="20">
        <v>721</v>
      </c>
      <c r="AN22" s="34">
        <f t="shared" si="18"/>
        <v>0</v>
      </c>
      <c r="AO22" s="20">
        <v>7973</v>
      </c>
      <c r="AP22" s="34">
        <f t="shared" si="19"/>
        <v>540</v>
      </c>
      <c r="AQ22" s="14"/>
      <c r="AR22" s="58">
        <f t="shared" si="42"/>
        <v>43583</v>
      </c>
      <c r="AS22" s="20">
        <v>10494</v>
      </c>
      <c r="AT22" s="34">
        <f t="shared" si="20"/>
        <v>110</v>
      </c>
      <c r="AU22" s="14"/>
      <c r="AV22" s="20">
        <v>12647542</v>
      </c>
      <c r="AW22" s="34">
        <f t="shared" si="21"/>
        <v>59424</v>
      </c>
      <c r="AX22" s="20">
        <v>3178470</v>
      </c>
      <c r="AY22" s="34">
        <f t="shared" si="22"/>
        <v>1310</v>
      </c>
      <c r="AZ22" s="34">
        <f t="shared" si="23"/>
        <v>58114</v>
      </c>
      <c r="BA22" s="20">
        <v>6660200</v>
      </c>
      <c r="BB22" s="34">
        <f t="shared" si="24"/>
        <v>2600</v>
      </c>
      <c r="BC22" s="20">
        <v>3670600</v>
      </c>
      <c r="BD22" s="34">
        <f t="shared" si="25"/>
        <v>300</v>
      </c>
      <c r="BE22" s="20">
        <v>30306631</v>
      </c>
      <c r="BF22" s="34">
        <f t="shared" si="26"/>
        <v>480407</v>
      </c>
      <c r="BI22" s="19">
        <f t="shared" si="0"/>
        <v>32276541</v>
      </c>
      <c r="BJ22" s="20">
        <v>321684</v>
      </c>
      <c r="BK22" s="19">
        <f>SUM(BJ22-BJ18)</f>
        <v>4782</v>
      </c>
      <c r="BL22" s="59">
        <f>SUM(BK22*1.0766)+1986.71</f>
        <v>7135.0111999999999</v>
      </c>
      <c r="BM22" s="75">
        <v>26439.84</v>
      </c>
      <c r="BN22" s="19">
        <f t="shared" si="1"/>
        <v>3680912</v>
      </c>
      <c r="BO22" s="20">
        <v>36675</v>
      </c>
      <c r="BP22" s="19">
        <f>SUM(BO22-BO18)</f>
        <v>478</v>
      </c>
      <c r="BQ22" s="59">
        <f>SUM(BP22*0.8486)+1639.2</f>
        <v>2044.8308000000002</v>
      </c>
      <c r="BR22" s="19">
        <f t="shared" si="2"/>
        <v>538607</v>
      </c>
      <c r="BS22" s="20">
        <v>537492</v>
      </c>
      <c r="BT22" s="20">
        <v>44793.54</v>
      </c>
      <c r="BU22" s="87">
        <v>28872.639999999999</v>
      </c>
      <c r="BV22" s="19">
        <f t="shared" si="3"/>
        <v>867380</v>
      </c>
      <c r="BW22" s="88">
        <v>86353</v>
      </c>
      <c r="BX22" s="39">
        <v>1626.03</v>
      </c>
      <c r="BY22" s="87">
        <v>1052.1199999999999</v>
      </c>
      <c r="BZ22" s="98">
        <f t="shared" ref="BZ22" si="49">SUM(BT22+BX22)</f>
        <v>46419.57</v>
      </c>
      <c r="CA22" s="87">
        <v>11707.57</v>
      </c>
      <c r="CB22" s="14"/>
      <c r="CC22" s="19">
        <f t="shared" si="27"/>
        <v>6660200</v>
      </c>
      <c r="CD22" s="20">
        <v>6659</v>
      </c>
      <c r="CE22" s="19">
        <f>SUM(CD22-CD18)</f>
        <v>11</v>
      </c>
      <c r="CF22" s="59">
        <f>SUM(CE22*1.0766)+124.09</f>
        <v>135.93260000000001</v>
      </c>
      <c r="CG22" s="75">
        <v>66.22</v>
      </c>
      <c r="CH22" s="75">
        <v>1243.44</v>
      </c>
      <c r="CI22" s="19">
        <f t="shared" si="28"/>
        <v>12647542</v>
      </c>
      <c r="CJ22" s="20">
        <v>12590</v>
      </c>
      <c r="CK22" s="19">
        <f>SUM(CJ22-CJ18)</f>
        <v>254</v>
      </c>
      <c r="CL22" s="59">
        <f>SUM(CK22*1.0766+198.63)</f>
        <v>472.08639999999997</v>
      </c>
      <c r="CM22" s="91">
        <v>1511.02</v>
      </c>
      <c r="CN22" s="19">
        <f t="shared" si="29"/>
        <v>10494</v>
      </c>
      <c r="CO22" s="20">
        <v>10428</v>
      </c>
      <c r="CP22" s="20">
        <v>1224.1199999999999</v>
      </c>
      <c r="CQ22" s="90">
        <v>792.06</v>
      </c>
      <c r="CR22" s="19">
        <f t="shared" si="30"/>
        <v>3670600</v>
      </c>
      <c r="CS22" s="20">
        <v>3670</v>
      </c>
      <c r="CT22" s="19">
        <f>SUM(CS22-CS18)</f>
        <v>7</v>
      </c>
      <c r="CU22" s="59">
        <f>SUM(CT22*1.0766)+198.63</f>
        <v>206.1662</v>
      </c>
      <c r="CW22" s="19">
        <f t="shared" si="31"/>
        <v>30306631</v>
      </c>
      <c r="CX22" s="20">
        <v>298263</v>
      </c>
      <c r="CY22" s="19">
        <f>SUM(CX22-CX18)</f>
        <v>6579</v>
      </c>
      <c r="CZ22" s="59">
        <f>SUM(CY22*0.8486)+1024.42</f>
        <v>6607.3594000000003</v>
      </c>
      <c r="DC22" s="20">
        <f>SUM(E20:E23)</f>
        <v>4194610</v>
      </c>
      <c r="DD22" s="75" t="e">
        <f>SUM(BL22+CF22+CL22+#REF!+CU22)</f>
        <v>#REF!</v>
      </c>
      <c r="DE22" s="75">
        <f>SUM(BQ22+CZ22)</f>
        <v>8652.1902000000009</v>
      </c>
      <c r="DF22" s="75">
        <f>SUM(BM22+CG22+CV22)</f>
        <v>26506.06</v>
      </c>
      <c r="DG22" s="75" t="e">
        <f>SUM(DD22:DF22)</f>
        <v>#REF!</v>
      </c>
      <c r="DI22" s="92">
        <f>SUM(BU22+CQ22+BY22)</f>
        <v>30716.82</v>
      </c>
      <c r="DJ22" s="92">
        <f>SUM(CA22+CH22)</f>
        <v>12951.01</v>
      </c>
    </row>
    <row r="23" spans="2:114">
      <c r="B23" s="58">
        <v>43586</v>
      </c>
      <c r="C23" s="205">
        <v>32322573</v>
      </c>
      <c r="D23" s="205"/>
      <c r="E23" s="34">
        <f t="shared" si="46"/>
        <v>460320</v>
      </c>
      <c r="F23" s="205">
        <v>3685349</v>
      </c>
      <c r="G23" s="205"/>
      <c r="H23" s="34">
        <f t="shared" ref="H23" si="50">SUM(F23-F22)*10</f>
        <v>44370</v>
      </c>
      <c r="I23" s="205">
        <v>150490</v>
      </c>
      <c r="J23" s="205"/>
      <c r="K23" s="34">
        <f t="shared" ref="K23" si="51">SUM(I23-I22)*10</f>
        <v>2000</v>
      </c>
      <c r="L23" s="205">
        <v>234564</v>
      </c>
      <c r="M23" s="205"/>
      <c r="N23" s="34">
        <f t="shared" si="7"/>
        <v>356000</v>
      </c>
      <c r="O23" s="205">
        <v>1591</v>
      </c>
      <c r="P23" s="205"/>
      <c r="Q23" s="34">
        <f t="shared" si="8"/>
        <v>9400</v>
      </c>
      <c r="R23" s="35"/>
      <c r="S23" s="205">
        <v>539397</v>
      </c>
      <c r="T23" s="205"/>
      <c r="U23" s="34">
        <f t="shared" si="9"/>
        <v>79000</v>
      </c>
      <c r="V23" s="205">
        <v>869630</v>
      </c>
      <c r="W23" s="205"/>
      <c r="X23" s="34">
        <f t="shared" si="10"/>
        <v>225000</v>
      </c>
      <c r="Y23" s="36">
        <f t="shared" si="11"/>
        <v>304000</v>
      </c>
      <c r="Z23" s="17"/>
      <c r="AA23" s="20">
        <v>35617672</v>
      </c>
      <c r="AB23" s="34">
        <f t="shared" si="12"/>
        <v>99000</v>
      </c>
      <c r="AC23" s="20">
        <v>952019900</v>
      </c>
      <c r="AD23" s="34">
        <f t="shared" si="13"/>
        <v>2549192</v>
      </c>
      <c r="AE23" s="20">
        <v>83283</v>
      </c>
      <c r="AF23" s="34">
        <f t="shared" si="14"/>
        <v>860000</v>
      </c>
      <c r="AG23" s="20">
        <v>2081192</v>
      </c>
      <c r="AH23" s="34">
        <f t="shared" si="15"/>
        <v>2022000</v>
      </c>
      <c r="AI23" s="20">
        <v>2916751</v>
      </c>
      <c r="AJ23" s="34">
        <f t="shared" si="16"/>
        <v>10373</v>
      </c>
      <c r="AK23" s="20">
        <v>13233</v>
      </c>
      <c r="AL23" s="34">
        <f t="shared" si="17"/>
        <v>20000</v>
      </c>
      <c r="AM23" s="20">
        <v>721</v>
      </c>
      <c r="AN23" s="34">
        <f t="shared" si="18"/>
        <v>0</v>
      </c>
      <c r="AO23" s="20">
        <v>7996</v>
      </c>
      <c r="AP23" s="34">
        <f t="shared" si="19"/>
        <v>230</v>
      </c>
      <c r="AQ23" s="14"/>
      <c r="AR23" s="58">
        <f t="shared" si="42"/>
        <v>43586</v>
      </c>
      <c r="AS23" s="20">
        <v>10526</v>
      </c>
      <c r="AT23" s="34">
        <f t="shared" si="20"/>
        <v>32</v>
      </c>
      <c r="AU23" s="14"/>
      <c r="AV23" s="20">
        <v>12663480</v>
      </c>
      <c r="AW23" s="34">
        <f t="shared" si="21"/>
        <v>15938</v>
      </c>
      <c r="AX23" s="20">
        <v>3178780</v>
      </c>
      <c r="AY23" s="34">
        <f t="shared" si="22"/>
        <v>310</v>
      </c>
      <c r="AZ23" s="34">
        <f t="shared" si="23"/>
        <v>15628</v>
      </c>
      <c r="BA23" s="20">
        <v>6660400</v>
      </c>
      <c r="BB23" s="34">
        <f t="shared" si="24"/>
        <v>200</v>
      </c>
      <c r="BC23" s="20">
        <v>3670700</v>
      </c>
      <c r="BD23" s="34">
        <f t="shared" si="25"/>
        <v>100</v>
      </c>
      <c r="BE23" s="20">
        <v>30509991</v>
      </c>
      <c r="BF23" s="34">
        <f t="shared" si="26"/>
        <v>203360</v>
      </c>
      <c r="BI23" s="19">
        <f t="shared" si="0"/>
        <v>32322573</v>
      </c>
      <c r="BN23" s="19">
        <f t="shared" si="1"/>
        <v>3685349</v>
      </c>
      <c r="BR23" s="19">
        <f t="shared" si="2"/>
        <v>539397</v>
      </c>
      <c r="BV23" s="19">
        <f t="shared" si="3"/>
        <v>869630</v>
      </c>
      <c r="CB23" s="14"/>
      <c r="CC23" s="19">
        <f t="shared" si="27"/>
        <v>6660400</v>
      </c>
      <c r="CI23" s="19">
        <f t="shared" si="28"/>
        <v>12663480</v>
      </c>
      <c r="CN23" s="19">
        <f t="shared" si="29"/>
        <v>10526</v>
      </c>
      <c r="CR23" s="19">
        <f t="shared" si="30"/>
        <v>3670700</v>
      </c>
      <c r="CW23" s="19">
        <f t="shared" si="31"/>
        <v>30509991</v>
      </c>
      <c r="DD23" s="47"/>
      <c r="DE23" s="47"/>
      <c r="DF23" s="47"/>
      <c r="DG23" s="47"/>
      <c r="DI23" s="100"/>
      <c r="DJ23" s="100"/>
    </row>
    <row r="24" spans="2:114">
      <c r="B24" s="58">
        <v>43590</v>
      </c>
      <c r="C24" s="205">
        <v>32400285</v>
      </c>
      <c r="D24" s="205"/>
      <c r="E24" s="34">
        <f t="shared" ref="E24:E28" si="52">SUM(C24-C23)*10</f>
        <v>777120</v>
      </c>
      <c r="F24" s="205">
        <v>3695035</v>
      </c>
      <c r="G24" s="205"/>
      <c r="H24" s="34">
        <f t="shared" ref="H24:H28" si="53">SUM(F24-F23)*10</f>
        <v>96860</v>
      </c>
      <c r="I24" s="205">
        <v>150500</v>
      </c>
      <c r="J24" s="205"/>
      <c r="K24" s="34">
        <f t="shared" ref="K24:K61" si="54">SUM(I24-I23)*10</f>
        <v>100</v>
      </c>
      <c r="L24" s="205">
        <v>235227</v>
      </c>
      <c r="M24" s="205"/>
      <c r="N24" s="34">
        <f t="shared" si="7"/>
        <v>663000</v>
      </c>
      <c r="O24" s="205">
        <v>1744</v>
      </c>
      <c r="P24" s="205"/>
      <c r="Q24" s="34">
        <f t="shared" si="8"/>
        <v>15300</v>
      </c>
      <c r="R24" s="35"/>
      <c r="S24" s="205">
        <v>540774</v>
      </c>
      <c r="T24" s="205"/>
      <c r="U24" s="34">
        <f t="shared" si="9"/>
        <v>137700</v>
      </c>
      <c r="V24" s="205">
        <v>872810</v>
      </c>
      <c r="W24" s="205"/>
      <c r="X24" s="34">
        <f t="shared" si="10"/>
        <v>318000</v>
      </c>
      <c r="Y24" s="36">
        <f t="shared" si="11"/>
        <v>455700</v>
      </c>
      <c r="Z24" s="17"/>
      <c r="AA24" s="20">
        <v>35618104</v>
      </c>
      <c r="AB24" s="34">
        <f t="shared" si="12"/>
        <v>432000</v>
      </c>
      <c r="AC24" s="20">
        <v>956491270</v>
      </c>
      <c r="AD24" s="34">
        <f t="shared" si="13"/>
        <v>4471370</v>
      </c>
      <c r="AE24" s="20">
        <v>83411</v>
      </c>
      <c r="AF24" s="34">
        <f t="shared" si="14"/>
        <v>128000</v>
      </c>
      <c r="AG24" s="20">
        <v>2083724</v>
      </c>
      <c r="AH24" s="34">
        <f t="shared" si="15"/>
        <v>2532000</v>
      </c>
      <c r="AI24" s="20">
        <v>2924103</v>
      </c>
      <c r="AJ24" s="34">
        <f t="shared" si="16"/>
        <v>7352</v>
      </c>
      <c r="AK24" s="20">
        <v>13260</v>
      </c>
      <c r="AL24" s="34">
        <f t="shared" si="17"/>
        <v>27000</v>
      </c>
      <c r="AM24" s="20">
        <v>721</v>
      </c>
      <c r="AN24" s="34">
        <f t="shared" si="18"/>
        <v>0</v>
      </c>
      <c r="AO24" s="20">
        <v>8025</v>
      </c>
      <c r="AP24" s="34">
        <f t="shared" si="19"/>
        <v>290</v>
      </c>
      <c r="AQ24" s="14"/>
      <c r="AR24" s="58">
        <f t="shared" si="42"/>
        <v>43590</v>
      </c>
      <c r="AS24" s="20">
        <v>10622</v>
      </c>
      <c r="AT24" s="34">
        <f t="shared" si="20"/>
        <v>96</v>
      </c>
      <c r="AU24" s="14"/>
      <c r="AV24" s="20">
        <v>12705546</v>
      </c>
      <c r="AW24" s="34">
        <f t="shared" si="21"/>
        <v>42066</v>
      </c>
      <c r="AX24" s="20">
        <v>3179530</v>
      </c>
      <c r="AY24" s="34">
        <f t="shared" si="22"/>
        <v>750</v>
      </c>
      <c r="AZ24" s="34">
        <f t="shared" si="23"/>
        <v>41316</v>
      </c>
      <c r="BA24" s="20">
        <v>6661600</v>
      </c>
      <c r="BB24" s="34">
        <f t="shared" si="24"/>
        <v>1200</v>
      </c>
      <c r="BC24" s="20">
        <v>3670800</v>
      </c>
      <c r="BD24" s="34">
        <f t="shared" si="25"/>
        <v>100</v>
      </c>
      <c r="BE24" s="20">
        <v>30704715</v>
      </c>
      <c r="BF24" s="34">
        <f t="shared" si="26"/>
        <v>194724</v>
      </c>
      <c r="BI24" s="19">
        <f t="shared" si="0"/>
        <v>32400285</v>
      </c>
      <c r="BN24" s="19">
        <f t="shared" si="1"/>
        <v>3695035</v>
      </c>
      <c r="BR24" s="19">
        <f t="shared" si="2"/>
        <v>540774</v>
      </c>
      <c r="BV24" s="19">
        <f t="shared" si="3"/>
        <v>872810</v>
      </c>
      <c r="CB24" s="14"/>
      <c r="CC24" s="19">
        <f t="shared" si="27"/>
        <v>6661600</v>
      </c>
      <c r="CI24" s="19">
        <f t="shared" si="28"/>
        <v>12705546</v>
      </c>
      <c r="CN24" s="19">
        <f t="shared" si="29"/>
        <v>10622</v>
      </c>
      <c r="CR24" s="19">
        <f t="shared" si="30"/>
        <v>3670800</v>
      </c>
      <c r="CW24" s="19">
        <f t="shared" si="31"/>
        <v>30704715</v>
      </c>
      <c r="DD24" s="47"/>
      <c r="DE24" s="47"/>
      <c r="DF24" s="47"/>
      <c r="DG24" s="47"/>
      <c r="DI24" s="100"/>
      <c r="DJ24" s="100"/>
    </row>
    <row r="25" spans="2:114">
      <c r="B25" s="58">
        <v>43598</v>
      </c>
      <c r="C25" s="205">
        <v>32530142</v>
      </c>
      <c r="D25" s="205"/>
      <c r="E25" s="34">
        <f t="shared" si="52"/>
        <v>1298570</v>
      </c>
      <c r="F25" s="205">
        <v>3708864</v>
      </c>
      <c r="G25" s="205"/>
      <c r="H25" s="34">
        <f t="shared" si="53"/>
        <v>138290</v>
      </c>
      <c r="I25" s="205">
        <v>150690</v>
      </c>
      <c r="J25" s="205"/>
      <c r="K25" s="34">
        <f t="shared" si="54"/>
        <v>1900</v>
      </c>
      <c r="L25" s="205">
        <v>236304</v>
      </c>
      <c r="M25" s="205"/>
      <c r="N25" s="34">
        <f t="shared" si="7"/>
        <v>1077000</v>
      </c>
      <c r="O25" s="205">
        <v>1986</v>
      </c>
      <c r="P25" s="205"/>
      <c r="Q25" s="34">
        <f t="shared" si="8"/>
        <v>24200</v>
      </c>
      <c r="R25" s="35"/>
      <c r="S25" s="205">
        <v>542892</v>
      </c>
      <c r="T25" s="205"/>
      <c r="U25" s="34">
        <f t="shared" si="9"/>
        <v>211800</v>
      </c>
      <c r="V25" s="205">
        <v>877090</v>
      </c>
      <c r="W25" s="205"/>
      <c r="X25" s="34">
        <f t="shared" si="10"/>
        <v>428000</v>
      </c>
      <c r="Y25" s="36">
        <f t="shared" si="11"/>
        <v>639800</v>
      </c>
      <c r="Z25" s="17"/>
      <c r="AA25" s="20">
        <v>35618511</v>
      </c>
      <c r="AB25" s="34">
        <f t="shared" si="12"/>
        <v>407000</v>
      </c>
      <c r="AC25" s="20">
        <v>963227011</v>
      </c>
      <c r="AD25" s="34">
        <f t="shared" si="13"/>
        <v>6735741</v>
      </c>
      <c r="AE25" s="20">
        <v>84177</v>
      </c>
      <c r="AF25" s="34">
        <f t="shared" si="14"/>
        <v>766000</v>
      </c>
      <c r="AG25" s="20">
        <v>2088178</v>
      </c>
      <c r="AH25" s="34">
        <f t="shared" si="15"/>
        <v>4454000</v>
      </c>
      <c r="AI25" s="20">
        <v>2933327</v>
      </c>
      <c r="AJ25" s="34">
        <f t="shared" si="16"/>
        <v>9224</v>
      </c>
      <c r="AK25" s="20">
        <v>13307</v>
      </c>
      <c r="AL25" s="34">
        <f t="shared" si="17"/>
        <v>47000</v>
      </c>
      <c r="AM25" s="20">
        <v>721</v>
      </c>
      <c r="AN25" s="34">
        <f t="shared" si="18"/>
        <v>0</v>
      </c>
      <c r="AO25" s="20">
        <v>8086</v>
      </c>
      <c r="AP25" s="34">
        <f t="shared" si="19"/>
        <v>610</v>
      </c>
      <c r="AQ25" s="14"/>
      <c r="AR25" s="58">
        <f t="shared" si="42"/>
        <v>43598</v>
      </c>
      <c r="AS25" s="20">
        <v>10622</v>
      </c>
      <c r="AT25" s="34">
        <f t="shared" si="20"/>
        <v>0</v>
      </c>
      <c r="AU25" s="14"/>
      <c r="AV25" s="20">
        <v>12780564</v>
      </c>
      <c r="AW25" s="34">
        <f t="shared" si="21"/>
        <v>75018</v>
      </c>
      <c r="AX25" s="19">
        <v>5545949</v>
      </c>
      <c r="AY25" s="34">
        <v>0</v>
      </c>
      <c r="AZ25" s="34">
        <f t="shared" si="23"/>
        <v>75018</v>
      </c>
      <c r="BA25" s="20">
        <v>6664500</v>
      </c>
      <c r="BB25" s="34">
        <f t="shared" si="24"/>
        <v>2900</v>
      </c>
      <c r="BC25" s="20">
        <v>3671100</v>
      </c>
      <c r="BD25" s="34">
        <f t="shared" si="25"/>
        <v>300</v>
      </c>
      <c r="BE25" s="20">
        <v>30903639</v>
      </c>
      <c r="BF25" s="34">
        <f t="shared" si="26"/>
        <v>198924</v>
      </c>
      <c r="BI25" s="19">
        <f t="shared" si="0"/>
        <v>32530142</v>
      </c>
      <c r="BN25" s="19">
        <f t="shared" si="1"/>
        <v>3708864</v>
      </c>
      <c r="BR25" s="19">
        <f t="shared" si="2"/>
        <v>542892</v>
      </c>
      <c r="BV25" s="19">
        <f t="shared" si="3"/>
        <v>877090</v>
      </c>
      <c r="CB25" s="14"/>
      <c r="CC25" s="19">
        <f t="shared" si="27"/>
        <v>6664500</v>
      </c>
      <c r="CI25" s="19">
        <f t="shared" si="28"/>
        <v>12780564</v>
      </c>
      <c r="CN25" s="19">
        <f t="shared" si="29"/>
        <v>10622</v>
      </c>
      <c r="CR25" s="19">
        <f t="shared" si="30"/>
        <v>3671100</v>
      </c>
      <c r="CW25" s="19">
        <f t="shared" si="31"/>
        <v>30903639</v>
      </c>
      <c r="DD25" s="47"/>
      <c r="DE25" s="47"/>
      <c r="DF25" s="47"/>
      <c r="DG25" s="47"/>
      <c r="DI25" s="100"/>
      <c r="DJ25" s="100"/>
    </row>
    <row r="26" spans="2:114">
      <c r="B26" s="58">
        <v>43605</v>
      </c>
      <c r="C26" s="205">
        <v>32645621</v>
      </c>
      <c r="D26" s="205"/>
      <c r="E26" s="34">
        <f t="shared" si="52"/>
        <v>1154790</v>
      </c>
      <c r="F26" s="205">
        <v>3722837</v>
      </c>
      <c r="G26" s="205"/>
      <c r="H26" s="34">
        <f t="shared" si="53"/>
        <v>139730</v>
      </c>
      <c r="I26" s="205">
        <v>150880</v>
      </c>
      <c r="J26" s="205"/>
      <c r="K26" s="34">
        <f t="shared" si="54"/>
        <v>1900</v>
      </c>
      <c r="L26" s="205">
        <v>237267</v>
      </c>
      <c r="M26" s="205"/>
      <c r="N26" s="34">
        <f t="shared" si="7"/>
        <v>963000</v>
      </c>
      <c r="O26" s="205">
        <v>2216</v>
      </c>
      <c r="P26" s="205"/>
      <c r="Q26" s="34">
        <f t="shared" si="8"/>
        <v>23000</v>
      </c>
      <c r="R26" s="35"/>
      <c r="S26" s="205">
        <v>544493</v>
      </c>
      <c r="T26" s="205"/>
      <c r="U26" s="34">
        <f t="shared" si="9"/>
        <v>160100</v>
      </c>
      <c r="V26" s="205">
        <v>883070</v>
      </c>
      <c r="W26" s="205"/>
      <c r="X26" s="34">
        <f t="shared" si="10"/>
        <v>598000</v>
      </c>
      <c r="Y26" s="36">
        <f t="shared" si="11"/>
        <v>758100</v>
      </c>
      <c r="Z26" s="17"/>
      <c r="AA26" s="20">
        <v>35618782</v>
      </c>
      <c r="AB26" s="34">
        <f t="shared" si="12"/>
        <v>271000</v>
      </c>
      <c r="AC26" s="20">
        <v>969456300</v>
      </c>
      <c r="AD26" s="34">
        <f t="shared" si="13"/>
        <v>6229289</v>
      </c>
      <c r="AE26" s="20">
        <v>86211</v>
      </c>
      <c r="AF26" s="34">
        <f t="shared" si="14"/>
        <v>2034000</v>
      </c>
      <c r="AG26" s="20">
        <v>2091554</v>
      </c>
      <c r="AH26" s="34">
        <f t="shared" si="15"/>
        <v>3376000</v>
      </c>
      <c r="AI26" s="20">
        <v>2944947</v>
      </c>
      <c r="AJ26" s="34">
        <f t="shared" si="16"/>
        <v>11620</v>
      </c>
      <c r="AK26" s="20">
        <v>13342</v>
      </c>
      <c r="AL26" s="34">
        <f t="shared" si="17"/>
        <v>35000</v>
      </c>
      <c r="AM26" s="20">
        <v>721</v>
      </c>
      <c r="AN26" s="34">
        <f t="shared" si="18"/>
        <v>0</v>
      </c>
      <c r="AO26" s="20">
        <v>8150</v>
      </c>
      <c r="AP26" s="34">
        <f t="shared" si="19"/>
        <v>640</v>
      </c>
      <c r="AQ26" s="14"/>
      <c r="AR26" s="58">
        <f t="shared" si="42"/>
        <v>43605</v>
      </c>
      <c r="AS26" s="20">
        <v>10904</v>
      </c>
      <c r="AT26" s="34">
        <f t="shared" si="20"/>
        <v>282</v>
      </c>
      <c r="AU26" s="14"/>
      <c r="AV26" s="20">
        <v>12857528</v>
      </c>
      <c r="AW26" s="34">
        <f t="shared" si="21"/>
        <v>76964</v>
      </c>
      <c r="AX26" s="20">
        <v>12026341</v>
      </c>
      <c r="AY26" s="34">
        <v>0</v>
      </c>
      <c r="AZ26" s="34">
        <f t="shared" si="23"/>
        <v>76964</v>
      </c>
      <c r="BA26" s="20">
        <v>6669700</v>
      </c>
      <c r="BB26" s="34">
        <f t="shared" si="24"/>
        <v>5200</v>
      </c>
      <c r="BC26" s="20">
        <v>3671300</v>
      </c>
      <c r="BD26" s="34">
        <f t="shared" si="25"/>
        <v>200</v>
      </c>
      <c r="BE26" s="20">
        <v>31036029</v>
      </c>
      <c r="BF26" s="34">
        <f t="shared" si="26"/>
        <v>132390</v>
      </c>
      <c r="BI26" s="19">
        <f t="shared" si="0"/>
        <v>32645621</v>
      </c>
      <c r="BN26" s="19">
        <f t="shared" si="1"/>
        <v>3722837</v>
      </c>
      <c r="BR26" s="19">
        <f t="shared" si="2"/>
        <v>544493</v>
      </c>
      <c r="BV26" s="19">
        <f t="shared" si="3"/>
        <v>883070</v>
      </c>
      <c r="CB26" s="14"/>
      <c r="CC26" s="19">
        <f t="shared" si="27"/>
        <v>6669700</v>
      </c>
      <c r="CI26" s="19">
        <f t="shared" si="28"/>
        <v>12857528</v>
      </c>
      <c r="CN26" s="19">
        <f t="shared" si="29"/>
        <v>10904</v>
      </c>
      <c r="CR26" s="19">
        <f t="shared" si="30"/>
        <v>3671300</v>
      </c>
      <c r="CW26" s="19">
        <f t="shared" si="31"/>
        <v>31036029</v>
      </c>
      <c r="DD26" s="47"/>
      <c r="DE26" s="47"/>
      <c r="DF26" s="47"/>
      <c r="DG26" s="47"/>
      <c r="DI26" s="100"/>
      <c r="DJ26" s="100"/>
    </row>
    <row r="27" spans="2:114">
      <c r="B27" s="58">
        <v>43611</v>
      </c>
      <c r="C27" s="205">
        <v>32770441</v>
      </c>
      <c r="D27" s="205"/>
      <c r="E27" s="34">
        <f t="shared" si="52"/>
        <v>1248200</v>
      </c>
      <c r="F27" s="205">
        <v>3739015</v>
      </c>
      <c r="G27" s="205"/>
      <c r="H27" s="34">
        <f t="shared" si="53"/>
        <v>161780</v>
      </c>
      <c r="I27" s="205">
        <v>151060</v>
      </c>
      <c r="J27" s="205"/>
      <c r="K27" s="34">
        <f t="shared" si="54"/>
        <v>1800</v>
      </c>
      <c r="L27" s="205">
        <v>238239</v>
      </c>
      <c r="M27" s="205"/>
      <c r="N27" s="34">
        <f t="shared" si="7"/>
        <v>972000</v>
      </c>
      <c r="O27" s="205">
        <v>2451</v>
      </c>
      <c r="P27" s="205"/>
      <c r="Q27" s="34">
        <f t="shared" si="8"/>
        <v>23500</v>
      </c>
      <c r="R27" s="35"/>
      <c r="S27" s="205">
        <v>546960</v>
      </c>
      <c r="T27" s="205"/>
      <c r="U27" s="34">
        <f t="shared" si="9"/>
        <v>246700</v>
      </c>
      <c r="V27" s="205">
        <v>886729</v>
      </c>
      <c r="W27" s="205"/>
      <c r="X27" s="34">
        <f t="shared" si="10"/>
        <v>365900</v>
      </c>
      <c r="Y27" s="36">
        <f t="shared" si="11"/>
        <v>612600</v>
      </c>
      <c r="Z27" s="17"/>
      <c r="AA27" s="20">
        <v>35618887</v>
      </c>
      <c r="AB27" s="34">
        <f t="shared" si="12"/>
        <v>105000</v>
      </c>
      <c r="AC27" s="20">
        <v>976560812</v>
      </c>
      <c r="AD27" s="34">
        <f t="shared" si="13"/>
        <v>7104512</v>
      </c>
      <c r="AE27" s="20">
        <v>86785</v>
      </c>
      <c r="AF27" s="34">
        <f t="shared" si="14"/>
        <v>574000</v>
      </c>
      <c r="AG27" s="20">
        <v>2096023</v>
      </c>
      <c r="AH27" s="34">
        <f t="shared" si="15"/>
        <v>4469000</v>
      </c>
      <c r="AI27" s="20">
        <v>2961646</v>
      </c>
      <c r="AJ27" s="34">
        <f t="shared" si="16"/>
        <v>16699</v>
      </c>
      <c r="AK27" s="20">
        <v>13398</v>
      </c>
      <c r="AL27" s="34">
        <f t="shared" si="17"/>
        <v>56000</v>
      </c>
      <c r="AM27" s="19">
        <v>0</v>
      </c>
      <c r="AN27" s="34">
        <v>0</v>
      </c>
      <c r="AO27" s="20">
        <v>8207</v>
      </c>
      <c r="AP27" s="34">
        <f t="shared" si="19"/>
        <v>570</v>
      </c>
      <c r="AQ27" s="14"/>
      <c r="AR27" s="58">
        <f t="shared" si="42"/>
        <v>43611</v>
      </c>
      <c r="AS27" s="20">
        <v>10980</v>
      </c>
      <c r="AT27" s="34">
        <f t="shared" si="20"/>
        <v>76</v>
      </c>
      <c r="AU27" s="14"/>
      <c r="AV27" s="20">
        <v>12942757</v>
      </c>
      <c r="AW27" s="34">
        <f t="shared" si="21"/>
        <v>85229</v>
      </c>
      <c r="AX27" s="20">
        <v>183775</v>
      </c>
      <c r="AY27" s="34">
        <v>0</v>
      </c>
      <c r="AZ27" s="34">
        <f t="shared" si="23"/>
        <v>85229</v>
      </c>
      <c r="BA27" s="20">
        <v>6671000</v>
      </c>
      <c r="BB27" s="34">
        <f t="shared" si="24"/>
        <v>1300</v>
      </c>
      <c r="BC27" s="20">
        <v>3671500</v>
      </c>
      <c r="BD27" s="34">
        <f t="shared" si="25"/>
        <v>200</v>
      </c>
      <c r="BE27" s="20">
        <v>31569065</v>
      </c>
      <c r="BF27" s="34">
        <f t="shared" si="26"/>
        <v>533036</v>
      </c>
      <c r="BI27" s="19">
        <f t="shared" si="0"/>
        <v>32770441</v>
      </c>
      <c r="BN27" s="19">
        <f t="shared" si="1"/>
        <v>3739015</v>
      </c>
      <c r="BR27" s="19">
        <f t="shared" si="2"/>
        <v>546960</v>
      </c>
      <c r="BV27" s="19">
        <f t="shared" si="3"/>
        <v>886729</v>
      </c>
      <c r="CB27" s="14"/>
      <c r="CC27" s="19">
        <f t="shared" si="27"/>
        <v>6671000</v>
      </c>
      <c r="CI27" s="19">
        <f t="shared" si="28"/>
        <v>12942757</v>
      </c>
      <c r="CN27" s="19">
        <f t="shared" si="29"/>
        <v>10980</v>
      </c>
      <c r="CR27" s="19">
        <f t="shared" si="30"/>
        <v>3671500</v>
      </c>
      <c r="CW27" s="19">
        <f t="shared" si="31"/>
        <v>31569065</v>
      </c>
      <c r="DD27" s="47"/>
      <c r="DE27" s="47"/>
      <c r="DF27" s="47"/>
      <c r="DG27" s="47"/>
      <c r="DI27" s="100"/>
      <c r="DJ27" s="100"/>
    </row>
    <row r="28" spans="2:114">
      <c r="B28" s="58">
        <v>43617</v>
      </c>
      <c r="C28" s="205">
        <v>32913205</v>
      </c>
      <c r="D28" s="205"/>
      <c r="E28" s="34">
        <f t="shared" si="52"/>
        <v>1427640</v>
      </c>
      <c r="F28" s="205">
        <v>3766008</v>
      </c>
      <c r="G28" s="205"/>
      <c r="H28" s="34">
        <f t="shared" si="53"/>
        <v>269930</v>
      </c>
      <c r="I28" s="205">
        <v>151230</v>
      </c>
      <c r="J28" s="205"/>
      <c r="K28" s="34">
        <f t="shared" si="54"/>
        <v>1700</v>
      </c>
      <c r="L28" s="205">
        <v>239416</v>
      </c>
      <c r="M28" s="205"/>
      <c r="N28" s="34">
        <f t="shared" si="7"/>
        <v>1177000</v>
      </c>
      <c r="O28" s="205">
        <v>2685</v>
      </c>
      <c r="P28" s="205"/>
      <c r="Q28" s="34">
        <f t="shared" si="8"/>
        <v>23400</v>
      </c>
      <c r="R28" s="35"/>
      <c r="S28" s="205">
        <v>548928</v>
      </c>
      <c r="T28" s="205"/>
      <c r="U28" s="34">
        <f t="shared" si="9"/>
        <v>196800</v>
      </c>
      <c r="V28" s="205">
        <v>888527</v>
      </c>
      <c r="W28" s="205"/>
      <c r="X28" s="34">
        <f t="shared" si="10"/>
        <v>179800</v>
      </c>
      <c r="Y28" s="36">
        <f t="shared" si="11"/>
        <v>376600</v>
      </c>
      <c r="Z28" s="17"/>
      <c r="AA28" s="20">
        <v>35618928</v>
      </c>
      <c r="AB28" s="34">
        <f t="shared" si="12"/>
        <v>41000</v>
      </c>
      <c r="AC28" s="20">
        <v>984702211</v>
      </c>
      <c r="AD28" s="34">
        <f t="shared" si="13"/>
        <v>8141399</v>
      </c>
      <c r="AE28" s="20">
        <v>87354</v>
      </c>
      <c r="AF28" s="34">
        <f t="shared" si="14"/>
        <v>569000</v>
      </c>
      <c r="AG28" s="20">
        <v>2108020</v>
      </c>
      <c r="AH28" s="34">
        <f t="shared" si="15"/>
        <v>11997000</v>
      </c>
      <c r="AI28" s="20">
        <v>2963689</v>
      </c>
      <c r="AJ28" s="34">
        <f t="shared" si="16"/>
        <v>2043</v>
      </c>
      <c r="AK28" s="20">
        <v>13442</v>
      </c>
      <c r="AL28" s="34">
        <f t="shared" si="17"/>
        <v>44000</v>
      </c>
      <c r="AM28" s="20">
        <v>0</v>
      </c>
      <c r="AN28" s="34">
        <v>0</v>
      </c>
      <c r="AO28" s="20">
        <v>8280</v>
      </c>
      <c r="AP28" s="34">
        <f t="shared" si="19"/>
        <v>730</v>
      </c>
      <c r="AQ28" s="14"/>
      <c r="AR28" s="58">
        <f t="shared" si="42"/>
        <v>43617</v>
      </c>
      <c r="AS28" s="20">
        <v>11063</v>
      </c>
      <c r="AT28" s="34">
        <f t="shared" si="20"/>
        <v>83</v>
      </c>
      <c r="AU28" s="14"/>
      <c r="AV28" s="20">
        <v>12987394</v>
      </c>
      <c r="AW28" s="34">
        <f t="shared" si="21"/>
        <v>44637</v>
      </c>
      <c r="AX28" s="20">
        <v>2209736</v>
      </c>
      <c r="AY28" s="34">
        <v>0</v>
      </c>
      <c r="AZ28" s="34">
        <f t="shared" si="23"/>
        <v>44637</v>
      </c>
      <c r="BA28" s="20">
        <v>6673000</v>
      </c>
      <c r="BB28" s="34">
        <f t="shared" si="24"/>
        <v>2000</v>
      </c>
      <c r="BC28" s="20">
        <v>3671700</v>
      </c>
      <c r="BD28" s="34">
        <f t="shared" si="25"/>
        <v>200</v>
      </c>
      <c r="BE28" s="20">
        <v>31989130</v>
      </c>
      <c r="BF28" s="34">
        <f t="shared" si="26"/>
        <v>420065</v>
      </c>
      <c r="BI28" s="19">
        <f t="shared" si="0"/>
        <v>32913205</v>
      </c>
      <c r="BJ28" s="20">
        <v>327799</v>
      </c>
      <c r="BK28" s="19">
        <f>SUM(BJ28-BJ22)</f>
        <v>6115</v>
      </c>
      <c r="BL28" s="59">
        <f>SUM(BK28*1.0766)+1986.71</f>
        <v>8570.1189999999988</v>
      </c>
      <c r="BM28" s="75">
        <v>34789.58</v>
      </c>
      <c r="BN28" s="19">
        <f t="shared" si="1"/>
        <v>3766008</v>
      </c>
      <c r="BO28" s="20">
        <v>37399</v>
      </c>
      <c r="BP28" s="19">
        <f>SUM(BO28-BO22)</f>
        <v>724</v>
      </c>
      <c r="BQ28" s="59">
        <f>SUM(BP28*0.8486)+1639.2</f>
        <v>2253.5864000000001</v>
      </c>
      <c r="BR28" s="19">
        <f t="shared" si="2"/>
        <v>548928</v>
      </c>
      <c r="BS28" s="20">
        <v>547905</v>
      </c>
      <c r="BT28" s="20">
        <v>51947.33</v>
      </c>
      <c r="BU28" s="87">
        <v>33479.769999999997</v>
      </c>
      <c r="BV28" s="19">
        <f t="shared" si="3"/>
        <v>888527</v>
      </c>
      <c r="BW28" s="88">
        <v>88775</v>
      </c>
      <c r="BX28" s="39">
        <v>1046.57</v>
      </c>
      <c r="BY28" s="87">
        <v>677.19</v>
      </c>
      <c r="BZ28" s="98">
        <f t="shared" ref="BZ28" si="55">SUM(BT28+BX28)</f>
        <v>52993.9</v>
      </c>
      <c r="CA28" s="87">
        <v>12061.58</v>
      </c>
      <c r="CB28" s="14"/>
      <c r="CC28" s="19">
        <f t="shared" si="27"/>
        <v>6673000</v>
      </c>
      <c r="CD28" s="20">
        <v>6672</v>
      </c>
      <c r="CE28" s="19">
        <f>SUM(CD28-CD22)</f>
        <v>13</v>
      </c>
      <c r="CF28" s="59">
        <f>SUM(CE28*1.0766)+124.09</f>
        <v>138.08580000000001</v>
      </c>
      <c r="CG28" s="75">
        <v>78.260000000000005</v>
      </c>
      <c r="CH28" s="75">
        <v>1416.14</v>
      </c>
      <c r="CI28" s="19">
        <f t="shared" si="28"/>
        <v>12987394</v>
      </c>
      <c r="CJ28" s="20">
        <v>12877</v>
      </c>
      <c r="CK28" s="19">
        <f>SUM(CJ28-CJ22)</f>
        <v>287</v>
      </c>
      <c r="CL28" s="59">
        <f>SUM(CK28*1.0766+198.63)</f>
        <v>507.61419999999998</v>
      </c>
      <c r="CM28" s="91">
        <v>1715.7</v>
      </c>
      <c r="CN28" s="19">
        <f t="shared" si="29"/>
        <v>11063</v>
      </c>
      <c r="CO28" s="20">
        <v>1050</v>
      </c>
      <c r="CP28" s="20">
        <v>1442.04</v>
      </c>
      <c r="CQ28" s="90">
        <v>933.08</v>
      </c>
      <c r="CR28" s="19">
        <f t="shared" si="30"/>
        <v>3671700</v>
      </c>
      <c r="CS28" s="20">
        <v>3671</v>
      </c>
      <c r="CT28" s="19">
        <f>SUM(CS28-CS22)</f>
        <v>1</v>
      </c>
      <c r="CU28" s="59">
        <f>SUM(CT28*1.0766)+198.63</f>
        <v>199.70660000000001</v>
      </c>
      <c r="CW28" s="19">
        <f t="shared" si="31"/>
        <v>31989130</v>
      </c>
      <c r="CX28" s="20">
        <v>306015</v>
      </c>
      <c r="CY28" s="19">
        <f>SUM(CX28-CX22)</f>
        <v>7752</v>
      </c>
      <c r="CZ28" s="59">
        <f>SUM(CY28*0.8486)+1024.42</f>
        <v>7602.7672000000002</v>
      </c>
      <c r="DC28" s="20">
        <f>SUM(E26:E29)</f>
        <v>5316290</v>
      </c>
      <c r="DD28" s="75" t="e">
        <f>SUM(BL28+CF28+CL28+#REF!+CU28)</f>
        <v>#REF!</v>
      </c>
      <c r="DE28" s="75">
        <f>SUM(BQ28+CZ28)</f>
        <v>9856.3536000000004</v>
      </c>
      <c r="DF28" s="75">
        <f>SUM(BM28+CG28+CV28)</f>
        <v>34867.840000000004</v>
      </c>
      <c r="DG28" s="75" t="e">
        <f>SUM(DD28:DF28)</f>
        <v>#REF!</v>
      </c>
      <c r="DI28" s="92">
        <f>SUM(BU28+CQ28+BY28)</f>
        <v>35090.04</v>
      </c>
      <c r="DJ28" s="92">
        <f>SUM(CA28+CH28)</f>
        <v>13477.72</v>
      </c>
    </row>
    <row r="29" spans="2:114">
      <c r="B29" s="58">
        <v>43625</v>
      </c>
      <c r="C29" s="205">
        <v>33061771</v>
      </c>
      <c r="D29" s="205"/>
      <c r="E29" s="34">
        <f t="shared" ref="E29" si="56">SUM(C29-C28)*10</f>
        <v>1485660</v>
      </c>
      <c r="F29" s="205">
        <v>3791543</v>
      </c>
      <c r="G29" s="205"/>
      <c r="H29" s="34">
        <f t="shared" ref="H29" si="57">SUM(F29-F28)*10</f>
        <v>255350</v>
      </c>
      <c r="I29" s="205">
        <v>151450</v>
      </c>
      <c r="J29" s="205"/>
      <c r="K29" s="34">
        <f t="shared" si="54"/>
        <v>2200</v>
      </c>
      <c r="L29" s="205">
        <v>240532</v>
      </c>
      <c r="M29" s="205"/>
      <c r="N29" s="34">
        <f t="shared" si="7"/>
        <v>1116000</v>
      </c>
      <c r="O29" s="205">
        <v>2927</v>
      </c>
      <c r="P29" s="205"/>
      <c r="Q29" s="34">
        <f t="shared" si="8"/>
        <v>24200</v>
      </c>
      <c r="R29" s="35"/>
      <c r="S29" s="205">
        <v>550941</v>
      </c>
      <c r="T29" s="205"/>
      <c r="U29" s="34">
        <f t="shared" si="9"/>
        <v>201300</v>
      </c>
      <c r="V29" s="205">
        <v>890450</v>
      </c>
      <c r="W29" s="205"/>
      <c r="X29" s="34">
        <f t="shared" si="10"/>
        <v>192300</v>
      </c>
      <c r="Y29" s="36">
        <f t="shared" si="11"/>
        <v>393600</v>
      </c>
      <c r="Z29" s="17"/>
      <c r="AA29" s="20">
        <v>35618951</v>
      </c>
      <c r="AB29" s="34">
        <f t="shared" si="12"/>
        <v>23000</v>
      </c>
      <c r="AC29" s="20">
        <v>992892011</v>
      </c>
      <c r="AD29" s="34">
        <f t="shared" si="13"/>
        <v>8189800</v>
      </c>
      <c r="AE29" s="20">
        <v>87439</v>
      </c>
      <c r="AF29" s="34">
        <f t="shared" si="14"/>
        <v>85000</v>
      </c>
      <c r="AG29" s="20">
        <v>2133420</v>
      </c>
      <c r="AH29" s="34">
        <f t="shared" si="15"/>
        <v>25400000</v>
      </c>
      <c r="AI29" s="20">
        <v>2981622</v>
      </c>
      <c r="AJ29" s="34">
        <f t="shared" si="16"/>
        <v>17933</v>
      </c>
      <c r="AK29" s="20">
        <v>13465</v>
      </c>
      <c r="AL29" s="34">
        <f t="shared" si="17"/>
        <v>23000</v>
      </c>
      <c r="AM29" s="20">
        <v>0</v>
      </c>
      <c r="AN29" s="34">
        <v>0</v>
      </c>
      <c r="AO29" s="20">
        <v>8331</v>
      </c>
      <c r="AP29" s="34">
        <f t="shared" si="19"/>
        <v>510</v>
      </c>
      <c r="AQ29" s="14"/>
      <c r="AR29" s="58">
        <f t="shared" si="42"/>
        <v>43625</v>
      </c>
      <c r="AS29" s="20">
        <v>11211</v>
      </c>
      <c r="AT29" s="34">
        <f t="shared" si="20"/>
        <v>148</v>
      </c>
      <c r="AU29" s="14"/>
      <c r="AV29" s="20">
        <v>13098186</v>
      </c>
      <c r="AW29" s="34">
        <f t="shared" si="21"/>
        <v>110792</v>
      </c>
      <c r="AX29" s="20">
        <v>31352136</v>
      </c>
      <c r="AY29" s="34">
        <v>0</v>
      </c>
      <c r="AZ29" s="34">
        <f t="shared" si="23"/>
        <v>110792</v>
      </c>
      <c r="BA29" s="20">
        <v>6676800</v>
      </c>
      <c r="BB29" s="34">
        <f t="shared" si="24"/>
        <v>3800</v>
      </c>
      <c r="BC29" s="20">
        <v>3672200</v>
      </c>
      <c r="BD29" s="34">
        <f t="shared" si="25"/>
        <v>500</v>
      </c>
      <c r="BE29" s="20">
        <v>32259183</v>
      </c>
      <c r="BF29" s="34">
        <f t="shared" si="26"/>
        <v>270053</v>
      </c>
      <c r="BI29" s="19">
        <f t="shared" si="0"/>
        <v>33061771</v>
      </c>
      <c r="BN29" s="19">
        <f t="shared" si="1"/>
        <v>3791543</v>
      </c>
      <c r="BR29" s="19">
        <f t="shared" si="2"/>
        <v>550941</v>
      </c>
      <c r="BV29" s="19">
        <f t="shared" si="3"/>
        <v>890450</v>
      </c>
      <c r="CB29" s="14"/>
      <c r="CC29" s="19">
        <f t="shared" si="27"/>
        <v>6676800</v>
      </c>
      <c r="CI29" s="19">
        <f t="shared" si="28"/>
        <v>13098186</v>
      </c>
      <c r="CN29" s="19">
        <f t="shared" si="29"/>
        <v>11211</v>
      </c>
      <c r="CR29" s="19">
        <f t="shared" si="30"/>
        <v>3672200</v>
      </c>
      <c r="CW29" s="19">
        <f t="shared" si="31"/>
        <v>32259183</v>
      </c>
      <c r="DD29" s="47"/>
      <c r="DE29" s="47"/>
      <c r="DF29" s="47"/>
      <c r="DG29" s="47"/>
      <c r="DI29" s="100"/>
      <c r="DJ29" s="100"/>
    </row>
    <row r="30" spans="2:114">
      <c r="B30" s="58">
        <v>43632</v>
      </c>
      <c r="C30" s="205">
        <v>33198217</v>
      </c>
      <c r="D30" s="205"/>
      <c r="E30" s="34">
        <f t="shared" ref="E30:E32" si="58">SUM(C30-C29)*10</f>
        <v>1364460</v>
      </c>
      <c r="F30" s="205">
        <v>3809477</v>
      </c>
      <c r="G30" s="205"/>
      <c r="H30" s="34">
        <f t="shared" ref="H30:H32" si="59">SUM(F30-F29)*10</f>
        <v>179340</v>
      </c>
      <c r="I30" s="205">
        <v>151700</v>
      </c>
      <c r="J30" s="205"/>
      <c r="K30" s="34">
        <f t="shared" si="54"/>
        <v>2500</v>
      </c>
      <c r="L30" s="205">
        <v>241576</v>
      </c>
      <c r="M30" s="205"/>
      <c r="N30" s="34">
        <f t="shared" si="7"/>
        <v>1044000</v>
      </c>
      <c r="O30" s="205">
        <v>3173</v>
      </c>
      <c r="P30" s="205"/>
      <c r="Q30" s="34">
        <f t="shared" si="8"/>
        <v>24600</v>
      </c>
      <c r="R30" s="35"/>
      <c r="S30" s="205">
        <v>552901</v>
      </c>
      <c r="T30" s="205"/>
      <c r="U30" s="34">
        <f t="shared" si="9"/>
        <v>196000</v>
      </c>
      <c r="V30" s="205">
        <v>893590</v>
      </c>
      <c r="W30" s="205"/>
      <c r="X30" s="34">
        <f t="shared" si="10"/>
        <v>314000</v>
      </c>
      <c r="Y30" s="36">
        <f t="shared" si="11"/>
        <v>510000</v>
      </c>
      <c r="Z30" s="17"/>
      <c r="AA30" s="20">
        <v>35618972</v>
      </c>
      <c r="AB30" s="34">
        <f t="shared" si="12"/>
        <v>21000</v>
      </c>
      <c r="AC30" s="20">
        <v>813063</v>
      </c>
      <c r="AD30" s="34">
        <v>7921052</v>
      </c>
      <c r="AE30" s="20">
        <v>87468</v>
      </c>
      <c r="AF30" s="34">
        <f t="shared" si="14"/>
        <v>29000</v>
      </c>
      <c r="AG30" s="20">
        <v>2159561</v>
      </c>
      <c r="AH30" s="34">
        <f t="shared" si="15"/>
        <v>26141000</v>
      </c>
      <c r="AI30" s="20">
        <v>2987137</v>
      </c>
      <c r="AJ30" s="34">
        <f t="shared" si="16"/>
        <v>5515</v>
      </c>
      <c r="AK30" s="20">
        <v>13466</v>
      </c>
      <c r="AL30" s="34">
        <f t="shared" si="17"/>
        <v>1000</v>
      </c>
      <c r="AM30" s="20">
        <v>0</v>
      </c>
      <c r="AN30" s="34">
        <v>0</v>
      </c>
      <c r="AO30" s="20">
        <v>8391</v>
      </c>
      <c r="AP30" s="34">
        <f t="shared" si="19"/>
        <v>600</v>
      </c>
      <c r="AQ30" s="14"/>
      <c r="AR30" s="58">
        <f t="shared" si="42"/>
        <v>43632</v>
      </c>
      <c r="AS30" s="20">
        <v>11396</v>
      </c>
      <c r="AT30" s="34">
        <f t="shared" si="20"/>
        <v>185</v>
      </c>
      <c r="AU30" s="14"/>
      <c r="AV30" s="20">
        <v>13179817</v>
      </c>
      <c r="AW30" s="34">
        <f t="shared" si="21"/>
        <v>81631</v>
      </c>
      <c r="AX30" s="20">
        <v>37904779</v>
      </c>
      <c r="AY30" s="37">
        <f>SUM(AX30-AX29)/100</f>
        <v>65526.43</v>
      </c>
      <c r="AZ30" s="34">
        <f t="shared" si="23"/>
        <v>16104.57</v>
      </c>
      <c r="BA30" s="20">
        <v>6679900</v>
      </c>
      <c r="BB30" s="34">
        <f t="shared" si="24"/>
        <v>3100</v>
      </c>
      <c r="BC30" s="20">
        <v>3672600</v>
      </c>
      <c r="BD30" s="34">
        <f t="shared" si="25"/>
        <v>400</v>
      </c>
      <c r="BE30" s="20">
        <v>32260881</v>
      </c>
      <c r="BF30" s="34">
        <f t="shared" si="26"/>
        <v>1698</v>
      </c>
      <c r="BI30" s="19">
        <f t="shared" si="0"/>
        <v>33198217</v>
      </c>
      <c r="BN30" s="19">
        <f t="shared" si="1"/>
        <v>3809477</v>
      </c>
      <c r="BR30" s="19">
        <f t="shared" si="2"/>
        <v>552901</v>
      </c>
      <c r="BV30" s="19">
        <f t="shared" si="3"/>
        <v>893590</v>
      </c>
      <c r="CB30" s="14"/>
      <c r="CC30" s="19">
        <f t="shared" si="27"/>
        <v>6679900</v>
      </c>
      <c r="CI30" s="19">
        <f t="shared" si="28"/>
        <v>13179817</v>
      </c>
      <c r="CN30" s="19">
        <f t="shared" si="29"/>
        <v>11396</v>
      </c>
      <c r="CR30" s="19">
        <f t="shared" si="30"/>
        <v>3672600</v>
      </c>
      <c r="CW30" s="19">
        <f t="shared" si="31"/>
        <v>32260881</v>
      </c>
      <c r="DD30" s="47"/>
      <c r="DE30" s="47"/>
      <c r="DF30" s="47"/>
      <c r="DG30" s="47"/>
      <c r="DI30" s="100"/>
      <c r="DJ30" s="100"/>
    </row>
    <row r="31" spans="2:114">
      <c r="B31" s="58">
        <v>43639</v>
      </c>
      <c r="C31" s="205">
        <v>33322305</v>
      </c>
      <c r="D31" s="205"/>
      <c r="E31" s="34">
        <f t="shared" si="58"/>
        <v>1240880</v>
      </c>
      <c r="F31" s="205">
        <v>3825148</v>
      </c>
      <c r="G31" s="205"/>
      <c r="H31" s="34">
        <f t="shared" si="59"/>
        <v>156710</v>
      </c>
      <c r="I31" s="205">
        <v>151860</v>
      </c>
      <c r="J31" s="205"/>
      <c r="K31" s="34">
        <f t="shared" si="54"/>
        <v>1600</v>
      </c>
      <c r="L31" s="205">
        <v>242604</v>
      </c>
      <c r="M31" s="205"/>
      <c r="N31" s="34">
        <f t="shared" si="7"/>
        <v>1028000</v>
      </c>
      <c r="O31" s="205">
        <v>3400</v>
      </c>
      <c r="P31" s="205"/>
      <c r="Q31" s="34">
        <f t="shared" si="8"/>
        <v>22700</v>
      </c>
      <c r="R31" s="35"/>
      <c r="S31" s="205">
        <v>554959</v>
      </c>
      <c r="T31" s="205"/>
      <c r="U31" s="34">
        <f t="shared" si="9"/>
        <v>205800</v>
      </c>
      <c r="V31" s="205">
        <v>895710</v>
      </c>
      <c r="W31" s="205"/>
      <c r="X31" s="34">
        <f t="shared" si="10"/>
        <v>212000</v>
      </c>
      <c r="Y31" s="36">
        <f t="shared" si="11"/>
        <v>417800</v>
      </c>
      <c r="Z31" s="17"/>
      <c r="AA31" s="20">
        <v>35618978</v>
      </c>
      <c r="AB31" s="34">
        <f t="shared" si="12"/>
        <v>6000</v>
      </c>
      <c r="AC31" s="20">
        <v>8728924</v>
      </c>
      <c r="AD31" s="34">
        <f t="shared" ref="AD31:AD60" si="60">SUM(AC31-AC30)</f>
        <v>7915861</v>
      </c>
      <c r="AE31" s="20">
        <v>87559</v>
      </c>
      <c r="AF31" s="34">
        <f t="shared" si="14"/>
        <v>91000</v>
      </c>
      <c r="AG31" s="20">
        <v>2173022</v>
      </c>
      <c r="AH31" s="34">
        <f t="shared" si="15"/>
        <v>13461000</v>
      </c>
      <c r="AI31" s="20">
        <v>2994488</v>
      </c>
      <c r="AJ31" s="34">
        <f t="shared" si="16"/>
        <v>7351</v>
      </c>
      <c r="AK31" s="20">
        <v>13468</v>
      </c>
      <c r="AL31" s="34">
        <f t="shared" si="17"/>
        <v>2000</v>
      </c>
      <c r="AM31" s="20">
        <v>0</v>
      </c>
      <c r="AN31" s="34">
        <v>0</v>
      </c>
      <c r="AO31" s="20">
        <v>8441</v>
      </c>
      <c r="AP31" s="34">
        <f t="shared" si="19"/>
        <v>500</v>
      </c>
      <c r="AQ31" s="14"/>
      <c r="AR31" s="58">
        <f t="shared" si="42"/>
        <v>43639</v>
      </c>
      <c r="AS31" s="20">
        <v>11453</v>
      </c>
      <c r="AT31" s="34">
        <f t="shared" si="20"/>
        <v>57</v>
      </c>
      <c r="AU31" s="14"/>
      <c r="AV31" s="20">
        <v>13261025</v>
      </c>
      <c r="AW31" s="34">
        <f t="shared" si="21"/>
        <v>81208</v>
      </c>
      <c r="AX31" s="20">
        <v>44917910</v>
      </c>
      <c r="AY31" s="37">
        <f t="shared" ref="AY31:AY61" si="61">SUM(AX31-AX30)/100</f>
        <v>70131.31</v>
      </c>
      <c r="AZ31" s="34">
        <f t="shared" si="23"/>
        <v>11076.690000000002</v>
      </c>
      <c r="BA31" s="20">
        <v>6683100</v>
      </c>
      <c r="BB31" s="34">
        <f t="shared" si="24"/>
        <v>3200</v>
      </c>
      <c r="BC31" s="20">
        <v>3672800</v>
      </c>
      <c r="BD31" s="34">
        <f t="shared" si="25"/>
        <v>200</v>
      </c>
      <c r="BE31" s="20">
        <v>32273983</v>
      </c>
      <c r="BF31" s="34">
        <f t="shared" si="26"/>
        <v>13102</v>
      </c>
      <c r="BI31" s="19">
        <f t="shared" si="0"/>
        <v>33322305</v>
      </c>
      <c r="BN31" s="19">
        <f t="shared" si="1"/>
        <v>3825148</v>
      </c>
      <c r="BR31" s="19">
        <f t="shared" si="2"/>
        <v>554959</v>
      </c>
      <c r="BV31" s="19">
        <f t="shared" si="3"/>
        <v>895710</v>
      </c>
      <c r="CB31" s="14"/>
      <c r="CC31" s="19">
        <f t="shared" si="27"/>
        <v>6683100</v>
      </c>
      <c r="CI31" s="19">
        <f t="shared" si="28"/>
        <v>13261025</v>
      </c>
      <c r="CN31" s="19">
        <f t="shared" si="29"/>
        <v>11453</v>
      </c>
      <c r="CR31" s="19">
        <f t="shared" si="30"/>
        <v>3672800</v>
      </c>
      <c r="CW31" s="19">
        <f t="shared" si="31"/>
        <v>32273983</v>
      </c>
      <c r="DD31" s="47"/>
      <c r="DE31" s="47"/>
      <c r="DF31" s="47"/>
      <c r="DG31" s="47"/>
      <c r="DI31" s="100"/>
      <c r="DJ31" s="100"/>
    </row>
    <row r="32" spans="2:114">
      <c r="B32" s="58">
        <v>43647</v>
      </c>
      <c r="C32" s="205">
        <v>33474842</v>
      </c>
      <c r="D32" s="205"/>
      <c r="E32" s="34">
        <f t="shared" si="58"/>
        <v>1525370</v>
      </c>
      <c r="F32" s="205">
        <v>3847098</v>
      </c>
      <c r="G32" s="205"/>
      <c r="H32" s="34">
        <f t="shared" si="59"/>
        <v>219500</v>
      </c>
      <c r="I32" s="205">
        <v>152010</v>
      </c>
      <c r="J32" s="205"/>
      <c r="K32" s="34">
        <f t="shared" si="54"/>
        <v>1500</v>
      </c>
      <c r="L32" s="205">
        <v>243709</v>
      </c>
      <c r="M32" s="205"/>
      <c r="N32" s="34">
        <f t="shared" si="7"/>
        <v>1105000</v>
      </c>
      <c r="O32" s="205">
        <v>3602</v>
      </c>
      <c r="P32" s="205"/>
      <c r="Q32" s="34">
        <f t="shared" si="8"/>
        <v>20200</v>
      </c>
      <c r="R32" s="35"/>
      <c r="S32" s="205">
        <v>556977</v>
      </c>
      <c r="T32" s="205"/>
      <c r="U32" s="34">
        <f t="shared" si="9"/>
        <v>201800</v>
      </c>
      <c r="V32" s="205">
        <v>897350</v>
      </c>
      <c r="W32" s="205"/>
      <c r="X32" s="34">
        <f t="shared" si="10"/>
        <v>164000</v>
      </c>
      <c r="Y32" s="36">
        <f t="shared" si="11"/>
        <v>365800</v>
      </c>
      <c r="Z32" s="17"/>
      <c r="AA32" s="20">
        <v>35618981</v>
      </c>
      <c r="AB32" s="34">
        <f t="shared" si="12"/>
        <v>3000</v>
      </c>
      <c r="AC32" s="20">
        <v>16398115</v>
      </c>
      <c r="AD32" s="34">
        <f t="shared" si="60"/>
        <v>7669191</v>
      </c>
      <c r="AE32" s="20">
        <v>87695</v>
      </c>
      <c r="AF32" s="34">
        <f t="shared" si="14"/>
        <v>136000</v>
      </c>
      <c r="AG32" s="20">
        <v>2200284</v>
      </c>
      <c r="AH32" s="34">
        <f t="shared" si="15"/>
        <v>27262000</v>
      </c>
      <c r="AI32" s="20">
        <v>3005658</v>
      </c>
      <c r="AJ32" s="34">
        <f t="shared" si="16"/>
        <v>11170</v>
      </c>
      <c r="AK32" s="20">
        <v>13497</v>
      </c>
      <c r="AL32" s="34">
        <f t="shared" si="17"/>
        <v>29000</v>
      </c>
      <c r="AM32" s="20">
        <v>0</v>
      </c>
      <c r="AN32" s="34">
        <v>0</v>
      </c>
      <c r="AO32" s="20">
        <v>8511</v>
      </c>
      <c r="AP32" s="34">
        <f t="shared" si="19"/>
        <v>700</v>
      </c>
      <c r="AQ32" s="14"/>
      <c r="AR32" s="58">
        <f t="shared" si="42"/>
        <v>43647</v>
      </c>
      <c r="AS32" s="20">
        <v>11547</v>
      </c>
      <c r="AT32" s="34">
        <f t="shared" si="20"/>
        <v>94</v>
      </c>
      <c r="AU32" s="14"/>
      <c r="AV32" s="20">
        <v>13338148</v>
      </c>
      <c r="AW32" s="34">
        <f t="shared" si="21"/>
        <v>77123</v>
      </c>
      <c r="AX32" s="20">
        <v>50918759</v>
      </c>
      <c r="AY32" s="37">
        <f t="shared" si="61"/>
        <v>60008.49</v>
      </c>
      <c r="AZ32" s="34">
        <f t="shared" si="23"/>
        <v>17114.510000000002</v>
      </c>
      <c r="BA32" s="20">
        <v>6685700</v>
      </c>
      <c r="BB32" s="34">
        <f t="shared" si="24"/>
        <v>2600</v>
      </c>
      <c r="BC32" s="20">
        <v>3673109</v>
      </c>
      <c r="BD32" s="34">
        <f t="shared" si="25"/>
        <v>309</v>
      </c>
      <c r="BE32" s="20">
        <v>32501920</v>
      </c>
      <c r="BF32" s="34">
        <f t="shared" si="26"/>
        <v>227937</v>
      </c>
      <c r="BI32" s="19">
        <f t="shared" si="0"/>
        <v>33474842</v>
      </c>
      <c r="BJ32" s="20">
        <v>333545</v>
      </c>
      <c r="BK32" s="19">
        <f>SUM(BJ32-BJ28)</f>
        <v>5746</v>
      </c>
      <c r="BL32" s="59">
        <f>SUM(BK32*1.0766)+1986.71</f>
        <v>8172.8536000000004</v>
      </c>
      <c r="BM32" s="75">
        <v>12912.9</v>
      </c>
      <c r="BN32" s="19">
        <f t="shared" si="1"/>
        <v>3847098</v>
      </c>
      <c r="BO32" s="20">
        <v>38312</v>
      </c>
      <c r="BP32" s="19">
        <f>SUM(BO32-BO28)</f>
        <v>913</v>
      </c>
      <c r="BQ32" s="59">
        <f>SUM(BP32*0.8486)+1639.2</f>
        <v>2413.9718000000003</v>
      </c>
      <c r="BR32" s="19">
        <f t="shared" si="2"/>
        <v>556977</v>
      </c>
      <c r="BS32" s="20">
        <v>555987</v>
      </c>
      <c r="BT32" s="20">
        <v>40318.67</v>
      </c>
      <c r="BU32" s="87">
        <v>26041.52</v>
      </c>
      <c r="BV32" s="19">
        <f t="shared" si="3"/>
        <v>897350</v>
      </c>
      <c r="BW32" s="88">
        <v>89615</v>
      </c>
      <c r="BX32" s="39">
        <v>362.97</v>
      </c>
      <c r="BY32" s="87">
        <v>236.32</v>
      </c>
      <c r="BZ32" s="98">
        <f t="shared" ref="BZ32" si="62">SUM(BT32+BX32)</f>
        <v>40681.64</v>
      </c>
      <c r="CA32" s="87">
        <v>11013.08</v>
      </c>
      <c r="CB32" s="14"/>
      <c r="CC32" s="19">
        <f t="shared" si="27"/>
        <v>6685700</v>
      </c>
      <c r="CD32" s="20">
        <v>6685</v>
      </c>
      <c r="CE32" s="19">
        <f>SUM(CD32-CD28)</f>
        <v>13</v>
      </c>
      <c r="CF32" s="59">
        <f>SUM(CE32*1.0766)+124.09</f>
        <v>138.08580000000001</v>
      </c>
      <c r="CG32" s="75">
        <v>78.260000000000005</v>
      </c>
      <c r="CH32" s="75">
        <v>1105.28</v>
      </c>
      <c r="CI32" s="19">
        <f t="shared" si="28"/>
        <v>13338148</v>
      </c>
      <c r="CJ32" s="20">
        <v>13059</v>
      </c>
      <c r="CK32" s="19">
        <f>SUM(CJ32-CJ28)</f>
        <v>182</v>
      </c>
      <c r="CL32" s="59">
        <f>SUM(CK32*1.0766+198.63)</f>
        <v>394.57119999999998</v>
      </c>
      <c r="CM32" s="91">
        <v>1631.42</v>
      </c>
      <c r="CN32" s="19">
        <f t="shared" si="29"/>
        <v>11547</v>
      </c>
      <c r="CO32" s="20">
        <v>1495</v>
      </c>
      <c r="CP32" s="20">
        <v>1031.69</v>
      </c>
      <c r="CQ32" s="90">
        <v>668.85</v>
      </c>
      <c r="CR32" s="19">
        <f t="shared" si="30"/>
        <v>3673109</v>
      </c>
      <c r="CS32" s="20">
        <v>3673</v>
      </c>
      <c r="CT32" s="19">
        <f>SUM(CS32-CS28)</f>
        <v>2</v>
      </c>
      <c r="CU32" s="59">
        <f>SUM(CT32*1.0766)+198.63</f>
        <v>200.78319999999999</v>
      </c>
      <c r="CW32" s="19">
        <f t="shared" si="31"/>
        <v>32501920</v>
      </c>
      <c r="CX32" s="20">
        <v>322753</v>
      </c>
      <c r="CY32" s="19">
        <f>SUM(CX32-CX28)</f>
        <v>16738</v>
      </c>
      <c r="CZ32" s="59">
        <f>SUM(CY32*0.8486)+1024.42</f>
        <v>15228.2868</v>
      </c>
      <c r="DC32" s="20">
        <f>SUM(E30:E33)</f>
        <v>5624520</v>
      </c>
      <c r="DD32" s="75" t="e">
        <f>SUM(BL32+CF32+CL32+#REF!+CU32)</f>
        <v>#REF!</v>
      </c>
      <c r="DE32" s="75">
        <f>SUM(BQ32+CZ32)</f>
        <v>17642.258600000001</v>
      </c>
      <c r="DF32" s="75">
        <f>SUM(BM32+CG32+CV32)</f>
        <v>12991.16</v>
      </c>
      <c r="DG32" s="75" t="e">
        <f>SUM(DD32:DF32)</f>
        <v>#REF!</v>
      </c>
      <c r="DI32" s="92">
        <f>SUM(BU32+CQ32+BY32)</f>
        <v>26946.69</v>
      </c>
      <c r="DJ32" s="92">
        <f>SUM(CA32+CH32)</f>
        <v>12118.36</v>
      </c>
    </row>
    <row r="33" spans="2:114">
      <c r="B33" s="58">
        <v>43654</v>
      </c>
      <c r="C33" s="205">
        <v>33624223</v>
      </c>
      <c r="D33" s="205"/>
      <c r="E33" s="34">
        <f t="shared" ref="E33" si="63">SUM(C33-C32)*10</f>
        <v>1493810</v>
      </c>
      <c r="F33" s="205">
        <v>3869975</v>
      </c>
      <c r="G33" s="205"/>
      <c r="H33" s="34">
        <f t="shared" ref="H33" si="64">SUM(F33-F32)*10</f>
        <v>228770</v>
      </c>
      <c r="I33" s="205">
        <v>152150</v>
      </c>
      <c r="J33" s="205"/>
      <c r="K33" s="34">
        <f t="shared" si="54"/>
        <v>1400</v>
      </c>
      <c r="L33" s="205">
        <v>244815</v>
      </c>
      <c r="M33" s="205"/>
      <c r="N33" s="34">
        <f t="shared" si="7"/>
        <v>1106000</v>
      </c>
      <c r="O33" s="205">
        <v>3827</v>
      </c>
      <c r="P33" s="205"/>
      <c r="Q33" s="34">
        <f t="shared" si="8"/>
        <v>22500</v>
      </c>
      <c r="R33" s="35"/>
      <c r="S33" s="205">
        <v>559040</v>
      </c>
      <c r="T33" s="205"/>
      <c r="U33" s="34">
        <f t="shared" si="9"/>
        <v>206300</v>
      </c>
      <c r="V33" s="205">
        <v>898610</v>
      </c>
      <c r="W33" s="205"/>
      <c r="X33" s="34">
        <f t="shared" si="10"/>
        <v>126000</v>
      </c>
      <c r="Y33" s="36">
        <f t="shared" si="11"/>
        <v>332300</v>
      </c>
      <c r="Z33" s="17"/>
      <c r="AA33" s="20">
        <v>35618982</v>
      </c>
      <c r="AB33" s="34">
        <f t="shared" si="12"/>
        <v>1000</v>
      </c>
      <c r="AC33" s="20">
        <v>25325319</v>
      </c>
      <c r="AD33" s="34">
        <f t="shared" si="60"/>
        <v>8927204</v>
      </c>
      <c r="AE33" s="20">
        <v>87996</v>
      </c>
      <c r="AF33" s="34">
        <f t="shared" si="14"/>
        <v>301000</v>
      </c>
      <c r="AG33" s="20">
        <v>2226842</v>
      </c>
      <c r="AH33" s="34">
        <f t="shared" si="15"/>
        <v>26558000</v>
      </c>
      <c r="AI33" s="20">
        <v>3015193</v>
      </c>
      <c r="AJ33" s="34">
        <f t="shared" si="16"/>
        <v>9535</v>
      </c>
      <c r="AK33" s="20">
        <v>13522</v>
      </c>
      <c r="AL33" s="34">
        <f t="shared" si="17"/>
        <v>25000</v>
      </c>
      <c r="AM33" s="20">
        <v>1</v>
      </c>
      <c r="AN33" s="34">
        <v>0</v>
      </c>
      <c r="AO33" s="20">
        <v>8567</v>
      </c>
      <c r="AP33" s="34">
        <f t="shared" si="19"/>
        <v>560</v>
      </c>
      <c r="AQ33" s="14"/>
      <c r="AR33" s="58">
        <f t="shared" si="42"/>
        <v>43654</v>
      </c>
      <c r="AS33" s="20">
        <v>11646</v>
      </c>
      <c r="AT33" s="34">
        <f t="shared" si="20"/>
        <v>99</v>
      </c>
      <c r="AU33" s="14"/>
      <c r="AV33" s="20">
        <v>13415767</v>
      </c>
      <c r="AW33" s="34">
        <f t="shared" si="21"/>
        <v>77619</v>
      </c>
      <c r="AX33" s="20">
        <v>57420000</v>
      </c>
      <c r="AY33" s="37">
        <f t="shared" si="61"/>
        <v>65012.41</v>
      </c>
      <c r="AZ33" s="34">
        <f t="shared" si="23"/>
        <v>12606.589999999997</v>
      </c>
      <c r="BA33" s="20">
        <v>6688100</v>
      </c>
      <c r="BB33" s="34">
        <f t="shared" si="24"/>
        <v>2400</v>
      </c>
      <c r="BC33" s="20">
        <v>3673300</v>
      </c>
      <c r="BD33" s="34">
        <f t="shared" si="25"/>
        <v>191</v>
      </c>
      <c r="BE33" s="20">
        <v>32752572</v>
      </c>
      <c r="BF33" s="34">
        <f t="shared" si="26"/>
        <v>250652</v>
      </c>
      <c r="BI33" s="19">
        <f t="shared" si="0"/>
        <v>33624223</v>
      </c>
      <c r="BN33" s="19">
        <f t="shared" si="1"/>
        <v>3869975</v>
      </c>
      <c r="BR33" s="19">
        <f t="shared" si="2"/>
        <v>559040</v>
      </c>
      <c r="BV33" s="19">
        <f t="shared" si="3"/>
        <v>898610</v>
      </c>
      <c r="CB33" s="14"/>
      <c r="CC33" s="19">
        <f t="shared" si="27"/>
        <v>6688100</v>
      </c>
      <c r="CI33" s="19">
        <f t="shared" si="28"/>
        <v>13415767</v>
      </c>
      <c r="CN33" s="19">
        <f t="shared" si="29"/>
        <v>11646</v>
      </c>
      <c r="CR33" s="19">
        <f t="shared" si="30"/>
        <v>3673300</v>
      </c>
      <c r="CW33" s="19">
        <f t="shared" si="31"/>
        <v>32752572</v>
      </c>
      <c r="DD33" s="47"/>
      <c r="DE33" s="47"/>
      <c r="DF33" s="47"/>
      <c r="DG33" s="47"/>
      <c r="DI33" s="100"/>
      <c r="DJ33" s="100"/>
    </row>
    <row r="34" spans="2:114">
      <c r="B34" s="58">
        <v>43661</v>
      </c>
      <c r="C34" s="205">
        <v>33763090</v>
      </c>
      <c r="D34" s="205"/>
      <c r="E34" s="34">
        <f t="shared" ref="E34:E37" si="65">SUM(C34-C33)*10</f>
        <v>1388670</v>
      </c>
      <c r="F34" s="205">
        <v>3892290</v>
      </c>
      <c r="G34" s="205"/>
      <c r="H34" s="34">
        <f t="shared" ref="H34:H37" si="66">SUM(F34-F33)*10</f>
        <v>223150</v>
      </c>
      <c r="I34" s="205">
        <v>152450</v>
      </c>
      <c r="J34" s="205"/>
      <c r="K34" s="34">
        <f t="shared" si="54"/>
        <v>3000</v>
      </c>
      <c r="L34" s="205">
        <v>245846</v>
      </c>
      <c r="M34" s="205"/>
      <c r="N34" s="34">
        <f t="shared" si="7"/>
        <v>1031000</v>
      </c>
      <c r="O34" s="205">
        <v>4035</v>
      </c>
      <c r="P34" s="205"/>
      <c r="Q34" s="34">
        <f t="shared" si="8"/>
        <v>20800</v>
      </c>
      <c r="R34" s="35"/>
      <c r="S34" s="205">
        <v>561108</v>
      </c>
      <c r="T34" s="205"/>
      <c r="U34" s="34">
        <f t="shared" si="9"/>
        <v>206800</v>
      </c>
      <c r="V34" s="205">
        <v>900124</v>
      </c>
      <c r="W34" s="205"/>
      <c r="X34" s="34">
        <f t="shared" si="10"/>
        <v>151400</v>
      </c>
      <c r="Y34" s="36">
        <f t="shared" si="11"/>
        <v>358200</v>
      </c>
      <c r="Z34" s="17"/>
      <c r="AA34" s="20">
        <v>35618982</v>
      </c>
      <c r="AB34" s="34">
        <f t="shared" si="12"/>
        <v>0</v>
      </c>
      <c r="AC34" s="20">
        <v>33763410</v>
      </c>
      <c r="AD34" s="34">
        <f t="shared" si="60"/>
        <v>8438091</v>
      </c>
      <c r="AE34" s="20">
        <v>88254</v>
      </c>
      <c r="AF34" s="34">
        <f t="shared" si="14"/>
        <v>258000</v>
      </c>
      <c r="AG34" s="20">
        <v>2253226</v>
      </c>
      <c r="AH34" s="34">
        <f t="shared" si="15"/>
        <v>26384000</v>
      </c>
      <c r="AI34" s="20">
        <v>3022034</v>
      </c>
      <c r="AJ34" s="34">
        <f t="shared" si="16"/>
        <v>6841</v>
      </c>
      <c r="AK34" s="20">
        <v>13523</v>
      </c>
      <c r="AL34" s="34">
        <f t="shared" si="17"/>
        <v>1000</v>
      </c>
      <c r="AM34" s="20">
        <v>1</v>
      </c>
      <c r="AN34" s="34">
        <v>0</v>
      </c>
      <c r="AO34" s="20">
        <v>8619</v>
      </c>
      <c r="AP34" s="34">
        <f t="shared" si="19"/>
        <v>520</v>
      </c>
      <c r="AQ34" s="14"/>
      <c r="AR34" s="58">
        <f t="shared" si="42"/>
        <v>43661</v>
      </c>
      <c r="AS34" s="20">
        <v>11787</v>
      </c>
      <c r="AT34" s="34">
        <f t="shared" si="20"/>
        <v>141</v>
      </c>
      <c r="AU34" s="14"/>
      <c r="AV34" s="20">
        <v>13518764</v>
      </c>
      <c r="AW34" s="34">
        <f t="shared" si="21"/>
        <v>102997</v>
      </c>
      <c r="AX34" s="20">
        <v>65832616</v>
      </c>
      <c r="AY34" s="37">
        <f t="shared" si="61"/>
        <v>84126.16</v>
      </c>
      <c r="AZ34" s="34">
        <f t="shared" si="23"/>
        <v>18870.839999999997</v>
      </c>
      <c r="BA34" s="20">
        <v>6696300</v>
      </c>
      <c r="BB34" s="34">
        <f t="shared" si="24"/>
        <v>8200</v>
      </c>
      <c r="BC34" s="20">
        <v>3673700</v>
      </c>
      <c r="BD34" s="34">
        <f t="shared" si="25"/>
        <v>400</v>
      </c>
      <c r="BE34" s="20">
        <v>32762546</v>
      </c>
      <c r="BF34" s="34">
        <f t="shared" si="26"/>
        <v>9974</v>
      </c>
      <c r="BI34" s="19">
        <f t="shared" si="0"/>
        <v>33763090</v>
      </c>
      <c r="BN34" s="19">
        <f t="shared" si="1"/>
        <v>3892290</v>
      </c>
      <c r="BR34" s="19">
        <f t="shared" si="2"/>
        <v>561108</v>
      </c>
      <c r="BV34" s="19">
        <f t="shared" si="3"/>
        <v>900124</v>
      </c>
      <c r="CB34" s="14"/>
      <c r="CC34" s="19">
        <f t="shared" si="27"/>
        <v>6696300</v>
      </c>
      <c r="CI34" s="19">
        <f t="shared" si="28"/>
        <v>13518764</v>
      </c>
      <c r="CN34" s="19">
        <f t="shared" si="29"/>
        <v>11787</v>
      </c>
      <c r="CR34" s="19">
        <f t="shared" si="30"/>
        <v>3673700</v>
      </c>
      <c r="CW34" s="19">
        <f t="shared" si="31"/>
        <v>32762546</v>
      </c>
      <c r="DD34" s="47"/>
      <c r="DE34" s="47"/>
      <c r="DF34" s="47"/>
      <c r="DG34" s="47"/>
      <c r="DI34" s="100"/>
      <c r="DJ34" s="100"/>
    </row>
    <row r="35" spans="2:114">
      <c r="B35" s="58">
        <v>43667</v>
      </c>
      <c r="C35" s="205">
        <v>33898072</v>
      </c>
      <c r="D35" s="205"/>
      <c r="E35" s="34">
        <f t="shared" si="65"/>
        <v>1349820</v>
      </c>
      <c r="F35" s="205">
        <v>3909111</v>
      </c>
      <c r="G35" s="205"/>
      <c r="H35" s="34">
        <f t="shared" si="66"/>
        <v>168210</v>
      </c>
      <c r="I35" s="205">
        <v>152640</v>
      </c>
      <c r="J35" s="205"/>
      <c r="K35" s="34">
        <f t="shared" si="54"/>
        <v>1900</v>
      </c>
      <c r="L35" s="205">
        <v>246910</v>
      </c>
      <c r="M35" s="205"/>
      <c r="N35" s="34">
        <f t="shared" si="7"/>
        <v>1064000</v>
      </c>
      <c r="O35" s="205">
        <v>4239</v>
      </c>
      <c r="P35" s="205"/>
      <c r="Q35" s="34">
        <f t="shared" si="8"/>
        <v>20400</v>
      </c>
      <c r="R35" s="35"/>
      <c r="S35" s="205">
        <v>563014</v>
      </c>
      <c r="T35" s="205"/>
      <c r="U35" s="34">
        <f t="shared" si="9"/>
        <v>190600</v>
      </c>
      <c r="V35" s="205">
        <v>901841</v>
      </c>
      <c r="W35" s="205"/>
      <c r="X35" s="34">
        <f t="shared" si="10"/>
        <v>171700</v>
      </c>
      <c r="Y35" s="36">
        <f t="shared" si="11"/>
        <v>362300</v>
      </c>
      <c r="Z35" s="17"/>
      <c r="AA35" s="20">
        <v>35618982</v>
      </c>
      <c r="AB35" s="34">
        <f t="shared" si="12"/>
        <v>0</v>
      </c>
      <c r="AC35" s="20">
        <v>41869281</v>
      </c>
      <c r="AD35" s="34">
        <f t="shared" si="60"/>
        <v>8105871</v>
      </c>
      <c r="AE35" s="20">
        <v>88950</v>
      </c>
      <c r="AF35" s="34">
        <f t="shared" si="14"/>
        <v>696000</v>
      </c>
      <c r="AG35" s="20">
        <v>2273254</v>
      </c>
      <c r="AH35" s="34">
        <f t="shared" si="15"/>
        <v>20028000</v>
      </c>
      <c r="AI35" s="20">
        <v>3031019</v>
      </c>
      <c r="AJ35" s="34">
        <f t="shared" si="16"/>
        <v>8985</v>
      </c>
      <c r="AK35" s="20">
        <v>13534</v>
      </c>
      <c r="AL35" s="34">
        <f t="shared" si="17"/>
        <v>11000</v>
      </c>
      <c r="AM35" s="20">
        <v>1</v>
      </c>
      <c r="AN35" s="34">
        <v>0</v>
      </c>
      <c r="AO35" s="20">
        <v>8668</v>
      </c>
      <c r="AP35" s="34">
        <f t="shared" si="19"/>
        <v>490</v>
      </c>
      <c r="AQ35" s="14"/>
      <c r="AR35" s="58">
        <f t="shared" si="42"/>
        <v>43667</v>
      </c>
      <c r="AS35" s="20">
        <v>11853</v>
      </c>
      <c r="AT35" s="34">
        <f t="shared" si="20"/>
        <v>66</v>
      </c>
      <c r="AU35" s="14"/>
      <c r="AV35" s="20">
        <v>13573264</v>
      </c>
      <c r="AW35" s="34">
        <f t="shared" si="21"/>
        <v>54500</v>
      </c>
      <c r="AX35" s="20">
        <v>70469851</v>
      </c>
      <c r="AY35" s="37">
        <f t="shared" si="61"/>
        <v>46372.35</v>
      </c>
      <c r="AZ35" s="34">
        <f t="shared" si="23"/>
        <v>8127.6500000000015</v>
      </c>
      <c r="BA35" s="20">
        <v>6699200</v>
      </c>
      <c r="BB35" s="34">
        <f t="shared" si="24"/>
        <v>2900</v>
      </c>
      <c r="BC35" s="20">
        <v>3673800</v>
      </c>
      <c r="BD35" s="34">
        <f t="shared" si="25"/>
        <v>100</v>
      </c>
      <c r="BE35" s="20">
        <v>32767567</v>
      </c>
      <c r="BF35" s="34">
        <f t="shared" si="26"/>
        <v>5021</v>
      </c>
      <c r="BI35" s="19">
        <f t="shared" si="0"/>
        <v>33898072</v>
      </c>
      <c r="BN35" s="19">
        <f t="shared" si="1"/>
        <v>3909111</v>
      </c>
      <c r="BR35" s="19">
        <f t="shared" si="2"/>
        <v>563014</v>
      </c>
      <c r="BV35" s="19">
        <f t="shared" si="3"/>
        <v>901841</v>
      </c>
      <c r="CB35" s="14"/>
      <c r="CC35" s="19">
        <f t="shared" si="27"/>
        <v>6699200</v>
      </c>
      <c r="CI35" s="19">
        <f t="shared" si="28"/>
        <v>13573264</v>
      </c>
      <c r="CN35" s="19">
        <f t="shared" si="29"/>
        <v>11853</v>
      </c>
      <c r="CR35" s="19">
        <f t="shared" si="30"/>
        <v>3673800</v>
      </c>
      <c r="CW35" s="19">
        <f t="shared" si="31"/>
        <v>32767567</v>
      </c>
      <c r="DD35" s="47"/>
      <c r="DE35" s="47"/>
      <c r="DF35" s="47"/>
      <c r="DG35" s="47"/>
      <c r="DI35" s="100"/>
      <c r="DJ35" s="100"/>
    </row>
    <row r="36" spans="2:114">
      <c r="B36" s="58">
        <v>43674</v>
      </c>
      <c r="C36" s="205">
        <v>34030795</v>
      </c>
      <c r="D36" s="205"/>
      <c r="E36" s="34">
        <f t="shared" si="65"/>
        <v>1327230</v>
      </c>
      <c r="F36" s="205">
        <v>3928370</v>
      </c>
      <c r="G36" s="205"/>
      <c r="H36" s="34">
        <f t="shared" si="66"/>
        <v>192590</v>
      </c>
      <c r="I36" s="205">
        <v>152780</v>
      </c>
      <c r="J36" s="205"/>
      <c r="K36" s="34">
        <f t="shared" si="54"/>
        <v>1400</v>
      </c>
      <c r="L36" s="205">
        <v>247950</v>
      </c>
      <c r="M36" s="205"/>
      <c r="N36" s="34">
        <f t="shared" si="7"/>
        <v>1040000</v>
      </c>
      <c r="O36" s="205">
        <v>4469</v>
      </c>
      <c r="P36" s="205"/>
      <c r="Q36" s="34">
        <f t="shared" si="8"/>
        <v>23000</v>
      </c>
      <c r="R36" s="35"/>
      <c r="S36" s="205">
        <v>565126</v>
      </c>
      <c r="T36" s="205"/>
      <c r="U36" s="34">
        <f t="shared" si="9"/>
        <v>211200</v>
      </c>
      <c r="V36" s="205">
        <v>904163</v>
      </c>
      <c r="W36" s="205"/>
      <c r="X36" s="34">
        <f t="shared" si="10"/>
        <v>232200</v>
      </c>
      <c r="Y36" s="36">
        <f t="shared" si="11"/>
        <v>443400</v>
      </c>
      <c r="Z36" s="17"/>
      <c r="AA36" s="20">
        <v>35618982</v>
      </c>
      <c r="AB36" s="34">
        <f t="shared" si="12"/>
        <v>0</v>
      </c>
      <c r="AC36" s="20">
        <v>49829684</v>
      </c>
      <c r="AD36" s="34">
        <f t="shared" si="60"/>
        <v>7960403</v>
      </c>
      <c r="AE36" s="20">
        <v>89116</v>
      </c>
      <c r="AF36" s="34">
        <f t="shared" si="14"/>
        <v>166000</v>
      </c>
      <c r="AG36" s="20">
        <v>2293173</v>
      </c>
      <c r="AH36" s="34">
        <f t="shared" si="15"/>
        <v>19919000</v>
      </c>
      <c r="AI36" s="20">
        <v>3038992</v>
      </c>
      <c r="AJ36" s="34">
        <f t="shared" si="16"/>
        <v>7973</v>
      </c>
      <c r="AK36" s="20">
        <v>13559</v>
      </c>
      <c r="AL36" s="34">
        <f t="shared" si="17"/>
        <v>25000</v>
      </c>
      <c r="AM36" s="20">
        <v>1</v>
      </c>
      <c r="AN36" s="34">
        <v>0</v>
      </c>
      <c r="AO36" s="20">
        <v>8717</v>
      </c>
      <c r="AP36" s="34">
        <f t="shared" si="19"/>
        <v>490</v>
      </c>
      <c r="AQ36" s="14"/>
      <c r="AR36" s="58">
        <f t="shared" si="42"/>
        <v>43674</v>
      </c>
      <c r="AS36" s="20">
        <v>11964</v>
      </c>
      <c r="AT36" s="34">
        <f t="shared" si="20"/>
        <v>111</v>
      </c>
      <c r="AU36" s="14"/>
      <c r="AV36" s="20">
        <v>13660935</v>
      </c>
      <c r="AW36" s="34">
        <f t="shared" si="21"/>
        <v>87671</v>
      </c>
      <c r="AX36" s="20">
        <v>77927129</v>
      </c>
      <c r="AY36" s="37">
        <f t="shared" si="61"/>
        <v>74572.78</v>
      </c>
      <c r="AZ36" s="34">
        <f t="shared" si="23"/>
        <v>13098.220000000001</v>
      </c>
      <c r="BA36" s="20">
        <v>6704700</v>
      </c>
      <c r="BB36" s="34">
        <f t="shared" si="24"/>
        <v>5500</v>
      </c>
      <c r="BC36" s="20">
        <v>3674200</v>
      </c>
      <c r="BD36" s="34">
        <f t="shared" si="25"/>
        <v>400</v>
      </c>
      <c r="BE36" s="20">
        <v>32775942</v>
      </c>
      <c r="BF36" s="34">
        <f t="shared" si="26"/>
        <v>8375</v>
      </c>
      <c r="BI36" s="19">
        <f t="shared" si="0"/>
        <v>34030795</v>
      </c>
      <c r="BN36" s="19">
        <f t="shared" si="1"/>
        <v>3928370</v>
      </c>
      <c r="BR36" s="19">
        <f t="shared" si="2"/>
        <v>565126</v>
      </c>
      <c r="BV36" s="19">
        <f t="shared" si="3"/>
        <v>904163</v>
      </c>
      <c r="CB36" s="14"/>
      <c r="CC36" s="19">
        <f t="shared" si="27"/>
        <v>6704700</v>
      </c>
      <c r="CI36" s="19">
        <f t="shared" si="28"/>
        <v>13660935</v>
      </c>
      <c r="CN36" s="19">
        <f t="shared" si="29"/>
        <v>11964</v>
      </c>
      <c r="CR36" s="19">
        <f t="shared" si="30"/>
        <v>3674200</v>
      </c>
      <c r="CW36" s="19">
        <f t="shared" si="31"/>
        <v>32775942</v>
      </c>
      <c r="DD36" s="47"/>
      <c r="DE36" s="47"/>
      <c r="DF36" s="47"/>
      <c r="DG36" s="47"/>
      <c r="DI36" s="100"/>
      <c r="DJ36" s="100"/>
    </row>
    <row r="37" spans="2:114">
      <c r="B37" s="58">
        <v>43677</v>
      </c>
      <c r="C37" s="205">
        <v>34096763</v>
      </c>
      <c r="D37" s="205"/>
      <c r="E37" s="34">
        <f t="shared" si="65"/>
        <v>659680</v>
      </c>
      <c r="F37" s="205">
        <v>3935630</v>
      </c>
      <c r="G37" s="205"/>
      <c r="H37" s="34">
        <f t="shared" si="66"/>
        <v>72600</v>
      </c>
      <c r="I37" s="205">
        <v>152910</v>
      </c>
      <c r="J37" s="205"/>
      <c r="K37" s="34">
        <f t="shared" si="54"/>
        <v>1300</v>
      </c>
      <c r="L37" s="205">
        <v>248424</v>
      </c>
      <c r="M37" s="205"/>
      <c r="N37" s="34">
        <f t="shared" si="7"/>
        <v>474000</v>
      </c>
      <c r="O37" s="205">
        <v>4562</v>
      </c>
      <c r="P37" s="205"/>
      <c r="Q37" s="34">
        <f t="shared" si="8"/>
        <v>9300</v>
      </c>
      <c r="R37" s="35"/>
      <c r="S37" s="205">
        <v>565983</v>
      </c>
      <c r="T37" s="205"/>
      <c r="U37" s="34">
        <f t="shared" si="9"/>
        <v>85700</v>
      </c>
      <c r="V37" s="205">
        <v>904653</v>
      </c>
      <c r="W37" s="205"/>
      <c r="X37" s="34">
        <f t="shared" si="10"/>
        <v>49000</v>
      </c>
      <c r="Y37" s="36">
        <f t="shared" si="11"/>
        <v>134700</v>
      </c>
      <c r="Z37" s="17"/>
      <c r="AA37" s="20">
        <v>35618982</v>
      </c>
      <c r="AB37" s="34">
        <f t="shared" si="12"/>
        <v>0</v>
      </c>
      <c r="AC37" s="20">
        <v>53271643</v>
      </c>
      <c r="AD37" s="34">
        <f t="shared" si="60"/>
        <v>3441959</v>
      </c>
      <c r="AE37" s="20">
        <v>89161</v>
      </c>
      <c r="AF37" s="34">
        <f t="shared" si="14"/>
        <v>45000</v>
      </c>
      <c r="AG37" s="20">
        <v>2300910</v>
      </c>
      <c r="AH37" s="34">
        <f t="shared" si="15"/>
        <v>7737000</v>
      </c>
      <c r="AI37" s="20">
        <v>3042571</v>
      </c>
      <c r="AJ37" s="34">
        <f t="shared" si="16"/>
        <v>3579</v>
      </c>
      <c r="AK37" s="20">
        <v>13563</v>
      </c>
      <c r="AL37" s="34">
        <f t="shared" si="17"/>
        <v>4000</v>
      </c>
      <c r="AM37" s="20">
        <v>1</v>
      </c>
      <c r="AN37" s="34">
        <v>0</v>
      </c>
      <c r="AO37" s="20">
        <v>8741</v>
      </c>
      <c r="AP37" s="34">
        <f t="shared" si="19"/>
        <v>240</v>
      </c>
      <c r="AQ37" s="14"/>
      <c r="AR37" s="58">
        <f t="shared" si="42"/>
        <v>43677</v>
      </c>
      <c r="AS37" s="20">
        <v>11968</v>
      </c>
      <c r="AT37" s="34">
        <f t="shared" si="20"/>
        <v>4</v>
      </c>
      <c r="AU37" s="14"/>
      <c r="AV37" s="20">
        <v>13670669</v>
      </c>
      <c r="AW37" s="34">
        <f t="shared" si="21"/>
        <v>9734</v>
      </c>
      <c r="AX37" s="20">
        <v>78858710</v>
      </c>
      <c r="AY37" s="37">
        <f t="shared" si="61"/>
        <v>9315.81</v>
      </c>
      <c r="AZ37" s="34">
        <f t="shared" si="23"/>
        <v>418.19000000000051</v>
      </c>
      <c r="BA37" s="20">
        <v>6706000</v>
      </c>
      <c r="BB37" s="34">
        <f t="shared" si="24"/>
        <v>1300</v>
      </c>
      <c r="BC37" s="20">
        <v>3674200</v>
      </c>
      <c r="BD37" s="34">
        <f t="shared" si="25"/>
        <v>0</v>
      </c>
      <c r="BE37" s="20">
        <v>32776727</v>
      </c>
      <c r="BF37" s="34">
        <f t="shared" si="26"/>
        <v>785</v>
      </c>
      <c r="BI37" s="19">
        <f t="shared" si="0"/>
        <v>34096763</v>
      </c>
      <c r="BJ37" s="20">
        <v>338464</v>
      </c>
      <c r="BK37" s="19">
        <f>SUM(BJ37-BJ32)</f>
        <v>4919</v>
      </c>
      <c r="BL37" s="59">
        <f>SUM(BK37*1.0766)+1986.71</f>
        <v>7282.5054</v>
      </c>
      <c r="BM37" s="75">
        <v>22659.279999999999</v>
      </c>
      <c r="BN37" s="19">
        <f t="shared" si="1"/>
        <v>3935630</v>
      </c>
      <c r="BO37" s="20">
        <v>39050</v>
      </c>
      <c r="BP37" s="19">
        <f>SUM(BO37-BO32)</f>
        <v>738</v>
      </c>
      <c r="BQ37" s="59">
        <f>SUM(BP37*0.8486)+1639.2</f>
        <v>2265.4668000000001</v>
      </c>
      <c r="BR37" s="19">
        <f t="shared" si="2"/>
        <v>565983</v>
      </c>
      <c r="BS37" s="20">
        <v>564019</v>
      </c>
      <c r="BT37" s="20">
        <v>40069.24</v>
      </c>
      <c r="BU37" s="87">
        <v>25923.45</v>
      </c>
      <c r="BV37" s="19">
        <f t="shared" si="3"/>
        <v>904653</v>
      </c>
      <c r="BW37" s="88">
        <v>90289</v>
      </c>
      <c r="BX37" s="39">
        <v>291.24</v>
      </c>
      <c r="BY37" s="87">
        <v>189.14</v>
      </c>
      <c r="BZ37" s="98">
        <f t="shared" ref="BZ37" si="67">SUM(BT37+BX37)</f>
        <v>40360.479999999996</v>
      </c>
      <c r="CA37" s="87">
        <v>10784.92</v>
      </c>
      <c r="CB37" s="14"/>
      <c r="CC37" s="19">
        <f t="shared" si="27"/>
        <v>6706000</v>
      </c>
      <c r="CD37" s="20">
        <v>6701</v>
      </c>
      <c r="CE37" s="19">
        <f>SUM(CD37-CD32)</f>
        <v>16</v>
      </c>
      <c r="CF37" s="59">
        <f>SUM(CE37*1.0766)+124.09</f>
        <v>141.31560000000002</v>
      </c>
      <c r="CG37" s="75">
        <v>96.32</v>
      </c>
      <c r="CH37" s="75">
        <v>1243.44</v>
      </c>
      <c r="CI37" s="19">
        <f t="shared" si="28"/>
        <v>13670669</v>
      </c>
      <c r="CJ37" s="20">
        <v>13540</v>
      </c>
      <c r="CK37" s="19">
        <f>SUM(CJ37-CJ32)</f>
        <v>481</v>
      </c>
      <c r="CL37" s="59">
        <f>SUM(CK37*1.0766+198.63)</f>
        <v>716.47460000000001</v>
      </c>
      <c r="CM37" s="91">
        <v>1547.14</v>
      </c>
      <c r="CN37" s="19">
        <f t="shared" si="29"/>
        <v>11968</v>
      </c>
      <c r="CO37" s="20">
        <v>1896</v>
      </c>
      <c r="CP37" s="20">
        <v>929.68</v>
      </c>
      <c r="CQ37" s="90">
        <v>603.72</v>
      </c>
      <c r="CR37" s="19">
        <f t="shared" si="30"/>
        <v>3674200</v>
      </c>
      <c r="CS37" s="20">
        <v>3674</v>
      </c>
      <c r="CT37" s="19">
        <f>SUM(CS37-CS32)</f>
        <v>1</v>
      </c>
      <c r="CU37" s="59">
        <f>SUM(CT37*1.0766)+198.63</f>
        <v>199.70660000000001</v>
      </c>
      <c r="CW37" s="19">
        <f t="shared" si="31"/>
        <v>32776727</v>
      </c>
      <c r="CX37" s="20">
        <v>327646</v>
      </c>
      <c r="CY37" s="19">
        <f>SUM(CX37-CX32)</f>
        <v>4893</v>
      </c>
      <c r="CZ37" s="59">
        <f>SUM(CY37*0.8486)+1024.42</f>
        <v>5176.6198000000004</v>
      </c>
      <c r="DC37" s="20">
        <f>SUM(E35:E38)</f>
        <v>4151780</v>
      </c>
      <c r="DD37" s="75" t="e">
        <f>SUM(BL37+CF37+CL37+#REF!+CU37)</f>
        <v>#REF!</v>
      </c>
      <c r="DE37" s="75">
        <f>SUM(BQ37+CZ37)</f>
        <v>7442.0866000000005</v>
      </c>
      <c r="DF37" s="75">
        <f>SUM(BM37+CG37+CV37)</f>
        <v>22755.599999999999</v>
      </c>
      <c r="DG37" s="75" t="e">
        <f>SUM(DD37:DF37)</f>
        <v>#REF!</v>
      </c>
      <c r="DI37" s="92">
        <f>SUM(BU37+CQ37+BY37)</f>
        <v>26716.31</v>
      </c>
      <c r="DJ37" s="92">
        <f>SUM(CA37+CH37)</f>
        <v>12028.36</v>
      </c>
    </row>
    <row r="38" spans="2:114">
      <c r="B38" s="58">
        <v>43682</v>
      </c>
      <c r="C38" s="205">
        <v>34178268</v>
      </c>
      <c r="D38" s="205"/>
      <c r="E38" s="34">
        <f t="shared" ref="E38" si="68">SUM(C38-C37)*10</f>
        <v>815050</v>
      </c>
      <c r="F38" s="205">
        <v>3943703</v>
      </c>
      <c r="G38" s="205"/>
      <c r="H38" s="34">
        <f t="shared" ref="H38" si="69">SUM(F38-F37)*10</f>
        <v>80730</v>
      </c>
      <c r="I38" s="205">
        <v>152930</v>
      </c>
      <c r="J38" s="205"/>
      <c r="K38" s="34">
        <f t="shared" si="54"/>
        <v>200</v>
      </c>
      <c r="L38" s="205">
        <v>249059</v>
      </c>
      <c r="M38" s="205"/>
      <c r="N38" s="34">
        <f t="shared" si="7"/>
        <v>635000</v>
      </c>
      <c r="O38" s="205">
        <v>4681</v>
      </c>
      <c r="P38" s="205"/>
      <c r="Q38" s="34">
        <f t="shared" si="8"/>
        <v>11900</v>
      </c>
      <c r="R38" s="35"/>
      <c r="S38" s="205">
        <v>567166</v>
      </c>
      <c r="T38" s="205"/>
      <c r="U38" s="34">
        <f t="shared" si="9"/>
        <v>118300</v>
      </c>
      <c r="V38" s="205">
        <v>905752</v>
      </c>
      <c r="W38" s="205"/>
      <c r="X38" s="34">
        <f t="shared" si="10"/>
        <v>109900</v>
      </c>
      <c r="Y38" s="36">
        <f t="shared" si="11"/>
        <v>228200</v>
      </c>
      <c r="Z38" s="17"/>
      <c r="AA38" s="20">
        <v>35618982</v>
      </c>
      <c r="AB38" s="34">
        <f t="shared" si="12"/>
        <v>0</v>
      </c>
      <c r="AC38" s="20">
        <v>59627500</v>
      </c>
      <c r="AD38" s="34">
        <f t="shared" si="60"/>
        <v>6355857</v>
      </c>
      <c r="AE38" s="20">
        <v>89224</v>
      </c>
      <c r="AF38" s="34">
        <f t="shared" si="14"/>
        <v>63000</v>
      </c>
      <c r="AG38" s="20">
        <v>2311006</v>
      </c>
      <c r="AH38" s="34">
        <f t="shared" si="15"/>
        <v>10096000</v>
      </c>
      <c r="AI38" s="20">
        <v>3047044</v>
      </c>
      <c r="AJ38" s="34">
        <f t="shared" si="16"/>
        <v>4473</v>
      </c>
      <c r="AK38" s="20">
        <v>13564</v>
      </c>
      <c r="AL38" s="34">
        <f t="shared" si="17"/>
        <v>1000</v>
      </c>
      <c r="AM38" s="20">
        <v>1</v>
      </c>
      <c r="AN38" s="34">
        <v>0</v>
      </c>
      <c r="AO38" s="20">
        <v>8768</v>
      </c>
      <c r="AP38" s="34">
        <f t="shared" si="19"/>
        <v>270</v>
      </c>
      <c r="AQ38" s="14"/>
      <c r="AR38" s="58">
        <f t="shared" si="42"/>
        <v>43682</v>
      </c>
      <c r="AS38" s="20">
        <v>12037</v>
      </c>
      <c r="AT38" s="34">
        <f t="shared" si="20"/>
        <v>69</v>
      </c>
      <c r="AU38" s="14"/>
      <c r="AV38" s="20">
        <v>13725554</v>
      </c>
      <c r="AW38" s="34">
        <f t="shared" si="21"/>
        <v>54885</v>
      </c>
      <c r="AX38" s="20">
        <v>83498342</v>
      </c>
      <c r="AY38" s="37">
        <f t="shared" si="61"/>
        <v>46396.32</v>
      </c>
      <c r="AZ38" s="34">
        <f t="shared" si="23"/>
        <v>8488.68</v>
      </c>
      <c r="BA38" s="20">
        <v>6730100</v>
      </c>
      <c r="BB38" s="34">
        <f t="shared" si="24"/>
        <v>24100</v>
      </c>
      <c r="BC38" s="20">
        <v>3674400</v>
      </c>
      <c r="BD38" s="34">
        <f t="shared" si="25"/>
        <v>200</v>
      </c>
      <c r="BE38" s="20">
        <v>32781723</v>
      </c>
      <c r="BF38" s="34">
        <f t="shared" si="26"/>
        <v>4996</v>
      </c>
      <c r="BI38" s="19">
        <f t="shared" si="0"/>
        <v>34178268</v>
      </c>
      <c r="BN38" s="19">
        <f t="shared" si="1"/>
        <v>3943703</v>
      </c>
      <c r="BR38" s="19">
        <f t="shared" si="2"/>
        <v>567166</v>
      </c>
      <c r="BV38" s="19">
        <f t="shared" si="3"/>
        <v>905752</v>
      </c>
      <c r="CB38" s="14"/>
      <c r="CC38" s="19">
        <f t="shared" si="27"/>
        <v>6730100</v>
      </c>
      <c r="CI38" s="19">
        <f t="shared" si="28"/>
        <v>13725554</v>
      </c>
      <c r="CN38" s="19">
        <f t="shared" si="29"/>
        <v>12037</v>
      </c>
      <c r="CR38" s="19">
        <f t="shared" si="30"/>
        <v>3674400</v>
      </c>
      <c r="CW38" s="19">
        <f t="shared" si="31"/>
        <v>32781723</v>
      </c>
      <c r="DD38" s="47"/>
      <c r="DE38" s="47"/>
      <c r="DF38" s="47"/>
      <c r="DG38" s="47"/>
      <c r="DI38" s="100"/>
      <c r="DJ38" s="100"/>
    </row>
    <row r="39" spans="2:114">
      <c r="B39" s="58">
        <v>43689</v>
      </c>
      <c r="C39" s="205">
        <v>34309321</v>
      </c>
      <c r="D39" s="205"/>
      <c r="E39" s="34">
        <f t="shared" ref="E39:E42" si="70">SUM(C39-C38)*10</f>
        <v>1310530</v>
      </c>
      <c r="F39" s="205">
        <v>3954709</v>
      </c>
      <c r="G39" s="205"/>
      <c r="H39" s="34">
        <f t="shared" ref="H39:H42" si="71">SUM(F39-F38)*10</f>
        <v>110060</v>
      </c>
      <c r="I39" s="205">
        <v>153130</v>
      </c>
      <c r="J39" s="205"/>
      <c r="K39" s="34">
        <f t="shared" si="54"/>
        <v>2000</v>
      </c>
      <c r="L39" s="205">
        <v>250122</v>
      </c>
      <c r="M39" s="205"/>
      <c r="N39" s="34">
        <f t="shared" si="7"/>
        <v>1063000</v>
      </c>
      <c r="O39" s="205">
        <v>4892</v>
      </c>
      <c r="P39" s="205"/>
      <c r="Q39" s="34">
        <f t="shared" si="8"/>
        <v>21100</v>
      </c>
      <c r="R39" s="35"/>
      <c r="S39" s="205">
        <v>569033</v>
      </c>
      <c r="T39" s="205"/>
      <c r="U39" s="34">
        <f t="shared" si="9"/>
        <v>186700</v>
      </c>
      <c r="V39" s="205">
        <v>907576</v>
      </c>
      <c r="W39" s="205"/>
      <c r="X39" s="34">
        <f t="shared" si="10"/>
        <v>182400</v>
      </c>
      <c r="Y39" s="36">
        <f t="shared" si="11"/>
        <v>369100</v>
      </c>
      <c r="Z39" s="17"/>
      <c r="AA39" s="20">
        <v>35618982</v>
      </c>
      <c r="AB39" s="34">
        <f t="shared" si="12"/>
        <v>0</v>
      </c>
      <c r="AC39" s="20">
        <v>66273683</v>
      </c>
      <c r="AD39" s="34">
        <f t="shared" si="60"/>
        <v>6646183</v>
      </c>
      <c r="AE39" s="20">
        <v>89302</v>
      </c>
      <c r="AF39" s="34">
        <f t="shared" si="14"/>
        <v>78000</v>
      </c>
      <c r="AG39" s="20">
        <v>2322972</v>
      </c>
      <c r="AH39" s="34">
        <f t="shared" si="15"/>
        <v>11966000</v>
      </c>
      <c r="AI39" s="20">
        <v>3056047</v>
      </c>
      <c r="AJ39" s="34">
        <f t="shared" si="16"/>
        <v>9003</v>
      </c>
      <c r="AK39" s="20">
        <v>13597</v>
      </c>
      <c r="AL39" s="34">
        <f t="shared" si="17"/>
        <v>33000</v>
      </c>
      <c r="AM39" s="20">
        <v>2</v>
      </c>
      <c r="AN39" s="34">
        <f t="shared" ref="AN39:AN60" si="72">SUM(AM39-AM38)*10</f>
        <v>10</v>
      </c>
      <c r="AO39" s="20">
        <v>8822</v>
      </c>
      <c r="AP39" s="34">
        <f t="shared" si="19"/>
        <v>540</v>
      </c>
      <c r="AQ39" s="14"/>
      <c r="AR39" s="58">
        <f t="shared" si="42"/>
        <v>43689</v>
      </c>
      <c r="AS39" s="20">
        <v>12136</v>
      </c>
      <c r="AT39" s="34">
        <f t="shared" si="20"/>
        <v>99</v>
      </c>
      <c r="AU39" s="14"/>
      <c r="AV39" s="20">
        <v>13802487</v>
      </c>
      <c r="AW39" s="34">
        <f t="shared" si="21"/>
        <v>76933</v>
      </c>
      <c r="AX39" s="20">
        <v>90017205</v>
      </c>
      <c r="AY39" s="37">
        <f t="shared" si="61"/>
        <v>65188.63</v>
      </c>
      <c r="AZ39" s="34">
        <f t="shared" si="23"/>
        <v>11744.370000000003</v>
      </c>
      <c r="BA39" s="20">
        <v>6736400</v>
      </c>
      <c r="BB39" s="34">
        <f t="shared" si="24"/>
        <v>6300</v>
      </c>
      <c r="BC39" s="20">
        <v>3674700</v>
      </c>
      <c r="BD39" s="34">
        <f t="shared" si="25"/>
        <v>300</v>
      </c>
      <c r="BE39" s="20">
        <v>32788620</v>
      </c>
      <c r="BF39" s="34">
        <f t="shared" si="26"/>
        <v>6897</v>
      </c>
      <c r="BI39" s="19">
        <f t="shared" si="0"/>
        <v>34309321</v>
      </c>
      <c r="BN39" s="19">
        <f t="shared" si="1"/>
        <v>3954709</v>
      </c>
      <c r="BR39" s="19">
        <f t="shared" si="2"/>
        <v>569033</v>
      </c>
      <c r="BV39" s="19">
        <f t="shared" si="3"/>
        <v>907576</v>
      </c>
      <c r="CB39" s="14"/>
      <c r="CC39" s="19">
        <f t="shared" si="27"/>
        <v>6736400</v>
      </c>
      <c r="CI39" s="19">
        <f t="shared" si="28"/>
        <v>13802487</v>
      </c>
      <c r="CN39" s="19">
        <f t="shared" si="29"/>
        <v>12136</v>
      </c>
      <c r="CR39" s="19">
        <f t="shared" si="30"/>
        <v>3674700</v>
      </c>
      <c r="CW39" s="19">
        <f t="shared" si="31"/>
        <v>32788620</v>
      </c>
      <c r="DD39" s="47"/>
      <c r="DE39" s="47"/>
      <c r="DF39" s="47"/>
      <c r="DG39" s="47"/>
      <c r="DI39" s="100"/>
      <c r="DJ39" s="100"/>
    </row>
    <row r="40" spans="2:114">
      <c r="B40" s="58">
        <v>43696</v>
      </c>
      <c r="C40" s="205">
        <v>34436106</v>
      </c>
      <c r="D40" s="205"/>
      <c r="E40" s="34">
        <f t="shared" si="70"/>
        <v>1267850</v>
      </c>
      <c r="F40" s="205">
        <v>3958831</v>
      </c>
      <c r="G40" s="205"/>
      <c r="H40" s="34">
        <f t="shared" si="71"/>
        <v>41220</v>
      </c>
      <c r="I40" s="205">
        <v>153290</v>
      </c>
      <c r="J40" s="205"/>
      <c r="K40" s="34">
        <f t="shared" si="54"/>
        <v>1600</v>
      </c>
      <c r="L40" s="205">
        <v>251175</v>
      </c>
      <c r="M40" s="205"/>
      <c r="N40" s="34">
        <f t="shared" si="7"/>
        <v>1053000</v>
      </c>
      <c r="O40" s="205">
        <v>5109</v>
      </c>
      <c r="P40" s="205"/>
      <c r="Q40" s="34">
        <f t="shared" si="8"/>
        <v>21700</v>
      </c>
      <c r="R40" s="35"/>
      <c r="S40" s="205">
        <v>571027</v>
      </c>
      <c r="T40" s="205"/>
      <c r="U40" s="34">
        <f t="shared" si="9"/>
        <v>199400</v>
      </c>
      <c r="V40" s="205">
        <v>909371</v>
      </c>
      <c r="W40" s="205"/>
      <c r="X40" s="34">
        <f t="shared" si="10"/>
        <v>179500</v>
      </c>
      <c r="Y40" s="36">
        <f t="shared" si="11"/>
        <v>378900</v>
      </c>
      <c r="Z40" s="17"/>
      <c r="AA40" s="20">
        <v>0</v>
      </c>
      <c r="AB40" s="34"/>
      <c r="AC40" s="20">
        <v>74097602</v>
      </c>
      <c r="AD40" s="34">
        <f t="shared" si="60"/>
        <v>7823919</v>
      </c>
      <c r="AE40" s="20">
        <v>89372</v>
      </c>
      <c r="AF40" s="34">
        <f t="shared" si="14"/>
        <v>70000</v>
      </c>
      <c r="AG40" s="20">
        <v>2332328</v>
      </c>
      <c r="AH40" s="34">
        <f t="shared" si="15"/>
        <v>9356000</v>
      </c>
      <c r="AI40" s="20">
        <v>3066132</v>
      </c>
      <c r="AJ40" s="34">
        <f t="shared" si="16"/>
        <v>10085</v>
      </c>
      <c r="AK40" s="20">
        <v>13619</v>
      </c>
      <c r="AL40" s="34">
        <f t="shared" si="17"/>
        <v>22000</v>
      </c>
      <c r="AM40" s="20">
        <v>2</v>
      </c>
      <c r="AN40" s="34">
        <f t="shared" si="72"/>
        <v>0</v>
      </c>
      <c r="AO40" s="20">
        <v>8875</v>
      </c>
      <c r="AP40" s="34">
        <f t="shared" si="19"/>
        <v>530</v>
      </c>
      <c r="AQ40" s="14"/>
      <c r="AR40" s="58">
        <f t="shared" si="42"/>
        <v>43696</v>
      </c>
      <c r="AS40" s="20">
        <v>12234</v>
      </c>
      <c r="AT40" s="34">
        <f t="shared" si="20"/>
        <v>98</v>
      </c>
      <c r="AU40" s="14"/>
      <c r="AV40" s="20">
        <v>13879801</v>
      </c>
      <c r="AW40" s="34">
        <f t="shared" si="21"/>
        <v>77314</v>
      </c>
      <c r="AX40" s="20">
        <v>96559800</v>
      </c>
      <c r="AY40" s="37">
        <f t="shared" si="61"/>
        <v>65425.95</v>
      </c>
      <c r="AZ40" s="34">
        <f t="shared" si="23"/>
        <v>11888.050000000003</v>
      </c>
      <c r="BA40" s="20">
        <v>6742700</v>
      </c>
      <c r="BB40" s="34">
        <f t="shared" si="24"/>
        <v>6300</v>
      </c>
      <c r="BC40" s="20">
        <v>3675000</v>
      </c>
      <c r="BD40" s="34">
        <f t="shared" si="25"/>
        <v>300</v>
      </c>
      <c r="BE40" s="20">
        <v>32809162</v>
      </c>
      <c r="BF40" s="34">
        <f t="shared" si="26"/>
        <v>20542</v>
      </c>
      <c r="BI40" s="19">
        <f t="shared" si="0"/>
        <v>34436106</v>
      </c>
      <c r="BN40" s="19">
        <f t="shared" si="1"/>
        <v>3958831</v>
      </c>
      <c r="BR40" s="19">
        <f t="shared" si="2"/>
        <v>571027</v>
      </c>
      <c r="BV40" s="19">
        <f t="shared" si="3"/>
        <v>909371</v>
      </c>
      <c r="CB40" s="14"/>
      <c r="CC40" s="19">
        <f t="shared" si="27"/>
        <v>6742700</v>
      </c>
      <c r="CI40" s="19">
        <f t="shared" si="28"/>
        <v>13879801</v>
      </c>
      <c r="CN40" s="19">
        <f t="shared" si="29"/>
        <v>12234</v>
      </c>
      <c r="CR40" s="19">
        <f t="shared" si="30"/>
        <v>3675000</v>
      </c>
      <c r="CW40" s="19">
        <f t="shared" si="31"/>
        <v>32809162</v>
      </c>
      <c r="DD40" s="47"/>
      <c r="DE40" s="47"/>
      <c r="DF40" s="47"/>
      <c r="DG40" s="47"/>
      <c r="DI40" s="100"/>
      <c r="DJ40" s="100"/>
    </row>
    <row r="41" spans="2:114">
      <c r="B41" s="58">
        <v>43703</v>
      </c>
      <c r="C41" s="205">
        <v>34589463</v>
      </c>
      <c r="D41" s="205"/>
      <c r="E41" s="34">
        <f t="shared" si="70"/>
        <v>1533570</v>
      </c>
      <c r="F41" s="205">
        <v>3973187</v>
      </c>
      <c r="G41" s="205"/>
      <c r="H41" s="34">
        <f t="shared" si="71"/>
        <v>143560</v>
      </c>
      <c r="I41" s="205">
        <v>153550</v>
      </c>
      <c r="J41" s="205"/>
      <c r="K41" s="34">
        <f t="shared" si="54"/>
        <v>2600</v>
      </c>
      <c r="L41" s="205">
        <v>252273</v>
      </c>
      <c r="M41" s="205"/>
      <c r="N41" s="34">
        <f t="shared" si="7"/>
        <v>1098000</v>
      </c>
      <c r="O41" s="205">
        <v>5345</v>
      </c>
      <c r="P41" s="205"/>
      <c r="Q41" s="34">
        <f t="shared" si="8"/>
        <v>23600</v>
      </c>
      <c r="R41" s="35"/>
      <c r="S41" s="205">
        <v>573086</v>
      </c>
      <c r="T41" s="205"/>
      <c r="U41" s="34">
        <f t="shared" si="9"/>
        <v>205900</v>
      </c>
      <c r="V41" s="205">
        <v>911095</v>
      </c>
      <c r="W41" s="205"/>
      <c r="X41" s="34">
        <f t="shared" si="10"/>
        <v>172400</v>
      </c>
      <c r="Y41" s="36">
        <f t="shared" si="11"/>
        <v>378300</v>
      </c>
      <c r="Z41" s="17"/>
      <c r="AA41" s="20">
        <v>184</v>
      </c>
      <c r="AB41" s="34">
        <f t="shared" ref="AB41:AB60" si="73">SUM(AA41-AA40)*10000</f>
        <v>1840000</v>
      </c>
      <c r="AC41" s="20">
        <v>82660499</v>
      </c>
      <c r="AD41" s="34">
        <f t="shared" si="60"/>
        <v>8562897</v>
      </c>
      <c r="AE41" s="20">
        <v>89550</v>
      </c>
      <c r="AF41" s="34">
        <f t="shared" si="14"/>
        <v>178000</v>
      </c>
      <c r="AG41" s="20">
        <v>2359413</v>
      </c>
      <c r="AH41" s="34">
        <f t="shared" si="15"/>
        <v>27085000</v>
      </c>
      <c r="AI41" s="20">
        <v>3078740</v>
      </c>
      <c r="AJ41" s="34">
        <f t="shared" si="16"/>
        <v>12608</v>
      </c>
      <c r="AK41" s="20">
        <v>13648</v>
      </c>
      <c r="AL41" s="34">
        <f t="shared" si="17"/>
        <v>29000</v>
      </c>
      <c r="AM41" s="20">
        <v>2</v>
      </c>
      <c r="AN41" s="34">
        <f t="shared" si="72"/>
        <v>0</v>
      </c>
      <c r="AO41" s="20">
        <v>8933</v>
      </c>
      <c r="AP41" s="34">
        <f t="shared" si="19"/>
        <v>580</v>
      </c>
      <c r="AQ41" s="14"/>
      <c r="AR41" s="58">
        <f t="shared" si="42"/>
        <v>43703</v>
      </c>
      <c r="AS41" s="20">
        <v>12325</v>
      </c>
      <c r="AT41" s="34">
        <f t="shared" si="20"/>
        <v>91</v>
      </c>
      <c r="AU41" s="14"/>
      <c r="AV41" s="20">
        <v>13957821</v>
      </c>
      <c r="AW41" s="34">
        <f t="shared" si="21"/>
        <v>78020</v>
      </c>
      <c r="AX41" s="20">
        <v>103121362</v>
      </c>
      <c r="AY41" s="37">
        <f t="shared" si="61"/>
        <v>65615.62</v>
      </c>
      <c r="AZ41" s="34">
        <f t="shared" si="23"/>
        <v>12404.380000000005</v>
      </c>
      <c r="BA41" s="20">
        <v>6745800</v>
      </c>
      <c r="BB41" s="34">
        <f t="shared" si="24"/>
        <v>3100</v>
      </c>
      <c r="BC41" s="20">
        <v>3675500</v>
      </c>
      <c r="BD41" s="34">
        <f t="shared" si="25"/>
        <v>500</v>
      </c>
      <c r="BE41" s="20">
        <v>33106514</v>
      </c>
      <c r="BF41" s="34">
        <f t="shared" si="26"/>
        <v>297352</v>
      </c>
      <c r="BI41" s="19">
        <f t="shared" si="0"/>
        <v>34589463</v>
      </c>
      <c r="BN41" s="19">
        <f t="shared" si="1"/>
        <v>3973187</v>
      </c>
      <c r="BR41" s="19">
        <f t="shared" si="2"/>
        <v>573086</v>
      </c>
      <c r="BV41" s="19">
        <f t="shared" si="3"/>
        <v>911095</v>
      </c>
      <c r="CB41" s="14"/>
      <c r="CC41" s="19">
        <f t="shared" si="27"/>
        <v>6745800</v>
      </c>
      <c r="CI41" s="19">
        <f t="shared" si="28"/>
        <v>13957821</v>
      </c>
      <c r="CN41" s="19">
        <f t="shared" si="29"/>
        <v>12325</v>
      </c>
      <c r="CR41" s="19">
        <f t="shared" si="30"/>
        <v>3675500</v>
      </c>
      <c r="CW41" s="19">
        <f t="shared" si="31"/>
        <v>33106514</v>
      </c>
      <c r="DD41" s="47"/>
      <c r="DE41" s="47"/>
      <c r="DF41" s="47"/>
      <c r="DG41" s="47"/>
      <c r="DI41" s="100"/>
      <c r="DJ41" s="100"/>
    </row>
    <row r="42" spans="2:114">
      <c r="B42" s="58">
        <v>43709</v>
      </c>
      <c r="C42" s="205">
        <v>34694696</v>
      </c>
      <c r="D42" s="205"/>
      <c r="E42" s="34">
        <f t="shared" si="70"/>
        <v>1052330</v>
      </c>
      <c r="F42" s="205">
        <v>3975771</v>
      </c>
      <c r="G42" s="205"/>
      <c r="H42" s="34">
        <f t="shared" si="71"/>
        <v>25840</v>
      </c>
      <c r="I42" s="205">
        <v>153710</v>
      </c>
      <c r="J42" s="205"/>
      <c r="K42" s="34">
        <f t="shared" si="54"/>
        <v>1600</v>
      </c>
      <c r="L42" s="205">
        <v>253164</v>
      </c>
      <c r="M42" s="205"/>
      <c r="N42" s="34">
        <f t="shared" si="7"/>
        <v>891000</v>
      </c>
      <c r="O42" s="205">
        <v>5544</v>
      </c>
      <c r="P42" s="205"/>
      <c r="Q42" s="34">
        <f t="shared" si="8"/>
        <v>19900</v>
      </c>
      <c r="R42" s="35"/>
      <c r="S42" s="205">
        <v>574847</v>
      </c>
      <c r="T42" s="205"/>
      <c r="U42" s="34">
        <f t="shared" si="9"/>
        <v>176100</v>
      </c>
      <c r="V42" s="205">
        <v>912450</v>
      </c>
      <c r="W42" s="205"/>
      <c r="X42" s="34">
        <f t="shared" si="10"/>
        <v>135500</v>
      </c>
      <c r="Y42" s="36">
        <f t="shared" si="11"/>
        <v>311600</v>
      </c>
      <c r="Z42" s="17"/>
      <c r="AA42" s="20">
        <v>499</v>
      </c>
      <c r="AB42" s="34">
        <f t="shared" si="73"/>
        <v>3150000</v>
      </c>
      <c r="AC42" s="20">
        <v>90373119</v>
      </c>
      <c r="AD42" s="34">
        <f t="shared" si="60"/>
        <v>7712620</v>
      </c>
      <c r="AE42" s="20">
        <v>89660</v>
      </c>
      <c r="AF42" s="34">
        <f t="shared" si="14"/>
        <v>110000</v>
      </c>
      <c r="AG42" s="20">
        <v>2370871</v>
      </c>
      <c r="AH42" s="34">
        <f t="shared" si="15"/>
        <v>11458000</v>
      </c>
      <c r="AI42" s="20">
        <v>3097117</v>
      </c>
      <c r="AJ42" s="34">
        <f t="shared" si="16"/>
        <v>18377</v>
      </c>
      <c r="AK42" s="20">
        <v>13664</v>
      </c>
      <c r="AL42" s="34">
        <f t="shared" si="17"/>
        <v>16000</v>
      </c>
      <c r="AM42" s="20">
        <v>4</v>
      </c>
      <c r="AN42" s="34">
        <f t="shared" si="72"/>
        <v>20</v>
      </c>
      <c r="AO42" s="20">
        <v>8994</v>
      </c>
      <c r="AP42" s="34">
        <f t="shared" si="19"/>
        <v>610</v>
      </c>
      <c r="AQ42" s="14"/>
      <c r="AR42" s="58">
        <f t="shared" si="42"/>
        <v>43709</v>
      </c>
      <c r="AS42" s="20">
        <v>12376</v>
      </c>
      <c r="AT42" s="34">
        <f t="shared" si="20"/>
        <v>51</v>
      </c>
      <c r="AU42" s="14"/>
      <c r="AV42" s="20">
        <v>14018476</v>
      </c>
      <c r="AW42" s="34">
        <f t="shared" si="21"/>
        <v>60655</v>
      </c>
      <c r="AX42" s="20">
        <v>108732700</v>
      </c>
      <c r="AY42" s="37">
        <f t="shared" si="61"/>
        <v>56113.38</v>
      </c>
      <c r="AZ42" s="34">
        <f t="shared" si="23"/>
        <v>4541.6200000000026</v>
      </c>
      <c r="BA42" s="20">
        <v>6747700</v>
      </c>
      <c r="BB42" s="34">
        <f t="shared" si="24"/>
        <v>1900</v>
      </c>
      <c r="BC42" s="20">
        <v>3675860</v>
      </c>
      <c r="BD42" s="34">
        <f t="shared" si="25"/>
        <v>360</v>
      </c>
      <c r="BE42" s="20">
        <v>33113136</v>
      </c>
      <c r="BF42" s="34">
        <f t="shared" si="26"/>
        <v>6622</v>
      </c>
      <c r="BI42" s="19">
        <f t="shared" si="0"/>
        <v>34694696</v>
      </c>
      <c r="BJ42" s="20">
        <v>345214</v>
      </c>
      <c r="BK42" s="19">
        <f>SUM(BJ42-BJ37)</f>
        <v>6750</v>
      </c>
      <c r="BL42" s="59">
        <f>SUM(BK42*1.0766)+1986.71</f>
        <v>9253.76</v>
      </c>
      <c r="BM42" s="75">
        <v>34825.699999999997</v>
      </c>
      <c r="BN42" s="19">
        <f t="shared" si="1"/>
        <v>3975771</v>
      </c>
      <c r="BO42" s="20">
        <v>39624</v>
      </c>
      <c r="BP42" s="19">
        <f>SUM(BO42-BO37)</f>
        <v>574</v>
      </c>
      <c r="BQ42" s="59">
        <f>SUM(BP42*0.8486)+1639.2</f>
        <v>2126.2964000000002</v>
      </c>
      <c r="BR42" s="19">
        <f t="shared" si="2"/>
        <v>574847</v>
      </c>
      <c r="BS42" s="20">
        <v>573986</v>
      </c>
      <c r="BT42" s="20">
        <v>49722.37</v>
      </c>
      <c r="BU42" s="87">
        <v>32140.77</v>
      </c>
      <c r="BV42" s="19">
        <f t="shared" si="3"/>
        <v>912450</v>
      </c>
      <c r="BW42" s="88">
        <v>91172</v>
      </c>
      <c r="BX42" s="39">
        <v>381.55</v>
      </c>
      <c r="BY42" s="87">
        <v>247.6</v>
      </c>
      <c r="BZ42" s="98">
        <f t="shared" ref="BZ42" si="74">SUM(BT42+BX42)</f>
        <v>50103.920000000006</v>
      </c>
      <c r="CA42" s="87">
        <v>13540.86</v>
      </c>
      <c r="CB42" s="14"/>
      <c r="CC42" s="19">
        <f t="shared" si="27"/>
        <v>6747700</v>
      </c>
      <c r="CD42" s="20">
        <v>6747</v>
      </c>
      <c r="CE42" s="19">
        <f>SUM(CD42-CD37)</f>
        <v>46</v>
      </c>
      <c r="CF42" s="59">
        <f>SUM(CE42*1.0766)+124.09</f>
        <v>173.61360000000002</v>
      </c>
      <c r="CG42" s="75">
        <v>276.92</v>
      </c>
      <c r="CH42" s="75">
        <v>1519.76</v>
      </c>
      <c r="CI42" s="19">
        <f t="shared" si="28"/>
        <v>14018476</v>
      </c>
      <c r="CJ42" s="20">
        <v>13924</v>
      </c>
      <c r="CK42" s="19">
        <f>SUM(CJ42-CJ37)</f>
        <v>384</v>
      </c>
      <c r="CL42" s="59">
        <f>SUM(CK42*1.0766+198.63)</f>
        <v>612.0444</v>
      </c>
      <c r="CM42" s="91">
        <v>349.16</v>
      </c>
      <c r="CN42" s="19">
        <f t="shared" si="29"/>
        <v>12376</v>
      </c>
      <c r="CO42" s="20">
        <v>2350</v>
      </c>
      <c r="CP42" s="20">
        <v>1052.55</v>
      </c>
      <c r="CQ42" s="90">
        <v>683.05</v>
      </c>
      <c r="CR42" s="19">
        <f t="shared" si="30"/>
        <v>3675860</v>
      </c>
      <c r="CS42" s="20">
        <v>3675</v>
      </c>
      <c r="CT42" s="19">
        <f>SUM(CS42-CS37)</f>
        <v>1</v>
      </c>
      <c r="CU42" s="59">
        <f>SUM(CT42*1.0766)+198.63</f>
        <v>199.70660000000001</v>
      </c>
      <c r="CW42" s="19">
        <f t="shared" si="31"/>
        <v>33113136</v>
      </c>
      <c r="CX42" s="20">
        <v>329812</v>
      </c>
      <c r="CY42" s="19">
        <f>SUM(CX42-CX37)</f>
        <v>2166</v>
      </c>
      <c r="CZ42" s="59">
        <f>SUM(CY42*0.8486)+1024.42</f>
        <v>2862.4876000000004</v>
      </c>
      <c r="DC42" s="20">
        <f>SUM(E40:E43)</f>
        <v>4967540</v>
      </c>
      <c r="DD42" s="75" t="e">
        <f>SUM(BL42+CF42+CL42+#REF!+CU42)</f>
        <v>#REF!</v>
      </c>
      <c r="DE42" s="75">
        <f>SUM(BQ42+CZ42)</f>
        <v>4988.7840000000006</v>
      </c>
      <c r="DF42" s="75">
        <f>SUM(BM42+CG42+CV42)</f>
        <v>35102.619999999995</v>
      </c>
      <c r="DG42" s="75" t="e">
        <f>SUM(DD42:DF42)</f>
        <v>#REF!</v>
      </c>
      <c r="DI42" s="92">
        <f>SUM(BU42+CQ42+BY42)</f>
        <v>33071.42</v>
      </c>
      <c r="DJ42" s="92">
        <f>SUM(CA42+CH42)</f>
        <v>15060.62</v>
      </c>
    </row>
    <row r="43" spans="2:114">
      <c r="B43" s="58">
        <v>43716</v>
      </c>
      <c r="C43" s="205">
        <v>34806075</v>
      </c>
      <c r="D43" s="205"/>
      <c r="E43" s="34">
        <f t="shared" ref="E43" si="75">SUM(C43-C42)*10</f>
        <v>1113790</v>
      </c>
      <c r="F43" s="205">
        <v>3987886</v>
      </c>
      <c r="G43" s="205"/>
      <c r="H43" s="34">
        <f t="shared" ref="H43" si="76">SUM(F43-F42)*10</f>
        <v>121150</v>
      </c>
      <c r="I43" s="205">
        <v>153860</v>
      </c>
      <c r="J43" s="205"/>
      <c r="K43" s="34">
        <f t="shared" si="54"/>
        <v>1500</v>
      </c>
      <c r="L43" s="205">
        <v>254028</v>
      </c>
      <c r="M43" s="205"/>
      <c r="N43" s="34">
        <f t="shared" si="7"/>
        <v>864000</v>
      </c>
      <c r="O43" s="205">
        <v>5777</v>
      </c>
      <c r="P43" s="205"/>
      <c r="Q43" s="34">
        <f t="shared" si="8"/>
        <v>23300</v>
      </c>
      <c r="R43" s="35"/>
      <c r="S43" s="205">
        <v>576755</v>
      </c>
      <c r="T43" s="205"/>
      <c r="U43" s="34">
        <f t="shared" si="9"/>
        <v>190800</v>
      </c>
      <c r="V43" s="205">
        <v>914521</v>
      </c>
      <c r="W43" s="205"/>
      <c r="X43" s="34">
        <f t="shared" si="10"/>
        <v>207100</v>
      </c>
      <c r="Y43" s="36">
        <f t="shared" si="11"/>
        <v>397900</v>
      </c>
      <c r="Z43" s="17"/>
      <c r="AA43" s="20">
        <v>842</v>
      </c>
      <c r="AB43" s="34">
        <f t="shared" si="73"/>
        <v>3430000</v>
      </c>
      <c r="AC43" s="20">
        <v>98646757</v>
      </c>
      <c r="AD43" s="34">
        <f t="shared" si="60"/>
        <v>8273638</v>
      </c>
      <c r="AE43" s="20">
        <v>89724</v>
      </c>
      <c r="AF43" s="34">
        <f t="shared" si="14"/>
        <v>64000</v>
      </c>
      <c r="AG43" s="20">
        <v>2383796</v>
      </c>
      <c r="AH43" s="34">
        <f t="shared" si="15"/>
        <v>12925000</v>
      </c>
      <c r="AI43" s="20">
        <v>3117247</v>
      </c>
      <c r="AJ43" s="34">
        <f t="shared" si="16"/>
        <v>20130</v>
      </c>
      <c r="AK43" s="20">
        <v>13712</v>
      </c>
      <c r="AL43" s="34">
        <f t="shared" si="17"/>
        <v>48000</v>
      </c>
      <c r="AM43" s="20">
        <v>5</v>
      </c>
      <c r="AN43" s="34">
        <f t="shared" si="72"/>
        <v>10</v>
      </c>
      <c r="AO43" s="20">
        <v>9068</v>
      </c>
      <c r="AP43" s="34">
        <f t="shared" si="19"/>
        <v>740</v>
      </c>
      <c r="AQ43" s="14"/>
      <c r="AR43" s="58">
        <f t="shared" si="42"/>
        <v>43716</v>
      </c>
      <c r="AS43" s="20">
        <v>12465</v>
      </c>
      <c r="AT43" s="34">
        <f t="shared" si="20"/>
        <v>89</v>
      </c>
      <c r="AU43" s="14"/>
      <c r="AV43" s="20">
        <v>14101352</v>
      </c>
      <c r="AW43" s="34">
        <f t="shared" si="21"/>
        <v>82876</v>
      </c>
      <c r="AX43" s="20">
        <v>116204745</v>
      </c>
      <c r="AY43" s="37">
        <f t="shared" si="61"/>
        <v>74720.45</v>
      </c>
      <c r="AZ43" s="34">
        <f t="shared" si="23"/>
        <v>8155.5500000000029</v>
      </c>
      <c r="BA43" s="20">
        <v>6750000</v>
      </c>
      <c r="BB43" s="34">
        <f t="shared" si="24"/>
        <v>2300</v>
      </c>
      <c r="BC43" s="20">
        <v>3676000</v>
      </c>
      <c r="BD43" s="34">
        <f t="shared" si="25"/>
        <v>140</v>
      </c>
      <c r="BE43" s="20">
        <v>33194588</v>
      </c>
      <c r="BF43" s="34">
        <f t="shared" si="26"/>
        <v>81452</v>
      </c>
      <c r="BI43" s="19">
        <f t="shared" si="0"/>
        <v>34806075</v>
      </c>
      <c r="BN43" s="19">
        <f t="shared" si="1"/>
        <v>3987886</v>
      </c>
      <c r="BR43" s="19">
        <f t="shared" si="2"/>
        <v>576755</v>
      </c>
      <c r="BV43" s="19">
        <f t="shared" si="3"/>
        <v>914521</v>
      </c>
      <c r="CB43" s="14"/>
      <c r="CC43" s="19">
        <f t="shared" si="27"/>
        <v>6750000</v>
      </c>
      <c r="CI43" s="19">
        <f t="shared" si="28"/>
        <v>14101352</v>
      </c>
      <c r="CN43" s="19">
        <f t="shared" si="29"/>
        <v>12465</v>
      </c>
      <c r="CR43" s="19">
        <f t="shared" si="30"/>
        <v>3676000</v>
      </c>
      <c r="CW43" s="19">
        <f t="shared" si="31"/>
        <v>33194588</v>
      </c>
      <c r="DD43" s="47"/>
      <c r="DE43" s="47"/>
      <c r="DF43" s="47"/>
      <c r="DG43" s="47"/>
      <c r="DI43" s="100"/>
      <c r="DJ43" s="100"/>
    </row>
    <row r="44" spans="2:114">
      <c r="B44" s="58">
        <v>43724</v>
      </c>
      <c r="C44" s="205">
        <v>34935427</v>
      </c>
      <c r="D44" s="205"/>
      <c r="E44" s="34">
        <f t="shared" ref="E44:E46" si="77">SUM(C44-C43)*10</f>
        <v>1293520</v>
      </c>
      <c r="F44" s="205">
        <v>4005374</v>
      </c>
      <c r="G44" s="205"/>
      <c r="H44" s="34">
        <f t="shared" ref="H44:H46" si="78">SUM(F44-F43)*10</f>
        <v>174880</v>
      </c>
      <c r="I44" s="205">
        <v>154000</v>
      </c>
      <c r="J44" s="205"/>
      <c r="K44" s="34">
        <f t="shared" si="54"/>
        <v>1400</v>
      </c>
      <c r="L44" s="205">
        <v>254959</v>
      </c>
      <c r="M44" s="205"/>
      <c r="N44" s="34">
        <f t="shared" si="7"/>
        <v>931000</v>
      </c>
      <c r="O44" s="205">
        <v>6002</v>
      </c>
      <c r="P44" s="205"/>
      <c r="Q44" s="34">
        <f t="shared" si="8"/>
        <v>22500</v>
      </c>
      <c r="R44" s="35"/>
      <c r="S44" s="205">
        <v>578680</v>
      </c>
      <c r="T44" s="205"/>
      <c r="U44" s="34">
        <f t="shared" si="9"/>
        <v>192500</v>
      </c>
      <c r="V44" s="205">
        <v>916834</v>
      </c>
      <c r="W44" s="205"/>
      <c r="X44" s="34">
        <f t="shared" si="10"/>
        <v>231300</v>
      </c>
      <c r="Y44" s="36">
        <f t="shared" si="11"/>
        <v>423800</v>
      </c>
      <c r="Z44" s="17"/>
      <c r="AA44" s="20">
        <v>1191</v>
      </c>
      <c r="AB44" s="34">
        <f t="shared" si="73"/>
        <v>3490000</v>
      </c>
      <c r="AC44" s="20">
        <v>106535400</v>
      </c>
      <c r="AD44" s="34">
        <f t="shared" si="60"/>
        <v>7888643</v>
      </c>
      <c r="AE44" s="20">
        <v>90059</v>
      </c>
      <c r="AF44" s="34">
        <f t="shared" si="14"/>
        <v>335000</v>
      </c>
      <c r="AG44" s="20">
        <v>2406701</v>
      </c>
      <c r="AH44" s="34">
        <f t="shared" si="15"/>
        <v>22905000</v>
      </c>
      <c r="AI44" s="20">
        <v>3139113</v>
      </c>
      <c r="AJ44" s="34">
        <f t="shared" si="16"/>
        <v>21866</v>
      </c>
      <c r="AK44" s="20">
        <v>13748</v>
      </c>
      <c r="AL44" s="34">
        <f t="shared" si="17"/>
        <v>36000</v>
      </c>
      <c r="AM44" s="20">
        <v>5</v>
      </c>
      <c r="AN44" s="34">
        <f t="shared" si="72"/>
        <v>0</v>
      </c>
      <c r="AO44" s="20">
        <v>9130</v>
      </c>
      <c r="AP44" s="34">
        <f t="shared" si="19"/>
        <v>620</v>
      </c>
      <c r="AQ44" s="14"/>
      <c r="AR44" s="58">
        <f t="shared" si="42"/>
        <v>43724</v>
      </c>
      <c r="AS44" s="20">
        <v>12559</v>
      </c>
      <c r="AT44" s="34">
        <f t="shared" si="20"/>
        <v>94</v>
      </c>
      <c r="AU44" s="14"/>
      <c r="AV44" s="20">
        <v>14182207</v>
      </c>
      <c r="AW44" s="34">
        <f t="shared" si="21"/>
        <v>80855</v>
      </c>
      <c r="AX44" s="20">
        <v>122678736</v>
      </c>
      <c r="AY44" s="37">
        <f t="shared" si="61"/>
        <v>64739.91</v>
      </c>
      <c r="AZ44" s="34">
        <f t="shared" si="23"/>
        <v>16115.089999999997</v>
      </c>
      <c r="BA44" s="20">
        <v>6753300</v>
      </c>
      <c r="BB44" s="34">
        <f t="shared" si="24"/>
        <v>3300</v>
      </c>
      <c r="BC44" s="20">
        <v>3677100</v>
      </c>
      <c r="BD44" s="34">
        <f t="shared" si="25"/>
        <v>1100</v>
      </c>
      <c r="BE44" s="20">
        <v>33510835</v>
      </c>
      <c r="BF44" s="34">
        <f t="shared" si="26"/>
        <v>316247</v>
      </c>
      <c r="BI44" s="19">
        <f t="shared" si="0"/>
        <v>34935427</v>
      </c>
      <c r="BN44" s="19">
        <f t="shared" si="1"/>
        <v>4005374</v>
      </c>
      <c r="BR44" s="19">
        <f t="shared" si="2"/>
        <v>578680</v>
      </c>
      <c r="BV44" s="19">
        <f t="shared" si="3"/>
        <v>916834</v>
      </c>
      <c r="CB44" s="14"/>
      <c r="CC44" s="19">
        <f t="shared" si="27"/>
        <v>6753300</v>
      </c>
      <c r="CI44" s="19">
        <f t="shared" si="28"/>
        <v>14182207</v>
      </c>
      <c r="CN44" s="19">
        <f t="shared" si="29"/>
        <v>12559</v>
      </c>
      <c r="CR44" s="19">
        <f t="shared" si="30"/>
        <v>3677100</v>
      </c>
      <c r="CW44" s="19">
        <f t="shared" si="31"/>
        <v>33510835</v>
      </c>
      <c r="DD44" s="47"/>
      <c r="DE44" s="47"/>
      <c r="DF44" s="47"/>
      <c r="DG44" s="47"/>
      <c r="DI44" s="100"/>
      <c r="DJ44" s="100"/>
    </row>
    <row r="45" spans="2:114">
      <c r="B45" s="58">
        <v>43730</v>
      </c>
      <c r="C45" s="205">
        <v>35040039</v>
      </c>
      <c r="D45" s="205"/>
      <c r="E45" s="34">
        <f t="shared" si="77"/>
        <v>1046120</v>
      </c>
      <c r="F45" s="205">
        <v>4019470</v>
      </c>
      <c r="G45" s="205"/>
      <c r="H45" s="34">
        <f t="shared" si="78"/>
        <v>140960</v>
      </c>
      <c r="I45" s="205">
        <v>154810</v>
      </c>
      <c r="J45" s="205"/>
      <c r="K45" s="34">
        <f t="shared" si="54"/>
        <v>8100</v>
      </c>
      <c r="L45" s="205">
        <v>255805</v>
      </c>
      <c r="M45" s="205"/>
      <c r="N45" s="34">
        <f t="shared" si="7"/>
        <v>846000</v>
      </c>
      <c r="O45" s="205">
        <v>6148</v>
      </c>
      <c r="P45" s="205"/>
      <c r="Q45" s="34">
        <f t="shared" si="8"/>
        <v>14600</v>
      </c>
      <c r="R45" s="35"/>
      <c r="S45" s="205">
        <v>580392</v>
      </c>
      <c r="T45" s="205"/>
      <c r="U45" s="34">
        <f t="shared" si="9"/>
        <v>171200</v>
      </c>
      <c r="V45" s="205">
        <v>921299</v>
      </c>
      <c r="W45" s="205"/>
      <c r="X45" s="34">
        <f t="shared" si="10"/>
        <v>446500</v>
      </c>
      <c r="Y45" s="36">
        <f t="shared" si="11"/>
        <v>617700</v>
      </c>
      <c r="Z45" s="17"/>
      <c r="AA45" s="20">
        <v>1488</v>
      </c>
      <c r="AB45" s="34">
        <f t="shared" si="73"/>
        <v>2970000</v>
      </c>
      <c r="AC45" s="20">
        <v>113476401</v>
      </c>
      <c r="AD45" s="34">
        <f t="shared" si="60"/>
        <v>6941001</v>
      </c>
      <c r="AE45" s="20">
        <v>90336</v>
      </c>
      <c r="AF45" s="34">
        <f t="shared" si="14"/>
        <v>277000</v>
      </c>
      <c r="AG45" s="20">
        <v>2413209</v>
      </c>
      <c r="AH45" s="34">
        <f t="shared" si="15"/>
        <v>6508000</v>
      </c>
      <c r="AI45" s="20">
        <v>3161570</v>
      </c>
      <c r="AJ45" s="34">
        <f t="shared" si="16"/>
        <v>22457</v>
      </c>
      <c r="AK45" s="20">
        <v>13794</v>
      </c>
      <c r="AL45" s="34">
        <f t="shared" si="17"/>
        <v>46000</v>
      </c>
      <c r="AM45" s="20">
        <v>5</v>
      </c>
      <c r="AN45" s="34">
        <f t="shared" si="72"/>
        <v>0</v>
      </c>
      <c r="AO45" s="20">
        <v>9184</v>
      </c>
      <c r="AP45" s="34">
        <f t="shared" si="19"/>
        <v>540</v>
      </c>
      <c r="AQ45" s="14"/>
      <c r="AR45" s="58">
        <f t="shared" si="42"/>
        <v>43730</v>
      </c>
      <c r="AS45" s="20">
        <v>12660</v>
      </c>
      <c r="AT45" s="34">
        <f t="shared" si="20"/>
        <v>101</v>
      </c>
      <c r="AU45" s="14"/>
      <c r="AV45" s="20">
        <v>14259427</v>
      </c>
      <c r="AW45" s="34">
        <f t="shared" si="21"/>
        <v>77220</v>
      </c>
      <c r="AX45" s="20">
        <v>129204417</v>
      </c>
      <c r="AY45" s="37">
        <f t="shared" si="61"/>
        <v>65256.81</v>
      </c>
      <c r="AZ45" s="34">
        <f t="shared" si="23"/>
        <v>11963.190000000002</v>
      </c>
      <c r="BA45" s="20">
        <v>6760600</v>
      </c>
      <c r="BB45" s="34">
        <f t="shared" si="24"/>
        <v>7300</v>
      </c>
      <c r="BC45" s="20">
        <v>3677400</v>
      </c>
      <c r="BD45" s="34">
        <f t="shared" si="25"/>
        <v>300</v>
      </c>
      <c r="BE45" s="20">
        <v>33801206</v>
      </c>
      <c r="BF45" s="34">
        <f t="shared" si="26"/>
        <v>290371</v>
      </c>
      <c r="BI45" s="19">
        <f t="shared" si="0"/>
        <v>35040039</v>
      </c>
      <c r="BN45" s="19">
        <f t="shared" si="1"/>
        <v>4019470</v>
      </c>
      <c r="BR45" s="19">
        <f t="shared" si="2"/>
        <v>580392</v>
      </c>
      <c r="BV45" s="19">
        <f t="shared" si="3"/>
        <v>921299</v>
      </c>
      <c r="CB45" s="14"/>
      <c r="CC45" s="19">
        <f t="shared" si="27"/>
        <v>6760600</v>
      </c>
      <c r="CI45" s="19">
        <f t="shared" si="28"/>
        <v>14259427</v>
      </c>
      <c r="CN45" s="19">
        <f t="shared" si="29"/>
        <v>12660</v>
      </c>
      <c r="CR45" s="19">
        <f t="shared" si="30"/>
        <v>3677400</v>
      </c>
      <c r="CW45" s="19">
        <f t="shared" si="31"/>
        <v>33801206</v>
      </c>
      <c r="DD45" s="47"/>
      <c r="DE45" s="47"/>
      <c r="DF45" s="47"/>
      <c r="DG45" s="47"/>
      <c r="DI45" s="100"/>
      <c r="DJ45" s="100"/>
    </row>
    <row r="46" spans="2:114">
      <c r="B46" s="58">
        <v>43738</v>
      </c>
      <c r="C46" s="205">
        <v>35170400</v>
      </c>
      <c r="D46" s="205"/>
      <c r="E46" s="34">
        <f t="shared" si="77"/>
        <v>1303610</v>
      </c>
      <c r="F46" s="205">
        <v>4042516</v>
      </c>
      <c r="G46" s="205"/>
      <c r="H46" s="34">
        <f t="shared" si="78"/>
        <v>230460</v>
      </c>
      <c r="I46" s="205">
        <v>154950</v>
      </c>
      <c r="J46" s="205"/>
      <c r="K46" s="34">
        <f t="shared" si="54"/>
        <v>1400</v>
      </c>
      <c r="L46" s="205">
        <v>256744</v>
      </c>
      <c r="M46" s="205"/>
      <c r="N46" s="34">
        <f t="shared" si="7"/>
        <v>939000</v>
      </c>
      <c r="O46" s="205">
        <v>6293</v>
      </c>
      <c r="P46" s="205"/>
      <c r="Q46" s="34">
        <f t="shared" si="8"/>
        <v>14500</v>
      </c>
      <c r="R46" s="35"/>
      <c r="S46" s="205">
        <v>582278</v>
      </c>
      <c r="T46" s="205"/>
      <c r="U46" s="34">
        <f t="shared" si="9"/>
        <v>188600</v>
      </c>
      <c r="V46" s="205">
        <v>925648</v>
      </c>
      <c r="W46" s="205"/>
      <c r="X46" s="34">
        <f t="shared" si="10"/>
        <v>434900</v>
      </c>
      <c r="Y46" s="36">
        <f t="shared" si="11"/>
        <v>623500</v>
      </c>
      <c r="Z46" s="17"/>
      <c r="AA46" s="20">
        <v>1776</v>
      </c>
      <c r="AB46" s="34">
        <f t="shared" si="73"/>
        <v>2880000</v>
      </c>
      <c r="AC46" s="20">
        <v>120276601</v>
      </c>
      <c r="AD46" s="34">
        <f t="shared" si="60"/>
        <v>6800200</v>
      </c>
      <c r="AE46" s="20">
        <v>90677</v>
      </c>
      <c r="AF46" s="34">
        <f t="shared" si="14"/>
        <v>341000</v>
      </c>
      <c r="AG46" s="20">
        <v>2435908</v>
      </c>
      <c r="AH46" s="34">
        <f t="shared" si="15"/>
        <v>22699000</v>
      </c>
      <c r="AI46" s="20">
        <v>3177891</v>
      </c>
      <c r="AJ46" s="34">
        <f t="shared" si="16"/>
        <v>16321</v>
      </c>
      <c r="AK46" s="20">
        <v>13834</v>
      </c>
      <c r="AL46" s="34">
        <f t="shared" si="17"/>
        <v>40000</v>
      </c>
      <c r="AM46" s="20">
        <v>5</v>
      </c>
      <c r="AN46" s="34">
        <f t="shared" si="72"/>
        <v>0</v>
      </c>
      <c r="AO46" s="20">
        <v>9233</v>
      </c>
      <c r="AP46" s="34">
        <f t="shared" si="19"/>
        <v>490</v>
      </c>
      <c r="AQ46" s="14"/>
      <c r="AR46" s="58">
        <f t="shared" si="42"/>
        <v>43738</v>
      </c>
      <c r="AS46" s="20">
        <v>12760</v>
      </c>
      <c r="AT46" s="34">
        <f t="shared" si="20"/>
        <v>100</v>
      </c>
      <c r="AU46" s="14"/>
      <c r="AV46" s="20">
        <v>14337332</v>
      </c>
      <c r="AW46" s="34">
        <f t="shared" si="21"/>
        <v>77905</v>
      </c>
      <c r="AX46" s="20">
        <v>135716159</v>
      </c>
      <c r="AY46" s="37">
        <f t="shared" si="61"/>
        <v>65117.42</v>
      </c>
      <c r="AZ46" s="34">
        <f t="shared" si="23"/>
        <v>12787.580000000002</v>
      </c>
      <c r="BA46" s="20">
        <v>6762400</v>
      </c>
      <c r="BB46" s="34">
        <f t="shared" si="24"/>
        <v>1800</v>
      </c>
      <c r="BC46" s="20">
        <v>3677700</v>
      </c>
      <c r="BD46" s="34">
        <f t="shared" si="25"/>
        <v>300</v>
      </c>
      <c r="BE46" s="20">
        <v>34240116</v>
      </c>
      <c r="BF46" s="34">
        <f t="shared" si="26"/>
        <v>438910</v>
      </c>
      <c r="BI46" s="19">
        <f t="shared" si="0"/>
        <v>35170400</v>
      </c>
      <c r="BJ46" s="20">
        <v>350135</v>
      </c>
      <c r="BK46" s="19">
        <f>SUM(BJ46-BJ42)</f>
        <v>4921</v>
      </c>
      <c r="BL46" s="59">
        <f>SUM(BK46*1.0228)+1887.37</f>
        <v>6920.5687999999991</v>
      </c>
      <c r="BM46" s="75">
        <v>18950.36</v>
      </c>
      <c r="BN46" s="19">
        <f t="shared" si="1"/>
        <v>4042516</v>
      </c>
      <c r="BO46" s="20">
        <v>40168</v>
      </c>
      <c r="BP46" s="19">
        <f>SUM(BO46-BO42)</f>
        <v>544</v>
      </c>
      <c r="BQ46" s="59">
        <f>SUM(BP46*0.8062)+1557.24</f>
        <v>1995.8128000000002</v>
      </c>
      <c r="BR46" s="19">
        <f t="shared" si="2"/>
        <v>582278</v>
      </c>
      <c r="BS46" s="20">
        <v>5812696</v>
      </c>
      <c r="BT46" s="20">
        <v>36332.699999999997</v>
      </c>
      <c r="BU46" s="87">
        <v>26968.16</v>
      </c>
      <c r="BV46" s="19">
        <f t="shared" si="3"/>
        <v>925648</v>
      </c>
      <c r="BW46" s="88">
        <v>92372</v>
      </c>
      <c r="BX46" s="39">
        <v>518.53</v>
      </c>
      <c r="BY46" s="87">
        <v>386.34</v>
      </c>
      <c r="BZ46" s="98">
        <f t="shared" ref="BZ46" si="79">SUM(BT46+BX46)</f>
        <v>36851.229999999996</v>
      </c>
      <c r="CA46" s="87">
        <v>10852.35</v>
      </c>
      <c r="CB46" s="14"/>
      <c r="CC46" s="19">
        <f t="shared" si="27"/>
        <v>6762400</v>
      </c>
      <c r="CD46" s="20">
        <v>6761</v>
      </c>
      <c r="CE46" s="19">
        <f>SUM(CD46-CD42)</f>
        <v>14</v>
      </c>
      <c r="CF46" s="59">
        <f>SUM(CE46*1.0228)+117.88</f>
        <v>132.19919999999999</v>
      </c>
      <c r="CG46" s="75">
        <v>276.92</v>
      </c>
      <c r="CH46" s="75">
        <v>1279.0899999999999</v>
      </c>
      <c r="CI46" s="19">
        <f t="shared" si="28"/>
        <v>14337332</v>
      </c>
      <c r="CJ46" s="20">
        <v>14280</v>
      </c>
      <c r="CK46" s="19">
        <f>SUM(CJ46-CJ42)</f>
        <v>356</v>
      </c>
      <c r="CL46" s="59">
        <f>SUM(CK46*1.0228+188.7)</f>
        <v>552.81679999999994</v>
      </c>
      <c r="CM46" s="91">
        <v>274.56</v>
      </c>
      <c r="CN46" s="19">
        <f t="shared" si="29"/>
        <v>12760</v>
      </c>
      <c r="CO46" s="20">
        <v>2709</v>
      </c>
      <c r="CP46" s="20">
        <v>832.31</v>
      </c>
      <c r="CQ46" s="90">
        <v>620.12</v>
      </c>
      <c r="CR46" s="19">
        <f t="shared" si="30"/>
        <v>3677700</v>
      </c>
      <c r="CS46" s="20">
        <v>3677</v>
      </c>
      <c r="CT46" s="19">
        <f>SUM(CS46-CS42)</f>
        <v>2</v>
      </c>
      <c r="CU46" s="59">
        <f>SUM(CT46*1.0228)+188.7</f>
        <v>190.7456</v>
      </c>
      <c r="CW46" s="19">
        <f t="shared" si="31"/>
        <v>34240116</v>
      </c>
      <c r="CX46" s="20">
        <v>338834</v>
      </c>
      <c r="CY46" s="19">
        <f>SUM(CX46-CX42)</f>
        <v>9022</v>
      </c>
      <c r="CZ46" s="59">
        <f>SUM(CY46*0.8062)+973.2</f>
        <v>8246.7363999999998</v>
      </c>
      <c r="DC46" s="20">
        <f>SUM(E44:E47)</f>
        <v>4727570</v>
      </c>
      <c r="DD46" s="75" t="e">
        <f>SUM(BL46+CF46+CL46+#REF!+CU46)</f>
        <v>#REF!</v>
      </c>
      <c r="DE46" s="75">
        <f>SUM(BQ46+CZ46)</f>
        <v>10242.549199999999</v>
      </c>
      <c r="DF46" s="75">
        <f>SUM(BM46+CG46+CV46)</f>
        <v>19227.28</v>
      </c>
      <c r="DG46" s="75" t="e">
        <f>SUM(DD46:DF46)</f>
        <v>#REF!</v>
      </c>
      <c r="DI46" s="92">
        <f>SUM(BU46+CQ46+BY46)</f>
        <v>27974.62</v>
      </c>
      <c r="DJ46" s="92">
        <f>SUM(CA46+CH46)</f>
        <v>12131.44</v>
      </c>
    </row>
    <row r="47" spans="2:114">
      <c r="B47" s="58">
        <v>43744</v>
      </c>
      <c r="C47" s="205">
        <v>35278832</v>
      </c>
      <c r="D47" s="205"/>
      <c r="E47" s="34">
        <f t="shared" ref="E47" si="80">SUM(C47-C46)*10</f>
        <v>1084320</v>
      </c>
      <c r="F47" s="205">
        <v>4064313</v>
      </c>
      <c r="G47" s="205"/>
      <c r="H47" s="34">
        <f t="shared" ref="H47" si="81">SUM(F47-F46)*10</f>
        <v>217970</v>
      </c>
      <c r="I47" s="205">
        <v>155100</v>
      </c>
      <c r="J47" s="205"/>
      <c r="K47" s="34">
        <f t="shared" si="54"/>
        <v>1500</v>
      </c>
      <c r="L47" s="205">
        <v>257612</v>
      </c>
      <c r="M47" s="205"/>
      <c r="N47" s="34">
        <f t="shared" si="7"/>
        <v>868000</v>
      </c>
      <c r="O47" s="205">
        <v>6435</v>
      </c>
      <c r="P47" s="205"/>
      <c r="Q47" s="34">
        <f t="shared" si="8"/>
        <v>14200</v>
      </c>
      <c r="R47" s="35"/>
      <c r="S47" s="205">
        <v>584065</v>
      </c>
      <c r="T47" s="205"/>
      <c r="U47" s="34">
        <f t="shared" si="9"/>
        <v>178700</v>
      </c>
      <c r="V47" s="205">
        <v>930105</v>
      </c>
      <c r="W47" s="205"/>
      <c r="X47" s="34">
        <f t="shared" si="10"/>
        <v>445700</v>
      </c>
      <c r="Y47" s="36">
        <f t="shared" si="11"/>
        <v>624400</v>
      </c>
      <c r="Z47" s="17"/>
      <c r="AA47" s="20">
        <v>2062</v>
      </c>
      <c r="AB47" s="34">
        <f t="shared" si="73"/>
        <v>2860000</v>
      </c>
      <c r="AC47" s="20">
        <v>126673161</v>
      </c>
      <c r="AD47" s="34">
        <f t="shared" si="60"/>
        <v>6396560</v>
      </c>
      <c r="AE47" s="20">
        <v>90893</v>
      </c>
      <c r="AF47" s="34">
        <f t="shared" si="14"/>
        <v>216000</v>
      </c>
      <c r="AG47" s="20">
        <v>2444963</v>
      </c>
      <c r="AH47" s="34">
        <f t="shared" si="15"/>
        <v>9055000</v>
      </c>
      <c r="AI47" s="20">
        <v>3192705</v>
      </c>
      <c r="AJ47" s="34">
        <f t="shared" si="16"/>
        <v>14814</v>
      </c>
      <c r="AK47" s="20">
        <v>13881</v>
      </c>
      <c r="AL47" s="34">
        <f t="shared" si="17"/>
        <v>47000</v>
      </c>
      <c r="AM47" s="20">
        <v>5</v>
      </c>
      <c r="AN47" s="34">
        <f t="shared" si="72"/>
        <v>0</v>
      </c>
      <c r="AO47" s="20">
        <v>9286</v>
      </c>
      <c r="AP47" s="34">
        <f t="shared" si="19"/>
        <v>530</v>
      </c>
      <c r="AQ47" s="14"/>
      <c r="AR47" s="58">
        <f t="shared" si="42"/>
        <v>43744</v>
      </c>
      <c r="AS47" s="20">
        <v>12897</v>
      </c>
      <c r="AT47" s="34">
        <f t="shared" si="20"/>
        <v>137</v>
      </c>
      <c r="AU47" s="14"/>
      <c r="AV47" s="20">
        <v>14426569</v>
      </c>
      <c r="AW47" s="34">
        <f t="shared" si="21"/>
        <v>89237</v>
      </c>
      <c r="AX47" s="20">
        <v>143150379</v>
      </c>
      <c r="AY47" s="37">
        <f t="shared" si="61"/>
        <v>74342.2</v>
      </c>
      <c r="AZ47" s="34">
        <f t="shared" si="23"/>
        <v>14894.800000000003</v>
      </c>
      <c r="BA47" s="20">
        <v>6766200</v>
      </c>
      <c r="BB47" s="34">
        <f t="shared" si="24"/>
        <v>3800</v>
      </c>
      <c r="BC47" s="20">
        <v>3678100</v>
      </c>
      <c r="BD47" s="34">
        <f t="shared" si="25"/>
        <v>400</v>
      </c>
      <c r="BE47" s="20">
        <v>34494284</v>
      </c>
      <c r="BF47" s="34">
        <f t="shared" si="26"/>
        <v>254168</v>
      </c>
      <c r="BI47" s="19">
        <f t="shared" si="0"/>
        <v>35278832</v>
      </c>
      <c r="BN47" s="19">
        <f t="shared" si="1"/>
        <v>4064313</v>
      </c>
      <c r="BR47" s="19">
        <f t="shared" si="2"/>
        <v>584065</v>
      </c>
      <c r="BV47" s="19">
        <f t="shared" si="3"/>
        <v>930105</v>
      </c>
      <c r="CB47" s="14"/>
      <c r="CC47" s="19">
        <f t="shared" si="27"/>
        <v>6766200</v>
      </c>
      <c r="CI47" s="19">
        <f t="shared" si="28"/>
        <v>14426569</v>
      </c>
      <c r="CN47" s="19">
        <f t="shared" si="29"/>
        <v>12897</v>
      </c>
      <c r="CR47" s="19">
        <f t="shared" si="30"/>
        <v>3678100</v>
      </c>
      <c r="CW47" s="19">
        <f t="shared" si="31"/>
        <v>34494284</v>
      </c>
      <c r="DD47" s="47"/>
      <c r="DE47" s="47"/>
      <c r="DF47" s="47"/>
      <c r="DG47" s="47"/>
      <c r="DI47" s="100"/>
      <c r="DJ47" s="100"/>
    </row>
    <row r="48" spans="2:114">
      <c r="B48" s="58">
        <v>43751</v>
      </c>
      <c r="C48" s="205">
        <v>35403050</v>
      </c>
      <c r="D48" s="205"/>
      <c r="E48" s="34">
        <f t="shared" ref="E48:E51" si="82">SUM(C48-C47)*10</f>
        <v>1242180</v>
      </c>
      <c r="F48" s="205">
        <v>4077627</v>
      </c>
      <c r="G48" s="205"/>
      <c r="H48" s="34">
        <f t="shared" ref="H48:H51" si="83">SUM(F48-F47)*10</f>
        <v>133140</v>
      </c>
      <c r="I48" s="205">
        <v>155420</v>
      </c>
      <c r="J48" s="205"/>
      <c r="K48" s="34">
        <f t="shared" si="54"/>
        <v>3200</v>
      </c>
      <c r="L48" s="205">
        <v>258529</v>
      </c>
      <c r="M48" s="205"/>
      <c r="N48" s="34">
        <f t="shared" si="7"/>
        <v>917000</v>
      </c>
      <c r="O48" s="205">
        <v>6578</v>
      </c>
      <c r="P48" s="205"/>
      <c r="Q48" s="34">
        <f t="shared" si="8"/>
        <v>14300</v>
      </c>
      <c r="R48" s="35"/>
      <c r="S48" s="205">
        <v>586007</v>
      </c>
      <c r="T48" s="205"/>
      <c r="U48" s="34">
        <f t="shared" si="9"/>
        <v>194200</v>
      </c>
      <c r="V48" s="205">
        <v>937250</v>
      </c>
      <c r="W48" s="205"/>
      <c r="X48" s="34">
        <f t="shared" si="10"/>
        <v>714500</v>
      </c>
      <c r="Y48" s="36">
        <f t="shared" si="11"/>
        <v>908700</v>
      </c>
      <c r="Z48" s="17"/>
      <c r="AA48" s="20">
        <v>2324</v>
      </c>
      <c r="AB48" s="34">
        <f t="shared" si="73"/>
        <v>2620000</v>
      </c>
      <c r="AC48" s="20">
        <v>132840631</v>
      </c>
      <c r="AD48" s="34">
        <f t="shared" si="60"/>
        <v>6167470</v>
      </c>
      <c r="AE48" s="20">
        <v>91254</v>
      </c>
      <c r="AF48" s="34">
        <f t="shared" si="14"/>
        <v>361000</v>
      </c>
      <c r="AG48" s="20">
        <v>2462839</v>
      </c>
      <c r="AH48" s="34">
        <f t="shared" si="15"/>
        <v>17876000</v>
      </c>
      <c r="AI48" s="20">
        <v>3205781</v>
      </c>
      <c r="AJ48" s="34">
        <f t="shared" si="16"/>
        <v>13076</v>
      </c>
      <c r="AK48" s="20">
        <v>13925</v>
      </c>
      <c r="AL48" s="34">
        <f t="shared" si="17"/>
        <v>44000</v>
      </c>
      <c r="AM48" s="20">
        <v>5</v>
      </c>
      <c r="AN48" s="34">
        <f t="shared" si="72"/>
        <v>0</v>
      </c>
      <c r="AO48" s="20">
        <v>9337</v>
      </c>
      <c r="AP48" s="34">
        <f t="shared" si="19"/>
        <v>510</v>
      </c>
      <c r="AQ48" s="14"/>
      <c r="AR48" s="58">
        <f t="shared" si="42"/>
        <v>43751</v>
      </c>
      <c r="AS48" s="20">
        <v>13009</v>
      </c>
      <c r="AT48" s="34">
        <f t="shared" si="20"/>
        <v>112</v>
      </c>
      <c r="AU48" s="14"/>
      <c r="AV48" s="20">
        <v>14499107</v>
      </c>
      <c r="AW48" s="34">
        <f t="shared" si="21"/>
        <v>72538</v>
      </c>
      <c r="AX48" s="20">
        <v>148750687</v>
      </c>
      <c r="AY48" s="37">
        <f t="shared" si="61"/>
        <v>56003.08</v>
      </c>
      <c r="AZ48" s="34">
        <f t="shared" si="23"/>
        <v>16534.919999999998</v>
      </c>
      <c r="BA48" s="20">
        <v>6767900</v>
      </c>
      <c r="BB48" s="34">
        <f t="shared" si="24"/>
        <v>1700</v>
      </c>
      <c r="BC48" s="20">
        <v>3678400</v>
      </c>
      <c r="BD48" s="34">
        <f t="shared" si="25"/>
        <v>300</v>
      </c>
      <c r="BE48" s="20">
        <v>34633327</v>
      </c>
      <c r="BF48" s="34">
        <f t="shared" si="26"/>
        <v>139043</v>
      </c>
      <c r="BI48" s="19">
        <f t="shared" si="0"/>
        <v>35403050</v>
      </c>
      <c r="BN48" s="19">
        <f t="shared" si="1"/>
        <v>4077627</v>
      </c>
      <c r="BR48" s="19">
        <f t="shared" si="2"/>
        <v>586007</v>
      </c>
      <c r="BV48" s="19">
        <f t="shared" si="3"/>
        <v>937250</v>
      </c>
      <c r="CB48" s="14"/>
      <c r="CC48" s="19">
        <f t="shared" si="27"/>
        <v>6767900</v>
      </c>
      <c r="CI48" s="19">
        <f t="shared" si="28"/>
        <v>14499107</v>
      </c>
      <c r="CN48" s="19">
        <f t="shared" si="29"/>
        <v>13009</v>
      </c>
      <c r="CR48" s="19">
        <f t="shared" si="30"/>
        <v>3678400</v>
      </c>
      <c r="CW48" s="19">
        <f t="shared" si="31"/>
        <v>34633327</v>
      </c>
      <c r="DD48" s="47"/>
      <c r="DE48" s="47"/>
      <c r="DF48" s="47"/>
      <c r="DG48" s="47"/>
      <c r="DI48" s="100"/>
      <c r="DJ48" s="100"/>
    </row>
    <row r="49" spans="2:114">
      <c r="B49" s="58">
        <v>43758</v>
      </c>
      <c r="C49" s="205">
        <v>35530133</v>
      </c>
      <c r="D49" s="205"/>
      <c r="E49" s="34">
        <f t="shared" si="82"/>
        <v>1270830</v>
      </c>
      <c r="F49" s="205">
        <v>4097176</v>
      </c>
      <c r="G49" s="205"/>
      <c r="H49" s="34">
        <f t="shared" si="83"/>
        <v>195490</v>
      </c>
      <c r="I49" s="205">
        <v>155570</v>
      </c>
      <c r="J49" s="205"/>
      <c r="K49" s="34">
        <f t="shared" si="54"/>
        <v>1500</v>
      </c>
      <c r="L49" s="205">
        <v>259461</v>
      </c>
      <c r="M49" s="205"/>
      <c r="N49" s="34">
        <f t="shared" si="7"/>
        <v>932000</v>
      </c>
      <c r="O49" s="205">
        <v>6721</v>
      </c>
      <c r="P49" s="205"/>
      <c r="Q49" s="34">
        <f t="shared" si="8"/>
        <v>14300</v>
      </c>
      <c r="R49" s="35"/>
      <c r="S49" s="205">
        <v>588017</v>
      </c>
      <c r="T49" s="205"/>
      <c r="U49" s="34">
        <f t="shared" si="9"/>
        <v>201000</v>
      </c>
      <c r="V49" s="205">
        <v>943651</v>
      </c>
      <c r="W49" s="205"/>
      <c r="X49" s="34">
        <f t="shared" si="10"/>
        <v>640100</v>
      </c>
      <c r="Y49" s="36">
        <f t="shared" si="11"/>
        <v>841100</v>
      </c>
      <c r="Z49" s="17"/>
      <c r="AA49" s="20">
        <v>2585</v>
      </c>
      <c r="AB49" s="34">
        <f t="shared" si="73"/>
        <v>2610000</v>
      </c>
      <c r="AC49" s="20">
        <v>138931030</v>
      </c>
      <c r="AD49" s="34">
        <f t="shared" si="60"/>
        <v>6090399</v>
      </c>
      <c r="AE49" s="20">
        <v>91423</v>
      </c>
      <c r="AF49" s="34">
        <f t="shared" si="14"/>
        <v>169000</v>
      </c>
      <c r="AG49" s="20">
        <v>2484621</v>
      </c>
      <c r="AH49" s="34">
        <f t="shared" si="15"/>
        <v>21782000</v>
      </c>
      <c r="AI49" s="20">
        <v>3217253</v>
      </c>
      <c r="AJ49" s="34">
        <f t="shared" si="16"/>
        <v>11472</v>
      </c>
      <c r="AK49" s="20">
        <v>13968</v>
      </c>
      <c r="AL49" s="34">
        <f t="shared" si="17"/>
        <v>43000</v>
      </c>
      <c r="AM49" s="20">
        <v>5</v>
      </c>
      <c r="AN49" s="34">
        <f t="shared" si="72"/>
        <v>0</v>
      </c>
      <c r="AO49" s="20">
        <v>9379</v>
      </c>
      <c r="AP49" s="34">
        <f t="shared" si="19"/>
        <v>420</v>
      </c>
      <c r="AQ49" s="14"/>
      <c r="AR49" s="58">
        <f t="shared" si="42"/>
        <v>43758</v>
      </c>
      <c r="AS49" s="20">
        <v>13136</v>
      </c>
      <c r="AT49" s="34">
        <f t="shared" si="20"/>
        <v>127</v>
      </c>
      <c r="AU49" s="14"/>
      <c r="AV49" s="20">
        <v>14581253</v>
      </c>
      <c r="AW49" s="34">
        <f t="shared" si="21"/>
        <v>82146</v>
      </c>
      <c r="AX49" s="20">
        <v>155226789</v>
      </c>
      <c r="AY49" s="37">
        <f t="shared" si="61"/>
        <v>64761.02</v>
      </c>
      <c r="AZ49" s="34">
        <f t="shared" si="23"/>
        <v>17384.980000000003</v>
      </c>
      <c r="BA49" s="20">
        <v>6770200</v>
      </c>
      <c r="BB49" s="34">
        <f t="shared" si="24"/>
        <v>2300</v>
      </c>
      <c r="BC49" s="20">
        <v>3678600</v>
      </c>
      <c r="BD49" s="34">
        <f t="shared" si="25"/>
        <v>200</v>
      </c>
      <c r="BE49" s="20">
        <v>34835375</v>
      </c>
      <c r="BF49" s="34">
        <f t="shared" si="26"/>
        <v>202048</v>
      </c>
      <c r="BI49" s="19">
        <f t="shared" si="0"/>
        <v>35530133</v>
      </c>
      <c r="BN49" s="19">
        <f t="shared" si="1"/>
        <v>4097176</v>
      </c>
      <c r="BR49" s="19">
        <f t="shared" si="2"/>
        <v>588017</v>
      </c>
      <c r="BV49" s="19">
        <f t="shared" si="3"/>
        <v>943651</v>
      </c>
      <c r="CB49" s="14"/>
      <c r="CC49" s="19">
        <f t="shared" si="27"/>
        <v>6770200</v>
      </c>
      <c r="CI49" s="19">
        <f t="shared" si="28"/>
        <v>14581253</v>
      </c>
      <c r="CN49" s="19">
        <f t="shared" si="29"/>
        <v>13136</v>
      </c>
      <c r="CR49" s="19">
        <f t="shared" si="30"/>
        <v>3678600</v>
      </c>
      <c r="CW49" s="19">
        <f t="shared" si="31"/>
        <v>34835375</v>
      </c>
      <c r="DD49" s="47"/>
      <c r="DE49" s="47"/>
      <c r="DF49" s="47"/>
      <c r="DG49" s="47"/>
      <c r="DI49" s="100"/>
      <c r="DJ49" s="100"/>
    </row>
    <row r="50" spans="2:114">
      <c r="B50" s="58">
        <v>43765</v>
      </c>
      <c r="C50" s="205">
        <v>35650460</v>
      </c>
      <c r="D50" s="205"/>
      <c r="E50" s="34">
        <f t="shared" si="82"/>
        <v>1203270</v>
      </c>
      <c r="F50" s="205">
        <v>4103576</v>
      </c>
      <c r="G50" s="205"/>
      <c r="H50" s="34">
        <f t="shared" si="83"/>
        <v>64000</v>
      </c>
      <c r="I50" s="205">
        <v>155810</v>
      </c>
      <c r="J50" s="205"/>
      <c r="K50" s="34">
        <f t="shared" si="54"/>
        <v>2400</v>
      </c>
      <c r="L50" s="205">
        <v>260455</v>
      </c>
      <c r="M50" s="205"/>
      <c r="N50" s="34">
        <f t="shared" si="7"/>
        <v>994000</v>
      </c>
      <c r="O50" s="205">
        <v>6862</v>
      </c>
      <c r="P50" s="205"/>
      <c r="Q50" s="34">
        <f t="shared" si="8"/>
        <v>14100</v>
      </c>
      <c r="R50" s="35"/>
      <c r="S50" s="205">
        <v>590017</v>
      </c>
      <c r="T50" s="205"/>
      <c r="U50" s="34">
        <f t="shared" si="9"/>
        <v>200000</v>
      </c>
      <c r="V50" s="205">
        <v>948422</v>
      </c>
      <c r="W50" s="205"/>
      <c r="X50" s="34">
        <f t="shared" si="10"/>
        <v>477100</v>
      </c>
      <c r="Y50" s="36">
        <f t="shared" si="11"/>
        <v>677100</v>
      </c>
      <c r="Z50" s="17"/>
      <c r="AA50" s="20">
        <v>2860</v>
      </c>
      <c r="AB50" s="34">
        <f t="shared" si="73"/>
        <v>2750000</v>
      </c>
      <c r="AC50" s="20">
        <v>145404035</v>
      </c>
      <c r="AD50" s="34">
        <f t="shared" si="60"/>
        <v>6473005</v>
      </c>
      <c r="AE50" s="20">
        <v>91492</v>
      </c>
      <c r="AF50" s="34">
        <f t="shared" si="14"/>
        <v>69000</v>
      </c>
      <c r="AG50" s="20">
        <v>2496160</v>
      </c>
      <c r="AH50" s="34">
        <f t="shared" si="15"/>
        <v>11539000</v>
      </c>
      <c r="AI50" s="20">
        <v>3225321</v>
      </c>
      <c r="AJ50" s="34">
        <f t="shared" si="16"/>
        <v>8068</v>
      </c>
      <c r="AK50" s="20">
        <v>13992</v>
      </c>
      <c r="AL50" s="34">
        <f t="shared" si="17"/>
        <v>24000</v>
      </c>
      <c r="AM50" s="20">
        <v>6</v>
      </c>
      <c r="AN50" s="34">
        <f t="shared" si="72"/>
        <v>10</v>
      </c>
      <c r="AO50" s="20">
        <v>9423</v>
      </c>
      <c r="AP50" s="34">
        <f t="shared" si="19"/>
        <v>440</v>
      </c>
      <c r="AQ50" s="14"/>
      <c r="AR50" s="58">
        <f t="shared" si="42"/>
        <v>43765</v>
      </c>
      <c r="AS50" s="20">
        <v>13265</v>
      </c>
      <c r="AT50" s="34">
        <f t="shared" si="20"/>
        <v>129</v>
      </c>
      <c r="AU50" s="14"/>
      <c r="AV50" s="20">
        <v>14660647</v>
      </c>
      <c r="AW50" s="34">
        <f t="shared" si="21"/>
        <v>79394</v>
      </c>
      <c r="AX50" s="20">
        <v>161804591</v>
      </c>
      <c r="AY50" s="37">
        <f t="shared" si="61"/>
        <v>65778.02</v>
      </c>
      <c r="AZ50" s="34">
        <f t="shared" si="23"/>
        <v>13615.979999999996</v>
      </c>
      <c r="BA50" s="20">
        <v>6772500</v>
      </c>
      <c r="BB50" s="34">
        <f t="shared" si="24"/>
        <v>2300</v>
      </c>
      <c r="BC50" s="20">
        <v>3679100</v>
      </c>
      <c r="BD50" s="34">
        <f t="shared" si="25"/>
        <v>500</v>
      </c>
      <c r="BE50" s="20">
        <v>34843597</v>
      </c>
      <c r="BF50" s="34">
        <f t="shared" si="26"/>
        <v>8222</v>
      </c>
      <c r="BI50" s="19">
        <f t="shared" si="0"/>
        <v>35650460</v>
      </c>
      <c r="BN50" s="19">
        <f t="shared" si="1"/>
        <v>4103576</v>
      </c>
      <c r="BR50" s="19">
        <f t="shared" si="2"/>
        <v>590017</v>
      </c>
      <c r="BV50" s="19">
        <f t="shared" si="3"/>
        <v>948422</v>
      </c>
      <c r="CB50" s="14"/>
      <c r="CC50" s="19">
        <f t="shared" si="27"/>
        <v>6772500</v>
      </c>
      <c r="CI50" s="19">
        <f t="shared" si="28"/>
        <v>14660647</v>
      </c>
      <c r="CN50" s="19">
        <f t="shared" si="29"/>
        <v>13265</v>
      </c>
      <c r="CR50" s="19">
        <f t="shared" si="30"/>
        <v>3679100</v>
      </c>
      <c r="CW50" s="19">
        <f t="shared" si="31"/>
        <v>34843597</v>
      </c>
      <c r="DD50" s="47"/>
      <c r="DE50" s="47"/>
      <c r="DF50" s="47"/>
      <c r="DG50" s="47"/>
      <c r="DI50" s="100"/>
      <c r="DJ50" s="100"/>
    </row>
    <row r="51" spans="2:114">
      <c r="B51" s="58">
        <v>43770</v>
      </c>
      <c r="C51" s="205">
        <v>35733550</v>
      </c>
      <c r="D51" s="205"/>
      <c r="E51" s="34">
        <f t="shared" si="82"/>
        <v>830900</v>
      </c>
      <c r="F51" s="205">
        <v>4110943</v>
      </c>
      <c r="G51" s="205"/>
      <c r="H51" s="34">
        <f t="shared" si="83"/>
        <v>73670</v>
      </c>
      <c r="I51" s="205">
        <v>156110</v>
      </c>
      <c r="J51" s="205"/>
      <c r="K51" s="34">
        <f t="shared" si="54"/>
        <v>3000</v>
      </c>
      <c r="L51" s="205">
        <v>261119</v>
      </c>
      <c r="M51" s="205"/>
      <c r="N51" s="34">
        <f t="shared" si="7"/>
        <v>664000</v>
      </c>
      <c r="O51" s="205">
        <v>6942</v>
      </c>
      <c r="P51" s="205"/>
      <c r="Q51" s="34">
        <f t="shared" si="8"/>
        <v>8000</v>
      </c>
      <c r="R51" s="35"/>
      <c r="S51" s="205">
        <v>590721</v>
      </c>
      <c r="T51" s="205"/>
      <c r="U51" s="34">
        <f t="shared" si="9"/>
        <v>70400</v>
      </c>
      <c r="V51" s="205">
        <v>950130</v>
      </c>
      <c r="W51" s="205"/>
      <c r="X51" s="34">
        <f t="shared" si="10"/>
        <v>170800</v>
      </c>
      <c r="Y51" s="36">
        <f t="shared" si="11"/>
        <v>241200</v>
      </c>
      <c r="Z51" s="17"/>
      <c r="AA51" s="20">
        <v>3135</v>
      </c>
      <c r="AB51" s="34">
        <f t="shared" si="73"/>
        <v>2750000</v>
      </c>
      <c r="AC51" s="20">
        <v>146895843</v>
      </c>
      <c r="AD51" s="34">
        <f t="shared" si="60"/>
        <v>1491808</v>
      </c>
      <c r="AE51" s="20">
        <v>91521</v>
      </c>
      <c r="AF51" s="34">
        <f t="shared" si="14"/>
        <v>29000</v>
      </c>
      <c r="AG51" s="20">
        <v>2506692</v>
      </c>
      <c r="AH51" s="34">
        <f t="shared" si="15"/>
        <v>10532000</v>
      </c>
      <c r="AI51" s="20">
        <v>3231919</v>
      </c>
      <c r="AJ51" s="34">
        <f t="shared" si="16"/>
        <v>6598</v>
      </c>
      <c r="AK51" s="20">
        <v>14011</v>
      </c>
      <c r="AL51" s="34">
        <f t="shared" si="17"/>
        <v>19000</v>
      </c>
      <c r="AM51" s="20">
        <v>6</v>
      </c>
      <c r="AN51" s="34">
        <f t="shared" si="72"/>
        <v>0</v>
      </c>
      <c r="AO51" s="20">
        <v>9446</v>
      </c>
      <c r="AP51" s="34">
        <f t="shared" si="19"/>
        <v>230</v>
      </c>
      <c r="AQ51" s="14"/>
      <c r="AR51" s="58">
        <f t="shared" si="42"/>
        <v>43770</v>
      </c>
      <c r="AS51" s="20">
        <v>13329</v>
      </c>
      <c r="AT51" s="34">
        <f t="shared" si="20"/>
        <v>64</v>
      </c>
      <c r="AU51" s="14"/>
      <c r="AV51" s="20">
        <v>14706197</v>
      </c>
      <c r="AW51" s="34">
        <f t="shared" si="21"/>
        <v>45550</v>
      </c>
      <c r="AX51" s="20">
        <v>165537037</v>
      </c>
      <c r="AY51" s="37">
        <f t="shared" si="61"/>
        <v>37324.46</v>
      </c>
      <c r="AZ51" s="34">
        <f t="shared" si="23"/>
        <v>8225.5400000000009</v>
      </c>
      <c r="BA51" s="20">
        <v>6776500</v>
      </c>
      <c r="BB51" s="34">
        <f t="shared" si="24"/>
        <v>4000</v>
      </c>
      <c r="BC51" s="20">
        <v>3679300</v>
      </c>
      <c r="BD51" s="34">
        <f t="shared" si="25"/>
        <v>200</v>
      </c>
      <c r="BE51" s="20">
        <v>34848016</v>
      </c>
      <c r="BF51" s="34">
        <f t="shared" si="26"/>
        <v>4419</v>
      </c>
      <c r="BI51" s="19">
        <f t="shared" si="0"/>
        <v>35733550</v>
      </c>
      <c r="BJ51" s="20">
        <v>356578</v>
      </c>
      <c r="BK51" s="19">
        <f>SUM(BJ51-BJ46)</f>
        <v>6443</v>
      </c>
      <c r="BL51" s="59">
        <f>SUM(BK51*1.0228)+1887.37</f>
        <v>8477.2703999999994</v>
      </c>
      <c r="BM51" s="75">
        <v>22124.959999999999</v>
      </c>
      <c r="BN51" s="19">
        <f t="shared" si="1"/>
        <v>4110943</v>
      </c>
      <c r="BO51" s="20">
        <v>41047</v>
      </c>
      <c r="BP51" s="19">
        <f>SUM(BO51-BO46)</f>
        <v>879</v>
      </c>
      <c r="BQ51" s="59">
        <f>SUM(BP51*0.8062)+1557.24</f>
        <v>2265.8897999999999</v>
      </c>
      <c r="BR51" s="19">
        <f t="shared" si="2"/>
        <v>590721</v>
      </c>
      <c r="BS51" s="20">
        <v>590897</v>
      </c>
      <c r="BT51" s="20">
        <v>48031.199999999997</v>
      </c>
      <c r="BU51" s="87">
        <v>35643.4</v>
      </c>
      <c r="BV51" s="19">
        <f t="shared" si="3"/>
        <v>950130</v>
      </c>
      <c r="BW51" s="88">
        <v>94993</v>
      </c>
      <c r="BX51" s="39">
        <v>1132.56</v>
      </c>
      <c r="BY51" s="87">
        <v>843.83</v>
      </c>
      <c r="BZ51" s="98">
        <f t="shared" ref="BZ51" si="84">SUM(BT51+BX51)</f>
        <v>49163.759999999995</v>
      </c>
      <c r="CA51" s="87">
        <v>13295.42</v>
      </c>
      <c r="CB51" s="14"/>
      <c r="CC51" s="19">
        <f t="shared" si="27"/>
        <v>6776500</v>
      </c>
      <c r="CD51" s="20">
        <v>6776</v>
      </c>
      <c r="CE51" s="19">
        <f>SUM(CD51-CD46)</f>
        <v>15</v>
      </c>
      <c r="CF51" s="59">
        <f>SUM(CE51*1.0228)+117.88</f>
        <v>133.22199999999998</v>
      </c>
      <c r="CG51" s="75">
        <v>85.8</v>
      </c>
      <c r="CH51" s="75">
        <v>1417.37</v>
      </c>
      <c r="CI51" s="19">
        <f t="shared" si="28"/>
        <v>14706197</v>
      </c>
      <c r="CJ51" s="20">
        <v>14660</v>
      </c>
      <c r="CK51" s="19">
        <f>SUM(CJ51-CJ46)</f>
        <v>380</v>
      </c>
      <c r="CL51" s="59">
        <f>SUM(CK51*1.0228+188.7)</f>
        <v>577.36400000000003</v>
      </c>
      <c r="CM51" s="91">
        <v>417.56</v>
      </c>
      <c r="CN51" s="19">
        <f t="shared" si="29"/>
        <v>13329</v>
      </c>
      <c r="CO51" s="20">
        <v>3314</v>
      </c>
      <c r="CP51" s="20">
        <v>1402.83</v>
      </c>
      <c r="CQ51" s="90">
        <v>1045.05</v>
      </c>
      <c r="CR51" s="19">
        <f t="shared" si="30"/>
        <v>3679300</v>
      </c>
      <c r="CS51" s="20">
        <v>3679</v>
      </c>
      <c r="CT51" s="19">
        <f>SUM(CS51-CS46)</f>
        <v>2</v>
      </c>
      <c r="CU51" s="59">
        <f>SUM(CT51*1.0228)+188.7</f>
        <v>190.7456</v>
      </c>
      <c r="CW51" s="19">
        <f t="shared" si="31"/>
        <v>34848016</v>
      </c>
      <c r="CX51" s="20">
        <v>348436</v>
      </c>
      <c r="CY51" s="19">
        <f>SUM(CX51-CX46)</f>
        <v>9602</v>
      </c>
      <c r="CZ51" s="59">
        <f>SUM(CY51*0.8062)+973.2</f>
        <v>8714.3324000000011</v>
      </c>
      <c r="DC51" s="20">
        <f>SUM(E49:E52)</f>
        <v>3813800</v>
      </c>
      <c r="DD51" s="75" t="e">
        <f>SUM(BL51+CF51+CL51+#REF!+CU51)</f>
        <v>#REF!</v>
      </c>
      <c r="DE51" s="75">
        <f>SUM(BQ51+CZ51)</f>
        <v>10980.2222</v>
      </c>
      <c r="DF51" s="75">
        <f>SUM(BM51+CG51+CV51)</f>
        <v>22210.76</v>
      </c>
      <c r="DG51" s="75" t="e">
        <f>SUM(DD51:DF51)</f>
        <v>#REF!</v>
      </c>
      <c r="DI51" s="92">
        <f>SUM(BU51+CQ51+BY51)</f>
        <v>37532.280000000006</v>
      </c>
      <c r="DJ51" s="92">
        <f>SUM(CA51+CH51)</f>
        <v>14712.79</v>
      </c>
    </row>
    <row r="52" spans="2:114">
      <c r="B52" s="58">
        <v>43772</v>
      </c>
      <c r="C52" s="205">
        <v>35784430</v>
      </c>
      <c r="D52" s="205"/>
      <c r="E52" s="34">
        <f t="shared" ref="E52" si="85">SUM(C52-C51)*10</f>
        <v>508800</v>
      </c>
      <c r="F52" s="205">
        <v>4117720</v>
      </c>
      <c r="G52" s="205"/>
      <c r="H52" s="34">
        <f t="shared" ref="H52" si="86">SUM(F52-F51)*10</f>
        <v>67770</v>
      </c>
      <c r="I52" s="205">
        <v>156120</v>
      </c>
      <c r="J52" s="205"/>
      <c r="K52" s="34">
        <f t="shared" si="54"/>
        <v>100</v>
      </c>
      <c r="L52" s="205">
        <v>261506</v>
      </c>
      <c r="M52" s="205"/>
      <c r="N52" s="34">
        <f t="shared" si="7"/>
        <v>387000</v>
      </c>
      <c r="O52" s="205">
        <v>7007</v>
      </c>
      <c r="P52" s="205"/>
      <c r="Q52" s="34">
        <f t="shared" si="8"/>
        <v>6500</v>
      </c>
      <c r="R52" s="35"/>
      <c r="S52" s="205">
        <v>592011</v>
      </c>
      <c r="T52" s="205"/>
      <c r="U52" s="34">
        <f t="shared" si="9"/>
        <v>129000</v>
      </c>
      <c r="V52" s="205">
        <v>954057</v>
      </c>
      <c r="W52" s="205"/>
      <c r="X52" s="34">
        <f t="shared" si="10"/>
        <v>392700</v>
      </c>
      <c r="Y52" s="36">
        <f t="shared" si="11"/>
        <v>521700</v>
      </c>
      <c r="Z52" s="17"/>
      <c r="AA52" s="20">
        <v>3226</v>
      </c>
      <c r="AB52" s="34">
        <f t="shared" si="73"/>
        <v>910000</v>
      </c>
      <c r="AC52" s="20">
        <v>148236230</v>
      </c>
      <c r="AD52" s="34">
        <f t="shared" si="60"/>
        <v>1340387</v>
      </c>
      <c r="AE52" s="20">
        <v>91544</v>
      </c>
      <c r="AF52" s="34">
        <f t="shared" si="14"/>
        <v>23000</v>
      </c>
      <c r="AG52" s="20">
        <v>2514333</v>
      </c>
      <c r="AH52" s="34">
        <f t="shared" si="15"/>
        <v>7641000</v>
      </c>
      <c r="AI52" s="20">
        <v>3237678</v>
      </c>
      <c r="AJ52" s="34">
        <f t="shared" si="16"/>
        <v>5759</v>
      </c>
      <c r="AK52" s="20">
        <v>14030</v>
      </c>
      <c r="AL52" s="34">
        <f t="shared" si="17"/>
        <v>19000</v>
      </c>
      <c r="AM52" s="20">
        <v>6</v>
      </c>
      <c r="AN52" s="34">
        <f t="shared" si="72"/>
        <v>0</v>
      </c>
      <c r="AO52" s="20">
        <v>9465</v>
      </c>
      <c r="AP52" s="34">
        <f t="shared" si="19"/>
        <v>190</v>
      </c>
      <c r="AQ52" s="14"/>
      <c r="AR52" s="58">
        <f t="shared" si="42"/>
        <v>43772</v>
      </c>
      <c r="AS52" s="20">
        <v>13385</v>
      </c>
      <c r="AT52" s="34">
        <f t="shared" si="20"/>
        <v>56</v>
      </c>
      <c r="AU52" s="14"/>
      <c r="AV52" s="20">
        <v>14740253</v>
      </c>
      <c r="AW52" s="34">
        <f t="shared" si="21"/>
        <v>34056</v>
      </c>
      <c r="AX52" s="20">
        <v>168337855</v>
      </c>
      <c r="AY52" s="37">
        <f t="shared" si="61"/>
        <v>28008.18</v>
      </c>
      <c r="AZ52" s="34">
        <f t="shared" si="23"/>
        <v>6047.82</v>
      </c>
      <c r="BA52" s="20">
        <v>6776900</v>
      </c>
      <c r="BB52" s="34">
        <f t="shared" si="24"/>
        <v>400</v>
      </c>
      <c r="BC52" s="20">
        <v>3679400</v>
      </c>
      <c r="BD52" s="34">
        <f t="shared" si="25"/>
        <v>100</v>
      </c>
      <c r="BE52" s="20">
        <v>34851216</v>
      </c>
      <c r="BF52" s="34">
        <f t="shared" si="26"/>
        <v>3200</v>
      </c>
      <c r="BI52" s="19">
        <f t="shared" si="0"/>
        <v>35784430</v>
      </c>
      <c r="BN52" s="19">
        <f t="shared" si="1"/>
        <v>4117720</v>
      </c>
      <c r="BR52" s="19">
        <f t="shared" si="2"/>
        <v>592011</v>
      </c>
      <c r="BV52" s="19">
        <f t="shared" si="3"/>
        <v>954057</v>
      </c>
      <c r="CB52" s="14"/>
      <c r="CC52" s="19">
        <f t="shared" si="27"/>
        <v>6776900</v>
      </c>
      <c r="CI52" s="19">
        <f t="shared" si="28"/>
        <v>14740253</v>
      </c>
      <c r="CN52" s="19">
        <f t="shared" si="29"/>
        <v>13385</v>
      </c>
      <c r="CR52" s="19">
        <f t="shared" si="30"/>
        <v>3679400</v>
      </c>
      <c r="CW52" s="19">
        <f t="shared" si="31"/>
        <v>34851216</v>
      </c>
      <c r="DD52" s="47"/>
      <c r="DE52" s="47"/>
      <c r="DF52" s="47"/>
      <c r="DG52" s="47"/>
      <c r="DI52" s="100"/>
      <c r="DJ52" s="100"/>
    </row>
    <row r="53" spans="2:114">
      <c r="B53" s="58">
        <v>43779</v>
      </c>
      <c r="C53" s="205">
        <v>35899150</v>
      </c>
      <c r="D53" s="205"/>
      <c r="E53" s="34">
        <f t="shared" ref="E53:E56" si="87">SUM(C53-C52)*10</f>
        <v>1147200</v>
      </c>
      <c r="F53" s="205">
        <v>4125862</v>
      </c>
      <c r="G53" s="205"/>
      <c r="H53" s="34">
        <f t="shared" ref="H53:H56" si="88">SUM(F53-F52)*10</f>
        <v>81420</v>
      </c>
      <c r="I53" s="205">
        <v>156280</v>
      </c>
      <c r="J53" s="205"/>
      <c r="K53" s="34">
        <f t="shared" si="54"/>
        <v>1600</v>
      </c>
      <c r="L53" s="205">
        <v>262400</v>
      </c>
      <c r="M53" s="205"/>
      <c r="N53" s="34">
        <f t="shared" si="7"/>
        <v>894000</v>
      </c>
      <c r="O53" s="205">
        <v>7156</v>
      </c>
      <c r="P53" s="205"/>
      <c r="Q53" s="34">
        <f t="shared" si="8"/>
        <v>14900</v>
      </c>
      <c r="R53" s="35"/>
      <c r="S53" s="205">
        <v>594288</v>
      </c>
      <c r="T53" s="205"/>
      <c r="U53" s="34">
        <f t="shared" si="9"/>
        <v>227700</v>
      </c>
      <c r="V53" s="205">
        <v>962498</v>
      </c>
      <c r="W53" s="205"/>
      <c r="X53" s="34">
        <f t="shared" si="10"/>
        <v>844100</v>
      </c>
      <c r="Y53" s="36">
        <f t="shared" si="11"/>
        <v>1071800</v>
      </c>
      <c r="Z53" s="17"/>
      <c r="AA53" s="20">
        <v>3465</v>
      </c>
      <c r="AB53" s="34">
        <f t="shared" si="73"/>
        <v>2390000</v>
      </c>
      <c r="AC53" s="20">
        <v>153290615</v>
      </c>
      <c r="AD53" s="34">
        <f t="shared" si="60"/>
        <v>5054385</v>
      </c>
      <c r="AE53" s="20">
        <v>91567</v>
      </c>
      <c r="AF53" s="34">
        <f t="shared" si="14"/>
        <v>23000</v>
      </c>
      <c r="AG53" s="20">
        <v>2531016</v>
      </c>
      <c r="AH53" s="34">
        <f t="shared" si="15"/>
        <v>16683000</v>
      </c>
      <c r="AI53" s="20">
        <v>3250369</v>
      </c>
      <c r="AJ53" s="34">
        <f t="shared" si="16"/>
        <v>12691</v>
      </c>
      <c r="AK53" s="20">
        <v>14071</v>
      </c>
      <c r="AL53" s="34">
        <f t="shared" si="17"/>
        <v>41000</v>
      </c>
      <c r="AM53" s="20">
        <v>6</v>
      </c>
      <c r="AN53" s="34">
        <f t="shared" si="72"/>
        <v>0</v>
      </c>
      <c r="AO53" s="20">
        <v>9509</v>
      </c>
      <c r="AP53" s="34">
        <f t="shared" si="19"/>
        <v>440</v>
      </c>
      <c r="AQ53" s="14"/>
      <c r="AR53" s="58">
        <f t="shared" si="42"/>
        <v>43779</v>
      </c>
      <c r="AS53" s="20">
        <v>13543</v>
      </c>
      <c r="AT53" s="34">
        <f t="shared" si="20"/>
        <v>158</v>
      </c>
      <c r="AU53" s="14"/>
      <c r="AV53" s="20">
        <v>14819910</v>
      </c>
      <c r="AW53" s="34">
        <f t="shared" si="21"/>
        <v>79657</v>
      </c>
      <c r="AX53" s="20">
        <v>174912462</v>
      </c>
      <c r="AY53" s="37">
        <f t="shared" si="61"/>
        <v>65746.070000000007</v>
      </c>
      <c r="AZ53" s="34">
        <f t="shared" si="23"/>
        <v>13910.929999999993</v>
      </c>
      <c r="BA53" s="20">
        <v>6781700</v>
      </c>
      <c r="BB53" s="34">
        <f t="shared" si="24"/>
        <v>4800</v>
      </c>
      <c r="BC53" s="20">
        <v>3680300</v>
      </c>
      <c r="BD53" s="34">
        <f t="shared" si="25"/>
        <v>900</v>
      </c>
      <c r="BE53" s="20">
        <v>34889509</v>
      </c>
      <c r="BF53" s="34">
        <f t="shared" si="26"/>
        <v>38293</v>
      </c>
      <c r="BI53" s="19">
        <f t="shared" si="0"/>
        <v>35899150</v>
      </c>
      <c r="BN53" s="19">
        <f t="shared" si="1"/>
        <v>4125862</v>
      </c>
      <c r="BR53" s="19">
        <f t="shared" si="2"/>
        <v>594288</v>
      </c>
      <c r="BV53" s="19">
        <f t="shared" si="3"/>
        <v>962498</v>
      </c>
      <c r="CB53" s="14"/>
      <c r="CC53" s="19">
        <f t="shared" si="27"/>
        <v>6781700</v>
      </c>
      <c r="CI53" s="19">
        <f t="shared" si="28"/>
        <v>14819910</v>
      </c>
      <c r="CN53" s="19">
        <f t="shared" si="29"/>
        <v>13543</v>
      </c>
      <c r="CR53" s="19">
        <f t="shared" si="30"/>
        <v>3680300</v>
      </c>
      <c r="CW53" s="19">
        <f t="shared" si="31"/>
        <v>34889509</v>
      </c>
      <c r="DD53" s="47"/>
      <c r="DE53" s="47"/>
      <c r="DF53" s="47"/>
      <c r="DG53" s="47"/>
      <c r="DI53" s="100"/>
      <c r="DJ53" s="100"/>
    </row>
    <row r="54" spans="2:114">
      <c r="B54" s="58">
        <v>43786</v>
      </c>
      <c r="C54" s="205">
        <v>36009939</v>
      </c>
      <c r="D54" s="205"/>
      <c r="E54" s="34">
        <f t="shared" si="87"/>
        <v>1107890</v>
      </c>
      <c r="F54" s="205">
        <v>4139264</v>
      </c>
      <c r="G54" s="205"/>
      <c r="H54" s="34">
        <f t="shared" si="88"/>
        <v>134020</v>
      </c>
      <c r="I54" s="205">
        <v>156344</v>
      </c>
      <c r="J54" s="205"/>
      <c r="K54" s="34">
        <f t="shared" si="54"/>
        <v>640</v>
      </c>
      <c r="L54" s="205">
        <v>263209</v>
      </c>
      <c r="M54" s="205"/>
      <c r="N54" s="34">
        <f t="shared" si="7"/>
        <v>809000</v>
      </c>
      <c r="O54" s="205">
        <v>7300</v>
      </c>
      <c r="P54" s="205"/>
      <c r="Q54" s="34">
        <f t="shared" si="8"/>
        <v>14400</v>
      </c>
      <c r="R54" s="35"/>
      <c r="S54" s="205">
        <v>596744</v>
      </c>
      <c r="T54" s="205"/>
      <c r="U54" s="34">
        <f t="shared" si="9"/>
        <v>245600</v>
      </c>
      <c r="V54" s="205">
        <v>977906</v>
      </c>
      <c r="W54" s="205"/>
      <c r="X54" s="34">
        <f t="shared" si="10"/>
        <v>1540800</v>
      </c>
      <c r="Y54" s="36">
        <f t="shared" si="11"/>
        <v>1786400</v>
      </c>
      <c r="Z54" s="17"/>
      <c r="AA54" s="20">
        <v>3611</v>
      </c>
      <c r="AB54" s="34">
        <f t="shared" si="73"/>
        <v>1460000</v>
      </c>
      <c r="AC54" s="20">
        <v>156647980</v>
      </c>
      <c r="AD54" s="34">
        <f t="shared" si="60"/>
        <v>3357365</v>
      </c>
      <c r="AE54" s="20">
        <v>91614</v>
      </c>
      <c r="AF54" s="34">
        <f t="shared" si="14"/>
        <v>47000</v>
      </c>
      <c r="AG54" s="20">
        <v>2548530</v>
      </c>
      <c r="AH54" s="34">
        <f t="shared" si="15"/>
        <v>17514000</v>
      </c>
      <c r="AI54" s="20">
        <v>3267388</v>
      </c>
      <c r="AJ54" s="34">
        <f t="shared" si="16"/>
        <v>17019</v>
      </c>
      <c r="AK54" s="20">
        <v>14102</v>
      </c>
      <c r="AL54" s="34">
        <f t="shared" si="17"/>
        <v>31000</v>
      </c>
      <c r="AM54" s="20">
        <v>6</v>
      </c>
      <c r="AN54" s="34">
        <f t="shared" si="72"/>
        <v>0</v>
      </c>
      <c r="AO54" s="20">
        <v>9550</v>
      </c>
      <c r="AP54" s="34">
        <f t="shared" si="19"/>
        <v>410</v>
      </c>
      <c r="AQ54" s="14"/>
      <c r="AR54" s="58">
        <f t="shared" si="42"/>
        <v>43786</v>
      </c>
      <c r="AS54" s="20">
        <v>13706</v>
      </c>
      <c r="AT54" s="34">
        <f t="shared" si="20"/>
        <v>163</v>
      </c>
      <c r="AU54" s="14"/>
      <c r="AV54" s="20">
        <v>14901610</v>
      </c>
      <c r="AW54" s="34">
        <f t="shared" si="21"/>
        <v>81700</v>
      </c>
      <c r="AX54" s="20">
        <v>181452587</v>
      </c>
      <c r="AY54" s="37">
        <f t="shared" si="61"/>
        <v>65401.25</v>
      </c>
      <c r="AZ54" s="34">
        <f t="shared" si="23"/>
        <v>16298.75</v>
      </c>
      <c r="BA54" s="20">
        <v>6783400</v>
      </c>
      <c r="BB54" s="34">
        <f t="shared" si="24"/>
        <v>1700</v>
      </c>
      <c r="BC54" s="20">
        <v>3680700</v>
      </c>
      <c r="BD54" s="34">
        <f t="shared" si="25"/>
        <v>400</v>
      </c>
      <c r="BE54" s="20">
        <v>34997231</v>
      </c>
      <c r="BF54" s="34">
        <f t="shared" si="26"/>
        <v>107722</v>
      </c>
      <c r="BI54" s="19">
        <f t="shared" si="0"/>
        <v>36009939</v>
      </c>
      <c r="BN54" s="19">
        <f t="shared" si="1"/>
        <v>4139264</v>
      </c>
      <c r="BR54" s="19">
        <f t="shared" si="2"/>
        <v>596744</v>
      </c>
      <c r="BV54" s="19">
        <f t="shared" si="3"/>
        <v>977906</v>
      </c>
      <c r="CB54" s="14"/>
      <c r="CC54" s="19">
        <f t="shared" si="27"/>
        <v>6783400</v>
      </c>
      <c r="CI54" s="19">
        <f t="shared" si="28"/>
        <v>14901610</v>
      </c>
      <c r="CN54" s="19">
        <f t="shared" si="29"/>
        <v>13706</v>
      </c>
      <c r="CR54" s="19">
        <f t="shared" si="30"/>
        <v>3680700</v>
      </c>
      <c r="CW54" s="19">
        <f t="shared" si="31"/>
        <v>34997231</v>
      </c>
      <c r="DD54" s="47"/>
      <c r="DE54" s="47"/>
      <c r="DF54" s="47"/>
      <c r="DG54" s="47"/>
      <c r="DI54" s="100"/>
      <c r="DJ54" s="100"/>
    </row>
    <row r="55" spans="2:114">
      <c r="B55" s="58">
        <v>43793</v>
      </c>
      <c r="C55" s="205">
        <v>36117017</v>
      </c>
      <c r="D55" s="205"/>
      <c r="E55" s="34">
        <f t="shared" si="87"/>
        <v>1070780</v>
      </c>
      <c r="F55" s="205">
        <v>4155443</v>
      </c>
      <c r="G55" s="205"/>
      <c r="H55" s="34">
        <f t="shared" si="88"/>
        <v>161790</v>
      </c>
      <c r="I55" s="205">
        <v>156620</v>
      </c>
      <c r="J55" s="205"/>
      <c r="K55" s="34">
        <f t="shared" si="54"/>
        <v>2760</v>
      </c>
      <c r="L55" s="205">
        <v>263946</v>
      </c>
      <c r="M55" s="205"/>
      <c r="N55" s="34">
        <f t="shared" si="7"/>
        <v>737000</v>
      </c>
      <c r="O55" s="205">
        <v>7457</v>
      </c>
      <c r="P55" s="205"/>
      <c r="Q55" s="34">
        <f t="shared" si="8"/>
        <v>15700</v>
      </c>
      <c r="R55" s="35"/>
      <c r="S55" s="205">
        <v>599193</v>
      </c>
      <c r="T55" s="205"/>
      <c r="U55" s="34">
        <f t="shared" si="9"/>
        <v>244900</v>
      </c>
      <c r="V55" s="205">
        <v>994333</v>
      </c>
      <c r="W55" s="205"/>
      <c r="X55" s="34">
        <f t="shared" si="10"/>
        <v>1642700</v>
      </c>
      <c r="Y55" s="36">
        <f t="shared" si="11"/>
        <v>1887600</v>
      </c>
      <c r="Z55" s="17"/>
      <c r="AA55" s="20">
        <v>3733</v>
      </c>
      <c r="AB55" s="34">
        <f t="shared" si="73"/>
        <v>1220000</v>
      </c>
      <c r="AC55" s="20">
        <v>159602342</v>
      </c>
      <c r="AD55" s="34">
        <f t="shared" si="60"/>
        <v>2954362</v>
      </c>
      <c r="AE55" s="20">
        <v>91766</v>
      </c>
      <c r="AF55" s="34">
        <f t="shared" si="14"/>
        <v>152000</v>
      </c>
      <c r="AG55" s="20">
        <v>2566273</v>
      </c>
      <c r="AH55" s="34">
        <f t="shared" si="15"/>
        <v>17743000</v>
      </c>
      <c r="AI55" s="20">
        <v>3281950</v>
      </c>
      <c r="AJ55" s="34">
        <f t="shared" si="16"/>
        <v>14562</v>
      </c>
      <c r="AK55" s="20">
        <v>14163</v>
      </c>
      <c r="AL55" s="34">
        <f t="shared" si="17"/>
        <v>61000</v>
      </c>
      <c r="AM55" s="20">
        <v>6</v>
      </c>
      <c r="AN55" s="34">
        <f t="shared" si="72"/>
        <v>0</v>
      </c>
      <c r="AO55" s="20">
        <v>9659</v>
      </c>
      <c r="AP55" s="34">
        <f t="shared" si="19"/>
        <v>1090</v>
      </c>
      <c r="AQ55" s="14"/>
      <c r="AR55" s="58">
        <f t="shared" si="42"/>
        <v>43793</v>
      </c>
      <c r="AS55" s="20">
        <v>13832</v>
      </c>
      <c r="AT55" s="34">
        <f t="shared" si="20"/>
        <v>126</v>
      </c>
      <c r="AU55" s="14"/>
      <c r="AV55" s="20">
        <v>14979004</v>
      </c>
      <c r="AW55" s="34">
        <f t="shared" si="21"/>
        <v>77394</v>
      </c>
      <c r="AX55" s="20">
        <v>187991941</v>
      </c>
      <c r="AY55" s="37">
        <f t="shared" si="61"/>
        <v>65393.54</v>
      </c>
      <c r="AZ55" s="34">
        <f t="shared" si="23"/>
        <v>12000.46</v>
      </c>
      <c r="BA55" s="20">
        <v>6787200</v>
      </c>
      <c r="BB55" s="34">
        <f t="shared" si="24"/>
        <v>3800</v>
      </c>
      <c r="BC55" s="20">
        <v>3680900</v>
      </c>
      <c r="BD55" s="34">
        <f t="shared" si="25"/>
        <v>200</v>
      </c>
      <c r="BE55" s="20">
        <v>35283031</v>
      </c>
      <c r="BF55" s="34">
        <f t="shared" si="26"/>
        <v>285800</v>
      </c>
      <c r="BI55" s="19">
        <f t="shared" si="0"/>
        <v>36117017</v>
      </c>
      <c r="BN55" s="19">
        <f t="shared" si="1"/>
        <v>4155443</v>
      </c>
      <c r="BR55" s="19">
        <f t="shared" si="2"/>
        <v>599193</v>
      </c>
      <c r="BV55" s="19">
        <f t="shared" si="3"/>
        <v>994333</v>
      </c>
      <c r="CB55" s="14"/>
      <c r="CC55" s="19">
        <f t="shared" si="27"/>
        <v>6787200</v>
      </c>
      <c r="CI55" s="19">
        <f t="shared" si="28"/>
        <v>14979004</v>
      </c>
      <c r="CN55" s="19">
        <f t="shared" si="29"/>
        <v>13832</v>
      </c>
      <c r="CR55" s="19">
        <f t="shared" si="30"/>
        <v>3680900</v>
      </c>
      <c r="CW55" s="19">
        <f t="shared" si="31"/>
        <v>35283031</v>
      </c>
      <c r="DD55" s="47"/>
      <c r="DE55" s="47"/>
      <c r="DF55" s="47"/>
      <c r="DG55" s="47"/>
      <c r="DI55" s="100"/>
      <c r="DJ55" s="100"/>
    </row>
    <row r="56" spans="2:114">
      <c r="B56" s="58">
        <v>43800</v>
      </c>
      <c r="C56" s="205">
        <v>36242803</v>
      </c>
      <c r="D56" s="205"/>
      <c r="E56" s="34">
        <f t="shared" si="87"/>
        <v>1257860</v>
      </c>
      <c r="F56" s="205">
        <v>4176045</v>
      </c>
      <c r="G56" s="205"/>
      <c r="H56" s="34">
        <f t="shared" si="88"/>
        <v>206020</v>
      </c>
      <c r="I56" s="205">
        <v>157080</v>
      </c>
      <c r="J56" s="205"/>
      <c r="K56" s="34">
        <f t="shared" si="54"/>
        <v>4600</v>
      </c>
      <c r="L56" s="205">
        <v>264766</v>
      </c>
      <c r="M56" s="205"/>
      <c r="N56" s="34">
        <f t="shared" si="7"/>
        <v>820000</v>
      </c>
      <c r="O56" s="205">
        <v>7622</v>
      </c>
      <c r="P56" s="205"/>
      <c r="Q56" s="34">
        <f t="shared" si="8"/>
        <v>16500</v>
      </c>
      <c r="R56" s="35"/>
      <c r="S56" s="205">
        <v>601544</v>
      </c>
      <c r="T56" s="205"/>
      <c r="U56" s="34">
        <f t="shared" si="9"/>
        <v>235100</v>
      </c>
      <c r="V56" s="205">
        <v>1009202</v>
      </c>
      <c r="W56" s="205"/>
      <c r="X56" s="34">
        <f t="shared" si="10"/>
        <v>1486900</v>
      </c>
      <c r="Y56" s="36">
        <f t="shared" si="11"/>
        <v>1722000</v>
      </c>
      <c r="Z56" s="17"/>
      <c r="AA56" s="20">
        <v>3836</v>
      </c>
      <c r="AB56" s="34">
        <f t="shared" si="73"/>
        <v>1030000</v>
      </c>
      <c r="AC56" s="20">
        <v>159670671</v>
      </c>
      <c r="AD56" s="34">
        <f t="shared" si="60"/>
        <v>68329</v>
      </c>
      <c r="AE56" s="20">
        <v>92294</v>
      </c>
      <c r="AF56" s="34">
        <f t="shared" si="14"/>
        <v>528000</v>
      </c>
      <c r="AG56" s="20">
        <v>2592251</v>
      </c>
      <c r="AH56" s="34">
        <f t="shared" si="15"/>
        <v>25978000</v>
      </c>
      <c r="AI56" s="20">
        <v>3297719</v>
      </c>
      <c r="AJ56" s="34">
        <f t="shared" si="16"/>
        <v>15769</v>
      </c>
      <c r="AK56" s="20">
        <v>14218</v>
      </c>
      <c r="AL56" s="34">
        <f t="shared" si="17"/>
        <v>55000</v>
      </c>
      <c r="AM56" s="20">
        <v>6</v>
      </c>
      <c r="AN56" s="34">
        <f t="shared" si="72"/>
        <v>0</v>
      </c>
      <c r="AO56" s="20">
        <v>9728</v>
      </c>
      <c r="AP56" s="34">
        <f t="shared" si="19"/>
        <v>690</v>
      </c>
      <c r="AQ56" s="14"/>
      <c r="AR56" s="58">
        <f t="shared" si="42"/>
        <v>43800</v>
      </c>
      <c r="AS56" s="20">
        <v>13968</v>
      </c>
      <c r="AT56" s="34">
        <f t="shared" si="20"/>
        <v>136</v>
      </c>
      <c r="AU56" s="14"/>
      <c r="AV56" s="20">
        <v>15057641</v>
      </c>
      <c r="AW56" s="34">
        <f t="shared" si="21"/>
        <v>78637</v>
      </c>
      <c r="AX56" s="20">
        <v>194499249</v>
      </c>
      <c r="AY56" s="37">
        <f t="shared" si="61"/>
        <v>65073.08</v>
      </c>
      <c r="AZ56" s="34">
        <f t="shared" si="23"/>
        <v>13563.919999999998</v>
      </c>
      <c r="BA56" s="20">
        <v>6788400</v>
      </c>
      <c r="BB56" s="34">
        <f t="shared" si="24"/>
        <v>1200</v>
      </c>
      <c r="BC56" s="20">
        <v>3681300</v>
      </c>
      <c r="BD56" s="34">
        <f t="shared" si="25"/>
        <v>400</v>
      </c>
      <c r="BE56" s="20">
        <v>35502753</v>
      </c>
      <c r="BF56" s="34">
        <f t="shared" si="26"/>
        <v>219722</v>
      </c>
      <c r="BI56" s="19">
        <f t="shared" si="0"/>
        <v>36242803</v>
      </c>
      <c r="BJ56" s="20">
        <v>360738</v>
      </c>
      <c r="BK56" s="19">
        <f>SUM(BJ56-BJ51)</f>
        <v>4160</v>
      </c>
      <c r="BL56" s="59">
        <f>SUM(BK56*1.0228)+1887.37</f>
        <v>6142.2179999999998</v>
      </c>
      <c r="BM56" s="75">
        <v>11406.76</v>
      </c>
      <c r="BN56" s="19">
        <f t="shared" si="1"/>
        <v>4176045</v>
      </c>
      <c r="BO56" s="20">
        <v>41519</v>
      </c>
      <c r="BP56" s="19">
        <f>SUM(BO56-BO51)</f>
        <v>472</v>
      </c>
      <c r="BQ56" s="59">
        <f>SUM(BP56*0.8062)+1557.24</f>
        <v>1937.7664</v>
      </c>
      <c r="BR56" s="19">
        <f t="shared" si="2"/>
        <v>601544</v>
      </c>
      <c r="BS56" s="20">
        <v>600332</v>
      </c>
      <c r="BT56" s="20">
        <v>47068.38</v>
      </c>
      <c r="BU56" s="87">
        <v>34691.49</v>
      </c>
      <c r="BV56" s="19">
        <f t="shared" si="3"/>
        <v>1009202</v>
      </c>
      <c r="BW56" s="88">
        <v>100235</v>
      </c>
      <c r="BX56" s="39">
        <v>2265.12</v>
      </c>
      <c r="BY56" s="87">
        <v>1676.16</v>
      </c>
      <c r="BZ56" s="98">
        <f t="shared" ref="BZ56" si="89">SUM(BT56+BX56)</f>
        <v>49333.5</v>
      </c>
      <c r="CA56" s="87">
        <v>11406.76</v>
      </c>
      <c r="CB56" s="14"/>
      <c r="CC56" s="19">
        <f t="shared" si="27"/>
        <v>6788400</v>
      </c>
      <c r="CD56" s="20">
        <v>6787</v>
      </c>
      <c r="CE56" s="19">
        <f>SUM(CD56-CD51)</f>
        <v>11</v>
      </c>
      <c r="CF56" s="59">
        <f>SUM(CE56*1.0228)+117.88</f>
        <v>129.13079999999999</v>
      </c>
      <c r="CG56" s="75">
        <v>62.92</v>
      </c>
      <c r="CH56" s="75">
        <v>1244.54</v>
      </c>
      <c r="CI56" s="19">
        <f t="shared" si="28"/>
        <v>15057641</v>
      </c>
      <c r="CJ56" s="20">
        <v>14945</v>
      </c>
      <c r="CK56" s="19">
        <f>SUM(CJ56-CJ51)</f>
        <v>285</v>
      </c>
      <c r="CL56" s="59">
        <f>SUM(CK56*1.0228+188.7)</f>
        <v>480.19799999999998</v>
      </c>
      <c r="CM56" s="91">
        <v>974.44</v>
      </c>
      <c r="CN56" s="19">
        <f t="shared" si="29"/>
        <v>13968</v>
      </c>
      <c r="CO56" s="20">
        <v>3882</v>
      </c>
      <c r="CP56" s="20">
        <v>1316.85</v>
      </c>
      <c r="CQ56" s="90">
        <v>974.44</v>
      </c>
      <c r="CR56" s="19">
        <f t="shared" si="30"/>
        <v>3681300</v>
      </c>
      <c r="CS56" s="20">
        <v>3681</v>
      </c>
      <c r="CT56" s="19">
        <f>SUM(CS56-CS51)</f>
        <v>2</v>
      </c>
      <c r="CU56" s="59">
        <f>SUM(CT56*1.0228)+188.7</f>
        <v>190.7456</v>
      </c>
      <c r="CW56" s="19">
        <f t="shared" si="31"/>
        <v>35502753</v>
      </c>
      <c r="CX56" s="20">
        <v>351952</v>
      </c>
      <c r="CY56" s="19">
        <f>SUM(CX56-CX51)</f>
        <v>3516</v>
      </c>
      <c r="CZ56" s="59">
        <f>SUM(CY56*0.8062)+973.2</f>
        <v>3807.7992000000004</v>
      </c>
      <c r="DC56" s="20">
        <f>SUM(E54:E57)</f>
        <v>4440670</v>
      </c>
      <c r="DD56" s="75" t="e">
        <f>SUM(BL56+CF56+CL56+#REF!+CU56)</f>
        <v>#REF!</v>
      </c>
      <c r="DE56" s="75">
        <f>SUM(BQ56+CZ56)</f>
        <v>5745.5655999999999</v>
      </c>
      <c r="DF56" s="75">
        <f>SUM(BM56+CG56+CV56)</f>
        <v>11469.68</v>
      </c>
      <c r="DG56" s="75" t="e">
        <f>SUM(DD56:DF56)</f>
        <v>#REF!</v>
      </c>
      <c r="DI56" s="92">
        <f>SUM(BU56+CQ56+BY56)</f>
        <v>37342.090000000004</v>
      </c>
      <c r="DJ56" s="92">
        <f>SUM(CA56+CH56)</f>
        <v>12651.3</v>
      </c>
    </row>
    <row r="57" spans="2:114">
      <c r="B57" s="58">
        <v>43807</v>
      </c>
      <c r="C57" s="205">
        <v>36343217</v>
      </c>
      <c r="D57" s="205"/>
      <c r="E57" s="34">
        <f t="shared" ref="E57" si="90">SUM(C57-C56)*10</f>
        <v>1004140</v>
      </c>
      <c r="F57" s="205">
        <v>4184805</v>
      </c>
      <c r="G57" s="205"/>
      <c r="H57" s="34">
        <f t="shared" ref="H57" si="91">SUM(F57-F56)*10</f>
        <v>87600</v>
      </c>
      <c r="I57" s="205">
        <v>157570</v>
      </c>
      <c r="J57" s="205"/>
      <c r="K57" s="34">
        <f t="shared" si="54"/>
        <v>4900</v>
      </c>
      <c r="L57" s="205">
        <v>265518</v>
      </c>
      <c r="M57" s="205"/>
      <c r="N57" s="34">
        <f t="shared" si="7"/>
        <v>752000</v>
      </c>
      <c r="O57" s="205">
        <v>7799</v>
      </c>
      <c r="P57" s="205"/>
      <c r="Q57" s="34">
        <f t="shared" si="8"/>
        <v>17700</v>
      </c>
      <c r="R57" s="35"/>
      <c r="S57" s="205">
        <v>603809</v>
      </c>
      <c r="T57" s="205"/>
      <c r="U57" s="34">
        <f t="shared" si="9"/>
        <v>226500</v>
      </c>
      <c r="V57" s="205">
        <v>1028994</v>
      </c>
      <c r="W57" s="205"/>
      <c r="X57" s="34">
        <f t="shared" si="10"/>
        <v>1979200</v>
      </c>
      <c r="Y57" s="36">
        <f t="shared" si="11"/>
        <v>2205700</v>
      </c>
      <c r="Z57" s="17"/>
      <c r="AA57" s="20">
        <v>3937</v>
      </c>
      <c r="AB57" s="34">
        <f t="shared" si="73"/>
        <v>1010000</v>
      </c>
      <c r="AC57" s="20">
        <v>162644365</v>
      </c>
      <c r="AD57" s="34">
        <f t="shared" si="60"/>
        <v>2973694</v>
      </c>
      <c r="AE57" s="20">
        <v>92323</v>
      </c>
      <c r="AF57" s="34">
        <f t="shared" si="14"/>
        <v>29000</v>
      </c>
      <c r="AG57" s="20">
        <v>2603598</v>
      </c>
      <c r="AH57" s="34">
        <f t="shared" si="15"/>
        <v>11347000</v>
      </c>
      <c r="AI57" s="20">
        <v>3313589</v>
      </c>
      <c r="AJ57" s="34">
        <f t="shared" si="16"/>
        <v>15870</v>
      </c>
      <c r="AK57" s="20">
        <v>14266</v>
      </c>
      <c r="AL57" s="34">
        <f t="shared" si="17"/>
        <v>48000</v>
      </c>
      <c r="AM57" s="20">
        <v>6</v>
      </c>
      <c r="AN57" s="34">
        <f t="shared" si="72"/>
        <v>0</v>
      </c>
      <c r="AO57" s="20">
        <v>9803</v>
      </c>
      <c r="AP57" s="34">
        <f t="shared" si="19"/>
        <v>750</v>
      </c>
      <c r="AQ57" s="14"/>
      <c r="AR57" s="58">
        <f t="shared" si="42"/>
        <v>43807</v>
      </c>
      <c r="AS57" s="20">
        <v>14101</v>
      </c>
      <c r="AT57" s="34">
        <f t="shared" si="20"/>
        <v>133</v>
      </c>
      <c r="AU57" s="14"/>
      <c r="AV57" s="20">
        <v>15140525</v>
      </c>
      <c r="AW57" s="34">
        <f t="shared" si="21"/>
        <v>82884</v>
      </c>
      <c r="AX57" s="20">
        <v>201034377</v>
      </c>
      <c r="AY57" s="37">
        <f t="shared" si="61"/>
        <v>65351.28</v>
      </c>
      <c r="AZ57" s="34">
        <f t="shared" si="23"/>
        <v>17532.72</v>
      </c>
      <c r="BA57" s="20">
        <v>6789800</v>
      </c>
      <c r="BB57" s="34">
        <f t="shared" si="24"/>
        <v>1400</v>
      </c>
      <c r="BC57" s="20">
        <v>3681700</v>
      </c>
      <c r="BD57" s="34">
        <f t="shared" si="25"/>
        <v>400</v>
      </c>
      <c r="BE57" s="20">
        <v>35703927</v>
      </c>
      <c r="BF57" s="34">
        <f t="shared" si="26"/>
        <v>201174</v>
      </c>
      <c r="BI57" s="19">
        <f t="shared" si="0"/>
        <v>36343217</v>
      </c>
      <c r="BN57" s="19">
        <f t="shared" si="1"/>
        <v>4184805</v>
      </c>
      <c r="BR57" s="19">
        <f t="shared" si="2"/>
        <v>603809</v>
      </c>
      <c r="BV57" s="19">
        <f t="shared" si="3"/>
        <v>1028994</v>
      </c>
      <c r="CB57" s="14"/>
      <c r="CC57" s="19">
        <f t="shared" si="27"/>
        <v>6789800</v>
      </c>
      <c r="CI57" s="19">
        <f t="shared" si="28"/>
        <v>15140525</v>
      </c>
      <c r="CN57" s="19">
        <f t="shared" si="29"/>
        <v>14101</v>
      </c>
      <c r="CR57" s="19">
        <f t="shared" si="30"/>
        <v>3681700</v>
      </c>
      <c r="CW57" s="19">
        <f t="shared" si="31"/>
        <v>35703927</v>
      </c>
      <c r="DD57" s="47"/>
      <c r="DE57" s="47"/>
      <c r="DF57" s="47"/>
      <c r="DG57" s="47"/>
      <c r="DI57" s="100"/>
      <c r="DJ57" s="100"/>
    </row>
    <row r="58" spans="2:114">
      <c r="B58" s="58">
        <v>43814</v>
      </c>
      <c r="C58" s="205">
        <v>36440843</v>
      </c>
      <c r="D58" s="205"/>
      <c r="E58" s="34">
        <f t="shared" ref="E58:E61" si="92">SUM(C58-C57)*10</f>
        <v>976260</v>
      </c>
      <c r="F58" s="205">
        <v>4192697</v>
      </c>
      <c r="G58" s="205"/>
      <c r="H58" s="34">
        <f t="shared" ref="H58:H61" si="93">SUM(F58-F57)*10</f>
        <v>78920</v>
      </c>
      <c r="I58" s="205">
        <v>158040</v>
      </c>
      <c r="J58" s="205"/>
      <c r="K58" s="34">
        <f t="shared" si="54"/>
        <v>4700</v>
      </c>
      <c r="L58" s="205">
        <v>266296</v>
      </c>
      <c r="M58" s="205"/>
      <c r="N58" s="34">
        <f t="shared" si="7"/>
        <v>778000</v>
      </c>
      <c r="O58" s="205">
        <v>7961</v>
      </c>
      <c r="P58" s="205"/>
      <c r="Q58" s="34">
        <f t="shared" si="8"/>
        <v>16200</v>
      </c>
      <c r="R58" s="35"/>
      <c r="S58" s="205">
        <v>605972</v>
      </c>
      <c r="T58" s="205"/>
      <c r="U58" s="34">
        <f t="shared" si="9"/>
        <v>216300</v>
      </c>
      <c r="V58" s="205">
        <v>1041654</v>
      </c>
      <c r="W58" s="205"/>
      <c r="X58" s="34">
        <f t="shared" si="10"/>
        <v>1266000</v>
      </c>
      <c r="Y58" s="36">
        <f t="shared" si="11"/>
        <v>1482300</v>
      </c>
      <c r="Z58" s="17"/>
      <c r="AA58" s="20">
        <v>4075</v>
      </c>
      <c r="AB58" s="34">
        <f t="shared" si="73"/>
        <v>1380000</v>
      </c>
      <c r="AC58" s="20">
        <v>163913326</v>
      </c>
      <c r="AD58" s="34">
        <f t="shared" si="60"/>
        <v>1268961</v>
      </c>
      <c r="AE58" s="20">
        <v>93090</v>
      </c>
      <c r="AF58" s="34">
        <f t="shared" si="14"/>
        <v>767000</v>
      </c>
      <c r="AG58" s="20">
        <v>2612824</v>
      </c>
      <c r="AH58" s="34">
        <f t="shared" si="15"/>
        <v>9226000</v>
      </c>
      <c r="AI58" s="20">
        <v>3326870</v>
      </c>
      <c r="AJ58" s="34">
        <f t="shared" si="16"/>
        <v>13281</v>
      </c>
      <c r="AK58" s="20">
        <v>14304</v>
      </c>
      <c r="AL58" s="34">
        <f t="shared" si="17"/>
        <v>38000</v>
      </c>
      <c r="AM58" s="20">
        <v>7</v>
      </c>
      <c r="AN58" s="34">
        <f t="shared" si="72"/>
        <v>10</v>
      </c>
      <c r="AO58" s="20">
        <v>9859</v>
      </c>
      <c r="AP58" s="34">
        <f t="shared" si="19"/>
        <v>560</v>
      </c>
      <c r="AQ58" s="14"/>
      <c r="AR58" s="58">
        <f t="shared" si="42"/>
        <v>43814</v>
      </c>
      <c r="AS58" s="20">
        <v>14261</v>
      </c>
      <c r="AT58" s="34">
        <f t="shared" si="20"/>
        <v>160</v>
      </c>
      <c r="AU58" s="14"/>
      <c r="AV58" s="20">
        <v>15222802</v>
      </c>
      <c r="AW58" s="34">
        <f t="shared" si="21"/>
        <v>82277</v>
      </c>
      <c r="AX58" s="20">
        <v>207576718</v>
      </c>
      <c r="AY58" s="37">
        <f t="shared" si="61"/>
        <v>65423.41</v>
      </c>
      <c r="AZ58" s="34">
        <f t="shared" si="23"/>
        <v>16853.589999999997</v>
      </c>
      <c r="BA58" s="20">
        <v>6795800</v>
      </c>
      <c r="BB58" s="34">
        <f t="shared" si="24"/>
        <v>6000</v>
      </c>
      <c r="BC58" s="20">
        <v>3681900</v>
      </c>
      <c r="BD58" s="34">
        <f t="shared" si="25"/>
        <v>200</v>
      </c>
      <c r="BE58" s="20">
        <v>35735622</v>
      </c>
      <c r="BF58" s="34">
        <f t="shared" si="26"/>
        <v>31695</v>
      </c>
      <c r="BI58" s="19">
        <f t="shared" si="0"/>
        <v>36440843</v>
      </c>
      <c r="BN58" s="19">
        <f t="shared" si="1"/>
        <v>4192697</v>
      </c>
      <c r="BR58" s="19">
        <f t="shared" si="2"/>
        <v>605972</v>
      </c>
      <c r="BV58" s="19">
        <f t="shared" si="3"/>
        <v>1041654</v>
      </c>
      <c r="CB58" s="14"/>
      <c r="CC58" s="19">
        <f t="shared" si="27"/>
        <v>6795800</v>
      </c>
      <c r="CI58" s="19">
        <f t="shared" si="28"/>
        <v>15222802</v>
      </c>
      <c r="CN58" s="19">
        <f t="shared" si="29"/>
        <v>14261</v>
      </c>
      <c r="CR58" s="19">
        <f t="shared" si="30"/>
        <v>3681900</v>
      </c>
      <c r="CW58" s="19">
        <f t="shared" si="31"/>
        <v>35735622</v>
      </c>
      <c r="DD58" s="47"/>
      <c r="DE58" s="47"/>
      <c r="DF58" s="47"/>
      <c r="DG58" s="47"/>
      <c r="DI58" s="100"/>
      <c r="DJ58" s="100"/>
    </row>
    <row r="59" spans="2:114">
      <c r="B59" s="58">
        <v>43821</v>
      </c>
      <c r="C59" s="205">
        <v>36536170</v>
      </c>
      <c r="D59" s="205"/>
      <c r="E59" s="34">
        <f t="shared" si="92"/>
        <v>953270</v>
      </c>
      <c r="F59" s="205">
        <v>4192872</v>
      </c>
      <c r="G59" s="205"/>
      <c r="H59" s="34">
        <f t="shared" si="93"/>
        <v>1750</v>
      </c>
      <c r="I59" s="205">
        <v>158280</v>
      </c>
      <c r="J59" s="205"/>
      <c r="K59" s="34">
        <f t="shared" si="54"/>
        <v>2400</v>
      </c>
      <c r="L59" s="205">
        <v>267043</v>
      </c>
      <c r="M59" s="205"/>
      <c r="N59" s="34">
        <f t="shared" si="7"/>
        <v>747000</v>
      </c>
      <c r="O59" s="205">
        <v>8108</v>
      </c>
      <c r="P59" s="205"/>
      <c r="Q59" s="34">
        <f t="shared" si="8"/>
        <v>14700</v>
      </c>
      <c r="R59" s="35"/>
      <c r="S59" s="205">
        <v>608170</v>
      </c>
      <c r="T59" s="205"/>
      <c r="U59" s="34">
        <f>SUM(S59-S58)*100</f>
        <v>219800</v>
      </c>
      <c r="V59" s="205">
        <v>1058019</v>
      </c>
      <c r="W59" s="205"/>
      <c r="X59" s="34">
        <f t="shared" si="10"/>
        <v>1636500</v>
      </c>
      <c r="Y59" s="36">
        <f t="shared" si="11"/>
        <v>1856300</v>
      </c>
      <c r="Z59" s="17"/>
      <c r="AA59" s="20">
        <v>4223</v>
      </c>
      <c r="AB59" s="34">
        <f t="shared" si="73"/>
        <v>1480000</v>
      </c>
      <c r="AC59" s="20">
        <v>167627067</v>
      </c>
      <c r="AD59" s="34">
        <f t="shared" si="60"/>
        <v>3713741</v>
      </c>
      <c r="AE59" s="20">
        <v>93158</v>
      </c>
      <c r="AF59" s="34">
        <f t="shared" si="14"/>
        <v>68000</v>
      </c>
      <c r="AG59" s="20">
        <v>2619410</v>
      </c>
      <c r="AH59" s="34">
        <f t="shared" si="15"/>
        <v>6586000</v>
      </c>
      <c r="AI59" s="20">
        <v>3339895</v>
      </c>
      <c r="AJ59" s="34">
        <f t="shared" si="16"/>
        <v>13025</v>
      </c>
      <c r="AK59" s="20">
        <v>14348</v>
      </c>
      <c r="AL59" s="34">
        <f t="shared" si="17"/>
        <v>44000</v>
      </c>
      <c r="AM59" s="20">
        <v>7</v>
      </c>
      <c r="AN59" s="34">
        <f t="shared" si="72"/>
        <v>0</v>
      </c>
      <c r="AO59" s="20">
        <v>9914</v>
      </c>
      <c r="AP59" s="34">
        <f t="shared" si="19"/>
        <v>550</v>
      </c>
      <c r="AQ59" s="14"/>
      <c r="AR59" s="58">
        <f t="shared" si="42"/>
        <v>43821</v>
      </c>
      <c r="AS59" s="20">
        <v>14406</v>
      </c>
      <c r="AT59" s="34">
        <f t="shared" si="20"/>
        <v>145</v>
      </c>
      <c r="AU59" s="14"/>
      <c r="AV59" s="20">
        <v>15302781</v>
      </c>
      <c r="AW59" s="34">
        <f t="shared" si="21"/>
        <v>79979</v>
      </c>
      <c r="AX59" s="20">
        <v>214157091</v>
      </c>
      <c r="AY59" s="37">
        <f t="shared" si="61"/>
        <v>65803.73</v>
      </c>
      <c r="AZ59" s="34">
        <f t="shared" si="23"/>
        <v>14175.270000000004</v>
      </c>
      <c r="BA59" s="20">
        <v>6800500</v>
      </c>
      <c r="BB59" s="34">
        <f t="shared" si="24"/>
        <v>4700</v>
      </c>
      <c r="BC59" s="20">
        <v>3682100</v>
      </c>
      <c r="BD59" s="34">
        <f t="shared" si="25"/>
        <v>200</v>
      </c>
      <c r="BE59" s="20">
        <v>35743301</v>
      </c>
      <c r="BF59" s="34">
        <f t="shared" si="26"/>
        <v>7679</v>
      </c>
      <c r="BI59" s="19">
        <f t="shared" si="0"/>
        <v>36536170</v>
      </c>
      <c r="BN59" s="19">
        <f t="shared" si="1"/>
        <v>4192872</v>
      </c>
      <c r="BR59" s="19">
        <f t="shared" si="2"/>
        <v>608170</v>
      </c>
      <c r="BV59" s="19">
        <f t="shared" si="3"/>
        <v>1058019</v>
      </c>
      <c r="CB59" s="14"/>
      <c r="CC59" s="19">
        <f t="shared" si="27"/>
        <v>6800500</v>
      </c>
      <c r="CI59" s="19">
        <f t="shared" si="28"/>
        <v>15302781</v>
      </c>
      <c r="CN59" s="19">
        <f t="shared" si="29"/>
        <v>14406</v>
      </c>
      <c r="CR59" s="19">
        <f t="shared" si="30"/>
        <v>3682100</v>
      </c>
      <c r="CW59" s="19">
        <f t="shared" si="31"/>
        <v>35743301</v>
      </c>
      <c r="DD59" s="47"/>
      <c r="DE59" s="47"/>
      <c r="DF59" s="47"/>
      <c r="DG59" s="47"/>
      <c r="DI59" s="100"/>
      <c r="DJ59" s="100"/>
    </row>
    <row r="60" spans="2:114">
      <c r="B60" s="58">
        <v>43828</v>
      </c>
      <c r="C60" s="205">
        <v>36638130</v>
      </c>
      <c r="D60" s="205"/>
      <c r="E60" s="34">
        <f t="shared" si="92"/>
        <v>1019600</v>
      </c>
      <c r="F60" s="205">
        <v>4194369</v>
      </c>
      <c r="G60" s="205"/>
      <c r="H60" s="34">
        <f t="shared" si="93"/>
        <v>14970</v>
      </c>
      <c r="I60" s="205">
        <v>158520</v>
      </c>
      <c r="J60" s="205"/>
      <c r="K60" s="34">
        <f t="shared" si="54"/>
        <v>2400</v>
      </c>
      <c r="L60" s="205">
        <v>267947</v>
      </c>
      <c r="M60" s="205"/>
      <c r="N60" s="34">
        <f t="shared" si="7"/>
        <v>904000</v>
      </c>
      <c r="O60" s="205">
        <v>8268</v>
      </c>
      <c r="P60" s="205"/>
      <c r="Q60" s="34">
        <f t="shared" si="8"/>
        <v>16000</v>
      </c>
      <c r="R60" s="35"/>
      <c r="S60" s="205">
        <v>610464</v>
      </c>
      <c r="T60" s="205"/>
      <c r="U60" s="34">
        <f>SUM(S60-S59)*100</f>
        <v>229400</v>
      </c>
      <c r="V60" s="205">
        <v>1071810</v>
      </c>
      <c r="W60" s="205"/>
      <c r="X60" s="34">
        <f>SUM(V60-V59)*100</f>
        <v>1379100</v>
      </c>
      <c r="Y60" s="36">
        <f t="shared" si="11"/>
        <v>1608500</v>
      </c>
      <c r="Z60" s="17"/>
      <c r="AA60" s="20">
        <v>4385</v>
      </c>
      <c r="AB60" s="34">
        <f t="shared" si="73"/>
        <v>1620000</v>
      </c>
      <c r="AC60" s="20">
        <v>171523908</v>
      </c>
      <c r="AD60" s="34">
        <f t="shared" si="60"/>
        <v>3896841</v>
      </c>
      <c r="AE60" s="20">
        <v>93167</v>
      </c>
      <c r="AF60" s="34">
        <f t="shared" si="14"/>
        <v>9000</v>
      </c>
      <c r="AG60" s="20">
        <v>2623246</v>
      </c>
      <c r="AH60" s="34">
        <f t="shared" si="15"/>
        <v>3836000</v>
      </c>
      <c r="AI60" s="20">
        <v>3350760</v>
      </c>
      <c r="AJ60" s="34">
        <f t="shared" si="16"/>
        <v>10865</v>
      </c>
      <c r="AK60" s="20">
        <v>14379</v>
      </c>
      <c r="AL60" s="34">
        <f t="shared" si="17"/>
        <v>31000</v>
      </c>
      <c r="AM60" s="20">
        <v>7</v>
      </c>
      <c r="AN60" s="34">
        <f t="shared" si="72"/>
        <v>0</v>
      </c>
      <c r="AO60" s="20">
        <v>9964</v>
      </c>
      <c r="AP60" s="34">
        <f t="shared" si="19"/>
        <v>500</v>
      </c>
      <c r="AQ60" s="14"/>
      <c r="AR60" s="58">
        <f t="shared" si="42"/>
        <v>43828</v>
      </c>
      <c r="AS60" s="20">
        <v>14552</v>
      </c>
      <c r="AT60" s="34">
        <f t="shared" si="20"/>
        <v>146</v>
      </c>
      <c r="AU60" s="14"/>
      <c r="AV60" s="20">
        <v>15382252</v>
      </c>
      <c r="AW60" s="34">
        <f t="shared" si="21"/>
        <v>79471</v>
      </c>
      <c r="AX60" s="20">
        <v>220682398</v>
      </c>
      <c r="AY60" s="37">
        <f t="shared" si="61"/>
        <v>65253.07</v>
      </c>
      <c r="AZ60" s="34">
        <f t="shared" si="23"/>
        <v>14217.93</v>
      </c>
      <c r="BA60" s="20">
        <v>6802300</v>
      </c>
      <c r="BB60" s="34">
        <f t="shared" si="24"/>
        <v>1800</v>
      </c>
      <c r="BC60" s="20">
        <v>3682400</v>
      </c>
      <c r="BD60" s="34">
        <f t="shared" si="25"/>
        <v>300</v>
      </c>
      <c r="BE60" s="20">
        <v>35750563</v>
      </c>
      <c r="BF60" s="34">
        <f t="shared" si="26"/>
        <v>7262</v>
      </c>
      <c r="BI60" s="19">
        <f t="shared" si="0"/>
        <v>36638130</v>
      </c>
      <c r="BN60" s="19">
        <f t="shared" si="1"/>
        <v>4194369</v>
      </c>
      <c r="BR60" s="19">
        <f t="shared" si="2"/>
        <v>610464</v>
      </c>
      <c r="BV60" s="19">
        <f t="shared" si="3"/>
        <v>1071810</v>
      </c>
      <c r="CB60" s="14"/>
      <c r="CC60" s="19">
        <f t="shared" si="27"/>
        <v>6802300</v>
      </c>
      <c r="CI60" s="19">
        <f t="shared" si="28"/>
        <v>15382252</v>
      </c>
      <c r="CN60" s="19">
        <f t="shared" si="29"/>
        <v>14552</v>
      </c>
      <c r="CR60" s="19">
        <f t="shared" si="30"/>
        <v>3682400</v>
      </c>
      <c r="CW60" s="19">
        <f t="shared" si="31"/>
        <v>35750563</v>
      </c>
      <c r="DD60" s="47"/>
      <c r="DE60" s="47"/>
      <c r="DF60" s="47"/>
      <c r="DG60" s="47"/>
      <c r="DI60" s="100"/>
      <c r="DJ60" s="100"/>
    </row>
    <row r="61" spans="2:114">
      <c r="B61" s="58">
        <v>43830</v>
      </c>
      <c r="C61" s="205">
        <v>36660828</v>
      </c>
      <c r="D61" s="205"/>
      <c r="E61" s="34">
        <f t="shared" si="92"/>
        <v>226980</v>
      </c>
      <c r="F61" s="205">
        <v>4194369</v>
      </c>
      <c r="G61" s="205"/>
      <c r="H61" s="34">
        <f t="shared" si="93"/>
        <v>0</v>
      </c>
      <c r="I61" s="205">
        <v>158660</v>
      </c>
      <c r="J61" s="205"/>
      <c r="K61" s="34">
        <f t="shared" si="54"/>
        <v>1400</v>
      </c>
      <c r="L61" s="205">
        <v>268314</v>
      </c>
      <c r="M61" s="205"/>
      <c r="N61" s="34">
        <f t="shared" si="7"/>
        <v>367000</v>
      </c>
      <c r="O61" s="205">
        <v>8303</v>
      </c>
      <c r="P61" s="205"/>
      <c r="Q61" s="34">
        <f t="shared" si="8"/>
        <v>3500</v>
      </c>
      <c r="R61" s="35"/>
      <c r="S61" s="205">
        <v>610958</v>
      </c>
      <c r="T61" s="205"/>
      <c r="U61" s="34">
        <f>SUM(S61-S60)*100</f>
        <v>49400</v>
      </c>
      <c r="V61" s="205">
        <v>1073030</v>
      </c>
      <c r="W61" s="205"/>
      <c r="X61" s="34">
        <f>SUM(V61-V60)*100</f>
        <v>122000</v>
      </c>
      <c r="Y61" s="36">
        <f t="shared" si="11"/>
        <v>171400</v>
      </c>
      <c r="Z61" s="17"/>
      <c r="AA61" s="20">
        <v>4422</v>
      </c>
      <c r="AB61" s="34">
        <f>SUM(AA61-AA60)*100000</f>
        <v>3700000</v>
      </c>
      <c r="AC61" s="20">
        <v>172374222</v>
      </c>
      <c r="AD61" s="34">
        <f t="shared" ref="AD61" si="94">SUM(AC61-AC60)</f>
        <v>850314</v>
      </c>
      <c r="AE61" s="20">
        <v>93168</v>
      </c>
      <c r="AF61" s="34">
        <f>SUM(AE61-AE60)*10</f>
        <v>10</v>
      </c>
      <c r="AG61" s="20">
        <v>2623978</v>
      </c>
      <c r="AH61" s="34">
        <f>SUM(AG61-AG60)*10</f>
        <v>7320</v>
      </c>
      <c r="AI61" s="20">
        <v>3353480</v>
      </c>
      <c r="AJ61" s="34">
        <f t="shared" si="16"/>
        <v>2720</v>
      </c>
      <c r="AK61" s="20">
        <v>14395</v>
      </c>
      <c r="AL61" s="34">
        <f t="shared" si="17"/>
        <v>16000</v>
      </c>
      <c r="AM61" s="20">
        <v>7</v>
      </c>
      <c r="AN61" s="34">
        <f>SUM(AM61-AM60)*1000</f>
        <v>0</v>
      </c>
      <c r="AO61" s="20">
        <v>9978</v>
      </c>
      <c r="AP61" s="34">
        <f>SUM(AO61-AO60)*100</f>
        <v>1400</v>
      </c>
      <c r="AQ61" s="14"/>
      <c r="AR61" s="58">
        <f t="shared" si="42"/>
        <v>43830</v>
      </c>
      <c r="AS61" s="20">
        <v>14578</v>
      </c>
      <c r="AT61" s="34">
        <f t="shared" si="20"/>
        <v>26</v>
      </c>
      <c r="AU61" s="14"/>
      <c r="AV61" s="20">
        <v>15394250</v>
      </c>
      <c r="AW61" s="34">
        <f t="shared" si="21"/>
        <v>11998</v>
      </c>
      <c r="AX61" s="20">
        <v>221617658</v>
      </c>
      <c r="AY61" s="37">
        <f t="shared" si="61"/>
        <v>9352.6</v>
      </c>
      <c r="AZ61" s="34">
        <f t="shared" si="23"/>
        <v>2645.3999999999996</v>
      </c>
      <c r="BA61" s="20">
        <v>6803100</v>
      </c>
      <c r="BB61" s="34">
        <f t="shared" si="24"/>
        <v>800</v>
      </c>
      <c r="BC61" s="20">
        <v>3682500</v>
      </c>
      <c r="BD61" s="34">
        <f t="shared" si="25"/>
        <v>100</v>
      </c>
      <c r="BE61" s="20">
        <v>35751867</v>
      </c>
      <c r="BF61" s="34">
        <f t="shared" si="26"/>
        <v>1304</v>
      </c>
      <c r="BI61" s="19">
        <f t="shared" si="0"/>
        <v>36660828</v>
      </c>
      <c r="BJ61" s="20">
        <v>364911</v>
      </c>
      <c r="BK61" s="19">
        <f>SUM(BJ61-BJ56)</f>
        <v>4173</v>
      </c>
      <c r="BL61" s="59">
        <f>SUM(BK61*1.0228)+1887.37</f>
        <v>6155.5144</v>
      </c>
      <c r="BM61" s="75">
        <v>17863.560000000001</v>
      </c>
      <c r="BN61" s="19">
        <f t="shared" si="1"/>
        <v>4194369</v>
      </c>
      <c r="BO61" s="20">
        <v>41928</v>
      </c>
      <c r="BP61" s="19">
        <f>SUM(BO61-BO56)</f>
        <v>409</v>
      </c>
      <c r="BQ61" s="59">
        <f>SUM(BP61*0.8062)+1557.24</f>
        <v>1886.9757999999999</v>
      </c>
      <c r="BR61" s="19">
        <f t="shared" si="2"/>
        <v>610958</v>
      </c>
      <c r="BS61" s="20">
        <v>609238</v>
      </c>
      <c r="BT61" s="20">
        <v>44429.36</v>
      </c>
      <c r="BU61" s="87">
        <v>32876.15</v>
      </c>
      <c r="BV61" s="19">
        <f t="shared" si="3"/>
        <v>1073030</v>
      </c>
      <c r="BW61" s="88">
        <v>106532</v>
      </c>
      <c r="BX61" s="39">
        <v>2720.13</v>
      </c>
      <c r="BY61" s="87">
        <v>2020.76</v>
      </c>
      <c r="BZ61" s="98">
        <f t="shared" ref="BZ61" si="95">SUM(BT61+BX61)</f>
        <v>47149.49</v>
      </c>
      <c r="CA61" s="87">
        <v>11882.16</v>
      </c>
      <c r="CB61" s="14"/>
      <c r="CC61" s="19">
        <f t="shared" si="27"/>
        <v>6803100</v>
      </c>
      <c r="CD61" s="20">
        <v>6801</v>
      </c>
      <c r="CE61" s="19">
        <f>SUM(CD61-CD56)</f>
        <v>14</v>
      </c>
      <c r="CF61" s="59">
        <f>SUM(CE61*1.0228)+117.88</f>
        <v>132.19919999999999</v>
      </c>
      <c r="CG61" s="75">
        <v>80.08</v>
      </c>
      <c r="CH61" s="75">
        <v>1175.3800000000001</v>
      </c>
      <c r="CI61" s="19">
        <f t="shared" si="28"/>
        <v>15394250</v>
      </c>
      <c r="CJ61" s="20">
        <v>15267</v>
      </c>
      <c r="CK61" s="19">
        <f>SUM(CJ61-CJ56)</f>
        <v>322</v>
      </c>
      <c r="CL61" s="59">
        <f>SUM(CK61*1.0228+188.7)</f>
        <v>518.04160000000002</v>
      </c>
      <c r="CM61" s="91">
        <v>343.2</v>
      </c>
      <c r="CN61" s="19">
        <f t="shared" si="29"/>
        <v>14578</v>
      </c>
      <c r="CO61" s="20">
        <v>4472</v>
      </c>
      <c r="CP61" s="20">
        <v>1367.86</v>
      </c>
      <c r="CQ61" s="90">
        <v>1016.17</v>
      </c>
      <c r="CR61" s="19">
        <f t="shared" si="30"/>
        <v>3682500</v>
      </c>
      <c r="CS61" s="20">
        <v>3682</v>
      </c>
      <c r="CT61" s="19">
        <f>SUM(CS61-CS56)</f>
        <v>1</v>
      </c>
      <c r="CU61" s="59">
        <f>SUM(CT61*1.0228)+188.7</f>
        <v>189.72279999999998</v>
      </c>
      <c r="CW61" s="19">
        <f t="shared" si="31"/>
        <v>35751867</v>
      </c>
      <c r="CX61" s="20">
        <v>357402</v>
      </c>
      <c r="CY61" s="19">
        <f>SUM(CX61-CX56)</f>
        <v>5450</v>
      </c>
      <c r="CZ61" s="59">
        <f>SUM(CY61*0.8062)+973.2</f>
        <v>5366.99</v>
      </c>
      <c r="DC61" s="20">
        <f>SUM(E59:E62)</f>
        <v>2199850</v>
      </c>
      <c r="DD61" s="75" t="e">
        <f>SUM(BL61+CF61+CL61+#REF!+CU61)</f>
        <v>#REF!</v>
      </c>
      <c r="DE61" s="75">
        <f>SUM(BQ61+CZ61)</f>
        <v>7253.9657999999999</v>
      </c>
      <c r="DF61" s="75">
        <f>SUM(BM61+CG61+CV61)</f>
        <v>17943.640000000003</v>
      </c>
      <c r="DG61" s="75" t="e">
        <f>SUM(DD61:DF61)</f>
        <v>#REF!</v>
      </c>
      <c r="DI61" s="92">
        <f>SUM(BU61+CQ61+BY61)</f>
        <v>35913.08</v>
      </c>
      <c r="DJ61" s="92">
        <f>SUM(CA61+CH61)</f>
        <v>13057.54</v>
      </c>
    </row>
    <row r="62" spans="2:114">
      <c r="B62" s="24">
        <f t="shared" ref="B62:B63" si="96">B61+7</f>
        <v>43837</v>
      </c>
      <c r="AR62" s="24">
        <f>AR61+7</f>
        <v>43837</v>
      </c>
    </row>
    <row r="63" spans="2:114">
      <c r="B63" s="24">
        <f t="shared" si="96"/>
        <v>43844</v>
      </c>
      <c r="AR63" s="24">
        <f t="shared" ref="AR63:AR64" si="97">AR62+7</f>
        <v>43844</v>
      </c>
    </row>
    <row r="64" spans="2:114">
      <c r="B64" s="24">
        <v>44197</v>
      </c>
      <c r="AR64" s="24">
        <f t="shared" si="97"/>
        <v>43851</v>
      </c>
    </row>
    <row r="65" spans="44:44">
      <c r="AR65" s="24">
        <v>44197</v>
      </c>
    </row>
  </sheetData>
  <mergeCells count="466">
    <mergeCell ref="C60:D60"/>
    <mergeCell ref="F60:G60"/>
    <mergeCell ref="I60:J60"/>
    <mergeCell ref="L60:M60"/>
    <mergeCell ref="O60:P60"/>
    <mergeCell ref="S60:T60"/>
    <mergeCell ref="V60:W60"/>
    <mergeCell ref="C61:D61"/>
    <mergeCell ref="F61:G61"/>
    <mergeCell ref="I61:J61"/>
    <mergeCell ref="L61:M61"/>
    <mergeCell ref="O61:P61"/>
    <mergeCell ref="S61:T61"/>
    <mergeCell ref="V61:W61"/>
    <mergeCell ref="C58:D58"/>
    <mergeCell ref="F58:G58"/>
    <mergeCell ref="I58:J58"/>
    <mergeCell ref="L58:M58"/>
    <mergeCell ref="O58:P58"/>
    <mergeCell ref="S58:T58"/>
    <mergeCell ref="V58:W58"/>
    <mergeCell ref="C59:D59"/>
    <mergeCell ref="F59:G59"/>
    <mergeCell ref="I59:J59"/>
    <mergeCell ref="L59:M59"/>
    <mergeCell ref="O59:P59"/>
    <mergeCell ref="S59:T59"/>
    <mergeCell ref="V59:W59"/>
    <mergeCell ref="C56:D56"/>
    <mergeCell ref="F56:G56"/>
    <mergeCell ref="I56:J56"/>
    <mergeCell ref="L56:M56"/>
    <mergeCell ref="O56:P56"/>
    <mergeCell ref="S56:T56"/>
    <mergeCell ref="V56:W56"/>
    <mergeCell ref="C57:D57"/>
    <mergeCell ref="F57:G57"/>
    <mergeCell ref="I57:J57"/>
    <mergeCell ref="L57:M57"/>
    <mergeCell ref="O57:P57"/>
    <mergeCell ref="S57:T57"/>
    <mergeCell ref="V57:W57"/>
    <mergeCell ref="C54:D54"/>
    <mergeCell ref="F54:G54"/>
    <mergeCell ref="I54:J54"/>
    <mergeCell ref="L54:M54"/>
    <mergeCell ref="O54:P54"/>
    <mergeCell ref="S54:T54"/>
    <mergeCell ref="V54:W54"/>
    <mergeCell ref="C55:D55"/>
    <mergeCell ref="F55:G55"/>
    <mergeCell ref="I55:J55"/>
    <mergeCell ref="L55:M55"/>
    <mergeCell ref="O55:P55"/>
    <mergeCell ref="S55:T55"/>
    <mergeCell ref="V55:W55"/>
    <mergeCell ref="C52:D52"/>
    <mergeCell ref="F52:G52"/>
    <mergeCell ref="I52:J52"/>
    <mergeCell ref="L52:M52"/>
    <mergeCell ref="O52:P52"/>
    <mergeCell ref="S52:T52"/>
    <mergeCell ref="V52:W52"/>
    <mergeCell ref="C53:D53"/>
    <mergeCell ref="F53:G53"/>
    <mergeCell ref="I53:J53"/>
    <mergeCell ref="L53:M53"/>
    <mergeCell ref="O53:P53"/>
    <mergeCell ref="S53:T53"/>
    <mergeCell ref="V53:W53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/>
</file>

<file path=customXml/itemProps2.xml><?xml version="1.0" encoding="utf-8"?>
<ds:datastoreItem xmlns:ds="http://schemas.openxmlformats.org/officeDocument/2006/customXml" ds:itemID="{3B259AB9-BFEB-4459-A99C-CE123988A32F}"/>
</file>

<file path=customXml/itemProps3.xml><?xml version="1.0" encoding="utf-8"?>
<ds:datastoreItem xmlns:ds="http://schemas.openxmlformats.org/officeDocument/2006/customXml" ds:itemID="{E60EF89F-258D-4656-B645-0F5675E8D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2022-04-13T16:29:34Z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