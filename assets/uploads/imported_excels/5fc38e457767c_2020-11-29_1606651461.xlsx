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C33" i="7"/>
  <c r="AR33" i="7" s="1"/>
  <c r="AB33" i="7"/>
  <c r="AQ33" i="7" s="1"/>
  <c r="AA33" i="7"/>
  <c r="AP33" i="7" s="1"/>
  <c r="Z33" i="7"/>
  <c r="AO33" i="7" s="1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AK30" i="7" s="1"/>
  <c r="U30" i="7"/>
  <c r="AJ30" i="7" s="1"/>
  <c r="T30" i="7"/>
  <c r="AI30" i="7" s="1"/>
  <c r="S30" i="7"/>
  <c r="R30" i="7"/>
  <c r="AG30" i="7" s="1"/>
  <c r="Q30" i="7"/>
  <c r="AF30" i="7" s="1"/>
  <c r="AV29" i="7"/>
  <c r="R24" i="9" s="1"/>
  <c r="G24" i="5" s="1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AI27" i="7" s="1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B30" i="9"/>
  <c r="S29" i="9"/>
  <c r="R29" i="9"/>
  <c r="G29" i="5" s="1"/>
  <c r="P29" i="9"/>
  <c r="G29" i="9"/>
  <c r="B29" i="9"/>
  <c r="S28" i="9"/>
  <c r="Q28" i="9"/>
  <c r="N28" i="9"/>
  <c r="B28" i="9"/>
  <c r="S27" i="9"/>
  <c r="P27" i="9"/>
  <c r="O27" i="9"/>
  <c r="B27" i="9"/>
  <c r="S26" i="9"/>
  <c r="R26" i="9"/>
  <c r="G26" i="5" s="1"/>
  <c r="K26" i="9"/>
  <c r="J26" i="9"/>
  <c r="I26" i="9"/>
  <c r="B26" i="9"/>
  <c r="S25" i="9"/>
  <c r="L25" i="9"/>
  <c r="I25" i="9"/>
  <c r="B25" i="9"/>
  <c r="S24" i="9"/>
  <c r="H24" i="9"/>
  <c r="B24" i="9"/>
  <c r="S23" i="9"/>
  <c r="P23" i="9"/>
  <c r="L23" i="9"/>
  <c r="B23" i="9"/>
  <c r="S22" i="9"/>
  <c r="B22" i="9"/>
  <c r="S21" i="9"/>
  <c r="L21" i="9"/>
  <c r="H21" i="9"/>
  <c r="B21" i="9"/>
  <c r="S20" i="9"/>
  <c r="R20" i="9"/>
  <c r="G20" i="5" s="1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B24" i="5"/>
  <c r="I23" i="5"/>
  <c r="B23" i="5"/>
  <c r="I22" i="5"/>
  <c r="B22" i="5"/>
  <c r="I21" i="5"/>
  <c r="B21" i="5"/>
  <c r="I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N29" i="9" l="1"/>
  <c r="I30" i="9"/>
  <c r="H30" i="9"/>
  <c r="M28" i="9"/>
  <c r="K28" i="9"/>
  <c r="I29" i="9"/>
  <c r="N27" i="9"/>
  <c r="J28" i="9"/>
  <c r="I28" i="9"/>
  <c r="H28" i="9"/>
  <c r="G27" i="9"/>
  <c r="M26" i="9"/>
  <c r="L26" i="9"/>
  <c r="K27" i="9"/>
  <c r="J27" i="9"/>
  <c r="J25" i="9"/>
  <c r="F25" i="9"/>
  <c r="AW29" i="7"/>
  <c r="E25" i="9"/>
  <c r="N23" i="9"/>
  <c r="L24" i="9"/>
  <c r="K24" i="9"/>
  <c r="K23" i="9"/>
  <c r="R23" i="9"/>
  <c r="G23" i="5" s="1"/>
  <c r="H22" i="9"/>
  <c r="O22" i="9"/>
  <c r="K22" i="9"/>
  <c r="I21" i="9"/>
  <c r="Q21" i="9"/>
  <c r="K21" i="9"/>
  <c r="J21" i="9"/>
  <c r="H20" i="9"/>
  <c r="G21" i="9"/>
  <c r="F21" i="9"/>
  <c r="L20" i="9"/>
  <c r="Q18" i="9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AH38" i="7" s="1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D34" i="7"/>
  <c r="E28" i="9"/>
  <c r="R27" i="9"/>
  <c r="G27" i="5" s="1"/>
  <c r="Q27" i="9"/>
  <c r="P28" i="9"/>
  <c r="O28" i="9"/>
  <c r="AM33" i="7"/>
  <c r="AJ32" i="7"/>
  <c r="G28" i="9"/>
  <c r="AD33" i="7"/>
  <c r="AG33" i="7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S34" i="7" l="1"/>
  <c r="AS33" i="7"/>
  <c r="AS32" i="7"/>
  <c r="E25" i="5"/>
  <c r="AS26" i="7"/>
  <c r="AS23" i="7"/>
  <c r="AM38" i="7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<sst xmlns="http://schemas.openxmlformats.org/spreadsheetml/2006/main" count="128" uniqueCount="49">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</sst>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50830</v>
      </c>
      <c r="F18" s="11">
        <v>5.0000000000000001E-3</v>
      </c>
      <c r="G18" s="12">
        <f>Submetering!R18</f>
        <v>628.75660100000005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52410</v>
      </c>
      <c r="F19" s="11">
        <v>5.0000000000000001E-3</v>
      </c>
      <c r="G19" s="12">
        <f>Submetering!R19</f>
        <v>617.77891199999999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51150</v>
      </c>
      <c r="F20" s="11">
        <v>5.0000000000000001E-3</v>
      </c>
      <c r="G20" s="12">
        <f>Submetering!R20</f>
        <v>666.61070100000006</v>
      </c>
      <c r="H20" s="11">
        <v>0.52800000000000002</v>
      </c>
      <c r="I20" s="12">
        <f>Hotel!B25</f>
        <v>85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56740</v>
      </c>
      <c r="F21" s="11">
        <v>5.0000000000000001E-3</v>
      </c>
      <c r="G21" s="12">
        <f>Submetering!R21</f>
        <v>554.18402400000002</v>
      </c>
      <c r="H21" s="11">
        <v>0.52800000000000002</v>
      </c>
      <c r="I21" s="12">
        <f>Hotel!B26</f>
        <v>122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58070</v>
      </c>
      <c r="F22" s="11">
        <v>5.0000000000000001E-3</v>
      </c>
      <c r="G22" s="12">
        <f>Submetering!R22</f>
        <v>700.30084999999997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49460</v>
      </c>
      <c r="F23" s="11">
        <v>5.0000000000000001E-3</v>
      </c>
      <c r="G23" s="12">
        <f>Submetering!R23</f>
        <v>793.04339499999992</v>
      </c>
      <c r="H23" s="11">
        <v>0.52800000000000002</v>
      </c>
      <c r="I23" s="12">
        <f>Hotel!B28</f>
        <v>65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52761</v>
      </c>
      <c r="F24" s="11">
        <v>5.0000000000000001E-3</v>
      </c>
      <c r="G24" s="12">
        <f>Submetering!R24</f>
        <v>748.37555699999996</v>
      </c>
      <c r="H24" s="11">
        <v>0.52800000000000002</v>
      </c>
      <c r="I24" s="12">
        <f>Hotel!B29</f>
        <v>59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53529</v>
      </c>
      <c r="F25" s="11">
        <v>5.0000000000000001E-3</v>
      </c>
      <c r="G25" s="12">
        <f>Submetering!R25</f>
        <v>696.89398100000005</v>
      </c>
      <c r="H25" s="11">
        <v>0.52800000000000002</v>
      </c>
      <c r="I25" s="12">
        <f>Hotel!B30</f>
        <v>64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52620</v>
      </c>
      <c r="F26" s="11">
        <v>5.0000000000000001E-3</v>
      </c>
      <c r="G26" s="12">
        <f>Submetering!R26</f>
        <v>889.57134999999994</v>
      </c>
      <c r="H26" s="11">
        <v>0.52800000000000002</v>
      </c>
      <c r="I26" s="12">
        <f>Hotel!B31</f>
        <v>97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56980</v>
      </c>
      <c r="F27" s="11">
        <v>5.0000000000000001E-3</v>
      </c>
      <c r="G27" s="12">
        <f>Submetering!R27</f>
        <v>432.29382200000003</v>
      </c>
      <c r="H27" s="11">
        <v>0.52800000000000002</v>
      </c>
      <c r="I27" s="12">
        <f>Hotel!B32</f>
        <v>135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58600</v>
      </c>
      <c r="F28" s="11">
        <v>5.0000000000000001E-3</v>
      </c>
      <c r="G28" s="12">
        <f>Submetering!R28</f>
        <v>883.13615300000004</v>
      </c>
      <c r="H28" s="11">
        <v>0.52800000000000002</v>
      </c>
      <c r="I28" s="12">
        <f>Hotel!B33</f>
        <v>159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52460</v>
      </c>
      <c r="F29" s="11">
        <v>5.0000000000000001E-3</v>
      </c>
      <c r="G29" s="12">
        <f>Submetering!R29</f>
        <v>666.61070100000006</v>
      </c>
      <c r="H29" s="11">
        <v>0.52800000000000002</v>
      </c>
      <c r="I29" s="12">
        <f>Hotel!B34</f>
        <v>88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540</v>
      </c>
      <c r="F18" s="4">
        <f>Hotel!R23</f>
        <v>1870</v>
      </c>
      <c r="G18" s="4">
        <f>Hotel!S23</f>
        <v>3700</v>
      </c>
      <c r="H18" s="4">
        <f>Hotel!T23</f>
        <v>1580</v>
      </c>
      <c r="I18" s="4">
        <f>Hotel!U23</f>
        <v>4740</v>
      </c>
      <c r="J18" s="4">
        <f>Hotel!V23</f>
        <v>3350</v>
      </c>
      <c r="K18" s="4">
        <f>Hotel!W23</f>
        <v>2310</v>
      </c>
      <c r="L18" s="4">
        <f>Hotel!X23</f>
        <v>3540</v>
      </c>
      <c r="M18" s="4">
        <f>Hotel!Y23</f>
        <v>5550</v>
      </c>
      <c r="N18" s="4">
        <f>Hotel!Z23</f>
        <v>2470</v>
      </c>
      <c r="O18" s="4">
        <f>Hotel!AA23</f>
        <v>3080</v>
      </c>
      <c r="P18" s="4">
        <f>Hotel!AB23</f>
        <v>6780</v>
      </c>
      <c r="Q18" s="4">
        <f>Hotel!AC23</f>
        <v>11320</v>
      </c>
      <c r="R18" s="4">
        <f>Hotel!AV23*0.00378541*100</f>
        <v>628.75660100000005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550</v>
      </c>
      <c r="F19" s="4">
        <f>Hotel!R24</f>
        <v>1910</v>
      </c>
      <c r="G19" s="4">
        <f>Hotel!S24</f>
        <v>3550</v>
      </c>
      <c r="H19" s="4">
        <f>Hotel!T24</f>
        <v>1590</v>
      </c>
      <c r="I19" s="4">
        <f>Hotel!U24</f>
        <v>4540</v>
      </c>
      <c r="J19" s="4">
        <f>Hotel!V24</f>
        <v>3310</v>
      </c>
      <c r="K19" s="4">
        <f>Hotel!W24</f>
        <v>2360</v>
      </c>
      <c r="L19" s="4">
        <f>Hotel!X24</f>
        <v>3590</v>
      </c>
      <c r="M19" s="4">
        <f>Hotel!Y24</f>
        <v>5670</v>
      </c>
      <c r="N19" s="4">
        <f>Hotel!Z24</f>
        <v>2510</v>
      </c>
      <c r="O19" s="4">
        <f>Hotel!AA24</f>
        <v>2950</v>
      </c>
      <c r="P19" s="4">
        <f>Hotel!AB24</f>
        <v>7190</v>
      </c>
      <c r="Q19" s="4">
        <f>Hotel!AC24</f>
        <v>12690</v>
      </c>
      <c r="R19" s="4">
        <f>Hotel!AV24*0.00378541*100</f>
        <v>617.77891199999999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560</v>
      </c>
      <c r="F20" s="4">
        <f>Hotel!R25</f>
        <v>1910</v>
      </c>
      <c r="G20" s="4">
        <f>Hotel!S25</f>
        <v>3420</v>
      </c>
      <c r="H20" s="4">
        <f>Hotel!T25</f>
        <v>1580</v>
      </c>
      <c r="I20" s="4">
        <f>Hotel!U25</f>
        <v>4280</v>
      </c>
      <c r="J20" s="4">
        <f>Hotel!V25</f>
        <v>3350</v>
      </c>
      <c r="K20" s="4">
        <f>Hotel!W25</f>
        <v>2330</v>
      </c>
      <c r="L20" s="4">
        <f>Hotel!X25</f>
        <v>3570</v>
      </c>
      <c r="M20" s="4">
        <f>Hotel!Y25</f>
        <v>5660</v>
      </c>
      <c r="N20" s="4">
        <f>Hotel!Z25</f>
        <v>2470</v>
      </c>
      <c r="O20" s="4">
        <f>Hotel!AA25</f>
        <v>3090</v>
      </c>
      <c r="P20" s="4">
        <f>Hotel!AB25</f>
        <v>7180</v>
      </c>
      <c r="Q20" s="4">
        <f>Hotel!AC25</f>
        <v>11750</v>
      </c>
      <c r="R20" s="4">
        <f>Hotel!AV25*0.00378541*100</f>
        <v>666.61070100000006</v>
      </c>
      <c r="S20" s="4">
        <f>Hotel!B25</f>
        <v>85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5200</v>
      </c>
      <c r="F21" s="4">
        <f>Hotel!R26</f>
        <v>2790</v>
      </c>
      <c r="G21" s="4">
        <f>Hotel!S26</f>
        <v>3280</v>
      </c>
      <c r="H21" s="4">
        <f>Hotel!T26</f>
        <v>1560</v>
      </c>
      <c r="I21" s="4">
        <f>Hotel!U26</f>
        <v>4540</v>
      </c>
      <c r="J21" s="4">
        <f>Hotel!V26</f>
        <v>3250</v>
      </c>
      <c r="K21" s="4">
        <f>Hotel!W26</f>
        <v>2280</v>
      </c>
      <c r="L21" s="4">
        <f>Hotel!X26</f>
        <v>3780</v>
      </c>
      <c r="M21" s="4">
        <f>Hotel!Y26</f>
        <v>5730</v>
      </c>
      <c r="N21" s="4">
        <f>Hotel!Z26</f>
        <v>2590</v>
      </c>
      <c r="O21" s="4">
        <f>Hotel!AA26</f>
        <v>3460</v>
      </c>
      <c r="P21" s="4">
        <f>Hotel!AB26</f>
        <v>7140</v>
      </c>
      <c r="Q21" s="4">
        <f>Hotel!AC26</f>
        <v>11140</v>
      </c>
      <c r="R21" s="4">
        <f>Hotel!AV26*0.00378541*100</f>
        <v>554.18402400000002</v>
      </c>
      <c r="S21" s="4">
        <f>Hotel!B26</f>
        <v>122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2720</v>
      </c>
      <c r="F22" s="4">
        <f>Hotel!R27</f>
        <v>2810</v>
      </c>
      <c r="G22" s="4">
        <f>Hotel!S27</f>
        <v>3610</v>
      </c>
      <c r="H22" s="4">
        <f>Hotel!T27</f>
        <v>2330</v>
      </c>
      <c r="I22" s="4">
        <f>Hotel!U27</f>
        <v>5000</v>
      </c>
      <c r="J22" s="4">
        <f>Hotel!V27</f>
        <v>3510</v>
      </c>
      <c r="K22" s="4">
        <f>Hotel!W27</f>
        <v>2410</v>
      </c>
      <c r="L22" s="4">
        <f>Hotel!X27</f>
        <v>3770</v>
      </c>
      <c r="M22" s="4">
        <f>Hotel!Y27</f>
        <v>6310</v>
      </c>
      <c r="N22" s="4">
        <f>Hotel!Z27</f>
        <v>2770</v>
      </c>
      <c r="O22" s="4">
        <f>Hotel!AA27</f>
        <v>3500</v>
      </c>
      <c r="P22" s="4">
        <f>Hotel!AB27</f>
        <v>7440</v>
      </c>
      <c r="Q22" s="4">
        <f>Hotel!AC27</f>
        <v>11890</v>
      </c>
      <c r="R22" s="4">
        <f>Hotel!AV27*0.00378541*100</f>
        <v>700.30084999999997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530</v>
      </c>
      <c r="F23" s="4">
        <f>Hotel!R28</f>
        <v>1800</v>
      </c>
      <c r="G23" s="4">
        <f>Hotel!S28</f>
        <v>3350</v>
      </c>
      <c r="H23" s="4">
        <f>Hotel!T28</f>
        <v>1400</v>
      </c>
      <c r="I23" s="4">
        <f>Hotel!U28</f>
        <v>4380</v>
      </c>
      <c r="J23" s="4">
        <f>Hotel!V28</f>
        <v>3130</v>
      </c>
      <c r="K23" s="4">
        <f>Hotel!W28</f>
        <v>2270</v>
      </c>
      <c r="L23" s="4">
        <f>Hotel!X28</f>
        <v>3090</v>
      </c>
      <c r="M23" s="4">
        <f>Hotel!Y28</f>
        <v>5480</v>
      </c>
      <c r="N23" s="4">
        <f>Hotel!Z28</f>
        <v>2360</v>
      </c>
      <c r="O23" s="4">
        <f>Hotel!AA28</f>
        <v>3080</v>
      </c>
      <c r="P23" s="4">
        <f>Hotel!AB28</f>
        <v>6710</v>
      </c>
      <c r="Q23" s="4">
        <f>Hotel!AC28</f>
        <v>11880</v>
      </c>
      <c r="R23" s="4">
        <f>Hotel!AV28*0.00378541*100</f>
        <v>793.04339499999992</v>
      </c>
      <c r="S23" s="4">
        <f>Hotel!B28</f>
        <v>65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560</v>
      </c>
      <c r="F24" s="4">
        <f>Hotel!R29</f>
        <v>1910</v>
      </c>
      <c r="G24" s="4">
        <f>Hotel!S29</f>
        <v>3210</v>
      </c>
      <c r="H24" s="4">
        <f>Hotel!T29</f>
        <v>1540</v>
      </c>
      <c r="I24" s="4">
        <f>Hotel!U29</f>
        <v>4530</v>
      </c>
      <c r="J24" s="4">
        <f>Hotel!V29</f>
        <v>3380</v>
      </c>
      <c r="K24" s="4">
        <f>Hotel!W29</f>
        <v>2390</v>
      </c>
      <c r="L24" s="4">
        <f>Hotel!X29</f>
        <v>3730</v>
      </c>
      <c r="M24" s="4">
        <f>Hotel!Y29</f>
        <v>5771</v>
      </c>
      <c r="N24" s="4">
        <f>Hotel!Z29</f>
        <v>2540</v>
      </c>
      <c r="O24" s="4">
        <f>Hotel!AA29</f>
        <v>3000</v>
      </c>
      <c r="P24" s="4">
        <f>Hotel!AB29</f>
        <v>6930</v>
      </c>
      <c r="Q24" s="4">
        <f>Hotel!AC29</f>
        <v>13270</v>
      </c>
      <c r="R24" s="4">
        <f>Hotel!AV29*0.00378541*100</f>
        <v>748.37555699999996</v>
      </c>
      <c r="S24" s="4">
        <f>Hotel!B29</f>
        <v>59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560</v>
      </c>
      <c r="F25" s="4">
        <f>Hotel!R30</f>
        <v>1940</v>
      </c>
      <c r="G25" s="4">
        <f>Hotel!S30</f>
        <v>3080</v>
      </c>
      <c r="H25" s="4">
        <f>Hotel!T30</f>
        <v>1530</v>
      </c>
      <c r="I25" s="4">
        <f>Hotel!U30</f>
        <v>4710</v>
      </c>
      <c r="J25" s="4">
        <f>Hotel!V30</f>
        <v>3420</v>
      </c>
      <c r="K25" s="4">
        <f>Hotel!W30</f>
        <v>2440</v>
      </c>
      <c r="L25" s="4">
        <f>Hotel!X30</f>
        <v>3790</v>
      </c>
      <c r="M25" s="4">
        <f>Hotel!Y30</f>
        <v>5909</v>
      </c>
      <c r="N25" s="4">
        <f>Hotel!Z30</f>
        <v>2540</v>
      </c>
      <c r="O25" s="4">
        <f>Hotel!AA30</f>
        <v>3150</v>
      </c>
      <c r="P25" s="4">
        <f>Hotel!AB30</f>
        <v>6860</v>
      </c>
      <c r="Q25" s="4">
        <f>Hotel!AC30</f>
        <v>13600</v>
      </c>
      <c r="R25" s="4">
        <f>Hotel!AV30*0.00378541*100</f>
        <v>696.89398100000005</v>
      </c>
      <c r="S25" s="4">
        <f>Hotel!B30</f>
        <v>64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540</v>
      </c>
      <c r="F26" s="4">
        <f>Hotel!R31</f>
        <v>2450</v>
      </c>
      <c r="G26" s="4">
        <f>Hotel!S31</f>
        <v>2970</v>
      </c>
      <c r="H26" s="4">
        <f>Hotel!T31</f>
        <v>1470</v>
      </c>
      <c r="I26" s="4">
        <f>Hotel!U31</f>
        <v>4860</v>
      </c>
      <c r="J26" s="4">
        <f>Hotel!V31</f>
        <v>3390</v>
      </c>
      <c r="K26" s="4">
        <f>Hotel!W31</f>
        <v>2370</v>
      </c>
      <c r="L26" s="4">
        <f>Hotel!X31</f>
        <v>3700</v>
      </c>
      <c r="M26" s="4">
        <f>Hotel!Y31</f>
        <v>5840</v>
      </c>
      <c r="N26" s="4">
        <f>Hotel!Z31</f>
        <v>2530</v>
      </c>
      <c r="O26" s="4">
        <f>Hotel!AA31</f>
        <v>3170</v>
      </c>
      <c r="P26" s="4">
        <f>Hotel!AB31</f>
        <v>6850</v>
      </c>
      <c r="Q26" s="4">
        <f>Hotel!AC31</f>
        <v>12480</v>
      </c>
      <c r="R26" s="4">
        <f>Hotel!AV31*0.00378541*100</f>
        <v>889.57134999999994</v>
      </c>
      <c r="S26" s="4">
        <f>Hotel!B31</f>
        <v>97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580</v>
      </c>
      <c r="F27" s="4">
        <f>Hotel!R32</f>
        <v>1960</v>
      </c>
      <c r="G27" s="4">
        <f>Hotel!S32</f>
        <v>3530</v>
      </c>
      <c r="H27" s="4">
        <f>Hotel!T32</f>
        <v>1560</v>
      </c>
      <c r="I27" s="4">
        <f>Hotel!U32</f>
        <v>5290</v>
      </c>
      <c r="J27" s="4">
        <f>Hotel!V32</f>
        <v>3730</v>
      </c>
      <c r="K27" s="4">
        <f>Hotel!W32</f>
        <v>2540</v>
      </c>
      <c r="L27" s="4">
        <f>Hotel!X32</f>
        <v>3850</v>
      </c>
      <c r="M27" s="4">
        <f>Hotel!Y32</f>
        <v>6460</v>
      </c>
      <c r="N27" s="4">
        <f>Hotel!Z32</f>
        <v>2790</v>
      </c>
      <c r="O27" s="4">
        <f>Hotel!AA32</f>
        <v>3400</v>
      </c>
      <c r="P27" s="4">
        <f>Hotel!AB32</f>
        <v>7480</v>
      </c>
      <c r="Q27" s="4">
        <f>Hotel!AC32</f>
        <v>13810</v>
      </c>
      <c r="R27" s="4">
        <f>Hotel!AV32*0.00378541*100</f>
        <v>432.29382200000003</v>
      </c>
      <c r="S27" s="4">
        <f>Hotel!B32</f>
        <v>135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570</v>
      </c>
      <c r="F28" s="4">
        <f>Hotel!R33</f>
        <v>1950</v>
      </c>
      <c r="G28" s="4">
        <f>Hotel!S33</f>
        <v>3760</v>
      </c>
      <c r="H28" s="4">
        <f>Hotel!T33</f>
        <v>1570</v>
      </c>
      <c r="I28" s="4">
        <f>Hotel!U33</f>
        <v>5680</v>
      </c>
      <c r="J28" s="4">
        <f>Hotel!V33</f>
        <v>3790</v>
      </c>
      <c r="K28" s="4">
        <f>Hotel!W33</f>
        <v>2460</v>
      </c>
      <c r="L28" s="4">
        <f>Hotel!X33</f>
        <v>4090</v>
      </c>
      <c r="M28" s="4">
        <f>Hotel!Y33</f>
        <v>6400</v>
      </c>
      <c r="N28" s="4">
        <f>Hotel!Z33</f>
        <v>3010</v>
      </c>
      <c r="O28" s="4">
        <f>Hotel!AA33</f>
        <v>3900</v>
      </c>
      <c r="P28" s="4">
        <f>Hotel!AB33</f>
        <v>7140</v>
      </c>
      <c r="Q28" s="4">
        <f>Hotel!AC33</f>
        <v>14280</v>
      </c>
      <c r="R28" s="4">
        <f>Hotel!AV33*0.00378541*100</f>
        <v>883.13615300000004</v>
      </c>
      <c r="S28" s="4">
        <f>Hotel!B33</f>
        <v>159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530</v>
      </c>
      <c r="F29" s="4">
        <f>Hotel!R34</f>
        <v>1850</v>
      </c>
      <c r="G29" s="4">
        <f>Hotel!S34</f>
        <v>2260</v>
      </c>
      <c r="H29" s="4">
        <f>Hotel!T34</f>
        <v>2850</v>
      </c>
      <c r="I29" s="4">
        <f>Hotel!U34</f>
        <v>5050</v>
      </c>
      <c r="J29" s="4">
        <f>Hotel!V34</f>
        <v>3520</v>
      </c>
      <c r="K29" s="4">
        <f>Hotel!W34</f>
        <v>2320</v>
      </c>
      <c r="L29" s="4">
        <f>Hotel!X34</f>
        <v>3800</v>
      </c>
      <c r="M29" s="4">
        <f>Hotel!Y34</f>
        <v>5860</v>
      </c>
      <c r="N29" s="4">
        <f>Hotel!Z34</f>
        <v>2580</v>
      </c>
      <c r="O29" s="4">
        <f>Hotel!AA34</f>
        <v>3470</v>
      </c>
      <c r="P29" s="4">
        <f>Hotel!AB34</f>
        <v>6630</v>
      </c>
      <c r="Q29" s="4">
        <f>Hotel!AC34</f>
        <v>11740</v>
      </c>
      <c r="R29" s="4">
        <f>Hotel!AV34*0.00378541*100</f>
        <v>666.61070100000006</v>
      </c>
      <c r="S29" s="4">
        <f>Hotel!B34</f>
        <v>88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4" zoomScale="93" zoomScaleNormal="93" workbookViewId="0">
      <selection activeCell="AJ30" sqref="AJ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>
        <v>62</v>
      </c>
      <c r="C23" s="24">
        <v>6476270</v>
      </c>
      <c r="D23" s="24">
        <v>14949000</v>
      </c>
      <c r="E23" s="24">
        <v>2172650</v>
      </c>
      <c r="F23" s="24">
        <v>3122950</v>
      </c>
      <c r="G23" s="24">
        <v>9473400</v>
      </c>
      <c r="H23" s="24">
        <v>4862580</v>
      </c>
      <c r="I23" s="24">
        <v>4604100</v>
      </c>
      <c r="J23" s="24">
        <v>5217000</v>
      </c>
      <c r="K23" s="24">
        <v>8172000</v>
      </c>
      <c r="L23" s="24">
        <v>3328180</v>
      </c>
      <c r="M23" s="24">
        <v>7230920</v>
      </c>
      <c r="N23" s="24">
        <v>10654640</v>
      </c>
      <c r="O23" s="24">
        <v>14450970</v>
      </c>
      <c r="Q23" s="37">
        <f t="shared" si="16"/>
        <v>540</v>
      </c>
      <c r="R23" s="37">
        <f t="shared" si="17"/>
        <v>1870</v>
      </c>
      <c r="S23" s="37">
        <f t="shared" si="15"/>
        <v>3700</v>
      </c>
      <c r="T23" s="37">
        <f t="shared" si="18"/>
        <v>1580</v>
      </c>
      <c r="U23" s="37">
        <f t="shared" si="19"/>
        <v>4740</v>
      </c>
      <c r="V23" s="37">
        <f t="shared" si="20"/>
        <v>3350</v>
      </c>
      <c r="W23" s="37">
        <f t="shared" si="21"/>
        <v>2310</v>
      </c>
      <c r="X23" s="37">
        <f t="shared" si="22"/>
        <v>3540</v>
      </c>
      <c r="Y23" s="37">
        <f t="shared" si="23"/>
        <v>5550</v>
      </c>
      <c r="Z23" s="37">
        <f t="shared" si="24"/>
        <v>2470</v>
      </c>
      <c r="AA23" s="37">
        <f t="shared" si="25"/>
        <v>3080</v>
      </c>
      <c r="AB23" s="37">
        <f t="shared" si="26"/>
        <v>6780</v>
      </c>
      <c r="AC23" s="37">
        <f t="shared" si="27"/>
        <v>11320</v>
      </c>
      <c r="AD23" s="35">
        <f t="shared" si="28"/>
        <v>50830</v>
      </c>
      <c r="AF23" s="20">
        <f t="shared" si="1"/>
        <v>2.7</v>
      </c>
      <c r="AG23" s="20">
        <f t="shared" si="2"/>
        <v>9.35</v>
      </c>
      <c r="AH23" s="20">
        <f t="shared" si="3"/>
        <v>18.5</v>
      </c>
      <c r="AI23" s="20">
        <f t="shared" si="4"/>
        <v>7.9</v>
      </c>
      <c r="AJ23" s="20">
        <f t="shared" si="5"/>
        <v>23.7</v>
      </c>
      <c r="AK23" s="20">
        <f t="shared" si="6"/>
        <v>16.75</v>
      </c>
      <c r="AL23" s="20">
        <f t="shared" si="7"/>
        <v>11.55</v>
      </c>
      <c r="AM23" s="20">
        <f t="shared" si="8"/>
        <v>17.7</v>
      </c>
      <c r="AN23" s="20">
        <f t="shared" si="9"/>
        <v>27.75</v>
      </c>
      <c r="AO23" s="20">
        <f t="shared" si="10"/>
        <v>12.35</v>
      </c>
      <c r="AP23" s="20">
        <f t="shared" si="11"/>
        <v>15.4</v>
      </c>
      <c r="AQ23" s="20">
        <f t="shared" si="12"/>
        <v>33.9</v>
      </c>
      <c r="AR23" s="20">
        <f t="shared" si="13"/>
        <v>56.6</v>
      </c>
      <c r="AS23" s="35">
        <f t="shared" si="29"/>
        <v>254.15</v>
      </c>
      <c r="AU23" s="47">
        <v>306710</v>
      </c>
      <c r="AV23" s="37">
        <f t="shared" si="31"/>
        <v>1661</v>
      </c>
      <c r="AW23" s="35">
        <f t="shared" si="30"/>
        <v>3.3220000000000001</v>
      </c>
    </row>
    <row r="24" spans="1:49" x14ac:dyDescent="0.25">
      <c r="A24" s="23">
        <v>44153</v>
      </c>
      <c r="B24" s="40">
        <v>49</v>
      </c>
      <c r="C24" s="24">
        <v>6476820</v>
      </c>
      <c r="D24" s="24">
        <v>14950910</v>
      </c>
      <c r="E24" s="24">
        <v>2176200</v>
      </c>
      <c r="F24" s="24">
        <v>3124540</v>
      </c>
      <c r="G24" s="24">
        <v>9477940</v>
      </c>
      <c r="H24" s="24">
        <v>4865890</v>
      </c>
      <c r="I24" s="24">
        <v>4606460</v>
      </c>
      <c r="J24" s="24">
        <v>5220590</v>
      </c>
      <c r="K24" s="24">
        <v>8177670</v>
      </c>
      <c r="L24" s="24">
        <v>3330690</v>
      </c>
      <c r="M24" s="24">
        <v>7233870</v>
      </c>
      <c r="N24" s="24">
        <v>10661830</v>
      </c>
      <c r="O24" s="24">
        <v>14463660</v>
      </c>
      <c r="Q24" s="37">
        <f t="shared" si="16"/>
        <v>550</v>
      </c>
      <c r="R24" s="37">
        <f t="shared" si="17"/>
        <v>1910</v>
      </c>
      <c r="S24" s="37">
        <f t="shared" si="15"/>
        <v>3550</v>
      </c>
      <c r="T24" s="37">
        <f t="shared" si="18"/>
        <v>1590</v>
      </c>
      <c r="U24" s="37">
        <f t="shared" si="19"/>
        <v>4540</v>
      </c>
      <c r="V24" s="37">
        <f t="shared" si="20"/>
        <v>3310</v>
      </c>
      <c r="W24" s="37">
        <f t="shared" si="21"/>
        <v>2360</v>
      </c>
      <c r="X24" s="37">
        <f t="shared" si="22"/>
        <v>3590</v>
      </c>
      <c r="Y24" s="37">
        <f t="shared" si="23"/>
        <v>5670</v>
      </c>
      <c r="Z24" s="37">
        <f t="shared" si="24"/>
        <v>2510</v>
      </c>
      <c r="AA24" s="37">
        <f t="shared" si="25"/>
        <v>2950</v>
      </c>
      <c r="AB24" s="37">
        <f t="shared" si="26"/>
        <v>7190</v>
      </c>
      <c r="AC24" s="37">
        <f t="shared" si="27"/>
        <v>12690</v>
      </c>
      <c r="AD24" s="35">
        <f t="shared" si="28"/>
        <v>52410</v>
      </c>
      <c r="AF24" s="20">
        <f t="shared" si="1"/>
        <v>2.75</v>
      </c>
      <c r="AG24" s="20">
        <f t="shared" si="2"/>
        <v>9.5500000000000007</v>
      </c>
      <c r="AH24" s="20">
        <f t="shared" si="3"/>
        <v>17.75</v>
      </c>
      <c r="AI24" s="20">
        <f t="shared" si="4"/>
        <v>7.95</v>
      </c>
      <c r="AJ24" s="20">
        <f t="shared" si="5"/>
        <v>22.7</v>
      </c>
      <c r="AK24" s="20">
        <f t="shared" si="6"/>
        <v>16.55</v>
      </c>
      <c r="AL24" s="20">
        <f t="shared" si="7"/>
        <v>11.8</v>
      </c>
      <c r="AM24" s="20">
        <f t="shared" si="8"/>
        <v>17.95</v>
      </c>
      <c r="AN24" s="20">
        <f t="shared" si="9"/>
        <v>28.35</v>
      </c>
      <c r="AO24" s="20">
        <f t="shared" si="10"/>
        <v>12.55</v>
      </c>
      <c r="AP24" s="20">
        <f t="shared" si="11"/>
        <v>14.75</v>
      </c>
      <c r="AQ24" s="20">
        <f t="shared" si="12"/>
        <v>35.950000000000003</v>
      </c>
      <c r="AR24" s="20">
        <f t="shared" si="13"/>
        <v>63.45</v>
      </c>
      <c r="AS24" s="35">
        <f t="shared" si="29"/>
        <v>262.05</v>
      </c>
      <c r="AU24" s="47">
        <v>308342</v>
      </c>
      <c r="AV24" s="37">
        <f t="shared" si="31"/>
        <v>1632</v>
      </c>
      <c r="AW24" s="35">
        <f t="shared" si="30"/>
        <v>3.2640000000000002</v>
      </c>
    </row>
    <row r="25" spans="1:49" x14ac:dyDescent="0.25">
      <c r="A25" s="23">
        <v>44154</v>
      </c>
      <c r="B25" s="40">
        <v>85</v>
      </c>
      <c r="C25" s="24">
        <v>6477380</v>
      </c>
      <c r="D25" s="24">
        <v>14952820</v>
      </c>
      <c r="E25" s="24">
        <v>2179620</v>
      </c>
      <c r="F25" s="24">
        <v>3126120</v>
      </c>
      <c r="G25" s="24">
        <v>9482220</v>
      </c>
      <c r="H25" s="24">
        <v>4869240</v>
      </c>
      <c r="I25" s="24">
        <v>4608790</v>
      </c>
      <c r="J25" s="24">
        <v>5224160</v>
      </c>
      <c r="K25" s="24">
        <v>8183330</v>
      </c>
      <c r="L25" s="24">
        <v>3333160</v>
      </c>
      <c r="M25" s="24">
        <v>7236960</v>
      </c>
      <c r="N25" s="24">
        <v>10669010</v>
      </c>
      <c r="O25" s="24">
        <v>14475410</v>
      </c>
      <c r="Q25" s="37">
        <f t="shared" ref="Q25:AC27" si="33">IF((C25-C24&lt;0), "0",C25-C24)</f>
        <v>560</v>
      </c>
      <c r="R25" s="37">
        <f t="shared" si="33"/>
        <v>1910</v>
      </c>
      <c r="S25" s="37">
        <f t="shared" si="33"/>
        <v>3420</v>
      </c>
      <c r="T25" s="37">
        <f t="shared" si="33"/>
        <v>1580</v>
      </c>
      <c r="U25" s="37">
        <f t="shared" si="33"/>
        <v>4280</v>
      </c>
      <c r="V25" s="37">
        <f t="shared" si="33"/>
        <v>3350</v>
      </c>
      <c r="W25" s="37">
        <f t="shared" si="33"/>
        <v>2330</v>
      </c>
      <c r="X25" s="37">
        <f t="shared" si="33"/>
        <v>3570</v>
      </c>
      <c r="Y25" s="37">
        <f t="shared" si="33"/>
        <v>5660</v>
      </c>
      <c r="Z25" s="37">
        <f t="shared" si="33"/>
        <v>2470</v>
      </c>
      <c r="AA25" s="37">
        <f t="shared" si="33"/>
        <v>3090</v>
      </c>
      <c r="AB25" s="37">
        <f t="shared" si="33"/>
        <v>7180</v>
      </c>
      <c r="AC25" s="37">
        <f t="shared" si="33"/>
        <v>11750</v>
      </c>
      <c r="AD25" s="35">
        <f t="shared" si="28"/>
        <v>51150</v>
      </c>
      <c r="AF25" s="20">
        <f t="shared" si="1"/>
        <v>2.8000000000000003</v>
      </c>
      <c r="AG25" s="20">
        <f t="shared" si="2"/>
        <v>9.5500000000000007</v>
      </c>
      <c r="AH25" s="20">
        <f t="shared" si="3"/>
        <v>17.100000000000001</v>
      </c>
      <c r="AI25" s="20">
        <f t="shared" si="4"/>
        <v>7.9</v>
      </c>
      <c r="AJ25" s="20">
        <f t="shared" si="5"/>
        <v>21.400000000000002</v>
      </c>
      <c r="AK25" s="20">
        <f t="shared" si="6"/>
        <v>16.75</v>
      </c>
      <c r="AL25" s="20">
        <f t="shared" si="7"/>
        <v>11.65</v>
      </c>
      <c r="AM25" s="20">
        <f t="shared" si="8"/>
        <v>17.850000000000001</v>
      </c>
      <c r="AN25" s="20">
        <f t="shared" si="9"/>
        <v>28.3</v>
      </c>
      <c r="AO25" s="20">
        <f t="shared" si="10"/>
        <v>12.35</v>
      </c>
      <c r="AP25" s="20">
        <f t="shared" si="11"/>
        <v>15.450000000000001</v>
      </c>
      <c r="AQ25" s="20">
        <f t="shared" si="12"/>
        <v>35.9</v>
      </c>
      <c r="AR25" s="20">
        <f t="shared" si="13"/>
        <v>58.75</v>
      </c>
      <c r="AS25" s="35">
        <f t="shared" si="29"/>
        <v>255.75</v>
      </c>
      <c r="AU25" s="47">
        <v>310103</v>
      </c>
      <c r="AV25" s="37">
        <f t="shared" si="31"/>
        <v>1761</v>
      </c>
      <c r="AW25" s="35">
        <f t="shared" si="30"/>
        <v>3.5220000000000002</v>
      </c>
    </row>
    <row r="26" spans="1:49" x14ac:dyDescent="0.25">
      <c r="A26" s="23">
        <v>44155</v>
      </c>
      <c r="B26" s="40">
        <v>122</v>
      </c>
      <c r="C26" s="24">
        <v>6482580</v>
      </c>
      <c r="D26" s="24">
        <v>14955610</v>
      </c>
      <c r="E26" s="24">
        <v>2182900</v>
      </c>
      <c r="F26" s="24">
        <v>3127680</v>
      </c>
      <c r="G26" s="24">
        <v>9486760</v>
      </c>
      <c r="H26" s="24">
        <v>4872490</v>
      </c>
      <c r="I26" s="24">
        <v>4611070</v>
      </c>
      <c r="J26" s="24">
        <v>5227940</v>
      </c>
      <c r="K26" s="24">
        <v>8189060</v>
      </c>
      <c r="L26" s="24">
        <v>3335750</v>
      </c>
      <c r="M26" s="24">
        <v>7240420</v>
      </c>
      <c r="N26" s="24">
        <v>10676150</v>
      </c>
      <c r="O26" s="24">
        <v>14486550</v>
      </c>
      <c r="Q26" s="37">
        <f t="shared" si="33"/>
        <v>5200</v>
      </c>
      <c r="R26" s="37">
        <f t="shared" si="33"/>
        <v>2790</v>
      </c>
      <c r="S26" s="37">
        <f t="shared" si="33"/>
        <v>3280</v>
      </c>
      <c r="T26" s="37">
        <f t="shared" si="33"/>
        <v>1560</v>
      </c>
      <c r="U26" s="37">
        <f t="shared" si="33"/>
        <v>4540</v>
      </c>
      <c r="V26" s="37">
        <f t="shared" si="33"/>
        <v>3250</v>
      </c>
      <c r="W26" s="37">
        <f t="shared" si="33"/>
        <v>2280</v>
      </c>
      <c r="X26" s="37">
        <f t="shared" si="33"/>
        <v>3780</v>
      </c>
      <c r="Y26" s="37">
        <f t="shared" si="33"/>
        <v>5730</v>
      </c>
      <c r="Z26" s="37">
        <f t="shared" si="33"/>
        <v>2590</v>
      </c>
      <c r="AA26" s="37">
        <f t="shared" si="33"/>
        <v>3460</v>
      </c>
      <c r="AB26" s="37">
        <f t="shared" si="33"/>
        <v>7140</v>
      </c>
      <c r="AC26" s="37">
        <f t="shared" si="33"/>
        <v>11140</v>
      </c>
      <c r="AD26" s="35">
        <f t="shared" si="28"/>
        <v>56740</v>
      </c>
      <c r="AF26" s="20">
        <f t="shared" si="1"/>
        <v>26</v>
      </c>
      <c r="AG26" s="20">
        <f t="shared" si="2"/>
        <v>13.950000000000001</v>
      </c>
      <c r="AH26" s="20">
        <f t="shared" si="3"/>
        <v>16.399999999999999</v>
      </c>
      <c r="AI26" s="20">
        <f t="shared" si="4"/>
        <v>7.8</v>
      </c>
      <c r="AJ26" s="20">
        <f t="shared" si="5"/>
        <v>22.7</v>
      </c>
      <c r="AK26" s="20">
        <f t="shared" si="6"/>
        <v>16.25</v>
      </c>
      <c r="AL26" s="20">
        <f t="shared" si="7"/>
        <v>11.4</v>
      </c>
      <c r="AM26" s="20">
        <f t="shared" si="8"/>
        <v>18.900000000000002</v>
      </c>
      <c r="AN26" s="20">
        <f t="shared" si="9"/>
        <v>28.650000000000002</v>
      </c>
      <c r="AO26" s="20">
        <f t="shared" si="10"/>
        <v>12.950000000000001</v>
      </c>
      <c r="AP26" s="20">
        <f t="shared" si="11"/>
        <v>17.3</v>
      </c>
      <c r="AQ26" s="20">
        <f t="shared" si="12"/>
        <v>35.700000000000003</v>
      </c>
      <c r="AR26" s="20">
        <f t="shared" si="13"/>
        <v>55.7</v>
      </c>
      <c r="AS26" s="35">
        <f t="shared" si="29"/>
        <v>283.7</v>
      </c>
      <c r="AU26" s="47">
        <v>311567</v>
      </c>
      <c r="AV26" s="37">
        <f t="shared" si="31"/>
        <v>1464</v>
      </c>
      <c r="AW26" s="35">
        <f t="shared" si="30"/>
        <v>2.9279999999999999</v>
      </c>
    </row>
    <row r="27" spans="1:49" x14ac:dyDescent="0.25">
      <c r="A27" s="23">
        <v>44156</v>
      </c>
      <c r="B27" s="40">
        <v>70</v>
      </c>
      <c r="C27" s="24">
        <v>6485300</v>
      </c>
      <c r="D27" s="24">
        <v>14958420</v>
      </c>
      <c r="E27" s="24">
        <v>2186510</v>
      </c>
      <c r="F27" s="24">
        <v>3130010</v>
      </c>
      <c r="G27" s="24">
        <v>9491760</v>
      </c>
      <c r="H27" s="24">
        <v>4876000</v>
      </c>
      <c r="I27" s="24">
        <v>4613480</v>
      </c>
      <c r="J27" s="24">
        <v>5231710</v>
      </c>
      <c r="K27" s="24">
        <v>8195370</v>
      </c>
      <c r="L27" s="24">
        <v>3338520</v>
      </c>
      <c r="M27" s="24">
        <v>7243920</v>
      </c>
      <c r="N27" s="24">
        <v>10683590</v>
      </c>
      <c r="O27" s="24">
        <v>14498440</v>
      </c>
      <c r="Q27" s="37">
        <f t="shared" si="33"/>
        <v>2720</v>
      </c>
      <c r="R27" s="37">
        <f t="shared" si="33"/>
        <v>2810</v>
      </c>
      <c r="S27" s="37">
        <f t="shared" si="33"/>
        <v>3610</v>
      </c>
      <c r="T27" s="37">
        <f t="shared" si="33"/>
        <v>2330</v>
      </c>
      <c r="U27" s="37">
        <f t="shared" si="33"/>
        <v>5000</v>
      </c>
      <c r="V27" s="37">
        <f t="shared" si="33"/>
        <v>3510</v>
      </c>
      <c r="W27" s="37">
        <f t="shared" si="33"/>
        <v>2410</v>
      </c>
      <c r="X27" s="37">
        <f t="shared" si="33"/>
        <v>3770</v>
      </c>
      <c r="Y27" s="37">
        <f t="shared" si="33"/>
        <v>6310</v>
      </c>
      <c r="Z27" s="37">
        <f t="shared" si="33"/>
        <v>2770</v>
      </c>
      <c r="AA27" s="37">
        <f t="shared" si="33"/>
        <v>3500</v>
      </c>
      <c r="AB27" s="37">
        <f t="shared" si="33"/>
        <v>7440</v>
      </c>
      <c r="AC27" s="37">
        <f t="shared" si="33"/>
        <v>11890</v>
      </c>
      <c r="AD27" s="35">
        <f t="shared" si="28"/>
        <v>58070</v>
      </c>
      <c r="AF27" s="20">
        <f t="shared" si="1"/>
        <v>13.6</v>
      </c>
      <c r="AG27" s="20">
        <f t="shared" si="2"/>
        <v>14.05</v>
      </c>
      <c r="AH27" s="20">
        <f t="shared" si="3"/>
        <v>18.05</v>
      </c>
      <c r="AI27" s="20">
        <f t="shared" si="4"/>
        <v>11.65</v>
      </c>
      <c r="AJ27" s="20">
        <f t="shared" si="5"/>
        <v>25</v>
      </c>
      <c r="AK27" s="20">
        <f t="shared" si="6"/>
        <v>17.55</v>
      </c>
      <c r="AL27" s="20">
        <f t="shared" si="7"/>
        <v>12.05</v>
      </c>
      <c r="AM27" s="20">
        <f t="shared" si="8"/>
        <v>18.850000000000001</v>
      </c>
      <c r="AN27" s="20">
        <f t="shared" si="9"/>
        <v>31.55</v>
      </c>
      <c r="AO27" s="20">
        <f t="shared" si="10"/>
        <v>13.85</v>
      </c>
      <c r="AP27" s="20">
        <f t="shared" si="11"/>
        <v>17.5</v>
      </c>
      <c r="AQ27" s="20">
        <f t="shared" si="12"/>
        <v>37.200000000000003</v>
      </c>
      <c r="AR27" s="20">
        <f t="shared" si="13"/>
        <v>59.45</v>
      </c>
      <c r="AS27" s="35">
        <f t="shared" si="29"/>
        <v>290.34999999999997</v>
      </c>
      <c r="AU27" s="47">
        <v>313417</v>
      </c>
      <c r="AV27" s="37">
        <f>IF((AU27-AU26&lt;0),"0",AU27-AU26)</f>
        <v>1850</v>
      </c>
      <c r="AW27" s="35">
        <f t="shared" si="30"/>
        <v>3.7</v>
      </c>
    </row>
    <row r="28" spans="1:49" x14ac:dyDescent="0.25">
      <c r="A28" s="23">
        <v>44157</v>
      </c>
      <c r="B28" s="40">
        <v>65</v>
      </c>
      <c r="C28" s="24">
        <v>6485830</v>
      </c>
      <c r="D28" s="24">
        <v>14960220</v>
      </c>
      <c r="E28" s="24">
        <v>2189860</v>
      </c>
      <c r="F28" s="24">
        <v>3131410</v>
      </c>
      <c r="G28" s="24">
        <v>9496140</v>
      </c>
      <c r="H28" s="24">
        <v>4879130</v>
      </c>
      <c r="I28" s="24">
        <v>4615750</v>
      </c>
      <c r="J28" s="24">
        <v>5234800</v>
      </c>
      <c r="K28" s="24">
        <v>8200850</v>
      </c>
      <c r="L28" s="24">
        <v>3340880</v>
      </c>
      <c r="M28" s="24">
        <v>7247000</v>
      </c>
      <c r="N28" s="24">
        <v>10690300</v>
      </c>
      <c r="O28" s="24">
        <v>14510320</v>
      </c>
      <c r="Q28" s="37">
        <f t="shared" si="16"/>
        <v>530</v>
      </c>
      <c r="R28" s="37">
        <f t="shared" si="17"/>
        <v>1800</v>
      </c>
      <c r="S28" s="37">
        <f t="shared" si="15"/>
        <v>3350</v>
      </c>
      <c r="T28" s="37">
        <f t="shared" si="18"/>
        <v>1400</v>
      </c>
      <c r="U28" s="37">
        <f t="shared" si="19"/>
        <v>4380</v>
      </c>
      <c r="V28" s="37">
        <f t="shared" si="20"/>
        <v>3130</v>
      </c>
      <c r="W28" s="37">
        <f t="shared" si="21"/>
        <v>2270</v>
      </c>
      <c r="X28" s="37">
        <f t="shared" si="22"/>
        <v>3090</v>
      </c>
      <c r="Y28" s="37">
        <f t="shared" si="23"/>
        <v>5480</v>
      </c>
      <c r="Z28" s="37">
        <f t="shared" si="24"/>
        <v>2360</v>
      </c>
      <c r="AA28" s="37">
        <f t="shared" si="25"/>
        <v>3080</v>
      </c>
      <c r="AB28" s="37">
        <f t="shared" si="26"/>
        <v>6710</v>
      </c>
      <c r="AC28" s="37">
        <f t="shared" si="27"/>
        <v>11880</v>
      </c>
      <c r="AD28" s="35">
        <f t="shared" si="28"/>
        <v>49460</v>
      </c>
      <c r="AF28" s="20">
        <f t="shared" si="1"/>
        <v>2.65</v>
      </c>
      <c r="AG28" s="20">
        <f t="shared" si="2"/>
        <v>9</v>
      </c>
      <c r="AH28" s="20">
        <f t="shared" si="3"/>
        <v>16.75</v>
      </c>
      <c r="AI28" s="20">
        <f t="shared" si="4"/>
        <v>7</v>
      </c>
      <c r="AJ28" s="20">
        <f t="shared" si="5"/>
        <v>21.900000000000002</v>
      </c>
      <c r="AK28" s="20">
        <f t="shared" si="6"/>
        <v>15.65</v>
      </c>
      <c r="AL28" s="20">
        <f t="shared" si="7"/>
        <v>11.35</v>
      </c>
      <c r="AM28" s="20">
        <f t="shared" si="8"/>
        <v>15.450000000000001</v>
      </c>
      <c r="AN28" s="20">
        <f t="shared" si="9"/>
        <v>27.400000000000002</v>
      </c>
      <c r="AO28" s="20">
        <f t="shared" si="10"/>
        <v>11.8</v>
      </c>
      <c r="AP28" s="20">
        <f t="shared" si="11"/>
        <v>15.4</v>
      </c>
      <c r="AQ28" s="20">
        <f t="shared" si="12"/>
        <v>33.549999999999997</v>
      </c>
      <c r="AR28" s="20">
        <f t="shared" si="13"/>
        <v>59.4</v>
      </c>
      <c r="AS28" s="35">
        <f t="shared" si="29"/>
        <v>247.30000000000004</v>
      </c>
      <c r="AU28" s="47">
        <v>315512</v>
      </c>
      <c r="AV28" s="37">
        <f>IF((AU28-AU27&lt;0),"0",AU28-AU27)</f>
        <v>2095</v>
      </c>
      <c r="AW28" s="35">
        <f t="shared" si="30"/>
        <v>4.1900000000000004</v>
      </c>
    </row>
    <row r="29" spans="1:49" x14ac:dyDescent="0.25">
      <c r="A29" s="23">
        <v>44158</v>
      </c>
      <c r="B29" s="40">
        <v>59</v>
      </c>
      <c r="C29" s="24">
        <v>6486390</v>
      </c>
      <c r="D29" s="24">
        <v>14962130</v>
      </c>
      <c r="E29" s="24">
        <v>2193070</v>
      </c>
      <c r="F29" s="24">
        <v>3132950</v>
      </c>
      <c r="G29" s="24">
        <v>9500670</v>
      </c>
      <c r="H29" s="24">
        <v>4882510</v>
      </c>
      <c r="I29" s="24">
        <v>4618140</v>
      </c>
      <c r="J29" s="24">
        <v>5238530</v>
      </c>
      <c r="K29" s="24">
        <v>8206621</v>
      </c>
      <c r="L29" s="24">
        <v>3343420</v>
      </c>
      <c r="M29" s="24">
        <v>7250000</v>
      </c>
      <c r="N29" s="24">
        <v>10697230</v>
      </c>
      <c r="O29" s="24">
        <v>14523590</v>
      </c>
      <c r="Q29" s="37">
        <f t="shared" si="16"/>
        <v>560</v>
      </c>
      <c r="R29" s="37">
        <f t="shared" si="17"/>
        <v>1910</v>
      </c>
      <c r="S29" s="37">
        <f t="shared" si="15"/>
        <v>3210</v>
      </c>
      <c r="T29" s="37">
        <f t="shared" si="18"/>
        <v>1540</v>
      </c>
      <c r="U29" s="37">
        <f t="shared" si="19"/>
        <v>4530</v>
      </c>
      <c r="V29" s="37">
        <f t="shared" si="20"/>
        <v>3380</v>
      </c>
      <c r="W29" s="37">
        <f t="shared" si="21"/>
        <v>2390</v>
      </c>
      <c r="X29" s="37">
        <f t="shared" si="22"/>
        <v>3730</v>
      </c>
      <c r="Y29" s="37">
        <f t="shared" si="23"/>
        <v>5771</v>
      </c>
      <c r="Z29" s="37">
        <f t="shared" si="24"/>
        <v>2540</v>
      </c>
      <c r="AA29" s="37">
        <f t="shared" si="25"/>
        <v>3000</v>
      </c>
      <c r="AB29" s="37">
        <f t="shared" si="26"/>
        <v>6930</v>
      </c>
      <c r="AC29" s="37">
        <f t="shared" si="27"/>
        <v>13270</v>
      </c>
      <c r="AD29" s="35">
        <f t="shared" si="28"/>
        <v>52761</v>
      </c>
      <c r="AF29" s="20">
        <f t="shared" si="1"/>
        <v>2.8000000000000003</v>
      </c>
      <c r="AG29" s="20">
        <f t="shared" si="2"/>
        <v>9.5500000000000007</v>
      </c>
      <c r="AH29" s="20">
        <f t="shared" si="3"/>
        <v>16.05</v>
      </c>
      <c r="AI29" s="20">
        <f t="shared" si="4"/>
        <v>7.7</v>
      </c>
      <c r="AJ29" s="20">
        <f t="shared" si="5"/>
        <v>22.650000000000002</v>
      </c>
      <c r="AK29" s="20">
        <f t="shared" si="6"/>
        <v>16.899999999999999</v>
      </c>
      <c r="AL29" s="20">
        <f t="shared" si="7"/>
        <v>11.950000000000001</v>
      </c>
      <c r="AM29" s="20">
        <f t="shared" si="8"/>
        <v>18.650000000000002</v>
      </c>
      <c r="AN29" s="20">
        <f t="shared" si="9"/>
        <v>28.855</v>
      </c>
      <c r="AO29" s="20">
        <f t="shared" si="10"/>
        <v>12.700000000000001</v>
      </c>
      <c r="AP29" s="20">
        <f t="shared" si="11"/>
        <v>15</v>
      </c>
      <c r="AQ29" s="20">
        <f t="shared" si="12"/>
        <v>34.65</v>
      </c>
      <c r="AR29" s="20">
        <f t="shared" si="13"/>
        <v>66.349999999999994</v>
      </c>
      <c r="AS29" s="35">
        <f t="shared" si="29"/>
        <v>263.80500000000001</v>
      </c>
      <c r="AU29" s="47">
        <v>317489</v>
      </c>
      <c r="AV29" s="37">
        <f t="shared" ref="AV29:AV35" si="34">IF((AU29-AU28&lt;0),"0",AU29-AU28)</f>
        <v>1977</v>
      </c>
      <c r="AW29" s="35">
        <f t="shared" si="30"/>
        <v>3.9540000000000002</v>
      </c>
    </row>
    <row r="30" spans="1:49" x14ac:dyDescent="0.25">
      <c r="A30" s="23">
        <v>44159</v>
      </c>
      <c r="B30" s="40">
        <v>64</v>
      </c>
      <c r="C30" s="24">
        <v>6486950</v>
      </c>
      <c r="D30" s="24">
        <v>14964070</v>
      </c>
      <c r="E30" s="24">
        <v>2196150</v>
      </c>
      <c r="F30" s="24">
        <v>3134480</v>
      </c>
      <c r="G30" s="24">
        <v>9505380</v>
      </c>
      <c r="H30" s="24">
        <v>4885930</v>
      </c>
      <c r="I30" s="24">
        <v>4620580</v>
      </c>
      <c r="J30" s="24">
        <v>5242320</v>
      </c>
      <c r="K30" s="24">
        <v>8212530</v>
      </c>
      <c r="L30" s="24">
        <v>3345960</v>
      </c>
      <c r="M30" s="24">
        <v>7253150</v>
      </c>
      <c r="N30" s="24">
        <v>10704090</v>
      </c>
      <c r="O30" s="24">
        <v>14537190</v>
      </c>
      <c r="Q30" s="37">
        <f t="shared" si="16"/>
        <v>560</v>
      </c>
      <c r="R30" s="37">
        <f t="shared" si="17"/>
        <v>1940</v>
      </c>
      <c r="S30" s="37">
        <f t="shared" si="15"/>
        <v>3080</v>
      </c>
      <c r="T30" s="37">
        <f t="shared" si="18"/>
        <v>1530</v>
      </c>
      <c r="U30" s="37">
        <f t="shared" si="19"/>
        <v>4710</v>
      </c>
      <c r="V30" s="37">
        <f t="shared" si="20"/>
        <v>3420</v>
      </c>
      <c r="W30" s="37">
        <f t="shared" si="21"/>
        <v>2440</v>
      </c>
      <c r="X30" s="37">
        <f t="shared" si="22"/>
        <v>3790</v>
      </c>
      <c r="Y30" s="37">
        <f t="shared" si="23"/>
        <v>5909</v>
      </c>
      <c r="Z30" s="37">
        <f t="shared" si="24"/>
        <v>2540</v>
      </c>
      <c r="AA30" s="37">
        <f t="shared" si="25"/>
        <v>3150</v>
      </c>
      <c r="AB30" s="37">
        <f t="shared" si="26"/>
        <v>6860</v>
      </c>
      <c r="AC30" s="37">
        <f t="shared" si="27"/>
        <v>13600</v>
      </c>
      <c r="AD30" s="35">
        <f t="shared" si="28"/>
        <v>53529</v>
      </c>
      <c r="AF30" s="20">
        <f t="shared" si="1"/>
        <v>2.8000000000000003</v>
      </c>
      <c r="AG30" s="20">
        <f t="shared" si="2"/>
        <v>9.7000000000000011</v>
      </c>
      <c r="AH30" s="20">
        <f t="shared" si="3"/>
        <v>15.4</v>
      </c>
      <c r="AI30" s="20">
        <f t="shared" si="4"/>
        <v>7.65</v>
      </c>
      <c r="AJ30" s="20">
        <f t="shared" si="5"/>
        <v>23.55</v>
      </c>
      <c r="AK30" s="20">
        <f t="shared" si="6"/>
        <v>17.100000000000001</v>
      </c>
      <c r="AL30" s="20">
        <f t="shared" si="7"/>
        <v>12.200000000000001</v>
      </c>
      <c r="AM30" s="20">
        <f t="shared" si="8"/>
        <v>18.95</v>
      </c>
      <c r="AN30" s="20">
        <f t="shared" si="9"/>
        <v>29.545000000000002</v>
      </c>
      <c r="AO30" s="20">
        <f t="shared" si="10"/>
        <v>12.700000000000001</v>
      </c>
      <c r="AP30" s="20">
        <f t="shared" si="11"/>
        <v>15.75</v>
      </c>
      <c r="AQ30" s="20">
        <f t="shared" si="12"/>
        <v>34.300000000000004</v>
      </c>
      <c r="AR30" s="20">
        <f t="shared" si="13"/>
        <v>68</v>
      </c>
      <c r="AS30" s="35">
        <f t="shared" si="29"/>
        <v>267.64500000000004</v>
      </c>
      <c r="AU30" s="47">
        <v>319330</v>
      </c>
      <c r="AV30" s="37">
        <f t="shared" si="34"/>
        <v>1841</v>
      </c>
      <c r="AW30" s="35">
        <f t="shared" si="30"/>
        <v>3.6819999999999999</v>
      </c>
    </row>
    <row r="31" spans="1:49" x14ac:dyDescent="0.25">
      <c r="A31" s="23">
        <v>44160</v>
      </c>
      <c r="B31" s="40">
        <v>97</v>
      </c>
      <c r="C31" s="24">
        <v>6487490</v>
      </c>
      <c r="D31" s="24">
        <v>14966520</v>
      </c>
      <c r="E31" s="24">
        <v>2199120</v>
      </c>
      <c r="F31" s="24">
        <v>3135950</v>
      </c>
      <c r="G31" s="24">
        <v>9510240</v>
      </c>
      <c r="H31" s="24">
        <v>4889320</v>
      </c>
      <c r="I31" s="24">
        <v>4622950</v>
      </c>
      <c r="J31" s="24">
        <v>5246020</v>
      </c>
      <c r="K31" s="24">
        <v>8218370</v>
      </c>
      <c r="L31" s="24">
        <v>3348490</v>
      </c>
      <c r="M31" s="24">
        <v>7256320</v>
      </c>
      <c r="N31" s="24">
        <v>10710940</v>
      </c>
      <c r="O31" s="24">
        <v>14549670</v>
      </c>
      <c r="Q31" s="37">
        <f>IF((C31-C30&lt;0), "0",C31-C30)</f>
        <v>540</v>
      </c>
      <c r="R31" s="37">
        <f t="shared" si="17"/>
        <v>2450</v>
      </c>
      <c r="S31" s="37">
        <f t="shared" si="15"/>
        <v>2970</v>
      </c>
      <c r="T31" s="37">
        <f t="shared" si="18"/>
        <v>1470</v>
      </c>
      <c r="U31" s="37">
        <f t="shared" si="19"/>
        <v>4860</v>
      </c>
      <c r="V31" s="37">
        <f t="shared" si="20"/>
        <v>3390</v>
      </c>
      <c r="W31" s="37">
        <f t="shared" si="21"/>
        <v>2370</v>
      </c>
      <c r="X31" s="37">
        <f t="shared" si="22"/>
        <v>3700</v>
      </c>
      <c r="Y31" s="37">
        <f t="shared" si="23"/>
        <v>5840</v>
      </c>
      <c r="Z31" s="37">
        <f t="shared" si="24"/>
        <v>2530</v>
      </c>
      <c r="AA31" s="37">
        <f t="shared" si="25"/>
        <v>3170</v>
      </c>
      <c r="AB31" s="37">
        <f t="shared" si="26"/>
        <v>6850</v>
      </c>
      <c r="AC31" s="37">
        <f t="shared" si="27"/>
        <v>12480</v>
      </c>
      <c r="AD31" s="35">
        <f t="shared" si="28"/>
        <v>52620</v>
      </c>
      <c r="AF31" s="20">
        <f t="shared" si="1"/>
        <v>2.7</v>
      </c>
      <c r="AG31" s="20">
        <f t="shared" si="2"/>
        <v>12.25</v>
      </c>
      <c r="AH31" s="20">
        <f t="shared" si="3"/>
        <v>14.85</v>
      </c>
      <c r="AI31" s="20">
        <f t="shared" si="4"/>
        <v>7.3500000000000005</v>
      </c>
      <c r="AJ31" s="20">
        <f t="shared" si="5"/>
        <v>24.3</v>
      </c>
      <c r="AK31" s="20">
        <f t="shared" si="6"/>
        <v>16.95</v>
      </c>
      <c r="AL31" s="20">
        <f t="shared" si="7"/>
        <v>11.85</v>
      </c>
      <c r="AM31" s="20">
        <f t="shared" si="8"/>
        <v>18.5</v>
      </c>
      <c r="AN31" s="20">
        <f t="shared" si="9"/>
        <v>29.2</v>
      </c>
      <c r="AO31" s="20">
        <f t="shared" si="10"/>
        <v>12.65</v>
      </c>
      <c r="AP31" s="20">
        <f t="shared" si="11"/>
        <v>15.85</v>
      </c>
      <c r="AQ31" s="20">
        <f t="shared" si="12"/>
        <v>34.25</v>
      </c>
      <c r="AR31" s="20">
        <f t="shared" si="13"/>
        <v>62.4</v>
      </c>
      <c r="AS31" s="35">
        <f t="shared" si="29"/>
        <v>263.09999999999997</v>
      </c>
      <c r="AU31" s="47">
        <v>321680</v>
      </c>
      <c r="AV31" s="37">
        <f t="shared" si="34"/>
        <v>2350</v>
      </c>
      <c r="AW31" s="35">
        <f t="shared" si="30"/>
        <v>4.7</v>
      </c>
    </row>
    <row r="32" spans="1:49" x14ac:dyDescent="0.25">
      <c r="A32" s="23">
        <v>44161</v>
      </c>
      <c r="B32" s="40">
        <v>135</v>
      </c>
      <c r="C32" s="24">
        <v>6488070</v>
      </c>
      <c r="D32" s="24">
        <v>14968480</v>
      </c>
      <c r="E32" s="24">
        <v>2202650</v>
      </c>
      <c r="F32" s="24">
        <v>3137510</v>
      </c>
      <c r="G32" s="24">
        <v>9515530</v>
      </c>
      <c r="H32" s="24">
        <v>4893050</v>
      </c>
      <c r="I32" s="24">
        <v>4625490</v>
      </c>
      <c r="J32" s="24">
        <v>5249870</v>
      </c>
      <c r="K32" s="24">
        <v>8224830</v>
      </c>
      <c r="L32" s="24">
        <v>3351280</v>
      </c>
      <c r="M32" s="24">
        <v>7259720</v>
      </c>
      <c r="N32" s="24">
        <v>10718420</v>
      </c>
      <c r="O32" s="24">
        <v>14563480</v>
      </c>
      <c r="Q32" s="37">
        <f>IF((C32-C31&lt;0), "0",C32-C31)</f>
        <v>580</v>
      </c>
      <c r="R32" s="37">
        <f t="shared" si="17"/>
        <v>1960</v>
      </c>
      <c r="S32" s="37">
        <f t="shared" si="15"/>
        <v>3530</v>
      </c>
      <c r="T32" s="37">
        <f t="shared" si="18"/>
        <v>1560</v>
      </c>
      <c r="U32" s="37">
        <f t="shared" si="19"/>
        <v>5290</v>
      </c>
      <c r="V32" s="37">
        <f t="shared" si="20"/>
        <v>3730</v>
      </c>
      <c r="W32" s="37">
        <f t="shared" si="21"/>
        <v>2540</v>
      </c>
      <c r="X32" s="37">
        <f t="shared" si="22"/>
        <v>3850</v>
      </c>
      <c r="Y32" s="37">
        <f t="shared" si="23"/>
        <v>6460</v>
      </c>
      <c r="Z32" s="37">
        <f t="shared" si="24"/>
        <v>2790</v>
      </c>
      <c r="AA32" s="37">
        <f t="shared" si="25"/>
        <v>3400</v>
      </c>
      <c r="AB32" s="37">
        <f t="shared" si="26"/>
        <v>7480</v>
      </c>
      <c r="AC32" s="37">
        <f t="shared" si="27"/>
        <v>13810</v>
      </c>
      <c r="AD32" s="35">
        <f t="shared" si="28"/>
        <v>56980</v>
      </c>
      <c r="AF32" s="20">
        <f t="shared" si="1"/>
        <v>2.9</v>
      </c>
      <c r="AG32" s="20">
        <f t="shared" si="2"/>
        <v>9.8000000000000007</v>
      </c>
      <c r="AH32" s="20">
        <f t="shared" si="3"/>
        <v>17.650000000000002</v>
      </c>
      <c r="AI32" s="20">
        <f t="shared" si="4"/>
        <v>7.8</v>
      </c>
      <c r="AJ32" s="20">
        <f t="shared" si="5"/>
        <v>26.45</v>
      </c>
      <c r="AK32" s="20">
        <f t="shared" si="6"/>
        <v>18.650000000000002</v>
      </c>
      <c r="AL32" s="20">
        <f t="shared" si="7"/>
        <v>12.700000000000001</v>
      </c>
      <c r="AM32" s="20">
        <f t="shared" si="8"/>
        <v>19.25</v>
      </c>
      <c r="AN32" s="20">
        <f t="shared" si="9"/>
        <v>32.299999999999997</v>
      </c>
      <c r="AO32" s="20">
        <f t="shared" si="10"/>
        <v>13.950000000000001</v>
      </c>
      <c r="AP32" s="20">
        <f t="shared" si="11"/>
        <v>17</v>
      </c>
      <c r="AQ32" s="20">
        <f t="shared" si="12"/>
        <v>37.4</v>
      </c>
      <c r="AR32" s="20">
        <f t="shared" si="13"/>
        <v>69.05</v>
      </c>
      <c r="AS32" s="35">
        <f t="shared" si="29"/>
        <v>284.89999999999998</v>
      </c>
      <c r="AU32" s="47">
        <v>322822</v>
      </c>
      <c r="AV32" s="37">
        <f t="shared" si="34"/>
        <v>1142</v>
      </c>
      <c r="AW32" s="35">
        <f t="shared" si="30"/>
        <v>2.2840000000000003</v>
      </c>
    </row>
    <row r="33" spans="1:49" x14ac:dyDescent="0.25">
      <c r="A33" s="23">
        <v>44162</v>
      </c>
      <c r="B33" s="40">
        <v>159</v>
      </c>
      <c r="C33" s="24">
        <v>6488640</v>
      </c>
      <c r="D33" s="24">
        <v>14970430</v>
      </c>
      <c r="E33" s="24">
        <v>2206410</v>
      </c>
      <c r="F33" s="24">
        <v>3139080</v>
      </c>
      <c r="G33" s="24">
        <v>9521210</v>
      </c>
      <c r="H33" s="24">
        <v>4896840</v>
      </c>
      <c r="I33" s="24">
        <v>4627950</v>
      </c>
      <c r="J33" s="24">
        <v>5253960</v>
      </c>
      <c r="K33" s="24">
        <v>8231230</v>
      </c>
      <c r="L33" s="24">
        <v>3354290</v>
      </c>
      <c r="M33" s="24">
        <v>7263620</v>
      </c>
      <c r="N33" s="24">
        <v>10725560</v>
      </c>
      <c r="O33" s="24">
        <v>14577760</v>
      </c>
      <c r="Q33" s="37">
        <f>IF((C33-C32&lt;0), "0",C33-C32)</f>
        <v>570</v>
      </c>
      <c r="R33" s="37">
        <f t="shared" si="17"/>
        <v>1950</v>
      </c>
      <c r="S33" s="37">
        <f t="shared" si="15"/>
        <v>3760</v>
      </c>
      <c r="T33" s="37">
        <f t="shared" si="18"/>
        <v>1570</v>
      </c>
      <c r="U33" s="37">
        <f t="shared" si="19"/>
        <v>5680</v>
      </c>
      <c r="V33" s="37">
        <f t="shared" si="20"/>
        <v>3790</v>
      </c>
      <c r="W33" s="37">
        <f t="shared" si="21"/>
        <v>2460</v>
      </c>
      <c r="X33" s="37">
        <f t="shared" si="22"/>
        <v>4090</v>
      </c>
      <c r="Y33" s="37">
        <f t="shared" si="23"/>
        <v>6400</v>
      </c>
      <c r="Z33" s="37">
        <f t="shared" si="24"/>
        <v>3010</v>
      </c>
      <c r="AA33" s="37">
        <f t="shared" si="25"/>
        <v>3900</v>
      </c>
      <c r="AB33" s="37">
        <f t="shared" si="26"/>
        <v>7140</v>
      </c>
      <c r="AC33" s="37">
        <f t="shared" si="27"/>
        <v>14280</v>
      </c>
      <c r="AD33" s="35">
        <f t="shared" si="28"/>
        <v>58600</v>
      </c>
      <c r="AF33" s="20">
        <f t="shared" si="1"/>
        <v>2.85</v>
      </c>
      <c r="AG33" s="20">
        <f t="shared" si="2"/>
        <v>9.75</v>
      </c>
      <c r="AH33" s="20">
        <f t="shared" si="3"/>
        <v>18.8</v>
      </c>
      <c r="AI33" s="20">
        <f t="shared" si="4"/>
        <v>7.8500000000000005</v>
      </c>
      <c r="AJ33" s="20">
        <f t="shared" si="5"/>
        <v>28.400000000000002</v>
      </c>
      <c r="AK33" s="20">
        <f t="shared" si="6"/>
        <v>18.95</v>
      </c>
      <c r="AL33" s="20">
        <f t="shared" si="7"/>
        <v>12.3</v>
      </c>
      <c r="AM33" s="20">
        <f t="shared" si="8"/>
        <v>20.45</v>
      </c>
      <c r="AN33" s="20">
        <f t="shared" si="9"/>
        <v>32</v>
      </c>
      <c r="AO33" s="20">
        <f t="shared" si="10"/>
        <v>15.05</v>
      </c>
      <c r="AP33" s="20">
        <f t="shared" si="11"/>
        <v>19.5</v>
      </c>
      <c r="AQ33" s="20">
        <f t="shared" si="12"/>
        <v>35.700000000000003</v>
      </c>
      <c r="AR33" s="20">
        <f t="shared" si="13"/>
        <v>71.400000000000006</v>
      </c>
      <c r="AS33" s="35">
        <f t="shared" si="29"/>
        <v>293</v>
      </c>
      <c r="AU33" s="47">
        <v>325155</v>
      </c>
      <c r="AV33" s="37">
        <f t="shared" si="34"/>
        <v>2333</v>
      </c>
      <c r="AW33" s="35">
        <f t="shared" si="30"/>
        <v>4.6660000000000004</v>
      </c>
    </row>
    <row r="34" spans="1:49" x14ac:dyDescent="0.25">
      <c r="A34" s="23">
        <v>44163</v>
      </c>
      <c r="B34" s="52">
        <v>88</v>
      </c>
      <c r="C34" s="51">
        <v>6489170</v>
      </c>
      <c r="D34" s="24">
        <v>14972280</v>
      </c>
      <c r="E34" s="24">
        <v>2208670</v>
      </c>
      <c r="F34" s="24">
        <v>3141930</v>
      </c>
      <c r="G34" s="24">
        <v>9526260</v>
      </c>
      <c r="H34" s="24">
        <v>4900360</v>
      </c>
      <c r="I34" s="24">
        <v>4630270</v>
      </c>
      <c r="J34" s="24">
        <v>5257760</v>
      </c>
      <c r="K34" s="24">
        <v>8237090</v>
      </c>
      <c r="L34" s="24">
        <v>3356870</v>
      </c>
      <c r="M34" s="24">
        <v>7267090</v>
      </c>
      <c r="N34" s="24">
        <v>10732190</v>
      </c>
      <c r="O34" s="24">
        <v>14589500</v>
      </c>
      <c r="Q34" s="37">
        <f>IF((C34-C33&lt;0), "0",C34-C33)</f>
        <v>530</v>
      </c>
      <c r="R34" s="37">
        <f t="shared" si="17"/>
        <v>1850</v>
      </c>
      <c r="S34" s="37">
        <f t="shared" si="15"/>
        <v>2260</v>
      </c>
      <c r="T34" s="37">
        <f t="shared" si="18"/>
        <v>2850</v>
      </c>
      <c r="U34" s="37">
        <f t="shared" si="19"/>
        <v>5050</v>
      </c>
      <c r="V34" s="37">
        <f t="shared" si="20"/>
        <v>3520</v>
      </c>
      <c r="W34" s="37">
        <f t="shared" si="21"/>
        <v>2320</v>
      </c>
      <c r="X34" s="37">
        <f t="shared" si="22"/>
        <v>3800</v>
      </c>
      <c r="Y34" s="37">
        <f t="shared" si="23"/>
        <v>5860</v>
      </c>
      <c r="Z34" s="37">
        <f t="shared" si="24"/>
        <v>2580</v>
      </c>
      <c r="AA34" s="37">
        <f t="shared" si="25"/>
        <v>3470</v>
      </c>
      <c r="AB34" s="37">
        <f t="shared" si="26"/>
        <v>6630</v>
      </c>
      <c r="AC34" s="37">
        <f t="shared" si="27"/>
        <v>11740</v>
      </c>
      <c r="AD34" s="35">
        <f t="shared" si="28"/>
        <v>52460</v>
      </c>
      <c r="AF34" s="20">
        <f>Q34*$D$39</f>
        <v>2.65</v>
      </c>
      <c r="AG34" s="20">
        <f t="shared" si="2"/>
        <v>9.25</v>
      </c>
      <c r="AH34" s="20">
        <f t="shared" si="3"/>
        <v>11.3</v>
      </c>
      <c r="AI34" s="20">
        <f t="shared" si="4"/>
        <v>14.25</v>
      </c>
      <c r="AJ34" s="20">
        <f t="shared" si="5"/>
        <v>25.25</v>
      </c>
      <c r="AK34" s="20">
        <f t="shared" si="6"/>
        <v>17.600000000000001</v>
      </c>
      <c r="AL34" s="20">
        <f t="shared" si="7"/>
        <v>11.6</v>
      </c>
      <c r="AM34" s="20">
        <f t="shared" si="8"/>
        <v>19</v>
      </c>
      <c r="AN34" s="20">
        <f t="shared" si="9"/>
        <v>29.3</v>
      </c>
      <c r="AO34" s="20">
        <f t="shared" si="10"/>
        <v>12.9</v>
      </c>
      <c r="AP34" s="20">
        <f t="shared" si="11"/>
        <v>17.350000000000001</v>
      </c>
      <c r="AQ34" s="20">
        <f t="shared" si="12"/>
        <v>33.15</v>
      </c>
      <c r="AR34" s="20">
        <f t="shared" si="13"/>
        <v>58.7</v>
      </c>
      <c r="AS34" s="35">
        <f>SUM(AF34:AR34)</f>
        <v>262.3</v>
      </c>
      <c r="AU34" s="47">
        <v>326916</v>
      </c>
      <c r="AV34" s="37">
        <f>IF((AU34-AU33&lt;0),"0",AU34-AU33)</f>
        <v>1761</v>
      </c>
      <c r="AW34" s="35">
        <f t="shared" si="30"/>
        <v>3.5220000000000002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 t="str">
        <f t="shared" si="26"/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86530</v>
      </c>
      <c r="R38" s="30">
        <f t="shared" si="38"/>
        <v>235370</v>
      </c>
      <c r="S38" s="30">
        <f t="shared" si="38"/>
        <v>42750</v>
      </c>
      <c r="T38" s="30">
        <f t="shared" si="38"/>
        <v>45690</v>
      </c>
      <c r="U38" s="30">
        <f t="shared" si="38"/>
        <v>132780</v>
      </c>
      <c r="V38" s="30">
        <f t="shared" si="38"/>
        <v>94318</v>
      </c>
      <c r="W38" s="30">
        <f t="shared" si="38"/>
        <v>66670</v>
      </c>
      <c r="X38" s="30">
        <f t="shared" si="38"/>
        <v>105010</v>
      </c>
      <c r="Y38" s="30">
        <f t="shared" si="38"/>
        <v>160110</v>
      </c>
      <c r="Z38" s="30">
        <f t="shared" si="38"/>
        <v>72220</v>
      </c>
      <c r="AA38" s="30">
        <f t="shared" si="38"/>
        <v>91070</v>
      </c>
      <c r="AB38" s="30">
        <f t="shared" si="38"/>
        <v>197690</v>
      </c>
      <c r="AC38" s="30">
        <f t="shared" si="38"/>
        <v>326950</v>
      </c>
      <c r="AD38" s="35">
        <f t="shared" si="38"/>
        <v>1657158</v>
      </c>
      <c r="AF38" s="35">
        <f t="shared" ref="AF38:AS38" si="39">SUM(AF7:AF34)</f>
        <v>432.65000000000003</v>
      </c>
      <c r="AG38" s="35">
        <f t="shared" si="39"/>
        <v>1176.8499999999997</v>
      </c>
      <c r="AH38" s="35">
        <f t="shared" si="39"/>
        <v>213.75000000000003</v>
      </c>
      <c r="AI38" s="35">
        <f t="shared" si="39"/>
        <v>228.45000000000002</v>
      </c>
      <c r="AJ38" s="35">
        <f t="shared" si="39"/>
        <v>663.89999999999986</v>
      </c>
      <c r="AK38" s="35">
        <f t="shared" si="39"/>
        <v>471.59</v>
      </c>
      <c r="AL38" s="35">
        <f t="shared" si="39"/>
        <v>333.35000000000008</v>
      </c>
      <c r="AM38" s="35">
        <f t="shared" si="39"/>
        <v>525.04999999999995</v>
      </c>
      <c r="AN38" s="35">
        <f t="shared" si="39"/>
        <v>800.55</v>
      </c>
      <c r="AO38" s="35">
        <f t="shared" si="39"/>
        <v>361.09999999999991</v>
      </c>
      <c r="AP38" s="35">
        <f t="shared" si="39"/>
        <v>455.35</v>
      </c>
      <c r="AQ38" s="35">
        <f t="shared" si="39"/>
        <v>988.44999999999993</v>
      </c>
      <c r="AR38" s="35">
        <f t="shared" si="39"/>
        <v>1634.7500000000005</v>
      </c>
      <c r="AS38" s="35">
        <f t="shared" si="39"/>
        <v>8285.7899999999991</v>
      </c>
      <c r="AU38" s="48"/>
      <c r="AV38" s="35">
        <f>SUM(AV7:AV34)</f>
        <v>51576</v>
      </c>
      <c r="AW38" s="35">
        <f>SUM(AW7:AW34)</f>
        <v>95.372000000000014</v>
      </c>
    </row>
    <row r="39" spans="1:49" x14ac:dyDescent="0.25">
      <c r="D39">
        <v>5.0000000000000001E-3</v>
      </c>
      <c r="AV39" s="36">
        <f>AV38*0.00378541*1000</f>
        <v>195236.30616000001</v>
      </c>
    </row>
    <row r="40" spans="1:49" x14ac:dyDescent="0.25">
      <c r="D40">
        <v>2E-3</v>
      </c>
      <c r="AV40">
        <f>AV39/31</f>
        <v>6297.9453600000006</v>
      </c>
    </row>
    <row r="41" spans="1:49" x14ac:dyDescent="0.25">
      <c r="AV41">
        <f>AV38*0.00378541</f>
        <v>195.23630616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2020-11-29T12:03:37Z</dcterms:modified>
</cp:coreProperties>
</file>