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Temp Docs\"/>
    </mc:Choice>
  </mc:AlternateContent>
  <xr:revisionPtr revIDLastSave="0" documentId="8_{10DAF004-79BE-470A-86B9-EF1464BE515A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2" l="1"/>
  <c r="I23" i="2" s="1"/>
  <c r="I22" i="2" s="1"/>
  <c r="I21" i="2" s="1"/>
  <c r="I20" i="2" s="1"/>
  <c r="I19" i="2" s="1"/>
  <c r="I18" i="2" s="1"/>
  <c r="I17" i="2" s="1"/>
  <c r="I16" i="2" s="1"/>
  <c r="I15" i="2" s="1"/>
  <c r="I14" i="2" s="1"/>
  <c r="I13" i="2" s="1"/>
  <c r="I12" i="2" s="1"/>
  <c r="I11" i="2" s="1"/>
  <c r="I10" i="2" s="1"/>
  <c r="I9" i="2" s="1"/>
  <c r="I8" i="2" s="1"/>
  <c r="I7" i="2" s="1"/>
  <c r="I6" i="2" s="1"/>
  <c r="I5" i="2" s="1"/>
  <c r="I4" i="2" s="1"/>
  <c r="I25" i="2"/>
  <c r="H24" i="2"/>
  <c r="H23" i="2" s="1"/>
  <c r="H22" i="2" s="1"/>
  <c r="H21" i="2" s="1"/>
  <c r="H20" i="2" s="1"/>
  <c r="H19" i="2" s="1"/>
  <c r="H18" i="2" s="1"/>
  <c r="H17" i="2" s="1"/>
  <c r="H16" i="2" s="1"/>
  <c r="H15" i="2" s="1"/>
  <c r="H14" i="2" s="1"/>
  <c r="H13" i="2" s="1"/>
  <c r="H12" i="2" s="1"/>
  <c r="H11" i="2" s="1"/>
  <c r="H10" i="2" s="1"/>
  <c r="H9" i="2" s="1"/>
  <c r="H8" i="2" s="1"/>
  <c r="H7" i="2" s="1"/>
  <c r="H6" i="2" s="1"/>
  <c r="H5" i="2" s="1"/>
  <c r="H4" i="2" s="1"/>
  <c r="H25" i="2"/>
  <c r="G4" i="2"/>
  <c r="G12" i="2"/>
  <c r="G11" i="2" s="1"/>
  <c r="G10" i="2" s="1"/>
  <c r="G9" i="2" s="1"/>
  <c r="G8" i="2" s="1"/>
  <c r="G7" i="2" s="1"/>
  <c r="G6" i="2" s="1"/>
  <c r="G5" i="2" s="1"/>
  <c r="G24" i="2"/>
  <c r="G23" i="2" s="1"/>
  <c r="G22" i="2" s="1"/>
  <c r="G21" i="2" s="1"/>
  <c r="G20" i="2" s="1"/>
  <c r="G19" i="2" s="1"/>
  <c r="G18" i="2" s="1"/>
  <c r="G17" i="2" s="1"/>
  <c r="G16" i="2" s="1"/>
  <c r="G15" i="2" s="1"/>
  <c r="G14" i="2" s="1"/>
  <c r="G13" i="2" s="1"/>
  <c r="G25" i="2"/>
  <c r="K30" i="1"/>
  <c r="L30" i="1"/>
  <c r="K31" i="1"/>
  <c r="L31" i="1"/>
  <c r="K32" i="1"/>
  <c r="L32" i="1"/>
  <c r="B32" i="1"/>
  <c r="B30" i="1"/>
  <c r="B31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2" i="3"/>
  <c r="P2" i="3"/>
  <c r="O2" i="3"/>
  <c r="N2" i="3"/>
  <c r="E2" i="3"/>
  <c r="G2" i="3"/>
  <c r="G3" i="3"/>
  <c r="H2" i="3"/>
  <c r="I2" i="3"/>
  <c r="J2" i="3"/>
  <c r="K2" i="3"/>
  <c r="L2" i="3"/>
  <c r="M2" i="3"/>
  <c r="S29" i="3"/>
  <c r="S30" i="3"/>
  <c r="S31" i="3"/>
  <c r="S32" i="3"/>
  <c r="R29" i="3"/>
  <c r="R30" i="3"/>
  <c r="R31" i="3"/>
  <c r="R32" i="3"/>
  <c r="P29" i="3"/>
  <c r="P30" i="3"/>
  <c r="P31" i="3"/>
  <c r="P32" i="3"/>
  <c r="O29" i="3"/>
  <c r="O30" i="3"/>
  <c r="O31" i="3"/>
  <c r="O32" i="3"/>
  <c r="N29" i="3"/>
  <c r="N30" i="3"/>
  <c r="I30" i="1" s="1"/>
  <c r="N31" i="3"/>
  <c r="I31" i="1" s="1"/>
  <c r="N32" i="3"/>
  <c r="I32" i="1" s="1"/>
  <c r="M29" i="3"/>
  <c r="M30" i="3"/>
  <c r="G30" i="1" s="1"/>
  <c r="M31" i="3"/>
  <c r="G31" i="1" s="1"/>
  <c r="M32" i="3"/>
  <c r="G32" i="1" s="1"/>
  <c r="L29" i="3"/>
  <c r="L30" i="3"/>
  <c r="L31" i="3"/>
  <c r="L32" i="3"/>
  <c r="K29" i="3"/>
  <c r="K30" i="3"/>
  <c r="K31" i="3"/>
  <c r="K32" i="3"/>
  <c r="J29" i="3"/>
  <c r="J30" i="3"/>
  <c r="J31" i="3"/>
  <c r="J32" i="3"/>
  <c r="I29" i="3"/>
  <c r="I30" i="3"/>
  <c r="I31" i="3"/>
  <c r="I32" i="3"/>
  <c r="H29" i="3"/>
  <c r="H30" i="3"/>
  <c r="H31" i="3"/>
  <c r="H32" i="3"/>
  <c r="G30" i="3"/>
  <c r="G31" i="3"/>
  <c r="G32" i="3"/>
  <c r="G29" i="3"/>
  <c r="E29" i="3"/>
  <c r="E30" i="3"/>
  <c r="E30" i="1" s="1"/>
  <c r="E31" i="3"/>
  <c r="E31" i="1" s="1"/>
  <c r="E32" i="3"/>
  <c r="E32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2" i="1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K29" i="1" l="1"/>
  <c r="S21" i="3" l="1"/>
  <c r="S22" i="3"/>
  <c r="S23" i="3"/>
  <c r="S24" i="3"/>
  <c r="S25" i="3"/>
  <c r="S26" i="3"/>
  <c r="S27" i="3"/>
  <c r="S28" i="3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<sst xmlns="http://schemas.openxmlformats.org/spreadsheetml/2006/main" count="117" uniqueCount="46">
  <si>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</si>
  <si>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</si>
  <si>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</si>
  <si>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</si>
  <si>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</si>
  <si>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</si>
  <si>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</si>
  <si>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</si>
  <si>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</si>
  <si>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</si>
  <si>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</si>
  <si>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</si>
  <si>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</si>
  <si>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</si>
  <si>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</si>
  <si>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</si>
  <si>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</si>
  <si>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</si>
  <si>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</si>
  <si>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</si>
  <si>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</si>
  <si>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</si>
  <si>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</si>
  <si>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</si>
  <si>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</si>
  <si>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</si>
  <si>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</si>
  <si>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</si>
  <si>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</si>
  <si>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>Main Site Water Meter</t>
  </si>
  <si>
    <t>Water Softener 
Sub Meter</t>
  </si>
  <si>
    <t>Hard Water Supply Sub Meter</t>
  </si>
  <si>
    <t>Pool Supply Sub Meter</t>
  </si>
  <si>
    <t xml:space="preserve">Kids pool Sub Meter 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</si>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</sst>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2" xfId="0" applyBorder="1"/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2" xfId="0" applyFon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1" fontId="0" fillId="0" borderId="0" xfId="0" applyNumberFormat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J37" sqref="J37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">
        <v>3</v>
      </c>
      <c r="D2" s="2">
        <v>2022</v>
      </c>
      <c r="E2" s="4">
        <f>(Submetering!E2+Submetering!F2)</f>
        <v>8807</v>
      </c>
      <c r="F2" s="12">
        <v>0.35</v>
      </c>
      <c r="G2" s="4">
        <f>Submetering!M2</f>
        <v>2490</v>
      </c>
      <c r="H2" s="12">
        <v>0.6</v>
      </c>
      <c r="I2" s="4">
        <f>Submetering!N2</f>
        <v>82</v>
      </c>
      <c r="J2" s="13">
        <v>2.06</v>
      </c>
      <c r="K2" s="4">
        <f>'Hampshire Daily'!B5</f>
        <v>74</v>
      </c>
      <c r="L2" s="4">
        <f>'Hampshire Daily'!C5</f>
        <v>82</v>
      </c>
    </row>
    <row r="3" spans="1:24" x14ac:dyDescent="0.25">
      <c r="A3" s="3" t="s">
        <v>12</v>
      </c>
      <c r="B3" s="2">
        <f>B2+1</f>
        <v>2</v>
      </c>
      <c r="C3" s="2">
        <v>3</v>
      </c>
      <c r="D3" s="2">
        <v>2022</v>
      </c>
      <c r="E3" s="4">
        <f>Submetering!E3+Submetering!F3</f>
        <v>8970</v>
      </c>
      <c r="F3" s="12">
        <v>0.35</v>
      </c>
      <c r="G3" s="4">
        <f>Submetering!M3</f>
        <v>2678</v>
      </c>
      <c r="H3" s="12">
        <v>0.6</v>
      </c>
      <c r="I3" s="4">
        <f>Submetering!N3</f>
        <v>69</v>
      </c>
      <c r="J3" s="13">
        <v>2.06</v>
      </c>
      <c r="K3" s="4">
        <f>'Hampshire Daily'!B6</f>
        <v>87</v>
      </c>
      <c r="L3" s="4">
        <f>'Hampshire Daily'!C6</f>
        <v>99</v>
      </c>
    </row>
    <row r="4" spans="1:24" x14ac:dyDescent="0.25">
      <c r="A4" s="3" t="s">
        <v>12</v>
      </c>
      <c r="B4" s="2">
        <f t="shared" ref="B4:B32" si="0">B3+1</f>
        <v>3</v>
      </c>
      <c r="C4" s="2">
        <v>3</v>
      </c>
      <c r="D4" s="2">
        <v>2022</v>
      </c>
      <c r="E4" s="4">
        <f>Submetering!E4+Submetering!F4</f>
        <v>8716</v>
      </c>
      <c r="F4" s="12">
        <v>0.35</v>
      </c>
      <c r="G4" s="4">
        <f>Submetering!M4</f>
        <v>2736</v>
      </c>
      <c r="H4" s="12">
        <v>0.6</v>
      </c>
      <c r="I4" s="4">
        <f>Submetering!N4</f>
        <v>69</v>
      </c>
      <c r="J4" s="13">
        <v>2.06</v>
      </c>
      <c r="K4" s="4">
        <f>'Hampshire Daily'!B7</f>
        <v>126</v>
      </c>
      <c r="L4" s="4">
        <f>'Hampshire Daily'!C7</f>
        <v>152</v>
      </c>
    </row>
    <row r="5" spans="1:24" x14ac:dyDescent="0.25">
      <c r="A5" s="3" t="s">
        <v>12</v>
      </c>
      <c r="B5" s="2">
        <f t="shared" si="0"/>
        <v>4</v>
      </c>
      <c r="C5" s="2">
        <v>3</v>
      </c>
      <c r="D5" s="2">
        <v>2022</v>
      </c>
      <c r="E5" s="4">
        <f>Submetering!E5+Submetering!F5</f>
        <v>8579</v>
      </c>
      <c r="F5" s="12">
        <v>0.35</v>
      </c>
      <c r="G5" s="4">
        <f>Submetering!M5</f>
        <v>2478</v>
      </c>
      <c r="H5" s="12">
        <v>0.6</v>
      </c>
      <c r="I5" s="4">
        <f>Submetering!N5</f>
        <v>79</v>
      </c>
      <c r="J5" s="13">
        <v>2.06</v>
      </c>
      <c r="K5" s="4">
        <f>'Hampshire Daily'!B8</f>
        <v>112</v>
      </c>
      <c r="L5" s="4">
        <f>'Hampshire Daily'!C8</f>
        <v>181</v>
      </c>
    </row>
    <row r="6" spans="1:24" x14ac:dyDescent="0.25">
      <c r="A6" s="3" t="s">
        <v>12</v>
      </c>
      <c r="B6" s="2">
        <f t="shared" si="0"/>
        <v>5</v>
      </c>
      <c r="C6" s="2">
        <v>3</v>
      </c>
      <c r="D6" s="2">
        <v>2022</v>
      </c>
      <c r="E6" s="4">
        <f>Submetering!E6+Submetering!F6</f>
        <v>6635</v>
      </c>
      <c r="F6" s="12">
        <v>0.35</v>
      </c>
      <c r="G6" s="4">
        <f>Submetering!M6</f>
        <v>3374</v>
      </c>
      <c r="H6" s="12">
        <v>0.6</v>
      </c>
      <c r="I6" s="4">
        <f>Submetering!N6</f>
        <v>83</v>
      </c>
      <c r="J6" s="13">
        <v>2.06</v>
      </c>
      <c r="K6" s="4">
        <f>'Hampshire Daily'!B9</f>
        <v>78</v>
      </c>
      <c r="L6" s="4">
        <f>'Hampshire Daily'!C9</f>
        <v>181</v>
      </c>
    </row>
    <row r="7" spans="1:24" x14ac:dyDescent="0.25">
      <c r="A7" s="3" t="s">
        <v>12</v>
      </c>
      <c r="B7" s="2">
        <f t="shared" si="0"/>
        <v>6</v>
      </c>
      <c r="C7" s="2">
        <v>3</v>
      </c>
      <c r="D7" s="2">
        <v>2022</v>
      </c>
      <c r="E7" s="4">
        <f>Submetering!E7+Submetering!F7</f>
        <v>5740</v>
      </c>
      <c r="F7" s="12">
        <v>0.35</v>
      </c>
      <c r="G7" s="4">
        <f>Submetering!M7</f>
        <v>3186</v>
      </c>
      <c r="H7" s="12">
        <v>0.6</v>
      </c>
      <c r="I7" s="4">
        <f>Submetering!N7</f>
        <v>81.5</v>
      </c>
      <c r="J7" s="13">
        <v>2.06</v>
      </c>
      <c r="K7" s="4">
        <f>'Hampshire Daily'!B10</f>
        <v>18</v>
      </c>
      <c r="L7" s="4">
        <f>'Hampshire Daily'!C10</f>
        <v>40</v>
      </c>
    </row>
    <row r="8" spans="1:24" x14ac:dyDescent="0.25">
      <c r="A8" s="3" t="s">
        <v>12</v>
      </c>
      <c r="B8" s="2">
        <f t="shared" si="0"/>
        <v>7</v>
      </c>
      <c r="C8" s="2">
        <v>3</v>
      </c>
      <c r="D8" s="2">
        <v>2022</v>
      </c>
      <c r="E8" s="4">
        <f>Submetering!E8+Submetering!F8</f>
        <v>5038</v>
      </c>
      <c r="F8" s="12">
        <v>0.35</v>
      </c>
      <c r="G8" s="4">
        <f>Submetering!M8</f>
        <v>3404</v>
      </c>
      <c r="H8" s="12">
        <v>0.6</v>
      </c>
      <c r="I8" s="4">
        <f>Submetering!N8</f>
        <v>81.5</v>
      </c>
      <c r="J8" s="13">
        <v>2.06</v>
      </c>
      <c r="K8" s="4">
        <f>'Hampshire Daily'!B11</f>
        <v>18</v>
      </c>
      <c r="L8" s="4">
        <f>'Hampshire Daily'!C11</f>
        <v>38</v>
      </c>
    </row>
    <row r="9" spans="1:24" x14ac:dyDescent="0.25">
      <c r="A9" s="3" t="s">
        <v>12</v>
      </c>
      <c r="B9" s="2">
        <f t="shared" si="0"/>
        <v>8</v>
      </c>
      <c r="C9" s="2">
        <v>3</v>
      </c>
      <c r="D9" s="2">
        <v>2022</v>
      </c>
      <c r="E9" s="4">
        <f>Submetering!E9+Submetering!F9</f>
        <v>4561</v>
      </c>
      <c r="F9" s="12">
        <v>0.35</v>
      </c>
      <c r="G9" s="4">
        <f>Submetering!M9</f>
        <v>3349</v>
      </c>
      <c r="H9" s="12">
        <v>0.6</v>
      </c>
      <c r="I9" s="4">
        <f>Submetering!N9</f>
        <v>65</v>
      </c>
      <c r="J9" s="13">
        <v>2.06</v>
      </c>
      <c r="K9" s="4">
        <f>'Hampshire Daily'!B12</f>
        <v>33</v>
      </c>
      <c r="L9" s="4">
        <f>'Hampshire Daily'!C12</f>
        <v>54</v>
      </c>
    </row>
    <row r="10" spans="1:24" x14ac:dyDescent="0.25">
      <c r="A10" s="3" t="s">
        <v>12</v>
      </c>
      <c r="B10" s="2">
        <f t="shared" si="0"/>
        <v>9</v>
      </c>
      <c r="C10" s="2">
        <v>3</v>
      </c>
      <c r="D10" s="2">
        <v>2022</v>
      </c>
      <c r="E10" s="4">
        <f>Submetering!E10+Submetering!F10</f>
        <v>4863</v>
      </c>
      <c r="F10" s="12">
        <v>0.35</v>
      </c>
      <c r="G10" s="4">
        <f>Submetering!M10</f>
        <v>2938</v>
      </c>
      <c r="H10" s="12">
        <v>0.6</v>
      </c>
      <c r="I10" s="4">
        <f>Submetering!N10</f>
        <v>58</v>
      </c>
      <c r="J10" s="13">
        <v>2.06</v>
      </c>
      <c r="K10" s="4">
        <f>'Hampshire Daily'!B13</f>
        <v>45</v>
      </c>
      <c r="L10" s="4">
        <f>'Hampshire Daily'!C13</f>
        <v>70</v>
      </c>
    </row>
    <row r="11" spans="1:24" x14ac:dyDescent="0.25">
      <c r="A11" s="3" t="s">
        <v>12</v>
      </c>
      <c r="B11" s="2">
        <f t="shared" si="0"/>
        <v>10</v>
      </c>
      <c r="C11" s="2">
        <v>3</v>
      </c>
      <c r="D11" s="2">
        <v>2022</v>
      </c>
      <c r="E11" s="4">
        <f>Submetering!E11+Submetering!F11</f>
        <v>5041</v>
      </c>
      <c r="F11" s="12">
        <v>0.35</v>
      </c>
      <c r="G11" s="4">
        <f>Submetering!M11</f>
        <v>2792</v>
      </c>
      <c r="H11" s="12">
        <v>0.6</v>
      </c>
      <c r="I11" s="4">
        <f>Submetering!N11</f>
        <v>72</v>
      </c>
      <c r="J11" s="13">
        <v>2.06</v>
      </c>
      <c r="K11" s="4">
        <f>'Hampshire Daily'!B14</f>
        <v>109</v>
      </c>
      <c r="L11" s="4">
        <f>'Hampshire Daily'!C14</f>
        <v>138</v>
      </c>
    </row>
    <row r="12" spans="1:24" x14ac:dyDescent="0.25">
      <c r="A12" s="3" t="s">
        <v>12</v>
      </c>
      <c r="B12" s="2">
        <f t="shared" si="0"/>
        <v>11</v>
      </c>
      <c r="C12" s="2">
        <v>3</v>
      </c>
      <c r="D12" s="2">
        <v>2022</v>
      </c>
      <c r="E12" s="4">
        <f>Submetering!E12+Submetering!F12</f>
        <v>5649</v>
      </c>
      <c r="F12" s="12">
        <v>0.35</v>
      </c>
      <c r="G12" s="4">
        <f>Submetering!M12</f>
        <v>2708</v>
      </c>
      <c r="H12" s="12">
        <v>0.6</v>
      </c>
      <c r="I12" s="4">
        <f>Submetering!N12</f>
        <v>78</v>
      </c>
      <c r="J12" s="13">
        <v>2.06</v>
      </c>
      <c r="K12" s="4">
        <f>'Hampshire Daily'!B15</f>
        <v>49</v>
      </c>
      <c r="L12" s="4">
        <f>'Hampshire Daily'!C15</f>
        <v>113</v>
      </c>
    </row>
    <row r="13" spans="1:24" x14ac:dyDescent="0.25">
      <c r="A13" s="3" t="s">
        <v>12</v>
      </c>
      <c r="B13" s="2">
        <f t="shared" si="0"/>
        <v>12</v>
      </c>
      <c r="C13" s="2">
        <v>3</v>
      </c>
      <c r="D13" s="2">
        <v>2022</v>
      </c>
      <c r="E13" s="4">
        <f>Submetering!E13+Submetering!F13</f>
        <v>5784</v>
      </c>
      <c r="F13" s="12">
        <v>0.35</v>
      </c>
      <c r="G13" s="4">
        <f>Submetering!M13</f>
        <v>3061</v>
      </c>
      <c r="H13" s="12">
        <v>0.6</v>
      </c>
      <c r="I13" s="4">
        <f>Submetering!N13</f>
        <v>78</v>
      </c>
      <c r="J13" s="13">
        <v>2.06</v>
      </c>
      <c r="K13" s="4">
        <f>'Hampshire Daily'!B16</f>
        <v>77</v>
      </c>
      <c r="L13" s="4">
        <f>'Hampshire Daily'!C16</f>
        <v>176</v>
      </c>
    </row>
    <row r="14" spans="1:24" x14ac:dyDescent="0.25">
      <c r="A14" s="3" t="s">
        <v>12</v>
      </c>
      <c r="B14" s="2">
        <f t="shared" si="0"/>
        <v>13</v>
      </c>
      <c r="C14" s="2">
        <v>3</v>
      </c>
      <c r="D14" s="2">
        <v>2022</v>
      </c>
      <c r="E14" s="4">
        <f>Submetering!E14+Submetering!F14</f>
        <v>5194</v>
      </c>
      <c r="F14" s="12">
        <v>0.35</v>
      </c>
      <c r="G14" s="4">
        <f>Submetering!M14</f>
        <v>2838</v>
      </c>
      <c r="H14" s="12">
        <v>0.6</v>
      </c>
      <c r="I14" s="4">
        <f>Submetering!N14</f>
        <v>78</v>
      </c>
      <c r="J14" s="13">
        <v>2.06</v>
      </c>
      <c r="K14" s="4">
        <f>'Hampshire Daily'!B17</f>
        <v>26</v>
      </c>
      <c r="L14" s="4">
        <f>'Hampshire Daily'!C17</f>
        <v>49</v>
      </c>
    </row>
    <row r="15" spans="1:24" x14ac:dyDescent="0.25">
      <c r="A15" s="3" t="s">
        <v>12</v>
      </c>
      <c r="B15" s="2">
        <f t="shared" si="0"/>
        <v>14</v>
      </c>
      <c r="C15" s="2">
        <v>3</v>
      </c>
      <c r="D15" s="2">
        <v>2022</v>
      </c>
      <c r="E15" s="4">
        <f>Submetering!E15+Submetering!F15</f>
        <v>4824</v>
      </c>
      <c r="F15" s="12">
        <v>0.35</v>
      </c>
      <c r="G15" s="4">
        <f>Submetering!M15</f>
        <v>2892</v>
      </c>
      <c r="H15" s="12">
        <v>0.6</v>
      </c>
      <c r="I15" s="4">
        <f>Submetering!N15</f>
        <v>81</v>
      </c>
      <c r="J15" s="13">
        <v>2.06</v>
      </c>
      <c r="K15" s="4">
        <f>'Hampshire Daily'!B18</f>
        <v>38</v>
      </c>
      <c r="L15" s="4">
        <f>'Hampshire Daily'!C18</f>
        <v>64</v>
      </c>
    </row>
    <row r="16" spans="1:24" x14ac:dyDescent="0.25">
      <c r="A16" s="3" t="s">
        <v>12</v>
      </c>
      <c r="B16" s="2">
        <f t="shared" si="0"/>
        <v>15</v>
      </c>
      <c r="C16" s="2">
        <v>3</v>
      </c>
      <c r="D16" s="2">
        <v>2022</v>
      </c>
      <c r="E16" s="4">
        <f>Submetering!E16+Submetering!F16</f>
        <v>4706</v>
      </c>
      <c r="F16" s="12">
        <v>0.35</v>
      </c>
      <c r="G16" s="4">
        <f>Submetering!M16</f>
        <v>2908</v>
      </c>
      <c r="H16" s="12">
        <v>0.6</v>
      </c>
      <c r="I16" s="4">
        <f>Submetering!N16</f>
        <v>65</v>
      </c>
      <c r="J16" s="13">
        <v>2.06</v>
      </c>
      <c r="K16" s="4">
        <f>'Hampshire Daily'!B19</f>
        <v>34</v>
      </c>
      <c r="L16" s="4">
        <f>'Hampshire Daily'!C19</f>
        <v>56</v>
      </c>
    </row>
    <row r="17" spans="1:12" x14ac:dyDescent="0.25">
      <c r="A17" s="3" t="s">
        <v>12</v>
      </c>
      <c r="B17" s="2">
        <f t="shared" si="0"/>
        <v>16</v>
      </c>
      <c r="C17" s="2">
        <v>3</v>
      </c>
      <c r="D17" s="2">
        <v>2022</v>
      </c>
      <c r="E17" s="4">
        <f>Submetering!E17+Submetering!F17</f>
        <v>5115</v>
      </c>
      <c r="F17" s="12">
        <v>0.35</v>
      </c>
      <c r="G17" s="4">
        <f>Submetering!M17</f>
        <v>2608</v>
      </c>
      <c r="H17" s="12">
        <v>0.6</v>
      </c>
      <c r="I17" s="4">
        <f>Submetering!N17</f>
        <v>65</v>
      </c>
      <c r="J17" s="13">
        <v>2.06</v>
      </c>
      <c r="K17" s="4">
        <f>'Hampshire Daily'!B20</f>
        <v>53</v>
      </c>
      <c r="L17" s="4">
        <f>'Hampshire Daily'!C20</f>
        <v>86</v>
      </c>
    </row>
    <row r="18" spans="1:12" x14ac:dyDescent="0.25">
      <c r="A18" s="3" t="s">
        <v>12</v>
      </c>
      <c r="B18" s="2">
        <f t="shared" si="0"/>
        <v>17</v>
      </c>
      <c r="C18" s="2">
        <v>3</v>
      </c>
      <c r="D18" s="2">
        <v>2022</v>
      </c>
      <c r="E18" s="4">
        <f>Submetering!E18+Submetering!F18</f>
        <v>5518</v>
      </c>
      <c r="F18" s="12">
        <v>0.35</v>
      </c>
      <c r="G18" s="4">
        <f>Submetering!M18</f>
        <v>2994</v>
      </c>
      <c r="H18" s="12">
        <v>0.6</v>
      </c>
      <c r="I18" s="4">
        <f>Submetering!N18</f>
        <v>65</v>
      </c>
      <c r="J18" s="13">
        <v>2.06</v>
      </c>
      <c r="K18" s="4">
        <f>'Hampshire Daily'!B21</f>
        <v>50</v>
      </c>
      <c r="L18" s="4">
        <f>'Hampshire Daily'!C21</f>
        <v>84</v>
      </c>
    </row>
    <row r="19" spans="1:12" x14ac:dyDescent="0.25">
      <c r="A19" s="3" t="s">
        <v>12</v>
      </c>
      <c r="B19" s="2">
        <f t="shared" si="0"/>
        <v>18</v>
      </c>
      <c r="C19" s="2">
        <v>3</v>
      </c>
      <c r="D19" s="2">
        <v>2022</v>
      </c>
      <c r="E19" s="4">
        <f>Submetering!E19+Submetering!F19</f>
        <v>6121</v>
      </c>
      <c r="F19" s="12">
        <v>0.35</v>
      </c>
      <c r="G19" s="4">
        <f>Submetering!M19</f>
        <v>2590</v>
      </c>
      <c r="H19" s="12">
        <v>0.6</v>
      </c>
      <c r="I19" s="4">
        <f>Submetering!N19</f>
        <v>65</v>
      </c>
      <c r="J19" s="13">
        <v>2.06</v>
      </c>
      <c r="K19" s="4">
        <f>'Hampshire Daily'!B22</f>
        <v>51</v>
      </c>
      <c r="L19" s="4">
        <f>'Hampshire Daily'!C22</f>
        <v>114</v>
      </c>
    </row>
    <row r="20" spans="1:12" x14ac:dyDescent="0.25">
      <c r="A20" s="3" t="s">
        <v>12</v>
      </c>
      <c r="B20" s="2">
        <f t="shared" si="0"/>
        <v>19</v>
      </c>
      <c r="C20" s="2">
        <v>3</v>
      </c>
      <c r="D20" s="2">
        <v>2022</v>
      </c>
      <c r="E20" s="4">
        <f>Submetering!E20+Submetering!F20</f>
        <v>5278</v>
      </c>
      <c r="F20" s="12">
        <v>0.35</v>
      </c>
      <c r="G20" s="4">
        <f>Submetering!M20</f>
        <v>2700</v>
      </c>
      <c r="H20" s="12">
        <v>0.6</v>
      </c>
      <c r="I20" s="4">
        <f>Submetering!N20</f>
        <v>74</v>
      </c>
      <c r="J20" s="13">
        <v>2.06</v>
      </c>
      <c r="K20" s="4">
        <f>'Hampshire Daily'!B23</f>
        <v>71</v>
      </c>
      <c r="L20" s="4">
        <f>'Hampshire Daily'!C23</f>
        <v>168</v>
      </c>
    </row>
    <row r="21" spans="1:12" x14ac:dyDescent="0.25">
      <c r="A21" s="3" t="s">
        <v>12</v>
      </c>
      <c r="B21" s="2">
        <f t="shared" si="0"/>
        <v>20</v>
      </c>
      <c r="C21" s="2">
        <v>3</v>
      </c>
      <c r="D21" s="2">
        <v>2022</v>
      </c>
      <c r="E21" s="4">
        <f>Submetering!E21+Submetering!F21</f>
        <v>4989</v>
      </c>
      <c r="F21" s="12">
        <v>0.35</v>
      </c>
      <c r="G21" s="4">
        <f>Submetering!M21</f>
        <v>2815</v>
      </c>
      <c r="H21" s="12">
        <v>0.6</v>
      </c>
      <c r="I21" s="4">
        <f>Submetering!N21</f>
        <v>83</v>
      </c>
      <c r="J21" s="13">
        <v>2.06</v>
      </c>
      <c r="K21" s="4">
        <f>'Hampshire Daily'!B24</f>
        <v>45</v>
      </c>
      <c r="L21" s="4">
        <f>'Hampshire Daily'!C24</f>
        <v>91</v>
      </c>
    </row>
    <row r="22" spans="1:12" x14ac:dyDescent="0.25">
      <c r="A22" s="3" t="s">
        <v>12</v>
      </c>
      <c r="B22" s="2">
        <f t="shared" si="0"/>
        <v>21</v>
      </c>
      <c r="C22" s="2">
        <v>3</v>
      </c>
      <c r="D22" s="2">
        <v>2022</v>
      </c>
      <c r="E22" s="4">
        <f>Submetering!E22+Submetering!F22</f>
        <v>4896</v>
      </c>
      <c r="F22" s="12">
        <v>0.35</v>
      </c>
      <c r="G22" s="4">
        <f>Submetering!M22</f>
        <v>2970</v>
      </c>
      <c r="H22" s="12">
        <v>0.6</v>
      </c>
      <c r="I22" s="4">
        <f>Submetering!N22</f>
        <v>83</v>
      </c>
      <c r="J22" s="13">
        <v>2.06</v>
      </c>
      <c r="K22" s="4">
        <f>'Hampshire Daily'!B25</f>
        <v>45</v>
      </c>
      <c r="L22" s="4">
        <f>'Hampshire Daily'!C25</f>
        <v>77</v>
      </c>
    </row>
    <row r="23" spans="1:12" x14ac:dyDescent="0.25">
      <c r="A23" s="3" t="s">
        <v>12</v>
      </c>
      <c r="B23" s="2">
        <f t="shared" si="0"/>
        <v>22</v>
      </c>
      <c r="C23" s="2">
        <v>3</v>
      </c>
      <c r="D23" s="2">
        <v>2022</v>
      </c>
      <c r="E23" s="4">
        <f>Submetering!E23+Submetering!F23</f>
        <v>5066</v>
      </c>
      <c r="F23" s="12">
        <v>0.35</v>
      </c>
      <c r="G23" s="4">
        <f>Submetering!M23</f>
        <v>2505</v>
      </c>
      <c r="H23" s="12">
        <v>0.6</v>
      </c>
      <c r="I23" s="4">
        <f>Submetering!N23</f>
        <v>76</v>
      </c>
      <c r="J23" s="13">
        <v>2.06</v>
      </c>
      <c r="K23" s="4">
        <f>'Hampshire Daily'!B26</f>
        <v>42</v>
      </c>
      <c r="L23" s="4">
        <f>'Hampshire Daily'!C26</f>
        <v>77</v>
      </c>
    </row>
    <row r="24" spans="1:12" x14ac:dyDescent="0.25">
      <c r="A24" s="3" t="s">
        <v>12</v>
      </c>
      <c r="B24" s="2">
        <f t="shared" si="0"/>
        <v>23</v>
      </c>
      <c r="C24" s="2">
        <v>3</v>
      </c>
      <c r="D24" s="2">
        <v>2022</v>
      </c>
      <c r="E24" s="4">
        <f>Submetering!E24+Submetering!F24</f>
        <v>4869</v>
      </c>
      <c r="F24" s="12">
        <v>0.35</v>
      </c>
      <c r="G24" s="4">
        <f>Submetering!M24</f>
        <v>2485</v>
      </c>
      <c r="H24" s="12">
        <v>0.6</v>
      </c>
      <c r="I24" s="4">
        <f>Submetering!N24</f>
        <v>66</v>
      </c>
      <c r="J24" s="13">
        <v>2.06</v>
      </c>
      <c r="K24" s="4">
        <f>'Hampshire Daily'!B27</f>
        <v>107</v>
      </c>
      <c r="L24" s="4">
        <f>'Hampshire Daily'!C27</f>
        <v>77</v>
      </c>
    </row>
    <row r="25" spans="1:12" x14ac:dyDescent="0.25">
      <c r="A25" s="3" t="s">
        <v>12</v>
      </c>
      <c r="B25" s="2">
        <f t="shared" si="0"/>
        <v>24</v>
      </c>
      <c r="C25" s="2">
        <v>3</v>
      </c>
      <c r="D25" s="2">
        <v>2022</v>
      </c>
      <c r="E25" s="4">
        <f>Submetering!E25+Submetering!F25</f>
        <v>6309</v>
      </c>
      <c r="F25" s="12">
        <v>0.35</v>
      </c>
      <c r="G25" s="4">
        <f>Submetering!M25</f>
        <v>2606</v>
      </c>
      <c r="H25" s="12">
        <v>0.6</v>
      </c>
      <c r="I25" s="4">
        <f>Submetering!N25</f>
        <v>72</v>
      </c>
      <c r="J25" s="13">
        <v>2.06</v>
      </c>
      <c r="K25" s="4">
        <f>'Hampshire Daily'!B28</f>
        <v>131</v>
      </c>
      <c r="L25" s="4">
        <f>'Hampshire Daily'!C28</f>
        <v>180</v>
      </c>
    </row>
    <row r="26" spans="1:12" x14ac:dyDescent="0.25">
      <c r="A26" s="3" t="s">
        <v>12</v>
      </c>
      <c r="B26" s="2">
        <f>B25+1</f>
        <v>25</v>
      </c>
      <c r="C26" s="2">
        <v>3</v>
      </c>
      <c r="D26" s="2">
        <v>2022</v>
      </c>
      <c r="E26" s="4">
        <f>Submetering!E26+Submetering!F26</f>
        <v>5766</v>
      </c>
      <c r="F26" s="12">
        <v>0.35</v>
      </c>
      <c r="G26" s="4">
        <f>Submetering!M26</f>
        <v>2554</v>
      </c>
      <c r="H26" s="12">
        <v>0.6</v>
      </c>
      <c r="I26" s="4">
        <f>Submetering!N26</f>
        <v>89</v>
      </c>
      <c r="J26" s="13">
        <v>2.06</v>
      </c>
      <c r="K26" s="4">
        <f>'Hampshire Daily'!B29</f>
        <v>83</v>
      </c>
      <c r="L26" s="4">
        <f>'Hampshire Daily'!C29</f>
        <v>171</v>
      </c>
    </row>
    <row r="27" spans="1:12" x14ac:dyDescent="0.25">
      <c r="A27" s="3" t="s">
        <v>12</v>
      </c>
      <c r="B27" s="2">
        <f t="shared" si="0"/>
        <v>26</v>
      </c>
      <c r="C27" s="2">
        <v>3</v>
      </c>
      <c r="D27" s="2">
        <v>2022</v>
      </c>
      <c r="E27" s="4">
        <f>Submetering!E27+Submetering!F27</f>
        <v>5787</v>
      </c>
      <c r="F27" s="12">
        <v>0.35</v>
      </c>
      <c r="G27" s="4">
        <f>Submetering!M27</f>
        <v>2700</v>
      </c>
      <c r="H27" s="12">
        <v>0.6</v>
      </c>
      <c r="I27" s="4">
        <f>Submetering!N27</f>
        <v>77</v>
      </c>
      <c r="J27" s="13">
        <v>2.06</v>
      </c>
      <c r="K27" s="4">
        <f>'Hampshire Daily'!B30</f>
        <v>108</v>
      </c>
      <c r="L27" s="4">
        <f>'Hampshire Daily'!C30</f>
        <v>207</v>
      </c>
    </row>
    <row r="28" spans="1:12" x14ac:dyDescent="0.25">
      <c r="A28" s="3" t="s">
        <v>12</v>
      </c>
      <c r="B28" s="2">
        <f t="shared" si="0"/>
        <v>27</v>
      </c>
      <c r="C28" s="2">
        <v>3</v>
      </c>
      <c r="D28" s="2">
        <v>2022</v>
      </c>
      <c r="E28" s="4">
        <f>Submetering!E28+Submetering!F28</f>
        <v>5671</v>
      </c>
      <c r="F28" s="12">
        <v>0.35</v>
      </c>
      <c r="G28" s="4">
        <f>Submetering!M28</f>
        <v>2540</v>
      </c>
      <c r="H28" s="12">
        <v>0.6</v>
      </c>
      <c r="I28" s="4">
        <f>Submetering!N28</f>
        <v>80</v>
      </c>
      <c r="J28" s="13">
        <v>2.06</v>
      </c>
      <c r="K28" s="4">
        <f>'Hampshire Daily'!B31</f>
        <v>133</v>
      </c>
      <c r="L28" s="4">
        <f>'Hampshire Daily'!C31</f>
        <v>134</v>
      </c>
    </row>
    <row r="29" spans="1:12" x14ac:dyDescent="0.25">
      <c r="A29" s="3" t="s">
        <v>12</v>
      </c>
      <c r="B29" s="2">
        <f t="shared" si="0"/>
        <v>28</v>
      </c>
      <c r="C29" s="2">
        <v>3</v>
      </c>
      <c r="D29" s="2">
        <v>2022</v>
      </c>
      <c r="E29" s="4">
        <f>Submetering!E29+Submetering!F29</f>
        <v>5779</v>
      </c>
      <c r="F29" s="12">
        <v>0.35</v>
      </c>
      <c r="G29" s="4">
        <f>Submetering!M29</f>
        <v>2772</v>
      </c>
      <c r="H29" s="12">
        <v>0.6</v>
      </c>
      <c r="I29" s="4">
        <f>Submetering!N29</f>
        <v>98</v>
      </c>
      <c r="J29" s="13">
        <v>2.06</v>
      </c>
      <c r="K29" s="4">
        <f>'Hampshire Daily'!B4</f>
        <v>74</v>
      </c>
      <c r="L29" s="4">
        <f>'Hampshire Daily'!C4</f>
        <v>82</v>
      </c>
    </row>
    <row r="30" spans="1:12" x14ac:dyDescent="0.25">
      <c r="A30" s="3" t="s">
        <v>12</v>
      </c>
      <c r="B30" s="2">
        <f t="shared" si="0"/>
        <v>29</v>
      </c>
      <c r="C30" s="2">
        <v>3</v>
      </c>
      <c r="D30" s="2">
        <v>2022</v>
      </c>
      <c r="E30" s="4">
        <f>Submetering!E30+Submetering!F30</f>
        <v>6107</v>
      </c>
      <c r="F30" s="12">
        <v>0.35</v>
      </c>
      <c r="G30" s="4">
        <f>Submetering!M30</f>
        <v>2714</v>
      </c>
      <c r="H30" s="12">
        <v>0.6</v>
      </c>
      <c r="I30" s="4">
        <f>Submetering!N30</f>
        <v>73</v>
      </c>
      <c r="J30" s="13">
        <v>2.06</v>
      </c>
      <c r="K30" s="4">
        <f>'Hampshire Daily'!B5</f>
        <v>74</v>
      </c>
      <c r="L30" s="4">
        <f>'Hampshire Daily'!C5</f>
        <v>82</v>
      </c>
    </row>
    <row r="31" spans="1:12" x14ac:dyDescent="0.25">
      <c r="A31" s="3" t="s">
        <v>12</v>
      </c>
      <c r="B31" s="2">
        <f t="shared" si="0"/>
        <v>30</v>
      </c>
      <c r="C31" s="2">
        <v>3</v>
      </c>
      <c r="D31" s="2">
        <v>2022</v>
      </c>
      <c r="E31" s="4">
        <f>Submetering!E31+Submetering!F31</f>
        <v>5630</v>
      </c>
      <c r="F31" s="12">
        <v>0.35</v>
      </c>
      <c r="G31" s="4">
        <f>Submetering!M31</f>
        <v>2545</v>
      </c>
      <c r="H31" s="12">
        <v>0.6</v>
      </c>
      <c r="I31" s="4">
        <f>Submetering!N31</f>
        <v>69</v>
      </c>
      <c r="J31" s="13">
        <v>2.06</v>
      </c>
      <c r="K31" s="4">
        <f>'Hampshire Daily'!B6</f>
        <v>87</v>
      </c>
      <c r="L31" s="4">
        <f>'Hampshire Daily'!C6</f>
        <v>99</v>
      </c>
    </row>
    <row r="32" spans="1:12" x14ac:dyDescent="0.25">
      <c r="A32" s="3" t="s">
        <v>12</v>
      </c>
      <c r="B32" s="2">
        <f t="shared" si="0"/>
        <v>31</v>
      </c>
      <c r="C32" s="2">
        <v>3</v>
      </c>
      <c r="D32" s="2">
        <v>2022</v>
      </c>
      <c r="E32" s="4">
        <f>Submetering!E32+Submetering!F32</f>
        <v>5956</v>
      </c>
      <c r="F32" s="12">
        <v>0.35</v>
      </c>
      <c r="G32" s="4">
        <f>Submetering!M32</f>
        <v>3023</v>
      </c>
      <c r="H32" s="12">
        <v>0.6</v>
      </c>
      <c r="I32" s="4">
        <f>Submetering!N32</f>
        <v>80</v>
      </c>
      <c r="J32" s="13">
        <v>2.06</v>
      </c>
      <c r="K32" s="4">
        <f>'Hampshire Daily'!B7</f>
        <v>126</v>
      </c>
      <c r="L32" s="4">
        <f>'Hampshire Daily'!C7</f>
        <v>152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zoomScale="85" zoomScaleNormal="85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L38" sqref="L38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 x14ac:dyDescent="0.25">
      <c r="A2" s="3" t="s">
        <v>12</v>
      </c>
      <c r="B2" s="1">
        <v>1</v>
      </c>
      <c r="C2" s="1">
        <v>3</v>
      </c>
      <c r="D2" s="1">
        <v>2022</v>
      </c>
      <c r="E2" s="4">
        <f>'Hampshire Daily'!D5-'Hampshire Daily'!D4</f>
        <v>3564</v>
      </c>
      <c r="F2" s="4">
        <f>'Hampshire Daily'!E5-'Hampshire Daily'!E4</f>
        <v>5243</v>
      </c>
      <c r="G2" s="4">
        <f>'Hampshire Daily'!F5-'Hampshire Daily'!F4</f>
        <v>877</v>
      </c>
      <c r="H2" s="4">
        <f>'Hampshire Daily'!G5-'Hampshire Daily'!G4</f>
        <v>1866</v>
      </c>
      <c r="I2" s="4">
        <f>'Hampshire Daily'!H5-'Hampshire Daily'!H4</f>
        <v>32</v>
      </c>
      <c r="J2" s="4">
        <f>'Hampshire Daily'!I5-'Hampshire Daily'!I4</f>
        <v>2430</v>
      </c>
      <c r="K2" s="4">
        <f>'Hampshire Daily'!J5-'Hampshire Daily'!J4</f>
        <v>932</v>
      </c>
      <c r="L2" s="4">
        <f>'Hampshire Daily'!K5-'Hampshire Daily'!K4</f>
        <v>1</v>
      </c>
      <c r="M2" s="4">
        <f>'Hampshire Daily'!N5-'Hampshire Daily'!N4</f>
        <v>2490</v>
      </c>
      <c r="N2" s="4">
        <f>'Hampshire Daily'!O5-'Hampshire Daily'!O4</f>
        <v>82</v>
      </c>
      <c r="O2" s="4">
        <f>'Hampshire Daily'!P5-'Hampshire Daily'!P4</f>
        <v>35</v>
      </c>
      <c r="P2" s="4">
        <f>'Hampshire Daily'!Q5-'Hampshire Daily'!Q4</f>
        <v>37</v>
      </c>
      <c r="Q2" s="4">
        <f>'Hampshire Daily'!T5-'Hampshire Daily'!T4</f>
        <v>4</v>
      </c>
      <c r="R2" s="4">
        <f>'Hampshire Daily'!B5</f>
        <v>74</v>
      </c>
      <c r="S2" s="4">
        <f>'Hampshire Daily'!C5</f>
        <v>82</v>
      </c>
    </row>
    <row r="3" spans="1:23" x14ac:dyDescent="0.25">
      <c r="A3" s="3" t="s">
        <v>12</v>
      </c>
      <c r="B3" s="1">
        <f>B2+1</f>
        <v>2</v>
      </c>
      <c r="C3" s="1">
        <v>3</v>
      </c>
      <c r="D3" s="1">
        <v>2022</v>
      </c>
      <c r="E3" s="4">
        <f>'Hampshire Daily'!D6-'Hampshire Daily'!D5</f>
        <v>3548</v>
      </c>
      <c r="F3" s="4">
        <f>'Hampshire Daily'!E6-'Hampshire Daily'!E5</f>
        <v>5422</v>
      </c>
      <c r="G3" s="4">
        <f>'Hampshire Daily'!F6-'Hampshire Daily'!F5</f>
        <v>772</v>
      </c>
      <c r="H3" s="4">
        <f>'Hampshire Daily'!G6-'Hampshire Daily'!G5</f>
        <v>1866</v>
      </c>
      <c r="I3" s="4">
        <f>'Hampshire Daily'!H6-'Hampshire Daily'!H5</f>
        <v>32</v>
      </c>
      <c r="J3" s="4">
        <f>'Hampshire Daily'!I6-'Hampshire Daily'!I5</f>
        <v>2430</v>
      </c>
      <c r="K3" s="4">
        <f>'Hampshire Daily'!J6-'Hampshire Daily'!J5</f>
        <v>1036</v>
      </c>
      <c r="L3" s="4">
        <f>'Hampshire Daily'!K6-'Hampshire Daily'!K5</f>
        <v>13</v>
      </c>
      <c r="M3" s="4">
        <f>'Hampshire Daily'!N6-'Hampshire Daily'!N5</f>
        <v>2678</v>
      </c>
      <c r="N3" s="4">
        <f>'Hampshire Daily'!O6-'Hampshire Daily'!O5</f>
        <v>69</v>
      </c>
      <c r="O3" s="4">
        <f>'Hampshire Daily'!P6-'Hampshire Daily'!P5</f>
        <v>44</v>
      </c>
      <c r="P3" s="4">
        <f>'Hampshire Daily'!Q6-'Hampshire Daily'!Q5</f>
        <v>49</v>
      </c>
      <c r="Q3" s="4">
        <f>'Hampshire Daily'!T6-'Hampshire Daily'!T5</f>
        <v>3</v>
      </c>
      <c r="R3" s="4">
        <f>'Hampshire Daily'!B6</f>
        <v>87</v>
      </c>
      <c r="S3" s="4">
        <f>'Hampshire Daily'!C6</f>
        <v>99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25">
      <c r="A4" s="3" t="s">
        <v>12</v>
      </c>
      <c r="B4" s="1">
        <f t="shared" ref="B4:B32" si="0">B3+1</f>
        <v>3</v>
      </c>
      <c r="C4" s="1">
        <v>3</v>
      </c>
      <c r="D4" s="1">
        <v>2022</v>
      </c>
      <c r="E4" s="4">
        <f>'Hampshire Daily'!D7-'Hampshire Daily'!D6</f>
        <v>3354</v>
      </c>
      <c r="F4" s="4">
        <f>'Hampshire Daily'!E7-'Hampshire Daily'!E6</f>
        <v>5362</v>
      </c>
      <c r="G4" s="4">
        <f>'Hampshire Daily'!F7-'Hampshire Daily'!F6</f>
        <v>859</v>
      </c>
      <c r="H4" s="4">
        <f>'Hampshire Daily'!G7-'Hampshire Daily'!G6</f>
        <v>1866</v>
      </c>
      <c r="I4" s="4">
        <f>'Hampshire Daily'!H7-'Hampshire Daily'!H6</f>
        <v>32</v>
      </c>
      <c r="J4" s="4">
        <f>'Hampshire Daily'!I7-'Hampshire Daily'!I6</f>
        <v>2430</v>
      </c>
      <c r="K4" s="4">
        <f>'Hampshire Daily'!J7-'Hampshire Daily'!J6</f>
        <v>1036</v>
      </c>
      <c r="L4" s="4">
        <f>'Hampshire Daily'!K7-'Hampshire Daily'!K6</f>
        <v>3</v>
      </c>
      <c r="M4" s="4">
        <f>'Hampshire Daily'!N7-'Hampshire Daily'!N6</f>
        <v>2736</v>
      </c>
      <c r="N4" s="4">
        <f>'Hampshire Daily'!O7-'Hampshire Daily'!O6</f>
        <v>69</v>
      </c>
      <c r="O4" s="4">
        <f>'Hampshire Daily'!P7-'Hampshire Daily'!P6</f>
        <v>45</v>
      </c>
      <c r="P4" s="4">
        <f>'Hampshire Daily'!Q7-'Hampshire Daily'!Q6</f>
        <v>48</v>
      </c>
      <c r="Q4" s="4">
        <f>'Hampshire Daily'!T7-'Hampshire Daily'!T6</f>
        <v>5</v>
      </c>
      <c r="R4" s="4">
        <f>'Hampshire Daily'!B7</f>
        <v>126</v>
      </c>
      <c r="S4" s="4">
        <f>'Hampshire Daily'!C7</f>
        <v>152</v>
      </c>
      <c r="T4" t="s">
        <v>26</v>
      </c>
    </row>
    <row r="5" spans="1:23" x14ac:dyDescent="0.25">
      <c r="A5" s="3" t="s">
        <v>12</v>
      </c>
      <c r="B5" s="1">
        <f t="shared" si="0"/>
        <v>4</v>
      </c>
      <c r="C5" s="1">
        <v>3</v>
      </c>
      <c r="D5" s="1">
        <v>2022</v>
      </c>
      <c r="E5" s="4">
        <f>'Hampshire Daily'!D8-'Hampshire Daily'!D7</f>
        <v>3295</v>
      </c>
      <c r="F5" s="4">
        <f>'Hampshire Daily'!E8-'Hampshire Daily'!E7</f>
        <v>5284</v>
      </c>
      <c r="G5" s="4">
        <f>'Hampshire Daily'!F8-'Hampshire Daily'!F7</f>
        <v>861</v>
      </c>
      <c r="H5" s="4">
        <f>'Hampshire Daily'!G8-'Hampshire Daily'!G7</f>
        <v>1866</v>
      </c>
      <c r="I5" s="4">
        <f>'Hampshire Daily'!H8-'Hampshire Daily'!H7</f>
        <v>32</v>
      </c>
      <c r="J5" s="4">
        <f>'Hampshire Daily'!I8-'Hampshire Daily'!I7</f>
        <v>2430</v>
      </c>
      <c r="K5" s="4">
        <v>1036</v>
      </c>
      <c r="L5" s="4">
        <f>'Hampshire Daily'!K8-'Hampshire Daily'!K7</f>
        <v>0</v>
      </c>
      <c r="M5" s="4">
        <f>'Hampshire Daily'!N8-'Hampshire Daily'!N7</f>
        <v>2478</v>
      </c>
      <c r="N5" s="4">
        <f>'Hampshire Daily'!O8-'Hampshire Daily'!O7</f>
        <v>79</v>
      </c>
      <c r="O5" s="4">
        <f>'Hampshire Daily'!P8-'Hampshire Daily'!P7</f>
        <v>56</v>
      </c>
      <c r="P5" s="4">
        <f>'Hampshire Daily'!Q8-'Hampshire Daily'!Q7</f>
        <v>61</v>
      </c>
      <c r="Q5" s="4">
        <f>'Hampshire Daily'!T8-'Hampshire Daily'!T7</f>
        <v>4</v>
      </c>
      <c r="R5" s="4">
        <f>'Hampshire Daily'!B8</f>
        <v>112</v>
      </c>
      <c r="S5" s="4">
        <f>'Hampshire Daily'!C8</f>
        <v>181</v>
      </c>
    </row>
    <row r="6" spans="1:23" x14ac:dyDescent="0.25">
      <c r="A6" s="3" t="s">
        <v>12</v>
      </c>
      <c r="B6" s="1">
        <f t="shared" si="0"/>
        <v>5</v>
      </c>
      <c r="C6" s="1">
        <v>3</v>
      </c>
      <c r="D6" s="1">
        <v>2022</v>
      </c>
      <c r="E6" s="4">
        <f>'Hampshire Daily'!D9-'Hampshire Daily'!D8</f>
        <v>3319</v>
      </c>
      <c r="F6" s="4">
        <f>'Hampshire Daily'!E9-'Hampshire Daily'!E8</f>
        <v>3316</v>
      </c>
      <c r="G6" s="4">
        <f>'Hampshire Daily'!F9-'Hampshire Daily'!F8</f>
        <v>53</v>
      </c>
      <c r="H6" s="4">
        <f>'Hampshire Daily'!G9-'Hampshire Daily'!G8</f>
        <v>1866</v>
      </c>
      <c r="I6" s="4">
        <f>'Hampshire Daily'!H9-'Hampshire Daily'!H8</f>
        <v>32</v>
      </c>
      <c r="J6" s="4">
        <f>'Hampshire Daily'!I9-'Hampshire Daily'!I8</f>
        <v>2430</v>
      </c>
      <c r="K6" s="4">
        <f>'Hampshire Daily'!J9-'Hampshire Daily'!J8</f>
        <v>1036</v>
      </c>
      <c r="L6" s="4">
        <f>'Hampshire Daily'!K9-'Hampshire Daily'!K8</f>
        <v>2</v>
      </c>
      <c r="M6" s="4">
        <f>'Hampshire Daily'!N9-'Hampshire Daily'!N8</f>
        <v>3374</v>
      </c>
      <c r="N6" s="4">
        <f>'Hampshire Daily'!O9-'Hampshire Daily'!O8</f>
        <v>83</v>
      </c>
      <c r="O6" s="4">
        <f>'Hampshire Daily'!P9-'Hampshire Daily'!P8</f>
        <v>56</v>
      </c>
      <c r="P6" s="4">
        <f>'Hampshire Daily'!Q9-'Hampshire Daily'!Q8</f>
        <v>61</v>
      </c>
      <c r="Q6" s="4">
        <f>'Hampshire Daily'!T9-'Hampshire Daily'!T8</f>
        <v>7</v>
      </c>
      <c r="R6" s="4">
        <f>'Hampshire Daily'!B9</f>
        <v>78</v>
      </c>
      <c r="S6" s="4">
        <f>'Hampshire Daily'!C9</f>
        <v>181</v>
      </c>
    </row>
    <row r="7" spans="1:23" x14ac:dyDescent="0.25">
      <c r="A7" s="3" t="s">
        <v>12</v>
      </c>
      <c r="B7" s="1">
        <f t="shared" si="0"/>
        <v>6</v>
      </c>
      <c r="C7" s="1">
        <v>3</v>
      </c>
      <c r="D7" s="1">
        <v>2022</v>
      </c>
      <c r="E7" s="4">
        <f>'Hampshire Daily'!D10-'Hampshire Daily'!D9</f>
        <v>2588</v>
      </c>
      <c r="F7" s="4">
        <f>'Hampshire Daily'!E10-'Hampshire Daily'!E9</f>
        <v>3152</v>
      </c>
      <c r="G7" s="4">
        <f>'Hampshire Daily'!F10-'Hampshire Daily'!F9</f>
        <v>0</v>
      </c>
      <c r="H7" s="4">
        <f>'Hampshire Daily'!G10-'Hampshire Daily'!G9</f>
        <v>1866</v>
      </c>
      <c r="I7" s="4">
        <f>'Hampshire Daily'!H10-'Hampshire Daily'!H9</f>
        <v>32</v>
      </c>
      <c r="J7" s="4">
        <f>'Hampshire Daily'!I10-'Hampshire Daily'!I9</f>
        <v>2430</v>
      </c>
      <c r="K7" s="4">
        <f>'Hampshire Daily'!J10-'Hampshire Daily'!J9</f>
        <v>1036</v>
      </c>
      <c r="L7" s="4">
        <f>'Hampshire Daily'!K10-'Hampshire Daily'!K9</f>
        <v>3</v>
      </c>
      <c r="M7" s="4">
        <f>'Hampshire Daily'!N10-'Hampshire Daily'!N9</f>
        <v>3186</v>
      </c>
      <c r="N7" s="4">
        <f>'Hampshire Daily'!O10-'Hampshire Daily'!O9</f>
        <v>81.5</v>
      </c>
      <c r="O7" s="4">
        <f>'Hampshire Daily'!P10-'Hampshire Daily'!P9</f>
        <v>55</v>
      </c>
      <c r="P7" s="4">
        <f>'Hampshire Daily'!Q10-'Hampshire Daily'!Q9</f>
        <v>61</v>
      </c>
      <c r="Q7" s="4">
        <f>'Hampshire Daily'!T10-'Hampshire Daily'!T9</f>
        <v>6</v>
      </c>
      <c r="R7" s="4">
        <f>'Hampshire Daily'!B10</f>
        <v>18</v>
      </c>
      <c r="S7" s="4">
        <f>'Hampshire Daily'!C10</f>
        <v>40</v>
      </c>
    </row>
    <row r="8" spans="1:23" x14ac:dyDescent="0.25">
      <c r="A8" s="3" t="s">
        <v>12</v>
      </c>
      <c r="B8" s="1">
        <f t="shared" si="0"/>
        <v>7</v>
      </c>
      <c r="C8" s="1">
        <v>3</v>
      </c>
      <c r="D8" s="1">
        <v>2022</v>
      </c>
      <c r="E8" s="4">
        <f>'Hampshire Daily'!D11-'Hampshire Daily'!D10</f>
        <v>2720</v>
      </c>
      <c r="F8" s="4">
        <f>'Hampshire Daily'!E11-'Hampshire Daily'!E10</f>
        <v>2318</v>
      </c>
      <c r="G8" s="4">
        <f>'Hampshire Daily'!F11-'Hampshire Daily'!F10</f>
        <v>0</v>
      </c>
      <c r="H8" s="4">
        <f>'Hampshire Daily'!G11-'Hampshire Daily'!G10</f>
        <v>1866</v>
      </c>
      <c r="I8" s="4">
        <f>'Hampshire Daily'!H11-'Hampshire Daily'!H10</f>
        <v>32</v>
      </c>
      <c r="J8" s="4">
        <f>'Hampshire Daily'!I11-'Hampshire Daily'!I10</f>
        <v>2430</v>
      </c>
      <c r="K8" s="4">
        <f>'Hampshire Daily'!J11-'Hampshire Daily'!J10</f>
        <v>1638</v>
      </c>
      <c r="L8" s="4">
        <f>'Hampshire Daily'!K11-'Hampshire Daily'!K10</f>
        <v>2</v>
      </c>
      <c r="M8" s="4">
        <f>'Hampshire Daily'!N11-'Hampshire Daily'!N10</f>
        <v>3404</v>
      </c>
      <c r="N8" s="4">
        <f>'Hampshire Daily'!O11-'Hampshire Daily'!O10</f>
        <v>81.5</v>
      </c>
      <c r="O8" s="4">
        <f>'Hampshire Daily'!P11-'Hampshire Daily'!P10</f>
        <v>31</v>
      </c>
      <c r="P8" s="4">
        <f>'Hampshire Daily'!Q11-'Hampshire Daily'!Q10</f>
        <v>35</v>
      </c>
      <c r="Q8" s="4">
        <f>'Hampshire Daily'!T11-'Hampshire Daily'!T10</f>
        <v>11</v>
      </c>
      <c r="R8" s="4">
        <f>'Hampshire Daily'!B11</f>
        <v>18</v>
      </c>
      <c r="S8" s="4">
        <f>'Hampshire Daily'!C11</f>
        <v>38</v>
      </c>
    </row>
    <row r="9" spans="1:23" x14ac:dyDescent="0.25">
      <c r="A9" s="3" t="s">
        <v>12</v>
      </c>
      <c r="B9" s="1">
        <f t="shared" si="0"/>
        <v>8</v>
      </c>
      <c r="C9" s="1">
        <v>3</v>
      </c>
      <c r="D9" s="1">
        <v>2022</v>
      </c>
      <c r="E9" s="4">
        <f>'Hampshire Daily'!D12-'Hampshire Daily'!D11</f>
        <v>2629</v>
      </c>
      <c r="F9" s="4">
        <f>'Hampshire Daily'!E12-'Hampshire Daily'!E11</f>
        <v>1932</v>
      </c>
      <c r="G9" s="4">
        <f>'Hampshire Daily'!F12-'Hampshire Daily'!F11</f>
        <v>0</v>
      </c>
      <c r="H9" s="4">
        <f>'Hampshire Daily'!G12-'Hampshire Daily'!G11</f>
        <v>1866</v>
      </c>
      <c r="I9" s="4">
        <f>'Hampshire Daily'!H12-'Hampshire Daily'!H11</f>
        <v>32</v>
      </c>
      <c r="J9" s="4">
        <f>'Hampshire Daily'!I12-'Hampshire Daily'!I11</f>
        <v>2430</v>
      </c>
      <c r="K9" s="4">
        <f>'Hampshire Daily'!J12-'Hampshire Daily'!J11</f>
        <v>1048</v>
      </c>
      <c r="L9" s="4">
        <f>'Hampshire Daily'!K12-'Hampshire Daily'!K11</f>
        <v>0</v>
      </c>
      <c r="M9" s="4">
        <f>'Hampshire Daily'!N12-'Hampshire Daily'!N11</f>
        <v>3349</v>
      </c>
      <c r="N9" s="4">
        <f>'Hampshire Daily'!O12-'Hampshire Daily'!O11</f>
        <v>65</v>
      </c>
      <c r="O9" s="4">
        <f>'Hampshire Daily'!P12-'Hampshire Daily'!P11</f>
        <v>27</v>
      </c>
      <c r="P9" s="4">
        <f>'Hampshire Daily'!Q12-'Hampshire Daily'!Q11</f>
        <v>32</v>
      </c>
      <c r="Q9" s="4">
        <f>'Hampshire Daily'!T12-'Hampshire Daily'!T11</f>
        <v>6</v>
      </c>
      <c r="R9" s="4">
        <f>'Hampshire Daily'!B12</f>
        <v>33</v>
      </c>
      <c r="S9" s="4">
        <f>'Hampshire Daily'!C12</f>
        <v>54</v>
      </c>
    </row>
    <row r="10" spans="1:23" x14ac:dyDescent="0.25">
      <c r="A10" s="3" t="s">
        <v>12</v>
      </c>
      <c r="B10" s="1">
        <f t="shared" si="0"/>
        <v>9</v>
      </c>
      <c r="C10" s="1">
        <v>3</v>
      </c>
      <c r="D10" s="1">
        <v>2022</v>
      </c>
      <c r="E10" s="4">
        <f>'Hampshire Daily'!D13-'Hampshire Daily'!D12</f>
        <v>2979</v>
      </c>
      <c r="F10" s="4">
        <f>'Hampshire Daily'!E13-'Hampshire Daily'!E12</f>
        <v>1884</v>
      </c>
      <c r="G10" s="4">
        <f>'Hampshire Daily'!F13-'Hampshire Daily'!F12</f>
        <v>23</v>
      </c>
      <c r="H10" s="4">
        <f>'Hampshire Daily'!G13-'Hampshire Daily'!G12</f>
        <v>1866</v>
      </c>
      <c r="I10" s="4">
        <f>'Hampshire Daily'!H13-'Hampshire Daily'!H12</f>
        <v>32</v>
      </c>
      <c r="J10" s="4">
        <f>'Hampshire Daily'!I13-'Hampshire Daily'!I12</f>
        <v>2430</v>
      </c>
      <c r="K10" s="4">
        <f>'Hampshire Daily'!J13-'Hampshire Daily'!J12</f>
        <v>969</v>
      </c>
      <c r="L10" s="4">
        <f>'Hampshire Daily'!K13-'Hampshire Daily'!K12</f>
        <v>13</v>
      </c>
      <c r="M10" s="4">
        <f>'Hampshire Daily'!N13-'Hampshire Daily'!N12</f>
        <v>2938</v>
      </c>
      <c r="N10" s="4">
        <f>'Hampshire Daily'!O13-'Hampshire Daily'!O12</f>
        <v>58</v>
      </c>
      <c r="O10" s="4">
        <f>'Hampshire Daily'!P13-'Hampshire Daily'!P12</f>
        <v>27</v>
      </c>
      <c r="P10" s="4">
        <f>'Hampshire Daily'!Q13-'Hampshire Daily'!Q12</f>
        <v>33</v>
      </c>
      <c r="Q10" s="4">
        <f>'Hampshire Daily'!T13-'Hampshire Daily'!T12</f>
        <v>4</v>
      </c>
      <c r="R10" s="4">
        <f>'Hampshire Daily'!B13</f>
        <v>45</v>
      </c>
      <c r="S10" s="4">
        <f>'Hampshire Daily'!C13</f>
        <v>70</v>
      </c>
    </row>
    <row r="11" spans="1:23" x14ac:dyDescent="0.25">
      <c r="A11" s="3" t="s">
        <v>12</v>
      </c>
      <c r="B11" s="1">
        <f t="shared" si="0"/>
        <v>10</v>
      </c>
      <c r="C11" s="1">
        <v>3</v>
      </c>
      <c r="D11" s="1">
        <v>2022</v>
      </c>
      <c r="E11" s="4">
        <f>'Hampshire Daily'!D14-'Hampshire Daily'!D13</f>
        <v>3160</v>
      </c>
      <c r="F11" s="4">
        <f>'Hampshire Daily'!E14-'Hampshire Daily'!E13</f>
        <v>1881</v>
      </c>
      <c r="G11" s="4">
        <f>'Hampshire Daily'!F14-'Hampshire Daily'!F13</f>
        <v>0</v>
      </c>
      <c r="H11" s="4">
        <f>'Hampshire Daily'!G14-'Hampshire Daily'!G13</f>
        <v>1866</v>
      </c>
      <c r="I11" s="4">
        <f>'Hampshire Daily'!H14-'Hampshire Daily'!H13</f>
        <v>32</v>
      </c>
      <c r="J11" s="4">
        <f>'Hampshire Daily'!I14-'Hampshire Daily'!I13</f>
        <v>2430</v>
      </c>
      <c r="K11" s="4">
        <f>'Hampshire Daily'!J14-'Hampshire Daily'!J13</f>
        <v>1036</v>
      </c>
      <c r="L11" s="4">
        <f>'Hampshire Daily'!K14-'Hampshire Daily'!K13</f>
        <v>1</v>
      </c>
      <c r="M11" s="4">
        <f>'Hampshire Daily'!N14-'Hampshire Daily'!N13</f>
        <v>2792</v>
      </c>
      <c r="N11" s="4">
        <f>'Hampshire Daily'!O14-'Hampshire Daily'!O13</f>
        <v>72</v>
      </c>
      <c r="O11" s="4">
        <f>'Hampshire Daily'!P14-'Hampshire Daily'!P13</f>
        <v>33</v>
      </c>
      <c r="P11" s="4">
        <f>'Hampshire Daily'!Q14-'Hampshire Daily'!Q13</f>
        <v>37</v>
      </c>
      <c r="Q11" s="4">
        <f>'Hampshire Daily'!T14-'Hampshire Daily'!T13</f>
        <v>4</v>
      </c>
      <c r="R11" s="4">
        <f>'Hampshire Daily'!B14</f>
        <v>109</v>
      </c>
      <c r="S11" s="4">
        <f>'Hampshire Daily'!C14</f>
        <v>138</v>
      </c>
    </row>
    <row r="12" spans="1:23" x14ac:dyDescent="0.25">
      <c r="A12" s="3" t="s">
        <v>12</v>
      </c>
      <c r="B12" s="1">
        <f t="shared" si="0"/>
        <v>11</v>
      </c>
      <c r="C12" s="1">
        <v>3</v>
      </c>
      <c r="D12" s="1">
        <v>2022</v>
      </c>
      <c r="E12" s="4">
        <f>'Hampshire Daily'!D15-'Hampshire Daily'!D14</f>
        <v>2871</v>
      </c>
      <c r="F12" s="4">
        <f>'Hampshire Daily'!E15-'Hampshire Daily'!E14</f>
        <v>2778</v>
      </c>
      <c r="G12" s="4">
        <f>'Hampshire Daily'!F15-'Hampshire Daily'!F14</f>
        <v>0</v>
      </c>
      <c r="H12" s="4">
        <f>'Hampshire Daily'!G15-'Hampshire Daily'!G14</f>
        <v>1866</v>
      </c>
      <c r="I12" s="4">
        <f>'Hampshire Daily'!H15-'Hampshire Daily'!H14</f>
        <v>32</v>
      </c>
      <c r="J12" s="4">
        <f>'Hampshire Daily'!I15-'Hampshire Daily'!I14</f>
        <v>2430</v>
      </c>
      <c r="K12" s="4">
        <f>'Hampshire Daily'!J15-'Hampshire Daily'!J14</f>
        <v>1036</v>
      </c>
      <c r="L12" s="4">
        <f>'Hampshire Daily'!K15-'Hampshire Daily'!K14</f>
        <v>0</v>
      </c>
      <c r="M12" s="4">
        <f>'Hampshire Daily'!N15-'Hampshire Daily'!N14</f>
        <v>2708</v>
      </c>
      <c r="N12" s="4">
        <f>'Hampshire Daily'!O15-'Hampshire Daily'!O14</f>
        <v>78</v>
      </c>
      <c r="O12" s="4">
        <f>'Hampshire Daily'!P15-'Hampshire Daily'!P14</f>
        <v>43</v>
      </c>
      <c r="P12" s="4">
        <f>'Hampshire Daily'!Q15-'Hampshire Daily'!Q14</f>
        <v>47</v>
      </c>
      <c r="Q12" s="4">
        <f>'Hampshire Daily'!T15-'Hampshire Daily'!T14</f>
        <v>5</v>
      </c>
      <c r="R12" s="4">
        <f>'Hampshire Daily'!B15</f>
        <v>49</v>
      </c>
      <c r="S12" s="4">
        <f>'Hampshire Daily'!C15</f>
        <v>113</v>
      </c>
    </row>
    <row r="13" spans="1:23" x14ac:dyDescent="0.25">
      <c r="A13" s="3" t="s">
        <v>12</v>
      </c>
      <c r="B13" s="1">
        <f t="shared" si="0"/>
        <v>12</v>
      </c>
      <c r="C13" s="1">
        <v>3</v>
      </c>
      <c r="D13" s="1">
        <v>2022</v>
      </c>
      <c r="E13" s="4">
        <f>'Hampshire Daily'!D16-'Hampshire Daily'!D15</f>
        <v>2353</v>
      </c>
      <c r="F13" s="4">
        <f>'Hampshire Daily'!E16-'Hampshire Daily'!E15</f>
        <v>3431</v>
      </c>
      <c r="G13" s="4">
        <f>'Hampshire Daily'!F16-'Hampshire Daily'!F15</f>
        <v>0</v>
      </c>
      <c r="H13" s="4">
        <f>'Hampshire Daily'!G16-'Hampshire Daily'!G15</f>
        <v>1866</v>
      </c>
      <c r="I13" s="4">
        <f>'Hampshire Daily'!H16-'Hampshire Daily'!H15</f>
        <v>32</v>
      </c>
      <c r="J13" s="4">
        <f>'Hampshire Daily'!I16-'Hampshire Daily'!I15</f>
        <v>2430</v>
      </c>
      <c r="K13" s="4">
        <f>'Hampshire Daily'!J16-'Hampshire Daily'!J15</f>
        <v>1036</v>
      </c>
      <c r="L13" s="4">
        <f>'Hampshire Daily'!K16-'Hampshire Daily'!K15</f>
        <v>1</v>
      </c>
      <c r="M13" s="4">
        <f>'Hampshire Daily'!N16-'Hampshire Daily'!N15</f>
        <v>3061</v>
      </c>
      <c r="N13" s="4">
        <f>'Hampshire Daily'!O16-'Hampshire Daily'!O15</f>
        <v>78</v>
      </c>
      <c r="O13" s="4">
        <f>'Hampshire Daily'!P16-'Hampshire Daily'!P15</f>
        <v>47</v>
      </c>
      <c r="P13" s="4">
        <f>'Hampshire Daily'!Q16-'Hampshire Daily'!Q15</f>
        <v>50</v>
      </c>
      <c r="Q13" s="4">
        <f>'Hampshire Daily'!T16-'Hampshire Daily'!T15</f>
        <v>4</v>
      </c>
      <c r="R13" s="4">
        <f>'Hampshire Daily'!B16</f>
        <v>77</v>
      </c>
      <c r="S13" s="4">
        <f>'Hampshire Daily'!C16</f>
        <v>176</v>
      </c>
    </row>
    <row r="14" spans="1:23" x14ac:dyDescent="0.25">
      <c r="A14" s="3" t="s">
        <v>12</v>
      </c>
      <c r="B14" s="1">
        <f t="shared" si="0"/>
        <v>13</v>
      </c>
      <c r="C14" s="1">
        <v>3</v>
      </c>
      <c r="D14" s="1">
        <v>2022</v>
      </c>
      <c r="E14" s="4">
        <f>'Hampshire Daily'!D17-'Hampshire Daily'!D16</f>
        <v>1864</v>
      </c>
      <c r="F14" s="4">
        <f>'Hampshire Daily'!E17-'Hampshire Daily'!E16</f>
        <v>3330</v>
      </c>
      <c r="G14" s="4">
        <f>'Hampshire Daily'!F17-'Hampshire Daily'!F16</f>
        <v>0</v>
      </c>
      <c r="H14" s="4">
        <f>'Hampshire Daily'!G17-'Hampshire Daily'!G16</f>
        <v>1866</v>
      </c>
      <c r="I14" s="4">
        <f>'Hampshire Daily'!H17-'Hampshire Daily'!H16</f>
        <v>32</v>
      </c>
      <c r="J14" s="4">
        <f>'Hampshire Daily'!I17-'Hampshire Daily'!I16</f>
        <v>2430</v>
      </c>
      <c r="K14" s="4">
        <f>'Hampshire Daily'!J17-'Hampshire Daily'!J16</f>
        <v>1036</v>
      </c>
      <c r="L14" s="4">
        <f>'Hampshire Daily'!K17-'Hampshire Daily'!K16</f>
        <v>1</v>
      </c>
      <c r="M14" s="4">
        <f>'Hampshire Daily'!N17-'Hampshire Daily'!N16</f>
        <v>2838</v>
      </c>
      <c r="N14" s="4">
        <f>'Hampshire Daily'!O17-'Hampshire Daily'!O16</f>
        <v>78</v>
      </c>
      <c r="O14" s="4">
        <f>'Hampshire Daily'!P17-'Hampshire Daily'!P16</f>
        <v>43</v>
      </c>
      <c r="P14" s="4">
        <f>'Hampshire Daily'!Q17-'Hampshire Daily'!Q16</f>
        <v>48</v>
      </c>
      <c r="Q14" s="4">
        <f>'Hampshire Daily'!T17-'Hampshire Daily'!T16</f>
        <v>9</v>
      </c>
      <c r="R14" s="4">
        <f>'Hampshire Daily'!B17</f>
        <v>26</v>
      </c>
      <c r="S14" s="4">
        <f>'Hampshire Daily'!C17</f>
        <v>49</v>
      </c>
    </row>
    <row r="15" spans="1:23" x14ac:dyDescent="0.25">
      <c r="A15" s="3" t="s">
        <v>12</v>
      </c>
      <c r="B15" s="1">
        <f t="shared" si="0"/>
        <v>14</v>
      </c>
      <c r="C15" s="1">
        <v>3</v>
      </c>
      <c r="D15" s="1">
        <v>2022</v>
      </c>
      <c r="E15" s="4">
        <f>'Hampshire Daily'!D18-'Hampshire Daily'!D17</f>
        <v>1707</v>
      </c>
      <c r="F15" s="4">
        <f>'Hampshire Daily'!E18-'Hampshire Daily'!E17</f>
        <v>3117</v>
      </c>
      <c r="G15" s="4">
        <f>'Hampshire Daily'!F18-'Hampshire Daily'!F17</f>
        <v>0</v>
      </c>
      <c r="H15" s="4">
        <f>'Hampshire Daily'!G18-'Hampshire Daily'!G17</f>
        <v>1866</v>
      </c>
      <c r="I15" s="4">
        <f>'Hampshire Daily'!H18-'Hampshire Daily'!H17</f>
        <v>32</v>
      </c>
      <c r="J15" s="4">
        <f>'Hampshire Daily'!I18-'Hampshire Daily'!I17</f>
        <v>2430</v>
      </c>
      <c r="K15" s="4">
        <f>'Hampshire Daily'!J18-'Hampshire Daily'!J17</f>
        <v>1036</v>
      </c>
      <c r="L15" s="4">
        <f>'Hampshire Daily'!K18-'Hampshire Daily'!K17</f>
        <v>0</v>
      </c>
      <c r="M15" s="4">
        <f>'Hampshire Daily'!N18-'Hampshire Daily'!N17</f>
        <v>2892</v>
      </c>
      <c r="N15" s="4">
        <f>'Hampshire Daily'!O18-'Hampshire Daily'!O17</f>
        <v>81</v>
      </c>
      <c r="O15" s="4">
        <f>'Hampshire Daily'!P18-'Hampshire Daily'!P17</f>
        <v>38</v>
      </c>
      <c r="P15" s="4">
        <f>'Hampshire Daily'!Q18-'Hampshire Daily'!Q17</f>
        <v>43</v>
      </c>
      <c r="Q15" s="4">
        <f>'Hampshire Daily'!T18-'Hampshire Daily'!T17</f>
        <v>7</v>
      </c>
      <c r="R15" s="4">
        <f>'Hampshire Daily'!B18</f>
        <v>38</v>
      </c>
      <c r="S15" s="4">
        <f>'Hampshire Daily'!C18</f>
        <v>64</v>
      </c>
    </row>
    <row r="16" spans="1:23" x14ac:dyDescent="0.25">
      <c r="A16" s="3" t="s">
        <v>12</v>
      </c>
      <c r="B16" s="1">
        <f t="shared" si="0"/>
        <v>15</v>
      </c>
      <c r="C16" s="1">
        <v>3</v>
      </c>
      <c r="D16" s="1">
        <v>2022</v>
      </c>
      <c r="E16" s="4">
        <f>'Hampshire Daily'!D19-'Hampshire Daily'!D18</f>
        <v>2936</v>
      </c>
      <c r="F16" s="4">
        <f>'Hampshire Daily'!E19-'Hampshire Daily'!E18</f>
        <v>1770</v>
      </c>
      <c r="G16" s="4">
        <f>'Hampshire Daily'!F19-'Hampshire Daily'!F18</f>
        <v>0</v>
      </c>
      <c r="H16" s="4">
        <f>'Hampshire Daily'!G19-'Hampshire Daily'!G18</f>
        <v>1866</v>
      </c>
      <c r="I16" s="4">
        <f>'Hampshire Daily'!H19-'Hampshire Daily'!H18</f>
        <v>32</v>
      </c>
      <c r="J16" s="4">
        <f>'Hampshire Daily'!I19-'Hampshire Daily'!I18</f>
        <v>2430</v>
      </c>
      <c r="K16" s="4">
        <f>'Hampshire Daily'!J19-'Hampshire Daily'!J18</f>
        <v>1036</v>
      </c>
      <c r="L16" s="4">
        <f>'Hampshire Daily'!K19-'Hampshire Daily'!K18</f>
        <v>0</v>
      </c>
      <c r="M16" s="4">
        <f>'Hampshire Daily'!N19-'Hampshire Daily'!N18</f>
        <v>2908</v>
      </c>
      <c r="N16" s="4">
        <f>'Hampshire Daily'!O19-'Hampshire Daily'!O18</f>
        <v>65</v>
      </c>
      <c r="O16" s="4">
        <f>'Hampshire Daily'!P19-'Hampshire Daily'!P18</f>
        <v>26</v>
      </c>
      <c r="P16" s="4">
        <f>'Hampshire Daily'!Q19-'Hampshire Daily'!Q18</f>
        <v>30</v>
      </c>
      <c r="Q16" s="4">
        <f>'Hampshire Daily'!T19-'Hampshire Daily'!T18</f>
        <v>5</v>
      </c>
      <c r="R16" s="4">
        <f>'Hampshire Daily'!B19</f>
        <v>34</v>
      </c>
      <c r="S16" s="4">
        <f>'Hampshire Daily'!C19</f>
        <v>56</v>
      </c>
    </row>
    <row r="17" spans="1:19" x14ac:dyDescent="0.25">
      <c r="A17" s="3" t="s">
        <v>12</v>
      </c>
      <c r="B17" s="1">
        <f t="shared" si="0"/>
        <v>16</v>
      </c>
      <c r="C17" s="1">
        <v>3</v>
      </c>
      <c r="D17" s="1">
        <v>2022</v>
      </c>
      <c r="E17" s="4">
        <f>'Hampshire Daily'!D20-'Hampshire Daily'!D19</f>
        <v>2419</v>
      </c>
      <c r="F17" s="4">
        <f>'Hampshire Daily'!E20-'Hampshire Daily'!E19</f>
        <v>2696</v>
      </c>
      <c r="G17" s="4">
        <f>'Hampshire Daily'!F20-'Hampshire Daily'!F19</f>
        <v>41</v>
      </c>
      <c r="H17" s="4">
        <f>'Hampshire Daily'!G20-'Hampshire Daily'!G19</f>
        <v>1866</v>
      </c>
      <c r="I17" s="4">
        <f>'Hampshire Daily'!H20-'Hampshire Daily'!H19</f>
        <v>32</v>
      </c>
      <c r="J17" s="4">
        <f>'Hampshire Daily'!I20-'Hampshire Daily'!I19</f>
        <v>2430</v>
      </c>
      <c r="K17" s="4">
        <f>'Hampshire Daily'!J20-'Hampshire Daily'!J19</f>
        <v>1036</v>
      </c>
      <c r="L17" s="4">
        <f>'Hampshire Daily'!K20-'Hampshire Daily'!K19</f>
        <v>16</v>
      </c>
      <c r="M17" s="4">
        <f>'Hampshire Daily'!N20-'Hampshire Daily'!N19</f>
        <v>2608</v>
      </c>
      <c r="N17" s="4">
        <f>'Hampshire Daily'!O20-'Hampshire Daily'!O19</f>
        <v>65</v>
      </c>
      <c r="O17" s="4">
        <f>'Hampshire Daily'!P20-'Hampshire Daily'!P19</f>
        <v>34</v>
      </c>
      <c r="P17" s="4">
        <f>'Hampshire Daily'!Q20-'Hampshire Daily'!Q19</f>
        <v>38</v>
      </c>
      <c r="Q17" s="4">
        <f>'Hampshire Daily'!T20-'Hampshire Daily'!T19</f>
        <v>5</v>
      </c>
      <c r="R17" s="4">
        <f>'Hampshire Daily'!B20</f>
        <v>53</v>
      </c>
      <c r="S17" s="4">
        <f>'Hampshire Daily'!C20</f>
        <v>86</v>
      </c>
    </row>
    <row r="18" spans="1:19" x14ac:dyDescent="0.25">
      <c r="A18" s="3" t="s">
        <v>12</v>
      </c>
      <c r="B18" s="1">
        <f t="shared" si="0"/>
        <v>17</v>
      </c>
      <c r="C18" s="1">
        <v>3</v>
      </c>
      <c r="D18" s="1">
        <v>2022</v>
      </c>
      <c r="E18" s="4">
        <f>'Hampshire Daily'!D21-'Hampshire Daily'!D20</f>
        <v>2123</v>
      </c>
      <c r="F18" s="4">
        <f>'Hampshire Daily'!E21-'Hampshire Daily'!E20</f>
        <v>3395</v>
      </c>
      <c r="G18" s="4">
        <f>'Hampshire Daily'!F21-'Hampshire Daily'!F20</f>
        <v>53</v>
      </c>
      <c r="H18" s="4">
        <f>'Hampshire Daily'!G21-'Hampshire Daily'!G20</f>
        <v>1866</v>
      </c>
      <c r="I18" s="4">
        <f>'Hampshire Daily'!H21-'Hampshire Daily'!H20</f>
        <v>32</v>
      </c>
      <c r="J18" s="4">
        <f>'Hampshire Daily'!I21-'Hampshire Daily'!I20</f>
        <v>2430</v>
      </c>
      <c r="K18" s="4">
        <f>'Hampshire Daily'!J21-'Hampshire Daily'!J20</f>
        <v>1036</v>
      </c>
      <c r="L18" s="4">
        <f>'Hampshire Daily'!K21-'Hampshire Daily'!K20</f>
        <v>0</v>
      </c>
      <c r="M18" s="4">
        <f>'Hampshire Daily'!N21-'Hampshire Daily'!N20</f>
        <v>2994</v>
      </c>
      <c r="N18" s="4">
        <f>'Hampshire Daily'!O21-'Hampshire Daily'!O20</f>
        <v>65</v>
      </c>
      <c r="O18" s="4">
        <f>'Hampshire Daily'!P21-'Hampshire Daily'!P20</f>
        <v>33</v>
      </c>
      <c r="P18" s="4">
        <f>'Hampshire Daily'!Q21-'Hampshire Daily'!Q20</f>
        <v>37</v>
      </c>
      <c r="Q18" s="4">
        <f>'Hampshire Daily'!T21-'Hampshire Daily'!T20</f>
        <v>23</v>
      </c>
      <c r="R18" s="4">
        <f>'Hampshire Daily'!B21</f>
        <v>50</v>
      </c>
      <c r="S18" s="4">
        <f>'Hampshire Daily'!C21</f>
        <v>84</v>
      </c>
    </row>
    <row r="19" spans="1:19" x14ac:dyDescent="0.25">
      <c r="A19" s="3" t="s">
        <v>12</v>
      </c>
      <c r="B19" s="1">
        <f t="shared" si="0"/>
        <v>18</v>
      </c>
      <c r="C19" s="1">
        <v>3</v>
      </c>
      <c r="D19" s="1">
        <v>2022</v>
      </c>
      <c r="E19" s="4">
        <f>'Hampshire Daily'!D22-'Hampshire Daily'!D21</f>
        <v>3366</v>
      </c>
      <c r="F19" s="4">
        <f>'Hampshire Daily'!E22-'Hampshire Daily'!E21</f>
        <v>2755</v>
      </c>
      <c r="G19" s="4">
        <f>'Hampshire Daily'!F22-'Hampshire Daily'!F21</f>
        <v>86</v>
      </c>
      <c r="H19" s="4">
        <f>'Hampshire Daily'!G22-'Hampshire Daily'!G21</f>
        <v>1866</v>
      </c>
      <c r="I19" s="4">
        <f>'Hampshire Daily'!H22-'Hampshire Daily'!H21</f>
        <v>32</v>
      </c>
      <c r="J19" s="4">
        <f>'Hampshire Daily'!I22-'Hampshire Daily'!I21</f>
        <v>2430</v>
      </c>
      <c r="K19" s="4">
        <f>'Hampshire Daily'!J22-'Hampshire Daily'!J21</f>
        <v>1241</v>
      </c>
      <c r="L19" s="4">
        <f>'Hampshire Daily'!K22-'Hampshire Daily'!K21</f>
        <v>170</v>
      </c>
      <c r="M19" s="4">
        <f>'Hampshire Daily'!N22-'Hampshire Daily'!N21</f>
        <v>2590</v>
      </c>
      <c r="N19" s="4">
        <f>'Hampshire Daily'!O22-'Hampshire Daily'!O21</f>
        <v>65</v>
      </c>
      <c r="O19" s="4">
        <f>'Hampshire Daily'!P22-'Hampshire Daily'!P21</f>
        <v>34</v>
      </c>
      <c r="P19" s="4">
        <f>'Hampshire Daily'!Q22-'Hampshire Daily'!Q21</f>
        <v>37</v>
      </c>
      <c r="Q19" s="4">
        <f>'Hampshire Daily'!T22-'Hampshire Daily'!T21</f>
        <v>7</v>
      </c>
      <c r="R19" s="4">
        <f>'Hampshire Daily'!B22</f>
        <v>51</v>
      </c>
      <c r="S19" s="4">
        <f>'Hampshire Daily'!C22</f>
        <v>114</v>
      </c>
    </row>
    <row r="20" spans="1:19" x14ac:dyDescent="0.25">
      <c r="A20" s="3" t="s">
        <v>12</v>
      </c>
      <c r="B20" s="1">
        <f t="shared" si="0"/>
        <v>19</v>
      </c>
      <c r="C20" s="1">
        <v>3</v>
      </c>
      <c r="D20" s="1">
        <v>2022</v>
      </c>
      <c r="E20" s="4">
        <f>'Hampshire Daily'!D23-'Hampshire Daily'!D22</f>
        <v>3011</v>
      </c>
      <c r="F20" s="4">
        <f>'Hampshire Daily'!E23-'Hampshire Daily'!E22</f>
        <v>2267</v>
      </c>
      <c r="G20" s="4">
        <f>'Hampshire Daily'!F23-'Hampshire Daily'!F22</f>
        <v>0</v>
      </c>
      <c r="H20" s="4">
        <f>'Hampshire Daily'!G23-'Hampshire Daily'!G22</f>
        <v>1866</v>
      </c>
      <c r="I20" s="4">
        <f>'Hampshire Daily'!H23-'Hampshire Daily'!H22</f>
        <v>32</v>
      </c>
      <c r="J20" s="4">
        <f>'Hampshire Daily'!I23-'Hampshire Daily'!I22</f>
        <v>2430</v>
      </c>
      <c r="K20" s="4">
        <f>'Hampshire Daily'!J23-'Hampshire Daily'!J22</f>
        <v>1247</v>
      </c>
      <c r="L20" s="4">
        <f>'Hampshire Daily'!K23-'Hampshire Daily'!K22</f>
        <v>1</v>
      </c>
      <c r="M20" s="4">
        <f>'Hampshire Daily'!N23-'Hampshire Daily'!N22</f>
        <v>2700</v>
      </c>
      <c r="N20" s="4">
        <f>'Hampshire Daily'!O23-'Hampshire Daily'!O22</f>
        <v>74</v>
      </c>
      <c r="O20" s="4">
        <f>'Hampshire Daily'!P23-'Hampshire Daily'!P22</f>
        <v>42</v>
      </c>
      <c r="P20" s="4">
        <f>'Hampshire Daily'!Q23-'Hampshire Daily'!Q22</f>
        <v>43</v>
      </c>
      <c r="Q20" s="4">
        <f>'Hampshire Daily'!T23-'Hampshire Daily'!T22</f>
        <v>9</v>
      </c>
      <c r="R20" s="4">
        <f>'Hampshire Daily'!B23</f>
        <v>71</v>
      </c>
      <c r="S20" s="4">
        <f>'Hampshire Daily'!C23</f>
        <v>168</v>
      </c>
    </row>
    <row r="21" spans="1:19" x14ac:dyDescent="0.25">
      <c r="A21" s="3" t="s">
        <v>12</v>
      </c>
      <c r="B21" s="1">
        <f t="shared" si="0"/>
        <v>20</v>
      </c>
      <c r="C21" s="1">
        <v>3</v>
      </c>
      <c r="D21" s="1">
        <v>2022</v>
      </c>
      <c r="E21" s="4">
        <f>'Hampshire Daily'!D24-'Hampshire Daily'!D23</f>
        <v>2710</v>
      </c>
      <c r="F21" s="4">
        <f>'Hampshire Daily'!E24-'Hampshire Daily'!E23</f>
        <v>2279</v>
      </c>
      <c r="G21" s="4">
        <f>'Hampshire Daily'!F24-'Hampshire Daily'!F23</f>
        <v>0</v>
      </c>
      <c r="H21" s="4">
        <f>'Hampshire Daily'!G24-'Hampshire Daily'!G23</f>
        <v>1866</v>
      </c>
      <c r="I21" s="4">
        <f>'Hampshire Daily'!H24-'Hampshire Daily'!H23</f>
        <v>32</v>
      </c>
      <c r="J21" s="4">
        <f>'Hampshire Daily'!I24-'Hampshire Daily'!I23</f>
        <v>2430</v>
      </c>
      <c r="K21" s="4">
        <f>'Hampshire Daily'!J24-'Hampshire Daily'!J23</f>
        <v>1316</v>
      </c>
      <c r="L21" s="4">
        <f>'Hampshire Daily'!K24-'Hampshire Daily'!K23</f>
        <v>0</v>
      </c>
      <c r="M21" s="4">
        <f>'Hampshire Daily'!N24-'Hampshire Daily'!N23</f>
        <v>2815</v>
      </c>
      <c r="N21" s="4">
        <f>'Hampshire Daily'!O24-'Hampshire Daily'!O23</f>
        <v>83</v>
      </c>
      <c r="O21" s="4">
        <f>'Hampshire Daily'!P24-'Hampshire Daily'!P23</f>
        <v>50</v>
      </c>
      <c r="P21" s="4">
        <f>'Hampshire Daily'!Q24-'Hampshire Daily'!Q23</f>
        <v>53</v>
      </c>
      <c r="Q21" s="4">
        <f>'Hampshire Daily'!T24-'Hampshire Daily'!T23</f>
        <v>7</v>
      </c>
      <c r="R21" s="4">
        <f>'Hampshire Daily'!B24</f>
        <v>45</v>
      </c>
      <c r="S21" s="4">
        <f>'Hampshire Daily'!C24</f>
        <v>91</v>
      </c>
    </row>
    <row r="22" spans="1:19" x14ac:dyDescent="0.25">
      <c r="A22" s="3" t="s">
        <v>12</v>
      </c>
      <c r="B22" s="1">
        <f t="shared" si="0"/>
        <v>21</v>
      </c>
      <c r="C22" s="1">
        <v>3</v>
      </c>
      <c r="D22" s="1">
        <v>2022</v>
      </c>
      <c r="E22" s="4">
        <f>'Hampshire Daily'!D25-'Hampshire Daily'!D24</f>
        <v>2649</v>
      </c>
      <c r="F22" s="4">
        <f>'Hampshire Daily'!E25-'Hampshire Daily'!E24</f>
        <v>2247</v>
      </c>
      <c r="G22" s="4">
        <f>'Hampshire Daily'!F25-'Hampshire Daily'!F24</f>
        <v>0</v>
      </c>
      <c r="H22" s="4">
        <f>'Hampshire Daily'!G25-'Hampshire Daily'!G24</f>
        <v>1866</v>
      </c>
      <c r="I22" s="4">
        <f>'Hampshire Daily'!H25-'Hampshire Daily'!H24</f>
        <v>32</v>
      </c>
      <c r="J22" s="4">
        <f>'Hampshire Daily'!I25-'Hampshire Daily'!I24</f>
        <v>2430</v>
      </c>
      <c r="K22" s="4">
        <f>'Hampshire Daily'!J25-'Hampshire Daily'!J24</f>
        <v>1036</v>
      </c>
      <c r="L22" s="4">
        <f>'Hampshire Daily'!K25-'Hampshire Daily'!K24</f>
        <v>0</v>
      </c>
      <c r="M22" s="4">
        <f>'Hampshire Daily'!N25-'Hampshire Daily'!N24</f>
        <v>2970</v>
      </c>
      <c r="N22" s="4">
        <f>'Hampshire Daily'!O25-'Hampshire Daily'!O24</f>
        <v>83</v>
      </c>
      <c r="O22" s="4">
        <f>'Hampshire Daily'!P25-'Hampshire Daily'!P24</f>
        <v>45</v>
      </c>
      <c r="P22" s="4">
        <f>'Hampshire Daily'!Q25-'Hampshire Daily'!Q24</f>
        <v>48</v>
      </c>
      <c r="Q22" s="4">
        <f>'Hampshire Daily'!T25-'Hampshire Daily'!T24</f>
        <v>8</v>
      </c>
      <c r="R22" s="4">
        <f>'Hampshire Daily'!B25</f>
        <v>45</v>
      </c>
      <c r="S22" s="4">
        <f>'Hampshire Daily'!C25</f>
        <v>77</v>
      </c>
    </row>
    <row r="23" spans="1:19" x14ac:dyDescent="0.25">
      <c r="A23" s="3" t="s">
        <v>12</v>
      </c>
      <c r="B23" s="1">
        <f t="shared" si="0"/>
        <v>22</v>
      </c>
      <c r="C23" s="1">
        <v>3</v>
      </c>
      <c r="D23" s="1">
        <v>2022</v>
      </c>
      <c r="E23" s="4">
        <f>'Hampshire Daily'!D26-'Hampshire Daily'!D25</f>
        <v>2039</v>
      </c>
      <c r="F23" s="4">
        <f>'Hampshire Daily'!E26-'Hampshire Daily'!E25</f>
        <v>3027</v>
      </c>
      <c r="G23" s="4">
        <f>'Hampshire Daily'!F26-'Hampshire Daily'!F25</f>
        <v>0</v>
      </c>
      <c r="H23" s="4">
        <f>'Hampshire Daily'!G26-'Hampshire Daily'!G25</f>
        <v>1866</v>
      </c>
      <c r="I23" s="4">
        <f>'Hampshire Daily'!H26-'Hampshire Daily'!H25</f>
        <v>32</v>
      </c>
      <c r="J23" s="4">
        <f>'Hampshire Daily'!I26-'Hampshire Daily'!I25</f>
        <v>2430</v>
      </c>
      <c r="K23" s="4">
        <f>'Hampshire Daily'!J26-'Hampshire Daily'!J25</f>
        <v>1199</v>
      </c>
      <c r="L23" s="4">
        <f>'Hampshire Daily'!K26-'Hampshire Daily'!K25</f>
        <v>0</v>
      </c>
      <c r="M23" s="4">
        <f>'Hampshire Daily'!N26-'Hampshire Daily'!N25</f>
        <v>2505</v>
      </c>
      <c r="N23" s="4">
        <f>'Hampshire Daily'!O26-'Hampshire Daily'!O25</f>
        <v>76</v>
      </c>
      <c r="O23" s="4">
        <f>'Hampshire Daily'!P26-'Hampshire Daily'!P25</f>
        <v>34</v>
      </c>
      <c r="P23" s="4">
        <f>'Hampshire Daily'!Q26-'Hampshire Daily'!Q25</f>
        <v>37</v>
      </c>
      <c r="Q23" s="4">
        <f>'Hampshire Daily'!T26-'Hampshire Daily'!T25</f>
        <v>5</v>
      </c>
      <c r="R23" s="4">
        <f>'Hampshire Daily'!B26</f>
        <v>42</v>
      </c>
      <c r="S23" s="4">
        <f>'Hampshire Daily'!C26</f>
        <v>77</v>
      </c>
    </row>
    <row r="24" spans="1:19" x14ac:dyDescent="0.25">
      <c r="A24" s="3" t="s">
        <v>12</v>
      </c>
      <c r="B24" s="1">
        <f t="shared" si="0"/>
        <v>23</v>
      </c>
      <c r="C24" s="1">
        <v>3</v>
      </c>
      <c r="D24" s="1">
        <v>2022</v>
      </c>
      <c r="E24" s="4">
        <f>'Hampshire Daily'!D27-'Hampshire Daily'!D26</f>
        <v>1374</v>
      </c>
      <c r="F24" s="4">
        <f>'Hampshire Daily'!E27-'Hampshire Daily'!E26</f>
        <v>3495</v>
      </c>
      <c r="G24" s="4">
        <f>'Hampshire Daily'!F27-'Hampshire Daily'!F26</f>
        <v>94</v>
      </c>
      <c r="H24" s="4">
        <f>'Hampshire Daily'!G27-'Hampshire Daily'!G26</f>
        <v>1869</v>
      </c>
      <c r="I24" s="4">
        <f>'Hampshire Daily'!H27-'Hampshire Daily'!H26</f>
        <v>0</v>
      </c>
      <c r="J24" s="4">
        <f>'Hampshire Daily'!I27-'Hampshire Daily'!I26</f>
        <v>2486</v>
      </c>
      <c r="K24" s="4">
        <f>'Hampshire Daily'!J27-'Hampshire Daily'!J26</f>
        <v>920</v>
      </c>
      <c r="L24" s="4">
        <f>'Hampshire Daily'!K27-'Hampshire Daily'!K26</f>
        <v>14</v>
      </c>
      <c r="M24" s="4">
        <f>'Hampshire Daily'!N27-'Hampshire Daily'!N26</f>
        <v>2485</v>
      </c>
      <c r="N24" s="4">
        <f>'Hampshire Daily'!O27-'Hampshire Daily'!O26</f>
        <v>66</v>
      </c>
      <c r="O24" s="4">
        <f>'Hampshire Daily'!P27-'Hampshire Daily'!P26</f>
        <v>36</v>
      </c>
      <c r="P24" s="4">
        <f>'Hampshire Daily'!Q27-'Hampshire Daily'!Q26</f>
        <v>39</v>
      </c>
      <c r="Q24" s="4">
        <f>'Hampshire Daily'!T27-'Hampshire Daily'!T26</f>
        <v>4</v>
      </c>
      <c r="R24" s="4">
        <f>'Hampshire Daily'!B27</f>
        <v>107</v>
      </c>
      <c r="S24" s="4">
        <f>'Hampshire Daily'!C27</f>
        <v>77</v>
      </c>
    </row>
    <row r="25" spans="1:19" x14ac:dyDescent="0.25">
      <c r="A25" s="3" t="s">
        <v>12</v>
      </c>
      <c r="B25" s="1">
        <f t="shared" si="0"/>
        <v>24</v>
      </c>
      <c r="C25" s="1">
        <v>3</v>
      </c>
      <c r="D25" s="1">
        <v>2022</v>
      </c>
      <c r="E25" s="4">
        <f>'Hampshire Daily'!D28-'Hampshire Daily'!D27</f>
        <v>2766</v>
      </c>
      <c r="F25" s="4">
        <f>'Hampshire Daily'!E28-'Hampshire Daily'!E27</f>
        <v>3543</v>
      </c>
      <c r="G25" s="4">
        <f>'Hampshire Daily'!F28-'Hampshire Daily'!F27</f>
        <v>0</v>
      </c>
      <c r="H25" s="4">
        <f>'Hampshire Daily'!G28-'Hampshire Daily'!G27</f>
        <v>1676</v>
      </c>
      <c r="I25" s="4">
        <f>'Hampshire Daily'!H28-'Hampshire Daily'!H27</f>
        <v>36</v>
      </c>
      <c r="J25" s="4">
        <f>'Hampshire Daily'!I28-'Hampshire Daily'!I27</f>
        <v>2221</v>
      </c>
      <c r="K25" s="4">
        <f>'Hampshire Daily'!J28-'Hampshire Daily'!J27</f>
        <v>1059</v>
      </c>
      <c r="L25" s="4">
        <f>'Hampshire Daily'!K28-'Hampshire Daily'!K27</f>
        <v>0</v>
      </c>
      <c r="M25" s="4">
        <f>'Hampshire Daily'!N28-'Hampshire Daily'!N27</f>
        <v>2606</v>
      </c>
      <c r="N25" s="4">
        <f>'Hampshire Daily'!O28-'Hampshire Daily'!O27</f>
        <v>72</v>
      </c>
      <c r="O25" s="4">
        <f>'Hampshire Daily'!P28-'Hampshire Daily'!P27</f>
        <v>43</v>
      </c>
      <c r="P25" s="4">
        <f>'Hampshire Daily'!Q28-'Hampshire Daily'!Q27</f>
        <v>48</v>
      </c>
      <c r="Q25" s="4">
        <f>'Hampshire Daily'!T28-'Hampshire Daily'!T27</f>
        <v>4</v>
      </c>
      <c r="R25" s="4">
        <f>'Hampshire Daily'!B28</f>
        <v>131</v>
      </c>
      <c r="S25" s="4">
        <f>'Hampshire Daily'!C28</f>
        <v>180</v>
      </c>
    </row>
    <row r="26" spans="1:19" x14ac:dyDescent="0.25">
      <c r="A26" s="3" t="s">
        <v>12</v>
      </c>
      <c r="B26" s="23">
        <f>B25+1</f>
        <v>25</v>
      </c>
      <c r="C26" s="1">
        <v>3</v>
      </c>
      <c r="D26" s="1">
        <v>2022</v>
      </c>
      <c r="E26" s="4">
        <f>'Hampshire Daily'!D29-'Hampshire Daily'!D28</f>
        <v>2418</v>
      </c>
      <c r="F26" s="4">
        <f>'Hampshire Daily'!E29-'Hampshire Daily'!E28</f>
        <v>3348</v>
      </c>
      <c r="G26" s="4">
        <f>'Hampshire Daily'!F29-'Hampshire Daily'!F28</f>
        <v>0</v>
      </c>
      <c r="H26" s="4">
        <f>'Hampshire Daily'!G29-'Hampshire Daily'!G28</f>
        <v>2055</v>
      </c>
      <c r="I26" s="4">
        <f>'Hampshire Daily'!H29-'Hampshire Daily'!H28</f>
        <v>61</v>
      </c>
      <c r="J26" s="4">
        <f>'Hampshire Daily'!I29-'Hampshire Daily'!I28</f>
        <v>2584</v>
      </c>
      <c r="K26" s="4">
        <f>'Hampshire Daily'!J29-'Hampshire Daily'!J28</f>
        <v>1238</v>
      </c>
      <c r="L26" s="4">
        <f>'Hampshire Daily'!K29-'Hampshire Daily'!K28</f>
        <v>0</v>
      </c>
      <c r="M26" s="4">
        <f>'Hampshire Daily'!N29-'Hampshire Daily'!N28</f>
        <v>2554</v>
      </c>
      <c r="N26" s="4">
        <f>'Hampshire Daily'!O29-'Hampshire Daily'!O28</f>
        <v>89</v>
      </c>
      <c r="O26" s="4">
        <f>'Hampshire Daily'!P29-'Hampshire Daily'!P28</f>
        <v>48</v>
      </c>
      <c r="P26" s="4">
        <f>'Hampshire Daily'!Q29-'Hampshire Daily'!Q28</f>
        <v>55</v>
      </c>
      <c r="Q26" s="4">
        <f>'Hampshire Daily'!T29-'Hampshire Daily'!T28</f>
        <v>4</v>
      </c>
      <c r="R26" s="4">
        <f>'Hampshire Daily'!B29</f>
        <v>83</v>
      </c>
      <c r="S26" s="4">
        <f>'Hampshire Daily'!C29</f>
        <v>171</v>
      </c>
    </row>
    <row r="27" spans="1:19" x14ac:dyDescent="0.25">
      <c r="A27" s="3" t="s">
        <v>12</v>
      </c>
      <c r="B27" s="1">
        <f t="shared" si="0"/>
        <v>26</v>
      </c>
      <c r="C27" s="1">
        <v>3</v>
      </c>
      <c r="D27" s="1">
        <v>2022</v>
      </c>
      <c r="E27" s="4">
        <f>'Hampshire Daily'!D30-'Hampshire Daily'!D29</f>
        <v>2233</v>
      </c>
      <c r="F27" s="4">
        <f>'Hampshire Daily'!E30-'Hampshire Daily'!E29</f>
        <v>3554</v>
      </c>
      <c r="G27" s="4">
        <f>'Hampshire Daily'!F30-'Hampshire Daily'!F29</f>
        <v>0</v>
      </c>
      <c r="H27" s="4">
        <f>'Hampshire Daily'!G30-'Hampshire Daily'!G29</f>
        <v>1967</v>
      </c>
      <c r="I27" s="4">
        <f>'Hampshire Daily'!H30-'Hampshire Daily'!H29</f>
        <v>22</v>
      </c>
      <c r="J27" s="4">
        <f>'Hampshire Daily'!I30-'Hampshire Daily'!I29</f>
        <v>2689</v>
      </c>
      <c r="K27" s="4">
        <f>'Hampshire Daily'!J30-'Hampshire Daily'!J29</f>
        <v>1213</v>
      </c>
      <c r="L27" s="4">
        <f>'Hampshire Daily'!K30-'Hampshire Daily'!K29</f>
        <v>0</v>
      </c>
      <c r="M27" s="4">
        <f>'Hampshire Daily'!N30-'Hampshire Daily'!N29</f>
        <v>2700</v>
      </c>
      <c r="N27" s="4">
        <f>'Hampshire Daily'!O30-'Hampshire Daily'!O29</f>
        <v>77</v>
      </c>
      <c r="O27" s="4">
        <f>'Hampshire Daily'!P30-'Hampshire Daily'!P29</f>
        <v>61</v>
      </c>
      <c r="P27" s="4">
        <f>'Hampshire Daily'!Q30-'Hampshire Daily'!Q29</f>
        <v>64</v>
      </c>
      <c r="Q27" s="4">
        <f>'Hampshire Daily'!T30-'Hampshire Daily'!T29</f>
        <v>5</v>
      </c>
      <c r="R27" s="4">
        <f>'Hampshire Daily'!B30</f>
        <v>108</v>
      </c>
      <c r="S27" s="4">
        <f>'Hampshire Daily'!C30</f>
        <v>207</v>
      </c>
    </row>
    <row r="28" spans="1:19" x14ac:dyDescent="0.25">
      <c r="A28" s="3" t="s">
        <v>12</v>
      </c>
      <c r="B28" s="1">
        <f t="shared" si="0"/>
        <v>27</v>
      </c>
      <c r="C28" s="1">
        <v>3</v>
      </c>
      <c r="D28" s="1">
        <v>2022</v>
      </c>
      <c r="E28" s="4">
        <f>'Hampshire Daily'!D31-'Hampshire Daily'!D30</f>
        <v>2214</v>
      </c>
      <c r="F28" s="4">
        <f>'Hampshire Daily'!E31-'Hampshire Daily'!E30</f>
        <v>3457</v>
      </c>
      <c r="G28" s="4">
        <f>'Hampshire Daily'!F31-'Hampshire Daily'!F30</f>
        <v>0</v>
      </c>
      <c r="H28" s="4">
        <f>'Hampshire Daily'!G31-'Hampshire Daily'!G30</f>
        <v>1744</v>
      </c>
      <c r="I28" s="4">
        <f>'Hampshire Daily'!H31-'Hampshire Daily'!H30</f>
        <v>70</v>
      </c>
      <c r="J28" s="4">
        <f>'Hampshire Daily'!I31-'Hampshire Daily'!I30</f>
        <v>2638</v>
      </c>
      <c r="K28" s="4">
        <f>'Hampshire Daily'!J31-'Hampshire Daily'!J30</f>
        <v>1214</v>
      </c>
      <c r="L28" s="4">
        <f>'Hampshire Daily'!K31-'Hampshire Daily'!K30</f>
        <v>0</v>
      </c>
      <c r="M28" s="4">
        <f>'Hampshire Daily'!N31-'Hampshire Daily'!N30</f>
        <v>2540</v>
      </c>
      <c r="N28" s="4">
        <f>'Hampshire Daily'!O31-'Hampshire Daily'!O30</f>
        <v>80</v>
      </c>
      <c r="O28" s="4">
        <f>'Hampshire Daily'!P31-'Hampshire Daily'!P30</f>
        <v>42</v>
      </c>
      <c r="P28" s="4">
        <f>'Hampshire Daily'!Q31-'Hampshire Daily'!Q30</f>
        <v>46</v>
      </c>
      <c r="Q28" s="4">
        <f>'Hampshire Daily'!T31-'Hampshire Daily'!T30</f>
        <v>7</v>
      </c>
      <c r="R28" s="4">
        <f>'Hampshire Daily'!B31</f>
        <v>133</v>
      </c>
      <c r="S28" s="4">
        <f>'Hampshire Daily'!C31</f>
        <v>134</v>
      </c>
    </row>
    <row r="29" spans="1:19" x14ac:dyDescent="0.25">
      <c r="A29" s="3" t="s">
        <v>12</v>
      </c>
      <c r="B29" s="1">
        <f t="shared" si="0"/>
        <v>28</v>
      </c>
      <c r="C29" s="1">
        <v>3</v>
      </c>
      <c r="D29" s="1">
        <v>2022</v>
      </c>
      <c r="E29" s="4">
        <f>'Hampshire Daily'!D32-'Hampshire Daily'!D31</f>
        <v>2169</v>
      </c>
      <c r="F29" s="4">
        <f>'Hampshire Daily'!E32-'Hampshire Daily'!E31</f>
        <v>3610</v>
      </c>
      <c r="G29" s="4">
        <f>'Hampshire Daily'!F32-'Hampshire Daily'!F31</f>
        <v>0</v>
      </c>
      <c r="H29" s="4">
        <f>'Hampshire Daily'!G32-'Hampshire Daily'!G31</f>
        <v>1905</v>
      </c>
      <c r="I29" s="4">
        <f>'Hampshire Daily'!H32-'Hampshire Daily'!H31</f>
        <v>100</v>
      </c>
      <c r="J29" s="4">
        <f>'Hampshire Daily'!I32-'Hampshire Daily'!I31</f>
        <v>2467</v>
      </c>
      <c r="K29" s="4">
        <f>'Hampshire Daily'!J32-'Hampshire Daily'!J31</f>
        <v>312917</v>
      </c>
      <c r="L29" s="4">
        <f>'Hampshire Daily'!K32-'Hampshire Daily'!K31</f>
        <v>0</v>
      </c>
      <c r="M29" s="4">
        <f>'Hampshire Daily'!N32-'Hampshire Daily'!N31</f>
        <v>2772</v>
      </c>
      <c r="N29" s="4">
        <f>'Hampshire Daily'!O32-'Hampshire Daily'!O31</f>
        <v>98</v>
      </c>
      <c r="O29" s="4">
        <f>'Hampshire Daily'!P32-'Hampshire Daily'!P31</f>
        <v>47</v>
      </c>
      <c r="P29" s="4">
        <f>'Hampshire Daily'!Q32-'Hampshire Daily'!Q31</f>
        <v>51</v>
      </c>
      <c r="Q29" s="4">
        <f>'Hampshire Daily'!T32-'Hampshire Daily'!T31</f>
        <v>8</v>
      </c>
      <c r="R29" s="4">
        <f>'Hampshire Daily'!B32</f>
        <v>134</v>
      </c>
      <c r="S29" s="4">
        <f>'Hampshire Daily'!C32</f>
        <v>135</v>
      </c>
    </row>
    <row r="30" spans="1:19" x14ac:dyDescent="0.25">
      <c r="A30" s="3" t="s">
        <v>12</v>
      </c>
      <c r="B30" s="1">
        <f t="shared" si="0"/>
        <v>29</v>
      </c>
      <c r="C30" s="1">
        <v>3</v>
      </c>
      <c r="D30" s="1">
        <v>2022</v>
      </c>
      <c r="E30" s="4">
        <f>'Hampshire Daily'!D33-'Hampshire Daily'!D32</f>
        <v>2614</v>
      </c>
      <c r="F30" s="4">
        <f>'Hampshire Daily'!E33-'Hampshire Daily'!E32</f>
        <v>3493</v>
      </c>
      <c r="G30" s="4">
        <f>'Hampshire Daily'!F33-'Hampshire Daily'!F32</f>
        <v>1</v>
      </c>
      <c r="H30" s="4">
        <f>'Hampshire Daily'!G33-'Hampshire Daily'!G32</f>
        <v>2269</v>
      </c>
      <c r="I30" s="4">
        <f>'Hampshire Daily'!H33-'Hampshire Daily'!H32</f>
        <v>112</v>
      </c>
      <c r="J30" s="4">
        <f>'Hampshire Daily'!I33-'Hampshire Daily'!I32</f>
        <v>2627</v>
      </c>
      <c r="K30" s="4">
        <f>'Hampshire Daily'!J33-'Hampshire Daily'!J32</f>
        <v>242</v>
      </c>
      <c r="L30" s="4">
        <f>'Hampshire Daily'!K33-'Hampshire Daily'!K32</f>
        <v>12</v>
      </c>
      <c r="M30" s="4">
        <f>'Hampshire Daily'!N33-'Hampshire Daily'!N32</f>
        <v>2714</v>
      </c>
      <c r="N30" s="4">
        <f>'Hampshire Daily'!O33-'Hampshire Daily'!O32</f>
        <v>73</v>
      </c>
      <c r="O30" s="4">
        <f>'Hampshire Daily'!P33-'Hampshire Daily'!P32</f>
        <v>36</v>
      </c>
      <c r="P30" s="4">
        <f>'Hampshire Daily'!Q33-'Hampshire Daily'!Q32</f>
        <v>43</v>
      </c>
      <c r="Q30" s="4">
        <f>'Hampshire Daily'!T33-'Hampshire Daily'!T32</f>
        <v>4</v>
      </c>
      <c r="R30" s="4">
        <f>'Hampshire Daily'!B33</f>
        <v>134</v>
      </c>
      <c r="S30" s="4">
        <f>'Hampshire Daily'!C33</f>
        <v>135</v>
      </c>
    </row>
    <row r="31" spans="1:19" x14ac:dyDescent="0.25">
      <c r="A31" s="3" t="s">
        <v>12</v>
      </c>
      <c r="B31" s="1">
        <f t="shared" si="0"/>
        <v>30</v>
      </c>
      <c r="C31" s="1">
        <v>3</v>
      </c>
      <c r="D31" s="1">
        <v>2022</v>
      </c>
      <c r="E31" s="4">
        <f>'Hampshire Daily'!D34-'Hampshire Daily'!D33</f>
        <v>2348</v>
      </c>
      <c r="F31" s="4">
        <f>'Hampshire Daily'!E34-'Hampshire Daily'!E33</f>
        <v>3282</v>
      </c>
      <c r="G31" s="4">
        <f>'Hampshire Daily'!F34-'Hampshire Daily'!F33</f>
        <v>48</v>
      </c>
      <c r="H31" s="4">
        <f>'Hampshire Daily'!G34-'Hampshire Daily'!G33</f>
        <v>2241</v>
      </c>
      <c r="I31" s="4">
        <f>'Hampshire Daily'!H34-'Hampshire Daily'!H33</f>
        <v>109</v>
      </c>
      <c r="J31" s="4">
        <f>'Hampshire Daily'!I34-'Hampshire Daily'!I33</f>
        <v>2314</v>
      </c>
      <c r="K31" s="4">
        <f>'Hampshire Daily'!J34-'Hampshire Daily'!J33</f>
        <v>-310066</v>
      </c>
      <c r="L31" s="4">
        <f>'Hampshire Daily'!K34-'Hampshire Daily'!K33</f>
        <v>0</v>
      </c>
      <c r="M31" s="4">
        <f>'Hampshire Daily'!N34-'Hampshire Daily'!N33</f>
        <v>2545</v>
      </c>
      <c r="N31" s="4">
        <f>'Hampshire Daily'!O34-'Hampshire Daily'!O33</f>
        <v>69</v>
      </c>
      <c r="O31" s="4">
        <f>'Hampshire Daily'!P34-'Hampshire Daily'!P33</f>
        <v>40</v>
      </c>
      <c r="P31" s="4">
        <f>'Hampshire Daily'!Q34-'Hampshire Daily'!Q33</f>
        <v>45</v>
      </c>
      <c r="Q31" s="4">
        <f>'Hampshire Daily'!T34-'Hampshire Daily'!T33</f>
        <v>5</v>
      </c>
      <c r="R31" s="4">
        <f>'Hampshire Daily'!B34</f>
        <v>134</v>
      </c>
      <c r="S31" s="4">
        <f>'Hampshire Daily'!C34</f>
        <v>135</v>
      </c>
    </row>
    <row r="32" spans="1:19" x14ac:dyDescent="0.25">
      <c r="A32" s="3" t="s">
        <v>12</v>
      </c>
      <c r="B32" s="1">
        <f t="shared" si="0"/>
        <v>31</v>
      </c>
      <c r="C32" s="1">
        <v>3</v>
      </c>
      <c r="D32" s="1">
        <v>2022</v>
      </c>
      <c r="E32" s="4">
        <f>'Hampshire Daily'!D35-'Hampshire Daily'!D34</f>
        <v>2777</v>
      </c>
      <c r="F32" s="4">
        <f>'Hampshire Daily'!E35-'Hampshire Daily'!E34</f>
        <v>3179</v>
      </c>
      <c r="G32" s="4">
        <f>'Hampshire Daily'!F35-'Hampshire Daily'!F34</f>
        <v>0</v>
      </c>
      <c r="H32" s="4">
        <f>'Hampshire Daily'!G35-'Hampshire Daily'!G34</f>
        <v>2256</v>
      </c>
      <c r="I32" s="4">
        <f>'Hampshire Daily'!H35-'Hampshire Daily'!H34</f>
        <v>82</v>
      </c>
      <c r="J32" s="4">
        <f>'Hampshire Daily'!I35-'Hampshire Daily'!I34</f>
        <v>2394</v>
      </c>
      <c r="K32" s="4">
        <f>'Hampshire Daily'!J35-'Hampshire Daily'!J34</f>
        <v>1055</v>
      </c>
      <c r="L32" s="4">
        <f>'Hampshire Daily'!K35-'Hampshire Daily'!K34</f>
        <v>0</v>
      </c>
      <c r="M32" s="4">
        <f>'Hampshire Daily'!N35-'Hampshire Daily'!N34</f>
        <v>3023</v>
      </c>
      <c r="N32" s="4">
        <f>'Hampshire Daily'!O35-'Hampshire Daily'!O34</f>
        <v>80</v>
      </c>
      <c r="O32" s="4">
        <f>'Hampshire Daily'!P35-'Hampshire Daily'!P34</f>
        <v>48</v>
      </c>
      <c r="P32" s="4">
        <f>'Hampshire Daily'!Q35-'Hampshire Daily'!Q34</f>
        <v>52</v>
      </c>
      <c r="Q32" s="4">
        <f>'Hampshire Daily'!T35-'Hampshire Daily'!T34</f>
        <v>8</v>
      </c>
      <c r="R32" s="4">
        <f>'Hampshire Daily'!B35</f>
        <v>134</v>
      </c>
      <c r="S32" s="4">
        <f>'Hampshire Daily'!C35</f>
        <v>135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8"/>
  <sheetViews>
    <sheetView zoomScaleNormal="100" workbookViewId="0">
      <pane xSplit="1" ySplit="3" topLeftCell="B4" activePane="bottomRight" state="frozen"/>
      <selection pane="topRight"/>
      <selection pane="bottomLeft"/>
      <selection pane="bottomRight" activeCell="F34" sqref="F34"/>
    </sheetView>
  </sheetViews>
  <sheetFormatPr defaultRowHeight="15" x14ac:dyDescent="0.25"/>
  <cols>
    <col min="1" max="1" width="8.7109375" style="16" customWidth="1"/>
    <col min="2" max="3" width="8.7109375" style="20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8" max="18" width="10.42578125" customWidth="1"/>
  </cols>
  <sheetData>
    <row r="1" spans="1:23" ht="15" customHeight="1" x14ac:dyDescent="0.25">
      <c r="A1" s="37"/>
      <c r="B1" s="19"/>
      <c r="C1" s="19"/>
      <c r="D1" s="47" t="s">
        <v>27</v>
      </c>
      <c r="E1" s="48"/>
      <c r="F1" s="48"/>
      <c r="G1" s="48"/>
      <c r="H1" s="48"/>
      <c r="I1" s="48"/>
      <c r="J1" s="48"/>
      <c r="K1" s="48"/>
      <c r="L1" s="48"/>
      <c r="M1" s="49"/>
      <c r="N1" s="54" t="s">
        <v>28</v>
      </c>
      <c r="O1" s="56" t="s">
        <v>29</v>
      </c>
      <c r="P1" s="56" t="s">
        <v>30</v>
      </c>
      <c r="Q1" s="58"/>
      <c r="R1" s="56" t="s">
        <v>31</v>
      </c>
      <c r="S1" s="59" t="s">
        <v>32</v>
      </c>
      <c r="T1" s="50" t="s">
        <v>33</v>
      </c>
    </row>
    <row r="2" spans="1:23" ht="15" customHeight="1" x14ac:dyDescent="0.25">
      <c r="A2" s="38"/>
      <c r="B2" s="42" t="s">
        <v>34</v>
      </c>
      <c r="C2" s="42" t="s">
        <v>35</v>
      </c>
      <c r="D2" s="44" t="s">
        <v>36</v>
      </c>
      <c r="E2" s="40" t="s">
        <v>37</v>
      </c>
      <c r="F2" s="40" t="s">
        <v>38</v>
      </c>
      <c r="G2" s="40" t="s">
        <v>39</v>
      </c>
      <c r="H2" s="40" t="s">
        <v>40</v>
      </c>
      <c r="I2" s="40" t="s">
        <v>41</v>
      </c>
      <c r="J2" s="40" t="s">
        <v>42</v>
      </c>
      <c r="K2" s="40" t="s">
        <v>43</v>
      </c>
      <c r="L2" s="53" t="s">
        <v>44</v>
      </c>
      <c r="M2" s="53" t="s">
        <v>45</v>
      </c>
      <c r="N2" s="55"/>
      <c r="O2" s="56"/>
      <c r="P2" s="56"/>
      <c r="Q2" s="58"/>
      <c r="R2" s="56"/>
      <c r="S2" s="59"/>
      <c r="T2" s="51"/>
    </row>
    <row r="3" spans="1:23" ht="27" customHeight="1" thickBot="1" x14ac:dyDescent="0.3">
      <c r="A3" s="39"/>
      <c r="B3" s="43"/>
      <c r="C3" s="43"/>
      <c r="D3" s="45"/>
      <c r="E3" s="46"/>
      <c r="F3" s="40"/>
      <c r="G3" s="40"/>
      <c r="H3" s="40"/>
      <c r="I3" s="40"/>
      <c r="J3" s="40"/>
      <c r="K3" s="41"/>
      <c r="L3" s="53"/>
      <c r="M3" s="53"/>
      <c r="N3" s="55"/>
      <c r="O3" s="57"/>
      <c r="P3" s="58"/>
      <c r="Q3" s="58"/>
      <c r="R3" s="57"/>
      <c r="S3" s="60"/>
      <c r="T3" s="52"/>
    </row>
    <row r="4" spans="1:23" s="17" customFormat="1" ht="19.899999999999999" customHeight="1" x14ac:dyDescent="0.25">
      <c r="A4" s="18">
        <v>44620</v>
      </c>
      <c r="B4" s="22">
        <v>74</v>
      </c>
      <c r="C4" s="28">
        <v>82</v>
      </c>
      <c r="D4" s="21">
        <v>1272614</v>
      </c>
      <c r="E4" s="21">
        <v>1365985</v>
      </c>
      <c r="F4" s="21">
        <v>309447</v>
      </c>
      <c r="G4" s="21">
        <f t="shared" ref="G4:G12" si="0">G5-1866</f>
        <v>7620071</v>
      </c>
      <c r="H4" s="35">
        <f t="shared" ref="H4:H24" si="1">H5-32</f>
        <v>32254</v>
      </c>
      <c r="I4" s="35">
        <f t="shared" ref="I4:I24" si="2">I5-2430</f>
        <v>5722974</v>
      </c>
      <c r="J4" s="21">
        <v>996207</v>
      </c>
      <c r="K4" s="21">
        <v>2651378</v>
      </c>
      <c r="L4" s="30">
        <v>1264</v>
      </c>
      <c r="M4" s="30">
        <v>2927</v>
      </c>
      <c r="N4" s="21">
        <v>1635917</v>
      </c>
      <c r="O4" s="21">
        <v>386693</v>
      </c>
      <c r="P4" s="21">
        <v>349257</v>
      </c>
      <c r="Q4" s="21">
        <v>52666</v>
      </c>
      <c r="R4" s="21">
        <v>53481</v>
      </c>
      <c r="S4" s="21">
        <v>31186</v>
      </c>
      <c r="T4" s="21">
        <v>3143</v>
      </c>
    </row>
    <row r="5" spans="1:23" x14ac:dyDescent="0.25">
      <c r="A5" s="18">
        <f>A4+1</f>
        <v>44621</v>
      </c>
      <c r="B5" s="22">
        <v>74</v>
      </c>
      <c r="C5" s="28">
        <v>82</v>
      </c>
      <c r="D5" s="21">
        <v>1276178</v>
      </c>
      <c r="E5" s="21">
        <v>1371228</v>
      </c>
      <c r="F5" s="21">
        <v>310324</v>
      </c>
      <c r="G5" s="21">
        <f t="shared" si="0"/>
        <v>7621937</v>
      </c>
      <c r="H5" s="35">
        <f t="shared" si="1"/>
        <v>32286</v>
      </c>
      <c r="I5" s="35">
        <f t="shared" si="2"/>
        <v>5725404</v>
      </c>
      <c r="J5" s="21">
        <v>997139</v>
      </c>
      <c r="K5" s="21">
        <v>2651379</v>
      </c>
      <c r="L5" s="31">
        <v>0</v>
      </c>
      <c r="M5" s="31">
        <v>2883</v>
      </c>
      <c r="N5" s="21">
        <v>1638407</v>
      </c>
      <c r="O5" s="21">
        <v>386775</v>
      </c>
      <c r="P5" s="21">
        <v>349292</v>
      </c>
      <c r="Q5" s="21">
        <v>52703</v>
      </c>
      <c r="R5" s="21">
        <v>53490</v>
      </c>
      <c r="S5" s="21">
        <v>31187</v>
      </c>
      <c r="T5" s="21">
        <v>3147</v>
      </c>
    </row>
    <row r="6" spans="1:23" x14ac:dyDescent="0.25">
      <c r="A6" s="18">
        <f t="shared" ref="A6:A33" si="3">A5+1</f>
        <v>44622</v>
      </c>
      <c r="B6" s="22">
        <v>87</v>
      </c>
      <c r="C6" s="28">
        <v>99</v>
      </c>
      <c r="D6" s="21">
        <v>1279726</v>
      </c>
      <c r="E6" s="21">
        <v>1376650</v>
      </c>
      <c r="F6" s="21">
        <v>311096</v>
      </c>
      <c r="G6" s="21">
        <f t="shared" si="0"/>
        <v>7623803</v>
      </c>
      <c r="H6" s="35">
        <f t="shared" si="1"/>
        <v>32318</v>
      </c>
      <c r="I6" s="35">
        <f t="shared" si="2"/>
        <v>5727834</v>
      </c>
      <c r="J6" s="21">
        <v>998175</v>
      </c>
      <c r="K6" s="21">
        <v>2651392</v>
      </c>
      <c r="L6" s="31">
        <v>0</v>
      </c>
      <c r="M6" s="31">
        <v>2925</v>
      </c>
      <c r="N6" s="21">
        <v>1641085</v>
      </c>
      <c r="O6" s="21">
        <v>386844</v>
      </c>
      <c r="P6" s="21">
        <v>349336</v>
      </c>
      <c r="Q6" s="21">
        <v>52752</v>
      </c>
      <c r="R6" s="21">
        <v>53499</v>
      </c>
      <c r="S6" s="21">
        <v>31188</v>
      </c>
      <c r="T6" s="21">
        <v>3150</v>
      </c>
      <c r="W6" s="29"/>
    </row>
    <row r="7" spans="1:23" x14ac:dyDescent="0.25">
      <c r="A7" s="18">
        <f t="shared" si="3"/>
        <v>44623</v>
      </c>
      <c r="B7" s="22">
        <v>126</v>
      </c>
      <c r="C7" s="28">
        <v>152</v>
      </c>
      <c r="D7" s="21">
        <v>1283080</v>
      </c>
      <c r="E7" s="21">
        <v>1382012</v>
      </c>
      <c r="F7" s="21">
        <v>311955</v>
      </c>
      <c r="G7" s="21">
        <f t="shared" si="0"/>
        <v>7625669</v>
      </c>
      <c r="H7" s="35">
        <f t="shared" si="1"/>
        <v>32350</v>
      </c>
      <c r="I7" s="35">
        <f t="shared" si="2"/>
        <v>5730264</v>
      </c>
      <c r="J7" s="21">
        <v>999211</v>
      </c>
      <c r="K7" s="21">
        <v>2651395</v>
      </c>
      <c r="L7" s="31">
        <v>13</v>
      </c>
      <c r="M7" s="31">
        <v>2927</v>
      </c>
      <c r="N7" s="21">
        <v>1643821</v>
      </c>
      <c r="O7" s="21">
        <v>386913</v>
      </c>
      <c r="P7" s="21">
        <v>349381</v>
      </c>
      <c r="Q7" s="21">
        <v>52800</v>
      </c>
      <c r="R7" s="21">
        <v>53507</v>
      </c>
      <c r="S7" s="21">
        <v>31190</v>
      </c>
      <c r="T7" s="21">
        <v>3155</v>
      </c>
    </row>
    <row r="8" spans="1:23" x14ac:dyDescent="0.25">
      <c r="A8" s="18">
        <f t="shared" si="3"/>
        <v>44624</v>
      </c>
      <c r="B8" s="22">
        <v>112</v>
      </c>
      <c r="C8" s="28">
        <v>181</v>
      </c>
      <c r="D8" s="21">
        <v>1286375</v>
      </c>
      <c r="E8" s="21">
        <v>1387296</v>
      </c>
      <c r="F8" s="21">
        <v>312816</v>
      </c>
      <c r="G8" s="21">
        <f t="shared" si="0"/>
        <v>7627535</v>
      </c>
      <c r="H8" s="35">
        <f t="shared" si="1"/>
        <v>32382</v>
      </c>
      <c r="I8" s="35">
        <f t="shared" si="2"/>
        <v>5732694</v>
      </c>
      <c r="J8" s="21">
        <v>247</v>
      </c>
      <c r="K8" s="21">
        <v>2651395</v>
      </c>
      <c r="L8" s="31">
        <v>2082</v>
      </c>
      <c r="M8" s="31">
        <v>2928</v>
      </c>
      <c r="N8" s="21">
        <v>1646299</v>
      </c>
      <c r="O8" s="21">
        <v>386992</v>
      </c>
      <c r="P8" s="21">
        <v>349437</v>
      </c>
      <c r="Q8" s="21">
        <v>52861</v>
      </c>
      <c r="R8" s="21">
        <v>53516</v>
      </c>
      <c r="S8" s="21">
        <v>31191</v>
      </c>
      <c r="T8" s="21">
        <v>3159</v>
      </c>
    </row>
    <row r="9" spans="1:23" x14ac:dyDescent="0.25">
      <c r="A9" s="18">
        <f t="shared" si="3"/>
        <v>44625</v>
      </c>
      <c r="B9" s="22">
        <v>78</v>
      </c>
      <c r="C9" s="28">
        <v>181</v>
      </c>
      <c r="D9" s="21">
        <v>1289694</v>
      </c>
      <c r="E9" s="21">
        <v>1390612</v>
      </c>
      <c r="F9" s="21">
        <v>312869</v>
      </c>
      <c r="G9" s="21">
        <f t="shared" si="0"/>
        <v>7629401</v>
      </c>
      <c r="H9" s="35">
        <f t="shared" si="1"/>
        <v>32414</v>
      </c>
      <c r="I9" s="35">
        <f t="shared" si="2"/>
        <v>5735124</v>
      </c>
      <c r="J9" s="21">
        <v>1283</v>
      </c>
      <c r="K9" s="21">
        <v>2651397</v>
      </c>
      <c r="L9" s="31">
        <v>3589</v>
      </c>
      <c r="M9" s="31">
        <v>0</v>
      </c>
      <c r="N9" s="21">
        <v>1649673</v>
      </c>
      <c r="O9" s="21">
        <v>387075</v>
      </c>
      <c r="P9" s="21">
        <v>349493</v>
      </c>
      <c r="Q9" s="21">
        <v>52922</v>
      </c>
      <c r="R9" s="21">
        <v>53525</v>
      </c>
      <c r="S9" s="21">
        <v>31193</v>
      </c>
      <c r="T9" s="21">
        <v>3166</v>
      </c>
    </row>
    <row r="10" spans="1:23" x14ac:dyDescent="0.25">
      <c r="A10" s="18">
        <f t="shared" si="3"/>
        <v>44626</v>
      </c>
      <c r="B10" s="22">
        <v>18</v>
      </c>
      <c r="C10" s="28">
        <v>40</v>
      </c>
      <c r="D10" s="21">
        <v>1292282</v>
      </c>
      <c r="E10" s="21">
        <v>1393764</v>
      </c>
      <c r="F10" s="21">
        <v>312869</v>
      </c>
      <c r="G10" s="21">
        <f t="shared" si="0"/>
        <v>7631267</v>
      </c>
      <c r="H10" s="35">
        <f t="shared" si="1"/>
        <v>32446</v>
      </c>
      <c r="I10" s="35">
        <f t="shared" si="2"/>
        <v>5737554</v>
      </c>
      <c r="J10" s="21">
        <v>2319</v>
      </c>
      <c r="K10" s="21">
        <v>2651400</v>
      </c>
      <c r="L10" s="31">
        <v>3600</v>
      </c>
      <c r="M10" s="31">
        <v>1911</v>
      </c>
      <c r="N10" s="21">
        <v>1652859</v>
      </c>
      <c r="O10" s="21">
        <v>387156.5</v>
      </c>
      <c r="P10" s="21">
        <v>349548</v>
      </c>
      <c r="Q10" s="21">
        <v>52983</v>
      </c>
      <c r="R10" s="21">
        <v>53536</v>
      </c>
      <c r="S10" s="21">
        <v>31195</v>
      </c>
      <c r="T10" s="21">
        <v>3172</v>
      </c>
    </row>
    <row r="11" spans="1:23" x14ac:dyDescent="0.25">
      <c r="A11" s="18">
        <f t="shared" si="3"/>
        <v>44627</v>
      </c>
      <c r="B11" s="22">
        <v>18</v>
      </c>
      <c r="C11" s="28">
        <v>38</v>
      </c>
      <c r="D11" s="21">
        <v>1295002</v>
      </c>
      <c r="E11" s="21">
        <v>1396082</v>
      </c>
      <c r="F11" s="21">
        <v>312869</v>
      </c>
      <c r="G11" s="21">
        <f t="shared" si="0"/>
        <v>7633133</v>
      </c>
      <c r="H11" s="35">
        <f t="shared" si="1"/>
        <v>32478</v>
      </c>
      <c r="I11" s="35">
        <f t="shared" si="2"/>
        <v>5739984</v>
      </c>
      <c r="J11" s="21">
        <v>3957</v>
      </c>
      <c r="K11" s="21">
        <v>2651402</v>
      </c>
      <c r="L11" s="31">
        <v>3596</v>
      </c>
      <c r="M11" s="31">
        <v>2903</v>
      </c>
      <c r="N11" s="21">
        <v>1656263</v>
      </c>
      <c r="O11" s="21">
        <v>387238</v>
      </c>
      <c r="P11" s="21">
        <v>349579</v>
      </c>
      <c r="Q11" s="21">
        <v>53018</v>
      </c>
      <c r="R11" s="21">
        <v>53545</v>
      </c>
      <c r="S11" s="21">
        <v>31196</v>
      </c>
      <c r="T11" s="21">
        <v>3183</v>
      </c>
    </row>
    <row r="12" spans="1:23" x14ac:dyDescent="0.25">
      <c r="A12" s="18">
        <f t="shared" si="3"/>
        <v>44628</v>
      </c>
      <c r="B12" s="22">
        <v>33</v>
      </c>
      <c r="C12" s="28">
        <v>54</v>
      </c>
      <c r="D12" s="21">
        <v>1297631</v>
      </c>
      <c r="E12" s="21">
        <v>1398014</v>
      </c>
      <c r="F12" s="21">
        <v>312869</v>
      </c>
      <c r="G12" s="21">
        <f t="shared" si="0"/>
        <v>7634999</v>
      </c>
      <c r="H12" s="35">
        <f t="shared" si="1"/>
        <v>32510</v>
      </c>
      <c r="I12" s="35">
        <f t="shared" si="2"/>
        <v>5742414</v>
      </c>
      <c r="J12" s="21">
        <v>5005</v>
      </c>
      <c r="K12" s="21">
        <v>2651402</v>
      </c>
      <c r="L12" s="31">
        <v>3467</v>
      </c>
      <c r="M12" s="31">
        <v>2881</v>
      </c>
      <c r="N12" s="21">
        <v>1659612</v>
      </c>
      <c r="O12" s="21">
        <v>387303</v>
      </c>
      <c r="P12" s="21">
        <v>349606</v>
      </c>
      <c r="Q12" s="21">
        <v>53050</v>
      </c>
      <c r="R12" s="21">
        <v>53553</v>
      </c>
      <c r="S12" s="21">
        <v>31201</v>
      </c>
      <c r="T12" s="21">
        <v>3189</v>
      </c>
    </row>
    <row r="13" spans="1:23" x14ac:dyDescent="0.25">
      <c r="A13" s="18">
        <f t="shared" si="3"/>
        <v>44629</v>
      </c>
      <c r="B13" s="22">
        <v>45</v>
      </c>
      <c r="C13" s="28">
        <v>70</v>
      </c>
      <c r="D13" s="21">
        <v>1300610</v>
      </c>
      <c r="E13" s="21">
        <v>1399898</v>
      </c>
      <c r="F13" s="21">
        <v>312892</v>
      </c>
      <c r="G13" s="21">
        <f t="shared" ref="G13:G24" si="4">G14-1866</f>
        <v>7636865</v>
      </c>
      <c r="H13" s="35">
        <f t="shared" si="1"/>
        <v>32542</v>
      </c>
      <c r="I13" s="35">
        <f t="shared" si="2"/>
        <v>5744844</v>
      </c>
      <c r="J13" s="21">
        <v>5974</v>
      </c>
      <c r="K13" s="21">
        <v>2651415</v>
      </c>
      <c r="L13" s="31">
        <v>3553</v>
      </c>
      <c r="M13" s="31">
        <v>2925</v>
      </c>
      <c r="N13" s="21">
        <v>1662550</v>
      </c>
      <c r="O13" s="21">
        <v>387361</v>
      </c>
      <c r="P13" s="21">
        <v>349633</v>
      </c>
      <c r="Q13" s="21">
        <v>53083</v>
      </c>
      <c r="R13" s="21">
        <v>53563</v>
      </c>
      <c r="S13" s="21">
        <v>31204</v>
      </c>
      <c r="T13" s="21">
        <v>3193</v>
      </c>
    </row>
    <row r="14" spans="1:23" x14ac:dyDescent="0.25">
      <c r="A14" s="18">
        <f t="shared" si="3"/>
        <v>44630</v>
      </c>
      <c r="B14" s="22">
        <v>109</v>
      </c>
      <c r="C14" s="28">
        <v>138</v>
      </c>
      <c r="D14" s="21">
        <v>1303770</v>
      </c>
      <c r="E14" s="21">
        <v>1401779</v>
      </c>
      <c r="F14" s="21">
        <v>312892</v>
      </c>
      <c r="G14" s="21">
        <f t="shared" si="4"/>
        <v>7638731</v>
      </c>
      <c r="H14" s="35">
        <f t="shared" si="1"/>
        <v>32574</v>
      </c>
      <c r="I14" s="35">
        <f t="shared" si="2"/>
        <v>5747274</v>
      </c>
      <c r="J14" s="21">
        <v>7010</v>
      </c>
      <c r="K14" s="21">
        <v>2651416</v>
      </c>
      <c r="L14" s="31">
        <v>3552</v>
      </c>
      <c r="M14" s="31">
        <v>2924</v>
      </c>
      <c r="N14" s="21">
        <v>1665342</v>
      </c>
      <c r="O14" s="21">
        <v>387433</v>
      </c>
      <c r="P14" s="21">
        <v>349666</v>
      </c>
      <c r="Q14" s="21">
        <v>53120</v>
      </c>
      <c r="R14" s="21">
        <v>53571</v>
      </c>
      <c r="S14" s="21">
        <v>31206</v>
      </c>
      <c r="T14" s="21">
        <v>3197</v>
      </c>
    </row>
    <row r="15" spans="1:23" x14ac:dyDescent="0.25">
      <c r="A15" s="18">
        <f t="shared" si="3"/>
        <v>44631</v>
      </c>
      <c r="B15" s="22">
        <v>49</v>
      </c>
      <c r="C15" s="28">
        <v>113</v>
      </c>
      <c r="D15" s="21">
        <v>1306641</v>
      </c>
      <c r="E15" s="21">
        <v>1404557</v>
      </c>
      <c r="F15" s="21">
        <v>312892</v>
      </c>
      <c r="G15" s="21">
        <f t="shared" si="4"/>
        <v>7640597</v>
      </c>
      <c r="H15" s="35">
        <f t="shared" si="1"/>
        <v>32606</v>
      </c>
      <c r="I15" s="35">
        <f t="shared" si="2"/>
        <v>5749704</v>
      </c>
      <c r="J15" s="21">
        <v>8046</v>
      </c>
      <c r="K15" s="21">
        <v>2651416</v>
      </c>
      <c r="L15" s="31">
        <v>3515</v>
      </c>
      <c r="M15" s="31">
        <v>2912</v>
      </c>
      <c r="N15" s="21">
        <v>1668050</v>
      </c>
      <c r="O15" s="21">
        <v>387511</v>
      </c>
      <c r="P15" s="21">
        <v>349709</v>
      </c>
      <c r="Q15" s="21">
        <v>53167</v>
      </c>
      <c r="R15" s="21">
        <v>53579</v>
      </c>
      <c r="S15" s="21">
        <v>31209</v>
      </c>
      <c r="T15" s="21">
        <v>3202</v>
      </c>
    </row>
    <row r="16" spans="1:23" x14ac:dyDescent="0.25">
      <c r="A16" s="18">
        <f t="shared" si="3"/>
        <v>44632</v>
      </c>
      <c r="B16" s="22">
        <v>77</v>
      </c>
      <c r="C16" s="28">
        <v>176</v>
      </c>
      <c r="D16" s="21">
        <v>1308994</v>
      </c>
      <c r="E16" s="21">
        <v>1407988</v>
      </c>
      <c r="F16" s="21">
        <v>312892</v>
      </c>
      <c r="G16" s="21">
        <f t="shared" si="4"/>
        <v>7642463</v>
      </c>
      <c r="H16" s="35">
        <f t="shared" si="1"/>
        <v>32638</v>
      </c>
      <c r="I16" s="35">
        <f t="shared" si="2"/>
        <v>5752134</v>
      </c>
      <c r="J16" s="21">
        <v>9082</v>
      </c>
      <c r="K16" s="21">
        <v>2651417</v>
      </c>
      <c r="L16" s="31">
        <v>3540</v>
      </c>
      <c r="M16" s="31">
        <v>2890</v>
      </c>
      <c r="N16" s="21">
        <v>1671111</v>
      </c>
      <c r="O16" s="21">
        <v>387589</v>
      </c>
      <c r="P16" s="21">
        <v>349756</v>
      </c>
      <c r="Q16" s="21">
        <v>53217</v>
      </c>
      <c r="R16" s="21">
        <v>53588</v>
      </c>
      <c r="S16" s="21">
        <v>31210</v>
      </c>
      <c r="T16" s="21">
        <v>3206</v>
      </c>
    </row>
    <row r="17" spans="1:22" x14ac:dyDescent="0.25">
      <c r="A17" s="18">
        <f t="shared" si="3"/>
        <v>44633</v>
      </c>
      <c r="B17" s="22">
        <v>26</v>
      </c>
      <c r="C17" s="28">
        <v>49</v>
      </c>
      <c r="D17" s="21">
        <v>1310858</v>
      </c>
      <c r="E17" s="21">
        <v>1411318</v>
      </c>
      <c r="F17" s="21">
        <v>312892</v>
      </c>
      <c r="G17" s="21">
        <f t="shared" si="4"/>
        <v>7644329</v>
      </c>
      <c r="H17" s="35">
        <f t="shared" si="1"/>
        <v>32670</v>
      </c>
      <c r="I17" s="35">
        <f t="shared" si="2"/>
        <v>5754564</v>
      </c>
      <c r="J17" s="21">
        <v>10118</v>
      </c>
      <c r="K17" s="21">
        <v>2651418</v>
      </c>
      <c r="L17" s="31">
        <v>3537</v>
      </c>
      <c r="M17" s="31">
        <v>2890</v>
      </c>
      <c r="N17" s="21">
        <v>1673949</v>
      </c>
      <c r="O17" s="21">
        <v>387667</v>
      </c>
      <c r="P17" s="21">
        <v>349799</v>
      </c>
      <c r="Q17" s="21">
        <v>53265</v>
      </c>
      <c r="R17" s="21">
        <v>53597</v>
      </c>
      <c r="S17" s="21">
        <v>31211</v>
      </c>
      <c r="T17" s="21">
        <v>3215</v>
      </c>
    </row>
    <row r="18" spans="1:22" x14ac:dyDescent="0.25">
      <c r="A18" s="18">
        <f t="shared" si="3"/>
        <v>44634</v>
      </c>
      <c r="B18" s="22">
        <v>38</v>
      </c>
      <c r="C18" s="28">
        <v>64</v>
      </c>
      <c r="D18" s="21">
        <v>1312565</v>
      </c>
      <c r="E18" s="21">
        <v>1414435</v>
      </c>
      <c r="F18" s="21">
        <v>312892</v>
      </c>
      <c r="G18" s="21">
        <f t="shared" si="4"/>
        <v>7646195</v>
      </c>
      <c r="H18" s="35">
        <f t="shared" si="1"/>
        <v>32702</v>
      </c>
      <c r="I18" s="35">
        <f t="shared" si="2"/>
        <v>5756994</v>
      </c>
      <c r="J18" s="21">
        <v>11154</v>
      </c>
      <c r="K18" s="21">
        <v>2651418</v>
      </c>
      <c r="L18" s="30">
        <v>3599</v>
      </c>
      <c r="M18" s="30">
        <v>2909</v>
      </c>
      <c r="N18" s="21">
        <v>1676841</v>
      </c>
      <c r="O18" s="21">
        <v>387748</v>
      </c>
      <c r="P18" s="21">
        <v>349837</v>
      </c>
      <c r="Q18" s="21">
        <v>53308</v>
      </c>
      <c r="R18" s="21">
        <v>35605</v>
      </c>
      <c r="S18" s="21">
        <v>31227</v>
      </c>
      <c r="T18" s="21">
        <v>3222</v>
      </c>
    </row>
    <row r="19" spans="1:22" x14ac:dyDescent="0.25">
      <c r="A19" s="18">
        <f t="shared" si="3"/>
        <v>44635</v>
      </c>
      <c r="B19" s="22">
        <v>34</v>
      </c>
      <c r="C19" s="28">
        <v>56</v>
      </c>
      <c r="D19" s="21">
        <v>1315501</v>
      </c>
      <c r="E19" s="21">
        <v>1416205</v>
      </c>
      <c r="F19" s="21">
        <v>312892</v>
      </c>
      <c r="G19" s="21">
        <f t="shared" si="4"/>
        <v>7648061</v>
      </c>
      <c r="H19" s="35">
        <f t="shared" si="1"/>
        <v>32734</v>
      </c>
      <c r="I19" s="35">
        <f t="shared" si="2"/>
        <v>5759424</v>
      </c>
      <c r="J19" s="21">
        <v>12190</v>
      </c>
      <c r="K19" s="21">
        <v>2651418</v>
      </c>
      <c r="L19" s="31">
        <v>3404</v>
      </c>
      <c r="M19" s="31">
        <v>2874</v>
      </c>
      <c r="N19" s="21">
        <v>1679749</v>
      </c>
      <c r="O19" s="21">
        <v>387813</v>
      </c>
      <c r="P19" s="21">
        <v>349863</v>
      </c>
      <c r="Q19" s="21">
        <v>53338</v>
      </c>
      <c r="R19" s="21">
        <v>53613</v>
      </c>
      <c r="S19" s="21">
        <v>31228</v>
      </c>
      <c r="T19" s="21">
        <v>3227</v>
      </c>
    </row>
    <row r="20" spans="1:22" x14ac:dyDescent="0.25">
      <c r="A20" s="18">
        <f t="shared" si="3"/>
        <v>44636</v>
      </c>
      <c r="B20" s="22">
        <v>53</v>
      </c>
      <c r="C20" s="28">
        <v>86</v>
      </c>
      <c r="D20" s="21">
        <v>1317920</v>
      </c>
      <c r="E20" s="21">
        <v>1418901</v>
      </c>
      <c r="F20" s="21">
        <v>312933</v>
      </c>
      <c r="G20" s="21">
        <f t="shared" si="4"/>
        <v>7649927</v>
      </c>
      <c r="H20" s="35">
        <f t="shared" si="1"/>
        <v>32766</v>
      </c>
      <c r="I20" s="35">
        <f t="shared" si="2"/>
        <v>5761854</v>
      </c>
      <c r="J20" s="21">
        <v>13226</v>
      </c>
      <c r="K20" s="21">
        <v>2651434</v>
      </c>
      <c r="L20" s="31">
        <v>3585</v>
      </c>
      <c r="M20" s="31">
        <v>2899</v>
      </c>
      <c r="N20" s="21">
        <v>1682357</v>
      </c>
      <c r="O20" s="21">
        <v>387878</v>
      </c>
      <c r="P20" s="21">
        <v>349897</v>
      </c>
      <c r="Q20" s="21">
        <v>53376</v>
      </c>
      <c r="R20" s="21">
        <v>53621</v>
      </c>
      <c r="S20" s="21">
        <v>31230</v>
      </c>
      <c r="T20" s="21">
        <v>3232</v>
      </c>
    </row>
    <row r="21" spans="1:22" x14ac:dyDescent="0.25">
      <c r="A21" s="18">
        <f t="shared" si="3"/>
        <v>44637</v>
      </c>
      <c r="B21" s="22">
        <v>50</v>
      </c>
      <c r="C21" s="28">
        <v>84</v>
      </c>
      <c r="D21" s="21">
        <v>1320043</v>
      </c>
      <c r="E21" s="21">
        <v>1422296</v>
      </c>
      <c r="F21" s="21">
        <v>312986</v>
      </c>
      <c r="G21" s="21">
        <f t="shared" si="4"/>
        <v>7651793</v>
      </c>
      <c r="H21" s="35">
        <f t="shared" si="1"/>
        <v>32798</v>
      </c>
      <c r="I21" s="35">
        <f t="shared" si="2"/>
        <v>5764284</v>
      </c>
      <c r="J21" s="21">
        <v>14262</v>
      </c>
      <c r="K21" s="21">
        <v>2651434</v>
      </c>
      <c r="L21" s="31">
        <v>3034</v>
      </c>
      <c r="M21" s="31">
        <v>2326</v>
      </c>
      <c r="N21" s="21">
        <v>1685351</v>
      </c>
      <c r="O21" s="21">
        <v>387943</v>
      </c>
      <c r="P21" s="21">
        <v>349930</v>
      </c>
      <c r="Q21" s="21">
        <v>53413</v>
      </c>
      <c r="R21" s="21">
        <v>53629</v>
      </c>
      <c r="S21" s="21">
        <v>31231</v>
      </c>
      <c r="T21" s="21">
        <v>3255</v>
      </c>
    </row>
    <row r="22" spans="1:22" x14ac:dyDescent="0.25">
      <c r="A22" s="18">
        <f t="shared" si="3"/>
        <v>44638</v>
      </c>
      <c r="B22" s="22">
        <v>51</v>
      </c>
      <c r="C22" s="28">
        <v>114</v>
      </c>
      <c r="D22" s="21">
        <v>1323409</v>
      </c>
      <c r="E22" s="21">
        <v>1425051</v>
      </c>
      <c r="F22" s="21">
        <v>313072</v>
      </c>
      <c r="G22" s="21">
        <f t="shared" si="4"/>
        <v>7653659</v>
      </c>
      <c r="H22" s="35">
        <f t="shared" si="1"/>
        <v>32830</v>
      </c>
      <c r="I22" s="35">
        <f t="shared" si="2"/>
        <v>5766714</v>
      </c>
      <c r="J22" s="21">
        <v>15503</v>
      </c>
      <c r="K22" s="21">
        <v>2651604</v>
      </c>
      <c r="L22" s="31">
        <v>3601</v>
      </c>
      <c r="M22" s="31">
        <v>2917</v>
      </c>
      <c r="N22" s="21">
        <v>1687941</v>
      </c>
      <c r="O22" s="21">
        <v>388008</v>
      </c>
      <c r="P22" s="21">
        <v>349964</v>
      </c>
      <c r="Q22" s="21">
        <v>53450</v>
      </c>
      <c r="R22" s="21">
        <v>53638</v>
      </c>
      <c r="S22" s="21">
        <v>31233</v>
      </c>
      <c r="T22" s="21">
        <v>3262</v>
      </c>
    </row>
    <row r="23" spans="1:22" x14ac:dyDescent="0.25">
      <c r="A23" s="18">
        <f t="shared" si="3"/>
        <v>44639</v>
      </c>
      <c r="B23" s="22">
        <v>71</v>
      </c>
      <c r="C23" s="28">
        <v>168</v>
      </c>
      <c r="D23" s="21">
        <v>1326420</v>
      </c>
      <c r="E23" s="21">
        <v>1427318</v>
      </c>
      <c r="F23" s="21">
        <v>313072</v>
      </c>
      <c r="G23" s="21">
        <f t="shared" si="4"/>
        <v>7655525</v>
      </c>
      <c r="H23" s="35">
        <f t="shared" si="1"/>
        <v>32862</v>
      </c>
      <c r="I23" s="35">
        <f t="shared" si="2"/>
        <v>5769144</v>
      </c>
      <c r="J23" s="21">
        <v>16750</v>
      </c>
      <c r="K23" s="21">
        <v>2651605</v>
      </c>
      <c r="L23" s="31">
        <v>3600</v>
      </c>
      <c r="M23" s="31">
        <v>2916</v>
      </c>
      <c r="N23" s="21">
        <v>1690641</v>
      </c>
      <c r="O23" s="21">
        <v>388082</v>
      </c>
      <c r="P23" s="21">
        <v>350006</v>
      </c>
      <c r="Q23" s="21">
        <v>53493</v>
      </c>
      <c r="R23" s="21">
        <v>53646</v>
      </c>
      <c r="S23" s="21">
        <v>31235</v>
      </c>
      <c r="T23" s="21">
        <v>3271</v>
      </c>
    </row>
    <row r="24" spans="1:22" x14ac:dyDescent="0.25">
      <c r="A24" s="18">
        <f t="shared" si="3"/>
        <v>44640</v>
      </c>
      <c r="B24" s="22">
        <v>45</v>
      </c>
      <c r="C24" s="28">
        <v>91</v>
      </c>
      <c r="D24" s="21">
        <v>1329130</v>
      </c>
      <c r="E24" s="21">
        <v>1429597</v>
      </c>
      <c r="F24" s="21">
        <v>313072</v>
      </c>
      <c r="G24" s="21">
        <f t="shared" si="4"/>
        <v>7657391</v>
      </c>
      <c r="H24" s="35">
        <f t="shared" si="1"/>
        <v>32894</v>
      </c>
      <c r="I24" s="35">
        <f t="shared" si="2"/>
        <v>5771574</v>
      </c>
      <c r="J24" s="21">
        <v>18066</v>
      </c>
      <c r="K24" s="21">
        <v>2651605</v>
      </c>
      <c r="L24" s="31">
        <v>3600</v>
      </c>
      <c r="M24" s="31">
        <v>2921</v>
      </c>
      <c r="N24" s="21">
        <v>1693456</v>
      </c>
      <c r="O24" s="21">
        <v>388165</v>
      </c>
      <c r="P24" s="21">
        <v>350056</v>
      </c>
      <c r="Q24" s="21">
        <v>53546</v>
      </c>
      <c r="R24" s="21">
        <v>53657</v>
      </c>
      <c r="S24" s="21">
        <v>31237</v>
      </c>
      <c r="T24" s="21">
        <v>3278</v>
      </c>
    </row>
    <row r="25" spans="1:22" x14ac:dyDescent="0.25">
      <c r="A25" s="18">
        <f t="shared" si="3"/>
        <v>44641</v>
      </c>
      <c r="B25" s="22">
        <v>45</v>
      </c>
      <c r="C25" s="28">
        <v>77</v>
      </c>
      <c r="D25" s="21">
        <v>1331779</v>
      </c>
      <c r="E25" s="21">
        <v>1431844</v>
      </c>
      <c r="F25" s="21">
        <v>313072</v>
      </c>
      <c r="G25" s="21">
        <f>G26-1866</f>
        <v>7659257</v>
      </c>
      <c r="H25" s="35">
        <f>H26-32</f>
        <v>32926</v>
      </c>
      <c r="I25" s="35">
        <f>I26-2430</f>
        <v>5774004</v>
      </c>
      <c r="J25" s="21">
        <v>19102</v>
      </c>
      <c r="K25" s="21">
        <v>2651605</v>
      </c>
      <c r="L25" s="34">
        <v>3600</v>
      </c>
      <c r="M25" s="32">
        <v>2917</v>
      </c>
      <c r="N25" s="21">
        <v>1696426</v>
      </c>
      <c r="O25" s="21">
        <v>388248</v>
      </c>
      <c r="P25" s="21">
        <v>350101</v>
      </c>
      <c r="Q25" s="21">
        <v>53594</v>
      </c>
      <c r="R25" s="21">
        <v>53666</v>
      </c>
      <c r="S25" s="21">
        <v>31244</v>
      </c>
      <c r="T25" s="21">
        <v>3286</v>
      </c>
    </row>
    <row r="26" spans="1:22" x14ac:dyDescent="0.25">
      <c r="A26" s="18">
        <f t="shared" si="3"/>
        <v>44642</v>
      </c>
      <c r="B26" s="22">
        <v>42</v>
      </c>
      <c r="C26" s="24">
        <v>77</v>
      </c>
      <c r="D26" s="26">
        <v>1333818</v>
      </c>
      <c r="E26" s="26">
        <v>1434871</v>
      </c>
      <c r="F26" s="26">
        <v>313072</v>
      </c>
      <c r="G26" s="26">
        <v>7661123</v>
      </c>
      <c r="H26" s="27">
        <v>32958</v>
      </c>
      <c r="I26" s="27">
        <v>5776434</v>
      </c>
      <c r="J26" s="27">
        <v>20301</v>
      </c>
      <c r="K26" s="26">
        <v>2651605</v>
      </c>
      <c r="L26" s="32">
        <v>3178</v>
      </c>
      <c r="M26" s="32">
        <v>2813</v>
      </c>
      <c r="N26" s="26">
        <v>1698931</v>
      </c>
      <c r="O26" s="26">
        <v>388324</v>
      </c>
      <c r="P26" s="26">
        <v>350135</v>
      </c>
      <c r="Q26" s="26">
        <v>53631</v>
      </c>
      <c r="R26" s="26">
        <v>53675</v>
      </c>
      <c r="S26" s="26">
        <v>31245</v>
      </c>
      <c r="T26" s="26">
        <v>3291</v>
      </c>
      <c r="V26" s="36"/>
    </row>
    <row r="27" spans="1:22" x14ac:dyDescent="0.25">
      <c r="A27" s="18">
        <f t="shared" si="3"/>
        <v>44643</v>
      </c>
      <c r="B27" s="22">
        <v>107</v>
      </c>
      <c r="C27" s="24">
        <v>77</v>
      </c>
      <c r="D27" s="26">
        <v>1335192</v>
      </c>
      <c r="E27" s="26">
        <v>1438366</v>
      </c>
      <c r="F27" s="26">
        <v>313166</v>
      </c>
      <c r="G27" s="26">
        <v>7662992</v>
      </c>
      <c r="H27" s="27">
        <v>32958</v>
      </c>
      <c r="I27" s="27">
        <v>5778920</v>
      </c>
      <c r="J27" s="27">
        <v>21221</v>
      </c>
      <c r="K27" s="26">
        <v>2651619</v>
      </c>
      <c r="L27" s="32">
        <v>3598</v>
      </c>
      <c r="M27" s="32">
        <v>2865</v>
      </c>
      <c r="N27" s="26">
        <v>1701416</v>
      </c>
      <c r="O27" s="27">
        <v>388390</v>
      </c>
      <c r="P27" s="26">
        <v>350171</v>
      </c>
      <c r="Q27" s="26">
        <v>53670</v>
      </c>
      <c r="R27" s="26">
        <v>53684</v>
      </c>
      <c r="S27" s="26">
        <v>31247</v>
      </c>
      <c r="T27" s="26">
        <v>3295</v>
      </c>
      <c r="V27" s="36"/>
    </row>
    <row r="28" spans="1:22" x14ac:dyDescent="0.25">
      <c r="A28" s="18">
        <f t="shared" si="3"/>
        <v>44644</v>
      </c>
      <c r="B28" s="22">
        <v>131</v>
      </c>
      <c r="C28" s="24">
        <v>180</v>
      </c>
      <c r="D28" s="26">
        <v>1337958</v>
      </c>
      <c r="E28" s="26">
        <v>1441909</v>
      </c>
      <c r="F28" s="26">
        <v>313166</v>
      </c>
      <c r="G28" s="26">
        <v>7664668</v>
      </c>
      <c r="H28" s="27">
        <v>32994</v>
      </c>
      <c r="I28" s="27">
        <v>5781141</v>
      </c>
      <c r="J28" s="27">
        <v>22280</v>
      </c>
      <c r="K28" s="26">
        <v>2651619</v>
      </c>
      <c r="L28" s="32">
        <v>3600</v>
      </c>
      <c r="M28" s="32">
        <v>2896</v>
      </c>
      <c r="N28" s="26">
        <v>1704022</v>
      </c>
      <c r="O28" s="27">
        <v>388462</v>
      </c>
      <c r="P28" s="26">
        <v>350214</v>
      </c>
      <c r="Q28" s="26">
        <v>53718</v>
      </c>
      <c r="R28" s="26">
        <v>53694</v>
      </c>
      <c r="S28" s="26">
        <v>31250</v>
      </c>
      <c r="T28" s="26">
        <v>3299</v>
      </c>
      <c r="V28" s="36"/>
    </row>
    <row r="29" spans="1:22" x14ac:dyDescent="0.25">
      <c r="A29" s="18">
        <f t="shared" si="3"/>
        <v>44645</v>
      </c>
      <c r="B29" s="22">
        <v>83</v>
      </c>
      <c r="C29" s="24">
        <v>171</v>
      </c>
      <c r="D29" s="26">
        <v>1340376</v>
      </c>
      <c r="E29" s="26">
        <v>1445257</v>
      </c>
      <c r="F29" s="26">
        <v>313166</v>
      </c>
      <c r="G29" s="26">
        <v>7666723</v>
      </c>
      <c r="H29" s="27">
        <v>33055</v>
      </c>
      <c r="I29" s="27">
        <v>5783725</v>
      </c>
      <c r="J29" s="27">
        <v>23518</v>
      </c>
      <c r="K29" s="26">
        <v>2651619</v>
      </c>
      <c r="L29" s="32">
        <v>3600</v>
      </c>
      <c r="M29" s="32">
        <v>2898</v>
      </c>
      <c r="N29" s="26">
        <v>1706576</v>
      </c>
      <c r="O29" s="27">
        <v>388551</v>
      </c>
      <c r="P29" s="26">
        <v>350262</v>
      </c>
      <c r="Q29" s="26">
        <v>53773</v>
      </c>
      <c r="R29" s="26">
        <v>53706</v>
      </c>
      <c r="S29" s="26">
        <v>31251</v>
      </c>
      <c r="T29" s="26">
        <v>3303</v>
      </c>
      <c r="V29" s="36"/>
    </row>
    <row r="30" spans="1:22" x14ac:dyDescent="0.25">
      <c r="A30" s="18">
        <f t="shared" si="3"/>
        <v>44646</v>
      </c>
      <c r="B30" s="22">
        <v>108</v>
      </c>
      <c r="C30" s="24">
        <v>207</v>
      </c>
      <c r="D30" s="26">
        <v>1342609</v>
      </c>
      <c r="E30" s="26">
        <v>1448811</v>
      </c>
      <c r="F30" s="26">
        <v>313166</v>
      </c>
      <c r="G30" s="26">
        <v>7668690</v>
      </c>
      <c r="H30" s="27">
        <v>33077</v>
      </c>
      <c r="I30" s="27">
        <v>5786414</v>
      </c>
      <c r="J30" s="26">
        <v>24731</v>
      </c>
      <c r="K30" s="26">
        <v>2651619</v>
      </c>
      <c r="L30" s="32">
        <v>3600</v>
      </c>
      <c r="M30" s="32">
        <v>2901</v>
      </c>
      <c r="N30" s="26">
        <v>1709276</v>
      </c>
      <c r="O30" s="26">
        <v>388628</v>
      </c>
      <c r="P30" s="26">
        <v>350323</v>
      </c>
      <c r="Q30" s="26">
        <v>53837</v>
      </c>
      <c r="R30" s="26">
        <v>53716</v>
      </c>
      <c r="S30" s="26">
        <v>31252</v>
      </c>
      <c r="T30" s="26">
        <v>3308</v>
      </c>
      <c r="V30" s="36"/>
    </row>
    <row r="31" spans="1:22" x14ac:dyDescent="0.25">
      <c r="A31" s="18">
        <f t="shared" si="3"/>
        <v>44647</v>
      </c>
      <c r="B31" s="22">
        <v>133</v>
      </c>
      <c r="C31" s="24">
        <v>134</v>
      </c>
      <c r="D31" s="26">
        <v>1344823</v>
      </c>
      <c r="E31" s="26">
        <v>1452268</v>
      </c>
      <c r="F31" s="26">
        <v>313166</v>
      </c>
      <c r="G31" s="26">
        <v>7670434</v>
      </c>
      <c r="H31" s="27">
        <v>33147</v>
      </c>
      <c r="I31" s="27">
        <v>5789052</v>
      </c>
      <c r="J31" s="26">
        <v>25945</v>
      </c>
      <c r="K31" s="26">
        <v>2651619</v>
      </c>
      <c r="L31" s="32">
        <v>3451</v>
      </c>
      <c r="M31" s="32">
        <v>2770</v>
      </c>
      <c r="N31" s="26">
        <v>1711816</v>
      </c>
      <c r="O31" s="26">
        <v>388708</v>
      </c>
      <c r="P31" s="26">
        <v>350365</v>
      </c>
      <c r="Q31" s="26">
        <v>53883</v>
      </c>
      <c r="R31" s="26">
        <v>53726</v>
      </c>
      <c r="S31" s="26">
        <v>31256</v>
      </c>
      <c r="T31" s="26">
        <v>3315</v>
      </c>
      <c r="V31" s="36"/>
    </row>
    <row r="32" spans="1:22" x14ac:dyDescent="0.25">
      <c r="A32" s="18">
        <f t="shared" si="3"/>
        <v>44648</v>
      </c>
      <c r="B32" s="22">
        <v>134</v>
      </c>
      <c r="C32" s="24">
        <v>135</v>
      </c>
      <c r="D32" s="26">
        <v>1346992</v>
      </c>
      <c r="E32" s="26">
        <v>1455878</v>
      </c>
      <c r="F32" s="26">
        <v>313166</v>
      </c>
      <c r="G32" s="26">
        <v>7672339</v>
      </c>
      <c r="H32" s="27">
        <v>33247</v>
      </c>
      <c r="I32" s="27">
        <v>5791519</v>
      </c>
      <c r="J32" s="26">
        <v>338862</v>
      </c>
      <c r="K32" s="26">
        <v>2651619</v>
      </c>
      <c r="L32" s="32">
        <v>3593</v>
      </c>
      <c r="M32" s="32">
        <v>2921</v>
      </c>
      <c r="N32" s="26">
        <v>1714588</v>
      </c>
      <c r="O32" s="26">
        <v>388806</v>
      </c>
      <c r="P32" s="26">
        <v>350412</v>
      </c>
      <c r="Q32" s="26">
        <v>53934</v>
      </c>
      <c r="R32" s="26">
        <v>53736</v>
      </c>
      <c r="S32" s="26">
        <v>31264</v>
      </c>
      <c r="T32" s="26">
        <v>3323</v>
      </c>
    </row>
    <row r="33" spans="1:20" x14ac:dyDescent="0.25">
      <c r="A33" s="18">
        <f t="shared" si="3"/>
        <v>44649</v>
      </c>
      <c r="B33" s="22">
        <v>134</v>
      </c>
      <c r="C33" s="24">
        <v>135</v>
      </c>
      <c r="D33" s="25">
        <v>1349606</v>
      </c>
      <c r="E33" s="26">
        <v>1459371</v>
      </c>
      <c r="F33" s="26">
        <v>313167</v>
      </c>
      <c r="G33" s="26">
        <v>7674608</v>
      </c>
      <c r="H33" s="26">
        <v>33359</v>
      </c>
      <c r="I33" s="26">
        <v>5794146</v>
      </c>
      <c r="J33" s="26">
        <v>339104</v>
      </c>
      <c r="K33" s="26">
        <v>2651631</v>
      </c>
      <c r="L33" s="33">
        <v>3347</v>
      </c>
      <c r="M33" s="33">
        <v>2876</v>
      </c>
      <c r="N33" s="26">
        <v>1717302</v>
      </c>
      <c r="O33" s="26">
        <v>388879</v>
      </c>
      <c r="P33" s="26">
        <v>350448</v>
      </c>
      <c r="Q33" s="26">
        <v>53977</v>
      </c>
      <c r="R33" s="26">
        <v>53745</v>
      </c>
      <c r="S33" s="26">
        <v>31264</v>
      </c>
      <c r="T33" s="26">
        <v>3327</v>
      </c>
    </row>
    <row r="34" spans="1:20" x14ac:dyDescent="0.25">
      <c r="A34" s="18">
        <f>A33+1</f>
        <v>44650</v>
      </c>
      <c r="B34" s="22">
        <v>134</v>
      </c>
      <c r="C34" s="24">
        <v>135</v>
      </c>
      <c r="D34" s="25">
        <v>1351954</v>
      </c>
      <c r="E34" s="26">
        <v>1462653</v>
      </c>
      <c r="F34" s="26">
        <v>313215</v>
      </c>
      <c r="G34" s="26">
        <v>7676849</v>
      </c>
      <c r="H34" s="26">
        <v>33468</v>
      </c>
      <c r="I34" s="26">
        <v>5796460</v>
      </c>
      <c r="J34" s="26">
        <v>29038</v>
      </c>
      <c r="K34" s="26">
        <v>2651631</v>
      </c>
      <c r="L34" s="33">
        <v>3557</v>
      </c>
      <c r="M34" s="33">
        <v>2920</v>
      </c>
      <c r="N34" s="26">
        <v>1719847</v>
      </c>
      <c r="O34" s="26">
        <v>388948</v>
      </c>
      <c r="P34" s="26">
        <v>350488</v>
      </c>
      <c r="Q34" s="26">
        <v>54022</v>
      </c>
      <c r="R34" s="26">
        <v>53754</v>
      </c>
      <c r="S34" s="26">
        <v>31266</v>
      </c>
      <c r="T34" s="26">
        <v>3332</v>
      </c>
    </row>
    <row r="35" spans="1:20" x14ac:dyDescent="0.25">
      <c r="A35" s="18">
        <f>A34+1</f>
        <v>44651</v>
      </c>
      <c r="B35" s="22">
        <v>134</v>
      </c>
      <c r="C35" s="24">
        <v>135</v>
      </c>
      <c r="D35" s="25">
        <v>1354731</v>
      </c>
      <c r="E35" s="26">
        <v>1465832</v>
      </c>
      <c r="F35" s="26">
        <v>313215</v>
      </c>
      <c r="G35" s="26">
        <v>7679105</v>
      </c>
      <c r="H35" s="26">
        <v>33550</v>
      </c>
      <c r="I35" s="26">
        <v>5798854</v>
      </c>
      <c r="J35" s="26">
        <v>30093</v>
      </c>
      <c r="K35" s="26">
        <v>2651631</v>
      </c>
      <c r="L35" s="33">
        <v>3595</v>
      </c>
      <c r="M35" s="33">
        <v>2928</v>
      </c>
      <c r="N35" s="26">
        <v>1722870</v>
      </c>
      <c r="O35" s="26">
        <v>389028</v>
      </c>
      <c r="P35" s="26">
        <v>350536</v>
      </c>
      <c r="Q35" s="26">
        <v>54074</v>
      </c>
      <c r="R35" s="26">
        <v>53764</v>
      </c>
      <c r="S35" s="26">
        <v>31267</v>
      </c>
      <c r="T35" s="26">
        <v>3340</v>
      </c>
    </row>
    <row r="36" spans="1:20" x14ac:dyDescent="0.25">
      <c r="B36" s="16"/>
      <c r="C36" s="16"/>
    </row>
    <row r="37" spans="1:20" x14ac:dyDescent="0.25">
      <c r="B37"/>
      <c r="C37"/>
    </row>
    <row r="38" spans="1:20" x14ac:dyDescent="0.25">
      <c r="B38"/>
      <c r="C38"/>
    </row>
    <row r="39" spans="1:20" x14ac:dyDescent="0.25">
      <c r="B39"/>
      <c r="C39"/>
    </row>
    <row r="40" spans="1:20" x14ac:dyDescent="0.25">
      <c r="B40"/>
      <c r="C40"/>
    </row>
    <row r="41" spans="1:20" x14ac:dyDescent="0.25">
      <c r="B41"/>
      <c r="C41"/>
    </row>
    <row r="42" spans="1:20" x14ac:dyDescent="0.25">
      <c r="B42"/>
      <c r="C42"/>
    </row>
    <row r="43" spans="1:20" x14ac:dyDescent="0.25">
      <c r="B43"/>
      <c r="C43"/>
    </row>
    <row r="44" spans="1:20" x14ac:dyDescent="0.25">
      <c r="B44"/>
      <c r="C44"/>
    </row>
    <row r="45" spans="1:20" x14ac:dyDescent="0.25">
      <c r="B45"/>
      <c r="C45"/>
    </row>
    <row r="46" spans="1:20" x14ac:dyDescent="0.25">
      <c r="B46"/>
      <c r="C46"/>
    </row>
    <row r="47" spans="1:20" x14ac:dyDescent="0.25">
      <c r="B47"/>
      <c r="C47"/>
    </row>
    <row r="48" spans="1:20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</sheetData>
  <mergeCells count="20">
    <mergeCell ref="T1:T3"/>
    <mergeCell ref="M2:M3"/>
    <mergeCell ref="L2:L3"/>
    <mergeCell ref="N1:N3"/>
    <mergeCell ref="O1:O3"/>
    <mergeCell ref="P1:Q3"/>
    <mergeCell ref="R1:R3"/>
    <mergeCell ref="S1:S3"/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4B8BC1-168A-4D1E-A980-BA893BB91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CDD560-7822-4EA1-8593-5175C6066E7C}">
  <ds:schemaRefs>
    <ds:schemaRef ds:uri="7baf53ce-c784-4a12-8ee0-51f8f1a018ac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eff43ebd-2a19-4bb7-a86e-e6d7ee257b8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0BACACF-264B-4E80-A364-6E53198B6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Andrew Meacham</cp:lastModifiedBy>
  <cp:revision/>
  <dcterms:created xsi:type="dcterms:W3CDTF">2017-05-03T09:23:30Z</dcterms:created>
  <dcterms:modified xsi:type="dcterms:W3CDTF">2022-04-01T07:01:48Z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