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35" yWindow="30" windowWidth="14505" windowHeight="11310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E9" i="1"/>
  <c r="D9"/>
  <c r="H6" i="77"/>
  <c r="G24" i="2" l="1"/>
  <c r="L22" i="1" l="1"/>
  <c r="AW11" i="7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J33"/>
  <c r="J34" s="1"/>
  <c r="W26" s="1"/>
  <c r="H33"/>
  <c r="H34" s="1"/>
  <c r="F33"/>
  <c r="F34" s="1"/>
  <c r="R8" i="3"/>
  <c r="R11" s="1"/>
  <c r="R12" s="1"/>
  <c r="R14" s="1"/>
  <c r="R18" s="1"/>
  <c r="R19" s="1"/>
  <c r="R20" s="1"/>
  <c r="R21" s="1"/>
  <c r="R22" s="1"/>
  <c r="R23" s="1"/>
  <c r="R24" s="1"/>
  <c r="R25" s="1"/>
  <c r="R26" s="1"/>
  <c r="R28" s="1"/>
  <c r="R30" s="1"/>
  <c r="R32" s="1"/>
  <c r="R33" s="1"/>
  <c r="B16"/>
  <c r="B17" s="1"/>
  <c r="B29" s="1"/>
  <c r="B32" s="1"/>
  <c r="B33" s="1"/>
  <c r="T8"/>
  <c r="T10" s="1"/>
  <c r="T11" s="1"/>
  <c r="T12" s="1"/>
  <c r="T14" s="1"/>
  <c r="T18" s="1"/>
  <c r="T19" s="1"/>
  <c r="T20" s="1"/>
  <c r="T21" s="1"/>
  <c r="T22" s="1"/>
  <c r="T23" s="1"/>
  <c r="T24" s="1"/>
  <c r="T25" s="1"/>
  <c r="T26" s="1"/>
  <c r="T28" s="1"/>
  <c r="T30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6"/>
  <c r="D17" s="1"/>
  <c r="D29" s="1"/>
  <c r="D32" s="1"/>
  <c r="D33" s="1"/>
  <c r="C13" i="76" l="1"/>
  <c r="AT19" i="5"/>
  <c r="AT21" s="1"/>
  <c r="AT27" s="1"/>
  <c r="AT28" s="1"/>
  <c r="AT32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1" s="1"/>
  <c r="V32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9"/>
  <c r="AX34" s="1"/>
  <c r="AX35" s="1"/>
  <c r="AX36" s="1"/>
  <c r="AV19"/>
  <c r="AV25" s="1"/>
  <c r="AV32" s="1"/>
  <c r="AV34" s="1"/>
  <c r="AV35" s="1"/>
  <c r="AV36" s="1"/>
  <c r="AG9"/>
  <c r="AG10" s="1"/>
  <c r="AG11" s="1"/>
  <c r="AG13" s="1"/>
  <c r="AG14" s="1"/>
  <c r="AG15" s="1"/>
  <c r="AG16" s="1"/>
  <c r="AG17" s="1"/>
  <c r="AG18" s="1"/>
  <c r="AG19" s="1"/>
  <c r="AG20" s="1"/>
  <c r="AG21" s="1"/>
  <c r="AG22" s="1"/>
  <c r="AG25" s="1"/>
  <c r="AG26" s="1"/>
  <c r="AG27" s="1"/>
  <c r="AG29" s="1"/>
  <c r="AG31" s="1"/>
  <c r="AG32" s="1"/>
  <c r="AG33" s="1"/>
  <c r="AG34" s="1"/>
  <c r="AG35" s="1"/>
  <c r="AG36" s="1"/>
  <c r="AE9"/>
  <c r="AE11" s="1"/>
  <c r="AE13" s="1"/>
  <c r="AE14" s="1"/>
  <c r="AE15" s="1"/>
  <c r="AE17" s="1"/>
  <c r="AE18" s="1"/>
  <c r="AE19" s="1"/>
  <c r="AE20" s="1"/>
  <c r="AE21" s="1"/>
  <c r="AE22" s="1"/>
  <c r="AE25" s="1"/>
  <c r="AE26" s="1"/>
  <c r="AE27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8" s="1"/>
  <c r="Z19" s="1"/>
  <c r="Z21" s="1"/>
  <c r="Z22" s="1"/>
  <c r="Z25" s="1"/>
  <c r="Z26" s="1"/>
  <c r="Z27" s="1"/>
  <c r="Z28" s="1"/>
  <c r="Z29" s="1"/>
  <c r="Z30" s="1"/>
  <c r="Z31" s="1"/>
  <c r="Z32" s="1"/>
  <c r="Z34" s="1"/>
  <c r="Z35" s="1"/>
  <c r="Z36" s="1"/>
  <c r="X9"/>
  <c r="X11" s="1"/>
  <c r="X17" s="1"/>
  <c r="X18" s="1"/>
  <c r="X19" s="1"/>
  <c r="X21" s="1"/>
  <c r="X22" s="1"/>
  <c r="X25" s="1"/>
  <c r="X26" s="1"/>
  <c r="X27" s="1"/>
  <c r="X28" s="1"/>
  <c r="X29" s="1"/>
  <c r="X30" s="1"/>
  <c r="X31" s="1"/>
  <c r="X32" s="1"/>
  <c r="X34" s="1"/>
  <c r="X35" s="1"/>
  <c r="X36" s="1"/>
  <c r="G9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4" s="1"/>
  <c r="G35" s="1"/>
  <c r="G36" s="1"/>
  <c r="B9"/>
  <c r="B11" s="1"/>
  <c r="B13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2" s="1"/>
  <c r="Z13" s="1"/>
  <c r="Z14" s="1"/>
  <c r="Z16" s="1"/>
  <c r="Z17" s="1"/>
  <c r="Z18" s="1"/>
  <c r="Z19" s="1"/>
  <c r="Z20" s="1"/>
  <c r="Z21" s="1"/>
  <c r="Z24" s="1"/>
  <c r="Z25" s="1"/>
  <c r="Z26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6" s="1"/>
  <c r="X17" s="1"/>
  <c r="X18" s="1"/>
  <c r="X19" s="1"/>
  <c r="X20" s="1"/>
  <c r="X21" s="1"/>
  <c r="X24" s="1"/>
  <c r="X25" s="1"/>
  <c r="X26" s="1"/>
  <c r="X29" s="1"/>
  <c r="X30" s="1"/>
  <c r="X31" s="1"/>
  <c r="X32" s="1"/>
  <c r="X33" s="1"/>
  <c r="X34" s="1"/>
  <c r="X35" s="1"/>
  <c r="H5"/>
  <c r="H8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6" s="1"/>
  <c r="AN28" s="1"/>
  <c r="AN30" s="1"/>
  <c r="AN31" s="1"/>
  <c r="AN33" s="1"/>
  <c r="AN34" s="1"/>
  <c r="AN35" s="1"/>
  <c r="AE8"/>
  <c r="AE10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2" s="1"/>
  <c r="AC13" s="1"/>
  <c r="AC14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2" s="1"/>
  <c r="Q13" s="1"/>
  <c r="Q14" s="1"/>
  <c r="Q15" s="1"/>
  <c r="Q16" s="1"/>
  <c r="Q17" s="1"/>
  <c r="Q18" s="1"/>
  <c r="Q19" s="1"/>
  <c r="Q20" s="1"/>
  <c r="Q21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2" s="1"/>
  <c r="P13" s="1"/>
  <c r="P14" s="1"/>
  <c r="P16" s="1"/>
  <c r="P17" s="1"/>
  <c r="P18" s="1"/>
  <c r="P19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2" s="1"/>
  <c r="M13" s="1"/>
  <c r="M14" s="1"/>
  <c r="M16" s="1"/>
  <c r="M17" s="1"/>
  <c r="M18" s="1"/>
  <c r="M19" s="1"/>
  <c r="M20" s="1"/>
  <c r="M21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2"/>
  <c r="K13" s="1"/>
  <c r="K14" s="1"/>
  <c r="K16" s="1"/>
  <c r="K17" s="1"/>
  <c r="K18" s="1"/>
  <c r="K19" s="1"/>
  <c r="K20" s="1"/>
  <c r="K21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3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7"/>
  <c r="C34" s="1"/>
  <c r="C35" s="1"/>
  <c r="B17"/>
  <c r="B34" s="1"/>
  <c r="B35" s="1"/>
  <c r="Y6" i="2"/>
  <c r="Y11" s="1"/>
  <c r="Y16" s="1"/>
  <c r="Y17" s="1"/>
  <c r="Y18" s="1"/>
  <c r="Y20" s="1"/>
  <c r="Y23" s="1"/>
  <c r="Y24" s="1"/>
  <c r="Y25" s="1"/>
  <c r="Y26" s="1"/>
  <c r="Y27" s="1"/>
  <c r="Y28" s="1"/>
  <c r="Y29" s="1"/>
  <c r="Y30" s="1"/>
  <c r="Y31" s="1"/>
  <c r="Y32" s="1"/>
  <c r="Y33" s="1"/>
  <c r="W6"/>
  <c r="W11" s="1"/>
  <c r="W16" s="1"/>
  <c r="W17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16" s="1"/>
  <c r="U32" s="1"/>
  <c r="U33" s="1"/>
  <c r="L32"/>
  <c r="L33" s="1"/>
  <c r="AC3"/>
  <c r="AC6" s="1"/>
  <c r="AC8" s="1"/>
  <c r="AC19" s="1"/>
  <c r="AC24" s="1"/>
  <c r="AC27" s="1"/>
  <c r="AC29" s="1"/>
  <c r="AC30" s="1"/>
  <c r="AC32" s="1"/>
  <c r="AC33" s="1"/>
  <c r="AA6"/>
  <c r="AA19" s="1"/>
  <c r="AA24" s="1"/>
  <c r="AA27" s="1"/>
  <c r="AA29" s="1"/>
  <c r="AA30" s="1"/>
  <c r="AA32" s="1"/>
  <c r="AA33" s="1"/>
  <c r="S6"/>
  <c r="S16" s="1"/>
  <c r="S32" s="1"/>
  <c r="S33" s="1"/>
  <c r="P6"/>
  <c r="P32" s="1"/>
  <c r="P33" s="1"/>
  <c r="J32"/>
  <c r="J33" s="1"/>
  <c r="H32"/>
  <c r="H33" s="1"/>
  <c r="F32"/>
  <c r="F33" s="1"/>
  <c r="D32"/>
  <c r="D33" s="1"/>
  <c r="D18" i="77"/>
  <c r="D17"/>
  <c r="C14" i="76" l="1"/>
  <c r="C19" i="77"/>
  <c r="C18"/>
  <c r="C17"/>
  <c r="C16"/>
  <c r="C15"/>
  <c r="C14"/>
  <c r="C15" i="76" l="1"/>
  <c r="I6" i="77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V26"/>
  <c r="C18" l="1"/>
  <c r="C19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AA33" i="3"/>
  <c r="F3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K34" i="76"/>
  <c r="N34" s="1"/>
  <c r="G17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G34"/>
  <c r="L34" s="1"/>
  <c r="W28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C29" i="76" l="1"/>
  <c r="Q33" i="2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B33" l="1"/>
  <c r="B34" s="1"/>
  <c r="C34" s="1"/>
  <c r="C30"/>
  <c r="AL36" i="5"/>
  <c r="J36"/>
  <c r="L32" i="81" s="1"/>
  <c r="K32"/>
  <c r="AI33" i="3"/>
  <c r="D34" i="76"/>
  <c r="M22"/>
  <c r="D22"/>
  <c r="E22" s="1"/>
  <c r="S34"/>
  <c r="T34" s="1"/>
  <c r="F32" i="81" s="1"/>
  <c r="R33" i="2"/>
  <c r="I23" i="76"/>
  <c r="K23"/>
  <c r="N23" s="1"/>
  <c r="L22"/>
  <c r="G23"/>
  <c r="G30" i="73"/>
  <c r="D30"/>
  <c r="AI33" i="2" l="1"/>
  <c r="E34" i="76"/>
  <c r="M23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S26" i="76" l="1"/>
  <c r="R25" i="2"/>
  <c r="O25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33" i="76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T25" s="1"/>
  <c r="F23" i="81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T24" s="1"/>
  <c r="F22" i="81" s="1"/>
  <c r="AY21" i="7"/>
  <c r="Q19" i="76"/>
  <c r="R19" s="1"/>
  <c r="T19" s="1"/>
  <c r="F17" i="81" s="1"/>
  <c r="Q21" i="76"/>
  <c r="R21" s="1"/>
  <c r="T21" s="1"/>
  <c r="F19" i="81" s="1"/>
  <c r="AY23" i="7"/>
  <c r="AS40"/>
  <c r="Q29" i="76"/>
  <c r="R29" s="1"/>
  <c r="T29" s="1"/>
  <c r="F27" i="81" s="1"/>
  <c r="AY31" i="7"/>
  <c r="Q27" i="76"/>
  <c r="R27" s="1"/>
  <c r="T27" s="1"/>
  <c r="F25" i="81" s="1"/>
  <c r="AY29" i="7"/>
  <c r="AY19"/>
  <c r="Q17" i="76"/>
  <c r="R17" s="1"/>
  <c r="T17" s="1"/>
  <c r="F15" i="81" s="1"/>
  <c r="Q31" i="76"/>
  <c r="R31" s="1"/>
  <c r="T31" s="1"/>
  <c r="F29" i="81" s="1"/>
  <c r="AY33" i="7"/>
  <c r="AY20"/>
  <c r="Q18" i="76"/>
  <c r="R18" s="1"/>
  <c r="T18" s="1"/>
  <c r="F16" i="81" s="1"/>
  <c r="Q34" i="76"/>
  <c r="R34" s="1"/>
  <c r="AY36" i="7"/>
  <c r="Q28" i="76"/>
  <c r="R28" s="1"/>
  <c r="T28" s="1"/>
  <c r="F26" i="81" s="1"/>
  <c r="AY30" i="7"/>
  <c r="Q23" i="76"/>
  <c r="R23" s="1"/>
  <c r="T23" s="1"/>
  <c r="F21" i="81" s="1"/>
  <c r="AY25" i="7"/>
  <c r="AY28"/>
  <c r="Q26" i="76"/>
  <c r="R26" s="1"/>
  <c r="T26" s="1"/>
  <c r="F24" i="81" s="1"/>
  <c r="Q15" i="76"/>
  <c r="R15" s="1"/>
  <c r="T15" s="1"/>
  <c r="F13" i="81" s="1"/>
  <c r="AY17" i="7"/>
  <c r="Q32" i="76"/>
  <c r="R32" s="1"/>
  <c r="T32" s="1"/>
  <c r="F30" i="81" s="1"/>
  <c r="AY34" i="7"/>
  <c r="AY18"/>
  <c r="Q16" i="76"/>
  <c r="R16" s="1"/>
  <c r="T16" s="1"/>
  <c r="F14" i="81" s="1"/>
  <c r="Q30" i="76"/>
  <c r="R30" s="1"/>
  <c r="T30" s="1"/>
  <c r="F28" i="81" s="1"/>
  <c r="AY32" i="7"/>
  <c r="AY24"/>
  <c r="Q22" i="76"/>
  <c r="R22" s="1"/>
  <c r="T22" s="1"/>
  <c r="F20" i="81" s="1"/>
  <c r="AY35" i="7"/>
  <c r="AX16"/>
  <c r="AY27"/>
  <c r="Q20" i="76"/>
  <c r="R20" s="1"/>
  <c r="T20" s="1"/>
  <c r="F18" i="81" s="1"/>
  <c r="AY16" i="7" l="1"/>
  <c r="AY37" s="1"/>
  <c r="AX37"/>
  <c r="Z42" i="76" s="1"/>
  <c r="Z43" s="1"/>
  <c r="Z45" s="1"/>
  <c r="Q14"/>
  <c r="R14" s="1"/>
  <c r="T14" s="1"/>
  <c r="F12" i="81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hussein.saleh</author>
    <author>Daniel.mouneef</author>
  </authors>
  <commentList>
    <comment ref="G1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able to take the records due to the falling object hazard </t>
        </r>
      </text>
    </comment>
    <comment ref="BF13" authorId="1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<sst xmlns="http://schemas.openxmlformats.org/spreadsheetml/2006/main" count="808" uniqueCount="418">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</sst>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1" fontId="0" fillId="31" borderId="7" xfId="0" applyNumberFormat="1" applyFill="1" applyBorder="1" applyAlignment="1">
      <alignment horizontal="left"/>
    </xf>
    <xf numFmtId="0" fontId="23" fillId="3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41" fontId="0" fillId="8" borderId="1" xfId="0" applyNumberFormat="1" applyFill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9301</c:v>
                </c:pt>
                <c:pt idx="23">
                  <c:v>10003</c:v>
                </c:pt>
                <c:pt idx="24">
                  <c:v>10040</c:v>
                </c:pt>
                <c:pt idx="25">
                  <c:v>10187</c:v>
                </c:pt>
                <c:pt idx="26">
                  <c:v>9950</c:v>
                </c:pt>
                <c:pt idx="27">
                  <c:v>9580</c:v>
                </c:pt>
                <c:pt idx="28">
                  <c:v>8648</c:v>
                </c:pt>
                <c:pt idx="29">
                  <c:v>10211</c:v>
                </c:pt>
                <c:pt idx="30">
                  <c:v>0</c:v>
                </c:pt>
              </c:numCache>
            </c:numRef>
          </c:val>
        </c:ser>
        <c:marker val="1"/>
        <c:axId val="21335040"/>
        <c:axId val="47182592"/>
      </c:lineChart>
      <c:catAx>
        <c:axId val="213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82592"/>
        <c:crosses val="autoZero"/>
        <c:auto val="1"/>
        <c:lblAlgn val="ctr"/>
        <c:lblOffset val="100"/>
      </c:catAx>
      <c:valAx>
        <c:axId val="471825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377"/>
          <c:w val="0.11899800868449698"/>
          <c:h val="4.49826989619455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4430</c:v>
                </c:pt>
                <c:pt idx="26">
                  <c:v>4434</c:v>
                </c:pt>
                <c:pt idx="27">
                  <c:v>4348</c:v>
                </c:pt>
                <c:pt idx="28">
                  <c:v>3762</c:v>
                </c:pt>
                <c:pt idx="29">
                  <c:v>4134</c:v>
                </c:pt>
                <c:pt idx="30">
                  <c:v>0</c:v>
                </c:pt>
              </c:numCache>
            </c:numRef>
          </c:val>
        </c:ser>
        <c:marker val="1"/>
        <c:axId val="47006464"/>
        <c:axId val="47008000"/>
      </c:lineChart>
      <c:catAx>
        <c:axId val="4700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08000"/>
        <c:crosses val="autoZero"/>
        <c:auto val="1"/>
        <c:lblAlgn val="ctr"/>
        <c:lblOffset val="100"/>
      </c:catAx>
      <c:valAx>
        <c:axId val="4700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0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21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7044480"/>
        <c:axId val="47046016"/>
      </c:lineChart>
      <c:catAx>
        <c:axId val="47044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46016"/>
        <c:crosses val="autoZero"/>
        <c:auto val="1"/>
        <c:lblAlgn val="ctr"/>
        <c:lblOffset val="100"/>
      </c:catAx>
      <c:valAx>
        <c:axId val="470460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4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016"/>
          <c:y val="0.62975887529635377"/>
          <c:w val="7.9124755870162669E-2"/>
          <c:h val="4.498269896194556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8438272"/>
        <c:axId val="48448256"/>
      </c:lineChart>
      <c:catAx>
        <c:axId val="4843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48256"/>
        <c:crosses val="autoZero"/>
        <c:auto val="1"/>
        <c:lblAlgn val="ctr"/>
        <c:lblOffset val="100"/>
      </c:catAx>
      <c:valAx>
        <c:axId val="484482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3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3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178.69230769230768</c:v>
                </c:pt>
                <c:pt idx="21">
                  <c:v>931</c:v>
                </c:pt>
                <c:pt idx="22">
                  <c:v>224.85714285714286</c:v>
                </c:pt>
                <c:pt idx="23">
                  <c:v>230.66666666666666</c:v>
                </c:pt>
                <c:pt idx="24">
                  <c:v>260.66666666666669</c:v>
                </c:pt>
                <c:pt idx="25">
                  <c:v>196.92857142857142</c:v>
                </c:pt>
                <c:pt idx="26">
                  <c:v>210</c:v>
                </c:pt>
                <c:pt idx="27">
                  <c:v>200</c:v>
                </c:pt>
                <c:pt idx="28">
                  <c:v>226.625</c:v>
                </c:pt>
                <c:pt idx="29">
                  <c:v>0</c:v>
                </c:pt>
              </c:numCache>
            </c:numRef>
          </c:val>
        </c:ser>
        <c:marker val="1"/>
        <c:axId val="48460160"/>
        <c:axId val="48461696"/>
      </c:lineChart>
      <c:catAx>
        <c:axId val="4846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61696"/>
        <c:crosses val="autoZero"/>
        <c:auto val="1"/>
        <c:lblAlgn val="ctr"/>
        <c:lblOffset val="100"/>
      </c:catAx>
      <c:valAx>
        <c:axId val="48461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46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29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8883584"/>
        <c:axId val="48885120"/>
      </c:lineChart>
      <c:catAx>
        <c:axId val="4888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885120"/>
        <c:crosses val="autoZero"/>
        <c:auto val="1"/>
        <c:lblAlgn val="ctr"/>
        <c:lblOffset val="100"/>
      </c:catAx>
      <c:valAx>
        <c:axId val="48885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88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8991232"/>
        <c:axId val="49005312"/>
      </c:lineChart>
      <c:catAx>
        <c:axId val="4899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005312"/>
        <c:crosses val="autoZero"/>
        <c:auto val="1"/>
        <c:lblAlgn val="ctr"/>
        <c:lblOffset val="100"/>
      </c:catAx>
      <c:valAx>
        <c:axId val="4900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99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2085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9033216"/>
        <c:axId val="49034752"/>
      </c:lineChart>
      <c:catAx>
        <c:axId val="4903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034752"/>
        <c:crosses val="autoZero"/>
        <c:auto val="1"/>
        <c:lblAlgn val="ctr"/>
        <c:lblOffset val="100"/>
      </c:catAx>
      <c:valAx>
        <c:axId val="4903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03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26</c:v>
                </c:pt>
                <c:pt idx="25">
                  <c:v>29</c:v>
                </c:pt>
                <c:pt idx="26">
                  <c:v>28</c:v>
                </c:pt>
                <c:pt idx="27">
                  <c:v>28</c:v>
                </c:pt>
                <c:pt idx="28">
                  <c:v>27.5</c:v>
                </c:pt>
                <c:pt idx="29">
                  <c:v>0</c:v>
                </c:pt>
              </c:numCache>
            </c:numRef>
          </c:val>
        </c:ser>
        <c:marker val="1"/>
        <c:axId val="49058944"/>
        <c:axId val="49060480"/>
      </c:lineChart>
      <c:catAx>
        <c:axId val="4905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060480"/>
        <c:crosses val="autoZero"/>
        <c:auto val="1"/>
        <c:lblAlgn val="ctr"/>
        <c:lblOffset val="100"/>
      </c:catAx>
      <c:valAx>
        <c:axId val="49060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05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053"/>
          <c:w val="0.1272403315177239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9096960"/>
        <c:axId val="49098752"/>
      </c:lineChart>
      <c:catAx>
        <c:axId val="4909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098752"/>
        <c:crosses val="autoZero"/>
        <c:auto val="1"/>
        <c:lblAlgn val="ctr"/>
        <c:lblOffset val="100"/>
      </c:catAx>
      <c:valAx>
        <c:axId val="49098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09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115.20000000001164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455</c:v>
                </c:pt>
                <c:pt idx="19">
                  <c:v>291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49114496"/>
        <c:axId val="48764032"/>
      </c:lineChart>
      <c:catAx>
        <c:axId val="4911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764032"/>
        <c:crosses val="autoZero"/>
        <c:auto val="1"/>
        <c:lblAlgn val="ctr"/>
        <c:lblOffset val="100"/>
      </c:catAx>
      <c:valAx>
        <c:axId val="4876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11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053"/>
          <c:w val="0.135416885389347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60</c:v>
                </c:pt>
                <c:pt idx="21">
                  <c:v>0</c:v>
                </c:pt>
                <c:pt idx="22">
                  <c:v>30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8792320"/>
        <c:axId val="48793856"/>
      </c:lineChart>
      <c:catAx>
        <c:axId val="4879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793856"/>
        <c:crosses val="autoZero"/>
        <c:auto val="1"/>
        <c:lblAlgn val="ctr"/>
        <c:lblOffset val="100"/>
      </c:catAx>
      <c:valAx>
        <c:axId val="48793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79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05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9301</c:v>
                </c:pt>
                <c:pt idx="23">
                  <c:v>10003</c:v>
                </c:pt>
                <c:pt idx="24">
                  <c:v>10040</c:v>
                </c:pt>
                <c:pt idx="25">
                  <c:v>10187</c:v>
                </c:pt>
                <c:pt idx="26">
                  <c:v>9950</c:v>
                </c:pt>
                <c:pt idx="27">
                  <c:v>9580</c:v>
                </c:pt>
                <c:pt idx="28">
                  <c:v>8648</c:v>
                </c:pt>
                <c:pt idx="29">
                  <c:v>10211</c:v>
                </c:pt>
                <c:pt idx="30">
                  <c:v>0</c:v>
                </c:pt>
              </c:numCache>
            </c:numRef>
          </c:val>
        </c:ser>
        <c:marker val="1"/>
        <c:axId val="48810240"/>
        <c:axId val="48816128"/>
      </c:lineChart>
      <c:catAx>
        <c:axId val="4881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816128"/>
        <c:crosses val="autoZero"/>
        <c:auto val="1"/>
        <c:lblAlgn val="ctr"/>
        <c:lblOffset val="100"/>
      </c:catAx>
      <c:valAx>
        <c:axId val="48816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81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377"/>
          <c:w val="0.12291688538932598"/>
          <c:h val="4.498269896194553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4430</c:v>
                </c:pt>
                <c:pt idx="26">
                  <c:v>4434</c:v>
                </c:pt>
                <c:pt idx="27">
                  <c:v>4348</c:v>
                </c:pt>
                <c:pt idx="28">
                  <c:v>3762</c:v>
                </c:pt>
                <c:pt idx="29">
                  <c:v>4134</c:v>
                </c:pt>
                <c:pt idx="30">
                  <c:v>0</c:v>
                </c:pt>
              </c:numCache>
            </c:numRef>
          </c:val>
        </c:ser>
        <c:marker val="1"/>
        <c:axId val="49167744"/>
        <c:axId val="49194112"/>
      </c:lineChart>
      <c:catAx>
        <c:axId val="4916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194112"/>
        <c:crosses val="autoZero"/>
        <c:auto val="1"/>
        <c:lblAlgn val="ctr"/>
        <c:lblOffset val="100"/>
      </c:catAx>
      <c:valAx>
        <c:axId val="49194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16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053"/>
          <c:w val="0.135416885389347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7</c:v>
                </c:pt>
                <c:pt idx="29">
                  <c:v>0</c:v>
                </c:pt>
              </c:numCache>
            </c:numRef>
          </c:val>
        </c:ser>
        <c:marker val="1"/>
        <c:axId val="49234688"/>
        <c:axId val="49236224"/>
      </c:lineChart>
      <c:catAx>
        <c:axId val="4923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236224"/>
        <c:crosses val="autoZero"/>
        <c:auto val="1"/>
        <c:lblAlgn val="ctr"/>
        <c:lblOffset val="100"/>
      </c:catAx>
      <c:valAx>
        <c:axId val="492362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23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073"/>
          <c:y val="0.54325368498487869"/>
          <c:w val="0.11458355205599259"/>
          <c:h val="4.498269896194502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-4662.5451612903125</c:v>
                </c:pt>
                <c:pt idx="5">
                  <c:v>-447.6806451612938</c:v>
                </c:pt>
                <c:pt idx="6">
                  <c:v>2113.5483870967582</c:v>
                </c:pt>
                <c:pt idx="7">
                  <c:v>-1134.1580645161157</c:v>
                </c:pt>
                <c:pt idx="8">
                  <c:v>-596.68709677419974</c:v>
                </c:pt>
                <c:pt idx="9">
                  <c:v>-471.3483870967757</c:v>
                </c:pt>
                <c:pt idx="10">
                  <c:v>-620.35483870966709</c:v>
                </c:pt>
                <c:pt idx="11">
                  <c:v>-1696.3935483871028</c:v>
                </c:pt>
                <c:pt idx="12">
                  <c:v>0</c:v>
                </c:pt>
                <c:pt idx="13">
                  <c:v>-1286.3806451612909</c:v>
                </c:pt>
                <c:pt idx="14">
                  <c:v>-941.03225806451519</c:v>
                </c:pt>
                <c:pt idx="15">
                  <c:v>-219.0064516128914</c:v>
                </c:pt>
                <c:pt idx="16">
                  <c:v>-708.02580645162379</c:v>
                </c:pt>
                <c:pt idx="17">
                  <c:v>-620.35483870966709</c:v>
                </c:pt>
                <c:pt idx="18">
                  <c:v>-1226.7096774193487</c:v>
                </c:pt>
                <c:pt idx="19">
                  <c:v>-613.3548387096962</c:v>
                </c:pt>
                <c:pt idx="20">
                  <c:v>-920.03225806452974</c:v>
                </c:pt>
                <c:pt idx="21">
                  <c:v>-271.67741935481899</c:v>
                </c:pt>
                <c:pt idx="22">
                  <c:v>-341.6774193548481</c:v>
                </c:pt>
                <c:pt idx="23">
                  <c:v>-613.35483870966709</c:v>
                </c:pt>
                <c:pt idx="24">
                  <c:v>-613.35483870966709</c:v>
                </c:pt>
                <c:pt idx="25">
                  <c:v>-850.03225806452247</c:v>
                </c:pt>
                <c:pt idx="26">
                  <c:v>-9928.6774193548335</c:v>
                </c:pt>
                <c:pt idx="27">
                  <c:v>10970.387096774175</c:v>
                </c:pt>
                <c:pt idx="28">
                  <c:v>-543.35483870966709</c:v>
                </c:pt>
                <c:pt idx="29">
                  <c:v>0</c:v>
                </c:pt>
              </c:numCache>
            </c:numRef>
          </c:val>
        </c:ser>
        <c:marker val="1"/>
        <c:axId val="49256320"/>
        <c:axId val="49257856"/>
      </c:lineChart>
      <c:catAx>
        <c:axId val="4925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257856"/>
        <c:crosses val="autoZero"/>
        <c:auto val="1"/>
        <c:lblAlgn val="ctr"/>
        <c:lblOffset val="100"/>
      </c:catAx>
      <c:valAx>
        <c:axId val="49257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25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41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9368448"/>
        <c:axId val="49374336"/>
      </c:lineChart>
      <c:catAx>
        <c:axId val="4936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74336"/>
        <c:crosses val="autoZero"/>
        <c:auto val="1"/>
        <c:lblAlgn val="ctr"/>
        <c:lblOffset val="100"/>
      </c:catAx>
      <c:valAx>
        <c:axId val="4937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6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377"/>
          <c:w val="0.13541688538934754"/>
          <c:h val="4.498269896194553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9406720"/>
        <c:axId val="49408256"/>
      </c:lineChart>
      <c:catAx>
        <c:axId val="4940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408256"/>
        <c:crosses val="autoZero"/>
        <c:auto val="1"/>
        <c:lblAlgn val="ctr"/>
        <c:lblOffset val="100"/>
      </c:catAx>
      <c:valAx>
        <c:axId val="4940825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406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377"/>
          <c:w val="9.730870597697025E-2"/>
          <c:h val="4.498269896194553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72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9313664"/>
        <c:axId val="49315200"/>
      </c:lineChart>
      <c:catAx>
        <c:axId val="4931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15200"/>
        <c:crosses val="autoZero"/>
        <c:auto val="1"/>
        <c:lblAlgn val="ctr"/>
        <c:lblOffset val="100"/>
      </c:catAx>
      <c:valAx>
        <c:axId val="493152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1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53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49327104"/>
        <c:axId val="100598528"/>
      </c:lineChart>
      <c:catAx>
        <c:axId val="4932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598528"/>
        <c:crosses val="autoZero"/>
        <c:auto val="1"/>
        <c:lblAlgn val="ctr"/>
        <c:lblOffset val="100"/>
      </c:catAx>
      <c:valAx>
        <c:axId val="100598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2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234"/>
          <c:y val="0.62975887529635377"/>
          <c:w val="0.13250539334757044"/>
          <c:h val="4.498269896194553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2085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618624"/>
        <c:axId val="100620160"/>
      </c:lineChart>
      <c:catAx>
        <c:axId val="10061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20160"/>
        <c:crosses val="autoZero"/>
        <c:auto val="1"/>
        <c:lblAlgn val="ctr"/>
        <c:lblOffset val="100"/>
      </c:catAx>
      <c:valAx>
        <c:axId val="100620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05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26</c:v>
                </c:pt>
                <c:pt idx="25">
                  <c:v>29</c:v>
                </c:pt>
                <c:pt idx="26">
                  <c:v>28</c:v>
                </c:pt>
                <c:pt idx="27">
                  <c:v>28</c:v>
                </c:pt>
                <c:pt idx="28">
                  <c:v>27.5</c:v>
                </c:pt>
                <c:pt idx="29">
                  <c:v>0</c:v>
                </c:pt>
              </c:numCache>
            </c:numRef>
          </c:val>
        </c:ser>
        <c:marker val="1"/>
        <c:axId val="100660736"/>
        <c:axId val="100662272"/>
      </c:lineChart>
      <c:catAx>
        <c:axId val="10066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62272"/>
        <c:crosses val="autoZero"/>
        <c:auto val="1"/>
        <c:lblAlgn val="ctr"/>
        <c:lblOffset val="100"/>
      </c:catAx>
      <c:valAx>
        <c:axId val="10066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6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335"/>
          <c:w val="0.1234311819809255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-36.6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284.29999999999984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0687232"/>
        <c:axId val="100709504"/>
      </c:lineChart>
      <c:catAx>
        <c:axId val="1006872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09504"/>
        <c:crosses val="autoZero"/>
        <c:auto val="1"/>
        <c:lblAlgn val="ctr"/>
        <c:lblOffset val="100"/>
      </c:catAx>
      <c:valAx>
        <c:axId val="1007095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8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457"/>
          <c:w val="0.1569039853282123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178.69230769230768</c:v>
                </c:pt>
                <c:pt idx="21">
                  <c:v>931</c:v>
                </c:pt>
                <c:pt idx="22">
                  <c:v>224.85714285714286</c:v>
                </c:pt>
                <c:pt idx="23">
                  <c:v>230.66666666666666</c:v>
                </c:pt>
                <c:pt idx="24">
                  <c:v>260.66666666666669</c:v>
                </c:pt>
                <c:pt idx="25">
                  <c:v>196.92857142857142</c:v>
                </c:pt>
                <c:pt idx="26">
                  <c:v>210</c:v>
                </c:pt>
                <c:pt idx="27">
                  <c:v>200</c:v>
                </c:pt>
                <c:pt idx="28">
                  <c:v>226.625</c:v>
                </c:pt>
                <c:pt idx="29">
                  <c:v>0</c:v>
                </c:pt>
              </c:numCache>
            </c:numRef>
          </c:val>
        </c:ser>
        <c:marker val="1"/>
        <c:axId val="100802944"/>
        <c:axId val="100804480"/>
      </c:lineChart>
      <c:catAx>
        <c:axId val="10080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04480"/>
        <c:crosses val="autoZero"/>
        <c:auto val="1"/>
        <c:lblAlgn val="ctr"/>
        <c:lblOffset val="100"/>
      </c:catAx>
      <c:valAx>
        <c:axId val="100804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0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377"/>
          <c:w val="0.14853578449139657"/>
          <c:h val="4.498269896194581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26</c:v>
                </c:pt>
                <c:pt idx="25">
                  <c:v>29</c:v>
                </c:pt>
                <c:pt idx="26">
                  <c:v>28</c:v>
                </c:pt>
                <c:pt idx="27">
                  <c:v>28</c:v>
                </c:pt>
                <c:pt idx="28">
                  <c:v>27.5</c:v>
                </c:pt>
                <c:pt idx="29">
                  <c:v>0</c:v>
                </c:pt>
              </c:numCache>
            </c:numRef>
          </c:val>
        </c:ser>
        <c:marker val="1"/>
        <c:axId val="47081344"/>
        <c:axId val="47082880"/>
      </c:lineChart>
      <c:catAx>
        <c:axId val="4708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82880"/>
        <c:crosses val="autoZero"/>
        <c:auto val="1"/>
        <c:lblAlgn val="ctr"/>
        <c:lblOffset val="100"/>
      </c:catAx>
      <c:valAx>
        <c:axId val="47082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08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587"/>
          <c:y val="0.62975887529635377"/>
          <c:w val="0.12164948453608219"/>
          <c:h val="4.498269896194581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61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7</c:v>
                </c:pt>
                <c:pt idx="29">
                  <c:v>0</c:v>
                </c:pt>
              </c:numCache>
            </c:numRef>
          </c:val>
        </c:ser>
        <c:marker val="1"/>
        <c:axId val="102207488"/>
        <c:axId val="102209024"/>
      </c:lineChart>
      <c:catAx>
        <c:axId val="10220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09024"/>
        <c:crosses val="autoZero"/>
        <c:auto val="1"/>
        <c:lblAlgn val="ctr"/>
        <c:lblOffset val="100"/>
      </c:catAx>
      <c:valAx>
        <c:axId val="1022090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0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4430</c:v>
                </c:pt>
                <c:pt idx="26">
                  <c:v>4434</c:v>
                </c:pt>
                <c:pt idx="27">
                  <c:v>4348</c:v>
                </c:pt>
                <c:pt idx="28">
                  <c:v>3762</c:v>
                </c:pt>
                <c:pt idx="29">
                  <c:v>4134</c:v>
                </c:pt>
                <c:pt idx="30">
                  <c:v>0</c:v>
                </c:pt>
              </c:numCache>
            </c:numRef>
          </c:val>
        </c:ser>
        <c:marker val="1"/>
        <c:axId val="102425728"/>
        <c:axId val="102427264"/>
      </c:lineChart>
      <c:catAx>
        <c:axId val="10242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7264"/>
        <c:crosses val="autoZero"/>
        <c:auto val="1"/>
        <c:lblAlgn val="ctr"/>
        <c:lblOffset val="100"/>
      </c:catAx>
      <c:valAx>
        <c:axId val="102427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2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8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-36.6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284.29999999999984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2739328"/>
        <c:axId val="102757504"/>
      </c:lineChart>
      <c:catAx>
        <c:axId val="1027393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57504"/>
        <c:crosses val="autoZero"/>
        <c:auto val="1"/>
        <c:lblAlgn val="ctr"/>
        <c:lblOffset val="100"/>
      </c:catAx>
      <c:valAx>
        <c:axId val="1027575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73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45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295275</xdr:colOff>
      <xdr:row>41</xdr:row>
      <xdr:rowOff>85725</xdr:rowOff>
    </xdr:from>
    <xdr:to>
      <xdr:col>55</xdr:col>
      <xdr:colOff>676275</xdr:colOff>
      <xdr:row>55</xdr:row>
      <xdr:rowOff>152400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0"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0.14190441461071041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9.4038830269981943E-2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9.9577816055377327E-2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5.6858142124442762E-2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0.2549744235458869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5.9283590959631115E-2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9781</v>
      </c>
      <c r="F8" s="338">
        <f>SUM('EDl log'!T10)</f>
        <v>-4.7999748849102429E-2</v>
      </c>
      <c r="G8" s="206">
        <f>-tanks!AW12</f>
        <v>0</v>
      </c>
      <c r="H8" s="338">
        <f>SUM(tanks!AV12)</f>
        <v>0.53500000000000003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10647</v>
      </c>
      <c r="F9" s="338">
        <f>SUM('EDl log'!T11)</f>
        <v>0.1083160256287595</v>
      </c>
      <c r="G9" s="206">
        <f>-tanks!AW13</f>
        <v>0</v>
      </c>
      <c r="H9" s="338">
        <f>SUM(tanks!AV13)</f>
        <v>0.53500000000000003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8400</v>
      </c>
      <c r="F10" s="338">
        <f>SUM('EDl log'!T12)</f>
        <v>9.2999868820158885E-2</v>
      </c>
      <c r="G10" s="206">
        <f>-tanks!AW14</f>
        <v>0</v>
      </c>
      <c r="H10" s="338">
        <f>SUM(tanks!AV14)</f>
        <v>0.53500000000000003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10457</v>
      </c>
      <c r="F11" s="338">
        <f>SUM('EDl log'!T13)</f>
        <v>7.8130408984750696E-2</v>
      </c>
      <c r="G11" s="206">
        <f>-tanks!AW15</f>
        <v>0</v>
      </c>
      <c r="H11" s="338">
        <f>SUM(tanks!AV15)</f>
        <v>0.53500000000000003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10265</v>
      </c>
      <c r="F12" s="338">
        <f>SUM('EDl log'!T14)</f>
        <v>7.9941350470404349E-2</v>
      </c>
      <c r="G12" s="206">
        <f>-tanks!AW16</f>
        <v>115.20000000001164</v>
      </c>
      <c r="H12" s="338">
        <f>SUM(tanks!AV16)</f>
        <v>0.53500000000000003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10779</v>
      </c>
      <c r="F13" s="338">
        <f>SUM('EDl log'!T15)</f>
        <v>0.13530198766049295</v>
      </c>
      <c r="G13" s="206">
        <f>-tanks!AW17</f>
        <v>0</v>
      </c>
      <c r="H13" s="338">
        <f>SUM(tanks!AV17)</f>
        <v>0.53500000000000003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11455</v>
      </c>
      <c r="F14" s="338">
        <f>SUM('EDl log'!T16)</f>
        <v>4.4295776275472362E-2</v>
      </c>
      <c r="G14" s="206">
        <f>-tanks!AW18</f>
        <v>0</v>
      </c>
      <c r="H14" s="338">
        <f>SUM(tanks!AV18)</f>
        <v>0.53500000000000003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11209</v>
      </c>
      <c r="F15" s="338">
        <f>SUM('EDl log'!T17)</f>
        <v>0.10404147264469965</v>
      </c>
      <c r="G15" s="206">
        <f>-tanks!AW19</f>
        <v>0</v>
      </c>
      <c r="H15" s="338">
        <f>SUM(tanks!AV19)</f>
        <v>0.53500000000000003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9704</v>
      </c>
      <c r="F16" s="338">
        <f>SUM('EDl log'!T18)</f>
        <v>0.10484100627426399</v>
      </c>
      <c r="G16" s="206">
        <f>-tanks!AW20</f>
        <v>0</v>
      </c>
      <c r="H16" s="338">
        <f>SUM(tanks!AV20)</f>
        <v>0.53500000000000003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9365</v>
      </c>
      <c r="F17" s="338">
        <f>SUM('EDl log'!T19)</f>
        <v>6.6452374365156761E-2</v>
      </c>
      <c r="G17" s="206">
        <f>-tanks!AW21</f>
        <v>0</v>
      </c>
      <c r="H17" s="338">
        <f>SUM(tanks!AV21)</f>
        <v>0.53500000000000003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11726</v>
      </c>
      <c r="F18" s="338">
        <f>SUM('EDl log'!T20)</f>
        <v>8.0307847309497513E-2</v>
      </c>
      <c r="G18" s="206">
        <f>-tanks!AW22</f>
        <v>0</v>
      </c>
      <c r="H18" s="338">
        <f>SUM(tanks!AV22)</f>
        <v>0.53500000000000003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12104</v>
      </c>
      <c r="F19" s="338">
        <f>SUM('EDl log'!T21)</f>
        <v>5.8988077956077759E-2</v>
      </c>
      <c r="G19" s="206">
        <f>-tanks!AW23</f>
        <v>455</v>
      </c>
      <c r="H19" s="338">
        <f>SUM(tanks!AV23)</f>
        <v>0.53500000000000003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13057</v>
      </c>
      <c r="F20" s="338">
        <f>SUM('EDl log'!T22)</f>
        <v>8.5413340127995646E-2</v>
      </c>
      <c r="G20" s="206">
        <f>-tanks!AW24</f>
        <v>291</v>
      </c>
      <c r="H20" s="338">
        <f>SUM(tanks!AV24)</f>
        <v>0.53500000000000003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11496</v>
      </c>
      <c r="F21" s="338">
        <f>SUM('EDl log'!T23)</f>
        <v>7.4706730848623046E-2</v>
      </c>
      <c r="G21" s="206">
        <f>-tanks!AW25</f>
        <v>0</v>
      </c>
      <c r="H21" s="338">
        <f>SUM(tanks!AV25)</f>
        <v>0.53500000000000003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9977</v>
      </c>
      <c r="F22" s="338">
        <f>SUM('EDl log'!T24)</f>
        <v>0.10241101819523805</v>
      </c>
      <c r="G22" s="206">
        <f>-tanks!AW26</f>
        <v>0</v>
      </c>
      <c r="H22" s="338">
        <f>SUM(tanks!AV26)</f>
        <v>0.53500000000000003</v>
      </c>
      <c r="I22" s="10">
        <f>('B5'!AU25)*0.51</f>
        <v>30.6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9301</v>
      </c>
      <c r="F23" s="338">
        <f>SUM('EDl log'!T25)</f>
        <v>7.1451292539914751E-2</v>
      </c>
      <c r="G23" s="206">
        <f>-tanks!AW27</f>
        <v>0</v>
      </c>
      <c r="H23" s="338">
        <f>SUM(tanks!AV27)</f>
        <v>0.53500000000000003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10003</v>
      </c>
      <c r="F24" s="338">
        <f>SUM('EDl log'!T26)</f>
        <v>3.9203915204211348E-2</v>
      </c>
      <c r="G24" s="206">
        <f>-tanks!AW28</f>
        <v>282</v>
      </c>
      <c r="H24" s="338">
        <f>SUM(tanks!AV28)</f>
        <v>0.53500000000000003</v>
      </c>
      <c r="I24" s="10">
        <f>('B5'!AU27)*0.51</f>
        <v>15.3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10040</v>
      </c>
      <c r="F25" s="338">
        <f>SUM('EDl log'!T27)</f>
        <v>0.10192623080397487</v>
      </c>
      <c r="G25" s="206">
        <f>-tanks!AW29</f>
        <v>0</v>
      </c>
      <c r="H25" s="338">
        <f>SUM(tanks!AV29)</f>
        <v>0.53500000000000003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10187</v>
      </c>
      <c r="F26" s="338">
        <f>SUM('EDl log'!T28)</f>
        <v>8.6262974000609852E-2</v>
      </c>
      <c r="G26" s="206">
        <f>-tanks!AW30</f>
        <v>0</v>
      </c>
      <c r="H26" s="338">
        <f>SUM(tanks!AV30)</f>
        <v>0.53500000000000003</v>
      </c>
      <c r="I26" s="10">
        <f>('B5'!AU29)*0.51</f>
        <v>45.9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9950</v>
      </c>
      <c r="F27" s="338">
        <f>SUM('EDl log'!T29)</f>
        <v>9.5878622183210138E-2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9580</v>
      </c>
      <c r="F28" s="338">
        <f>SUM('EDl log'!T30)</f>
        <v>0.60767119059607921</v>
      </c>
      <c r="G28" s="206">
        <f>-tanks!AW32</f>
        <v>0</v>
      </c>
      <c r="H28" s="338">
        <f>SUM(tanks!AV32)</f>
        <v>0.53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8648</v>
      </c>
      <c r="F29" s="338">
        <f>SUM('EDl log'!T31)</f>
        <v>-0.6242193738871562</v>
      </c>
      <c r="G29" s="206">
        <f>-tanks!AW33</f>
        <v>0</v>
      </c>
      <c r="H29" s="338">
        <f>SUM(tanks!AV33)</f>
        <v>0.53</v>
      </c>
      <c r="I29" s="10">
        <f>('B5'!AU32)*0.51</f>
        <v>0</v>
      </c>
      <c r="J29" s="317">
        <f>'B5'!AX32/0.51</f>
        <v>1.5686274509803921</v>
      </c>
      <c r="K29" s="206">
        <f>WATER!I33</f>
        <v>2085</v>
      </c>
      <c r="L29" s="339">
        <f>SUM(WATER!J33)</f>
        <v>0.11603620329542817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10211</v>
      </c>
      <c r="F30" s="338">
        <f>SUM('EDl log'!T32)</f>
        <v>7.131230577679297E-2</v>
      </c>
      <c r="G30" s="206">
        <f>-tanks!AW34</f>
        <v>0</v>
      </c>
      <c r="H30" s="338">
        <f>SUM(tanks!AV34)</f>
        <v>0.53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0.53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R11" sqref="Q11:R1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4188</v>
      </c>
      <c r="F8" s="206">
        <f>ELEC!K9</f>
        <v>734</v>
      </c>
      <c r="G8" s="206">
        <f>ELEC!I9</f>
        <v>1028</v>
      </c>
      <c r="H8" s="206">
        <f>ELEC!E9</f>
        <v>2926</v>
      </c>
      <c r="I8" s="206">
        <f>ELEC!G9</f>
        <v>905</v>
      </c>
      <c r="J8" s="206">
        <f>WATER!Y12</f>
        <v>70</v>
      </c>
      <c r="K8" s="206">
        <f>WATER!AJ12</f>
        <v>40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1858</v>
      </c>
      <c r="F9" s="206">
        <f>ELEC!K10</f>
        <v>1112</v>
      </c>
      <c r="G9" s="206">
        <f>ELEC!I10</f>
        <v>1114</v>
      </c>
      <c r="H9" s="206">
        <f>ELEC!E10</f>
        <v>5800</v>
      </c>
      <c r="I9" s="206">
        <f>ELEC!G10</f>
        <v>763</v>
      </c>
      <c r="J9" s="206">
        <f>WATER!Y13</f>
        <v>76</v>
      </c>
      <c r="K9" s="206">
        <f>WATER!AJ13</f>
        <v>32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3154</v>
      </c>
      <c r="F10" s="206">
        <f>ELEC!K11</f>
        <v>800</v>
      </c>
      <c r="G10" s="206">
        <f>ELEC!I11</f>
        <v>1070</v>
      </c>
      <c r="H10" s="206">
        <f>ELEC!E11</f>
        <v>2524</v>
      </c>
      <c r="I10" s="206">
        <f>ELEC!G11</f>
        <v>852</v>
      </c>
      <c r="J10" s="206">
        <f>WATER!Y14</f>
        <v>125</v>
      </c>
      <c r="K10" s="206">
        <f>WATER!AJ14</f>
        <v>1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2050</v>
      </c>
      <c r="F11" s="206">
        <f>ELEC!K12</f>
        <v>1056</v>
      </c>
      <c r="G11" s="206">
        <f>ELEC!I12</f>
        <v>1090</v>
      </c>
      <c r="H11" s="206">
        <f>ELEC!E12</f>
        <v>5508</v>
      </c>
      <c r="I11" s="206">
        <f>ELEC!G12</f>
        <v>753</v>
      </c>
      <c r="J11" s="206">
        <f>WATER!Y15</f>
        <v>100</v>
      </c>
      <c r="K11" s="206">
        <f>WATER!AJ15</f>
        <v>51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3870</v>
      </c>
      <c r="F12" s="206">
        <f>ELEC!K13</f>
        <v>1468</v>
      </c>
      <c r="G12" s="206">
        <f>ELEC!I13</f>
        <v>1200</v>
      </c>
      <c r="H12" s="206">
        <f>ELEC!E13</f>
        <v>2784</v>
      </c>
      <c r="I12" s="206">
        <f>ELEC!G13</f>
        <v>943</v>
      </c>
      <c r="J12" s="206">
        <f>WATER!Y16</f>
        <v>29</v>
      </c>
      <c r="K12" s="206">
        <f>WATER!AJ16</f>
        <v>11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4004</v>
      </c>
      <c r="F13" s="206">
        <f>ELEC!K14</f>
        <v>852</v>
      </c>
      <c r="G13" s="206">
        <f>ELEC!I14</f>
        <v>1468</v>
      </c>
      <c r="H13" s="206">
        <f>ELEC!E14</f>
        <v>3252</v>
      </c>
      <c r="I13" s="206">
        <f>ELEC!G14</f>
        <v>1203</v>
      </c>
      <c r="J13" s="206">
        <f>WATER!Y17</f>
        <v>0</v>
      </c>
      <c r="K13" s="206">
        <f>WATER!AJ17</f>
        <v>31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3420</v>
      </c>
      <c r="F14" s="206">
        <f>ELEC!K15</f>
        <v>1020</v>
      </c>
      <c r="G14" s="206">
        <f>ELEC!I15</f>
        <v>1468</v>
      </c>
      <c r="H14" s="206">
        <f>ELEC!E15</f>
        <v>4400</v>
      </c>
      <c r="I14" s="206">
        <f>ELEC!G15</f>
        <v>1147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2928</v>
      </c>
      <c r="F15" s="206">
        <f>ELEC!K16</f>
        <v>898</v>
      </c>
      <c r="G15" s="206">
        <f>ELEC!I16</f>
        <v>1534</v>
      </c>
      <c r="H15" s="206">
        <f>ELEC!E16</f>
        <v>4706</v>
      </c>
      <c r="I15" s="206">
        <f>ELEC!G16</f>
        <v>1143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2250</v>
      </c>
      <c r="F16" s="206">
        <f>ELEC!K17</f>
        <v>570</v>
      </c>
      <c r="G16" s="206">
        <f>ELEC!I17</f>
        <v>1550</v>
      </c>
      <c r="H16" s="206">
        <f>ELEC!E17</f>
        <v>4214</v>
      </c>
      <c r="I16" s="206">
        <f>ELEC!G17</f>
        <v>1120</v>
      </c>
      <c r="J16" s="206">
        <f>WATER!Y20</f>
        <v>213</v>
      </c>
      <c r="K16" s="206">
        <f>WATER!AJ20</f>
        <v>31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3298</v>
      </c>
      <c r="F17" s="206">
        <f>ELEC!K18</f>
        <v>704</v>
      </c>
      <c r="G17" s="206">
        <f>ELEC!I18</f>
        <v>1386</v>
      </c>
      <c r="H17" s="206">
        <f>ELEC!E18</f>
        <v>2928</v>
      </c>
      <c r="I17" s="206">
        <f>ELEC!G18</f>
        <v>1049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3624</v>
      </c>
      <c r="F18" s="206">
        <f>ELEC!K19</f>
        <v>1032</v>
      </c>
      <c r="G18" s="206">
        <f>ELEC!I19</f>
        <v>1204</v>
      </c>
      <c r="H18" s="206">
        <f>ELEC!E19</f>
        <v>4832</v>
      </c>
      <c r="I18" s="206">
        <f>ELEC!G19</f>
        <v>1034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2438</v>
      </c>
      <c r="F19" s="206">
        <f>ELEC!K20</f>
        <v>976</v>
      </c>
      <c r="G19" s="206">
        <f>ELEC!I20</f>
        <v>1410</v>
      </c>
      <c r="H19" s="206">
        <f>ELEC!E20</f>
        <v>6186</v>
      </c>
      <c r="I19" s="206">
        <f>ELEC!G20</f>
        <v>1094</v>
      </c>
      <c r="J19" s="206">
        <f>WATER!Y23</f>
        <v>41</v>
      </c>
      <c r="K19" s="206">
        <f>WATER!AJ23</f>
        <v>27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4498</v>
      </c>
      <c r="F20" s="206">
        <f>ELEC!K21</f>
        <v>1028</v>
      </c>
      <c r="G20" s="206">
        <f>ELEC!I21</f>
        <v>1580</v>
      </c>
      <c r="H20" s="206">
        <f>ELEC!E21</f>
        <v>4758</v>
      </c>
      <c r="I20" s="206">
        <f>ELEC!G21</f>
        <v>1193</v>
      </c>
      <c r="J20" s="206">
        <f>WATER!Y24</f>
        <v>18</v>
      </c>
      <c r="K20" s="206">
        <f>WATER!AJ24</f>
        <v>65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5056</v>
      </c>
      <c r="F21" s="206">
        <f>ELEC!K22</f>
        <v>926</v>
      </c>
      <c r="G21" s="206">
        <f>ELEC!I22</f>
        <v>1226</v>
      </c>
      <c r="H21" s="206">
        <f>ELEC!E22</f>
        <v>3352</v>
      </c>
      <c r="I21" s="206">
        <f>ELEC!G22</f>
        <v>936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3432</v>
      </c>
      <c r="F22" s="206">
        <f>ELEC!K23</f>
        <v>780</v>
      </c>
      <c r="G22" s="206">
        <f>ELEC!I23</f>
        <v>1020</v>
      </c>
      <c r="H22" s="206">
        <f>ELEC!E23</f>
        <v>3814</v>
      </c>
      <c r="I22" s="206">
        <f>ELEC!G23</f>
        <v>931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2980</v>
      </c>
      <c r="F23" s="206">
        <f>ELEC!K24</f>
        <v>802</v>
      </c>
      <c r="G23" s="206">
        <f>ELEC!I24</f>
        <v>1122</v>
      </c>
      <c r="H23" s="206">
        <f>ELEC!E24</f>
        <v>3490</v>
      </c>
      <c r="I23" s="206">
        <f>ELEC!G24</f>
        <v>907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3770</v>
      </c>
      <c r="F24" s="206">
        <f>ELEC!K25</f>
        <v>914</v>
      </c>
      <c r="G24" s="206">
        <f>ELEC!I25</f>
        <v>1066</v>
      </c>
      <c r="H24" s="206">
        <f>ELEC!E25</f>
        <v>3311</v>
      </c>
      <c r="I24" s="206">
        <f>ELEC!G25</f>
        <v>942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3770</v>
      </c>
      <c r="F25" s="206">
        <f>ELEC!K26</f>
        <v>914</v>
      </c>
      <c r="G25" s="206">
        <f>ELEC!I26</f>
        <v>1062</v>
      </c>
      <c r="H25" s="206">
        <f>ELEC!E26</f>
        <v>3351</v>
      </c>
      <c r="I25" s="206">
        <f>ELEC!G26</f>
        <v>943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4320</v>
      </c>
      <c r="F26" s="206">
        <f>ELEC!K27</f>
        <v>928</v>
      </c>
      <c r="G26" s="206">
        <f>ELEC!I27</f>
        <v>914</v>
      </c>
      <c r="H26" s="206">
        <f>ELEC!E27</f>
        <v>3076</v>
      </c>
      <c r="I26" s="206">
        <f>ELEC!G27</f>
        <v>949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4144</v>
      </c>
      <c r="F27" s="206">
        <f>ELEC!K28</f>
        <v>954</v>
      </c>
      <c r="G27" s="206">
        <f>ELEC!I28</f>
        <v>924</v>
      </c>
      <c r="H27" s="206">
        <f>ELEC!E28</f>
        <v>2946</v>
      </c>
      <c r="I27" s="206">
        <f>ELEC!G28</f>
        <v>982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3960</v>
      </c>
      <c r="F28" s="206">
        <f>ELEC!K29</f>
        <v>800</v>
      </c>
      <c r="G28" s="206">
        <f>ELEC!I29</f>
        <v>1098</v>
      </c>
      <c r="H28" s="206">
        <f>ELEC!E29</f>
        <v>2566</v>
      </c>
      <c r="I28" s="206">
        <f>ELEC!G29</f>
        <v>1156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3302</v>
      </c>
      <c r="F29" s="206">
        <f>ELEC!K30</f>
        <v>688</v>
      </c>
      <c r="G29" s="206">
        <f>ELEC!I30</f>
        <v>1066</v>
      </c>
      <c r="H29" s="206">
        <f>ELEC!E30</f>
        <v>2428</v>
      </c>
      <c r="I29" s="206">
        <f>ELEC!G30</f>
        <v>1164</v>
      </c>
      <c r="J29" s="206">
        <f>WATER!Y33</f>
        <v>80</v>
      </c>
      <c r="K29" s="206">
        <f>WATER!AJ33</f>
        <v>60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3624</v>
      </c>
      <c r="F30" s="206">
        <f>ELEC!K31</f>
        <v>874</v>
      </c>
      <c r="G30" s="206">
        <f>ELEC!I31</f>
        <v>1046</v>
      </c>
      <c r="H30" s="206">
        <f>ELEC!E31</f>
        <v>3534</v>
      </c>
      <c r="I30" s="206">
        <f>ELEC!G31</f>
        <v>1133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P1" zoomScale="85" zoomScaleNormal="85" zoomScaleSheetLayoutView="100" workbookViewId="0">
      <pane ySplit="1" topLeftCell="A20" activePane="bottomLeft" state="frozen"/>
      <selection activeCell="C1" sqref="C1"/>
      <selection pane="bottomLeft" activeCell="AH31" sqref="AH31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597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v>32079202</v>
      </c>
      <c r="E9" s="319">
        <f t="shared" si="9"/>
        <v>2926</v>
      </c>
      <c r="F9" s="458">
        <v>3821812</v>
      </c>
      <c r="G9" s="320">
        <f t="shared" si="0"/>
        <v>905</v>
      </c>
      <c r="H9" s="458">
        <v>17612180</v>
      </c>
      <c r="I9" s="320">
        <f t="shared" si="10"/>
        <v>1028</v>
      </c>
      <c r="J9" s="458">
        <v>28670442</v>
      </c>
      <c r="K9" s="320">
        <f t="shared" si="11"/>
        <v>734</v>
      </c>
      <c r="L9" s="458">
        <v>23493498</v>
      </c>
      <c r="M9" s="320">
        <f t="shared" si="12"/>
        <v>4188</v>
      </c>
      <c r="N9" s="318">
        <f t="shared" si="13"/>
        <v>9781</v>
      </c>
      <c r="O9" s="480">
        <f t="shared" si="1"/>
        <v>0</v>
      </c>
      <c r="P9" s="458">
        <v>16219</v>
      </c>
      <c r="Q9" s="462">
        <f t="shared" si="2"/>
        <v>1000</v>
      </c>
      <c r="R9" s="462">
        <f t="shared" si="19"/>
        <v>8781</v>
      </c>
      <c r="S9" s="458">
        <v>9336</v>
      </c>
      <c r="T9" s="482">
        <f t="shared" si="3"/>
        <v>9</v>
      </c>
      <c r="U9" s="458">
        <v>248851</v>
      </c>
      <c r="V9" s="462">
        <f t="shared" si="14"/>
        <v>1976</v>
      </c>
      <c r="W9" s="458">
        <v>32046</v>
      </c>
      <c r="X9" s="462">
        <f t="shared" ref="X9:X32" si="21">W9-W8</f>
        <v>0</v>
      </c>
      <c r="Y9" s="458">
        <v>672606</v>
      </c>
      <c r="Z9" s="462">
        <f t="shared" si="20"/>
        <v>2</v>
      </c>
      <c r="AA9" s="458">
        <v>35407</v>
      </c>
      <c r="AB9" s="462">
        <f t="shared" si="16"/>
        <v>2</v>
      </c>
      <c r="AC9" s="458">
        <v>856808</v>
      </c>
      <c r="AD9" s="462">
        <f t="shared" si="17"/>
        <v>395</v>
      </c>
      <c r="AE9" s="485">
        <f t="shared" si="7"/>
        <v>11</v>
      </c>
      <c r="AF9" s="486">
        <f t="shared" si="8"/>
        <v>2373</v>
      </c>
      <c r="AG9" s="478">
        <f t="shared" si="5"/>
        <v>215.72727272727272</v>
      </c>
      <c r="AI9" s="479">
        <f>R9-'EDl log'!B7</f>
        <v>-221782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v>32085002</v>
      </c>
      <c r="E10" s="319">
        <f t="shared" si="9"/>
        <v>5800</v>
      </c>
      <c r="F10" s="458">
        <v>3822575</v>
      </c>
      <c r="G10" s="320">
        <f t="shared" si="0"/>
        <v>763</v>
      </c>
      <c r="H10" s="458">
        <v>17613294</v>
      </c>
      <c r="I10" s="320">
        <f t="shared" si="10"/>
        <v>1114</v>
      </c>
      <c r="J10" s="458">
        <v>28671554</v>
      </c>
      <c r="K10" s="320">
        <f t="shared" si="11"/>
        <v>1112</v>
      </c>
      <c r="L10" s="458">
        <v>23495356</v>
      </c>
      <c r="M10" s="320">
        <f t="shared" si="12"/>
        <v>1858</v>
      </c>
      <c r="N10" s="318">
        <f t="shared" si="13"/>
        <v>10647</v>
      </c>
      <c r="O10" s="480">
        <f t="shared" ref="O10:O32" si="22">IF(B10&gt;0,N10/B10,0)</f>
        <v>0</v>
      </c>
      <c r="P10" s="458">
        <v>16221</v>
      </c>
      <c r="Q10" s="462">
        <f t="shared" si="2"/>
        <v>2000</v>
      </c>
      <c r="R10" s="462">
        <f t="shared" si="19"/>
        <v>8647</v>
      </c>
      <c r="S10" s="458">
        <v>9337</v>
      </c>
      <c r="T10" s="482">
        <f t="shared" si="3"/>
        <v>1</v>
      </c>
      <c r="U10" s="458">
        <v>249122</v>
      </c>
      <c r="V10" s="462">
        <f t="shared" si="14"/>
        <v>271</v>
      </c>
      <c r="W10" s="458">
        <v>32046</v>
      </c>
      <c r="X10" s="462">
        <f t="shared" si="21"/>
        <v>0</v>
      </c>
      <c r="Y10" s="458">
        <v>672607</v>
      </c>
      <c r="Z10" s="462">
        <f t="shared" si="20"/>
        <v>1</v>
      </c>
      <c r="AA10" s="458">
        <v>35420</v>
      </c>
      <c r="AB10" s="462">
        <f t="shared" si="16"/>
        <v>13</v>
      </c>
      <c r="AC10" s="458">
        <v>859223</v>
      </c>
      <c r="AD10" s="462">
        <f t="shared" si="17"/>
        <v>2415</v>
      </c>
      <c r="AE10" s="485">
        <f t="shared" si="7"/>
        <v>14</v>
      </c>
      <c r="AF10" s="486">
        <f t="shared" si="8"/>
        <v>2687</v>
      </c>
      <c r="AG10" s="478">
        <f t="shared" ref="AG10:AG32" si="23">IF(AE10&gt;0,AF10/AE10,0)</f>
        <v>191.92857142857142</v>
      </c>
      <c r="AI10" s="479">
        <f>R10-'EDl log'!B8</f>
        <v>-224496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v>32087526</v>
      </c>
      <c r="E11" s="319">
        <f t="shared" si="9"/>
        <v>2524</v>
      </c>
      <c r="F11" s="458">
        <v>3823427</v>
      </c>
      <c r="G11" s="320">
        <f t="shared" si="0"/>
        <v>852</v>
      </c>
      <c r="H11" s="458">
        <v>17614364</v>
      </c>
      <c r="I11" s="320">
        <f t="shared" si="10"/>
        <v>1070</v>
      </c>
      <c r="J11" s="458">
        <v>28672354</v>
      </c>
      <c r="K11" s="320">
        <f t="shared" si="11"/>
        <v>800</v>
      </c>
      <c r="L11" s="458">
        <v>23498510</v>
      </c>
      <c r="M11" s="320">
        <f t="shared" si="12"/>
        <v>3154</v>
      </c>
      <c r="N11" s="318">
        <f>M11+K11+I11+G11+E11</f>
        <v>8400</v>
      </c>
      <c r="O11" s="480">
        <f t="shared" si="22"/>
        <v>0</v>
      </c>
      <c r="P11" s="458">
        <v>16223</v>
      </c>
      <c r="Q11" s="462">
        <f t="shared" si="2"/>
        <v>2000</v>
      </c>
      <c r="R11" s="462">
        <f t="shared" si="19"/>
        <v>6400</v>
      </c>
      <c r="S11" s="458">
        <v>9346</v>
      </c>
      <c r="T11" s="482">
        <f t="shared" si="3"/>
        <v>9</v>
      </c>
      <c r="U11" s="458">
        <v>250635</v>
      </c>
      <c r="V11" s="462">
        <f t="shared" si="14"/>
        <v>1513</v>
      </c>
      <c r="W11" s="458">
        <f t="shared" si="15"/>
        <v>32046</v>
      </c>
      <c r="X11" s="462">
        <f t="shared" si="21"/>
        <v>0</v>
      </c>
      <c r="Y11" s="458">
        <f t="shared" si="15"/>
        <v>672607</v>
      </c>
      <c r="Z11" s="462">
        <f t="shared" si="20"/>
        <v>0</v>
      </c>
      <c r="AA11" s="458">
        <v>35422</v>
      </c>
      <c r="AB11" s="462">
        <f t="shared" si="16"/>
        <v>2</v>
      </c>
      <c r="AC11" s="458">
        <v>859491</v>
      </c>
      <c r="AD11" s="462">
        <f t="shared" si="17"/>
        <v>268</v>
      </c>
      <c r="AE11" s="485">
        <f t="shared" si="7"/>
        <v>11</v>
      </c>
      <c r="AF11" s="486">
        <f t="shared" si="8"/>
        <v>1781</v>
      </c>
      <c r="AG11" s="478">
        <f t="shared" si="23"/>
        <v>161.90909090909091</v>
      </c>
      <c r="AI11" s="479">
        <f>R11-'EDl log'!B9</f>
        <v>-231591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v>32093034</v>
      </c>
      <c r="E12" s="319">
        <f t="shared" si="9"/>
        <v>5508</v>
      </c>
      <c r="F12" s="458">
        <v>3824180</v>
      </c>
      <c r="G12" s="320">
        <f t="shared" si="0"/>
        <v>753</v>
      </c>
      <c r="H12" s="458">
        <v>17615454</v>
      </c>
      <c r="I12" s="320">
        <f t="shared" si="10"/>
        <v>1090</v>
      </c>
      <c r="J12" s="458">
        <v>28673410</v>
      </c>
      <c r="K12" s="320">
        <f t="shared" si="11"/>
        <v>1056</v>
      </c>
      <c r="L12" s="458">
        <v>23500560</v>
      </c>
      <c r="M12" s="320">
        <f t="shared" si="12"/>
        <v>2050</v>
      </c>
      <c r="N12" s="318">
        <f>M12+K12+I12+G12+E12</f>
        <v>10457</v>
      </c>
      <c r="O12" s="480">
        <f t="shared" si="22"/>
        <v>0</v>
      </c>
      <c r="P12" s="458">
        <v>16224</v>
      </c>
      <c r="Q12" s="462">
        <f t="shared" si="2"/>
        <v>1000</v>
      </c>
      <c r="R12" s="462">
        <f t="shared" si="19"/>
        <v>9457</v>
      </c>
      <c r="S12" s="458">
        <v>9348</v>
      </c>
      <c r="T12" s="482">
        <f t="shared" si="3"/>
        <v>2</v>
      </c>
      <c r="U12" s="458">
        <v>250968</v>
      </c>
      <c r="V12" s="462">
        <f t="shared" si="14"/>
        <v>333</v>
      </c>
      <c r="W12" s="458">
        <v>32046</v>
      </c>
      <c r="X12" s="462">
        <f t="shared" si="21"/>
        <v>0</v>
      </c>
      <c r="Y12" s="458">
        <v>672607</v>
      </c>
      <c r="Z12" s="462">
        <f t="shared" si="20"/>
        <v>0</v>
      </c>
      <c r="AA12" s="458">
        <v>35434</v>
      </c>
      <c r="AB12" s="462">
        <f t="shared" si="16"/>
        <v>12</v>
      </c>
      <c r="AC12" s="458">
        <v>861734</v>
      </c>
      <c r="AD12" s="462">
        <f t="shared" si="17"/>
        <v>2243</v>
      </c>
      <c r="AE12" s="485">
        <f t="shared" si="7"/>
        <v>14</v>
      </c>
      <c r="AF12" s="486">
        <f t="shared" si="8"/>
        <v>2576</v>
      </c>
      <c r="AG12" s="478">
        <f t="shared" si="23"/>
        <v>184</v>
      </c>
      <c r="AI12" s="479">
        <f>R12-'EDl log'!B10</f>
        <v>-232684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v>32095818</v>
      </c>
      <c r="E13" s="319">
        <f t="shared" si="9"/>
        <v>2784</v>
      </c>
      <c r="F13" s="458">
        <v>3825123</v>
      </c>
      <c r="G13" s="320">
        <f t="shared" si="0"/>
        <v>943</v>
      </c>
      <c r="H13" s="458">
        <v>17616654</v>
      </c>
      <c r="I13" s="320">
        <f t="shared" si="10"/>
        <v>1200</v>
      </c>
      <c r="J13" s="458">
        <v>28674878</v>
      </c>
      <c r="K13" s="320">
        <f t="shared" si="11"/>
        <v>1468</v>
      </c>
      <c r="L13" s="458">
        <v>23504430</v>
      </c>
      <c r="M13" s="320">
        <f t="shared" si="12"/>
        <v>3870</v>
      </c>
      <c r="N13" s="318">
        <f t="shared" si="13"/>
        <v>10265</v>
      </c>
      <c r="O13" s="480">
        <f t="shared" si="22"/>
        <v>0</v>
      </c>
      <c r="P13" s="458">
        <v>16226</v>
      </c>
      <c r="Q13" s="462">
        <f t="shared" ref="Q13:Q31" si="24">(P13-P12)*1000</f>
        <v>2000</v>
      </c>
      <c r="R13" s="462">
        <f t="shared" si="19"/>
        <v>8265</v>
      </c>
      <c r="S13" s="458">
        <v>9356</v>
      </c>
      <c r="T13" s="482">
        <f t="shared" si="3"/>
        <v>8</v>
      </c>
      <c r="U13" s="458">
        <v>252595</v>
      </c>
      <c r="V13" s="462">
        <f t="shared" si="14"/>
        <v>1627</v>
      </c>
      <c r="W13" s="458">
        <v>32046</v>
      </c>
      <c r="X13" s="462">
        <f t="shared" si="21"/>
        <v>0</v>
      </c>
      <c r="Y13" s="458">
        <v>672607</v>
      </c>
      <c r="Z13" s="462">
        <f t="shared" si="20"/>
        <v>0</v>
      </c>
      <c r="AA13" s="458">
        <v>35434</v>
      </c>
      <c r="AB13" s="462">
        <f t="shared" si="16"/>
        <v>0</v>
      </c>
      <c r="AC13" s="458">
        <v>861734</v>
      </c>
      <c r="AD13" s="462">
        <f t="shared" si="17"/>
        <v>0</v>
      </c>
      <c r="AE13" s="485">
        <f t="shared" si="7"/>
        <v>8</v>
      </c>
      <c r="AF13" s="486">
        <f t="shared" si="8"/>
        <v>1627</v>
      </c>
      <c r="AG13" s="478">
        <f t="shared" si="23"/>
        <v>203.375</v>
      </c>
      <c r="AI13" s="479">
        <f>R13-'EDl log'!B11</f>
        <v>-238500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v>32099070</v>
      </c>
      <c r="E14" s="319">
        <f t="shared" si="9"/>
        <v>3252</v>
      </c>
      <c r="F14" s="458">
        <v>3826326</v>
      </c>
      <c r="G14" s="320">
        <f t="shared" si="0"/>
        <v>1203</v>
      </c>
      <c r="H14" s="458">
        <v>17618122</v>
      </c>
      <c r="I14" s="320">
        <f t="shared" si="10"/>
        <v>1468</v>
      </c>
      <c r="J14" s="458">
        <v>28675730</v>
      </c>
      <c r="K14" s="320">
        <f t="shared" si="11"/>
        <v>852</v>
      </c>
      <c r="L14" s="458">
        <v>23508434</v>
      </c>
      <c r="M14" s="320">
        <f t="shared" si="12"/>
        <v>4004</v>
      </c>
      <c r="N14" s="318">
        <f t="shared" si="13"/>
        <v>10779</v>
      </c>
      <c r="O14" s="480">
        <f t="shared" si="22"/>
        <v>0</v>
      </c>
      <c r="P14" s="458">
        <v>16228</v>
      </c>
      <c r="Q14" s="462">
        <f t="shared" si="24"/>
        <v>2000</v>
      </c>
      <c r="R14" s="462">
        <f t="shared" si="19"/>
        <v>8779</v>
      </c>
      <c r="S14" s="458">
        <v>9363</v>
      </c>
      <c r="T14" s="482">
        <f t="shared" si="3"/>
        <v>7</v>
      </c>
      <c r="U14" s="458">
        <v>254289</v>
      </c>
      <c r="V14" s="462">
        <f t="shared" si="14"/>
        <v>1694</v>
      </c>
      <c r="W14" s="458">
        <v>32049</v>
      </c>
      <c r="X14" s="462">
        <f t="shared" si="21"/>
        <v>3</v>
      </c>
      <c r="Y14" s="458">
        <v>673052</v>
      </c>
      <c r="Z14" s="462">
        <f t="shared" si="20"/>
        <v>445</v>
      </c>
      <c r="AA14" s="458">
        <v>35437</v>
      </c>
      <c r="AB14" s="462">
        <f t="shared" si="16"/>
        <v>3</v>
      </c>
      <c r="AC14" s="458">
        <v>862371</v>
      </c>
      <c r="AD14" s="462">
        <f t="shared" si="17"/>
        <v>637</v>
      </c>
      <c r="AE14" s="485">
        <f t="shared" si="7"/>
        <v>13</v>
      </c>
      <c r="AF14" s="486">
        <f t="shared" si="8"/>
        <v>2776</v>
      </c>
      <c r="AG14" s="478">
        <f t="shared" si="23"/>
        <v>213.53846153846155</v>
      </c>
      <c r="AI14" s="479">
        <f>R14-'EDl log'!B12</f>
        <v>-241502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v>32103470</v>
      </c>
      <c r="E15" s="319">
        <f t="shared" si="9"/>
        <v>4400</v>
      </c>
      <c r="F15" s="458">
        <v>3827473</v>
      </c>
      <c r="G15" s="320">
        <f t="shared" si="0"/>
        <v>1147</v>
      </c>
      <c r="H15" s="458">
        <v>17619590</v>
      </c>
      <c r="I15" s="320">
        <f t="shared" si="10"/>
        <v>1468</v>
      </c>
      <c r="J15" s="458">
        <v>28676750</v>
      </c>
      <c r="K15" s="320">
        <f t="shared" si="11"/>
        <v>1020</v>
      </c>
      <c r="L15" s="458">
        <v>23511854</v>
      </c>
      <c r="M15" s="320">
        <f t="shared" si="12"/>
        <v>3420</v>
      </c>
      <c r="N15" s="318">
        <f t="shared" si="13"/>
        <v>11455</v>
      </c>
      <c r="O15" s="480">
        <f t="shared" si="22"/>
        <v>0</v>
      </c>
      <c r="P15" s="458">
        <v>16230</v>
      </c>
      <c r="Q15" s="462">
        <f>(P15-P14)*1000</f>
        <v>2000</v>
      </c>
      <c r="R15" s="462">
        <f t="shared" si="19"/>
        <v>9455</v>
      </c>
      <c r="S15" s="458">
        <v>9368</v>
      </c>
      <c r="T15" s="482">
        <f t="shared" si="3"/>
        <v>5</v>
      </c>
      <c r="U15" s="458">
        <v>255509</v>
      </c>
      <c r="V15" s="462">
        <f t="shared" si="14"/>
        <v>1220</v>
      </c>
      <c r="W15" s="458">
        <v>32049</v>
      </c>
      <c r="X15" s="462">
        <f t="shared" si="21"/>
        <v>0</v>
      </c>
      <c r="Y15" s="458">
        <v>673052</v>
      </c>
      <c r="Z15" s="462">
        <f t="shared" si="20"/>
        <v>0</v>
      </c>
      <c r="AA15" s="458">
        <v>35444</v>
      </c>
      <c r="AB15" s="462">
        <f t="shared" si="16"/>
        <v>7</v>
      </c>
      <c r="AC15" s="458">
        <v>863877</v>
      </c>
      <c r="AD15" s="462">
        <f t="shared" si="17"/>
        <v>1506</v>
      </c>
      <c r="AE15" s="485">
        <f t="shared" si="7"/>
        <v>12</v>
      </c>
      <c r="AF15" s="486">
        <f t="shared" si="8"/>
        <v>2726</v>
      </c>
      <c r="AG15" s="478">
        <f t="shared" si="23"/>
        <v>227.16666666666666</v>
      </c>
      <c r="AI15" s="479">
        <f>R15-'EDl log'!B13</f>
        <v>-245532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v>32108176</v>
      </c>
      <c r="E16" s="319">
        <f t="shared" si="9"/>
        <v>4706</v>
      </c>
      <c r="F16" s="458">
        <v>3828616</v>
      </c>
      <c r="G16" s="320">
        <f t="shared" si="0"/>
        <v>1143</v>
      </c>
      <c r="H16" s="458">
        <v>17621124</v>
      </c>
      <c r="I16" s="320">
        <f t="shared" si="10"/>
        <v>1534</v>
      </c>
      <c r="J16" s="458">
        <v>28677648</v>
      </c>
      <c r="K16" s="320">
        <f t="shared" si="11"/>
        <v>898</v>
      </c>
      <c r="L16" s="458">
        <v>23514782</v>
      </c>
      <c r="M16" s="320">
        <f t="shared" si="12"/>
        <v>2928</v>
      </c>
      <c r="N16" s="318">
        <f t="shared" si="13"/>
        <v>11209</v>
      </c>
      <c r="O16" s="480">
        <f t="shared" si="22"/>
        <v>0</v>
      </c>
      <c r="P16" s="458">
        <v>16234</v>
      </c>
      <c r="Q16" s="462">
        <f>(P16-P15)*1000</f>
        <v>4000</v>
      </c>
      <c r="R16" s="462">
        <f t="shared" si="19"/>
        <v>7209</v>
      </c>
      <c r="S16" s="458">
        <f t="shared" si="15"/>
        <v>9368</v>
      </c>
      <c r="T16" s="482">
        <f t="shared" si="3"/>
        <v>0</v>
      </c>
      <c r="U16" s="458">
        <f t="shared" si="15"/>
        <v>255509</v>
      </c>
      <c r="V16" s="462">
        <f t="shared" si="14"/>
        <v>0</v>
      </c>
      <c r="W16" s="458">
        <f t="shared" si="15"/>
        <v>32049</v>
      </c>
      <c r="X16" s="462">
        <f>W16-W15</f>
        <v>0</v>
      </c>
      <c r="Y16" s="458">
        <f t="shared" si="15"/>
        <v>673052</v>
      </c>
      <c r="Z16" s="462">
        <f>Y16-Y15</f>
        <v>0</v>
      </c>
      <c r="AA16" s="458">
        <v>35454</v>
      </c>
      <c r="AB16" s="462">
        <f>AA16-AA15</f>
        <v>10</v>
      </c>
      <c r="AC16" s="458">
        <v>866059</v>
      </c>
      <c r="AD16" s="462">
        <f t="shared" si="17"/>
        <v>2182</v>
      </c>
      <c r="AE16" s="485">
        <f t="shared" si="7"/>
        <v>10</v>
      </c>
      <c r="AF16" s="486">
        <f t="shared" si="8"/>
        <v>2182</v>
      </c>
      <c r="AG16" s="478">
        <f t="shared" si="23"/>
        <v>218.2</v>
      </c>
      <c r="AI16" s="479">
        <f>R16-'EDl log'!B14</f>
        <v>-252392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v>32112390</v>
      </c>
      <c r="E17" s="319">
        <f t="shared" si="9"/>
        <v>4214</v>
      </c>
      <c r="F17" s="458">
        <v>3829736</v>
      </c>
      <c r="G17" s="320">
        <f t="shared" si="0"/>
        <v>1120</v>
      </c>
      <c r="H17" s="458">
        <v>17622674</v>
      </c>
      <c r="I17" s="320">
        <f t="shared" si="10"/>
        <v>1550</v>
      </c>
      <c r="J17" s="458">
        <v>28678218</v>
      </c>
      <c r="K17" s="320">
        <f t="shared" si="11"/>
        <v>570</v>
      </c>
      <c r="L17" s="458">
        <v>23517032</v>
      </c>
      <c r="M17" s="320">
        <f t="shared" si="12"/>
        <v>2250</v>
      </c>
      <c r="N17" s="318">
        <f t="shared" si="13"/>
        <v>9704</v>
      </c>
      <c r="O17" s="480">
        <f t="shared" si="22"/>
        <v>0</v>
      </c>
      <c r="P17" s="458">
        <v>16236</v>
      </c>
      <c r="Q17" s="462">
        <f t="shared" si="24"/>
        <v>2000</v>
      </c>
      <c r="R17" s="462">
        <f t="shared" si="19"/>
        <v>7704</v>
      </c>
      <c r="S17" s="458">
        <v>9371</v>
      </c>
      <c r="T17" s="482">
        <f t="shared" si="3"/>
        <v>3</v>
      </c>
      <c r="U17" s="458">
        <v>256194</v>
      </c>
      <c r="V17" s="462">
        <f t="shared" si="14"/>
        <v>685</v>
      </c>
      <c r="W17" s="458">
        <f t="shared" si="15"/>
        <v>32049</v>
      </c>
      <c r="X17" s="462">
        <f t="shared" si="21"/>
        <v>0</v>
      </c>
      <c r="Y17" s="458">
        <f t="shared" si="15"/>
        <v>673052</v>
      </c>
      <c r="Z17" s="462">
        <f t="shared" si="20"/>
        <v>0</v>
      </c>
      <c r="AA17" s="458">
        <v>35461</v>
      </c>
      <c r="AB17" s="462">
        <f t="shared" si="16"/>
        <v>7</v>
      </c>
      <c r="AC17" s="458">
        <v>867187</v>
      </c>
      <c r="AD17" s="462">
        <f t="shared" ref="AD17:AD32" si="25">AC17-AC16</f>
        <v>1128</v>
      </c>
      <c r="AE17" s="485">
        <f t="shared" si="7"/>
        <v>10</v>
      </c>
      <c r="AF17" s="486">
        <f t="shared" si="8"/>
        <v>1813</v>
      </c>
      <c r="AG17" s="478">
        <f t="shared" si="23"/>
        <v>181.3</v>
      </c>
      <c r="AI17" s="479">
        <f>R17-'EDl log'!B15</f>
        <v>-256520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v>32115318</v>
      </c>
      <c r="E18" s="319">
        <f t="shared" si="9"/>
        <v>2928</v>
      </c>
      <c r="F18" s="458">
        <v>3830785</v>
      </c>
      <c r="G18" s="320">
        <f t="shared" si="0"/>
        <v>1049</v>
      </c>
      <c r="H18" s="458">
        <v>17624060</v>
      </c>
      <c r="I18" s="320">
        <f t="shared" si="10"/>
        <v>1386</v>
      </c>
      <c r="J18" s="458">
        <v>28678922</v>
      </c>
      <c r="K18" s="320">
        <f t="shared" si="11"/>
        <v>704</v>
      </c>
      <c r="L18" s="458">
        <v>23520330</v>
      </c>
      <c r="M18" s="320">
        <f t="shared" si="12"/>
        <v>3298</v>
      </c>
      <c r="N18" s="318">
        <f t="shared" si="13"/>
        <v>9365</v>
      </c>
      <c r="O18" s="480">
        <f t="shared" si="22"/>
        <v>0</v>
      </c>
      <c r="P18" s="458">
        <v>16238</v>
      </c>
      <c r="Q18" s="462">
        <f t="shared" si="24"/>
        <v>2000</v>
      </c>
      <c r="R18" s="462">
        <f t="shared" si="19"/>
        <v>7365</v>
      </c>
      <c r="S18" s="458">
        <v>9377</v>
      </c>
      <c r="T18" s="482">
        <f t="shared" si="3"/>
        <v>6</v>
      </c>
      <c r="U18" s="458">
        <v>257494</v>
      </c>
      <c r="V18" s="462">
        <f t="shared" si="14"/>
        <v>1300</v>
      </c>
      <c r="W18" s="458">
        <v>32049</v>
      </c>
      <c r="X18" s="462">
        <f t="shared" si="21"/>
        <v>0</v>
      </c>
      <c r="Y18" s="458">
        <f t="shared" si="15"/>
        <v>673052</v>
      </c>
      <c r="Z18" s="462">
        <f t="shared" si="20"/>
        <v>0</v>
      </c>
      <c r="AA18" s="458">
        <v>35463</v>
      </c>
      <c r="AB18" s="462">
        <f t="shared" si="16"/>
        <v>2</v>
      </c>
      <c r="AC18" s="458">
        <v>867699</v>
      </c>
      <c r="AD18" s="462">
        <f t="shared" si="25"/>
        <v>512</v>
      </c>
      <c r="AE18" s="485">
        <f t="shared" si="7"/>
        <v>8</v>
      </c>
      <c r="AF18" s="486">
        <f t="shared" si="8"/>
        <v>1812</v>
      </c>
      <c r="AG18" s="478">
        <f t="shared" si="23"/>
        <v>226.5</v>
      </c>
      <c r="AI18" s="479">
        <f>R18-'EDl log'!B16</f>
        <v>-261463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v>32120150</v>
      </c>
      <c r="E19" s="319">
        <f t="shared" si="9"/>
        <v>4832</v>
      </c>
      <c r="F19" s="458">
        <v>3831819</v>
      </c>
      <c r="G19" s="320">
        <f t="shared" si="0"/>
        <v>1034</v>
      </c>
      <c r="H19" s="458">
        <v>17625264</v>
      </c>
      <c r="I19" s="320">
        <f t="shared" si="10"/>
        <v>1204</v>
      </c>
      <c r="J19" s="458">
        <v>28679954</v>
      </c>
      <c r="K19" s="320">
        <f t="shared" si="11"/>
        <v>1032</v>
      </c>
      <c r="L19" s="458">
        <v>23523954</v>
      </c>
      <c r="M19" s="320">
        <f t="shared" si="12"/>
        <v>3624</v>
      </c>
      <c r="N19" s="318">
        <f t="shared" si="13"/>
        <v>11726</v>
      </c>
      <c r="O19" s="480">
        <f t="shared" si="22"/>
        <v>0</v>
      </c>
      <c r="P19" s="458">
        <v>16239</v>
      </c>
      <c r="Q19" s="462">
        <f>(P19-P18)*1000</f>
        <v>1000</v>
      </c>
      <c r="R19" s="462">
        <f t="shared" si="19"/>
        <v>10726</v>
      </c>
      <c r="S19" s="458">
        <v>9384</v>
      </c>
      <c r="T19" s="482">
        <f t="shared" si="3"/>
        <v>7</v>
      </c>
      <c r="U19" s="458">
        <v>258864</v>
      </c>
      <c r="V19" s="462">
        <f t="shared" si="14"/>
        <v>1370</v>
      </c>
      <c r="W19" s="458">
        <v>32049</v>
      </c>
      <c r="X19" s="462">
        <f t="shared" si="21"/>
        <v>0</v>
      </c>
      <c r="Y19" s="458">
        <v>673052</v>
      </c>
      <c r="Z19" s="462">
        <f t="shared" si="20"/>
        <v>0</v>
      </c>
      <c r="AA19" s="458">
        <f t="shared" si="15"/>
        <v>35463</v>
      </c>
      <c r="AB19" s="462">
        <f t="shared" si="16"/>
        <v>0</v>
      </c>
      <c r="AC19" s="458">
        <f t="shared" si="15"/>
        <v>867699</v>
      </c>
      <c r="AD19" s="462">
        <f t="shared" si="25"/>
        <v>0</v>
      </c>
      <c r="AE19" s="485">
        <f t="shared" si="7"/>
        <v>7</v>
      </c>
      <c r="AF19" s="486">
        <f t="shared" si="8"/>
        <v>1370</v>
      </c>
      <c r="AG19" s="478">
        <f t="shared" si="23"/>
        <v>195.71428571428572</v>
      </c>
      <c r="AI19" s="479">
        <f>R19-'EDl log'!B17</f>
        <v>-261989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v>32126336</v>
      </c>
      <c r="E20" s="319">
        <f t="shared" si="9"/>
        <v>6186</v>
      </c>
      <c r="F20" s="458">
        <v>3832913</v>
      </c>
      <c r="G20" s="320">
        <f t="shared" si="0"/>
        <v>1094</v>
      </c>
      <c r="H20" s="458">
        <v>17626674</v>
      </c>
      <c r="I20" s="320">
        <f t="shared" si="10"/>
        <v>1410</v>
      </c>
      <c r="J20" s="458">
        <v>28680930</v>
      </c>
      <c r="K20" s="320">
        <f t="shared" si="11"/>
        <v>976</v>
      </c>
      <c r="L20" s="458">
        <v>23526392</v>
      </c>
      <c r="M20" s="320">
        <f t="shared" si="12"/>
        <v>2438</v>
      </c>
      <c r="N20" s="318">
        <f t="shared" si="13"/>
        <v>12104</v>
      </c>
      <c r="O20" s="480">
        <f t="shared" si="22"/>
        <v>0</v>
      </c>
      <c r="P20" s="458">
        <v>16240</v>
      </c>
      <c r="Q20" s="462">
        <f t="shared" si="24"/>
        <v>1000</v>
      </c>
      <c r="R20" s="462">
        <f t="shared" si="19"/>
        <v>11104</v>
      </c>
      <c r="S20" s="458">
        <v>9384</v>
      </c>
      <c r="T20" s="482">
        <f t="shared" si="3"/>
        <v>0</v>
      </c>
      <c r="U20" s="458">
        <v>258864</v>
      </c>
      <c r="V20" s="462">
        <f t="shared" si="14"/>
        <v>0</v>
      </c>
      <c r="W20" s="458">
        <v>32049</v>
      </c>
      <c r="X20" s="462">
        <f t="shared" si="21"/>
        <v>0</v>
      </c>
      <c r="Y20" s="458">
        <f t="shared" si="15"/>
        <v>673052</v>
      </c>
      <c r="Z20" s="462">
        <f t="shared" si="20"/>
        <v>0</v>
      </c>
      <c r="AA20" s="458">
        <v>35482</v>
      </c>
      <c r="AB20" s="462">
        <f t="shared" si="16"/>
        <v>19</v>
      </c>
      <c r="AC20" s="458">
        <v>871793</v>
      </c>
      <c r="AD20" s="462">
        <f t="shared" si="25"/>
        <v>4094</v>
      </c>
      <c r="AE20" s="485">
        <f t="shared" si="7"/>
        <v>19</v>
      </c>
      <c r="AF20" s="486">
        <f t="shared" si="8"/>
        <v>4094</v>
      </c>
      <c r="AG20" s="478">
        <f t="shared" si="23"/>
        <v>215.47368421052633</v>
      </c>
      <c r="AI20" s="479">
        <f>R20-'EDl log'!B18</f>
        <v>-265711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v>32131094</v>
      </c>
      <c r="E21" s="319">
        <f t="shared" si="9"/>
        <v>4758</v>
      </c>
      <c r="F21" s="599">
        <v>3834106</v>
      </c>
      <c r="G21" s="320">
        <f t="shared" si="0"/>
        <v>1193</v>
      </c>
      <c r="H21" s="458">
        <v>17628254</v>
      </c>
      <c r="I21" s="320">
        <f t="shared" si="10"/>
        <v>1580</v>
      </c>
      <c r="J21" s="599">
        <v>28681958</v>
      </c>
      <c r="K21" s="320">
        <f t="shared" si="11"/>
        <v>1028</v>
      </c>
      <c r="L21" s="458">
        <v>23530890</v>
      </c>
      <c r="M21" s="320">
        <f t="shared" si="12"/>
        <v>4498</v>
      </c>
      <c r="N21" s="318">
        <f t="shared" si="13"/>
        <v>13057</v>
      </c>
      <c r="O21" s="480">
        <f t="shared" si="22"/>
        <v>0</v>
      </c>
      <c r="P21" s="599">
        <v>16242</v>
      </c>
      <c r="Q21" s="462">
        <f>(P21-P20)*1000</f>
        <v>2000</v>
      </c>
      <c r="R21" s="462">
        <f t="shared" si="19"/>
        <v>11057</v>
      </c>
      <c r="S21" s="458">
        <v>9393</v>
      </c>
      <c r="T21" s="482">
        <f t="shared" si="3"/>
        <v>9</v>
      </c>
      <c r="U21" s="599">
        <v>260900</v>
      </c>
      <c r="V21" s="462">
        <f t="shared" si="14"/>
        <v>2036</v>
      </c>
      <c r="W21" s="458">
        <v>32049</v>
      </c>
      <c r="X21" s="462">
        <f t="shared" si="21"/>
        <v>0</v>
      </c>
      <c r="Y21" s="599">
        <v>673052</v>
      </c>
      <c r="Z21" s="462">
        <f t="shared" si="20"/>
        <v>0</v>
      </c>
      <c r="AA21" s="458">
        <v>35487</v>
      </c>
      <c r="AB21" s="462">
        <f t="shared" si="16"/>
        <v>5</v>
      </c>
      <c r="AC21" s="599">
        <v>872887</v>
      </c>
      <c r="AD21" s="462">
        <f t="shared" si="25"/>
        <v>1094</v>
      </c>
      <c r="AE21" s="485">
        <f t="shared" si="7"/>
        <v>14</v>
      </c>
      <c r="AF21" s="486">
        <f t="shared" si="8"/>
        <v>3130</v>
      </c>
      <c r="AG21" s="478">
        <f t="shared" si="23"/>
        <v>223.57142857142858</v>
      </c>
      <c r="AI21" s="479">
        <f>R21-'EDl log'!B19</f>
        <v>-269881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v>32134446</v>
      </c>
      <c r="E22" s="319">
        <f t="shared" si="9"/>
        <v>3352</v>
      </c>
      <c r="F22" s="599">
        <v>3835042</v>
      </c>
      <c r="G22" s="320">
        <f t="shared" si="0"/>
        <v>936</v>
      </c>
      <c r="H22" s="458">
        <v>17629480</v>
      </c>
      <c r="I22" s="320">
        <f t="shared" si="10"/>
        <v>1226</v>
      </c>
      <c r="J22" s="599">
        <v>28682884</v>
      </c>
      <c r="K22" s="320">
        <f t="shared" si="11"/>
        <v>926</v>
      </c>
      <c r="L22" s="458">
        <v>23535946</v>
      </c>
      <c r="M22" s="320">
        <f t="shared" si="12"/>
        <v>5056</v>
      </c>
      <c r="N22" s="318">
        <f t="shared" si="13"/>
        <v>11496</v>
      </c>
      <c r="O22" s="480">
        <f t="shared" si="22"/>
        <v>0</v>
      </c>
      <c r="P22" s="599">
        <v>16244</v>
      </c>
      <c r="Q22" s="462">
        <f t="shared" si="24"/>
        <v>2000</v>
      </c>
      <c r="R22" s="462">
        <f t="shared" si="19"/>
        <v>9496</v>
      </c>
      <c r="S22" s="458">
        <v>9404</v>
      </c>
      <c r="T22" s="482">
        <f t="shared" si="3"/>
        <v>11</v>
      </c>
      <c r="U22" s="599">
        <v>263443</v>
      </c>
      <c r="V22" s="462">
        <f t="shared" si="14"/>
        <v>2543</v>
      </c>
      <c r="W22" s="458">
        <f t="shared" si="15"/>
        <v>32049</v>
      </c>
      <c r="X22" s="462">
        <f t="shared" si="21"/>
        <v>0</v>
      </c>
      <c r="Y22" s="599">
        <v>673052</v>
      </c>
      <c r="Z22" s="462">
        <f t="shared" si="20"/>
        <v>0</v>
      </c>
      <c r="AA22" s="458">
        <v>35487</v>
      </c>
      <c r="AB22" s="462">
        <f t="shared" si="16"/>
        <v>0</v>
      </c>
      <c r="AC22" s="599">
        <v>872887</v>
      </c>
      <c r="AD22" s="462">
        <f t="shared" si="25"/>
        <v>0</v>
      </c>
      <c r="AE22" s="485">
        <f t="shared" si="7"/>
        <v>11</v>
      </c>
      <c r="AF22" s="486">
        <f t="shared" si="8"/>
        <v>2543</v>
      </c>
      <c r="AG22" s="478">
        <f t="shared" si="23"/>
        <v>231.18181818181819</v>
      </c>
      <c r="AI22" s="479">
        <f>R22-'EDl log'!B20</f>
        <v>-276578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v>32138260</v>
      </c>
      <c r="E23" s="319">
        <f t="shared" si="9"/>
        <v>3814</v>
      </c>
      <c r="F23" s="599">
        <v>3835973</v>
      </c>
      <c r="G23" s="320">
        <f t="shared" si="0"/>
        <v>931</v>
      </c>
      <c r="H23" s="458">
        <v>17630500</v>
      </c>
      <c r="I23" s="451">
        <f t="shared" si="10"/>
        <v>1020</v>
      </c>
      <c r="J23" s="599">
        <v>28683664</v>
      </c>
      <c r="K23" s="320">
        <f t="shared" si="11"/>
        <v>780</v>
      </c>
      <c r="L23" s="458">
        <v>23539378</v>
      </c>
      <c r="M23" s="320">
        <f t="shared" si="12"/>
        <v>3432</v>
      </c>
      <c r="N23" s="318">
        <f t="shared" si="13"/>
        <v>9977</v>
      </c>
      <c r="O23" s="480">
        <f t="shared" si="22"/>
        <v>0</v>
      </c>
      <c r="P23" s="599">
        <v>16246</v>
      </c>
      <c r="Q23" s="462">
        <f t="shared" si="24"/>
        <v>2000</v>
      </c>
      <c r="R23" s="462">
        <f t="shared" si="19"/>
        <v>7977</v>
      </c>
      <c r="S23" s="458">
        <v>9412</v>
      </c>
      <c r="T23" s="482">
        <f t="shared" si="3"/>
        <v>8</v>
      </c>
      <c r="U23" s="599">
        <v>264431</v>
      </c>
      <c r="V23" s="462">
        <f t="shared" si="14"/>
        <v>988</v>
      </c>
      <c r="W23" s="458">
        <f t="shared" si="15"/>
        <v>32049</v>
      </c>
      <c r="X23" s="462">
        <f t="shared" si="21"/>
        <v>0</v>
      </c>
      <c r="Y23" s="458">
        <f t="shared" si="15"/>
        <v>673052</v>
      </c>
      <c r="Z23" s="462">
        <f t="shared" si="20"/>
        <v>0</v>
      </c>
      <c r="AA23" s="458">
        <v>35492</v>
      </c>
      <c r="AB23" s="462">
        <f t="shared" si="16"/>
        <v>5</v>
      </c>
      <c r="AC23" s="599">
        <v>874222</v>
      </c>
      <c r="AD23" s="462">
        <f t="shared" si="25"/>
        <v>1335</v>
      </c>
      <c r="AE23" s="485">
        <f t="shared" si="7"/>
        <v>13</v>
      </c>
      <c r="AF23" s="486">
        <f t="shared" si="8"/>
        <v>2323</v>
      </c>
      <c r="AG23" s="478">
        <f t="shared" si="23"/>
        <v>178.69230769230768</v>
      </c>
      <c r="AI23" s="479">
        <f>R23-'EDl log'!B21</f>
        <v>-284006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v>32141750</v>
      </c>
      <c r="E24" s="319">
        <f t="shared" si="9"/>
        <v>3490</v>
      </c>
      <c r="F24" s="458">
        <v>3836880</v>
      </c>
      <c r="G24" s="320">
        <f t="shared" si="0"/>
        <v>907</v>
      </c>
      <c r="H24" s="458">
        <v>17631622</v>
      </c>
      <c r="I24" s="320">
        <f t="shared" si="10"/>
        <v>1122</v>
      </c>
      <c r="J24" s="458">
        <v>28684466</v>
      </c>
      <c r="K24" s="320">
        <f t="shared" si="11"/>
        <v>802</v>
      </c>
      <c r="L24" s="458">
        <v>23542358</v>
      </c>
      <c r="M24" s="320">
        <f t="shared" si="12"/>
        <v>2980</v>
      </c>
      <c r="N24" s="318">
        <f t="shared" si="13"/>
        <v>9301</v>
      </c>
      <c r="O24" s="480">
        <f t="shared" si="22"/>
        <v>0</v>
      </c>
      <c r="P24" s="458">
        <v>16247</v>
      </c>
      <c r="Q24" s="462">
        <f t="shared" si="24"/>
        <v>1000</v>
      </c>
      <c r="R24" s="462">
        <f t="shared" si="19"/>
        <v>8301</v>
      </c>
      <c r="S24" s="458">
        <v>9413</v>
      </c>
      <c r="T24" s="482">
        <f t="shared" si="3"/>
        <v>1</v>
      </c>
      <c r="U24" s="458">
        <v>265362</v>
      </c>
      <c r="V24" s="462">
        <f t="shared" si="14"/>
        <v>931</v>
      </c>
      <c r="W24" s="458">
        <f t="shared" si="15"/>
        <v>32049</v>
      </c>
      <c r="X24" s="462">
        <f t="shared" si="21"/>
        <v>0</v>
      </c>
      <c r="Y24" s="458">
        <f t="shared" si="15"/>
        <v>673052</v>
      </c>
      <c r="Z24" s="462">
        <f t="shared" si="20"/>
        <v>0</v>
      </c>
      <c r="AA24" s="458">
        <f t="shared" si="15"/>
        <v>35492</v>
      </c>
      <c r="AB24" s="462">
        <f t="shared" si="16"/>
        <v>0</v>
      </c>
      <c r="AC24" s="458">
        <f t="shared" si="15"/>
        <v>874222</v>
      </c>
      <c r="AD24" s="462">
        <f t="shared" si="25"/>
        <v>0</v>
      </c>
      <c r="AE24" s="485">
        <f t="shared" si="7"/>
        <v>1</v>
      </c>
      <c r="AF24" s="486">
        <f t="shared" si="8"/>
        <v>931</v>
      </c>
      <c r="AG24" s="478">
        <f t="shared" si="23"/>
        <v>931</v>
      </c>
      <c r="AI24" s="479">
        <f>R24-'EDl log'!B22</f>
        <v>-289296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v>32145061</v>
      </c>
      <c r="E25" s="319">
        <f t="shared" si="9"/>
        <v>3311</v>
      </c>
      <c r="F25" s="599">
        <v>3837822</v>
      </c>
      <c r="G25" s="320">
        <f t="shared" si="0"/>
        <v>942</v>
      </c>
      <c r="H25" s="458">
        <v>17632688</v>
      </c>
      <c r="I25" s="320">
        <f t="shared" si="10"/>
        <v>1066</v>
      </c>
      <c r="J25" s="599">
        <v>28685380</v>
      </c>
      <c r="K25" s="320">
        <f t="shared" si="11"/>
        <v>914</v>
      </c>
      <c r="L25" s="458">
        <v>23546128</v>
      </c>
      <c r="M25" s="320">
        <f t="shared" si="12"/>
        <v>3770</v>
      </c>
      <c r="N25" s="318">
        <f t="shared" si="13"/>
        <v>10003</v>
      </c>
      <c r="O25" s="480">
        <f t="shared" si="22"/>
        <v>0</v>
      </c>
      <c r="P25" s="599">
        <v>16248</v>
      </c>
      <c r="Q25" s="462">
        <f t="shared" si="24"/>
        <v>1000</v>
      </c>
      <c r="R25" s="487">
        <f>N25-Q25</f>
        <v>9003</v>
      </c>
      <c r="S25" s="458">
        <v>9420</v>
      </c>
      <c r="T25" s="482">
        <f t="shared" si="3"/>
        <v>7</v>
      </c>
      <c r="U25" s="599">
        <v>266936</v>
      </c>
      <c r="V25" s="462">
        <f t="shared" si="14"/>
        <v>1574</v>
      </c>
      <c r="W25" s="458">
        <f t="shared" si="15"/>
        <v>32049</v>
      </c>
      <c r="X25" s="462">
        <f t="shared" si="21"/>
        <v>0</v>
      </c>
      <c r="Y25" s="458">
        <f t="shared" si="15"/>
        <v>673052</v>
      </c>
      <c r="Z25" s="462">
        <f t="shared" si="20"/>
        <v>0</v>
      </c>
      <c r="AA25" s="458">
        <v>35492</v>
      </c>
      <c r="AB25" s="462">
        <f t="shared" si="16"/>
        <v>0</v>
      </c>
      <c r="AC25" s="599">
        <v>874222</v>
      </c>
      <c r="AD25" s="462">
        <f t="shared" si="25"/>
        <v>0</v>
      </c>
      <c r="AE25" s="485">
        <f t="shared" si="7"/>
        <v>7</v>
      </c>
      <c r="AF25" s="486">
        <f t="shared" si="8"/>
        <v>1574</v>
      </c>
      <c r="AG25" s="478">
        <f t="shared" si="23"/>
        <v>224.85714285714286</v>
      </c>
      <c r="AI25" s="479">
        <f>R25-'EDl log'!B23</f>
        <v>-293551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v>32148412</v>
      </c>
      <c r="E26" s="319">
        <f t="shared" si="9"/>
        <v>3351</v>
      </c>
      <c r="F26" s="599">
        <v>3838765</v>
      </c>
      <c r="G26" s="320">
        <f t="shared" si="0"/>
        <v>943</v>
      </c>
      <c r="H26" s="458">
        <v>17633750</v>
      </c>
      <c r="I26" s="320">
        <f t="shared" si="10"/>
        <v>1062</v>
      </c>
      <c r="J26" s="599">
        <v>28686294</v>
      </c>
      <c r="K26" s="320">
        <f t="shared" si="11"/>
        <v>914</v>
      </c>
      <c r="L26" s="458">
        <v>23549898</v>
      </c>
      <c r="M26" s="320">
        <f t="shared" si="12"/>
        <v>3770</v>
      </c>
      <c r="N26" s="318">
        <f t="shared" si="13"/>
        <v>10040</v>
      </c>
      <c r="O26" s="480">
        <f t="shared" si="22"/>
        <v>0</v>
      </c>
      <c r="P26" s="599">
        <v>16250</v>
      </c>
      <c r="Q26" s="462">
        <f t="shared" si="24"/>
        <v>2000</v>
      </c>
      <c r="R26" s="487">
        <f>N26-Q26</f>
        <v>8040</v>
      </c>
      <c r="S26" s="458">
        <v>9427</v>
      </c>
      <c r="T26" s="482">
        <f t="shared" si="3"/>
        <v>7</v>
      </c>
      <c r="U26" s="599">
        <v>268571</v>
      </c>
      <c r="V26" s="462">
        <f t="shared" si="14"/>
        <v>1635</v>
      </c>
      <c r="W26" s="458">
        <f t="shared" si="15"/>
        <v>32049</v>
      </c>
      <c r="X26" s="462">
        <f t="shared" si="21"/>
        <v>0</v>
      </c>
      <c r="Y26" s="458">
        <f t="shared" si="15"/>
        <v>673052</v>
      </c>
      <c r="Z26" s="462">
        <f t="shared" si="20"/>
        <v>0</v>
      </c>
      <c r="AA26" s="458">
        <v>35494</v>
      </c>
      <c r="AB26" s="462">
        <f t="shared" si="16"/>
        <v>2</v>
      </c>
      <c r="AC26" s="599">
        <v>874663</v>
      </c>
      <c r="AD26" s="462">
        <f t="shared" si="25"/>
        <v>441</v>
      </c>
      <c r="AE26" s="485">
        <f t="shared" si="7"/>
        <v>9</v>
      </c>
      <c r="AF26" s="486">
        <f t="shared" si="8"/>
        <v>2076</v>
      </c>
      <c r="AG26" s="478">
        <f t="shared" si="23"/>
        <v>230.66666666666666</v>
      </c>
      <c r="AI26" s="479">
        <f>R26-'EDl log'!B24</f>
        <v>-298769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v>32151488</v>
      </c>
      <c r="E27" s="319">
        <f t="shared" si="9"/>
        <v>3076</v>
      </c>
      <c r="F27" s="599">
        <v>3839714</v>
      </c>
      <c r="G27" s="320">
        <f>F27-F26</f>
        <v>949</v>
      </c>
      <c r="H27" s="458">
        <v>17634664</v>
      </c>
      <c r="I27" s="320">
        <f t="shared" si="10"/>
        <v>914</v>
      </c>
      <c r="J27" s="599">
        <v>28687222</v>
      </c>
      <c r="K27" s="320">
        <f t="shared" si="11"/>
        <v>928</v>
      </c>
      <c r="L27" s="458">
        <v>23554218</v>
      </c>
      <c r="M27" s="320">
        <f t="shared" si="12"/>
        <v>4320</v>
      </c>
      <c r="N27" s="318">
        <f t="shared" si="13"/>
        <v>10187</v>
      </c>
      <c r="O27" s="480">
        <f t="shared" si="22"/>
        <v>0</v>
      </c>
      <c r="P27" s="599">
        <v>16252</v>
      </c>
      <c r="Q27" s="462">
        <f t="shared" si="24"/>
        <v>2000</v>
      </c>
      <c r="R27" s="462">
        <f t="shared" si="19"/>
        <v>8187</v>
      </c>
      <c r="S27" s="458">
        <v>9436</v>
      </c>
      <c r="T27" s="482">
        <f t="shared" si="3"/>
        <v>9</v>
      </c>
      <c r="U27" s="599">
        <v>270917</v>
      </c>
      <c r="V27" s="462">
        <f t="shared" si="14"/>
        <v>2346</v>
      </c>
      <c r="W27" s="458">
        <f t="shared" si="15"/>
        <v>32049</v>
      </c>
      <c r="X27" s="462">
        <f t="shared" si="21"/>
        <v>0</v>
      </c>
      <c r="Y27" s="458">
        <f t="shared" si="15"/>
        <v>673052</v>
      </c>
      <c r="Z27" s="462">
        <f t="shared" si="20"/>
        <v>0</v>
      </c>
      <c r="AA27" s="458">
        <f t="shared" si="15"/>
        <v>35494</v>
      </c>
      <c r="AB27" s="462">
        <f t="shared" si="16"/>
        <v>0</v>
      </c>
      <c r="AC27" s="458">
        <f t="shared" si="15"/>
        <v>874663</v>
      </c>
      <c r="AD27" s="462">
        <f t="shared" si="25"/>
        <v>0</v>
      </c>
      <c r="AE27" s="485">
        <f t="shared" si="7"/>
        <v>9</v>
      </c>
      <c r="AF27" s="486">
        <f t="shared" si="8"/>
        <v>2346</v>
      </c>
      <c r="AG27" s="478">
        <f t="shared" si="23"/>
        <v>260.66666666666669</v>
      </c>
      <c r="AI27" s="479">
        <f>R27-'EDl log'!B25</f>
        <v>-303149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v>32154434</v>
      </c>
      <c r="E28" s="319">
        <f t="shared" si="9"/>
        <v>2946</v>
      </c>
      <c r="F28" s="599">
        <v>3840696</v>
      </c>
      <c r="G28" s="320">
        <f t="shared" si="0"/>
        <v>982</v>
      </c>
      <c r="H28" s="458">
        <v>17635588</v>
      </c>
      <c r="I28" s="320">
        <f t="shared" si="10"/>
        <v>924</v>
      </c>
      <c r="J28" s="599">
        <v>28688176</v>
      </c>
      <c r="K28" s="320">
        <f t="shared" si="11"/>
        <v>954</v>
      </c>
      <c r="L28" s="458">
        <v>23558362</v>
      </c>
      <c r="M28" s="320">
        <f t="shared" si="12"/>
        <v>4144</v>
      </c>
      <c r="N28" s="318">
        <f t="shared" si="13"/>
        <v>9950</v>
      </c>
      <c r="O28" s="480">
        <f t="shared" si="22"/>
        <v>0</v>
      </c>
      <c r="P28" s="599">
        <v>16254</v>
      </c>
      <c r="Q28" s="462">
        <f t="shared" si="24"/>
        <v>2000</v>
      </c>
      <c r="R28" s="462">
        <f>N28-Q28</f>
        <v>7950</v>
      </c>
      <c r="S28" s="458">
        <v>9448</v>
      </c>
      <c r="T28" s="482">
        <f t="shared" si="3"/>
        <v>12</v>
      </c>
      <c r="U28" s="599">
        <v>273397</v>
      </c>
      <c r="V28" s="462">
        <f t="shared" si="14"/>
        <v>2480</v>
      </c>
      <c r="W28" s="458">
        <f t="shared" si="15"/>
        <v>32049</v>
      </c>
      <c r="X28" s="462">
        <f t="shared" si="21"/>
        <v>0</v>
      </c>
      <c r="Y28" s="458">
        <f t="shared" si="15"/>
        <v>673052</v>
      </c>
      <c r="Z28" s="462">
        <f t="shared" si="20"/>
        <v>0</v>
      </c>
      <c r="AA28" s="458">
        <v>35496</v>
      </c>
      <c r="AB28" s="462">
        <f t="shared" si="16"/>
        <v>2</v>
      </c>
      <c r="AC28" s="599">
        <v>874940</v>
      </c>
      <c r="AD28" s="462">
        <f t="shared" si="25"/>
        <v>277</v>
      </c>
      <c r="AE28" s="485">
        <f t="shared" si="7"/>
        <v>14</v>
      </c>
      <c r="AF28" s="486">
        <f t="shared" si="8"/>
        <v>2757</v>
      </c>
      <c r="AG28" s="478">
        <f t="shared" si="23"/>
        <v>196.92857142857142</v>
      </c>
      <c r="AI28" s="479">
        <f>R28-'EDl log'!B26</f>
        <v>-307634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v>32157000</v>
      </c>
      <c r="E29" s="319">
        <f t="shared" si="9"/>
        <v>2566</v>
      </c>
      <c r="F29" s="599">
        <v>3841852</v>
      </c>
      <c r="G29" s="320">
        <f t="shared" si="0"/>
        <v>1156</v>
      </c>
      <c r="H29" s="458">
        <v>17636686</v>
      </c>
      <c r="I29" s="320">
        <f t="shared" si="10"/>
        <v>1098</v>
      </c>
      <c r="J29" s="599">
        <v>28688976</v>
      </c>
      <c r="K29" s="320">
        <f t="shared" si="11"/>
        <v>800</v>
      </c>
      <c r="L29" s="458">
        <v>23562322</v>
      </c>
      <c r="M29" s="320">
        <f t="shared" si="12"/>
        <v>3960</v>
      </c>
      <c r="N29" s="318">
        <f t="shared" si="13"/>
        <v>9580</v>
      </c>
      <c r="O29" s="480">
        <f t="shared" si="22"/>
        <v>0</v>
      </c>
      <c r="P29" s="599">
        <v>16255</v>
      </c>
      <c r="Q29" s="462">
        <f t="shared" si="24"/>
        <v>1000</v>
      </c>
      <c r="R29" s="462">
        <f t="shared" si="19"/>
        <v>8580</v>
      </c>
      <c r="S29" s="458">
        <v>9457</v>
      </c>
      <c r="T29" s="482">
        <f t="shared" si="3"/>
        <v>9</v>
      </c>
      <c r="U29" s="599">
        <v>275287</v>
      </c>
      <c r="V29" s="462">
        <f t="shared" si="14"/>
        <v>1890</v>
      </c>
      <c r="W29" s="458">
        <f t="shared" si="15"/>
        <v>32049</v>
      </c>
      <c r="X29" s="462">
        <f t="shared" si="21"/>
        <v>0</v>
      </c>
      <c r="Y29" s="458">
        <f t="shared" si="15"/>
        <v>673052</v>
      </c>
      <c r="Z29" s="462">
        <f t="shared" si="20"/>
        <v>0</v>
      </c>
      <c r="AA29" s="458">
        <f t="shared" si="15"/>
        <v>35496</v>
      </c>
      <c r="AB29" s="462">
        <f t="shared" si="16"/>
        <v>0</v>
      </c>
      <c r="AC29" s="458">
        <f t="shared" si="15"/>
        <v>874940</v>
      </c>
      <c r="AD29" s="462">
        <f t="shared" si="25"/>
        <v>0</v>
      </c>
      <c r="AE29" s="485">
        <f t="shared" si="7"/>
        <v>9</v>
      </c>
      <c r="AF29" s="486">
        <f t="shared" si="8"/>
        <v>1890</v>
      </c>
      <c r="AG29" s="478">
        <f t="shared" si="23"/>
        <v>210</v>
      </c>
      <c r="AI29" s="479">
        <f>R29-'EDl log'!B27</f>
        <v>-311380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v>32159428</v>
      </c>
      <c r="E30" s="319">
        <f t="shared" si="9"/>
        <v>2428</v>
      </c>
      <c r="F30" s="458">
        <v>3843016</v>
      </c>
      <c r="G30" s="320">
        <f t="shared" si="0"/>
        <v>1164</v>
      </c>
      <c r="H30" s="458">
        <v>17637752</v>
      </c>
      <c r="I30" s="320">
        <f t="shared" si="10"/>
        <v>1066</v>
      </c>
      <c r="J30" s="458">
        <v>28689664</v>
      </c>
      <c r="K30" s="320">
        <f t="shared" si="11"/>
        <v>688</v>
      </c>
      <c r="L30" s="458">
        <v>23565624</v>
      </c>
      <c r="M30" s="320">
        <f t="shared" si="12"/>
        <v>3302</v>
      </c>
      <c r="N30" s="318">
        <f t="shared" si="13"/>
        <v>8648</v>
      </c>
      <c r="O30" s="480">
        <f t="shared" si="22"/>
        <v>0</v>
      </c>
      <c r="P30" s="458">
        <v>16256</v>
      </c>
      <c r="Q30" s="462">
        <f t="shared" si="24"/>
        <v>1000</v>
      </c>
      <c r="R30" s="462">
        <f t="shared" si="19"/>
        <v>7648</v>
      </c>
      <c r="S30" s="458">
        <v>9465</v>
      </c>
      <c r="T30" s="482">
        <f t="shared" si="3"/>
        <v>8</v>
      </c>
      <c r="U30" s="458">
        <v>276887</v>
      </c>
      <c r="V30" s="462">
        <f t="shared" si="14"/>
        <v>1600</v>
      </c>
      <c r="W30" s="458">
        <f t="shared" si="15"/>
        <v>32049</v>
      </c>
      <c r="X30" s="483">
        <f t="shared" si="21"/>
        <v>0</v>
      </c>
      <c r="Y30" s="458">
        <f t="shared" si="15"/>
        <v>673052</v>
      </c>
      <c r="Z30" s="462">
        <f t="shared" si="20"/>
        <v>0</v>
      </c>
      <c r="AA30" s="458">
        <f t="shared" si="15"/>
        <v>35496</v>
      </c>
      <c r="AB30" s="462">
        <f t="shared" si="16"/>
        <v>0</v>
      </c>
      <c r="AC30" s="458">
        <f t="shared" si="15"/>
        <v>874940</v>
      </c>
      <c r="AD30" s="462">
        <f t="shared" si="25"/>
        <v>0</v>
      </c>
      <c r="AE30" s="485">
        <f t="shared" si="7"/>
        <v>8</v>
      </c>
      <c r="AF30" s="486">
        <f t="shared" si="8"/>
        <v>1600</v>
      </c>
      <c r="AG30" s="478">
        <f t="shared" si="23"/>
        <v>200</v>
      </c>
      <c r="AI30" s="479">
        <f>R30-'EDl log'!B28</f>
        <v>-316742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v>32162962</v>
      </c>
      <c r="E31" s="319">
        <f t="shared" si="9"/>
        <v>3534</v>
      </c>
      <c r="F31" s="458">
        <v>3844149</v>
      </c>
      <c r="G31" s="320">
        <f t="shared" si="0"/>
        <v>1133</v>
      </c>
      <c r="H31" s="458">
        <v>17638798</v>
      </c>
      <c r="I31" s="320">
        <f t="shared" si="10"/>
        <v>1046</v>
      </c>
      <c r="J31" s="458">
        <v>28690538</v>
      </c>
      <c r="K31" s="320">
        <f t="shared" si="11"/>
        <v>874</v>
      </c>
      <c r="L31" s="458">
        <v>23569248</v>
      </c>
      <c r="M31" s="320">
        <f t="shared" si="12"/>
        <v>3624</v>
      </c>
      <c r="N31" s="318">
        <f t="shared" si="13"/>
        <v>10211</v>
      </c>
      <c r="O31" s="480">
        <f t="shared" si="22"/>
        <v>0</v>
      </c>
      <c r="P31" s="458">
        <v>16259</v>
      </c>
      <c r="Q31" s="462">
        <f t="shared" si="24"/>
        <v>3000</v>
      </c>
      <c r="R31" s="462">
        <f t="shared" si="19"/>
        <v>7211</v>
      </c>
      <c r="S31" s="458">
        <v>9468</v>
      </c>
      <c r="T31" s="482">
        <f t="shared" si="3"/>
        <v>3</v>
      </c>
      <c r="U31" s="458">
        <v>277743</v>
      </c>
      <c r="V31" s="462">
        <f t="shared" si="14"/>
        <v>856</v>
      </c>
      <c r="W31" s="458">
        <f t="shared" si="15"/>
        <v>32049</v>
      </c>
      <c r="X31" s="483">
        <f t="shared" si="21"/>
        <v>0</v>
      </c>
      <c r="Y31" s="458">
        <f t="shared" si="15"/>
        <v>673052</v>
      </c>
      <c r="Z31" s="484">
        <f>Y31-Y30</f>
        <v>0</v>
      </c>
      <c r="AA31" s="458">
        <v>35501</v>
      </c>
      <c r="AB31" s="462">
        <f t="shared" si="16"/>
        <v>5</v>
      </c>
      <c r="AC31" s="458">
        <v>875897</v>
      </c>
      <c r="AD31" s="462">
        <f t="shared" si="25"/>
        <v>957</v>
      </c>
      <c r="AE31" s="485">
        <f t="shared" si="7"/>
        <v>8</v>
      </c>
      <c r="AF31" s="486">
        <f t="shared" si="8"/>
        <v>1813</v>
      </c>
      <c r="AG31" s="478">
        <f t="shared" si="23"/>
        <v>226.625</v>
      </c>
      <c r="AI31" s="479">
        <f>R31-'EDl log'!B29</f>
        <v>-321613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ref="D32:D33" si="26">D31</f>
        <v>32162962</v>
      </c>
      <c r="E32" s="319">
        <f t="shared" si="9"/>
        <v>0</v>
      </c>
      <c r="F32" s="458">
        <f t="shared" ref="F32:L33" si="27">F31</f>
        <v>3844149</v>
      </c>
      <c r="G32" s="320">
        <f>F32-F31</f>
        <v>0</v>
      </c>
      <c r="H32" s="458">
        <f t="shared" si="27"/>
        <v>17638798</v>
      </c>
      <c r="I32" s="320">
        <f>H32-H31</f>
        <v>0</v>
      </c>
      <c r="J32" s="458">
        <f t="shared" si="27"/>
        <v>28690538</v>
      </c>
      <c r="K32" s="320">
        <f>J32-J31</f>
        <v>0</v>
      </c>
      <c r="L32" s="458">
        <f t="shared" si="27"/>
        <v>23569248</v>
      </c>
      <c r="M32" s="320">
        <f>L32-L31</f>
        <v>0</v>
      </c>
      <c r="N32" s="318">
        <f>M32+K32+I32+G32+E32</f>
        <v>0</v>
      </c>
      <c r="O32" s="480">
        <f t="shared" si="22"/>
        <v>0</v>
      </c>
      <c r="P32" s="458">
        <f t="shared" si="18"/>
        <v>16259</v>
      </c>
      <c r="Q32" s="462">
        <f>(P32-P31)*1000</f>
        <v>0</v>
      </c>
      <c r="R32" s="462">
        <f>N32-Q32</f>
        <v>0</v>
      </c>
      <c r="S32" s="458">
        <f t="shared" si="15"/>
        <v>9468</v>
      </c>
      <c r="T32" s="482">
        <f t="shared" si="3"/>
        <v>0</v>
      </c>
      <c r="U32" s="458">
        <f t="shared" si="15"/>
        <v>277743</v>
      </c>
      <c r="V32" s="462">
        <f t="shared" si="14"/>
        <v>0</v>
      </c>
      <c r="W32" s="458">
        <f t="shared" si="15"/>
        <v>32049</v>
      </c>
      <c r="X32" s="462">
        <f t="shared" si="21"/>
        <v>0</v>
      </c>
      <c r="Y32" s="458">
        <f t="shared" si="15"/>
        <v>673052</v>
      </c>
      <c r="Z32" s="484">
        <f>Y32-Y31</f>
        <v>0</v>
      </c>
      <c r="AA32" s="458">
        <f t="shared" si="15"/>
        <v>35501</v>
      </c>
      <c r="AB32" s="462">
        <f t="shared" si="16"/>
        <v>0</v>
      </c>
      <c r="AC32" s="458">
        <f t="shared" si="15"/>
        <v>875897</v>
      </c>
      <c r="AD32" s="462">
        <f t="shared" si="25"/>
        <v>0</v>
      </c>
      <c r="AE32" s="485">
        <f t="shared" si="7"/>
        <v>0</v>
      </c>
      <c r="AF32" s="486">
        <f>V32+Z32+AD32</f>
        <v>0</v>
      </c>
      <c r="AG32" s="478">
        <f t="shared" si="23"/>
        <v>0</v>
      </c>
      <c r="AI32" s="479">
        <f>R32-'EDl log'!B30</f>
        <v>-333172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6"/>
        <v>32162962</v>
      </c>
      <c r="E33" s="319">
        <f t="shared" ref="E33" si="28">D33-D32</f>
        <v>0</v>
      </c>
      <c r="F33" s="458">
        <f t="shared" si="27"/>
        <v>3844149</v>
      </c>
      <c r="G33" s="320">
        <f>F33-F32</f>
        <v>0</v>
      </c>
      <c r="H33" s="458">
        <f t="shared" si="27"/>
        <v>17638798</v>
      </c>
      <c r="I33" s="320">
        <f>H33-H32</f>
        <v>0</v>
      </c>
      <c r="J33" s="458">
        <f t="shared" si="27"/>
        <v>28690538</v>
      </c>
      <c r="K33" s="320">
        <f>J33-J32</f>
        <v>0</v>
      </c>
      <c r="L33" s="458">
        <f t="shared" si="27"/>
        <v>23569248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16259</v>
      </c>
      <c r="Q33" s="462">
        <f>(P33-P32)*1000</f>
        <v>0</v>
      </c>
      <c r="R33" s="462">
        <f>N33-Q33</f>
        <v>0</v>
      </c>
      <c r="S33" s="458">
        <f t="shared" si="15"/>
        <v>9468</v>
      </c>
      <c r="T33" s="482">
        <f t="shared" ref="T33" si="30">S33-S32</f>
        <v>0</v>
      </c>
      <c r="U33" s="458">
        <f t="shared" si="15"/>
        <v>277743</v>
      </c>
      <c r="V33" s="462">
        <f t="shared" ref="V33" si="31">U33-U32</f>
        <v>0</v>
      </c>
      <c r="W33" s="458">
        <f t="shared" si="15"/>
        <v>32049</v>
      </c>
      <c r="X33" s="462">
        <f t="shared" ref="X33" si="32">W33-W32</f>
        <v>0</v>
      </c>
      <c r="Y33" s="458">
        <f t="shared" si="15"/>
        <v>673052</v>
      </c>
      <c r="Z33" s="484">
        <f>Y33-Y32</f>
        <v>0</v>
      </c>
      <c r="AA33" s="458">
        <f t="shared" si="15"/>
        <v>35501</v>
      </c>
      <c r="AB33" s="462">
        <f t="shared" ref="AB33" si="33">AA33-AA32</f>
        <v>0</v>
      </c>
      <c r="AC33" s="458">
        <f t="shared" si="15"/>
        <v>875897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-336934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X1" zoomScale="90" zoomScaleNormal="90" workbookViewId="0">
      <pane ySplit="1" topLeftCell="A8" activePane="bottomLeft" state="frozen"/>
      <selection activeCell="K1" sqref="K1"/>
      <selection pane="bottomLeft" activeCell="AS33" sqref="AS33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8" t="s">
        <v>2</v>
      </c>
      <c r="G1" s="619"/>
      <c r="H1" s="619"/>
      <c r="I1" s="620"/>
      <c r="J1" s="290">
        <f>J36</f>
        <v>1</v>
      </c>
      <c r="K1" s="621" t="s">
        <v>4</v>
      </c>
      <c r="L1" s="622"/>
      <c r="M1" s="622"/>
      <c r="N1" s="622"/>
      <c r="O1" s="623"/>
      <c r="P1" s="612" t="s">
        <v>6</v>
      </c>
      <c r="Q1" s="613"/>
      <c r="R1" s="613"/>
      <c r="S1" s="613"/>
      <c r="T1" s="614"/>
      <c r="U1" s="407"/>
      <c r="V1" s="27" t="s">
        <v>104</v>
      </c>
      <c r="W1" s="408"/>
      <c r="X1" s="612" t="s">
        <v>8</v>
      </c>
      <c r="Y1" s="613"/>
      <c r="Z1" s="613"/>
      <c r="AA1" s="613"/>
      <c r="AB1" s="613"/>
      <c r="AC1" s="615" t="s">
        <v>10</v>
      </c>
      <c r="AD1" s="616"/>
      <c r="AE1" s="616"/>
      <c r="AF1" s="617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0"/>
      <c r="R2" s="611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187.3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v>268</v>
      </c>
      <c r="C11" s="64">
        <v>226</v>
      </c>
      <c r="D11" s="45">
        <f t="shared" si="23"/>
        <v>-34</v>
      </c>
      <c r="E11" s="45">
        <f t="shared" si="9"/>
        <v>-284.92</v>
      </c>
      <c r="F11" s="64">
        <v>1648</v>
      </c>
      <c r="G11" s="52">
        <f t="shared" si="0"/>
        <v>0</v>
      </c>
      <c r="H11" s="64">
        <v>357868</v>
      </c>
      <c r="I11" s="406">
        <f t="shared" si="1"/>
        <v>0</v>
      </c>
      <c r="J11" s="66">
        <f t="shared" si="10"/>
        <v>0</v>
      </c>
      <c r="K11" s="64">
        <v>2106</v>
      </c>
      <c r="L11" s="52">
        <f t="shared" si="2"/>
        <v>0</v>
      </c>
      <c r="M11" s="64">
        <v>154583</v>
      </c>
      <c r="N11" s="406">
        <f t="shared" si="3"/>
        <v>0</v>
      </c>
      <c r="O11" s="64">
        <f t="shared" si="11"/>
        <v>211.87499999999994</v>
      </c>
      <c r="P11" s="64">
        <v>1835</v>
      </c>
      <c r="Q11" s="64">
        <v>155805</v>
      </c>
      <c r="R11" s="405">
        <f t="shared" ref="R11:R34" si="44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v>135983</v>
      </c>
      <c r="AA11" s="65">
        <f t="shared" si="6"/>
        <v>0</v>
      </c>
      <c r="AB11" s="292">
        <f t="shared" si="25"/>
        <v>0</v>
      </c>
      <c r="AC11" s="64">
        <v>1932</v>
      </c>
      <c r="AD11" s="45">
        <f t="shared" si="7"/>
        <v>0</v>
      </c>
      <c r="AE11" s="64"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5">AN10</f>
        <v>67</v>
      </c>
      <c r="AO11" s="328">
        <f t="shared" si="20"/>
        <v>2010.0000000000002</v>
      </c>
      <c r="AP11" s="64">
        <f t="shared" si="45"/>
        <v>70</v>
      </c>
      <c r="AQ11" s="328">
        <f t="shared" si="21"/>
        <v>2100</v>
      </c>
      <c r="AR11" s="64">
        <f t="shared" ref="AR11" si="46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v>253.3</v>
      </c>
      <c r="C12" s="64">
        <v>259.5</v>
      </c>
      <c r="D12" s="45">
        <f t="shared" si="23"/>
        <v>-33.5</v>
      </c>
      <c r="E12" s="45">
        <f t="shared" si="9"/>
        <v>-280.73</v>
      </c>
      <c r="F12" s="64"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47">Q11</f>
        <v>155805</v>
      </c>
      <c r="R12" s="405">
        <f t="shared" si="44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48">AC11</f>
        <v>1932</v>
      </c>
      <c r="AD12" s="45">
        <f t="shared" si="7"/>
        <v>0</v>
      </c>
      <c r="AE12" s="64">
        <f t="shared" si="48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49">AN11</f>
        <v>67</v>
      </c>
      <c r="AO12" s="328">
        <f t="shared" si="20"/>
        <v>2010.0000000000002</v>
      </c>
      <c r="AP12" s="64">
        <f t="shared" si="49"/>
        <v>70</v>
      </c>
      <c r="AQ12" s="328">
        <f t="shared" si="21"/>
        <v>2100</v>
      </c>
      <c r="AR12" s="64">
        <f t="shared" ref="AR12" si="50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v>251.4</v>
      </c>
      <c r="C13" s="64">
        <v>257.39999999999998</v>
      </c>
      <c r="D13" s="45">
        <f t="shared" si="23"/>
        <v>2.1000000000000227</v>
      </c>
      <c r="E13" s="45">
        <f t="shared" si="9"/>
        <v>17.598000000000191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1">Q12</f>
        <v>155805</v>
      </c>
      <c r="R13" s="405">
        <f t="shared" si="44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2">AC12</f>
        <v>1932</v>
      </c>
      <c r="AD13" s="45">
        <f t="shared" si="7"/>
        <v>0</v>
      </c>
      <c r="AE13" s="64">
        <f t="shared" si="52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3">AN12</f>
        <v>67</v>
      </c>
      <c r="AO13" s="328">
        <f t="shared" si="20"/>
        <v>2010.0000000000002</v>
      </c>
      <c r="AP13" s="64">
        <f t="shared" si="53"/>
        <v>70</v>
      </c>
      <c r="AQ13" s="328">
        <f t="shared" si="21"/>
        <v>2100</v>
      </c>
      <c r="AR13" s="64">
        <f t="shared" ref="AR13" si="54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v>250</v>
      </c>
      <c r="C14" s="64">
        <v>255.4</v>
      </c>
      <c r="D14" s="45">
        <f t="shared" si="23"/>
        <v>1.9999999999999716</v>
      </c>
      <c r="E14" s="45">
        <f t="shared" si="9"/>
        <v>16.759999999999764</v>
      </c>
      <c r="F14" s="64">
        <v>1648</v>
      </c>
      <c r="G14" s="52">
        <f t="shared" si="0"/>
        <v>0</v>
      </c>
      <c r="H14" s="64"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5">Q13</f>
        <v>155805</v>
      </c>
      <c r="R14" s="405">
        <f t="shared" si="44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56">AC13</f>
        <v>1932</v>
      </c>
      <c r="AD14" s="45">
        <f t="shared" si="7"/>
        <v>0</v>
      </c>
      <c r="AE14" s="64">
        <f t="shared" si="56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57">AN13</f>
        <v>67</v>
      </c>
      <c r="AO14" s="328">
        <f t="shared" si="20"/>
        <v>2010.0000000000002</v>
      </c>
      <c r="AP14" s="64">
        <f t="shared" si="57"/>
        <v>70</v>
      </c>
      <c r="AQ14" s="328">
        <f t="shared" si="21"/>
        <v>2100</v>
      </c>
      <c r="AR14" s="64">
        <f t="shared" ref="AR14" si="58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v>248</v>
      </c>
      <c r="C15" s="64">
        <v>253.3</v>
      </c>
      <c r="D15" s="45">
        <f t="shared" si="23"/>
        <v>2.0999999999999943</v>
      </c>
      <c r="E15" s="45">
        <f t="shared" si="9"/>
        <v>17.597999999999953</v>
      </c>
      <c r="F15" s="64"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v>2107</v>
      </c>
      <c r="L15" s="52">
        <f t="shared" si="2"/>
        <v>1</v>
      </c>
      <c r="M15" s="64">
        <v>154592</v>
      </c>
      <c r="N15" s="406">
        <f t="shared" si="3"/>
        <v>9</v>
      </c>
      <c r="O15" s="64">
        <f t="shared" si="11"/>
        <v>211.87499999999994</v>
      </c>
      <c r="P15" s="64">
        <v>1835</v>
      </c>
      <c r="Q15" s="64">
        <f t="shared" ref="Q15" si="59">Q14</f>
        <v>155805</v>
      </c>
      <c r="R15" s="405">
        <f t="shared" si="44"/>
        <v>0</v>
      </c>
      <c r="S15" s="52">
        <f t="shared" si="5"/>
        <v>0</v>
      </c>
      <c r="T15" s="67">
        <f t="shared" si="24"/>
        <v>0</v>
      </c>
      <c r="U15" s="412">
        <f t="shared" si="12"/>
        <v>1</v>
      </c>
      <c r="V15" s="62">
        <f t="shared" si="13"/>
        <v>9</v>
      </c>
      <c r="W15" s="410">
        <f t="shared" si="14"/>
        <v>9</v>
      </c>
      <c r="X15" s="64">
        <v>2419</v>
      </c>
      <c r="Y15" s="52">
        <f t="shared" si="15"/>
        <v>1</v>
      </c>
      <c r="Z15" s="64">
        <v>136036</v>
      </c>
      <c r="AA15" s="65">
        <f t="shared" si="6"/>
        <v>53</v>
      </c>
      <c r="AB15" s="292">
        <f t="shared" si="25"/>
        <v>0</v>
      </c>
      <c r="AC15" s="64">
        <v>1933</v>
      </c>
      <c r="AD15" s="45">
        <f t="shared" si="7"/>
        <v>1</v>
      </c>
      <c r="AE15" s="64">
        <v>365210.2</v>
      </c>
      <c r="AF15" s="314">
        <f t="shared" si="16"/>
        <v>53.200000000011642</v>
      </c>
      <c r="AG15" s="212">
        <f t="shared" si="26"/>
        <v>53.200000000011642</v>
      </c>
      <c r="AH15" s="62">
        <f t="shared" si="27"/>
        <v>106.20000000001164</v>
      </c>
      <c r="AI15" s="326">
        <f t="shared" si="17"/>
        <v>115.20000000001164</v>
      </c>
      <c r="AJ15" s="326">
        <f>-tanks!AW16</f>
        <v>115.20000000001164</v>
      </c>
      <c r="AK15" s="326">
        <f t="shared" si="18"/>
        <v>0</v>
      </c>
      <c r="AL15" s="326">
        <f t="shared" si="8"/>
        <v>1</v>
      </c>
      <c r="AM15" s="326">
        <f t="shared" si="19"/>
        <v>2</v>
      </c>
      <c r="AN15" s="64">
        <f t="shared" ref="AN15:AP15" si="60">AN14</f>
        <v>67</v>
      </c>
      <c r="AO15" s="328">
        <f t="shared" si="20"/>
        <v>2010.0000000000002</v>
      </c>
      <c r="AP15" s="64">
        <f t="shared" si="60"/>
        <v>70</v>
      </c>
      <c r="AQ15" s="328">
        <f t="shared" si="21"/>
        <v>2100</v>
      </c>
      <c r="AR15" s="64">
        <f t="shared" ref="AR15" si="61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v>242.4</v>
      </c>
      <c r="C16" s="64">
        <v>248</v>
      </c>
      <c r="D16" s="45">
        <f t="shared" si="23"/>
        <v>5.3000000000000114</v>
      </c>
      <c r="E16" s="45">
        <f t="shared" si="9"/>
        <v>44.414000000000101</v>
      </c>
      <c r="F16" s="64"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2107</v>
      </c>
      <c r="L16" s="52">
        <f t="shared" si="2"/>
        <v>0</v>
      </c>
      <c r="M16" s="64">
        <f t="shared" si="32"/>
        <v>154592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2">Q15</f>
        <v>155805</v>
      </c>
      <c r="R16" s="405">
        <f t="shared" si="44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2419</v>
      </c>
      <c r="Y16" s="52">
        <f t="shared" si="15"/>
        <v>0</v>
      </c>
      <c r="Z16" s="64">
        <f t="shared" si="34"/>
        <v>136036</v>
      </c>
      <c r="AA16" s="65">
        <f t="shared" si="6"/>
        <v>0</v>
      </c>
      <c r="AB16" s="292">
        <f t="shared" si="25"/>
        <v>0</v>
      </c>
      <c r="AC16" s="64">
        <f t="shared" ref="AC16:AE16" si="63">AC15</f>
        <v>1933</v>
      </c>
      <c r="AD16" s="45">
        <f t="shared" si="7"/>
        <v>0</v>
      </c>
      <c r="AE16" s="64">
        <f t="shared" si="63"/>
        <v>365210.2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4">AN15</f>
        <v>67</v>
      </c>
      <c r="AO16" s="328">
        <f t="shared" si="20"/>
        <v>2010.0000000000002</v>
      </c>
      <c r="AP16" s="64">
        <f t="shared" si="64"/>
        <v>70</v>
      </c>
      <c r="AQ16" s="328">
        <f t="shared" si="21"/>
        <v>2100</v>
      </c>
      <c r="AR16" s="64">
        <f t="shared" ref="AR16" si="65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ref="B17:B35" si="66">B16</f>
        <v>242.4</v>
      </c>
      <c r="C17" s="64">
        <f t="shared" ref="C17:C35" si="67">C16</f>
        <v>248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2107</v>
      </c>
      <c r="L17" s="52">
        <f t="shared" si="2"/>
        <v>0</v>
      </c>
      <c r="M17" s="64">
        <f t="shared" si="32"/>
        <v>154592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68">Q16</f>
        <v>155805</v>
      </c>
      <c r="R17" s="405">
        <f t="shared" si="44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2419</v>
      </c>
      <c r="Y17" s="52">
        <f t="shared" si="15"/>
        <v>0</v>
      </c>
      <c r="Z17" s="64">
        <f t="shared" si="34"/>
        <v>136036</v>
      </c>
      <c r="AA17" s="65">
        <f t="shared" si="6"/>
        <v>0</v>
      </c>
      <c r="AB17" s="292">
        <f t="shared" si="25"/>
        <v>0</v>
      </c>
      <c r="AC17" s="64">
        <f t="shared" ref="AC17:AE17" si="69">AC16</f>
        <v>1933</v>
      </c>
      <c r="AD17" s="45">
        <f t="shared" si="7"/>
        <v>0</v>
      </c>
      <c r="AE17" s="64">
        <f t="shared" si="69"/>
        <v>365210.2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0">AN16</f>
        <v>67</v>
      </c>
      <c r="AO17" s="328">
        <f t="shared" si="20"/>
        <v>2010.0000000000002</v>
      </c>
      <c r="AP17" s="64">
        <f t="shared" si="70"/>
        <v>70</v>
      </c>
      <c r="AQ17" s="328">
        <f t="shared" si="21"/>
        <v>2100</v>
      </c>
      <c r="AR17" s="64">
        <f t="shared" ref="AR17" si="71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v>238</v>
      </c>
      <c r="C18" s="64">
        <v>244.5</v>
      </c>
      <c r="D18" s="45">
        <f t="shared" si="23"/>
        <v>3.5</v>
      </c>
      <c r="E18" s="45">
        <f t="shared" si="9"/>
        <v>29.330000000000002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2107</v>
      </c>
      <c r="L18" s="52">
        <f t="shared" si="2"/>
        <v>0</v>
      </c>
      <c r="M18" s="64">
        <f t="shared" si="32"/>
        <v>154592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2">Q17</f>
        <v>155805</v>
      </c>
      <c r="R18" s="405">
        <f t="shared" si="44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2419</v>
      </c>
      <c r="Y18" s="52">
        <f t="shared" si="15"/>
        <v>0</v>
      </c>
      <c r="Z18" s="64">
        <f t="shared" si="34"/>
        <v>136036</v>
      </c>
      <c r="AA18" s="65">
        <f t="shared" si="6"/>
        <v>0</v>
      </c>
      <c r="AB18" s="292">
        <f t="shared" ref="AB18:AB23" si="73">SUM(Y18*$AB$2)</f>
        <v>0</v>
      </c>
      <c r="AC18" s="64">
        <f t="shared" ref="AC18:AE18" si="74">AC17</f>
        <v>1933</v>
      </c>
      <c r="AD18" s="45">
        <f t="shared" si="7"/>
        <v>0</v>
      </c>
      <c r="AE18" s="64">
        <f t="shared" si="74"/>
        <v>365210.2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5">AN17</f>
        <v>67</v>
      </c>
      <c r="AO18" s="328">
        <f t="shared" si="20"/>
        <v>2010.0000000000002</v>
      </c>
      <c r="AP18" s="64">
        <f t="shared" si="75"/>
        <v>70</v>
      </c>
      <c r="AQ18" s="328">
        <f t="shared" si="21"/>
        <v>2100</v>
      </c>
      <c r="AR18" s="64">
        <f t="shared" ref="AR18" si="76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v>235</v>
      </c>
      <c r="C19" s="64">
        <v>241.2</v>
      </c>
      <c r="D19" s="45">
        <f t="shared" si="23"/>
        <v>3.3000000000000114</v>
      </c>
      <c r="E19" s="45">
        <f t="shared" si="9"/>
        <v>27.654000000000099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2107</v>
      </c>
      <c r="L19" s="52">
        <f t="shared" si="2"/>
        <v>0</v>
      </c>
      <c r="M19" s="64">
        <f t="shared" si="32"/>
        <v>154592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77">Q18</f>
        <v>155805</v>
      </c>
      <c r="R19" s="405">
        <f t="shared" si="44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2419</v>
      </c>
      <c r="Y19" s="52">
        <f t="shared" si="15"/>
        <v>0</v>
      </c>
      <c r="Z19" s="64">
        <f t="shared" si="34"/>
        <v>136036</v>
      </c>
      <c r="AA19" s="65">
        <f t="shared" si="6"/>
        <v>0</v>
      </c>
      <c r="AB19" s="292">
        <f t="shared" si="73"/>
        <v>0</v>
      </c>
      <c r="AC19" s="64">
        <f t="shared" ref="AC19:AE19" si="78">AC18</f>
        <v>1933</v>
      </c>
      <c r="AD19" s="45">
        <f t="shared" si="7"/>
        <v>0</v>
      </c>
      <c r="AE19" s="64">
        <f t="shared" si="78"/>
        <v>365210.2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79">AN18</f>
        <v>67</v>
      </c>
      <c r="AO19" s="328">
        <f t="shared" si="20"/>
        <v>2010.0000000000002</v>
      </c>
      <c r="AP19" s="64">
        <f t="shared" si="79"/>
        <v>70</v>
      </c>
      <c r="AQ19" s="328">
        <f t="shared" si="21"/>
        <v>2100</v>
      </c>
      <c r="AR19" s="64">
        <f t="shared" ref="AR19" si="80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v>234.4</v>
      </c>
      <c r="C20" s="64">
        <v>240.1</v>
      </c>
      <c r="D20" s="45">
        <f>C19-C20</f>
        <v>1.0999999999999943</v>
      </c>
      <c r="E20" s="45">
        <f t="shared" si="9"/>
        <v>9.2179999999999538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2107</v>
      </c>
      <c r="L20" s="52">
        <f t="shared" si="2"/>
        <v>0</v>
      </c>
      <c r="M20" s="64">
        <f t="shared" si="32"/>
        <v>154592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1">Q19</f>
        <v>155805</v>
      </c>
      <c r="R20" s="405">
        <f t="shared" si="44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2419</v>
      </c>
      <c r="Y20" s="52">
        <f t="shared" si="15"/>
        <v>0</v>
      </c>
      <c r="Z20" s="64">
        <f t="shared" si="34"/>
        <v>136036</v>
      </c>
      <c r="AA20" s="65">
        <f t="shared" si="6"/>
        <v>0</v>
      </c>
      <c r="AB20" s="292">
        <f t="shared" si="73"/>
        <v>0</v>
      </c>
      <c r="AC20" s="64">
        <f t="shared" ref="AC20:AE20" si="82">AC19</f>
        <v>1933</v>
      </c>
      <c r="AD20" s="45">
        <f t="shared" si="7"/>
        <v>0</v>
      </c>
      <c r="AE20" s="64">
        <f t="shared" si="82"/>
        <v>365210.2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3">AN19</f>
        <v>67</v>
      </c>
      <c r="AO20" s="328">
        <f t="shared" si="20"/>
        <v>2010.0000000000002</v>
      </c>
      <c r="AP20" s="64">
        <f t="shared" si="83"/>
        <v>70</v>
      </c>
      <c r="AQ20" s="328">
        <f t="shared" si="21"/>
        <v>2100</v>
      </c>
      <c r="AR20" s="64">
        <f t="shared" ref="AR20" si="84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v>232</v>
      </c>
      <c r="B21" s="64">
        <v>232</v>
      </c>
      <c r="C21" s="64">
        <v>238.1</v>
      </c>
      <c r="D21" s="45">
        <f t="shared" ref="D21:D31" si="85">C20-C21</f>
        <v>2</v>
      </c>
      <c r="E21" s="45">
        <f t="shared" si="9"/>
        <v>16.760000000000002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2107</v>
      </c>
      <c r="L21" s="52">
        <f t="shared" si="2"/>
        <v>0</v>
      </c>
      <c r="M21" s="64">
        <f t="shared" si="32"/>
        <v>154592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6">Q20</f>
        <v>155805</v>
      </c>
      <c r="R21" s="405">
        <f t="shared" si="44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2419</v>
      </c>
      <c r="Y21" s="52">
        <f t="shared" si="15"/>
        <v>0</v>
      </c>
      <c r="Z21" s="64">
        <f t="shared" si="34"/>
        <v>136036</v>
      </c>
      <c r="AA21" s="65">
        <f t="shared" si="6"/>
        <v>0</v>
      </c>
      <c r="AB21" s="292">
        <f t="shared" si="73"/>
        <v>0</v>
      </c>
      <c r="AC21" s="64">
        <f t="shared" ref="AC21:AE21" si="87">AC20</f>
        <v>1933</v>
      </c>
      <c r="AD21" s="45">
        <f t="shared" si="7"/>
        <v>0</v>
      </c>
      <c r="AE21" s="64">
        <f t="shared" si="87"/>
        <v>365210.2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88">S21+L21+G21</f>
        <v>0</v>
      </c>
      <c r="AM21" s="326">
        <f t="shared" si="19"/>
        <v>0</v>
      </c>
      <c r="AN21" s="64">
        <f t="shared" ref="AN21:AP21" si="89">AN20</f>
        <v>67</v>
      </c>
      <c r="AO21" s="328">
        <f t="shared" si="20"/>
        <v>2010.0000000000002</v>
      </c>
      <c r="AP21" s="64">
        <f t="shared" si="89"/>
        <v>70</v>
      </c>
      <c r="AQ21" s="328">
        <f t="shared" si="21"/>
        <v>2100</v>
      </c>
      <c r="AR21" s="64">
        <f t="shared" ref="AR21" si="90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v>230</v>
      </c>
      <c r="C22" s="64">
        <v>236</v>
      </c>
      <c r="D22" s="45">
        <f t="shared" si="85"/>
        <v>2.0999999999999943</v>
      </c>
      <c r="E22" s="45">
        <f t="shared" si="9"/>
        <v>17.597999999999953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v>2108</v>
      </c>
      <c r="L22" s="52">
        <f t="shared" si="2"/>
        <v>1</v>
      </c>
      <c r="M22" s="64">
        <v>154682</v>
      </c>
      <c r="N22" s="406">
        <f t="shared" si="3"/>
        <v>90</v>
      </c>
      <c r="O22" s="64">
        <f t="shared" si="11"/>
        <v>211.87499999999994</v>
      </c>
      <c r="P22" s="64">
        <v>1837</v>
      </c>
      <c r="Q22" s="64">
        <v>155926</v>
      </c>
      <c r="R22" s="405">
        <f t="shared" si="44"/>
        <v>121</v>
      </c>
      <c r="S22" s="52">
        <f t="shared" si="5"/>
        <v>2</v>
      </c>
      <c r="T22" s="67">
        <f t="shared" si="24"/>
        <v>0</v>
      </c>
      <c r="U22" s="412">
        <f t="shared" si="12"/>
        <v>3</v>
      </c>
      <c r="V22" s="62">
        <f t="shared" si="13"/>
        <v>211</v>
      </c>
      <c r="W22" s="410"/>
      <c r="X22" s="64">
        <v>2424</v>
      </c>
      <c r="Y22" s="52">
        <f t="shared" si="15"/>
        <v>5</v>
      </c>
      <c r="Z22" s="64">
        <v>136280</v>
      </c>
      <c r="AA22" s="65">
        <f t="shared" si="6"/>
        <v>244</v>
      </c>
      <c r="AB22" s="292">
        <f t="shared" si="73"/>
        <v>0</v>
      </c>
      <c r="AC22" s="64">
        <f t="shared" ref="AC22:AE22" si="91">AC21</f>
        <v>1933</v>
      </c>
      <c r="AD22" s="45">
        <f t="shared" si="7"/>
        <v>0</v>
      </c>
      <c r="AE22" s="64">
        <f t="shared" si="91"/>
        <v>365210.2</v>
      </c>
      <c r="AF22" s="314">
        <f t="shared" si="16"/>
        <v>0</v>
      </c>
      <c r="AG22" s="212">
        <f t="shared" si="26"/>
        <v>0</v>
      </c>
      <c r="AH22" s="62">
        <f t="shared" si="27"/>
        <v>244</v>
      </c>
      <c r="AI22" s="326">
        <f t="shared" si="17"/>
        <v>455</v>
      </c>
      <c r="AJ22" s="326">
        <f>-tanks!AW23</f>
        <v>455</v>
      </c>
      <c r="AK22" s="326">
        <f t="shared" si="18"/>
        <v>0</v>
      </c>
      <c r="AL22" s="326">
        <f t="shared" si="88"/>
        <v>3</v>
      </c>
      <c r="AM22" s="326">
        <f t="shared" si="19"/>
        <v>5</v>
      </c>
      <c r="AN22" s="64">
        <f t="shared" ref="AN22:AP22" si="92">AN21</f>
        <v>67</v>
      </c>
      <c r="AO22" s="328">
        <f t="shared" si="20"/>
        <v>2010.0000000000002</v>
      </c>
      <c r="AP22" s="64">
        <f t="shared" si="92"/>
        <v>70</v>
      </c>
      <c r="AQ22" s="328">
        <f t="shared" si="21"/>
        <v>2100</v>
      </c>
      <c r="AR22" s="64">
        <f t="shared" ref="AR22" si="93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v>226</v>
      </c>
      <c r="C23" s="64">
        <v>232</v>
      </c>
      <c r="D23" s="45">
        <f t="shared" si="85"/>
        <v>4</v>
      </c>
      <c r="E23" s="45">
        <f t="shared" si="9"/>
        <v>33.520000000000003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2108</v>
      </c>
      <c r="L23" s="52">
        <f t="shared" si="2"/>
        <v>0</v>
      </c>
      <c r="M23" s="64">
        <f t="shared" si="32"/>
        <v>154682</v>
      </c>
      <c r="N23" s="406">
        <f t="shared" si="3"/>
        <v>0</v>
      </c>
      <c r="O23" s="64">
        <f t="shared" si="11"/>
        <v>211.87499999999994</v>
      </c>
      <c r="P23" s="64">
        <f t="shared" si="11"/>
        <v>1837</v>
      </c>
      <c r="Q23" s="64">
        <f t="shared" ref="Q23" si="94">Q22</f>
        <v>155926</v>
      </c>
      <c r="R23" s="405">
        <f t="shared" si="44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00">
        <v>2429</v>
      </c>
      <c r="Y23" s="52">
        <f t="shared" si="15"/>
        <v>5</v>
      </c>
      <c r="Z23" s="600">
        <v>136571</v>
      </c>
      <c r="AA23" s="65">
        <f t="shared" si="6"/>
        <v>291</v>
      </c>
      <c r="AB23" s="292">
        <f t="shared" si="73"/>
        <v>0</v>
      </c>
      <c r="AC23" s="64">
        <f t="shared" ref="AC23:AE23" si="95">AC22</f>
        <v>1933</v>
      </c>
      <c r="AD23" s="45">
        <f t="shared" si="7"/>
        <v>0</v>
      </c>
      <c r="AE23" s="64">
        <f t="shared" si="95"/>
        <v>365210.2</v>
      </c>
      <c r="AF23" s="314">
        <f t="shared" si="16"/>
        <v>0</v>
      </c>
      <c r="AG23" s="212">
        <f t="shared" si="26"/>
        <v>0</v>
      </c>
      <c r="AH23" s="62">
        <f t="shared" si="27"/>
        <v>291</v>
      </c>
      <c r="AI23" s="326">
        <f t="shared" si="17"/>
        <v>291</v>
      </c>
      <c r="AJ23" s="326">
        <f>-tanks!AW24</f>
        <v>291</v>
      </c>
      <c r="AK23" s="326">
        <f t="shared" si="18"/>
        <v>0</v>
      </c>
      <c r="AL23" s="326">
        <f t="shared" si="88"/>
        <v>0</v>
      </c>
      <c r="AM23" s="326">
        <f t="shared" si="19"/>
        <v>5</v>
      </c>
      <c r="AN23" s="64">
        <f t="shared" ref="AN23:AP23" si="96">AN22</f>
        <v>67</v>
      </c>
      <c r="AO23" s="328">
        <f t="shared" si="20"/>
        <v>2010.0000000000002</v>
      </c>
      <c r="AP23" s="64">
        <f t="shared" si="96"/>
        <v>70</v>
      </c>
      <c r="AQ23" s="328">
        <f t="shared" si="21"/>
        <v>2100</v>
      </c>
      <c r="AR23" s="64">
        <f t="shared" ref="AR23" si="97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v>224</v>
      </c>
      <c r="C24" s="64">
        <v>230</v>
      </c>
      <c r="D24" s="45">
        <f t="shared" si="85"/>
        <v>2</v>
      </c>
      <c r="E24" s="45">
        <f t="shared" si="9"/>
        <v>16.760000000000002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2108</v>
      </c>
      <c r="L24" s="52">
        <f t="shared" si="2"/>
        <v>0</v>
      </c>
      <c r="M24" s="64">
        <f t="shared" si="32"/>
        <v>154682</v>
      </c>
      <c r="N24" s="406">
        <f t="shared" si="3"/>
        <v>0</v>
      </c>
      <c r="O24" s="64">
        <f t="shared" si="11"/>
        <v>211.87499999999994</v>
      </c>
      <c r="P24" s="64">
        <f t="shared" si="11"/>
        <v>1837</v>
      </c>
      <c r="Q24" s="64">
        <f t="shared" ref="Q24" si="98">Q23</f>
        <v>155926</v>
      </c>
      <c r="R24" s="405">
        <f t="shared" si="44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2429</v>
      </c>
      <c r="Y24" s="52">
        <f t="shared" si="15"/>
        <v>0</v>
      </c>
      <c r="Z24" s="64">
        <f t="shared" si="34"/>
        <v>136571</v>
      </c>
      <c r="AA24" s="65">
        <f t="shared" si="6"/>
        <v>0</v>
      </c>
      <c r="AB24" s="292">
        <f t="shared" ref="AB24:AB34" si="99">SUM(Y24*$AB$2)</f>
        <v>0</v>
      </c>
      <c r="AC24" s="64">
        <f t="shared" ref="AC24:AE24" si="100">AC23</f>
        <v>1933</v>
      </c>
      <c r="AD24" s="45">
        <f t="shared" si="7"/>
        <v>0</v>
      </c>
      <c r="AE24" s="64">
        <f t="shared" si="100"/>
        <v>365210.2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88"/>
        <v>0</v>
      </c>
      <c r="AM24" s="326">
        <f t="shared" si="19"/>
        <v>0</v>
      </c>
      <c r="AN24" s="64">
        <f t="shared" ref="AN24:AP24" si="101">AN23</f>
        <v>67</v>
      </c>
      <c r="AO24" s="328">
        <f t="shared" si="20"/>
        <v>2010.0000000000002</v>
      </c>
      <c r="AP24" s="64">
        <f t="shared" si="101"/>
        <v>70</v>
      </c>
      <c r="AQ24" s="328">
        <f t="shared" si="21"/>
        <v>2100</v>
      </c>
      <c r="AR24" s="64">
        <f t="shared" ref="AR24" si="102">AR23</f>
        <v>70</v>
      </c>
      <c r="AS24" s="328">
        <f t="shared" si="28"/>
        <v>2100</v>
      </c>
      <c r="AT24" s="328">
        <f t="shared" ref="AT24:AT34" si="103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v>221</v>
      </c>
      <c r="C25" s="64">
        <v>227</v>
      </c>
      <c r="D25" s="45">
        <f t="shared" si="85"/>
        <v>3</v>
      </c>
      <c r="E25" s="45">
        <f t="shared" si="9"/>
        <v>25.14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2108</v>
      </c>
      <c r="L25" s="52">
        <f t="shared" si="2"/>
        <v>0</v>
      </c>
      <c r="M25" s="64">
        <f t="shared" si="32"/>
        <v>154682</v>
      </c>
      <c r="N25" s="406">
        <f t="shared" si="3"/>
        <v>0</v>
      </c>
      <c r="O25" s="64">
        <f t="shared" si="11"/>
        <v>211.87499999999994</v>
      </c>
      <c r="P25" s="64">
        <f t="shared" si="11"/>
        <v>1837</v>
      </c>
      <c r="Q25" s="64">
        <f t="shared" ref="Q25" si="104">Q24</f>
        <v>155926</v>
      </c>
      <c r="R25" s="405">
        <f t="shared" si="44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2429</v>
      </c>
      <c r="Y25" s="52">
        <f t="shared" si="15"/>
        <v>0</v>
      </c>
      <c r="Z25" s="64">
        <f t="shared" si="34"/>
        <v>136571</v>
      </c>
      <c r="AA25" s="65">
        <f t="shared" si="6"/>
        <v>0</v>
      </c>
      <c r="AB25" s="292">
        <f t="shared" si="99"/>
        <v>0</v>
      </c>
      <c r="AC25" s="64">
        <f t="shared" ref="AC25:AE25" si="105">AC24</f>
        <v>1933</v>
      </c>
      <c r="AD25" s="45">
        <f t="shared" si="7"/>
        <v>0</v>
      </c>
      <c r="AE25" s="64">
        <f t="shared" si="105"/>
        <v>365210.2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88"/>
        <v>0</v>
      </c>
      <c r="AM25" s="326">
        <f t="shared" si="19"/>
        <v>0</v>
      </c>
      <c r="AN25" s="64">
        <v>65</v>
      </c>
      <c r="AO25" s="328">
        <f t="shared" si="20"/>
        <v>1950</v>
      </c>
      <c r="AP25" s="64">
        <f t="shared" ref="AP25" si="106">AP24</f>
        <v>70</v>
      </c>
      <c r="AQ25" s="328">
        <f t="shared" ref="AQ25:AQ34" si="107">(AP25/100)*3000</f>
        <v>2100</v>
      </c>
      <c r="AR25" s="64">
        <f t="shared" ref="AR25" si="108">AR24</f>
        <v>70</v>
      </c>
      <c r="AS25" s="328">
        <f t="shared" si="28"/>
        <v>2100</v>
      </c>
      <c r="AT25" s="328">
        <f t="shared" si="103"/>
        <v>6150</v>
      </c>
      <c r="AU25" s="328">
        <f t="shared" si="30"/>
        <v>60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v>220</v>
      </c>
      <c r="C26" s="64">
        <v>226.5</v>
      </c>
      <c r="D26" s="45">
        <f t="shared" si="85"/>
        <v>0.5</v>
      </c>
      <c r="E26" s="45">
        <f t="shared" si="9"/>
        <v>4.1900000000000004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2108</v>
      </c>
      <c r="L26" s="52">
        <f t="shared" si="2"/>
        <v>0</v>
      </c>
      <c r="M26" s="64">
        <f t="shared" si="32"/>
        <v>154682</v>
      </c>
      <c r="N26" s="406">
        <f t="shared" si="3"/>
        <v>0</v>
      </c>
      <c r="O26" s="64">
        <f t="shared" si="11"/>
        <v>211.87499999999994</v>
      </c>
      <c r="P26" s="64">
        <f t="shared" si="11"/>
        <v>1837</v>
      </c>
      <c r="Q26" s="64">
        <f t="shared" ref="Q26" si="109">Q25</f>
        <v>155926</v>
      </c>
      <c r="R26" s="405">
        <f t="shared" si="44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2429</v>
      </c>
      <c r="Y26" s="52">
        <f t="shared" si="15"/>
        <v>0</v>
      </c>
      <c r="Z26" s="64">
        <f t="shared" si="34"/>
        <v>136571</v>
      </c>
      <c r="AA26" s="65">
        <f t="shared" si="6"/>
        <v>0</v>
      </c>
      <c r="AB26" s="292">
        <f t="shared" si="99"/>
        <v>0</v>
      </c>
      <c r="AC26" s="64">
        <f t="shared" ref="AC26:AE26" si="110">AC25</f>
        <v>1933</v>
      </c>
      <c r="AD26" s="45">
        <f t="shared" si="7"/>
        <v>0</v>
      </c>
      <c r="AE26" s="64">
        <f t="shared" si="110"/>
        <v>365210.2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88"/>
        <v>0</v>
      </c>
      <c r="AM26" s="326">
        <f t="shared" si="19"/>
        <v>0</v>
      </c>
      <c r="AN26" s="64">
        <f t="shared" ref="AN26:AP26" si="111">AN25</f>
        <v>65</v>
      </c>
      <c r="AO26" s="328">
        <f t="shared" si="20"/>
        <v>1950</v>
      </c>
      <c r="AP26" s="64">
        <f t="shared" si="111"/>
        <v>70</v>
      </c>
      <c r="AQ26" s="328">
        <f t="shared" si="107"/>
        <v>2100</v>
      </c>
      <c r="AR26" s="64">
        <f t="shared" ref="AR26" si="112">AR25</f>
        <v>70</v>
      </c>
      <c r="AS26" s="328">
        <f t="shared" si="28"/>
        <v>2100</v>
      </c>
      <c r="AT26" s="328">
        <f t="shared" si="103"/>
        <v>6150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603">
        <v>219</v>
      </c>
      <c r="C27" s="603">
        <v>225</v>
      </c>
      <c r="D27" s="45">
        <f t="shared" si="85"/>
        <v>1.5</v>
      </c>
      <c r="E27" s="45">
        <f t="shared" si="9"/>
        <v>12.57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2108</v>
      </c>
      <c r="L27" s="52">
        <f t="shared" si="2"/>
        <v>0</v>
      </c>
      <c r="M27" s="64">
        <f t="shared" si="32"/>
        <v>154682</v>
      </c>
      <c r="N27" s="406">
        <f t="shared" si="3"/>
        <v>0</v>
      </c>
      <c r="O27" s="64">
        <f t="shared" si="11"/>
        <v>211.87499999999994</v>
      </c>
      <c r="P27" s="64">
        <f t="shared" si="11"/>
        <v>1837</v>
      </c>
      <c r="Q27" s="64">
        <f t="shared" ref="Q27" si="113">Q26</f>
        <v>155926</v>
      </c>
      <c r="R27" s="405">
        <f t="shared" si="44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00">
        <v>2435</v>
      </c>
      <c r="Y27" s="52">
        <f t="shared" si="15"/>
        <v>6</v>
      </c>
      <c r="Z27" s="600">
        <v>136853</v>
      </c>
      <c r="AA27" s="65">
        <f t="shared" si="6"/>
        <v>282</v>
      </c>
      <c r="AB27" s="292">
        <f t="shared" si="99"/>
        <v>0</v>
      </c>
      <c r="AC27" s="64">
        <f t="shared" ref="AC27:AE27" si="114">AC26</f>
        <v>1933</v>
      </c>
      <c r="AD27" s="45">
        <f t="shared" si="7"/>
        <v>0</v>
      </c>
      <c r="AE27" s="64">
        <f t="shared" si="114"/>
        <v>365210.2</v>
      </c>
      <c r="AF27" s="314">
        <f t="shared" si="16"/>
        <v>0</v>
      </c>
      <c r="AG27" s="212">
        <f t="shared" si="26"/>
        <v>0</v>
      </c>
      <c r="AH27" s="62">
        <f t="shared" si="27"/>
        <v>282</v>
      </c>
      <c r="AI27" s="326">
        <f t="shared" si="17"/>
        <v>282</v>
      </c>
      <c r="AJ27" s="326">
        <f>-tanks!AW28</f>
        <v>282</v>
      </c>
      <c r="AK27" s="326">
        <f t="shared" si="18"/>
        <v>0</v>
      </c>
      <c r="AL27" s="326">
        <f t="shared" si="88"/>
        <v>0</v>
      </c>
      <c r="AM27" s="326">
        <f t="shared" si="19"/>
        <v>6</v>
      </c>
      <c r="AN27" s="64">
        <v>64</v>
      </c>
      <c r="AO27" s="328">
        <f>(AN27/100)*3000</f>
        <v>1920</v>
      </c>
      <c r="AP27" s="64">
        <f t="shared" ref="AP27" si="115">AP26</f>
        <v>70</v>
      </c>
      <c r="AQ27" s="328">
        <f t="shared" si="107"/>
        <v>2100</v>
      </c>
      <c r="AR27" s="64">
        <f t="shared" ref="AR27" si="116">AR26</f>
        <v>70</v>
      </c>
      <c r="AS27" s="328">
        <f t="shared" si="28"/>
        <v>2100</v>
      </c>
      <c r="AT27" s="328">
        <f t="shared" si="103"/>
        <v>6120</v>
      </c>
      <c r="AU27" s="328">
        <f t="shared" si="30"/>
        <v>30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603">
        <v>217</v>
      </c>
      <c r="C28" s="603">
        <v>223</v>
      </c>
      <c r="D28" s="45">
        <f t="shared" si="85"/>
        <v>2</v>
      </c>
      <c r="E28" s="45">
        <f t="shared" si="9"/>
        <v>16.760000000000002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2108</v>
      </c>
      <c r="L28" s="52">
        <f t="shared" si="2"/>
        <v>0</v>
      </c>
      <c r="M28" s="64">
        <f t="shared" si="32"/>
        <v>154682</v>
      </c>
      <c r="N28" s="406">
        <f t="shared" si="3"/>
        <v>0</v>
      </c>
      <c r="O28" s="64">
        <f t="shared" si="11"/>
        <v>211.87499999999994</v>
      </c>
      <c r="P28" s="64">
        <f t="shared" si="11"/>
        <v>1837</v>
      </c>
      <c r="Q28" s="64">
        <f t="shared" ref="Q28" si="117">Q27</f>
        <v>155926</v>
      </c>
      <c r="R28" s="405">
        <f t="shared" si="44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00">
        <v>2435</v>
      </c>
      <c r="Y28" s="52">
        <f t="shared" si="15"/>
        <v>0</v>
      </c>
      <c r="Z28" s="600">
        <v>136853</v>
      </c>
      <c r="AA28" s="65">
        <f t="shared" si="6"/>
        <v>0</v>
      </c>
      <c r="AB28" s="292">
        <f t="shared" si="99"/>
        <v>0</v>
      </c>
      <c r="AC28" s="64">
        <f t="shared" ref="AC28:AE28" si="118">AC27</f>
        <v>1933</v>
      </c>
      <c r="AD28" s="45">
        <f t="shared" si="7"/>
        <v>0</v>
      </c>
      <c r="AE28" s="64">
        <f t="shared" si="118"/>
        <v>365210.2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88"/>
        <v>0</v>
      </c>
      <c r="AM28" s="326">
        <f t="shared" si="19"/>
        <v>0</v>
      </c>
      <c r="AN28" s="64">
        <f t="shared" ref="AN28:AP28" si="119">AN27</f>
        <v>64</v>
      </c>
      <c r="AO28" s="328">
        <f t="shared" ref="AO28:AO34" si="120">(AN28/100)*3000</f>
        <v>1920</v>
      </c>
      <c r="AP28" s="64">
        <f t="shared" si="119"/>
        <v>70</v>
      </c>
      <c r="AQ28" s="328">
        <f t="shared" si="107"/>
        <v>2100</v>
      </c>
      <c r="AR28" s="64">
        <f t="shared" ref="AR28" si="121">AR27</f>
        <v>70</v>
      </c>
      <c r="AS28" s="328">
        <f t="shared" si="28"/>
        <v>2100</v>
      </c>
      <c r="AT28" s="328">
        <f t="shared" si="103"/>
        <v>6120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v>215</v>
      </c>
      <c r="C29" s="64">
        <v>221</v>
      </c>
      <c r="D29" s="45">
        <f t="shared" si="85"/>
        <v>2</v>
      </c>
      <c r="E29" s="45">
        <f t="shared" si="9"/>
        <v>16.760000000000002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2108</v>
      </c>
      <c r="L29" s="52">
        <f t="shared" si="2"/>
        <v>0</v>
      </c>
      <c r="M29" s="64">
        <f t="shared" si="32"/>
        <v>154682</v>
      </c>
      <c r="N29" s="406">
        <f t="shared" si="3"/>
        <v>0</v>
      </c>
      <c r="O29" s="64">
        <f t="shared" si="11"/>
        <v>211.87499999999994</v>
      </c>
      <c r="P29" s="64">
        <f t="shared" si="11"/>
        <v>1837</v>
      </c>
      <c r="Q29" s="64">
        <f t="shared" ref="Q29" si="122">Q28</f>
        <v>155926</v>
      </c>
      <c r="R29" s="405">
        <f t="shared" si="44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2435</v>
      </c>
      <c r="Y29" s="52">
        <f t="shared" si="15"/>
        <v>0</v>
      </c>
      <c r="Z29" s="64">
        <f t="shared" si="34"/>
        <v>136853</v>
      </c>
      <c r="AA29" s="65">
        <f t="shared" si="6"/>
        <v>0</v>
      </c>
      <c r="AB29" s="292">
        <f t="shared" si="99"/>
        <v>0</v>
      </c>
      <c r="AC29" s="64">
        <f t="shared" ref="AC29:AE29" si="123">AC28</f>
        <v>1933</v>
      </c>
      <c r="AD29" s="45">
        <f t="shared" si="7"/>
        <v>0</v>
      </c>
      <c r="AE29" s="64">
        <f t="shared" si="123"/>
        <v>365210.2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88"/>
        <v>0</v>
      </c>
      <c r="AM29" s="326">
        <f t="shared" si="19"/>
        <v>0</v>
      </c>
      <c r="AN29" s="64">
        <v>63</v>
      </c>
      <c r="AO29" s="328">
        <f t="shared" si="120"/>
        <v>1890</v>
      </c>
      <c r="AP29" s="64">
        <v>69</v>
      </c>
      <c r="AQ29" s="328">
        <f t="shared" si="107"/>
        <v>2070</v>
      </c>
      <c r="AR29" s="64">
        <v>69</v>
      </c>
      <c r="AS29" s="328">
        <f t="shared" si="28"/>
        <v>2070</v>
      </c>
      <c r="AT29" s="328">
        <f>SUM(AO29+AQ29+AS29)</f>
        <v>6030</v>
      </c>
      <c r="AU29" s="328">
        <f>AT28-AT29+AV29</f>
        <v>90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v>212</v>
      </c>
      <c r="C30" s="64">
        <v>219</v>
      </c>
      <c r="D30" s="45">
        <f t="shared" si="85"/>
        <v>2</v>
      </c>
      <c r="E30" s="45">
        <f t="shared" si="9"/>
        <v>16.760000000000002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2108</v>
      </c>
      <c r="L30" s="52">
        <f t="shared" si="2"/>
        <v>0</v>
      </c>
      <c r="M30" s="64">
        <f t="shared" si="32"/>
        <v>154682</v>
      </c>
      <c r="N30" s="406">
        <f t="shared" si="3"/>
        <v>0</v>
      </c>
      <c r="O30" s="64">
        <f t="shared" si="11"/>
        <v>211.87499999999994</v>
      </c>
      <c r="P30" s="64">
        <f t="shared" si="11"/>
        <v>1837</v>
      </c>
      <c r="Q30" s="64">
        <f t="shared" ref="Q30" si="124">Q29</f>
        <v>155926</v>
      </c>
      <c r="R30" s="405">
        <f t="shared" si="44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2435</v>
      </c>
      <c r="Y30" s="52">
        <f t="shared" si="15"/>
        <v>0</v>
      </c>
      <c r="Z30" s="64">
        <f t="shared" si="34"/>
        <v>136853</v>
      </c>
      <c r="AA30" s="65">
        <f t="shared" si="6"/>
        <v>0</v>
      </c>
      <c r="AB30" s="292">
        <f t="shared" si="99"/>
        <v>0</v>
      </c>
      <c r="AC30" s="64">
        <f t="shared" ref="AC30:AE30" si="125">AC29</f>
        <v>1933</v>
      </c>
      <c r="AD30" s="45">
        <f t="shared" si="7"/>
        <v>0</v>
      </c>
      <c r="AE30" s="64">
        <f t="shared" si="125"/>
        <v>365210.2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88"/>
        <v>0</v>
      </c>
      <c r="AM30" s="326">
        <f t="shared" si="19"/>
        <v>0</v>
      </c>
      <c r="AN30" s="64">
        <f t="shared" ref="AN30:AP30" si="126">AN29</f>
        <v>63</v>
      </c>
      <c r="AO30" s="328">
        <f t="shared" si="120"/>
        <v>1890</v>
      </c>
      <c r="AP30" s="64">
        <f t="shared" si="126"/>
        <v>69</v>
      </c>
      <c r="AQ30" s="328">
        <f t="shared" si="107"/>
        <v>2070</v>
      </c>
      <c r="AR30" s="64">
        <f t="shared" ref="AR30" si="127">AR29</f>
        <v>69</v>
      </c>
      <c r="AS30" s="328">
        <f t="shared" si="28"/>
        <v>2070</v>
      </c>
      <c r="AT30" s="328">
        <f t="shared" si="103"/>
        <v>6030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v>211</v>
      </c>
      <c r="C31" s="64">
        <v>217</v>
      </c>
      <c r="D31" s="45">
        <f t="shared" si="85"/>
        <v>2</v>
      </c>
      <c r="E31" s="45">
        <f t="shared" si="9"/>
        <v>16.760000000000002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2108</v>
      </c>
      <c r="L31" s="52">
        <f t="shared" si="2"/>
        <v>0</v>
      </c>
      <c r="M31" s="64">
        <f t="shared" si="32"/>
        <v>154682</v>
      </c>
      <c r="N31" s="406">
        <f t="shared" si="3"/>
        <v>0</v>
      </c>
      <c r="O31" s="64">
        <f t="shared" si="11"/>
        <v>211.87499999999994</v>
      </c>
      <c r="P31" s="64">
        <f t="shared" si="11"/>
        <v>1837</v>
      </c>
      <c r="Q31" s="64">
        <f t="shared" ref="Q31" si="128">Q30</f>
        <v>155926</v>
      </c>
      <c r="R31" s="405">
        <f t="shared" si="44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2435</v>
      </c>
      <c r="Y31" s="52">
        <f t="shared" si="15"/>
        <v>0</v>
      </c>
      <c r="Z31" s="64">
        <f t="shared" si="34"/>
        <v>136853</v>
      </c>
      <c r="AA31" s="65">
        <f t="shared" si="6"/>
        <v>0</v>
      </c>
      <c r="AB31" s="292">
        <f t="shared" si="99"/>
        <v>0</v>
      </c>
      <c r="AC31" s="64">
        <f t="shared" ref="AC31:AE31" si="129">AC30</f>
        <v>1933</v>
      </c>
      <c r="AD31" s="275">
        <f t="shared" si="7"/>
        <v>0</v>
      </c>
      <c r="AE31" s="64">
        <f t="shared" si="129"/>
        <v>365210.2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88"/>
        <v>0</v>
      </c>
      <c r="AM31" s="326">
        <f t="shared" si="19"/>
        <v>0</v>
      </c>
      <c r="AN31" s="64">
        <f t="shared" ref="AN31:AP31" si="130">AN30</f>
        <v>63</v>
      </c>
      <c r="AO31" s="328">
        <f t="shared" si="120"/>
        <v>1890</v>
      </c>
      <c r="AP31" s="64">
        <f t="shared" si="130"/>
        <v>69</v>
      </c>
      <c r="AQ31" s="328">
        <f t="shared" si="107"/>
        <v>2070</v>
      </c>
      <c r="AR31" s="64">
        <f t="shared" ref="AR31" si="131">AR30</f>
        <v>69</v>
      </c>
      <c r="AS31" s="328">
        <f t="shared" si="28"/>
        <v>2070</v>
      </c>
      <c r="AT31" s="328">
        <f t="shared" si="103"/>
        <v>6030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v>247</v>
      </c>
      <c r="C32" s="64">
        <v>252</v>
      </c>
      <c r="D32" s="45">
        <f t="shared" si="23"/>
        <v>-35</v>
      </c>
      <c r="E32" s="45">
        <f t="shared" ref="E32:E34" si="132">D32*8.38</f>
        <v>-293.3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2108</v>
      </c>
      <c r="L32" s="52">
        <f t="shared" si="2"/>
        <v>0</v>
      </c>
      <c r="M32" s="64">
        <f t="shared" si="32"/>
        <v>154682</v>
      </c>
      <c r="N32" s="406">
        <f t="shared" si="3"/>
        <v>0</v>
      </c>
      <c r="O32" s="64">
        <f t="shared" si="11"/>
        <v>211.87499999999994</v>
      </c>
      <c r="P32" s="64">
        <f t="shared" si="11"/>
        <v>1837</v>
      </c>
      <c r="Q32" s="64">
        <f t="shared" ref="Q32" si="133">Q31</f>
        <v>155926</v>
      </c>
      <c r="R32" s="405">
        <f t="shared" si="44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2435</v>
      </c>
      <c r="Y32" s="52">
        <f t="shared" si="15"/>
        <v>0</v>
      </c>
      <c r="Z32" s="64">
        <f t="shared" si="34"/>
        <v>136853</v>
      </c>
      <c r="AA32" s="65">
        <f t="shared" si="6"/>
        <v>0</v>
      </c>
      <c r="AB32" s="292">
        <f t="shared" si="99"/>
        <v>0</v>
      </c>
      <c r="AC32" s="64">
        <f t="shared" ref="AC32:AE32" si="134">AC31</f>
        <v>1933</v>
      </c>
      <c r="AD32" s="275">
        <f t="shared" si="7"/>
        <v>0</v>
      </c>
      <c r="AE32" s="64">
        <f t="shared" si="134"/>
        <v>365210.2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88"/>
        <v>0</v>
      </c>
      <c r="AM32" s="326">
        <f t="shared" si="19"/>
        <v>0</v>
      </c>
      <c r="AN32" s="64">
        <v>63</v>
      </c>
      <c r="AO32" s="328">
        <f t="shared" si="120"/>
        <v>1890</v>
      </c>
      <c r="AP32" s="64">
        <f t="shared" ref="AP32" si="135">AP31</f>
        <v>69</v>
      </c>
      <c r="AQ32" s="328">
        <f t="shared" si="107"/>
        <v>2070</v>
      </c>
      <c r="AR32" s="64">
        <f t="shared" ref="AR32" si="136">AR31</f>
        <v>69</v>
      </c>
      <c r="AS32" s="328">
        <f t="shared" si="28"/>
        <v>2070</v>
      </c>
      <c r="AT32" s="328">
        <f t="shared" si="103"/>
        <v>6030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v>245</v>
      </c>
      <c r="C33" s="64">
        <v>251</v>
      </c>
      <c r="D33" s="45">
        <f t="shared" si="23"/>
        <v>1</v>
      </c>
      <c r="E33" s="45">
        <f t="shared" si="132"/>
        <v>8.3800000000000008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2108</v>
      </c>
      <c r="L33" s="52">
        <f t="shared" si="2"/>
        <v>0</v>
      </c>
      <c r="M33" s="64">
        <f t="shared" si="32"/>
        <v>154682</v>
      </c>
      <c r="N33" s="406">
        <f t="shared" si="3"/>
        <v>0</v>
      </c>
      <c r="O33" s="64">
        <f t="shared" si="11"/>
        <v>211.87499999999994</v>
      </c>
      <c r="P33" s="64">
        <f t="shared" si="11"/>
        <v>1837</v>
      </c>
      <c r="Q33" s="64">
        <f t="shared" ref="Q33" si="137">Q32</f>
        <v>155926</v>
      </c>
      <c r="R33" s="405">
        <f t="shared" si="44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2435</v>
      </c>
      <c r="Y33" s="52">
        <f t="shared" si="15"/>
        <v>0</v>
      </c>
      <c r="Z33" s="64">
        <f t="shared" si="34"/>
        <v>136853</v>
      </c>
      <c r="AA33" s="65">
        <f t="shared" si="6"/>
        <v>0</v>
      </c>
      <c r="AB33" s="292">
        <f t="shared" si="99"/>
        <v>0</v>
      </c>
      <c r="AC33" s="64">
        <f t="shared" ref="AC33:AE33" si="138">AC32</f>
        <v>1933</v>
      </c>
      <c r="AD33" s="45">
        <f t="shared" si="7"/>
        <v>0</v>
      </c>
      <c r="AE33" s="64">
        <f t="shared" si="138"/>
        <v>365210.2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88"/>
        <v>0</v>
      </c>
      <c r="AM33" s="326">
        <f t="shared" si="19"/>
        <v>0</v>
      </c>
      <c r="AN33" s="64">
        <f t="shared" ref="AN33:AP33" si="139">AN32</f>
        <v>63</v>
      </c>
      <c r="AO33" s="328">
        <f t="shared" si="120"/>
        <v>1890</v>
      </c>
      <c r="AP33" s="64">
        <f t="shared" si="139"/>
        <v>69</v>
      </c>
      <c r="AQ33" s="328">
        <f t="shared" si="107"/>
        <v>2070</v>
      </c>
      <c r="AR33" s="64">
        <f t="shared" ref="AR33" si="140">AR32</f>
        <v>69</v>
      </c>
      <c r="AS33" s="328">
        <f t="shared" si="28"/>
        <v>2070</v>
      </c>
      <c r="AT33" s="328">
        <f t="shared" si="103"/>
        <v>6030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66"/>
        <v>245</v>
      </c>
      <c r="C34" s="64">
        <f t="shared" si="67"/>
        <v>251</v>
      </c>
      <c r="D34" s="45">
        <f t="shared" si="23"/>
        <v>0</v>
      </c>
      <c r="E34" s="45">
        <f t="shared" si="132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2108</v>
      </c>
      <c r="L34" s="52">
        <f t="shared" si="2"/>
        <v>0</v>
      </c>
      <c r="M34" s="64">
        <f t="shared" si="32"/>
        <v>154682</v>
      </c>
      <c r="N34" s="406">
        <f t="shared" si="3"/>
        <v>0</v>
      </c>
      <c r="O34" s="64">
        <f t="shared" si="11"/>
        <v>211.87499999999994</v>
      </c>
      <c r="P34" s="64">
        <f t="shared" si="11"/>
        <v>1837</v>
      </c>
      <c r="Q34" s="64">
        <f t="shared" ref="Q34" si="141">Q33</f>
        <v>155926</v>
      </c>
      <c r="R34" s="405">
        <f t="shared" si="44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2435</v>
      </c>
      <c r="Y34" s="52">
        <f t="shared" si="15"/>
        <v>0</v>
      </c>
      <c r="Z34" s="64">
        <f t="shared" si="34"/>
        <v>136853</v>
      </c>
      <c r="AA34" s="65">
        <f t="shared" si="6"/>
        <v>0</v>
      </c>
      <c r="AB34" s="292">
        <f t="shared" si="99"/>
        <v>0</v>
      </c>
      <c r="AC34" s="64">
        <f t="shared" ref="AC34:AE34" si="142">AC33</f>
        <v>1933</v>
      </c>
      <c r="AD34" s="45">
        <f t="shared" si="7"/>
        <v>0</v>
      </c>
      <c r="AE34" s="64">
        <f t="shared" si="142"/>
        <v>365210.2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88"/>
        <v>0</v>
      </c>
      <c r="AM34" s="326">
        <f>Y34+AD34</f>
        <v>0</v>
      </c>
      <c r="AN34" s="64">
        <f t="shared" ref="AN34:AP34" si="143">AN33</f>
        <v>63</v>
      </c>
      <c r="AO34" s="328">
        <f t="shared" si="120"/>
        <v>1890</v>
      </c>
      <c r="AP34" s="64">
        <f t="shared" si="143"/>
        <v>69</v>
      </c>
      <c r="AQ34" s="328">
        <f t="shared" si="107"/>
        <v>2070</v>
      </c>
      <c r="AR34" s="64">
        <f t="shared" ref="AR34" si="144">AR33</f>
        <v>69</v>
      </c>
      <c r="AS34" s="328">
        <f t="shared" si="28"/>
        <v>2070</v>
      </c>
      <c r="AT34" s="328">
        <f t="shared" si="103"/>
        <v>6030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66"/>
        <v>245</v>
      </c>
      <c r="C35" s="64">
        <f t="shared" si="67"/>
        <v>251</v>
      </c>
      <c r="D35" s="45">
        <f t="shared" ref="D35" si="145">C34-C35</f>
        <v>0</v>
      </c>
      <c r="E35" s="45">
        <f t="shared" ref="E35" si="146">D35*8.38</f>
        <v>0</v>
      </c>
      <c r="F35" s="64">
        <f t="shared" si="31"/>
        <v>1648</v>
      </c>
      <c r="G35" s="52">
        <f t="shared" ref="G35" si="147">F35-F34</f>
        <v>0</v>
      </c>
      <c r="H35" s="64">
        <f t="shared" si="31"/>
        <v>357868</v>
      </c>
      <c r="I35" s="406">
        <f t="shared" ref="I35" si="148">SUM(H35-H34)</f>
        <v>0</v>
      </c>
      <c r="J35" s="66">
        <f t="shared" ref="J35" si="149">IF(G35&gt;0,I35/G35,0)</f>
        <v>0</v>
      </c>
      <c r="K35" s="64">
        <f t="shared" si="32"/>
        <v>2108</v>
      </c>
      <c r="L35" s="52">
        <f t="shared" ref="L35" si="150">K35-K34</f>
        <v>0</v>
      </c>
      <c r="M35" s="64">
        <f t="shared" si="32"/>
        <v>154682</v>
      </c>
      <c r="N35" s="406">
        <f t="shared" ref="N35" si="151">M35-M34</f>
        <v>0</v>
      </c>
      <c r="O35" s="64">
        <f t="shared" si="11"/>
        <v>211.87499999999994</v>
      </c>
      <c r="P35" s="64">
        <f t="shared" si="11"/>
        <v>1837</v>
      </c>
      <c r="Q35" s="64">
        <f t="shared" ref="Q35" si="152">Q34</f>
        <v>155926</v>
      </c>
      <c r="R35" s="405">
        <f t="shared" ref="R35" si="153">Q35-Q34</f>
        <v>0</v>
      </c>
      <c r="S35" s="52">
        <f t="shared" ref="S35" si="154">SUM(P35-P34)</f>
        <v>0</v>
      </c>
      <c r="T35" s="67">
        <f t="shared" ref="T35" si="155">SUM(S35*$T$2)</f>
        <v>0</v>
      </c>
      <c r="U35" s="412">
        <f t="shared" ref="U35" si="156">SUM(G35+L35+S35)</f>
        <v>0</v>
      </c>
      <c r="V35" s="62">
        <f t="shared" ref="V35" si="157">R35+N35+I35:I35</f>
        <v>0</v>
      </c>
      <c r="W35" s="410"/>
      <c r="X35" s="64">
        <f t="shared" si="34"/>
        <v>2435</v>
      </c>
      <c r="Y35" s="52">
        <f t="shared" ref="Y35" si="158">X35-X34</f>
        <v>0</v>
      </c>
      <c r="Z35" s="64">
        <f t="shared" si="34"/>
        <v>136853</v>
      </c>
      <c r="AA35" s="65">
        <f t="shared" ref="AA35" si="159">Z35-Z34</f>
        <v>0</v>
      </c>
      <c r="AB35" s="292">
        <f t="shared" ref="AB35" si="160">SUM(Y35*$AB$2)</f>
        <v>0</v>
      </c>
      <c r="AC35" s="64">
        <f t="shared" ref="AC35:AE35" si="161">AC34</f>
        <v>1933</v>
      </c>
      <c r="AD35" s="45">
        <f t="shared" ref="AD35" si="162">AC35-AC34</f>
        <v>0</v>
      </c>
      <c r="AE35" s="64">
        <f t="shared" si="161"/>
        <v>365210.2</v>
      </c>
      <c r="AF35" s="314">
        <f t="shared" ref="AF35" si="163">AE35-AE34</f>
        <v>0</v>
      </c>
      <c r="AG35" s="212">
        <f t="shared" ref="AG35" si="164">IF(AD35&gt;0,AF35/AD35,0)</f>
        <v>0</v>
      </c>
      <c r="AH35" s="62">
        <f t="shared" ref="AH35" si="165">AF35+AA35</f>
        <v>0</v>
      </c>
      <c r="AI35" s="326">
        <f t="shared" ref="AI35" si="166">SUM(AH35+V35)</f>
        <v>0</v>
      </c>
      <c r="AJ35" s="326">
        <f>-tanks!AW37</f>
        <v>0</v>
      </c>
      <c r="AK35" s="326">
        <f t="shared" ref="AK35" si="167">SUM(AJ35-AI35)</f>
        <v>0</v>
      </c>
      <c r="AL35" s="326">
        <f t="shared" ref="AL35" si="168">S35+L35+G35</f>
        <v>0</v>
      </c>
      <c r="AM35" s="326">
        <f>Y35+AD35</f>
        <v>0</v>
      </c>
      <c r="AN35" s="64">
        <f t="shared" ref="AN35:AP35" si="169">AN34</f>
        <v>63</v>
      </c>
      <c r="AO35" s="328">
        <f t="shared" ref="AO35" si="170">(AN35/100)*3000</f>
        <v>1890</v>
      </c>
      <c r="AP35" s="64">
        <f t="shared" si="169"/>
        <v>69</v>
      </c>
      <c r="AQ35" s="328">
        <f t="shared" ref="AQ35" si="171">(AP35/100)*3000</f>
        <v>2070</v>
      </c>
      <c r="AR35" s="64">
        <f t="shared" ref="AR35" si="172">AR34</f>
        <v>69</v>
      </c>
      <c r="AS35" s="328">
        <f t="shared" ref="AS35" si="173">(AR35/100)*3000</f>
        <v>2070</v>
      </c>
      <c r="AT35" s="328">
        <f t="shared" ref="AT35" si="174">SUM(AO35+AQ35+AS35)</f>
        <v>6030</v>
      </c>
      <c r="AU35" s="328">
        <f t="shared" ref="AU35" si="175">AT34-AT35+AV35</f>
        <v>0</v>
      </c>
      <c r="AV35" s="275"/>
      <c r="AW35" s="275"/>
      <c r="AX35" s="321">
        <f t="shared" ref="AX35" si="176">IF(AV35&gt;0,AW35,AX34)</f>
        <v>0.8</v>
      </c>
    </row>
    <row r="36" spans="1:50">
      <c r="J36" s="291">
        <f>SUM(J5:J34)/(COUNT(J5:J34)-COUNTIF(J5:J34,0))</f>
        <v>1</v>
      </c>
      <c r="V36" s="62">
        <f>SUM(V5:V35)</f>
        <v>1076</v>
      </c>
      <c r="AE36" s="71" t="s">
        <v>385</v>
      </c>
      <c r="AG36" s="354"/>
      <c r="AH36" s="62">
        <f>SUM(AH5:AH35)</f>
        <v>1500.2000000000116</v>
      </c>
      <c r="AL36" s="62">
        <f>SUM(AL5:AL35)</f>
        <v>15</v>
      </c>
      <c r="AM36" s="62">
        <f>SUM(AM5:AM35)</f>
        <v>29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1050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2576.2000000000116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535.5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Normal="100" workbookViewId="0">
      <pane ySplit="3" topLeftCell="A16" activePane="bottomLeft" state="frozen"/>
      <selection pane="bottomLeft" activeCell="BB34" sqref="BB3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9092340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7" t="s">
        <v>95</v>
      </c>
      <c r="AS2" s="628"/>
      <c r="AT2" s="628"/>
      <c r="AU2" s="628"/>
      <c r="AV2" s="629"/>
      <c r="AW2" s="627" t="s">
        <v>96</v>
      </c>
      <c r="AX2" s="628"/>
      <c r="AY2" s="629"/>
      <c r="AZ2" s="627" t="s">
        <v>98</v>
      </c>
      <c r="BA2" s="628"/>
      <c r="BB2" s="629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4" t="s">
        <v>126</v>
      </c>
      <c r="AO3" s="625"/>
      <c r="AP3" s="626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v>146710</v>
      </c>
      <c r="Y12" s="332">
        <f t="shared" si="17"/>
        <v>70</v>
      </c>
      <c r="Z12" s="5">
        <v>96490</v>
      </c>
      <c r="AA12" s="83">
        <f t="shared" si="18"/>
        <v>40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v>190.66</v>
      </c>
      <c r="AF12" s="83">
        <f t="shared" si="19"/>
        <v>0.47999999999998977</v>
      </c>
      <c r="AG12" s="5">
        <v>2038.22</v>
      </c>
      <c r="AH12" s="83">
        <f t="shared" si="20"/>
        <v>6.3800000000001091</v>
      </c>
      <c r="AI12" s="83">
        <f t="shared" si="21"/>
        <v>6.8600000000000989</v>
      </c>
      <c r="AJ12" s="334">
        <f t="shared" si="22"/>
        <v>40</v>
      </c>
      <c r="AK12" s="335">
        <f t="shared" si="5"/>
        <v>70</v>
      </c>
      <c r="AL12" s="335">
        <f t="shared" si="23"/>
        <v>40</v>
      </c>
      <c r="AM12" s="335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v>153</v>
      </c>
      <c r="AU12" s="436">
        <f t="shared" si="34"/>
        <v>1.1000000000000001</v>
      </c>
      <c r="AV12" s="204">
        <v>94</v>
      </c>
      <c r="AW12" s="5">
        <v>2.9</v>
      </c>
      <c r="AX12" s="204">
        <v>75</v>
      </c>
      <c r="AY12" s="439">
        <f t="shared" si="7"/>
        <v>137.70000000000002</v>
      </c>
      <c r="AZ12" s="439">
        <f t="shared" si="25"/>
        <v>103.4</v>
      </c>
      <c r="BA12" s="439">
        <f t="shared" si="26"/>
        <v>217.5</v>
      </c>
      <c r="BB12" s="21">
        <f t="shared" si="27"/>
        <v>57.600000000000009</v>
      </c>
      <c r="BC12" s="21">
        <f t="shared" si="28"/>
        <v>28.599999999999994</v>
      </c>
      <c r="BD12" s="21">
        <f t="shared" si="28"/>
        <v>43.5</v>
      </c>
      <c r="BE12" s="24">
        <f t="shared" si="29"/>
        <v>129.69999999999999</v>
      </c>
      <c r="BF12" s="96">
        <f t="shared" si="8"/>
        <v>-129.69999999999999</v>
      </c>
      <c r="BG12" s="82">
        <f t="shared" si="9"/>
        <v>129.69999999999999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v>146786</v>
      </c>
      <c r="Y13" s="332">
        <f t="shared" si="17"/>
        <v>76</v>
      </c>
      <c r="Z13" s="5">
        <v>96522</v>
      </c>
      <c r="AA13" s="83">
        <f t="shared" si="18"/>
        <v>32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190.66</v>
      </c>
      <c r="AF13" s="83">
        <f t="shared" si="19"/>
        <v>0</v>
      </c>
      <c r="AG13" s="5">
        <f t="shared" si="15"/>
        <v>2038.22</v>
      </c>
      <c r="AH13" s="83">
        <f t="shared" si="20"/>
        <v>0</v>
      </c>
      <c r="AI13" s="83">
        <f t="shared" si="21"/>
        <v>0</v>
      </c>
      <c r="AJ13" s="334">
        <f t="shared" si="22"/>
        <v>32</v>
      </c>
      <c r="AK13" s="335">
        <f t="shared" si="5"/>
        <v>76</v>
      </c>
      <c r="AL13" s="335">
        <f t="shared" si="23"/>
        <v>32</v>
      </c>
      <c r="AM13" s="335">
        <f>'General information '!D13</f>
        <v>28.5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v>55</v>
      </c>
      <c r="AU13" s="436">
        <f t="shared" si="34"/>
        <v>1.1000000000000001</v>
      </c>
      <c r="AV13" s="204">
        <v>114</v>
      </c>
      <c r="AW13" s="5">
        <v>2.9</v>
      </c>
      <c r="AX13" s="204">
        <v>93</v>
      </c>
      <c r="AY13" s="439">
        <f t="shared" si="7"/>
        <v>49.5</v>
      </c>
      <c r="AZ13" s="439">
        <f t="shared" si="25"/>
        <v>125.4</v>
      </c>
      <c r="BA13" s="439">
        <f t="shared" si="26"/>
        <v>269.7</v>
      </c>
      <c r="BB13" s="21">
        <f t="shared" si="27"/>
        <v>-88.200000000000017</v>
      </c>
      <c r="BC13" s="21">
        <f t="shared" si="28"/>
        <v>22</v>
      </c>
      <c r="BD13" s="21">
        <f t="shared" si="28"/>
        <v>52.199999999999989</v>
      </c>
      <c r="BE13" s="24">
        <f t="shared" si="29"/>
        <v>-14.000000000000028</v>
      </c>
      <c r="BF13" s="96">
        <f t="shared" si="8"/>
        <v>14.000000000000028</v>
      </c>
      <c r="BG13" s="82">
        <f t="shared" si="9"/>
        <v>-14.000000000000028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5">SUM(M14-M13)</f>
        <v>0</v>
      </c>
      <c r="O14" s="421">
        <f t="shared" si="14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v>146911</v>
      </c>
      <c r="Y14" s="332">
        <f t="shared" si="17"/>
        <v>125</v>
      </c>
      <c r="Z14" s="5">
        <v>96523</v>
      </c>
      <c r="AA14" s="83">
        <f t="shared" si="18"/>
        <v>1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190.66</v>
      </c>
      <c r="AF14" s="83">
        <f t="shared" si="19"/>
        <v>0</v>
      </c>
      <c r="AG14" s="5">
        <f t="shared" si="15"/>
        <v>2038.22</v>
      </c>
      <c r="AH14" s="83">
        <f t="shared" si="20"/>
        <v>0</v>
      </c>
      <c r="AI14" s="83">
        <f t="shared" si="21"/>
        <v>0</v>
      </c>
      <c r="AJ14" s="334">
        <f t="shared" si="22"/>
        <v>1</v>
      </c>
      <c r="AK14" s="335">
        <f t="shared" si="5"/>
        <v>125</v>
      </c>
      <c r="AL14" s="335">
        <f t="shared" si="23"/>
        <v>1</v>
      </c>
      <c r="AM14" s="335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v>151</v>
      </c>
      <c r="AU14" s="436">
        <f t="shared" si="34"/>
        <v>1.1000000000000001</v>
      </c>
      <c r="AV14" s="204">
        <v>103</v>
      </c>
      <c r="AW14" s="5">
        <v>2.9</v>
      </c>
      <c r="AX14" s="204">
        <v>124</v>
      </c>
      <c r="AY14" s="439">
        <f t="shared" si="7"/>
        <v>135.9</v>
      </c>
      <c r="AZ14" s="439">
        <f t="shared" si="25"/>
        <v>113.30000000000001</v>
      </c>
      <c r="BA14" s="439">
        <f t="shared" si="26"/>
        <v>359.59999999999997</v>
      </c>
      <c r="BB14" s="21">
        <f t="shared" si="27"/>
        <v>86.4</v>
      </c>
      <c r="BC14" s="21">
        <f t="shared" si="28"/>
        <v>-12.099999999999994</v>
      </c>
      <c r="BD14" s="21">
        <f t="shared" si="28"/>
        <v>89.899999999999977</v>
      </c>
      <c r="BE14" s="24">
        <f t="shared" si="29"/>
        <v>164.2</v>
      </c>
      <c r="BF14" s="96">
        <f t="shared" si="8"/>
        <v>-164.2</v>
      </c>
      <c r="BG14" s="82">
        <f t="shared" si="9"/>
        <v>164.2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5"/>
        <v>0</v>
      </c>
      <c r="O15" s="421">
        <f t="shared" si="14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v>147011</v>
      </c>
      <c r="Y15" s="332">
        <f t="shared" si="17"/>
        <v>100</v>
      </c>
      <c r="Z15" s="5">
        <v>96574</v>
      </c>
      <c r="AA15" s="83">
        <f t="shared" si="18"/>
        <v>51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190.66</v>
      </c>
      <c r="AF15" s="83">
        <f t="shared" si="19"/>
        <v>0</v>
      </c>
      <c r="AG15" s="5">
        <f t="shared" si="15"/>
        <v>2038.22</v>
      </c>
      <c r="AH15" s="83">
        <f t="shared" si="20"/>
        <v>0</v>
      </c>
      <c r="AI15" s="83">
        <f t="shared" si="21"/>
        <v>0</v>
      </c>
      <c r="AJ15" s="334">
        <f t="shared" si="22"/>
        <v>51</v>
      </c>
      <c r="AK15" s="335">
        <f t="shared" si="5"/>
        <v>100</v>
      </c>
      <c r="AL15" s="335">
        <f t="shared" si="23"/>
        <v>51</v>
      </c>
      <c r="AM15" s="335">
        <f>'General information '!D15</f>
        <v>27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v>7</v>
      </c>
      <c r="AU15" s="436">
        <f t="shared" si="34"/>
        <v>1.1000000000000001</v>
      </c>
      <c r="AV15" s="204">
        <v>141</v>
      </c>
      <c r="AW15" s="5">
        <v>2.9</v>
      </c>
      <c r="AX15" s="204">
        <v>146</v>
      </c>
      <c r="AY15" s="439">
        <f t="shared" si="7"/>
        <v>6.3</v>
      </c>
      <c r="AZ15" s="439">
        <f t="shared" si="25"/>
        <v>155.10000000000002</v>
      </c>
      <c r="BA15" s="439">
        <f t="shared" si="26"/>
        <v>423.4</v>
      </c>
      <c r="BB15" s="21">
        <f t="shared" si="27"/>
        <v>-129.6</v>
      </c>
      <c r="BC15" s="21">
        <f t="shared" si="28"/>
        <v>41.800000000000011</v>
      </c>
      <c r="BD15" s="21">
        <f t="shared" si="28"/>
        <v>63.800000000000011</v>
      </c>
      <c r="BE15" s="24">
        <f t="shared" si="29"/>
        <v>-23.999999999999972</v>
      </c>
      <c r="BF15" s="96">
        <f t="shared" si="8"/>
        <v>23.999999999999972</v>
      </c>
      <c r="BG15" s="82">
        <f t="shared" si="9"/>
        <v>-23.999999999999972</v>
      </c>
    </row>
    <row r="16" spans="1:65" ht="15.75" thickBot="1">
      <c r="A16" s="6">
        <f>ELEC!C13</f>
        <v>44054</v>
      </c>
      <c r="B16" s="5"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5"/>
        <v>0</v>
      </c>
      <c r="O16" s="421">
        <f t="shared" si="14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v>147040</v>
      </c>
      <c r="Y16" s="332">
        <f t="shared" si="17"/>
        <v>29</v>
      </c>
      <c r="Z16" s="5">
        <v>96585</v>
      </c>
      <c r="AA16" s="83">
        <f t="shared" si="18"/>
        <v>11</v>
      </c>
      <c r="AB16" s="5">
        <v>264</v>
      </c>
      <c r="AC16" s="5">
        <v>698</v>
      </c>
      <c r="AD16" s="83">
        <f t="shared" si="30"/>
        <v>28</v>
      </c>
      <c r="AE16" s="5">
        <v>190.66</v>
      </c>
      <c r="AF16" s="83">
        <f t="shared" si="19"/>
        <v>0</v>
      </c>
      <c r="AG16" s="5">
        <f t="shared" si="15"/>
        <v>2038.22</v>
      </c>
      <c r="AH16" s="83">
        <f t="shared" si="20"/>
        <v>0</v>
      </c>
      <c r="AI16" s="83">
        <f t="shared" si="21"/>
        <v>0</v>
      </c>
      <c r="AJ16" s="334">
        <f t="shared" si="22"/>
        <v>11</v>
      </c>
      <c r="AK16" s="335">
        <f t="shared" si="5"/>
        <v>29</v>
      </c>
      <c r="AL16" s="335">
        <f t="shared" si="23"/>
        <v>11</v>
      </c>
      <c r="AM16" s="335">
        <f>'General information '!D16</f>
        <v>28.5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v>171</v>
      </c>
      <c r="AU16" s="436">
        <f t="shared" si="34"/>
        <v>1.1000000000000001</v>
      </c>
      <c r="AV16" s="204">
        <v>156</v>
      </c>
      <c r="AW16" s="5">
        <v>2.9</v>
      </c>
      <c r="AX16" s="204">
        <v>152</v>
      </c>
      <c r="AY16" s="439">
        <f t="shared" si="7"/>
        <v>153.9</v>
      </c>
      <c r="AZ16" s="439">
        <f t="shared" si="25"/>
        <v>171.60000000000002</v>
      </c>
      <c r="BA16" s="439">
        <f t="shared" si="26"/>
        <v>440.8</v>
      </c>
      <c r="BB16" s="21">
        <f t="shared" si="27"/>
        <v>147.6</v>
      </c>
      <c r="BC16" s="21">
        <f t="shared" si="28"/>
        <v>16.5</v>
      </c>
      <c r="BD16" s="21">
        <f t="shared" si="28"/>
        <v>17.400000000000034</v>
      </c>
      <c r="BE16" s="24">
        <f t="shared" si="29"/>
        <v>181.50000000000003</v>
      </c>
      <c r="BF16" s="96">
        <f t="shared" si="8"/>
        <v>-181.50000000000003</v>
      </c>
      <c r="BG16" s="82">
        <f t="shared" si="9"/>
        <v>181.50000000000003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5"/>
        <v>0</v>
      </c>
      <c r="O17" s="421">
        <f t="shared" si="14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147040</v>
      </c>
      <c r="Y17" s="332">
        <f t="shared" si="17"/>
        <v>0</v>
      </c>
      <c r="Z17" s="5">
        <v>96616</v>
      </c>
      <c r="AA17" s="83">
        <f t="shared" si="18"/>
        <v>31</v>
      </c>
      <c r="AB17" s="5">
        <f t="shared" si="15"/>
        <v>264</v>
      </c>
      <c r="AC17" s="5">
        <f t="shared" si="15"/>
        <v>698</v>
      </c>
      <c r="AD17" s="83">
        <f t="shared" si="30"/>
        <v>0</v>
      </c>
      <c r="AE17" s="5">
        <f t="shared" si="15"/>
        <v>190.66</v>
      </c>
      <c r="AF17" s="83">
        <f t="shared" si="19"/>
        <v>0</v>
      </c>
      <c r="AG17" s="5">
        <f t="shared" si="15"/>
        <v>2038.22</v>
      </c>
      <c r="AH17" s="83">
        <f t="shared" si="20"/>
        <v>0</v>
      </c>
      <c r="AI17" s="83">
        <f t="shared" si="21"/>
        <v>0</v>
      </c>
      <c r="AJ17" s="334">
        <f t="shared" si="22"/>
        <v>31</v>
      </c>
      <c r="AK17" s="335">
        <f t="shared" si="5"/>
        <v>0</v>
      </c>
      <c r="AL17" s="335">
        <f t="shared" si="23"/>
        <v>31</v>
      </c>
      <c r="AM17" s="335">
        <f>'General information '!D17</f>
        <v>28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v>29</v>
      </c>
      <c r="AU17" s="436">
        <f t="shared" si="34"/>
        <v>1.1000000000000001</v>
      </c>
      <c r="AV17" s="204">
        <v>168</v>
      </c>
      <c r="AW17" s="5">
        <v>2.9</v>
      </c>
      <c r="AX17" s="204">
        <v>180</v>
      </c>
      <c r="AY17" s="439">
        <f t="shared" si="7"/>
        <v>26.1</v>
      </c>
      <c r="AZ17" s="439">
        <f t="shared" si="25"/>
        <v>184.8</v>
      </c>
      <c r="BA17" s="439">
        <f t="shared" si="26"/>
        <v>522</v>
      </c>
      <c r="BB17" s="21">
        <f t="shared" si="27"/>
        <v>-127.80000000000001</v>
      </c>
      <c r="BC17" s="21">
        <f t="shared" si="28"/>
        <v>13.199999999999989</v>
      </c>
      <c r="BD17" s="21">
        <f t="shared" si="28"/>
        <v>81.199999999999989</v>
      </c>
      <c r="BE17" s="24">
        <f t="shared" si="29"/>
        <v>-33.400000000000034</v>
      </c>
      <c r="BF17" s="96">
        <f t="shared" si="8"/>
        <v>33.400000000000034</v>
      </c>
      <c r="BG17" s="82">
        <f t="shared" si="9"/>
        <v>-33.400000000000034</v>
      </c>
    </row>
    <row r="18" spans="1:61" ht="15.75" thickBot="1">
      <c r="A18" s="6">
        <f>ELEC!C15</f>
        <v>44056</v>
      </c>
      <c r="B18" s="5"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5"/>
        <v>0</v>
      </c>
      <c r="O18" s="421">
        <f t="shared" si="14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147040</v>
      </c>
      <c r="Y18" s="332">
        <f t="shared" si="17"/>
        <v>0</v>
      </c>
      <c r="Z18" s="5">
        <f t="shared" si="15"/>
        <v>96616</v>
      </c>
      <c r="AA18" s="83">
        <f t="shared" si="18"/>
        <v>0</v>
      </c>
      <c r="AB18" s="5">
        <f t="shared" si="15"/>
        <v>264</v>
      </c>
      <c r="AC18" s="5">
        <f t="shared" si="15"/>
        <v>698</v>
      </c>
      <c r="AD18" s="83">
        <f t="shared" si="30"/>
        <v>0</v>
      </c>
      <c r="AE18" s="5">
        <f t="shared" si="15"/>
        <v>190.66</v>
      </c>
      <c r="AF18" s="83">
        <f t="shared" si="19"/>
        <v>0</v>
      </c>
      <c r="AG18" s="5">
        <f t="shared" si="15"/>
        <v>2038.22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27.5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v>185</v>
      </c>
      <c r="AU18" s="436">
        <f t="shared" si="34"/>
        <v>1.1000000000000001</v>
      </c>
      <c r="AV18" s="204">
        <v>201</v>
      </c>
      <c r="AW18" s="5">
        <v>2.9</v>
      </c>
      <c r="AX18" s="204">
        <v>202</v>
      </c>
      <c r="AY18" s="439">
        <f t="shared" si="7"/>
        <v>166.5</v>
      </c>
      <c r="AZ18" s="439">
        <f t="shared" si="25"/>
        <v>221.10000000000002</v>
      </c>
      <c r="BA18" s="439">
        <f t="shared" si="26"/>
        <v>585.79999999999995</v>
      </c>
      <c r="BB18" s="21">
        <f t="shared" si="27"/>
        <v>140.4</v>
      </c>
      <c r="BC18" s="21">
        <f t="shared" si="28"/>
        <v>36.300000000000011</v>
      </c>
      <c r="BD18" s="21">
        <f t="shared" si="28"/>
        <v>63.799999999999955</v>
      </c>
      <c r="BE18" s="24">
        <f t="shared" si="29"/>
        <v>240.49999999999997</v>
      </c>
      <c r="BF18" s="96">
        <f t="shared" si="8"/>
        <v>-240.49999999999997</v>
      </c>
      <c r="BG18" s="82">
        <f t="shared" si="9"/>
        <v>240.49999999999997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5"/>
        <v>0</v>
      </c>
      <c r="O19" s="421">
        <f t="shared" si="14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147040</v>
      </c>
      <c r="Y19" s="332">
        <f t="shared" si="17"/>
        <v>0</v>
      </c>
      <c r="Z19" s="5">
        <f t="shared" si="15"/>
        <v>96616</v>
      </c>
      <c r="AA19" s="83">
        <f t="shared" si="18"/>
        <v>0</v>
      </c>
      <c r="AB19" s="5">
        <f t="shared" si="15"/>
        <v>264</v>
      </c>
      <c r="AC19" s="5">
        <f t="shared" si="15"/>
        <v>698</v>
      </c>
      <c r="AD19" s="83">
        <f t="shared" si="30"/>
        <v>0</v>
      </c>
      <c r="AE19" s="5">
        <f t="shared" si="15"/>
        <v>190.66</v>
      </c>
      <c r="AF19" s="83">
        <f t="shared" si="19"/>
        <v>0</v>
      </c>
      <c r="AG19" s="5">
        <f t="shared" si="15"/>
        <v>2038.22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185</v>
      </c>
      <c r="AU19" s="436">
        <f t="shared" si="34"/>
        <v>1.1000000000000001</v>
      </c>
      <c r="AV19" s="204">
        <f t="shared" si="34"/>
        <v>201</v>
      </c>
      <c r="AW19" s="5">
        <v>2.9</v>
      </c>
      <c r="AX19" s="204">
        <f t="shared" ref="AX19" si="38">AX18</f>
        <v>202</v>
      </c>
      <c r="AY19" s="439">
        <f t="shared" si="7"/>
        <v>166.5</v>
      </c>
      <c r="AZ19" s="439">
        <f t="shared" si="25"/>
        <v>221.10000000000002</v>
      </c>
      <c r="BA19" s="439">
        <f t="shared" si="26"/>
        <v>585.79999999999995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5"/>
        <v>0</v>
      </c>
      <c r="O20" s="421">
        <f t="shared" si="14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v>147253</v>
      </c>
      <c r="Y20" s="332">
        <f t="shared" si="17"/>
        <v>213</v>
      </c>
      <c r="Z20" s="5">
        <v>96647</v>
      </c>
      <c r="AA20" s="83">
        <f t="shared" si="18"/>
        <v>31</v>
      </c>
      <c r="AB20" s="5">
        <f t="shared" si="15"/>
        <v>264</v>
      </c>
      <c r="AC20" s="5">
        <f t="shared" si="15"/>
        <v>698</v>
      </c>
      <c r="AD20" s="83">
        <f t="shared" si="30"/>
        <v>0</v>
      </c>
      <c r="AE20" s="5">
        <f t="shared" si="15"/>
        <v>190.66</v>
      </c>
      <c r="AF20" s="83">
        <f t="shared" si="19"/>
        <v>0</v>
      </c>
      <c r="AG20" s="5">
        <f t="shared" si="15"/>
        <v>2038.22</v>
      </c>
      <c r="AH20" s="83">
        <f t="shared" si="20"/>
        <v>0</v>
      </c>
      <c r="AI20" s="83">
        <f t="shared" si="21"/>
        <v>0</v>
      </c>
      <c r="AJ20" s="334">
        <f t="shared" si="22"/>
        <v>31</v>
      </c>
      <c r="AK20" s="335">
        <f t="shared" si="5"/>
        <v>213</v>
      </c>
      <c r="AL20" s="335">
        <f t="shared" si="23"/>
        <v>31</v>
      </c>
      <c r="AM20" s="335">
        <f>'General information '!D20</f>
        <v>27.5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v>183</v>
      </c>
      <c r="AU20" s="436">
        <f t="shared" si="34"/>
        <v>1.1000000000000001</v>
      </c>
      <c r="AV20" s="204">
        <v>187</v>
      </c>
      <c r="AW20" s="5">
        <v>2.9</v>
      </c>
      <c r="AX20" s="204">
        <v>197</v>
      </c>
      <c r="AY20" s="439">
        <f t="shared" si="7"/>
        <v>164.70000000000002</v>
      </c>
      <c r="AZ20" s="439">
        <f t="shared" si="25"/>
        <v>205.70000000000002</v>
      </c>
      <c r="BA20" s="439">
        <f t="shared" si="26"/>
        <v>571.29999999999995</v>
      </c>
      <c r="BB20" s="21">
        <f t="shared" si="27"/>
        <v>-1.7999999999999829</v>
      </c>
      <c r="BC20" s="21">
        <f t="shared" si="28"/>
        <v>-15.400000000000006</v>
      </c>
      <c r="BD20" s="21">
        <f t="shared" si="28"/>
        <v>-14.5</v>
      </c>
      <c r="BE20" s="24">
        <f t="shared" si="29"/>
        <v>-31.699999999999989</v>
      </c>
      <c r="BF20" s="96">
        <f t="shared" si="8"/>
        <v>31.699999999999989</v>
      </c>
      <c r="BG20" s="82">
        <f t="shared" si="9"/>
        <v>-31.699999999999989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5"/>
        <v>0</v>
      </c>
      <c r="O21" s="421">
        <f t="shared" si="14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147253</v>
      </c>
      <c r="Y21" s="332">
        <f>SUM(X21-X20)</f>
        <v>0</v>
      </c>
      <c r="Z21" s="5">
        <f t="shared" si="15"/>
        <v>96647</v>
      </c>
      <c r="AA21" s="83">
        <f t="shared" si="18"/>
        <v>0</v>
      </c>
      <c r="AB21" s="5">
        <f t="shared" si="15"/>
        <v>264</v>
      </c>
      <c r="AC21" s="5">
        <f t="shared" si="15"/>
        <v>698</v>
      </c>
      <c r="AD21" s="83">
        <f t="shared" si="30"/>
        <v>0</v>
      </c>
      <c r="AE21" s="5">
        <f t="shared" si="15"/>
        <v>190.66</v>
      </c>
      <c r="AF21" s="83">
        <f t="shared" si="19"/>
        <v>0</v>
      </c>
      <c r="AG21" s="5">
        <f t="shared" si="15"/>
        <v>2038.22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183</v>
      </c>
      <c r="AU21" s="436">
        <f t="shared" si="34"/>
        <v>1.1000000000000001</v>
      </c>
      <c r="AV21" s="204">
        <v>184</v>
      </c>
      <c r="AW21" s="5">
        <v>2.9</v>
      </c>
      <c r="AX21" s="204">
        <v>196</v>
      </c>
      <c r="AY21" s="439">
        <f t="shared" si="7"/>
        <v>164.70000000000002</v>
      </c>
      <c r="AZ21" s="439">
        <f t="shared" si="25"/>
        <v>202.4</v>
      </c>
      <c r="BA21" s="439">
        <f t="shared" si="26"/>
        <v>568.4</v>
      </c>
      <c r="BB21" s="21">
        <f t="shared" si="27"/>
        <v>0</v>
      </c>
      <c r="BC21" s="21">
        <f t="shared" si="28"/>
        <v>-3.3000000000000114</v>
      </c>
      <c r="BD21" s="21">
        <f t="shared" si="28"/>
        <v>-2.8999999999999773</v>
      </c>
      <c r="BE21" s="24">
        <f t="shared" si="29"/>
        <v>-6.1999999999999886</v>
      </c>
      <c r="BF21" s="96">
        <f t="shared" si="8"/>
        <v>6.1999999999999886</v>
      </c>
      <c r="BG21" s="82">
        <f t="shared" si="9"/>
        <v>-6.1999999999999886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5"/>
        <v>0</v>
      </c>
      <c r="O22" s="421">
        <f t="shared" si="14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147253</v>
      </c>
      <c r="Y22" s="332">
        <f t="shared" si="17"/>
        <v>0</v>
      </c>
      <c r="Z22" s="5">
        <f t="shared" si="15"/>
        <v>96647</v>
      </c>
      <c r="AA22" s="83">
        <f t="shared" si="18"/>
        <v>0</v>
      </c>
      <c r="AB22" s="5">
        <f t="shared" si="15"/>
        <v>264</v>
      </c>
      <c r="AC22" s="5">
        <f t="shared" si="15"/>
        <v>698</v>
      </c>
      <c r="AD22" s="83">
        <f t="shared" si="30"/>
        <v>0</v>
      </c>
      <c r="AE22" s="5">
        <f t="shared" si="15"/>
        <v>190.66</v>
      </c>
      <c r="AF22" s="83">
        <f t="shared" si="19"/>
        <v>0</v>
      </c>
      <c r="AG22" s="5">
        <f t="shared" si="15"/>
        <v>2038.22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28.5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39">AS21</f>
        <v>0.9</v>
      </c>
      <c r="AT22" s="204">
        <v>183</v>
      </c>
      <c r="AU22" s="436">
        <f t="shared" si="34"/>
        <v>1.1000000000000001</v>
      </c>
      <c r="AV22" s="204">
        <v>180</v>
      </c>
      <c r="AW22" s="5">
        <v>2.9</v>
      </c>
      <c r="AX22" s="204">
        <v>194</v>
      </c>
      <c r="AY22" s="439">
        <f t="shared" si="7"/>
        <v>164.70000000000002</v>
      </c>
      <c r="AZ22" s="439">
        <f t="shared" si="25"/>
        <v>198.00000000000003</v>
      </c>
      <c r="BA22" s="439">
        <f t="shared" si="26"/>
        <v>562.6</v>
      </c>
      <c r="BB22" s="21">
        <f>AY22-AY21</f>
        <v>0</v>
      </c>
      <c r="BC22" s="21">
        <f t="shared" si="27"/>
        <v>-4.3999999999999773</v>
      </c>
      <c r="BD22" s="21">
        <f t="shared" si="27"/>
        <v>-5.7999999999999545</v>
      </c>
      <c r="BE22" s="24">
        <f t="shared" si="29"/>
        <v>-10.199999999999932</v>
      </c>
      <c r="BF22" s="96">
        <f t="shared" si="8"/>
        <v>10.199999999999932</v>
      </c>
      <c r="BG22" s="82">
        <f t="shared" si="9"/>
        <v>-10.199999999999932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5"/>
        <v>0</v>
      </c>
      <c r="O23" s="421">
        <f t="shared" si="14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v>147294</v>
      </c>
      <c r="Y23" s="332">
        <f t="shared" si="17"/>
        <v>41</v>
      </c>
      <c r="Z23" s="5">
        <v>96674</v>
      </c>
      <c r="AA23" s="83">
        <f t="shared" si="18"/>
        <v>27</v>
      </c>
      <c r="AB23" s="5">
        <f t="shared" si="15"/>
        <v>264</v>
      </c>
      <c r="AC23" s="5">
        <f t="shared" si="15"/>
        <v>698</v>
      </c>
      <c r="AD23" s="83">
        <f t="shared" si="30"/>
        <v>0</v>
      </c>
      <c r="AE23" s="5">
        <v>193.63</v>
      </c>
      <c r="AF23" s="83">
        <f t="shared" si="19"/>
        <v>2.9699999999999989</v>
      </c>
      <c r="AG23" s="5">
        <v>2064.6799999999998</v>
      </c>
      <c r="AH23" s="83">
        <f t="shared" si="20"/>
        <v>26.459999999999809</v>
      </c>
      <c r="AI23" s="83">
        <f t="shared" si="21"/>
        <v>29.429999999999808</v>
      </c>
      <c r="AJ23" s="334">
        <f t="shared" si="22"/>
        <v>27</v>
      </c>
      <c r="AK23" s="335">
        <f t="shared" si="5"/>
        <v>41</v>
      </c>
      <c r="AL23" s="335">
        <f t="shared" si="23"/>
        <v>27</v>
      </c>
      <c r="AM23" s="335">
        <f>'General information '!D23</f>
        <v>28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39"/>
        <v>0.9</v>
      </c>
      <c r="AT23" s="204">
        <v>110</v>
      </c>
      <c r="AU23" s="436">
        <f t="shared" si="34"/>
        <v>1.1000000000000001</v>
      </c>
      <c r="AV23" s="204">
        <v>170</v>
      </c>
      <c r="AW23" s="5">
        <v>2.9</v>
      </c>
      <c r="AX23" s="204">
        <v>200</v>
      </c>
      <c r="AY23" s="439">
        <f t="shared" si="7"/>
        <v>99</v>
      </c>
      <c r="AZ23" s="439">
        <f t="shared" si="25"/>
        <v>187.00000000000003</v>
      </c>
      <c r="BA23" s="439">
        <f t="shared" si="26"/>
        <v>580</v>
      </c>
      <c r="BB23" s="21">
        <f t="shared" si="27"/>
        <v>-65.700000000000017</v>
      </c>
      <c r="BC23" s="21">
        <f t="shared" si="27"/>
        <v>-11</v>
      </c>
      <c r="BD23" s="21">
        <f t="shared" si="27"/>
        <v>17.399999999999977</v>
      </c>
      <c r="BE23" s="24">
        <f t="shared" si="29"/>
        <v>-59.30000000000004</v>
      </c>
      <c r="BF23" s="96">
        <f t="shared" si="8"/>
        <v>59.30000000000004</v>
      </c>
      <c r="BG23" s="82">
        <f t="shared" si="9"/>
        <v>-59.30000000000004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5"/>
        <v>0</v>
      </c>
      <c r="O24" s="421">
        <f t="shared" si="14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601">
        <v>147312</v>
      </c>
      <c r="Y24" s="332">
        <f t="shared" si="17"/>
        <v>18</v>
      </c>
      <c r="Z24" s="5">
        <v>96739</v>
      </c>
      <c r="AA24" s="83">
        <f t="shared" si="18"/>
        <v>65</v>
      </c>
      <c r="AB24" s="5">
        <f t="shared" si="15"/>
        <v>264</v>
      </c>
      <c r="AC24" s="5">
        <f t="shared" si="15"/>
        <v>698</v>
      </c>
      <c r="AD24" s="83">
        <f t="shared" si="30"/>
        <v>0</v>
      </c>
      <c r="AE24" s="5">
        <v>196.66</v>
      </c>
      <c r="AF24" s="83">
        <f t="shared" si="19"/>
        <v>3.0300000000000011</v>
      </c>
      <c r="AG24" s="5">
        <v>2086.6999999999998</v>
      </c>
      <c r="AH24" s="83">
        <f t="shared" si="20"/>
        <v>22.019999999999982</v>
      </c>
      <c r="AI24" s="83">
        <f t="shared" si="21"/>
        <v>25.049999999999983</v>
      </c>
      <c r="AJ24" s="334">
        <f t="shared" si="22"/>
        <v>65</v>
      </c>
      <c r="AK24" s="335">
        <f t="shared" si="5"/>
        <v>18</v>
      </c>
      <c r="AL24" s="335">
        <f t="shared" si="23"/>
        <v>65</v>
      </c>
      <c r="AM24" s="335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39"/>
        <v>0.9</v>
      </c>
      <c r="AT24" s="204">
        <v>0</v>
      </c>
      <c r="AU24" s="436">
        <f t="shared" si="34"/>
        <v>1.1000000000000001</v>
      </c>
      <c r="AV24" s="204">
        <v>193</v>
      </c>
      <c r="AW24" s="5">
        <v>2.9</v>
      </c>
      <c r="AX24" s="204">
        <v>200</v>
      </c>
      <c r="AY24" s="439">
        <f t="shared" si="7"/>
        <v>0</v>
      </c>
      <c r="AZ24" s="439">
        <f t="shared" si="25"/>
        <v>212.3</v>
      </c>
      <c r="BA24" s="439">
        <f t="shared" si="26"/>
        <v>580</v>
      </c>
      <c r="BB24" s="21">
        <f t="shared" si="27"/>
        <v>-99</v>
      </c>
      <c r="BC24" s="21">
        <f t="shared" si="27"/>
        <v>25.299999999999983</v>
      </c>
      <c r="BD24" s="21">
        <f t="shared" si="27"/>
        <v>0</v>
      </c>
      <c r="BE24" s="24">
        <f t="shared" si="29"/>
        <v>-73.700000000000017</v>
      </c>
      <c r="BF24" s="96">
        <f t="shared" si="8"/>
        <v>73.700000000000017</v>
      </c>
      <c r="BG24" s="82">
        <f t="shared" si="9"/>
        <v>-73.700000000000017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5"/>
        <v>0</v>
      </c>
      <c r="O25" s="421">
        <f t="shared" si="14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147312</v>
      </c>
      <c r="Y25" s="332">
        <f t="shared" si="17"/>
        <v>0</v>
      </c>
      <c r="Z25" s="5">
        <f t="shared" si="15"/>
        <v>96739</v>
      </c>
      <c r="AA25" s="83">
        <f t="shared" si="18"/>
        <v>0</v>
      </c>
      <c r="AB25" s="5">
        <f t="shared" si="15"/>
        <v>264</v>
      </c>
      <c r="AC25" s="5">
        <f t="shared" si="15"/>
        <v>698</v>
      </c>
      <c r="AD25" s="83">
        <f t="shared" si="30"/>
        <v>0</v>
      </c>
      <c r="AE25" s="5">
        <f t="shared" si="15"/>
        <v>196.66</v>
      </c>
      <c r="AF25" s="83">
        <f t="shared" si="19"/>
        <v>0</v>
      </c>
      <c r="AG25" s="5">
        <f t="shared" si="15"/>
        <v>2086.6999999999998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27.5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39"/>
        <v>0.9</v>
      </c>
      <c r="AT25" s="204">
        <v>0</v>
      </c>
      <c r="AU25" s="436">
        <f t="shared" si="34"/>
        <v>1.1000000000000001</v>
      </c>
      <c r="AV25" s="204">
        <f t="shared" si="34"/>
        <v>193</v>
      </c>
      <c r="AW25" s="5">
        <v>2.9</v>
      </c>
      <c r="AX25" s="204">
        <v>198</v>
      </c>
      <c r="AY25" s="439">
        <f t="shared" si="7"/>
        <v>0</v>
      </c>
      <c r="AZ25" s="439">
        <f t="shared" si="25"/>
        <v>212.3</v>
      </c>
      <c r="BA25" s="439">
        <f t="shared" si="26"/>
        <v>574.19999999999993</v>
      </c>
      <c r="BB25" s="21">
        <f t="shared" si="27"/>
        <v>0</v>
      </c>
      <c r="BC25" s="21">
        <f t="shared" si="27"/>
        <v>0</v>
      </c>
      <c r="BD25" s="21">
        <f t="shared" si="27"/>
        <v>-5.8000000000000682</v>
      </c>
      <c r="BE25" s="24">
        <f t="shared" si="29"/>
        <v>-5.8000000000000682</v>
      </c>
      <c r="BF25" s="96">
        <f t="shared" si="8"/>
        <v>5.8000000000000682</v>
      </c>
      <c r="BG25" s="82">
        <f t="shared" si="9"/>
        <v>-5.8000000000000682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5"/>
        <v>0</v>
      </c>
      <c r="O26" s="421">
        <f t="shared" si="14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147312</v>
      </c>
      <c r="Y26" s="332">
        <f t="shared" si="17"/>
        <v>0</v>
      </c>
      <c r="Z26" s="5">
        <f t="shared" si="15"/>
        <v>96739</v>
      </c>
      <c r="AA26" s="83">
        <f t="shared" si="18"/>
        <v>0</v>
      </c>
      <c r="AB26" s="5">
        <f t="shared" si="15"/>
        <v>264</v>
      </c>
      <c r="AC26" s="5">
        <f t="shared" si="15"/>
        <v>698</v>
      </c>
      <c r="AD26" s="83">
        <f t="shared" si="30"/>
        <v>0</v>
      </c>
      <c r="AE26" s="5">
        <f t="shared" si="15"/>
        <v>196.66</v>
      </c>
      <c r="AF26" s="83">
        <f t="shared" si="19"/>
        <v>0</v>
      </c>
      <c r="AG26" s="5">
        <f t="shared" si="15"/>
        <v>2086.6999999999998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29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39"/>
        <v>0.9</v>
      </c>
      <c r="AT26" s="204">
        <v>0</v>
      </c>
      <c r="AU26" s="436">
        <f t="shared" si="34"/>
        <v>1.1000000000000001</v>
      </c>
      <c r="AV26" s="204">
        <v>155</v>
      </c>
      <c r="AW26" s="5">
        <v>2.9</v>
      </c>
      <c r="AX26" s="204">
        <v>197</v>
      </c>
      <c r="AY26" s="439">
        <f t="shared" si="7"/>
        <v>0</v>
      </c>
      <c r="AZ26" s="439">
        <f t="shared" si="25"/>
        <v>170.5</v>
      </c>
      <c r="BA26" s="439">
        <f t="shared" si="26"/>
        <v>571.29999999999995</v>
      </c>
      <c r="BB26" s="21">
        <f t="shared" si="27"/>
        <v>0</v>
      </c>
      <c r="BC26" s="21">
        <f t="shared" si="27"/>
        <v>-41.800000000000011</v>
      </c>
      <c r="BD26" s="21">
        <f t="shared" si="27"/>
        <v>-2.8999999999999773</v>
      </c>
      <c r="BE26" s="24">
        <f t="shared" si="29"/>
        <v>-44.699999999999989</v>
      </c>
      <c r="BF26" s="350">
        <f t="shared" si="8"/>
        <v>44.699999999999989</v>
      </c>
      <c r="BG26" s="82">
        <f t="shared" si="9"/>
        <v>-44.699999999999989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5"/>
        <v>0</v>
      </c>
      <c r="O27" s="421">
        <f t="shared" si="14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147312</v>
      </c>
      <c r="Y27" s="332">
        <f>SUM(X27-X26)</f>
        <v>0</v>
      </c>
      <c r="Z27" s="5">
        <f t="shared" si="15"/>
        <v>96739</v>
      </c>
      <c r="AA27" s="83">
        <f t="shared" si="18"/>
        <v>0</v>
      </c>
      <c r="AB27" s="5">
        <f t="shared" si="15"/>
        <v>264</v>
      </c>
      <c r="AC27" s="5">
        <f t="shared" si="15"/>
        <v>698</v>
      </c>
      <c r="AD27" s="83">
        <f t="shared" si="30"/>
        <v>0</v>
      </c>
      <c r="AE27" s="5">
        <f t="shared" si="15"/>
        <v>196.66</v>
      </c>
      <c r="AF27" s="83">
        <f t="shared" si="19"/>
        <v>0</v>
      </c>
      <c r="AG27" s="5">
        <f t="shared" si="15"/>
        <v>2086.6999999999998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28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39"/>
        <v>0.9</v>
      </c>
      <c r="AT27" s="204">
        <f t="shared" si="39"/>
        <v>0</v>
      </c>
      <c r="AU27" s="436">
        <f t="shared" si="34"/>
        <v>1.1000000000000001</v>
      </c>
      <c r="AV27" s="204">
        <v>188</v>
      </c>
      <c r="AW27" s="5">
        <v>2.9</v>
      </c>
      <c r="AX27" s="204">
        <v>194</v>
      </c>
      <c r="AY27" s="439">
        <f t="shared" si="7"/>
        <v>0</v>
      </c>
      <c r="AZ27" s="439">
        <f t="shared" si="25"/>
        <v>206.8</v>
      </c>
      <c r="BA27" s="439">
        <f t="shared" si="26"/>
        <v>562.6</v>
      </c>
      <c r="BB27" s="21">
        <f t="shared" si="27"/>
        <v>0</v>
      </c>
      <c r="BC27" s="21">
        <f t="shared" si="27"/>
        <v>36.300000000000011</v>
      </c>
      <c r="BD27" s="21">
        <f t="shared" si="27"/>
        <v>-8.6999999999999318</v>
      </c>
      <c r="BE27" s="24">
        <f t="shared" si="29"/>
        <v>27.60000000000008</v>
      </c>
      <c r="BF27" s="96">
        <f t="shared" si="8"/>
        <v>-27.60000000000008</v>
      </c>
      <c r="BG27" s="82">
        <f t="shared" si="9"/>
        <v>27.60000000000008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5"/>
        <v>0</v>
      </c>
      <c r="O28" s="421">
        <f t="shared" si="14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147312</v>
      </c>
      <c r="Y28" s="332">
        <f t="shared" si="17"/>
        <v>0</v>
      </c>
      <c r="Z28" s="5">
        <f t="shared" si="15"/>
        <v>96739</v>
      </c>
      <c r="AA28" s="83">
        <f t="shared" si="18"/>
        <v>0</v>
      </c>
      <c r="AB28" s="5">
        <f t="shared" si="15"/>
        <v>264</v>
      </c>
      <c r="AC28" s="5">
        <f t="shared" si="15"/>
        <v>698</v>
      </c>
      <c r="AD28" s="83">
        <f t="shared" si="30"/>
        <v>0</v>
      </c>
      <c r="AE28" s="5">
        <v>199.48</v>
      </c>
      <c r="AF28" s="83">
        <f t="shared" si="19"/>
        <v>2.8199999999999932</v>
      </c>
      <c r="AG28" s="5">
        <v>2108.92</v>
      </c>
      <c r="AH28" s="83">
        <f t="shared" si="20"/>
        <v>22.220000000000255</v>
      </c>
      <c r="AI28" s="83">
        <f t="shared" si="21"/>
        <v>25.040000000000248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29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39"/>
        <v>0.9</v>
      </c>
      <c r="AT28" s="204">
        <f t="shared" si="39"/>
        <v>0</v>
      </c>
      <c r="AU28" s="436">
        <f t="shared" si="34"/>
        <v>1.1000000000000001</v>
      </c>
      <c r="AV28" s="204">
        <v>156</v>
      </c>
      <c r="AW28" s="5">
        <v>2.9</v>
      </c>
      <c r="AX28" s="204">
        <v>187</v>
      </c>
      <c r="AY28" s="439">
        <f t="shared" si="7"/>
        <v>0</v>
      </c>
      <c r="AZ28" s="439">
        <f t="shared" si="25"/>
        <v>171.60000000000002</v>
      </c>
      <c r="BA28" s="439">
        <f t="shared" si="26"/>
        <v>542.29999999999995</v>
      </c>
      <c r="BB28" s="21">
        <f t="shared" si="27"/>
        <v>0</v>
      </c>
      <c r="BC28" s="21">
        <f t="shared" si="27"/>
        <v>-35.199999999999989</v>
      </c>
      <c r="BD28" s="21">
        <f t="shared" si="27"/>
        <v>-20.300000000000068</v>
      </c>
      <c r="BE28" s="24">
        <f t="shared" si="29"/>
        <v>-55.500000000000057</v>
      </c>
      <c r="BF28" s="96">
        <f t="shared" si="8"/>
        <v>55.500000000000057</v>
      </c>
      <c r="BG28" s="82">
        <f t="shared" si="9"/>
        <v>-55.500000000000057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5"/>
        <v>0</v>
      </c>
      <c r="O29" s="421">
        <f t="shared" si="14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147312</v>
      </c>
      <c r="Y29" s="332">
        <f t="shared" si="17"/>
        <v>0</v>
      </c>
      <c r="Z29" s="5">
        <f t="shared" si="15"/>
        <v>96739</v>
      </c>
      <c r="AA29" s="83">
        <f t="shared" si="18"/>
        <v>0</v>
      </c>
      <c r="AB29" s="5">
        <f t="shared" si="15"/>
        <v>264</v>
      </c>
      <c r="AC29" s="5">
        <f t="shared" si="15"/>
        <v>698</v>
      </c>
      <c r="AD29" s="83">
        <f t="shared" si="30"/>
        <v>0</v>
      </c>
      <c r="AE29" s="5">
        <f t="shared" si="15"/>
        <v>199.48</v>
      </c>
      <c r="AF29" s="83">
        <f t="shared" si="19"/>
        <v>0</v>
      </c>
      <c r="AG29" s="5">
        <f t="shared" si="15"/>
        <v>2108.92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29.5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39"/>
        <v>0.9</v>
      </c>
      <c r="AT29" s="204">
        <v>0</v>
      </c>
      <c r="AU29" s="436">
        <f t="shared" si="34"/>
        <v>1.1000000000000001</v>
      </c>
      <c r="AV29" s="204">
        <v>139</v>
      </c>
      <c r="AW29" s="5">
        <v>2.9</v>
      </c>
      <c r="AX29" s="204">
        <v>182</v>
      </c>
      <c r="AY29" s="439">
        <f t="shared" si="7"/>
        <v>0</v>
      </c>
      <c r="AZ29" s="439">
        <f t="shared" si="25"/>
        <v>152.9</v>
      </c>
      <c r="BA29" s="439">
        <f t="shared" si="26"/>
        <v>527.79999999999995</v>
      </c>
      <c r="BB29" s="21">
        <f t="shared" si="27"/>
        <v>0</v>
      </c>
      <c r="BC29" s="21">
        <f t="shared" si="27"/>
        <v>-18.700000000000017</v>
      </c>
      <c r="BD29" s="21">
        <f t="shared" si="27"/>
        <v>-14.5</v>
      </c>
      <c r="BE29" s="24">
        <f t="shared" si="29"/>
        <v>-33.200000000000017</v>
      </c>
      <c r="BF29" s="96">
        <f t="shared" si="8"/>
        <v>33.200000000000017</v>
      </c>
      <c r="BG29" s="82">
        <f t="shared" si="9"/>
        <v>-33.200000000000017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5"/>
        <v>0</v>
      </c>
      <c r="O30" s="421">
        <f t="shared" si="14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v>425</v>
      </c>
      <c r="W30" s="332">
        <f t="shared" si="16"/>
        <v>0</v>
      </c>
      <c r="X30" s="5">
        <f t="shared" si="15"/>
        <v>147312</v>
      </c>
      <c r="Y30" s="332">
        <f t="shared" si="17"/>
        <v>0</v>
      </c>
      <c r="Z30" s="5">
        <f t="shared" si="15"/>
        <v>96739</v>
      </c>
      <c r="AA30" s="83">
        <f t="shared" si="18"/>
        <v>0</v>
      </c>
      <c r="AB30" s="5">
        <f t="shared" si="15"/>
        <v>264</v>
      </c>
      <c r="AC30" s="5">
        <f t="shared" si="15"/>
        <v>698</v>
      </c>
      <c r="AD30" s="83">
        <f t="shared" si="30"/>
        <v>0</v>
      </c>
      <c r="AE30" s="5">
        <f t="shared" si="15"/>
        <v>199.48</v>
      </c>
      <c r="AF30" s="83">
        <f t="shared" si="19"/>
        <v>0</v>
      </c>
      <c r="AG30" s="5">
        <v>2109.27</v>
      </c>
      <c r="AH30" s="83">
        <f t="shared" si="20"/>
        <v>0.34999999999990905</v>
      </c>
      <c r="AI30" s="83">
        <f t="shared" si="21"/>
        <v>0.34999999999990905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26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39"/>
        <v>0.9</v>
      </c>
      <c r="AT30" s="204">
        <v>156</v>
      </c>
      <c r="AU30" s="436">
        <f t="shared" si="34"/>
        <v>1.1000000000000001</v>
      </c>
      <c r="AV30" s="204">
        <v>146</v>
      </c>
      <c r="AW30" s="5">
        <v>2.9</v>
      </c>
      <c r="AX30" s="204">
        <v>174</v>
      </c>
      <c r="AY30" s="439">
        <f t="shared" si="7"/>
        <v>140.4</v>
      </c>
      <c r="AZ30" s="439">
        <f t="shared" si="25"/>
        <v>160.60000000000002</v>
      </c>
      <c r="BA30" s="439">
        <f t="shared" si="26"/>
        <v>504.59999999999997</v>
      </c>
      <c r="BB30" s="21">
        <f t="shared" si="27"/>
        <v>140.4</v>
      </c>
      <c r="BC30" s="21">
        <f t="shared" si="27"/>
        <v>7.7000000000000171</v>
      </c>
      <c r="BD30" s="21">
        <f t="shared" si="27"/>
        <v>-23.199999999999989</v>
      </c>
      <c r="BE30" s="24">
        <f t="shared" si="29"/>
        <v>124.90000000000003</v>
      </c>
      <c r="BF30" s="96">
        <f t="shared" si="8"/>
        <v>-124.90000000000003</v>
      </c>
      <c r="BG30" s="82">
        <f t="shared" si="9"/>
        <v>124.90000000000003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5"/>
        <v>0</v>
      </c>
      <c r="O31" s="421">
        <f t="shared" si="14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147312</v>
      </c>
      <c r="Y31" s="332">
        <f t="shared" si="17"/>
        <v>0</v>
      </c>
      <c r="Z31" s="5">
        <f t="shared" si="15"/>
        <v>96739</v>
      </c>
      <c r="AA31" s="83">
        <f t="shared" si="18"/>
        <v>0</v>
      </c>
      <c r="AB31" s="5">
        <f t="shared" si="15"/>
        <v>264</v>
      </c>
      <c r="AC31" s="5">
        <f t="shared" si="15"/>
        <v>698</v>
      </c>
      <c r="AD31" s="83">
        <f t="shared" si="30"/>
        <v>0</v>
      </c>
      <c r="AE31" s="5">
        <f t="shared" si="15"/>
        <v>199.48</v>
      </c>
      <c r="AF31" s="83">
        <f t="shared" si="19"/>
        <v>0</v>
      </c>
      <c r="AG31" s="5">
        <f t="shared" si="15"/>
        <v>2109.27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29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39"/>
        <v>0.9</v>
      </c>
      <c r="AT31" s="204">
        <v>128</v>
      </c>
      <c r="AU31" s="436">
        <f t="shared" si="34"/>
        <v>1.1000000000000001</v>
      </c>
      <c r="AV31" s="204">
        <v>182</v>
      </c>
      <c r="AW31" s="5">
        <v>2.9</v>
      </c>
      <c r="AX31" s="204">
        <v>200</v>
      </c>
      <c r="AY31" s="439">
        <f t="shared" si="7"/>
        <v>115.2</v>
      </c>
      <c r="AZ31" s="439">
        <f t="shared" si="25"/>
        <v>200.20000000000002</v>
      </c>
      <c r="BA31" s="439">
        <f t="shared" si="26"/>
        <v>580</v>
      </c>
      <c r="BB31" s="21">
        <f t="shared" si="27"/>
        <v>-25.200000000000003</v>
      </c>
      <c r="BC31" s="21">
        <f t="shared" si="27"/>
        <v>39.599999999999994</v>
      </c>
      <c r="BD31" s="21">
        <f t="shared" si="27"/>
        <v>75.400000000000034</v>
      </c>
      <c r="BE31" s="24">
        <f t="shared" si="29"/>
        <v>89.800000000000026</v>
      </c>
      <c r="BF31" s="96">
        <f t="shared" si="8"/>
        <v>-89.800000000000026</v>
      </c>
      <c r="BG31" s="82">
        <f t="shared" si="9"/>
        <v>89.800000000000026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5"/>
        <v>0</v>
      </c>
      <c r="O32" s="421">
        <f t="shared" si="14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147312</v>
      </c>
      <c r="Y32" s="332">
        <f t="shared" si="17"/>
        <v>0</v>
      </c>
      <c r="Z32" s="5">
        <f t="shared" si="15"/>
        <v>96739</v>
      </c>
      <c r="AA32" s="83">
        <f t="shared" si="18"/>
        <v>0</v>
      </c>
      <c r="AB32" s="5">
        <f t="shared" si="15"/>
        <v>264</v>
      </c>
      <c r="AC32" s="5">
        <f t="shared" si="15"/>
        <v>698</v>
      </c>
      <c r="AD32" s="83">
        <f t="shared" si="30"/>
        <v>0</v>
      </c>
      <c r="AE32" s="5">
        <f t="shared" si="15"/>
        <v>199.48</v>
      </c>
      <c r="AF32" s="83">
        <f t="shared" si="19"/>
        <v>0</v>
      </c>
      <c r="AG32" s="5">
        <f t="shared" si="15"/>
        <v>2109.27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28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39"/>
        <v>0.9</v>
      </c>
      <c r="AT32" s="204">
        <f t="shared" si="39"/>
        <v>128</v>
      </c>
      <c r="AU32" s="436">
        <f t="shared" si="34"/>
        <v>1.1000000000000001</v>
      </c>
      <c r="AV32" s="204">
        <f t="shared" si="34"/>
        <v>182</v>
      </c>
      <c r="AW32" s="5">
        <v>2.9</v>
      </c>
      <c r="AX32" s="204">
        <v>200</v>
      </c>
      <c r="AY32" s="439">
        <f t="shared" si="7"/>
        <v>115.2</v>
      </c>
      <c r="AZ32" s="439">
        <f t="shared" si="25"/>
        <v>200.20000000000002</v>
      </c>
      <c r="BA32" s="439">
        <f t="shared" si="26"/>
        <v>580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v>607824</v>
      </c>
      <c r="H33" s="5">
        <f t="shared" si="12"/>
        <v>2085</v>
      </c>
      <c r="I33" s="5">
        <f t="shared" si="0"/>
        <v>2085</v>
      </c>
      <c r="J33" s="342">
        <f t="shared" si="1"/>
        <v>0.11603620329542817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5"/>
        <v>0</v>
      </c>
      <c r="O33" s="421">
        <f t="shared" si="14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v>427</v>
      </c>
      <c r="W33" s="332">
        <f t="shared" si="16"/>
        <v>2</v>
      </c>
      <c r="X33" s="5">
        <v>147392</v>
      </c>
      <c r="Y33" s="332">
        <f t="shared" si="17"/>
        <v>80</v>
      </c>
      <c r="Z33" s="5">
        <v>96799</v>
      </c>
      <c r="AA33" s="83">
        <f t="shared" si="18"/>
        <v>60</v>
      </c>
      <c r="AB33" s="5">
        <f t="shared" si="15"/>
        <v>264</v>
      </c>
      <c r="AC33" s="5">
        <f t="shared" si="15"/>
        <v>698</v>
      </c>
      <c r="AD33" s="83">
        <f t="shared" si="30"/>
        <v>0</v>
      </c>
      <c r="AE33" s="5">
        <f t="shared" si="15"/>
        <v>199.48</v>
      </c>
      <c r="AF33" s="83">
        <f>AE33-AE32</f>
        <v>0</v>
      </c>
      <c r="AG33" s="5">
        <f t="shared" si="15"/>
        <v>2109.27</v>
      </c>
      <c r="AH33" s="83">
        <f t="shared" si="20"/>
        <v>0</v>
      </c>
      <c r="AI33" s="83">
        <f t="shared" si="21"/>
        <v>0</v>
      </c>
      <c r="AJ33" s="334">
        <f t="shared" si="22"/>
        <v>60</v>
      </c>
      <c r="AK33" s="335">
        <f>SUM(Y33-L33)</f>
        <v>80</v>
      </c>
      <c r="AL33" s="335">
        <f t="shared" si="23"/>
        <v>58</v>
      </c>
      <c r="AM33" s="335">
        <f>'General information '!D33</f>
        <v>28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39"/>
        <v>0.9</v>
      </c>
      <c r="AT33" s="204">
        <v>127</v>
      </c>
      <c r="AU33" s="436">
        <f t="shared" si="34"/>
        <v>1.1000000000000001</v>
      </c>
      <c r="AV33" s="204">
        <v>180</v>
      </c>
      <c r="AW33" s="5">
        <v>2.9</v>
      </c>
      <c r="AX33" s="204">
        <v>199</v>
      </c>
      <c r="AY33" s="439">
        <f t="shared" si="7"/>
        <v>114.3</v>
      </c>
      <c r="AZ33" s="439">
        <f t="shared" si="25"/>
        <v>198.00000000000003</v>
      </c>
      <c r="BA33" s="439">
        <f t="shared" si="26"/>
        <v>577.1</v>
      </c>
      <c r="BB33" s="21">
        <f t="shared" si="27"/>
        <v>-0.90000000000000568</v>
      </c>
      <c r="BC33" s="21">
        <f t="shared" si="27"/>
        <v>-2.1999999999999886</v>
      </c>
      <c r="BD33" s="21">
        <f t="shared" si="27"/>
        <v>-2.8999999999999773</v>
      </c>
      <c r="BE33" s="24">
        <f t="shared" si="29"/>
        <v>-5.9999999999999716</v>
      </c>
      <c r="BF33" s="96">
        <f t="shared" si="8"/>
        <v>2091</v>
      </c>
      <c r="BG33" s="82">
        <f t="shared" si="9"/>
        <v>-6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607824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5"/>
        <v>0</v>
      </c>
      <c r="O34" s="421">
        <f t="shared" si="14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427</v>
      </c>
      <c r="W34" s="332">
        <f t="shared" si="16"/>
        <v>0</v>
      </c>
      <c r="X34" s="5">
        <f t="shared" si="15"/>
        <v>147392</v>
      </c>
      <c r="Y34" s="332">
        <f t="shared" si="17"/>
        <v>0</v>
      </c>
      <c r="Z34" s="5">
        <f t="shared" si="15"/>
        <v>96799</v>
      </c>
      <c r="AA34" s="83">
        <f t="shared" si="18"/>
        <v>0</v>
      </c>
      <c r="AB34" s="5">
        <f t="shared" si="15"/>
        <v>264</v>
      </c>
      <c r="AC34" s="5">
        <f t="shared" si="15"/>
        <v>698</v>
      </c>
      <c r="AD34" s="83">
        <f t="shared" si="30"/>
        <v>0</v>
      </c>
      <c r="AE34" s="5">
        <f t="shared" si="15"/>
        <v>199.48</v>
      </c>
      <c r="AF34" s="83">
        <f t="shared" si="19"/>
        <v>0</v>
      </c>
      <c r="AG34" s="5">
        <f t="shared" si="15"/>
        <v>2109.27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27.5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39"/>
        <v>0.9</v>
      </c>
      <c r="AT34" s="204">
        <f t="shared" si="39"/>
        <v>127</v>
      </c>
      <c r="AU34" s="437">
        <f t="shared" si="34"/>
        <v>1.1000000000000001</v>
      </c>
      <c r="AV34" s="204">
        <f t="shared" si="34"/>
        <v>180</v>
      </c>
      <c r="AW34" s="5">
        <v>2.9</v>
      </c>
      <c r="AX34" s="204">
        <f t="shared" ref="AX34" si="40">AX33</f>
        <v>199</v>
      </c>
      <c r="AY34" s="439">
        <f t="shared" si="7"/>
        <v>114.3</v>
      </c>
      <c r="AZ34" s="439">
        <f t="shared" si="25"/>
        <v>198.00000000000003</v>
      </c>
      <c r="BA34" s="439">
        <f t="shared" si="26"/>
        <v>577.1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607824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5"/>
        <v>0</v>
      </c>
      <c r="O35" s="421">
        <f t="shared" si="14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427</v>
      </c>
      <c r="W35" s="332">
        <f t="shared" si="16"/>
        <v>0</v>
      </c>
      <c r="X35" s="5">
        <f t="shared" si="15"/>
        <v>147392</v>
      </c>
      <c r="Y35" s="332">
        <f t="shared" si="17"/>
        <v>0</v>
      </c>
      <c r="Z35" s="5">
        <f t="shared" si="15"/>
        <v>96799</v>
      </c>
      <c r="AA35" s="83">
        <f t="shared" si="18"/>
        <v>0</v>
      </c>
      <c r="AB35" s="5">
        <f t="shared" si="15"/>
        <v>264</v>
      </c>
      <c r="AC35" s="5">
        <f t="shared" si="15"/>
        <v>698</v>
      </c>
      <c r="AD35" s="83">
        <f t="shared" si="30"/>
        <v>0</v>
      </c>
      <c r="AE35" s="5">
        <f t="shared" si="15"/>
        <v>199.48</v>
      </c>
      <c r="AF35" s="83">
        <f t="shared" si="19"/>
        <v>0</v>
      </c>
      <c r="AG35" s="5">
        <f t="shared" si="15"/>
        <v>2109.27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39"/>
        <v>0.9</v>
      </c>
      <c r="AT35" s="204">
        <f t="shared" si="39"/>
        <v>127</v>
      </c>
      <c r="AU35" s="438">
        <f t="shared" si="34"/>
        <v>1.1000000000000001</v>
      </c>
      <c r="AV35" s="204">
        <f t="shared" si="34"/>
        <v>180</v>
      </c>
      <c r="AW35" s="5">
        <v>2.9</v>
      </c>
      <c r="AX35" s="204">
        <f t="shared" ref="AX35" si="41">AX34</f>
        <v>199</v>
      </c>
      <c r="AY35" s="439">
        <f t="shared" si="7"/>
        <v>114.3</v>
      </c>
      <c r="AZ35" s="439">
        <f t="shared" si="25"/>
        <v>198.00000000000003</v>
      </c>
      <c r="BA35" s="439">
        <f t="shared" si="26"/>
        <v>577.1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42">B36-B35</f>
        <v>0</v>
      </c>
      <c r="D36" s="430">
        <f t="shared" ref="D36" si="43">C36/27</f>
        <v>0</v>
      </c>
      <c r="E36" s="341">
        <f>SUM((C36*$E$4)+(7500/'EDl log'!$A$39))</f>
        <v>241.93548387096774</v>
      </c>
      <c r="F36" s="335"/>
      <c r="G36" s="5">
        <f t="shared" si="32"/>
        <v>607824</v>
      </c>
      <c r="H36" s="5">
        <f t="shared" ref="H36" si="44">G36-G35</f>
        <v>0</v>
      </c>
      <c r="I36" s="5">
        <f t="shared" ref="I36" si="45">C36+H36</f>
        <v>0</v>
      </c>
      <c r="J36" s="342">
        <f t="shared" ref="J36" si="46">IF(I36&gt;0,E36/I36,0)</f>
        <v>0</v>
      </c>
      <c r="K36" s="5">
        <f>'Swimming Pool quality check '!H36</f>
        <v>6555</v>
      </c>
      <c r="L36" s="83">
        <f t="shared" ref="L36" si="47">K36-K35</f>
        <v>0</v>
      </c>
      <c r="M36" s="421">
        <f t="shared" si="13"/>
        <v>457.44</v>
      </c>
      <c r="N36" s="529">
        <f t="shared" ref="N36" si="48">SUM(M36-M35)</f>
        <v>0</v>
      </c>
      <c r="O36" s="421">
        <f t="shared" si="14"/>
        <v>529.52</v>
      </c>
      <c r="P36" s="529">
        <f t="shared" ref="P36" si="49">SUM(O36-O35)</f>
        <v>0</v>
      </c>
      <c r="Q36" s="529">
        <f t="shared" ref="Q36" si="50">SUM(P36+N36)</f>
        <v>0</v>
      </c>
      <c r="R36" s="529"/>
      <c r="S36" s="529"/>
      <c r="T36" s="5">
        <f t="shared" si="15"/>
        <v>5040</v>
      </c>
      <c r="U36" s="5">
        <f t="shared" ref="U36" si="51">SUM(T36-T35)</f>
        <v>0</v>
      </c>
      <c r="V36" s="5">
        <f t="shared" si="15"/>
        <v>427</v>
      </c>
      <c r="W36" s="332">
        <f t="shared" ref="W36" si="52">+V36-V35</f>
        <v>0</v>
      </c>
      <c r="X36" s="5">
        <f t="shared" si="15"/>
        <v>147392</v>
      </c>
      <c r="Y36" s="332">
        <f t="shared" ref="Y36" si="53">SUM(X36-X35)</f>
        <v>0</v>
      </c>
      <c r="Z36" s="5">
        <f t="shared" si="15"/>
        <v>96799</v>
      </c>
      <c r="AA36" s="83">
        <f t="shared" ref="AA36" si="54">Z36-Z35</f>
        <v>0</v>
      </c>
      <c r="AB36" s="5">
        <f t="shared" si="15"/>
        <v>264</v>
      </c>
      <c r="AC36" s="5">
        <f t="shared" si="15"/>
        <v>698</v>
      </c>
      <c r="AD36" s="83">
        <f t="shared" ref="AD36" si="55">AC36-AC35</f>
        <v>0</v>
      </c>
      <c r="AE36" s="5">
        <f t="shared" si="15"/>
        <v>199.48</v>
      </c>
      <c r="AF36" s="83">
        <f t="shared" ref="AF36" si="56">AE36-AE35</f>
        <v>0</v>
      </c>
      <c r="AG36" s="5">
        <f t="shared" si="15"/>
        <v>2109.27</v>
      </c>
      <c r="AH36" s="83">
        <f t="shared" ref="AH36" si="57">AG36-AG35</f>
        <v>0</v>
      </c>
      <c r="AI36" s="83">
        <f t="shared" ref="AI36" si="58">AF36+AH36</f>
        <v>0</v>
      </c>
      <c r="AJ36" s="334">
        <f t="shared" ref="AJ36" si="59">+Z36-Z35</f>
        <v>0</v>
      </c>
      <c r="AK36" s="335">
        <f t="shared" ref="AK36" si="60">SUM(Y36-L36)</f>
        <v>0</v>
      </c>
      <c r="AL36" s="335">
        <f t="shared" ref="AL36" si="61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2">A36</f>
        <v>44074</v>
      </c>
      <c r="AS36" s="435">
        <f t="shared" si="39"/>
        <v>0.9</v>
      </c>
      <c r="AT36" s="204">
        <f t="shared" si="39"/>
        <v>127</v>
      </c>
      <c r="AU36" s="438">
        <f t="shared" si="34"/>
        <v>1.1000000000000001</v>
      </c>
      <c r="AV36" s="204">
        <f t="shared" si="34"/>
        <v>180</v>
      </c>
      <c r="AW36" s="5">
        <v>2.9</v>
      </c>
      <c r="AX36" s="204">
        <f t="shared" ref="AX36" si="63">AX35</f>
        <v>199</v>
      </c>
      <c r="AY36" s="439">
        <f t="shared" ref="AY36" si="64">AS36*AT36</f>
        <v>114.3</v>
      </c>
      <c r="AZ36" s="439">
        <f t="shared" ref="AZ36" si="65">AU36*AV36</f>
        <v>198.00000000000003</v>
      </c>
      <c r="BA36" s="439">
        <f t="shared" ref="BA36" si="66">AW36*AX36</f>
        <v>577.1</v>
      </c>
      <c r="BB36" s="21">
        <f t="shared" ref="BB36" si="67">AY36-AY35</f>
        <v>0</v>
      </c>
      <c r="BC36" s="230">
        <f t="shared" ref="BC36" si="68">AZ36-AZ35</f>
        <v>0</v>
      </c>
      <c r="BD36" s="230">
        <f t="shared" ref="BD36" si="69">BA36-BA35</f>
        <v>0</v>
      </c>
      <c r="BE36" s="24">
        <f t="shared" ref="BE36" si="70">SUM(BB36:BD36)</f>
        <v>0</v>
      </c>
      <c r="BF36" s="96">
        <f t="shared" ref="BF36" si="71">SUM(I36-BE36)</f>
        <v>0</v>
      </c>
      <c r="BG36" s="82">
        <f t="shared" ref="BG36" si="72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2993</v>
      </c>
      <c r="I37" s="423">
        <f>SUM(I6:I35)</f>
        <v>3117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514</v>
      </c>
      <c r="AK37" s="335" t="e">
        <f t="shared" si="5"/>
        <v>#REF!</v>
      </c>
      <c r="AL37" s="330">
        <f>SUM(AL6:AL35)</f>
        <v>509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7.5714789862046841E-2</v>
      </c>
      <c r="L38" s="157"/>
      <c r="O38" s="507">
        <f>SUM(Q37+I37)</f>
        <v>3117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3117</v>
      </c>
      <c r="H39" s="1">
        <f>SUM(H38+C38)</f>
        <v>7705.84</v>
      </c>
      <c r="K39" s="1">
        <f>SUM(H39/G39)</f>
        <v>2.4721976259223615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0" activePane="bottomLeft" state="frozen"/>
      <selection pane="bottomLeft" activeCell="F39" sqref="F39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0" t="s">
        <v>193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2"/>
    </row>
    <row r="2" spans="1:15" ht="15.75" customHeight="1" thickBot="1">
      <c r="A2" s="633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5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598">
        <f>'[1]General information '!E36</f>
        <v>0.52</v>
      </c>
      <c r="F5" s="598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>
        <v>31</v>
      </c>
      <c r="C12" s="37">
        <v>23</v>
      </c>
      <c r="D12" s="26">
        <f t="shared" si="0"/>
        <v>27</v>
      </c>
      <c r="E12" s="404">
        <v>0.7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>
        <v>33</v>
      </c>
      <c r="C13" s="37">
        <v>24</v>
      </c>
      <c r="D13" s="26">
        <f>(C13+B13)/2</f>
        <v>28.5</v>
      </c>
      <c r="E13" s="364">
        <v>0.46</v>
      </c>
      <c r="F13" s="36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>
        <v>31</v>
      </c>
      <c r="C14" s="37">
        <v>27</v>
      </c>
      <c r="D14" s="26">
        <f t="shared" ref="D14:D34" si="3">(C14+B14)/2</f>
        <v>29</v>
      </c>
      <c r="E14" s="348">
        <v>0.6</v>
      </c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>
        <v>31</v>
      </c>
      <c r="C15" s="37">
        <v>23</v>
      </c>
      <c r="D15" s="26">
        <f t="shared" si="3"/>
        <v>27</v>
      </c>
      <c r="E15" s="348">
        <v>0.69</v>
      </c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>
        <v>30</v>
      </c>
      <c r="C16" s="37">
        <v>27</v>
      </c>
      <c r="D16" s="26">
        <f t="shared" si="3"/>
        <v>28.5</v>
      </c>
      <c r="E16" s="348">
        <v>0.67</v>
      </c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>
        <v>30</v>
      </c>
      <c r="C17" s="37">
        <v>26</v>
      </c>
      <c r="D17" s="26">
        <f t="shared" si="3"/>
        <v>28</v>
      </c>
      <c r="E17" s="348">
        <v>0.67</v>
      </c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>
        <v>32</v>
      </c>
      <c r="C18" s="37">
        <v>23</v>
      </c>
      <c r="D18" s="26">
        <f t="shared" si="3"/>
        <v>27.5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>
        <v>31</v>
      </c>
      <c r="C19" s="37">
        <v>24</v>
      </c>
      <c r="D19" s="26">
        <f t="shared" si="3"/>
        <v>27.5</v>
      </c>
      <c r="E19" s="348">
        <v>0.68</v>
      </c>
      <c r="F19" s="348">
        <v>0</v>
      </c>
      <c r="G19" s="245">
        <v>0</v>
      </c>
      <c r="H19" s="3">
        <v>0</v>
      </c>
      <c r="I19" s="3">
        <v>0</v>
      </c>
      <c r="J19" s="37">
        <v>0</v>
      </c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>
        <v>31</v>
      </c>
      <c r="C20" s="37">
        <v>24</v>
      </c>
      <c r="D20" s="26">
        <f t="shared" si="3"/>
        <v>27.5</v>
      </c>
      <c r="E20" s="348">
        <v>0.67</v>
      </c>
      <c r="F20" s="348">
        <v>0</v>
      </c>
      <c r="G20" s="245">
        <f t="shared" si="4"/>
        <v>0</v>
      </c>
      <c r="H20" s="3">
        <v>0</v>
      </c>
      <c r="I20" s="3">
        <v>0</v>
      </c>
      <c r="J20" s="37">
        <v>0</v>
      </c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>
        <v>31</v>
      </c>
      <c r="C21" s="37">
        <v>25</v>
      </c>
      <c r="D21" s="26">
        <f>(C21+B21)/2</f>
        <v>28</v>
      </c>
      <c r="E21" s="348">
        <v>0.66</v>
      </c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>
        <v>31</v>
      </c>
      <c r="C22" s="37">
        <v>26</v>
      </c>
      <c r="D22" s="26">
        <f t="shared" si="3"/>
        <v>28.5</v>
      </c>
      <c r="E22" s="348">
        <v>0.69</v>
      </c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>
        <v>30</v>
      </c>
      <c r="C23" s="37">
        <v>26</v>
      </c>
      <c r="D23" s="26">
        <f>(C23+B23)/2</f>
        <v>28</v>
      </c>
      <c r="E23" s="348">
        <v>0.68</v>
      </c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>
        <v>30</v>
      </c>
      <c r="C24" s="37">
        <v>25</v>
      </c>
      <c r="D24" s="26">
        <f t="shared" si="3"/>
        <v>27.5</v>
      </c>
      <c r="E24" s="348">
        <v>0.68</v>
      </c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>
        <v>30</v>
      </c>
      <c r="C25" s="37">
        <v>25</v>
      </c>
      <c r="D25" s="26">
        <f t="shared" si="3"/>
        <v>27.5</v>
      </c>
      <c r="E25" s="348">
        <v>0.64</v>
      </c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>
        <v>31</v>
      </c>
      <c r="C26" s="37">
        <v>27</v>
      </c>
      <c r="D26" s="26">
        <f>(C26+B26)/2</f>
        <v>29</v>
      </c>
      <c r="E26" s="348">
        <v>0.61</v>
      </c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>
        <v>30</v>
      </c>
      <c r="C27" s="37">
        <v>26</v>
      </c>
      <c r="D27" s="26">
        <f t="shared" si="3"/>
        <v>28</v>
      </c>
      <c r="E27" s="348">
        <v>0.6</v>
      </c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>
        <v>32</v>
      </c>
      <c r="C28" s="37">
        <v>26</v>
      </c>
      <c r="D28" s="26">
        <f t="shared" si="3"/>
        <v>29</v>
      </c>
      <c r="E28" s="348">
        <v>0.56000000000000005</v>
      </c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>
        <v>32</v>
      </c>
      <c r="C29" s="37">
        <v>27</v>
      </c>
      <c r="D29" s="26">
        <f t="shared" si="3"/>
        <v>29.5</v>
      </c>
      <c r="E29" s="348">
        <v>0.48</v>
      </c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>
        <v>34</v>
      </c>
      <c r="C30" s="37">
        <v>18</v>
      </c>
      <c r="D30" s="26">
        <f t="shared" si="3"/>
        <v>26</v>
      </c>
      <c r="E30" s="348">
        <v>0.45</v>
      </c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>
        <v>31</v>
      </c>
      <c r="C31" s="37">
        <v>27</v>
      </c>
      <c r="D31" s="3">
        <f t="shared" si="3"/>
        <v>29</v>
      </c>
      <c r="E31" s="349">
        <v>0.66</v>
      </c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>
        <v>30</v>
      </c>
      <c r="C32" s="37">
        <v>26</v>
      </c>
      <c r="D32" s="287">
        <f>(C32+B32)/2</f>
        <v>28</v>
      </c>
      <c r="E32" s="349">
        <v>0.64</v>
      </c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>
        <v>30</v>
      </c>
      <c r="C33" s="37">
        <v>26</v>
      </c>
      <c r="D33" s="26">
        <f t="shared" si="3"/>
        <v>28</v>
      </c>
      <c r="E33" s="348">
        <v>0.66</v>
      </c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>
        <v>29</v>
      </c>
      <c r="C34" s="37">
        <v>26</v>
      </c>
      <c r="D34" s="26">
        <f t="shared" si="3"/>
        <v>27.5</v>
      </c>
      <c r="E34" s="348">
        <v>0.65</v>
      </c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0.10261000000000001</v>
      </c>
      <c r="G37" s="206">
        <f>SUM(G6:G35)</f>
        <v>236.00300000000001</v>
      </c>
    </row>
    <row r="38" spans="1:15">
      <c r="D38" s="267">
        <f>SUM(D6:D35)/'EDl log'!A37</f>
        <v>28.103448275862068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7" zoomScale="90" zoomScaleNormal="90" workbookViewId="0">
      <pane xSplit="1" topLeftCell="AJ1" activePane="topRight" state="frozen"/>
      <selection pane="topRight" activeCell="AT34" sqref="AT3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8" t="s">
        <v>108</v>
      </c>
      <c r="AS3" s="638" t="s">
        <v>233</v>
      </c>
      <c r="AT3" s="636" t="s">
        <v>301</v>
      </c>
      <c r="AU3" s="637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9"/>
      <c r="AS4" s="639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187.3</v>
      </c>
      <c r="C10" s="206">
        <f t="shared" si="18"/>
        <v>4029.9709677419355</v>
      </c>
      <c r="D10">
        <f t="shared" si="19"/>
        <v>187.3</v>
      </c>
      <c r="E10" s="206">
        <f t="shared" si="18"/>
        <v>4029.9709677419355</v>
      </c>
      <c r="F10">
        <f t="shared" si="20"/>
        <v>187.3</v>
      </c>
      <c r="G10" s="206">
        <f t="shared" si="1"/>
        <v>4029.9709677419355</v>
      </c>
      <c r="H10" s="206">
        <f t="shared" si="21"/>
        <v>187.3</v>
      </c>
      <c r="I10" s="206">
        <f t="shared" si="2"/>
        <v>4029.9709677419355</v>
      </c>
      <c r="J10" s="206">
        <f t="shared" si="22"/>
        <v>187.3</v>
      </c>
      <c r="K10" s="206">
        <f t="shared" si="3"/>
        <v>4029.9709677419355</v>
      </c>
      <c r="L10" s="206">
        <f t="shared" si="23"/>
        <v>187.3</v>
      </c>
      <c r="M10" s="206">
        <f t="shared" si="4"/>
        <v>4029.9709677419355</v>
      </c>
      <c r="N10" s="206">
        <f t="shared" si="24"/>
        <v>187.3</v>
      </c>
      <c r="O10" s="206">
        <f t="shared" si="5"/>
        <v>4029.9709677419355</v>
      </c>
      <c r="P10" s="206">
        <f t="shared" si="25"/>
        <v>187.3</v>
      </c>
      <c r="Q10" s="206">
        <f t="shared" si="6"/>
        <v>4029.9709677419355</v>
      </c>
      <c r="R10" s="206">
        <f t="shared" si="26"/>
        <v>187.3</v>
      </c>
      <c r="S10" s="206">
        <f t="shared" si="7"/>
        <v>4029.9709677419355</v>
      </c>
      <c r="T10" s="206">
        <f t="shared" si="27"/>
        <v>187.3</v>
      </c>
      <c r="U10" s="206">
        <f t="shared" si="8"/>
        <v>4029.9709677419355</v>
      </c>
      <c r="V10" s="206">
        <f t="shared" si="28"/>
        <v>187.3</v>
      </c>
      <c r="W10" s="206">
        <f t="shared" si="9"/>
        <v>4029.9709677419355</v>
      </c>
      <c r="X10" s="35">
        <f t="shared" si="10"/>
        <v>0.60419354838709682</v>
      </c>
      <c r="Y10" s="36">
        <f t="shared" si="29"/>
        <v>44329.680645161294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0.62288566898097553</v>
      </c>
      <c r="AR10" s="38">
        <f t="shared" si="41"/>
        <v>57909.680645161294</v>
      </c>
      <c r="AS10" s="200">
        <f t="shared" si="38"/>
        <v>-4662.5451612903125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-4518.5451612903125</v>
      </c>
      <c r="AY10" s="37">
        <f t="shared" si="40"/>
        <v>-4662.5451612903125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594"/>
      <c r="AQ11" s="226">
        <f t="shared" si="37"/>
        <v>0.61807034527266858</v>
      </c>
      <c r="AR11" s="38">
        <f t="shared" si="41"/>
        <v>57462</v>
      </c>
      <c r="AS11" s="200">
        <f>SUM(AR11-AR10-AT11)</f>
        <v>-447.6806451612938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-447.6806451612938</v>
      </c>
      <c r="AY11" s="37">
        <f t="shared" si="40"/>
        <v>-447.6806451612938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257.38396624472574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268</v>
      </c>
      <c r="C12" s="206">
        <f t="shared" si="18"/>
        <v>5766.322580645161</v>
      </c>
      <c r="D12">
        <f t="shared" si="19"/>
        <v>268</v>
      </c>
      <c r="E12" s="206">
        <f t="shared" si="18"/>
        <v>5766.322580645161</v>
      </c>
      <c r="F12">
        <f t="shared" si="20"/>
        <v>268</v>
      </c>
      <c r="G12" s="206">
        <f t="shared" si="1"/>
        <v>5766.322580645161</v>
      </c>
      <c r="H12" s="206">
        <f t="shared" si="21"/>
        <v>268</v>
      </c>
      <c r="I12" s="206">
        <f t="shared" si="2"/>
        <v>5766.322580645161</v>
      </c>
      <c r="J12" s="206">
        <f t="shared" si="22"/>
        <v>268</v>
      </c>
      <c r="K12" s="206">
        <f t="shared" si="3"/>
        <v>5766.322580645161</v>
      </c>
      <c r="L12" s="206">
        <f t="shared" si="23"/>
        <v>268</v>
      </c>
      <c r="M12" s="206">
        <f t="shared" si="4"/>
        <v>5766.322580645161</v>
      </c>
      <c r="N12" s="206">
        <f t="shared" si="24"/>
        <v>268</v>
      </c>
      <c r="O12" s="206">
        <f t="shared" si="5"/>
        <v>5766.322580645161</v>
      </c>
      <c r="P12" s="206">
        <f t="shared" si="25"/>
        <v>268</v>
      </c>
      <c r="Q12" s="206">
        <f t="shared" si="6"/>
        <v>5766.322580645161</v>
      </c>
      <c r="R12" s="206">
        <f t="shared" si="26"/>
        <v>268</v>
      </c>
      <c r="S12" s="206">
        <f t="shared" si="7"/>
        <v>5766.322580645161</v>
      </c>
      <c r="T12" s="206">
        <f t="shared" si="27"/>
        <v>268</v>
      </c>
      <c r="U12" s="206">
        <f t="shared" si="8"/>
        <v>5766.322580645161</v>
      </c>
      <c r="V12" s="206">
        <f t="shared" si="28"/>
        <v>268</v>
      </c>
      <c r="W12" s="206">
        <f t="shared" si="9"/>
        <v>5766.322580645161</v>
      </c>
      <c r="X12" s="35">
        <f t="shared" si="10"/>
        <v>0.86451612903225783</v>
      </c>
      <c r="Y12" s="36">
        <f t="shared" si="29"/>
        <v>63429.548387096758</v>
      </c>
      <c r="Z12" s="206">
        <f>'B5'!C11</f>
        <v>226</v>
      </c>
      <c r="AA12" s="206">
        <f t="shared" si="30"/>
        <v>2260</v>
      </c>
      <c r="AB12" s="206">
        <f t="shared" si="31"/>
        <v>226</v>
      </c>
      <c r="AC12" s="206">
        <f t="shared" si="30"/>
        <v>2260</v>
      </c>
      <c r="AD12" s="206">
        <f t="shared" si="32"/>
        <v>226</v>
      </c>
      <c r="AE12" s="206">
        <f t="shared" si="11"/>
        <v>2260</v>
      </c>
      <c r="AF12" s="206">
        <f t="shared" si="33"/>
        <v>226</v>
      </c>
      <c r="AG12" s="206">
        <f t="shared" si="12"/>
        <v>2260</v>
      </c>
      <c r="AH12" s="206">
        <f t="shared" si="34"/>
        <v>226</v>
      </c>
      <c r="AI12" s="206">
        <f t="shared" si="13"/>
        <v>2260</v>
      </c>
      <c r="AJ12" s="206">
        <f t="shared" si="35"/>
        <v>226</v>
      </c>
      <c r="AK12" s="206">
        <f t="shared" si="14"/>
        <v>2260</v>
      </c>
      <c r="AL12" s="206">
        <f t="shared" si="36"/>
        <v>226</v>
      </c>
      <c r="AM12" s="206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594"/>
      <c r="AQ12" s="226">
        <f t="shared" si="37"/>
        <v>0.85242065598684258</v>
      </c>
      <c r="AR12" s="38">
        <f t="shared" si="41"/>
        <v>79249.548387096758</v>
      </c>
      <c r="AS12" s="200">
        <f t="shared" si="38"/>
        <v>2113.5483870967582</v>
      </c>
      <c r="AT12" s="277">
        <v>19674</v>
      </c>
      <c r="AU12" s="492">
        <v>0.53500000000000003</v>
      </c>
      <c r="AV12" s="533">
        <f t="shared" si="42"/>
        <v>0.53500000000000003</v>
      </c>
      <c r="AW12" s="298">
        <f>-SUM('B5'!AI11)</f>
        <v>0</v>
      </c>
      <c r="AX12" s="298">
        <f t="shared" si="39"/>
        <v>2113.5483870967582</v>
      </c>
      <c r="AY12" s="37">
        <f t="shared" si="40"/>
        <v>2113.5483870967582</v>
      </c>
      <c r="AZ12" s="100">
        <f>ELEC!A9</f>
        <v>0</v>
      </c>
      <c r="BA12" s="118">
        <f>'General information '!D12</f>
        <v>27</v>
      </c>
      <c r="BB12" s="404">
        <f>SUM('General information '!E12)</f>
        <v>0.7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253.3</v>
      </c>
      <c r="C13" s="206">
        <f t="shared" si="18"/>
        <v>5450.0354838709682</v>
      </c>
      <c r="D13">
        <f t="shared" si="19"/>
        <v>253.3</v>
      </c>
      <c r="E13" s="206">
        <f t="shared" si="18"/>
        <v>5450.0354838709682</v>
      </c>
      <c r="F13">
        <f t="shared" si="20"/>
        <v>253.3</v>
      </c>
      <c r="G13" s="206">
        <f t="shared" si="1"/>
        <v>5450.0354838709682</v>
      </c>
      <c r="H13" s="206">
        <f t="shared" si="21"/>
        <v>253.3</v>
      </c>
      <c r="I13" s="206">
        <f t="shared" si="2"/>
        <v>5450.0354838709682</v>
      </c>
      <c r="J13" s="206">
        <f t="shared" si="22"/>
        <v>253.3</v>
      </c>
      <c r="K13" s="206">
        <f t="shared" si="3"/>
        <v>5450.0354838709682</v>
      </c>
      <c r="L13" s="206">
        <f t="shared" si="23"/>
        <v>253.3</v>
      </c>
      <c r="M13" s="206">
        <f t="shared" si="4"/>
        <v>5450.0354838709682</v>
      </c>
      <c r="N13" s="206">
        <f t="shared" si="24"/>
        <v>253.3</v>
      </c>
      <c r="O13" s="206">
        <f t="shared" si="5"/>
        <v>5450.0354838709682</v>
      </c>
      <c r="P13" s="206">
        <f t="shared" si="25"/>
        <v>253.3</v>
      </c>
      <c r="Q13" s="206">
        <f t="shared" si="6"/>
        <v>5450.0354838709682</v>
      </c>
      <c r="R13" s="206">
        <f t="shared" si="26"/>
        <v>253.3</v>
      </c>
      <c r="S13" s="206">
        <f t="shared" si="7"/>
        <v>5450.0354838709682</v>
      </c>
      <c r="T13" s="206">
        <f t="shared" si="27"/>
        <v>253.3</v>
      </c>
      <c r="U13" s="206">
        <f t="shared" si="8"/>
        <v>5450.0354838709682</v>
      </c>
      <c r="V13" s="206">
        <f t="shared" si="28"/>
        <v>253.3</v>
      </c>
      <c r="W13" s="206">
        <f t="shared" si="9"/>
        <v>5450.0354838709682</v>
      </c>
      <c r="X13" s="35">
        <f t="shared" si="10"/>
        <v>0.81709677419354843</v>
      </c>
      <c r="Y13" s="36">
        <f t="shared" si="29"/>
        <v>59950.39032258065</v>
      </c>
      <c r="Z13" s="206">
        <f>'B5'!C12</f>
        <v>259.5</v>
      </c>
      <c r="AA13" s="206">
        <f t="shared" si="30"/>
        <v>2595</v>
      </c>
      <c r="AB13" s="206">
        <f t="shared" si="31"/>
        <v>259.5</v>
      </c>
      <c r="AC13" s="206">
        <f t="shared" si="30"/>
        <v>2595</v>
      </c>
      <c r="AD13" s="206">
        <f t="shared" si="32"/>
        <v>259.5</v>
      </c>
      <c r="AE13" s="206">
        <f t="shared" si="11"/>
        <v>2595</v>
      </c>
      <c r="AF13" s="206">
        <f t="shared" si="33"/>
        <v>259.5</v>
      </c>
      <c r="AG13" s="206">
        <f t="shared" si="12"/>
        <v>2595</v>
      </c>
      <c r="AH13" s="206">
        <f t="shared" si="34"/>
        <v>259.5</v>
      </c>
      <c r="AI13" s="206">
        <f t="shared" si="13"/>
        <v>2595</v>
      </c>
      <c r="AJ13" s="206">
        <f t="shared" si="35"/>
        <v>259.5</v>
      </c>
      <c r="AK13" s="206">
        <f t="shared" si="14"/>
        <v>2595</v>
      </c>
      <c r="AL13" s="206">
        <f t="shared" si="36"/>
        <v>259.5</v>
      </c>
      <c r="AM13" s="206">
        <f t="shared" si="15"/>
        <v>2595</v>
      </c>
      <c r="AN13" s="35">
        <f t="shared" si="16"/>
        <v>0.92678571428571432</v>
      </c>
      <c r="AO13" s="36">
        <f t="shared" si="17"/>
        <v>18165</v>
      </c>
      <c r="AP13" s="594"/>
      <c r="AQ13" s="226">
        <f t="shared" si="37"/>
        <v>0.84022147276089754</v>
      </c>
      <c r="AR13" s="38">
        <f t="shared" si="41"/>
        <v>78115.390322580643</v>
      </c>
      <c r="AS13" s="200">
        <f t="shared" si="38"/>
        <v>-1134.1580645161157</v>
      </c>
      <c r="AT13" s="277"/>
      <c r="AU13" s="449"/>
      <c r="AV13" s="533">
        <f t="shared" si="42"/>
        <v>0.53500000000000003</v>
      </c>
      <c r="AW13" s="298">
        <f>-SUM('B5'!AI12)</f>
        <v>0</v>
      </c>
      <c r="AX13" s="298">
        <f t="shared" si="39"/>
        <v>-1134.1580645161157</v>
      </c>
      <c r="AY13" s="37">
        <f t="shared" si="40"/>
        <v>-1134.1580645161157</v>
      </c>
      <c r="AZ13" s="100">
        <f>ELEC!A10</f>
        <v>0</v>
      </c>
      <c r="BA13" s="118">
        <f>'General information '!D13</f>
        <v>28.5</v>
      </c>
      <c r="BB13" s="404">
        <f>SUM('General information '!E13)</f>
        <v>0.46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251.4</v>
      </c>
      <c r="C14" s="206">
        <f t="shared" si="18"/>
        <v>5409.1548387096773</v>
      </c>
      <c r="D14">
        <f t="shared" si="19"/>
        <v>251.4</v>
      </c>
      <c r="E14" s="206">
        <f t="shared" si="18"/>
        <v>5409.1548387096773</v>
      </c>
      <c r="F14">
        <f t="shared" si="20"/>
        <v>251.4</v>
      </c>
      <c r="G14" s="206">
        <f t="shared" si="1"/>
        <v>5409.1548387096773</v>
      </c>
      <c r="H14" s="206">
        <f t="shared" si="21"/>
        <v>251.4</v>
      </c>
      <c r="I14" s="206">
        <f t="shared" si="2"/>
        <v>5409.1548387096773</v>
      </c>
      <c r="J14" s="206">
        <f t="shared" si="22"/>
        <v>251.4</v>
      </c>
      <c r="K14" s="206">
        <f t="shared" si="3"/>
        <v>5409.1548387096773</v>
      </c>
      <c r="L14" s="206">
        <f t="shared" si="23"/>
        <v>251.4</v>
      </c>
      <c r="M14" s="206">
        <f t="shared" si="4"/>
        <v>5409.1548387096773</v>
      </c>
      <c r="N14" s="206">
        <f t="shared" si="24"/>
        <v>251.4</v>
      </c>
      <c r="O14" s="206">
        <f t="shared" si="5"/>
        <v>5409.1548387096773</v>
      </c>
      <c r="P14" s="206">
        <f t="shared" si="25"/>
        <v>251.4</v>
      </c>
      <c r="Q14" s="206">
        <f t="shared" si="6"/>
        <v>5409.1548387096773</v>
      </c>
      <c r="R14" s="206">
        <f t="shared" si="26"/>
        <v>251.4</v>
      </c>
      <c r="S14" s="206">
        <f t="shared" si="7"/>
        <v>5409.1548387096773</v>
      </c>
      <c r="T14" s="206">
        <f t="shared" si="27"/>
        <v>251.4</v>
      </c>
      <c r="U14" s="206">
        <f t="shared" si="8"/>
        <v>5409.1548387096773</v>
      </c>
      <c r="V14" s="206">
        <f t="shared" si="28"/>
        <v>251.4</v>
      </c>
      <c r="W14" s="206">
        <f t="shared" si="9"/>
        <v>5409.1548387096773</v>
      </c>
      <c r="X14" s="35">
        <f t="shared" si="10"/>
        <v>0.81096774193548382</v>
      </c>
      <c r="Y14" s="36">
        <f t="shared" si="29"/>
        <v>59500.70322580645</v>
      </c>
      <c r="Z14" s="206">
        <f>'B5'!C13</f>
        <v>257.39999999999998</v>
      </c>
      <c r="AA14" s="206">
        <f t="shared" si="30"/>
        <v>2574</v>
      </c>
      <c r="AB14" s="206">
        <f t="shared" si="31"/>
        <v>257.39999999999998</v>
      </c>
      <c r="AC14" s="206">
        <f t="shared" si="30"/>
        <v>2574</v>
      </c>
      <c r="AD14" s="206">
        <f t="shared" si="32"/>
        <v>257.39999999999998</v>
      </c>
      <c r="AE14" s="206">
        <f t="shared" si="11"/>
        <v>2574</v>
      </c>
      <c r="AF14" s="206">
        <f t="shared" si="33"/>
        <v>257.39999999999998</v>
      </c>
      <c r="AG14" s="206">
        <f t="shared" si="12"/>
        <v>2574</v>
      </c>
      <c r="AH14" s="206">
        <f t="shared" si="34"/>
        <v>257.39999999999998</v>
      </c>
      <c r="AI14" s="206">
        <f t="shared" si="13"/>
        <v>2574</v>
      </c>
      <c r="AJ14" s="206">
        <f t="shared" si="35"/>
        <v>257.39999999999998</v>
      </c>
      <c r="AK14" s="206">
        <f t="shared" si="14"/>
        <v>2574</v>
      </c>
      <c r="AL14" s="206">
        <f t="shared" si="36"/>
        <v>257.39999999999998</v>
      </c>
      <c r="AM14" s="206">
        <f t="shared" si="15"/>
        <v>2574</v>
      </c>
      <c r="AN14" s="35">
        <f t="shared" si="16"/>
        <v>0.91928571428571426</v>
      </c>
      <c r="AO14" s="36">
        <f t="shared" si="17"/>
        <v>18018</v>
      </c>
      <c r="AQ14" s="226">
        <f t="shared" si="37"/>
        <v>0.83380341213086417</v>
      </c>
      <c r="AR14" s="38">
        <f t="shared" si="41"/>
        <v>77518.703225806443</v>
      </c>
      <c r="AS14" s="200">
        <f t="shared" si="38"/>
        <v>-596.68709677419974</v>
      </c>
      <c r="AT14" s="277"/>
      <c r="AU14" s="492"/>
      <c r="AV14" s="533">
        <f t="shared" si="42"/>
        <v>0.53500000000000003</v>
      </c>
      <c r="AW14" s="298">
        <f>-SUM('B5'!AI13)</f>
        <v>0</v>
      </c>
      <c r="AX14" s="298">
        <f t="shared" si="39"/>
        <v>-596.68709677419974</v>
      </c>
      <c r="AY14" s="37">
        <f t="shared" si="40"/>
        <v>-596.68709677419974</v>
      </c>
      <c r="AZ14" s="100">
        <f>ELEC!A11</f>
        <v>0</v>
      </c>
      <c r="BA14" s="118">
        <f>'General information '!D14</f>
        <v>29</v>
      </c>
      <c r="BB14" s="404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250</v>
      </c>
      <c r="C15" s="206">
        <f t="shared" si="18"/>
        <v>5379.0322580645161</v>
      </c>
      <c r="D15">
        <f t="shared" si="19"/>
        <v>250</v>
      </c>
      <c r="E15" s="206">
        <f t="shared" si="18"/>
        <v>5379.0322580645161</v>
      </c>
      <c r="F15">
        <f t="shared" si="20"/>
        <v>250</v>
      </c>
      <c r="G15" s="206">
        <f t="shared" si="1"/>
        <v>5379.0322580645161</v>
      </c>
      <c r="H15" s="206">
        <f t="shared" si="21"/>
        <v>250</v>
      </c>
      <c r="I15" s="206">
        <f t="shared" si="2"/>
        <v>5379.0322580645161</v>
      </c>
      <c r="J15" s="206">
        <f t="shared" si="22"/>
        <v>250</v>
      </c>
      <c r="K15" s="206">
        <f t="shared" si="3"/>
        <v>5379.0322580645161</v>
      </c>
      <c r="L15" s="206">
        <f t="shared" si="23"/>
        <v>250</v>
      </c>
      <c r="M15" s="206">
        <f t="shared" si="4"/>
        <v>5379.0322580645161</v>
      </c>
      <c r="N15" s="206">
        <f t="shared" si="24"/>
        <v>250</v>
      </c>
      <c r="O15" s="206">
        <f t="shared" si="5"/>
        <v>5379.0322580645161</v>
      </c>
      <c r="P15" s="206">
        <f t="shared" si="25"/>
        <v>250</v>
      </c>
      <c r="Q15" s="206">
        <f t="shared" si="6"/>
        <v>5379.0322580645161</v>
      </c>
      <c r="R15" s="206">
        <f t="shared" si="26"/>
        <v>250</v>
      </c>
      <c r="S15" s="206">
        <f t="shared" si="7"/>
        <v>5379.0322580645161</v>
      </c>
      <c r="T15" s="206">
        <f t="shared" si="27"/>
        <v>250</v>
      </c>
      <c r="U15" s="206">
        <f t="shared" si="8"/>
        <v>5379.0322580645161</v>
      </c>
      <c r="V15" s="206">
        <f t="shared" si="28"/>
        <v>250</v>
      </c>
      <c r="W15" s="206">
        <f t="shared" si="9"/>
        <v>5379.0322580645161</v>
      </c>
      <c r="X15" s="35">
        <f t="shared" si="10"/>
        <v>0.80645161290322576</v>
      </c>
      <c r="Y15" s="36">
        <f t="shared" si="29"/>
        <v>59169.354838709674</v>
      </c>
      <c r="Z15" s="206">
        <f>'B5'!C14</f>
        <v>255.4</v>
      </c>
      <c r="AA15" s="206">
        <f t="shared" si="30"/>
        <v>2554</v>
      </c>
      <c r="AB15" s="206">
        <f t="shared" si="31"/>
        <v>255.4</v>
      </c>
      <c r="AC15" s="206">
        <f t="shared" si="30"/>
        <v>2554</v>
      </c>
      <c r="AD15" s="206">
        <f t="shared" si="32"/>
        <v>255.4</v>
      </c>
      <c r="AE15" s="206">
        <f t="shared" si="11"/>
        <v>2554</v>
      </c>
      <c r="AF15" s="206">
        <f t="shared" si="33"/>
        <v>255.4</v>
      </c>
      <c r="AG15" s="206">
        <f t="shared" si="12"/>
        <v>2554</v>
      </c>
      <c r="AH15" s="206">
        <f t="shared" si="34"/>
        <v>255.4</v>
      </c>
      <c r="AI15" s="206">
        <f t="shared" si="13"/>
        <v>2554</v>
      </c>
      <c r="AJ15" s="206">
        <f t="shared" si="35"/>
        <v>255.4</v>
      </c>
      <c r="AK15" s="206">
        <f t="shared" si="14"/>
        <v>2554</v>
      </c>
      <c r="AL15" s="206">
        <f t="shared" si="36"/>
        <v>255.4</v>
      </c>
      <c r="AM15" s="206">
        <f t="shared" si="15"/>
        <v>2554</v>
      </c>
      <c r="AN15" s="35">
        <f t="shared" si="16"/>
        <v>0.91214285714285714</v>
      </c>
      <c r="AO15" s="36">
        <f t="shared" si="17"/>
        <v>17878</v>
      </c>
      <c r="AQ15" s="226">
        <f t="shared" si="37"/>
        <v>0.82873351445315335</v>
      </c>
      <c r="AR15" s="38">
        <f t="shared" si="41"/>
        <v>77047.354838709667</v>
      </c>
      <c r="AS15" s="200">
        <f>SUM(AR15-AR14-AT15)</f>
        <v>-471.3483870967757</v>
      </c>
      <c r="AT15" s="277"/>
      <c r="AU15" s="449"/>
      <c r="AV15" s="533">
        <f>IF(AT15&gt;0,AU15,AV14)</f>
        <v>0.53500000000000003</v>
      </c>
      <c r="AW15" s="298">
        <f>-SUM('B5'!AI14)</f>
        <v>0</v>
      </c>
      <c r="AX15" s="298">
        <f>-SUM(AW15-AS15)</f>
        <v>-471.3483870967757</v>
      </c>
      <c r="AY15" s="37">
        <f t="shared" si="40"/>
        <v>-471.3483870967757</v>
      </c>
      <c r="AZ15" s="100">
        <f>ELEC!A12</f>
        <v>0</v>
      </c>
      <c r="BA15" s="118">
        <f>'General information '!D15</f>
        <v>27</v>
      </c>
      <c r="BB15" s="404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248</v>
      </c>
      <c r="C16" s="206">
        <f t="shared" si="18"/>
        <v>5336</v>
      </c>
      <c r="D16">
        <f t="shared" si="19"/>
        <v>248</v>
      </c>
      <c r="E16" s="206">
        <f t="shared" si="18"/>
        <v>5336</v>
      </c>
      <c r="F16">
        <f t="shared" si="20"/>
        <v>248</v>
      </c>
      <c r="G16" s="206">
        <f t="shared" si="1"/>
        <v>5336</v>
      </c>
      <c r="H16" s="206">
        <f t="shared" si="21"/>
        <v>248</v>
      </c>
      <c r="I16" s="206">
        <f t="shared" si="2"/>
        <v>5336</v>
      </c>
      <c r="J16" s="206">
        <f t="shared" si="22"/>
        <v>248</v>
      </c>
      <c r="K16" s="206">
        <f t="shared" si="3"/>
        <v>5336</v>
      </c>
      <c r="L16" s="206">
        <f t="shared" si="23"/>
        <v>248</v>
      </c>
      <c r="M16" s="206">
        <f t="shared" si="4"/>
        <v>5336</v>
      </c>
      <c r="N16" s="206">
        <f t="shared" si="24"/>
        <v>248</v>
      </c>
      <c r="O16" s="206">
        <f t="shared" si="5"/>
        <v>5336</v>
      </c>
      <c r="P16" s="206">
        <f t="shared" si="25"/>
        <v>248</v>
      </c>
      <c r="Q16" s="206">
        <f t="shared" si="6"/>
        <v>5336</v>
      </c>
      <c r="R16" s="206">
        <f t="shared" si="26"/>
        <v>248</v>
      </c>
      <c r="S16" s="206">
        <f t="shared" si="7"/>
        <v>5336</v>
      </c>
      <c r="T16" s="206">
        <f t="shared" si="27"/>
        <v>248</v>
      </c>
      <c r="U16" s="206">
        <f t="shared" si="8"/>
        <v>5336</v>
      </c>
      <c r="V16" s="206">
        <f t="shared" si="28"/>
        <v>248</v>
      </c>
      <c r="W16" s="206">
        <f t="shared" si="9"/>
        <v>5336</v>
      </c>
      <c r="X16" s="35">
        <f t="shared" si="10"/>
        <v>0.8</v>
      </c>
      <c r="Y16" s="36">
        <f t="shared" si="29"/>
        <v>58696</v>
      </c>
      <c r="Z16" s="206">
        <f>'B5'!C15</f>
        <v>253.3</v>
      </c>
      <c r="AA16" s="206">
        <f t="shared" si="30"/>
        <v>2533</v>
      </c>
      <c r="AB16" s="206">
        <f t="shared" si="31"/>
        <v>253.3</v>
      </c>
      <c r="AC16" s="206">
        <f t="shared" si="30"/>
        <v>2533</v>
      </c>
      <c r="AD16" s="206">
        <f t="shared" si="32"/>
        <v>253.3</v>
      </c>
      <c r="AE16" s="206">
        <f t="shared" si="11"/>
        <v>2533</v>
      </c>
      <c r="AF16" s="206">
        <f t="shared" si="33"/>
        <v>253.3</v>
      </c>
      <c r="AG16" s="206">
        <f t="shared" si="12"/>
        <v>2533</v>
      </c>
      <c r="AH16" s="206">
        <f t="shared" si="34"/>
        <v>253.3</v>
      </c>
      <c r="AI16" s="206">
        <f t="shared" si="13"/>
        <v>2533</v>
      </c>
      <c r="AJ16" s="206">
        <f t="shared" si="35"/>
        <v>253.3</v>
      </c>
      <c r="AK16" s="206">
        <f t="shared" si="14"/>
        <v>2533</v>
      </c>
      <c r="AL16" s="206">
        <f t="shared" si="36"/>
        <v>253.3</v>
      </c>
      <c r="AM16" s="206">
        <f t="shared" si="15"/>
        <v>2533</v>
      </c>
      <c r="AN16" s="35">
        <f t="shared" si="16"/>
        <v>0.90464285714285719</v>
      </c>
      <c r="AO16" s="36">
        <f t="shared" si="17"/>
        <v>17731</v>
      </c>
      <c r="AQ16" s="226">
        <f t="shared" si="37"/>
        <v>0.82206087985371623</v>
      </c>
      <c r="AR16" s="38">
        <f t="shared" si="41"/>
        <v>76427</v>
      </c>
      <c r="AS16" s="200">
        <f>SUM(AR16-AR15-AT16)</f>
        <v>-620.35483870966709</v>
      </c>
      <c r="AT16" s="277"/>
      <c r="AU16" s="449"/>
      <c r="AV16" s="533">
        <f>IF(AT16&gt;0,AU16,AV15)</f>
        <v>0.53500000000000003</v>
      </c>
      <c r="AW16" s="298">
        <f>-SUM('B5'!AI15)</f>
        <v>-115.20000000001164</v>
      </c>
      <c r="AX16" s="298">
        <f>-SUM(AW16-AS16)</f>
        <v>-505.15483870965545</v>
      </c>
      <c r="AY16" s="37">
        <f t="shared" si="40"/>
        <v>-620.35483870966709</v>
      </c>
      <c r="AZ16" s="100">
        <f>ELEC!A13</f>
        <v>0</v>
      </c>
      <c r="BA16" s="118">
        <f>'General information '!D16</f>
        <v>28.5</v>
      </c>
      <c r="BB16" s="404">
        <f>SUM('General information '!E16)</f>
        <v>0.67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242.4</v>
      </c>
      <c r="C17" s="206">
        <f t="shared" si="18"/>
        <v>5215.5096774193553</v>
      </c>
      <c r="D17">
        <f t="shared" si="19"/>
        <v>242.4</v>
      </c>
      <c r="E17" s="206">
        <f t="shared" si="18"/>
        <v>5215.5096774193553</v>
      </c>
      <c r="F17">
        <f t="shared" si="20"/>
        <v>242.4</v>
      </c>
      <c r="G17" s="206">
        <f t="shared" si="1"/>
        <v>5215.5096774193553</v>
      </c>
      <c r="H17" s="206">
        <f t="shared" si="21"/>
        <v>242.4</v>
      </c>
      <c r="I17" s="206">
        <f t="shared" si="2"/>
        <v>5215.5096774193553</v>
      </c>
      <c r="J17" s="206">
        <f t="shared" si="22"/>
        <v>242.4</v>
      </c>
      <c r="K17" s="206">
        <f t="shared" si="3"/>
        <v>5215.5096774193553</v>
      </c>
      <c r="L17" s="206">
        <f t="shared" si="23"/>
        <v>242.4</v>
      </c>
      <c r="M17" s="206">
        <f t="shared" si="4"/>
        <v>5215.5096774193553</v>
      </c>
      <c r="N17" s="206">
        <f t="shared" si="24"/>
        <v>242.4</v>
      </c>
      <c r="O17" s="206">
        <f t="shared" si="5"/>
        <v>5215.5096774193553</v>
      </c>
      <c r="P17" s="206">
        <f t="shared" si="25"/>
        <v>242.4</v>
      </c>
      <c r="Q17" s="206">
        <f t="shared" si="6"/>
        <v>5215.5096774193553</v>
      </c>
      <c r="R17" s="206">
        <f t="shared" si="26"/>
        <v>242.4</v>
      </c>
      <c r="S17" s="206">
        <f t="shared" si="7"/>
        <v>5215.5096774193553</v>
      </c>
      <c r="T17" s="206">
        <f t="shared" si="27"/>
        <v>242.4</v>
      </c>
      <c r="U17" s="206">
        <f t="shared" si="8"/>
        <v>5215.5096774193553</v>
      </c>
      <c r="V17" s="206">
        <f t="shared" si="28"/>
        <v>242.4</v>
      </c>
      <c r="W17" s="206">
        <f t="shared" si="9"/>
        <v>5215.5096774193553</v>
      </c>
      <c r="X17" s="35">
        <f t="shared" si="10"/>
        <v>0.78193548387096767</v>
      </c>
      <c r="Y17" s="36">
        <f t="shared" si="29"/>
        <v>57370.606451612897</v>
      </c>
      <c r="Z17" s="206">
        <f>'B5'!C16</f>
        <v>248</v>
      </c>
      <c r="AA17" s="206">
        <f t="shared" si="30"/>
        <v>2480</v>
      </c>
      <c r="AB17" s="206">
        <f t="shared" si="31"/>
        <v>248</v>
      </c>
      <c r="AC17" s="206">
        <f t="shared" si="30"/>
        <v>2480</v>
      </c>
      <c r="AD17" s="206">
        <f t="shared" si="32"/>
        <v>248</v>
      </c>
      <c r="AE17" s="206">
        <f t="shared" si="11"/>
        <v>2480</v>
      </c>
      <c r="AF17" s="206">
        <f t="shared" si="33"/>
        <v>248</v>
      </c>
      <c r="AG17" s="206">
        <f t="shared" si="12"/>
        <v>2480</v>
      </c>
      <c r="AH17" s="206">
        <f t="shared" si="34"/>
        <v>248</v>
      </c>
      <c r="AI17" s="206">
        <f t="shared" si="13"/>
        <v>2480</v>
      </c>
      <c r="AJ17" s="206">
        <f t="shared" si="35"/>
        <v>248</v>
      </c>
      <c r="AK17" s="206">
        <f t="shared" si="14"/>
        <v>2480</v>
      </c>
      <c r="AL17" s="206">
        <f t="shared" si="36"/>
        <v>248</v>
      </c>
      <c r="AM17" s="206">
        <f t="shared" si="15"/>
        <v>2480</v>
      </c>
      <c r="AN17" s="35">
        <f t="shared" si="16"/>
        <v>0.88571428571428568</v>
      </c>
      <c r="AO17" s="36">
        <f>SUM(AA17+AC17+AE17+AG17+AI17+AK17+AM17)</f>
        <v>17360</v>
      </c>
      <c r="AQ17" s="226">
        <f t="shared" si="37"/>
        <v>0.80381420298604811</v>
      </c>
      <c r="AR17" s="38">
        <f t="shared" si="41"/>
        <v>74730.606451612897</v>
      </c>
      <c r="AS17" s="200">
        <f t="shared" si="38"/>
        <v>-1696.3935483871028</v>
      </c>
      <c r="AT17" s="365"/>
      <c r="AU17" s="492"/>
      <c r="AV17" s="533">
        <f t="shared" si="42"/>
        <v>0.53500000000000003</v>
      </c>
      <c r="AW17" s="298">
        <f>-SUM('B5'!AI16)</f>
        <v>0</v>
      </c>
      <c r="AX17" s="298">
        <f t="shared" si="39"/>
        <v>-1696.3935483871028</v>
      </c>
      <c r="AY17" s="37">
        <f t="shared" si="40"/>
        <v>-1696.3935483871028</v>
      </c>
      <c r="AZ17" s="100">
        <f>ELEC!A14</f>
        <v>0</v>
      </c>
      <c r="BA17" s="118">
        <f>'General information '!D17</f>
        <v>28</v>
      </c>
      <c r="BB17" s="404">
        <f>SUM('General information '!E17)</f>
        <v>0.67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242.4</v>
      </c>
      <c r="C18" s="206">
        <f t="shared" si="18"/>
        <v>5215.5096774193553</v>
      </c>
      <c r="D18">
        <f t="shared" si="19"/>
        <v>242.4</v>
      </c>
      <c r="E18" s="206">
        <f t="shared" si="18"/>
        <v>5215.5096774193553</v>
      </c>
      <c r="F18">
        <f t="shared" si="20"/>
        <v>242.4</v>
      </c>
      <c r="G18" s="206">
        <f t="shared" si="1"/>
        <v>5215.5096774193553</v>
      </c>
      <c r="H18" s="206">
        <f t="shared" si="21"/>
        <v>242.4</v>
      </c>
      <c r="I18" s="206">
        <f t="shared" si="2"/>
        <v>5215.5096774193553</v>
      </c>
      <c r="J18" s="206">
        <f t="shared" si="22"/>
        <v>242.4</v>
      </c>
      <c r="K18" s="206">
        <f t="shared" si="3"/>
        <v>5215.5096774193553</v>
      </c>
      <c r="L18" s="206">
        <f t="shared" si="23"/>
        <v>242.4</v>
      </c>
      <c r="M18" s="206">
        <f t="shared" si="4"/>
        <v>5215.5096774193553</v>
      </c>
      <c r="N18" s="206">
        <f t="shared" si="24"/>
        <v>242.4</v>
      </c>
      <c r="O18" s="206">
        <f t="shared" si="5"/>
        <v>5215.5096774193553</v>
      </c>
      <c r="P18" s="206">
        <f t="shared" si="25"/>
        <v>242.4</v>
      </c>
      <c r="Q18" s="206">
        <f t="shared" si="6"/>
        <v>5215.5096774193553</v>
      </c>
      <c r="R18" s="206">
        <f t="shared" si="26"/>
        <v>242.4</v>
      </c>
      <c r="S18" s="206">
        <f t="shared" si="7"/>
        <v>5215.5096774193553</v>
      </c>
      <c r="T18" s="206">
        <f t="shared" si="27"/>
        <v>242.4</v>
      </c>
      <c r="U18" s="206">
        <f t="shared" si="8"/>
        <v>5215.5096774193553</v>
      </c>
      <c r="V18" s="206">
        <f t="shared" si="28"/>
        <v>242.4</v>
      </c>
      <c r="W18" s="206">
        <f t="shared" si="9"/>
        <v>5215.5096774193553</v>
      </c>
      <c r="X18" s="35">
        <f t="shared" si="10"/>
        <v>0.78193548387096767</v>
      </c>
      <c r="Y18" s="36">
        <f t="shared" si="29"/>
        <v>57370.606451612897</v>
      </c>
      <c r="Z18" s="206">
        <f>'B5'!C17</f>
        <v>248</v>
      </c>
      <c r="AA18" s="206">
        <f t="shared" si="30"/>
        <v>2480</v>
      </c>
      <c r="AB18" s="206">
        <f t="shared" si="31"/>
        <v>248</v>
      </c>
      <c r="AC18" s="206">
        <f t="shared" si="30"/>
        <v>2480</v>
      </c>
      <c r="AD18" s="206">
        <f t="shared" si="32"/>
        <v>248</v>
      </c>
      <c r="AE18" s="206">
        <f t="shared" si="11"/>
        <v>2480</v>
      </c>
      <c r="AF18" s="206">
        <f t="shared" si="33"/>
        <v>248</v>
      </c>
      <c r="AG18" s="206">
        <f t="shared" si="12"/>
        <v>2480</v>
      </c>
      <c r="AH18" s="206">
        <f t="shared" si="34"/>
        <v>248</v>
      </c>
      <c r="AI18" s="206">
        <f t="shared" si="13"/>
        <v>2480</v>
      </c>
      <c r="AJ18" s="206">
        <f t="shared" si="35"/>
        <v>248</v>
      </c>
      <c r="AK18" s="206">
        <f t="shared" si="14"/>
        <v>2480</v>
      </c>
      <c r="AL18" s="206">
        <f t="shared" si="36"/>
        <v>248</v>
      </c>
      <c r="AM18" s="206">
        <f t="shared" si="15"/>
        <v>2480</v>
      </c>
      <c r="AN18" s="35">
        <f t="shared" si="16"/>
        <v>0.88571428571428568</v>
      </c>
      <c r="AO18" s="36">
        <f t="shared" si="17"/>
        <v>17360</v>
      </c>
      <c r="AQ18" s="226">
        <f t="shared" si="37"/>
        <v>0.80381420298604811</v>
      </c>
      <c r="AR18" s="38">
        <f t="shared" si="41"/>
        <v>74730.606451612897</v>
      </c>
      <c r="AS18" s="200">
        <f t="shared" si="38"/>
        <v>0</v>
      </c>
      <c r="AT18" s="277"/>
      <c r="AU18" s="449"/>
      <c r="AV18" s="533">
        <f>IF(AT18&gt;0,AU18,AV17)</f>
        <v>0.53500000000000003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27.5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1029.535864978903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238</v>
      </c>
      <c r="C19" s="206">
        <f t="shared" si="18"/>
        <v>5120.8387096774195</v>
      </c>
      <c r="D19">
        <f t="shared" si="19"/>
        <v>238</v>
      </c>
      <c r="E19" s="206">
        <f t="shared" si="18"/>
        <v>5120.8387096774195</v>
      </c>
      <c r="F19">
        <f t="shared" si="20"/>
        <v>238</v>
      </c>
      <c r="G19" s="206">
        <f t="shared" si="1"/>
        <v>5120.8387096774195</v>
      </c>
      <c r="H19" s="206">
        <f t="shared" si="21"/>
        <v>238</v>
      </c>
      <c r="I19" s="206">
        <f t="shared" si="2"/>
        <v>5120.8387096774195</v>
      </c>
      <c r="J19" s="206">
        <f t="shared" si="22"/>
        <v>238</v>
      </c>
      <c r="K19" s="206">
        <f t="shared" si="3"/>
        <v>5120.8387096774195</v>
      </c>
      <c r="L19" s="206">
        <f t="shared" si="23"/>
        <v>238</v>
      </c>
      <c r="M19" s="206">
        <f t="shared" si="4"/>
        <v>5120.8387096774195</v>
      </c>
      <c r="N19" s="206">
        <f t="shared" si="24"/>
        <v>238</v>
      </c>
      <c r="O19" s="206">
        <f t="shared" si="5"/>
        <v>5120.8387096774195</v>
      </c>
      <c r="P19" s="206">
        <f t="shared" si="25"/>
        <v>238</v>
      </c>
      <c r="Q19" s="206">
        <f t="shared" si="6"/>
        <v>5120.8387096774195</v>
      </c>
      <c r="R19" s="206">
        <f t="shared" si="26"/>
        <v>238</v>
      </c>
      <c r="S19" s="206">
        <f t="shared" si="7"/>
        <v>5120.8387096774195</v>
      </c>
      <c r="T19" s="206">
        <f t="shared" si="27"/>
        <v>238</v>
      </c>
      <c r="U19" s="206">
        <f t="shared" si="8"/>
        <v>5120.8387096774195</v>
      </c>
      <c r="V19" s="206">
        <f t="shared" si="28"/>
        <v>238</v>
      </c>
      <c r="W19" s="206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206">
        <f>'B5'!C18</f>
        <v>244.5</v>
      </c>
      <c r="AA19" s="206">
        <f t="shared" si="30"/>
        <v>2445</v>
      </c>
      <c r="AB19" s="206">
        <f t="shared" si="31"/>
        <v>244.5</v>
      </c>
      <c r="AC19" s="206">
        <f t="shared" si="30"/>
        <v>2445</v>
      </c>
      <c r="AD19" s="206">
        <f t="shared" si="32"/>
        <v>244.5</v>
      </c>
      <c r="AE19" s="206">
        <f t="shared" si="11"/>
        <v>2445</v>
      </c>
      <c r="AF19" s="206">
        <f t="shared" si="33"/>
        <v>244.5</v>
      </c>
      <c r="AG19" s="206">
        <f t="shared" si="12"/>
        <v>2445</v>
      </c>
      <c r="AH19" s="206">
        <f t="shared" si="34"/>
        <v>244.5</v>
      </c>
      <c r="AI19" s="206">
        <f t="shared" si="13"/>
        <v>2445</v>
      </c>
      <c r="AJ19" s="206">
        <f t="shared" si="35"/>
        <v>244.5</v>
      </c>
      <c r="AK19" s="206">
        <f t="shared" si="14"/>
        <v>2445</v>
      </c>
      <c r="AL19" s="206">
        <f t="shared" si="36"/>
        <v>244.5</v>
      </c>
      <c r="AM19" s="206">
        <f t="shared" si="15"/>
        <v>2445</v>
      </c>
      <c r="AN19" s="35">
        <f t="shared" si="16"/>
        <v>0.87321428571428572</v>
      </c>
      <c r="AO19" s="36">
        <f t="shared" si="17"/>
        <v>17115</v>
      </c>
      <c r="AQ19" s="226">
        <f t="shared" si="37"/>
        <v>0.78997768964667747</v>
      </c>
      <c r="AR19" s="38">
        <f t="shared" si="41"/>
        <v>73444.225806451606</v>
      </c>
      <c r="AS19" s="200">
        <f t="shared" si="38"/>
        <v>-1286.3806451612909</v>
      </c>
      <c r="AT19" s="277"/>
      <c r="AU19" s="449"/>
      <c r="AV19" s="533">
        <f t="shared" si="42"/>
        <v>0.53500000000000003</v>
      </c>
      <c r="AW19" s="298">
        <f>-SUM('B5'!AI18)</f>
        <v>0</v>
      </c>
      <c r="AX19" s="298">
        <f t="shared" si="39"/>
        <v>-1286.3806451612909</v>
      </c>
      <c r="AY19" s="37">
        <f t="shared" si="40"/>
        <v>-1286.3806451612909</v>
      </c>
      <c r="AZ19" s="100">
        <f>ELEC!A16</f>
        <v>0</v>
      </c>
      <c r="BA19" s="118">
        <f>'General information '!D19</f>
        <v>27.5</v>
      </c>
      <c r="BB19" s="404">
        <f>SUM('General information '!E19)</f>
        <v>0.68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235</v>
      </c>
      <c r="C20" s="206">
        <f t="shared" si="18"/>
        <v>5056.2903225806449</v>
      </c>
      <c r="D20">
        <f t="shared" si="19"/>
        <v>235</v>
      </c>
      <c r="E20" s="206">
        <f t="shared" si="18"/>
        <v>5056.2903225806449</v>
      </c>
      <c r="F20">
        <f t="shared" si="20"/>
        <v>235</v>
      </c>
      <c r="G20" s="206">
        <f t="shared" si="1"/>
        <v>5056.2903225806449</v>
      </c>
      <c r="H20" s="206">
        <f t="shared" si="21"/>
        <v>235</v>
      </c>
      <c r="I20" s="206">
        <f t="shared" si="2"/>
        <v>5056.2903225806449</v>
      </c>
      <c r="J20" s="206">
        <f t="shared" si="22"/>
        <v>235</v>
      </c>
      <c r="K20" s="206">
        <f t="shared" si="3"/>
        <v>5056.2903225806449</v>
      </c>
      <c r="L20" s="206">
        <f t="shared" si="23"/>
        <v>235</v>
      </c>
      <c r="M20" s="206">
        <f t="shared" si="4"/>
        <v>5056.2903225806449</v>
      </c>
      <c r="N20" s="206">
        <f t="shared" si="24"/>
        <v>235</v>
      </c>
      <c r="O20" s="206">
        <f t="shared" si="5"/>
        <v>5056.2903225806449</v>
      </c>
      <c r="P20" s="206">
        <f t="shared" si="25"/>
        <v>235</v>
      </c>
      <c r="Q20" s="206">
        <f t="shared" si="6"/>
        <v>5056.2903225806449</v>
      </c>
      <c r="R20" s="206">
        <f t="shared" si="26"/>
        <v>235</v>
      </c>
      <c r="S20" s="206">
        <f t="shared" si="7"/>
        <v>5056.2903225806449</v>
      </c>
      <c r="T20" s="206">
        <f t="shared" si="27"/>
        <v>235</v>
      </c>
      <c r="U20" s="206">
        <f t="shared" si="8"/>
        <v>5056.2903225806449</v>
      </c>
      <c r="V20" s="206">
        <f t="shared" si="28"/>
        <v>235</v>
      </c>
      <c r="W20" s="206">
        <f t="shared" si="9"/>
        <v>5056.2903225806449</v>
      </c>
      <c r="X20" s="35">
        <f t="shared" si="10"/>
        <v>0.75806451612903214</v>
      </c>
      <c r="Y20" s="36">
        <f t="shared" si="29"/>
        <v>55619.193548387091</v>
      </c>
      <c r="Z20" s="206">
        <f>'B5'!C19</f>
        <v>241.2</v>
      </c>
      <c r="AA20" s="206">
        <f t="shared" si="30"/>
        <v>2412</v>
      </c>
      <c r="AB20" s="206">
        <f t="shared" si="31"/>
        <v>241.2</v>
      </c>
      <c r="AC20" s="206">
        <f t="shared" si="30"/>
        <v>2412</v>
      </c>
      <c r="AD20" s="206">
        <f t="shared" si="32"/>
        <v>241.2</v>
      </c>
      <c r="AE20" s="206">
        <f t="shared" si="11"/>
        <v>2412</v>
      </c>
      <c r="AF20" s="206">
        <f t="shared" si="33"/>
        <v>241.2</v>
      </c>
      <c r="AG20" s="206">
        <f t="shared" si="12"/>
        <v>2412</v>
      </c>
      <c r="AH20" s="206">
        <f t="shared" si="34"/>
        <v>241.2</v>
      </c>
      <c r="AI20" s="206">
        <f t="shared" si="13"/>
        <v>2412</v>
      </c>
      <c r="AJ20" s="206">
        <f t="shared" si="35"/>
        <v>241.2</v>
      </c>
      <c r="AK20" s="206">
        <f t="shared" si="14"/>
        <v>2412</v>
      </c>
      <c r="AL20" s="206">
        <f t="shared" si="36"/>
        <v>241.2</v>
      </c>
      <c r="AM20" s="206">
        <f t="shared" si="15"/>
        <v>2412</v>
      </c>
      <c r="AN20" s="35">
        <f t="shared" si="16"/>
        <v>0.86142857142857143</v>
      </c>
      <c r="AO20" s="36">
        <f t="shared" si="17"/>
        <v>16884</v>
      </c>
      <c r="AQ20" s="226">
        <f t="shared" si="37"/>
        <v>0.77985579808956751</v>
      </c>
      <c r="AR20" s="38">
        <f t="shared" si="41"/>
        <v>72503.193548387091</v>
      </c>
      <c r="AS20" s="200">
        <f t="shared" si="38"/>
        <v>-941.03225806451519</v>
      </c>
      <c r="AT20" s="277"/>
      <c r="AU20" s="449"/>
      <c r="AV20" s="533">
        <f t="shared" si="42"/>
        <v>0.53500000000000003</v>
      </c>
      <c r="AW20" s="298">
        <f>-SUM('B5'!AI19)</f>
        <v>0</v>
      </c>
      <c r="AX20" s="298">
        <f t="shared" si="39"/>
        <v>-941.03225806451519</v>
      </c>
      <c r="AY20" s="37">
        <f t="shared" si="40"/>
        <v>-941.03225806451519</v>
      </c>
      <c r="AZ20" s="100">
        <f>ELEC!A17</f>
        <v>0</v>
      </c>
      <c r="BA20" s="118">
        <f>'General information '!D20</f>
        <v>27.5</v>
      </c>
      <c r="BB20" s="404">
        <f>SUM('General information '!E20)</f>
        <v>0.67</v>
      </c>
      <c r="BC20" s="3">
        <f t="shared" si="43"/>
        <v>0</v>
      </c>
      <c r="BD20" s="102">
        <v>19222</v>
      </c>
      <c r="BE20" s="14">
        <f>(305/1185)*ELEC!Q18</f>
        <v>514.76793248945148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234.4</v>
      </c>
      <c r="C21" s="206">
        <f t="shared" si="18"/>
        <v>5043.38064516129</v>
      </c>
      <c r="D21">
        <f t="shared" si="19"/>
        <v>234.4</v>
      </c>
      <c r="E21" s="206">
        <f t="shared" si="18"/>
        <v>5043.38064516129</v>
      </c>
      <c r="F21">
        <f t="shared" si="20"/>
        <v>234.4</v>
      </c>
      <c r="G21" s="206">
        <f t="shared" si="1"/>
        <v>5043.38064516129</v>
      </c>
      <c r="H21" s="206">
        <f t="shared" si="21"/>
        <v>234.4</v>
      </c>
      <c r="I21" s="206">
        <f t="shared" si="2"/>
        <v>5043.38064516129</v>
      </c>
      <c r="J21" s="206">
        <f t="shared" si="22"/>
        <v>234.4</v>
      </c>
      <c r="K21" s="206">
        <f t="shared" si="3"/>
        <v>5043.38064516129</v>
      </c>
      <c r="L21" s="206">
        <f t="shared" si="23"/>
        <v>234.4</v>
      </c>
      <c r="M21" s="206">
        <f t="shared" si="4"/>
        <v>5043.38064516129</v>
      </c>
      <c r="N21" s="206">
        <f t="shared" si="24"/>
        <v>234.4</v>
      </c>
      <c r="O21" s="206">
        <f t="shared" si="5"/>
        <v>5043.38064516129</v>
      </c>
      <c r="P21" s="206">
        <f t="shared" si="25"/>
        <v>234.4</v>
      </c>
      <c r="Q21" s="206">
        <f t="shared" si="6"/>
        <v>5043.38064516129</v>
      </c>
      <c r="R21" s="206">
        <f t="shared" si="26"/>
        <v>234.4</v>
      </c>
      <c r="S21" s="206">
        <f t="shared" si="7"/>
        <v>5043.38064516129</v>
      </c>
      <c r="T21" s="206">
        <f t="shared" si="27"/>
        <v>234.4</v>
      </c>
      <c r="U21" s="206">
        <f t="shared" si="8"/>
        <v>5043.38064516129</v>
      </c>
      <c r="V21" s="206">
        <f t="shared" si="28"/>
        <v>234.4</v>
      </c>
      <c r="W21" s="206">
        <f t="shared" si="9"/>
        <v>5043.38064516129</v>
      </c>
      <c r="X21" s="35">
        <f t="shared" si="10"/>
        <v>0.75612903225806449</v>
      </c>
      <c r="Y21" s="36">
        <f t="shared" si="29"/>
        <v>55477.187096774192</v>
      </c>
      <c r="Z21" s="206">
        <f>'B5'!C20</f>
        <v>240.1</v>
      </c>
      <c r="AA21" s="206">
        <f t="shared" si="30"/>
        <v>2401</v>
      </c>
      <c r="AB21" s="206">
        <f t="shared" si="31"/>
        <v>240.1</v>
      </c>
      <c r="AC21" s="206">
        <f t="shared" si="30"/>
        <v>2401</v>
      </c>
      <c r="AD21" s="206">
        <f t="shared" si="32"/>
        <v>240.1</v>
      </c>
      <c r="AE21" s="206">
        <f t="shared" si="11"/>
        <v>2401</v>
      </c>
      <c r="AF21" s="206">
        <f t="shared" si="33"/>
        <v>240.1</v>
      </c>
      <c r="AG21" s="206">
        <f t="shared" si="12"/>
        <v>2401</v>
      </c>
      <c r="AH21" s="206">
        <f t="shared" si="34"/>
        <v>240.1</v>
      </c>
      <c r="AI21" s="206">
        <f t="shared" si="13"/>
        <v>2401</v>
      </c>
      <c r="AJ21" s="206">
        <f t="shared" si="35"/>
        <v>240.1</v>
      </c>
      <c r="AK21" s="206">
        <f t="shared" si="14"/>
        <v>2401</v>
      </c>
      <c r="AL21" s="206">
        <f t="shared" si="36"/>
        <v>240.1</v>
      </c>
      <c r="AM21" s="206">
        <f t="shared" si="15"/>
        <v>2401</v>
      </c>
      <c r="AN21" s="35">
        <f t="shared" si="16"/>
        <v>0.85750000000000004</v>
      </c>
      <c r="AO21" s="36">
        <f t="shared" si="17"/>
        <v>16807</v>
      </c>
      <c r="AQ21" s="226">
        <f t="shared" si="37"/>
        <v>0.77750013011481334</v>
      </c>
      <c r="AR21" s="38">
        <f t="shared" si="41"/>
        <v>72284.1870967742</v>
      </c>
      <c r="AS21" s="200">
        <f>SUM(AR21-AR20-AT21)</f>
        <v>-219.0064516128914</v>
      </c>
      <c r="AT21" s="277"/>
      <c r="AU21" s="449"/>
      <c r="AV21" s="533">
        <f t="shared" si="42"/>
        <v>0.53500000000000003</v>
      </c>
      <c r="AW21" s="298">
        <f>-SUM('B5'!AI20)</f>
        <v>0</v>
      </c>
      <c r="AX21" s="298">
        <f t="shared" si="39"/>
        <v>-219.0064516128914</v>
      </c>
      <c r="AY21" s="37">
        <f t="shared" si="40"/>
        <v>-219.0064516128914</v>
      </c>
      <c r="AZ21" s="100">
        <f>ELEC!A18</f>
        <v>0</v>
      </c>
      <c r="BA21" s="118">
        <f>'General information '!D21</f>
        <v>28</v>
      </c>
      <c r="BB21" s="404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232</v>
      </c>
      <c r="C22" s="206">
        <f t="shared" si="18"/>
        <v>4991.7419354838712</v>
      </c>
      <c r="D22">
        <f t="shared" si="19"/>
        <v>232</v>
      </c>
      <c r="E22" s="206">
        <f t="shared" si="18"/>
        <v>4991.7419354838712</v>
      </c>
      <c r="F22">
        <f t="shared" si="20"/>
        <v>232</v>
      </c>
      <c r="G22" s="206">
        <f t="shared" si="1"/>
        <v>4991.7419354838712</v>
      </c>
      <c r="H22" s="206">
        <f t="shared" si="21"/>
        <v>232</v>
      </c>
      <c r="I22" s="206">
        <f t="shared" si="2"/>
        <v>4991.7419354838712</v>
      </c>
      <c r="J22" s="206">
        <f t="shared" si="22"/>
        <v>232</v>
      </c>
      <c r="K22" s="206">
        <f t="shared" si="3"/>
        <v>4991.7419354838712</v>
      </c>
      <c r="L22" s="206">
        <f t="shared" si="23"/>
        <v>232</v>
      </c>
      <c r="M22" s="206">
        <f t="shared" si="4"/>
        <v>4991.7419354838712</v>
      </c>
      <c r="N22" s="206">
        <f t="shared" si="24"/>
        <v>232</v>
      </c>
      <c r="O22" s="206">
        <f t="shared" si="5"/>
        <v>4991.7419354838712</v>
      </c>
      <c r="P22" s="206">
        <f t="shared" si="25"/>
        <v>232</v>
      </c>
      <c r="Q22" s="206">
        <f t="shared" si="6"/>
        <v>4991.7419354838712</v>
      </c>
      <c r="R22" s="206">
        <f t="shared" si="26"/>
        <v>232</v>
      </c>
      <c r="S22" s="206">
        <f t="shared" si="7"/>
        <v>4991.7419354838712</v>
      </c>
      <c r="T22" s="206">
        <f t="shared" si="27"/>
        <v>232</v>
      </c>
      <c r="U22" s="206">
        <f t="shared" si="8"/>
        <v>4991.7419354838712</v>
      </c>
      <c r="V22" s="206">
        <f t="shared" si="28"/>
        <v>232</v>
      </c>
      <c r="W22" s="206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6">
        <f>'B5'!C21</f>
        <v>238.1</v>
      </c>
      <c r="AA22" s="206">
        <f t="shared" si="30"/>
        <v>2381</v>
      </c>
      <c r="AB22" s="206">
        <f t="shared" si="31"/>
        <v>238.1</v>
      </c>
      <c r="AC22" s="206">
        <f t="shared" si="30"/>
        <v>2381</v>
      </c>
      <c r="AD22" s="206">
        <f t="shared" si="32"/>
        <v>238.1</v>
      </c>
      <c r="AE22" s="206">
        <f t="shared" si="11"/>
        <v>2381</v>
      </c>
      <c r="AF22" s="206">
        <f t="shared" si="33"/>
        <v>238.1</v>
      </c>
      <c r="AG22" s="206">
        <f t="shared" si="12"/>
        <v>2381</v>
      </c>
      <c r="AH22" s="206">
        <f t="shared" si="34"/>
        <v>238.1</v>
      </c>
      <c r="AI22" s="206">
        <f t="shared" si="13"/>
        <v>2381</v>
      </c>
      <c r="AJ22" s="206">
        <f t="shared" si="35"/>
        <v>238.1</v>
      </c>
      <c r="AK22" s="206">
        <f t="shared" si="14"/>
        <v>2381</v>
      </c>
      <c r="AL22" s="206">
        <f t="shared" si="36"/>
        <v>238.1</v>
      </c>
      <c r="AM22" s="206">
        <f t="shared" si="15"/>
        <v>2381</v>
      </c>
      <c r="AN22" s="35">
        <f t="shared" si="16"/>
        <v>0.85035714285714281</v>
      </c>
      <c r="AO22" s="36">
        <f t="shared" si="17"/>
        <v>16667</v>
      </c>
      <c r="AQ22" s="226">
        <f t="shared" si="37"/>
        <v>0.76988449274306314</v>
      </c>
      <c r="AR22" s="38">
        <f t="shared" si="41"/>
        <v>71576.161290322576</v>
      </c>
      <c r="AS22" s="200">
        <f t="shared" si="38"/>
        <v>-708.02580645162379</v>
      </c>
      <c r="AT22" s="277"/>
      <c r="AU22" s="449"/>
      <c r="AV22" s="533">
        <f t="shared" si="42"/>
        <v>0.53500000000000003</v>
      </c>
      <c r="AW22" s="298">
        <f>-SUM('B5'!AI21)</f>
        <v>0</v>
      </c>
      <c r="AX22" s="298">
        <f t="shared" si="39"/>
        <v>-708.02580645162379</v>
      </c>
      <c r="AY22" s="37">
        <f t="shared" si="40"/>
        <v>-708.02580645162379</v>
      </c>
      <c r="AZ22" s="100">
        <f>ELEC!A19</f>
        <v>0</v>
      </c>
      <c r="BA22" s="118">
        <f>'General information '!D22</f>
        <v>28.5</v>
      </c>
      <c r="BB22" s="404">
        <f>SUM('General information '!E22)</f>
        <v>0.69</v>
      </c>
      <c r="BC22" s="3">
        <f t="shared" si="43"/>
        <v>0</v>
      </c>
      <c r="BD22" s="102">
        <v>19222</v>
      </c>
      <c r="BE22" s="14">
        <f>(305/1185)*ELEC!Q20</f>
        <v>257.38396624472574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230</v>
      </c>
      <c r="C23" s="206">
        <f t="shared" si="18"/>
        <v>4948.7096774193551</v>
      </c>
      <c r="D23">
        <f t="shared" si="19"/>
        <v>230</v>
      </c>
      <c r="E23" s="206">
        <f t="shared" si="18"/>
        <v>4948.7096774193551</v>
      </c>
      <c r="F23">
        <f t="shared" si="20"/>
        <v>230</v>
      </c>
      <c r="G23" s="206">
        <f t="shared" si="1"/>
        <v>4948.7096774193551</v>
      </c>
      <c r="H23" s="206">
        <f t="shared" si="21"/>
        <v>230</v>
      </c>
      <c r="I23" s="206">
        <f t="shared" si="2"/>
        <v>4948.7096774193551</v>
      </c>
      <c r="J23" s="206">
        <f t="shared" si="22"/>
        <v>230</v>
      </c>
      <c r="K23" s="206">
        <f t="shared" si="3"/>
        <v>4948.7096774193551</v>
      </c>
      <c r="L23" s="206">
        <f t="shared" si="23"/>
        <v>230</v>
      </c>
      <c r="M23" s="206">
        <f t="shared" si="4"/>
        <v>4948.7096774193551</v>
      </c>
      <c r="N23" s="206">
        <f t="shared" si="24"/>
        <v>230</v>
      </c>
      <c r="O23" s="206">
        <f t="shared" si="5"/>
        <v>4948.7096774193551</v>
      </c>
      <c r="P23" s="206">
        <f t="shared" si="25"/>
        <v>230</v>
      </c>
      <c r="Q23" s="206">
        <f t="shared" si="6"/>
        <v>4948.7096774193551</v>
      </c>
      <c r="R23" s="206">
        <f t="shared" si="26"/>
        <v>230</v>
      </c>
      <c r="S23" s="206">
        <f t="shared" si="7"/>
        <v>4948.7096774193551</v>
      </c>
      <c r="T23" s="206">
        <f t="shared" si="27"/>
        <v>230</v>
      </c>
      <c r="U23" s="206">
        <f t="shared" si="8"/>
        <v>4948.7096774193551</v>
      </c>
      <c r="V23" s="206">
        <f t="shared" si="28"/>
        <v>230</v>
      </c>
      <c r="W23" s="206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6">
        <f>'B5'!C22</f>
        <v>236</v>
      </c>
      <c r="AA23" s="206">
        <f t="shared" si="30"/>
        <v>2360</v>
      </c>
      <c r="AB23" s="206">
        <f t="shared" si="31"/>
        <v>236</v>
      </c>
      <c r="AC23" s="206">
        <f t="shared" si="30"/>
        <v>2360</v>
      </c>
      <c r="AD23" s="206">
        <f t="shared" si="32"/>
        <v>236</v>
      </c>
      <c r="AE23" s="206">
        <f t="shared" si="11"/>
        <v>2360</v>
      </c>
      <c r="AF23" s="206">
        <f t="shared" si="33"/>
        <v>236</v>
      </c>
      <c r="AG23" s="206">
        <f t="shared" si="12"/>
        <v>2360</v>
      </c>
      <c r="AH23" s="206">
        <f t="shared" si="34"/>
        <v>236</v>
      </c>
      <c r="AI23" s="206">
        <f t="shared" si="13"/>
        <v>2360</v>
      </c>
      <c r="AJ23" s="206">
        <f t="shared" si="35"/>
        <v>236</v>
      </c>
      <c r="AK23" s="206">
        <f t="shared" si="14"/>
        <v>2360</v>
      </c>
      <c r="AL23" s="206">
        <f t="shared" si="36"/>
        <v>236</v>
      </c>
      <c r="AM23" s="206">
        <f t="shared" si="15"/>
        <v>2360</v>
      </c>
      <c r="AN23" s="35">
        <f t="shared" si="16"/>
        <v>0.84285714285714286</v>
      </c>
      <c r="AO23" s="36">
        <f t="shared" si="17"/>
        <v>16520</v>
      </c>
      <c r="AQ23" s="226">
        <f t="shared" si="37"/>
        <v>0.76321185814362602</v>
      </c>
      <c r="AR23" s="38">
        <f t="shared" si="41"/>
        <v>70955.806451612909</v>
      </c>
      <c r="AS23" s="200">
        <f t="shared" si="38"/>
        <v>-620.35483870966709</v>
      </c>
      <c r="AT23" s="277"/>
      <c r="AU23" s="449"/>
      <c r="AV23" s="533">
        <f t="shared" si="42"/>
        <v>0.53500000000000003</v>
      </c>
      <c r="AW23" s="298">
        <f>-SUM('B5'!AI22)</f>
        <v>-455</v>
      </c>
      <c r="AX23" s="298">
        <f t="shared" si="39"/>
        <v>-165.35483870966709</v>
      </c>
      <c r="AY23" s="37">
        <f t="shared" si="40"/>
        <v>-620.35483870966709</v>
      </c>
      <c r="AZ23" s="100">
        <f>ELEC!A20</f>
        <v>0</v>
      </c>
      <c r="BA23" s="118">
        <f>'General information '!D23</f>
        <v>28</v>
      </c>
      <c r="BB23" s="404">
        <f>SUM('General information '!E23)</f>
        <v>0.68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226</v>
      </c>
      <c r="C24" s="206">
        <f t="shared" si="18"/>
        <v>4862.6451612903229</v>
      </c>
      <c r="D24">
        <f t="shared" si="19"/>
        <v>226</v>
      </c>
      <c r="E24" s="206">
        <f t="shared" si="18"/>
        <v>4862.6451612903229</v>
      </c>
      <c r="F24">
        <f t="shared" si="20"/>
        <v>226</v>
      </c>
      <c r="G24" s="206">
        <f t="shared" si="1"/>
        <v>4862.6451612903229</v>
      </c>
      <c r="H24" s="206">
        <f t="shared" si="21"/>
        <v>226</v>
      </c>
      <c r="I24" s="206">
        <f t="shared" si="2"/>
        <v>4862.6451612903229</v>
      </c>
      <c r="J24" s="206">
        <f t="shared" si="22"/>
        <v>226</v>
      </c>
      <c r="K24" s="206">
        <f t="shared" si="3"/>
        <v>4862.6451612903229</v>
      </c>
      <c r="L24" s="206">
        <f t="shared" si="23"/>
        <v>226</v>
      </c>
      <c r="M24" s="206">
        <f t="shared" si="4"/>
        <v>4862.6451612903229</v>
      </c>
      <c r="N24" s="206">
        <f t="shared" si="24"/>
        <v>226</v>
      </c>
      <c r="O24" s="206">
        <f t="shared" si="5"/>
        <v>4862.6451612903229</v>
      </c>
      <c r="P24" s="206">
        <f t="shared" si="25"/>
        <v>226</v>
      </c>
      <c r="Q24" s="206">
        <f t="shared" si="6"/>
        <v>4862.6451612903229</v>
      </c>
      <c r="R24" s="206">
        <f t="shared" si="26"/>
        <v>226</v>
      </c>
      <c r="S24" s="206">
        <f t="shared" si="7"/>
        <v>4862.6451612903229</v>
      </c>
      <c r="T24" s="206">
        <f t="shared" si="27"/>
        <v>226</v>
      </c>
      <c r="U24" s="206">
        <f t="shared" si="8"/>
        <v>4862.6451612903229</v>
      </c>
      <c r="V24" s="206">
        <f t="shared" si="28"/>
        <v>226</v>
      </c>
      <c r="W24" s="206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6">
        <f>'B5'!C23</f>
        <v>232</v>
      </c>
      <c r="AA24" s="206">
        <f t="shared" si="30"/>
        <v>2320</v>
      </c>
      <c r="AB24" s="206">
        <f t="shared" si="31"/>
        <v>232</v>
      </c>
      <c r="AC24" s="206">
        <f t="shared" si="30"/>
        <v>2320</v>
      </c>
      <c r="AD24" s="206">
        <f t="shared" si="32"/>
        <v>232</v>
      </c>
      <c r="AE24" s="206">
        <f t="shared" si="11"/>
        <v>2320</v>
      </c>
      <c r="AF24" s="206">
        <f t="shared" si="33"/>
        <v>232</v>
      </c>
      <c r="AG24" s="206">
        <f t="shared" si="12"/>
        <v>2320</v>
      </c>
      <c r="AH24" s="206">
        <f t="shared" si="34"/>
        <v>232</v>
      </c>
      <c r="AI24" s="206">
        <f t="shared" si="13"/>
        <v>2320</v>
      </c>
      <c r="AJ24" s="206">
        <f t="shared" si="35"/>
        <v>232</v>
      </c>
      <c r="AK24" s="206">
        <f t="shared" si="14"/>
        <v>2320</v>
      </c>
      <c r="AL24" s="206">
        <f t="shared" si="36"/>
        <v>232</v>
      </c>
      <c r="AM24" s="206">
        <f t="shared" si="15"/>
        <v>2320</v>
      </c>
      <c r="AN24" s="35">
        <f t="shared" si="16"/>
        <v>0.82857142857142863</v>
      </c>
      <c r="AO24" s="36">
        <f t="shared" si="17"/>
        <v>16240</v>
      </c>
      <c r="AQ24" s="226">
        <f t="shared" si="37"/>
        <v>0.75001717515535726</v>
      </c>
      <c r="AR24" s="38">
        <f t="shared" si="41"/>
        <v>69729.09677419356</v>
      </c>
      <c r="AS24" s="200">
        <f t="shared" si="38"/>
        <v>-1226.7096774193487</v>
      </c>
      <c r="AT24" s="277"/>
      <c r="AU24" s="449"/>
      <c r="AV24" s="533">
        <f t="shared" si="42"/>
        <v>0.53500000000000003</v>
      </c>
      <c r="AW24" s="298">
        <f>-SUM('B5'!AI23)</f>
        <v>-291</v>
      </c>
      <c r="AX24" s="298">
        <f t="shared" si="39"/>
        <v>-935.70967741934874</v>
      </c>
      <c r="AY24" s="37">
        <f t="shared" si="40"/>
        <v>-1226.7096774193487</v>
      </c>
      <c r="AZ24" s="100">
        <f>ELEC!A21</f>
        <v>0</v>
      </c>
      <c r="BA24" s="118">
        <f>'General information '!D24</f>
        <v>27.5</v>
      </c>
      <c r="BB24" s="404">
        <f>SUM('General information '!E24)</f>
        <v>0.68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224</v>
      </c>
      <c r="C25" s="206">
        <f t="shared" si="18"/>
        <v>4819.6129032258068</v>
      </c>
      <c r="D25">
        <f t="shared" si="19"/>
        <v>224</v>
      </c>
      <c r="E25" s="206">
        <f t="shared" si="18"/>
        <v>4819.6129032258068</v>
      </c>
      <c r="F25">
        <f t="shared" si="20"/>
        <v>224</v>
      </c>
      <c r="G25" s="206">
        <f t="shared" si="1"/>
        <v>4819.6129032258068</v>
      </c>
      <c r="H25" s="206">
        <f t="shared" si="21"/>
        <v>224</v>
      </c>
      <c r="I25" s="206">
        <f t="shared" si="2"/>
        <v>4819.6129032258068</v>
      </c>
      <c r="J25" s="206">
        <f t="shared" si="22"/>
        <v>224</v>
      </c>
      <c r="K25" s="206">
        <f t="shared" si="3"/>
        <v>4819.6129032258068</v>
      </c>
      <c r="L25" s="206">
        <f t="shared" si="23"/>
        <v>224</v>
      </c>
      <c r="M25" s="206">
        <f t="shared" si="4"/>
        <v>4819.6129032258068</v>
      </c>
      <c r="N25" s="206">
        <f t="shared" si="24"/>
        <v>224</v>
      </c>
      <c r="O25" s="206">
        <f t="shared" si="5"/>
        <v>4819.6129032258068</v>
      </c>
      <c r="P25" s="206">
        <f t="shared" si="25"/>
        <v>224</v>
      </c>
      <c r="Q25" s="206">
        <f t="shared" si="6"/>
        <v>4819.6129032258068</v>
      </c>
      <c r="R25" s="206">
        <f t="shared" si="26"/>
        <v>224</v>
      </c>
      <c r="S25" s="206">
        <f t="shared" si="7"/>
        <v>4819.6129032258068</v>
      </c>
      <c r="T25" s="206">
        <f t="shared" si="27"/>
        <v>224</v>
      </c>
      <c r="U25" s="206">
        <f t="shared" si="8"/>
        <v>4819.6129032258068</v>
      </c>
      <c r="V25" s="206">
        <f t="shared" si="28"/>
        <v>224</v>
      </c>
      <c r="W25" s="206">
        <f t="shared" si="9"/>
        <v>4819.6129032258068</v>
      </c>
      <c r="X25" s="35">
        <f t="shared" si="10"/>
        <v>0.72258064516129028</v>
      </c>
      <c r="Y25" s="36">
        <f t="shared" si="29"/>
        <v>53015.741935483864</v>
      </c>
      <c r="Z25" s="206">
        <f>'B5'!C24</f>
        <v>230</v>
      </c>
      <c r="AA25" s="206">
        <f t="shared" si="30"/>
        <v>2300</v>
      </c>
      <c r="AB25" s="206">
        <f t="shared" si="31"/>
        <v>230</v>
      </c>
      <c r="AC25" s="206">
        <f t="shared" si="30"/>
        <v>2300</v>
      </c>
      <c r="AD25" s="206">
        <f t="shared" si="32"/>
        <v>230</v>
      </c>
      <c r="AE25" s="206">
        <f t="shared" si="11"/>
        <v>2300</v>
      </c>
      <c r="AF25" s="206">
        <f t="shared" si="33"/>
        <v>230</v>
      </c>
      <c r="AG25" s="206">
        <f t="shared" si="12"/>
        <v>2300</v>
      </c>
      <c r="AH25" s="206">
        <f t="shared" si="34"/>
        <v>230</v>
      </c>
      <c r="AI25" s="206">
        <f t="shared" si="13"/>
        <v>2300</v>
      </c>
      <c r="AJ25" s="206">
        <f t="shared" si="35"/>
        <v>230</v>
      </c>
      <c r="AK25" s="206">
        <f t="shared" si="14"/>
        <v>2300</v>
      </c>
      <c r="AL25" s="206">
        <f t="shared" si="36"/>
        <v>230</v>
      </c>
      <c r="AM25" s="206">
        <f t="shared" si="15"/>
        <v>2300</v>
      </c>
      <c r="AN25" s="35">
        <f t="shared" si="16"/>
        <v>0.8214285714285714</v>
      </c>
      <c r="AO25" s="36">
        <f t="shared" si="17"/>
        <v>16100</v>
      </c>
      <c r="AQ25" s="226">
        <f t="shared" si="37"/>
        <v>0.74341983366122255</v>
      </c>
      <c r="AR25" s="38">
        <f t="shared" si="41"/>
        <v>69115.741935483864</v>
      </c>
      <c r="AS25" s="200">
        <f t="shared" si="38"/>
        <v>-613.3548387096962</v>
      </c>
      <c r="AT25" s="277"/>
      <c r="AU25" s="449"/>
      <c r="AV25" s="533">
        <f t="shared" si="42"/>
        <v>0.53500000000000003</v>
      </c>
      <c r="AW25" s="298">
        <f>-SUM('B5'!AI24)</f>
        <v>0</v>
      </c>
      <c r="AX25" s="298">
        <f t="shared" si="39"/>
        <v>-613.3548387096962</v>
      </c>
      <c r="AY25" s="37">
        <f t="shared" si="40"/>
        <v>-613.3548387096962</v>
      </c>
      <c r="AZ25" s="100">
        <f>ELEC!A22</f>
        <v>0</v>
      </c>
      <c r="BA25" s="118">
        <f>'General information '!D25</f>
        <v>27.5</v>
      </c>
      <c r="BB25" s="404">
        <f>SUM('General information '!E25)</f>
        <v>0.64</v>
      </c>
      <c r="BC25" s="3">
        <f t="shared" si="43"/>
        <v>0</v>
      </c>
      <c r="BD25" s="102">
        <v>19222</v>
      </c>
      <c r="BE25" s="14">
        <f>(305/1185)*ELEC!Q23</f>
        <v>514.76793248945148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221</v>
      </c>
      <c r="C26" s="206">
        <f t="shared" si="18"/>
        <v>4755.0645161290322</v>
      </c>
      <c r="D26">
        <f t="shared" si="19"/>
        <v>221</v>
      </c>
      <c r="E26" s="206">
        <f t="shared" si="18"/>
        <v>4755.0645161290322</v>
      </c>
      <c r="F26">
        <f t="shared" si="20"/>
        <v>221</v>
      </c>
      <c r="G26" s="206">
        <f t="shared" si="1"/>
        <v>4755.0645161290322</v>
      </c>
      <c r="H26" s="206">
        <f t="shared" si="21"/>
        <v>221</v>
      </c>
      <c r="I26" s="206">
        <f t="shared" si="2"/>
        <v>4755.0645161290322</v>
      </c>
      <c r="J26" s="206">
        <f t="shared" si="22"/>
        <v>221</v>
      </c>
      <c r="K26" s="206">
        <f t="shared" si="3"/>
        <v>4755.0645161290322</v>
      </c>
      <c r="L26" s="206">
        <f t="shared" si="23"/>
        <v>221</v>
      </c>
      <c r="M26" s="206">
        <f t="shared" si="4"/>
        <v>4755.0645161290322</v>
      </c>
      <c r="N26" s="206">
        <f t="shared" si="24"/>
        <v>221</v>
      </c>
      <c r="O26" s="206">
        <f t="shared" si="5"/>
        <v>4755.0645161290322</v>
      </c>
      <c r="P26" s="206">
        <f t="shared" si="25"/>
        <v>221</v>
      </c>
      <c r="Q26" s="206">
        <f t="shared" si="6"/>
        <v>4755.0645161290322</v>
      </c>
      <c r="R26" s="206">
        <f t="shared" si="26"/>
        <v>221</v>
      </c>
      <c r="S26" s="206">
        <f t="shared" si="7"/>
        <v>4755.0645161290322</v>
      </c>
      <c r="T26" s="206">
        <f t="shared" si="27"/>
        <v>221</v>
      </c>
      <c r="U26" s="206">
        <f t="shared" si="8"/>
        <v>4755.0645161290322</v>
      </c>
      <c r="V26" s="206">
        <f t="shared" si="28"/>
        <v>221</v>
      </c>
      <c r="W26" s="206">
        <f t="shared" si="9"/>
        <v>4755.0645161290322</v>
      </c>
      <c r="X26" s="35">
        <f t="shared" si="10"/>
        <v>0.71290322580645138</v>
      </c>
      <c r="Y26" s="36">
        <f t="shared" si="29"/>
        <v>52305.709677419341</v>
      </c>
      <c r="Z26" s="206">
        <f>'B5'!C25</f>
        <v>227</v>
      </c>
      <c r="AA26" s="206">
        <f t="shared" si="30"/>
        <v>2270</v>
      </c>
      <c r="AB26" s="206">
        <f t="shared" si="31"/>
        <v>227</v>
      </c>
      <c r="AC26" s="206">
        <f t="shared" si="30"/>
        <v>2270</v>
      </c>
      <c r="AD26" s="206">
        <f t="shared" si="32"/>
        <v>227</v>
      </c>
      <c r="AE26" s="206">
        <f t="shared" si="11"/>
        <v>2270</v>
      </c>
      <c r="AF26" s="206">
        <f t="shared" si="33"/>
        <v>227</v>
      </c>
      <c r="AG26" s="206">
        <f t="shared" si="12"/>
        <v>2270</v>
      </c>
      <c r="AH26" s="206">
        <f t="shared" si="34"/>
        <v>227</v>
      </c>
      <c r="AI26" s="206">
        <f t="shared" si="13"/>
        <v>2270</v>
      </c>
      <c r="AJ26" s="206">
        <f t="shared" si="35"/>
        <v>227</v>
      </c>
      <c r="AK26" s="206">
        <f t="shared" si="14"/>
        <v>2270</v>
      </c>
      <c r="AL26" s="206">
        <f t="shared" si="36"/>
        <v>227</v>
      </c>
      <c r="AM26" s="206">
        <f t="shared" si="15"/>
        <v>2270</v>
      </c>
      <c r="AN26" s="35">
        <f t="shared" si="16"/>
        <v>0.81071428571428572</v>
      </c>
      <c r="AO26" s="36">
        <f t="shared" si="17"/>
        <v>15890</v>
      </c>
      <c r="AQ26" s="226">
        <f t="shared" si="37"/>
        <v>0.73352382142002082</v>
      </c>
      <c r="AR26" s="38">
        <f t="shared" si="41"/>
        <v>68195.709677419334</v>
      </c>
      <c r="AS26" s="200">
        <f t="shared" si="38"/>
        <v>-920.03225806452974</v>
      </c>
      <c r="AT26" s="277"/>
      <c r="AU26" s="449"/>
      <c r="AV26" s="533">
        <f t="shared" si="42"/>
        <v>0.53500000000000003</v>
      </c>
      <c r="AW26" s="298">
        <f>-SUM('B5'!AI25)</f>
        <v>0</v>
      </c>
      <c r="AX26" s="298">
        <f t="shared" si="39"/>
        <v>-920.03225806452974</v>
      </c>
      <c r="AY26" s="37">
        <f t="shared" si="40"/>
        <v>-920.03225806452974</v>
      </c>
      <c r="AZ26" s="100">
        <f>ELEC!A23</f>
        <v>0</v>
      </c>
      <c r="BA26" s="118">
        <f>'General information '!D26</f>
        <v>29</v>
      </c>
      <c r="BB26" s="404">
        <f>SUM('General information '!E26)</f>
        <v>0.61</v>
      </c>
      <c r="BC26" s="3">
        <f t="shared" si="43"/>
        <v>0</v>
      </c>
      <c r="BD26" s="102">
        <v>19222</v>
      </c>
      <c r="BE26" s="14">
        <f>(305/1185)*ELEC!Q24</f>
        <v>257.38396624472574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220</v>
      </c>
      <c r="C27" s="206">
        <f t="shared" si="18"/>
        <v>4733.5483870967737</v>
      </c>
      <c r="D27">
        <f t="shared" si="19"/>
        <v>220</v>
      </c>
      <c r="E27" s="206">
        <f t="shared" si="18"/>
        <v>4733.5483870967737</v>
      </c>
      <c r="F27">
        <f t="shared" si="20"/>
        <v>220</v>
      </c>
      <c r="G27" s="206">
        <f t="shared" si="1"/>
        <v>4733.5483870967737</v>
      </c>
      <c r="H27" s="206">
        <f t="shared" si="21"/>
        <v>220</v>
      </c>
      <c r="I27" s="206">
        <f t="shared" si="2"/>
        <v>4733.5483870967737</v>
      </c>
      <c r="J27" s="206">
        <f t="shared" si="22"/>
        <v>220</v>
      </c>
      <c r="K27" s="206">
        <f t="shared" si="3"/>
        <v>4733.5483870967737</v>
      </c>
      <c r="L27" s="206">
        <f t="shared" si="23"/>
        <v>220</v>
      </c>
      <c r="M27" s="206">
        <f t="shared" si="4"/>
        <v>4733.5483870967737</v>
      </c>
      <c r="N27" s="206">
        <f t="shared" si="24"/>
        <v>220</v>
      </c>
      <c r="O27" s="206">
        <f t="shared" si="5"/>
        <v>4733.5483870967737</v>
      </c>
      <c r="P27" s="206">
        <f t="shared" si="25"/>
        <v>220</v>
      </c>
      <c r="Q27" s="206">
        <f t="shared" si="6"/>
        <v>4733.5483870967737</v>
      </c>
      <c r="R27" s="206">
        <f t="shared" si="26"/>
        <v>220</v>
      </c>
      <c r="S27" s="206">
        <f t="shared" si="7"/>
        <v>4733.5483870967737</v>
      </c>
      <c r="T27" s="206">
        <f t="shared" si="27"/>
        <v>220</v>
      </c>
      <c r="U27" s="206">
        <f t="shared" si="8"/>
        <v>4733.5483870967737</v>
      </c>
      <c r="V27" s="206">
        <f t="shared" si="28"/>
        <v>220</v>
      </c>
      <c r="W27" s="206">
        <f t="shared" si="9"/>
        <v>4733.5483870967737</v>
      </c>
      <c r="X27" s="35">
        <f t="shared" si="10"/>
        <v>0.70967741935483863</v>
      </c>
      <c r="Y27" s="36">
        <f t="shared" si="29"/>
        <v>52069.032258064508</v>
      </c>
      <c r="Z27" s="206">
        <f>'B5'!C26</f>
        <v>226.5</v>
      </c>
      <c r="AA27" s="206">
        <f t="shared" si="30"/>
        <v>2265</v>
      </c>
      <c r="AB27" s="206">
        <f t="shared" si="31"/>
        <v>226.5</v>
      </c>
      <c r="AC27" s="206">
        <f t="shared" si="30"/>
        <v>2265</v>
      </c>
      <c r="AD27" s="206">
        <f t="shared" si="32"/>
        <v>226.5</v>
      </c>
      <c r="AE27" s="206">
        <f t="shared" si="11"/>
        <v>2265</v>
      </c>
      <c r="AF27" s="206">
        <f t="shared" si="33"/>
        <v>226.5</v>
      </c>
      <c r="AG27" s="206">
        <f t="shared" si="12"/>
        <v>2265</v>
      </c>
      <c r="AH27" s="206">
        <f t="shared" si="34"/>
        <v>226.5</v>
      </c>
      <c r="AI27" s="206">
        <f t="shared" si="13"/>
        <v>2265</v>
      </c>
      <c r="AJ27" s="206">
        <f t="shared" si="35"/>
        <v>226.5</v>
      </c>
      <c r="AK27" s="206">
        <f t="shared" si="14"/>
        <v>2265</v>
      </c>
      <c r="AL27" s="206">
        <f t="shared" si="36"/>
        <v>226.5</v>
      </c>
      <c r="AM27" s="206">
        <f t="shared" si="15"/>
        <v>2265</v>
      </c>
      <c r="AN27" s="35">
        <f t="shared" si="16"/>
        <v>0.80892857142857144</v>
      </c>
      <c r="AO27" s="36">
        <f t="shared" si="17"/>
        <v>15855</v>
      </c>
      <c r="AQ27" s="226">
        <f t="shared" si="37"/>
        <v>0.73060161619946773</v>
      </c>
      <c r="AR27" s="38">
        <f t="shared" si="41"/>
        <v>67924.032258064515</v>
      </c>
      <c r="AS27" s="200">
        <f t="shared" si="38"/>
        <v>-271.67741935481899</v>
      </c>
      <c r="AT27" s="277"/>
      <c r="AU27" s="449"/>
      <c r="AV27" s="533">
        <f t="shared" si="42"/>
        <v>0.53500000000000003</v>
      </c>
      <c r="AW27" s="298">
        <f>-SUM('B5'!AI26)</f>
        <v>0</v>
      </c>
      <c r="AX27" s="298">
        <f t="shared" si="39"/>
        <v>-271.67741935481899</v>
      </c>
      <c r="AY27" s="37">
        <f t="shared" si="40"/>
        <v>-271.67741935481899</v>
      </c>
      <c r="AZ27" s="100">
        <f>ELEC!A24</f>
        <v>0</v>
      </c>
      <c r="BA27" s="118">
        <f>'General information '!D27</f>
        <v>28</v>
      </c>
      <c r="BB27" s="404">
        <f>SUM('General information '!E27)</f>
        <v>0.6</v>
      </c>
      <c r="BC27" s="3">
        <f t="shared" si="43"/>
        <v>0</v>
      </c>
      <c r="BD27" s="102">
        <v>19222</v>
      </c>
      <c r="BE27" s="14">
        <f>(305/1185)*ELEC!Q25</f>
        <v>257.38396624472574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219</v>
      </c>
      <c r="C28" s="206">
        <f t="shared" si="18"/>
        <v>4712.0322580645161</v>
      </c>
      <c r="D28">
        <f t="shared" si="19"/>
        <v>219</v>
      </c>
      <c r="E28" s="206">
        <f t="shared" si="18"/>
        <v>4712.0322580645161</v>
      </c>
      <c r="F28">
        <f t="shared" si="20"/>
        <v>219</v>
      </c>
      <c r="G28" s="206">
        <f t="shared" si="1"/>
        <v>4712.0322580645161</v>
      </c>
      <c r="H28" s="206">
        <f t="shared" si="21"/>
        <v>219</v>
      </c>
      <c r="I28" s="206">
        <f t="shared" si="2"/>
        <v>4712.0322580645161</v>
      </c>
      <c r="J28" s="206">
        <f t="shared" si="22"/>
        <v>219</v>
      </c>
      <c r="K28" s="206">
        <f t="shared" si="3"/>
        <v>4712.0322580645161</v>
      </c>
      <c r="L28" s="206">
        <f t="shared" si="23"/>
        <v>219</v>
      </c>
      <c r="M28" s="206">
        <f t="shared" si="4"/>
        <v>4712.0322580645161</v>
      </c>
      <c r="N28" s="206">
        <f t="shared" si="24"/>
        <v>219</v>
      </c>
      <c r="O28" s="206">
        <f t="shared" si="5"/>
        <v>4712.0322580645161</v>
      </c>
      <c r="P28" s="206">
        <f t="shared" si="25"/>
        <v>219</v>
      </c>
      <c r="Q28" s="206">
        <f t="shared" si="6"/>
        <v>4712.0322580645161</v>
      </c>
      <c r="R28" s="206">
        <f t="shared" si="26"/>
        <v>219</v>
      </c>
      <c r="S28" s="206">
        <f t="shared" si="7"/>
        <v>4712.0322580645161</v>
      </c>
      <c r="T28" s="206">
        <f t="shared" si="27"/>
        <v>219</v>
      </c>
      <c r="U28" s="206">
        <f t="shared" si="8"/>
        <v>4712.0322580645161</v>
      </c>
      <c r="V28" s="206">
        <f t="shared" si="28"/>
        <v>219</v>
      </c>
      <c r="W28" s="206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6">
        <f>'B5'!C27</f>
        <v>225</v>
      </c>
      <c r="AA28" s="206">
        <f t="shared" si="30"/>
        <v>2250</v>
      </c>
      <c r="AB28" s="206">
        <f t="shared" si="31"/>
        <v>225</v>
      </c>
      <c r="AC28" s="206">
        <f t="shared" si="30"/>
        <v>2250</v>
      </c>
      <c r="AD28" s="206">
        <f t="shared" si="32"/>
        <v>225</v>
      </c>
      <c r="AE28" s="206">
        <f t="shared" si="11"/>
        <v>2250</v>
      </c>
      <c r="AF28" s="206">
        <f t="shared" si="33"/>
        <v>225</v>
      </c>
      <c r="AG28" s="206">
        <f t="shared" si="12"/>
        <v>2250</v>
      </c>
      <c r="AH28" s="206">
        <f t="shared" si="34"/>
        <v>225</v>
      </c>
      <c r="AI28" s="206">
        <f t="shared" si="13"/>
        <v>2250</v>
      </c>
      <c r="AJ28" s="206">
        <f t="shared" si="35"/>
        <v>225</v>
      </c>
      <c r="AK28" s="206">
        <f t="shared" si="14"/>
        <v>2250</v>
      </c>
      <c r="AL28" s="206">
        <f t="shared" si="36"/>
        <v>225</v>
      </c>
      <c r="AM28" s="206">
        <f t="shared" si="15"/>
        <v>2250</v>
      </c>
      <c r="AN28" s="35">
        <f t="shared" si="16"/>
        <v>0.8035714285714286</v>
      </c>
      <c r="AO28" s="36">
        <f t="shared" si="17"/>
        <v>15750</v>
      </c>
      <c r="AQ28" s="226">
        <f t="shared" si="37"/>
        <v>0.72692647992588644</v>
      </c>
      <c r="AR28" s="38">
        <f t="shared" si="41"/>
        <v>67582.354838709667</v>
      </c>
      <c r="AS28" s="200">
        <f t="shared" si="38"/>
        <v>-341.6774193548481</v>
      </c>
      <c r="AT28" s="365"/>
      <c r="AU28" s="449"/>
      <c r="AV28" s="533">
        <f t="shared" si="42"/>
        <v>0.53500000000000003</v>
      </c>
      <c r="AW28" s="298">
        <f>-SUM('B5'!AI27)</f>
        <v>-282</v>
      </c>
      <c r="AX28" s="298">
        <f t="shared" si="39"/>
        <v>-59.677419354848098</v>
      </c>
      <c r="AY28" s="37">
        <f t="shared" si="40"/>
        <v>-341.6774193548481</v>
      </c>
      <c r="AZ28" s="100">
        <f>ELEC!A25</f>
        <v>0</v>
      </c>
      <c r="BA28" s="118">
        <f>'General information '!D28</f>
        <v>29</v>
      </c>
      <c r="BB28" s="404">
        <f>SUM('General information '!E28)</f>
        <v>0.56000000000000005</v>
      </c>
      <c r="BC28" s="3">
        <f t="shared" si="43"/>
        <v>0</v>
      </c>
      <c r="BD28" s="102">
        <v>19222</v>
      </c>
      <c r="BE28" s="14">
        <f>(305/1185)*ELEC!Q26</f>
        <v>514.76793248945148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217</v>
      </c>
      <c r="C29" s="206">
        <f t="shared" si="18"/>
        <v>4669</v>
      </c>
      <c r="D29">
        <f t="shared" si="19"/>
        <v>217</v>
      </c>
      <c r="E29" s="206">
        <f t="shared" si="18"/>
        <v>4669</v>
      </c>
      <c r="F29">
        <f t="shared" si="20"/>
        <v>217</v>
      </c>
      <c r="G29" s="206">
        <f t="shared" si="1"/>
        <v>4669</v>
      </c>
      <c r="H29" s="206">
        <f t="shared" si="21"/>
        <v>217</v>
      </c>
      <c r="I29" s="206">
        <f t="shared" si="2"/>
        <v>4669</v>
      </c>
      <c r="J29" s="206">
        <f t="shared" si="22"/>
        <v>217</v>
      </c>
      <c r="K29" s="206">
        <f t="shared" si="3"/>
        <v>4669</v>
      </c>
      <c r="L29" s="206">
        <f t="shared" si="23"/>
        <v>217</v>
      </c>
      <c r="M29" s="206">
        <f t="shared" si="4"/>
        <v>4669</v>
      </c>
      <c r="N29" s="206">
        <f t="shared" si="24"/>
        <v>217</v>
      </c>
      <c r="O29" s="206">
        <f t="shared" si="5"/>
        <v>4669</v>
      </c>
      <c r="P29" s="206">
        <f t="shared" si="25"/>
        <v>217</v>
      </c>
      <c r="Q29" s="206">
        <f t="shared" si="6"/>
        <v>4669</v>
      </c>
      <c r="R29" s="206">
        <f t="shared" si="26"/>
        <v>217</v>
      </c>
      <c r="S29" s="206">
        <f t="shared" si="7"/>
        <v>4669</v>
      </c>
      <c r="T29" s="206">
        <f t="shared" si="27"/>
        <v>217</v>
      </c>
      <c r="U29" s="206">
        <f t="shared" si="8"/>
        <v>4669</v>
      </c>
      <c r="V29" s="206">
        <f t="shared" si="28"/>
        <v>217</v>
      </c>
      <c r="W29" s="206">
        <f t="shared" si="9"/>
        <v>4669</v>
      </c>
      <c r="X29" s="35">
        <f t="shared" si="10"/>
        <v>0.7</v>
      </c>
      <c r="Y29" s="36">
        <f t="shared" si="29"/>
        <v>51359</v>
      </c>
      <c r="Z29" s="206">
        <f>'B5'!C28</f>
        <v>223</v>
      </c>
      <c r="AA29" s="206">
        <f t="shared" si="30"/>
        <v>2230</v>
      </c>
      <c r="AB29" s="206">
        <f t="shared" si="31"/>
        <v>223</v>
      </c>
      <c r="AC29" s="206">
        <f t="shared" si="30"/>
        <v>2230</v>
      </c>
      <c r="AD29" s="206">
        <f t="shared" si="32"/>
        <v>223</v>
      </c>
      <c r="AE29" s="206">
        <f t="shared" si="11"/>
        <v>2230</v>
      </c>
      <c r="AF29" s="206">
        <f t="shared" si="33"/>
        <v>223</v>
      </c>
      <c r="AG29" s="206">
        <f t="shared" si="12"/>
        <v>2230</v>
      </c>
      <c r="AH29" s="206">
        <f t="shared" si="34"/>
        <v>223</v>
      </c>
      <c r="AI29" s="206">
        <f t="shared" si="13"/>
        <v>2230</v>
      </c>
      <c r="AJ29" s="206">
        <f t="shared" si="35"/>
        <v>223</v>
      </c>
      <c r="AK29" s="206">
        <f t="shared" si="14"/>
        <v>2230</v>
      </c>
      <c r="AL29" s="206">
        <f t="shared" si="36"/>
        <v>223</v>
      </c>
      <c r="AM29" s="206">
        <f t="shared" si="15"/>
        <v>2230</v>
      </c>
      <c r="AN29" s="35">
        <f t="shared" si="16"/>
        <v>0.79642857142857137</v>
      </c>
      <c r="AO29" s="36">
        <f t="shared" si="17"/>
        <v>15610</v>
      </c>
      <c r="AQ29" s="226">
        <f t="shared" si="37"/>
        <v>0.72032913843175217</v>
      </c>
      <c r="AR29" s="38">
        <f t="shared" si="41"/>
        <v>66969</v>
      </c>
      <c r="AS29" s="200">
        <f t="shared" si="38"/>
        <v>-613.35483870966709</v>
      </c>
      <c r="AT29" s="365"/>
      <c r="AU29" s="449"/>
      <c r="AV29" s="533">
        <f t="shared" si="42"/>
        <v>0.53500000000000003</v>
      </c>
      <c r="AW29" s="298">
        <f>-SUM('B5'!AI28)</f>
        <v>0</v>
      </c>
      <c r="AX29" s="298">
        <f>-SUM(AW29-AS29)</f>
        <v>-613.35483870966709</v>
      </c>
      <c r="AY29" s="37">
        <f t="shared" si="40"/>
        <v>-613.35483870966709</v>
      </c>
      <c r="AZ29" s="100">
        <f>ELEC!A26</f>
        <v>0</v>
      </c>
      <c r="BA29" s="118">
        <f>'General information '!D29</f>
        <v>29.5</v>
      </c>
      <c r="BB29" s="404">
        <f>SUM('General information '!E29)</f>
        <v>0.48</v>
      </c>
      <c r="BC29" s="3">
        <f t="shared" si="43"/>
        <v>0</v>
      </c>
      <c r="BD29" s="102">
        <v>19222</v>
      </c>
      <c r="BE29" s="14">
        <f>(305/1185)*ELEC!Q27</f>
        <v>514.76793248945148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215</v>
      </c>
      <c r="C30" s="206">
        <f t="shared" si="18"/>
        <v>4625.9677419354839</v>
      </c>
      <c r="D30">
        <f t="shared" ref="D30:D35" si="44">SUM(B30)</f>
        <v>215</v>
      </c>
      <c r="E30" s="206">
        <f t="shared" si="18"/>
        <v>4625.9677419354839</v>
      </c>
      <c r="F30">
        <f t="shared" ref="F30:F35" si="45">SUM(D30)</f>
        <v>215</v>
      </c>
      <c r="G30" s="206">
        <f t="shared" si="1"/>
        <v>4625.9677419354839</v>
      </c>
      <c r="H30" s="206">
        <f t="shared" ref="H30:H35" si="46">SUM(F30)</f>
        <v>215</v>
      </c>
      <c r="I30" s="206">
        <f t="shared" si="2"/>
        <v>4625.9677419354839</v>
      </c>
      <c r="J30" s="206">
        <f t="shared" ref="J30:J35" si="47">SUM(H30)</f>
        <v>215</v>
      </c>
      <c r="K30" s="206">
        <f t="shared" si="3"/>
        <v>4625.9677419354839</v>
      </c>
      <c r="L30" s="206">
        <f t="shared" ref="L30:L35" si="48">SUM(J30)</f>
        <v>215</v>
      </c>
      <c r="M30" s="206">
        <f t="shared" si="4"/>
        <v>4625.9677419354839</v>
      </c>
      <c r="N30" s="206">
        <f t="shared" ref="N30:N35" si="49">SUM(L30)</f>
        <v>215</v>
      </c>
      <c r="O30" s="206">
        <f t="shared" si="5"/>
        <v>4625.9677419354839</v>
      </c>
      <c r="P30" s="206">
        <f t="shared" ref="P30:P35" si="50">SUM(N30)</f>
        <v>215</v>
      </c>
      <c r="Q30" s="206">
        <f t="shared" si="6"/>
        <v>4625.9677419354839</v>
      </c>
      <c r="R30" s="206">
        <f t="shared" ref="R30:R35" si="51">SUM(P30)</f>
        <v>215</v>
      </c>
      <c r="S30" s="206">
        <f t="shared" si="7"/>
        <v>4625.9677419354839</v>
      </c>
      <c r="T30" s="206">
        <f t="shared" ref="T30:T35" si="52">SUM(R30)</f>
        <v>215</v>
      </c>
      <c r="U30" s="206">
        <f t="shared" si="8"/>
        <v>4625.9677419354839</v>
      </c>
      <c r="V30" s="206">
        <f t="shared" ref="V30:V35" si="53">SUM(T30)</f>
        <v>215</v>
      </c>
      <c r="W30" s="206">
        <f t="shared" si="9"/>
        <v>4625.9677419354839</v>
      </c>
      <c r="X30" s="35">
        <f t="shared" ref="X30:X35" si="54">SUM(Y30/73370)</f>
        <v>0.69354838709677424</v>
      </c>
      <c r="Y30" s="36">
        <f t="shared" ref="Y30:Y35" si="55">SUM(C30+E30+G30+I30+K30+M30+O30+Q30+S30+U30+W30)</f>
        <v>50885.645161290326</v>
      </c>
      <c r="Z30" s="206">
        <f>'B5'!C29</f>
        <v>221</v>
      </c>
      <c r="AA30" s="206">
        <f t="shared" si="30"/>
        <v>2210</v>
      </c>
      <c r="AB30" s="206">
        <f t="shared" ref="AB30:AB35" si="56">SUM(Z30)</f>
        <v>221</v>
      </c>
      <c r="AC30" s="206">
        <f t="shared" si="30"/>
        <v>2210</v>
      </c>
      <c r="AD30" s="206">
        <f t="shared" ref="AD30:AD35" si="57">SUM(AB30)</f>
        <v>221</v>
      </c>
      <c r="AE30" s="206">
        <f t="shared" si="11"/>
        <v>2210</v>
      </c>
      <c r="AF30" s="206">
        <f t="shared" ref="AF30:AF35" si="58">SUM(AD30)</f>
        <v>221</v>
      </c>
      <c r="AG30" s="206">
        <f t="shared" si="12"/>
        <v>2210</v>
      </c>
      <c r="AH30" s="206">
        <f t="shared" ref="AH30:AH35" si="59">SUM(AF30)</f>
        <v>221</v>
      </c>
      <c r="AI30" s="206">
        <f t="shared" si="13"/>
        <v>2210</v>
      </c>
      <c r="AJ30" s="206">
        <f t="shared" ref="AJ30:AJ35" si="60">SUM(AH30)</f>
        <v>221</v>
      </c>
      <c r="AK30" s="206">
        <f t="shared" si="14"/>
        <v>2210</v>
      </c>
      <c r="AL30" s="206">
        <f t="shared" ref="AL30:AL35" si="61">SUM(AJ30)</f>
        <v>221</v>
      </c>
      <c r="AM30" s="206">
        <f t="shared" si="15"/>
        <v>2210</v>
      </c>
      <c r="AN30" s="35">
        <f t="shared" ref="AN30:AN35" si="62">SUM(AO30/19600)</f>
        <v>0.78928571428571426</v>
      </c>
      <c r="AO30" s="36">
        <f t="shared" ref="AO30:AO35" si="63">SUM(AA30+AC30+AE30+AG30+AI30+AK30+AM30)</f>
        <v>15470</v>
      </c>
      <c r="AQ30" s="226">
        <f t="shared" si="37"/>
        <v>0.7137317969376179</v>
      </c>
      <c r="AR30" s="38">
        <f t="shared" si="41"/>
        <v>66355.645161290333</v>
      </c>
      <c r="AS30" s="200">
        <f t="shared" si="38"/>
        <v>-613.35483870966709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-613.35483870966709</v>
      </c>
      <c r="AY30" s="37">
        <f t="shared" si="40"/>
        <v>-613.35483870966709</v>
      </c>
      <c r="AZ30" s="100">
        <f>ELEC!A27</f>
        <v>0</v>
      </c>
      <c r="BA30" s="118">
        <f>'General information '!D30</f>
        <v>26</v>
      </c>
      <c r="BB30" s="404">
        <f>SUM('General information '!E30)</f>
        <v>0.45</v>
      </c>
      <c r="BC30" s="3">
        <f t="shared" si="43"/>
        <v>0</v>
      </c>
      <c r="BD30" s="102">
        <v>19222</v>
      </c>
      <c r="BE30" s="14">
        <f>(305/1185)*ELEC!Q28</f>
        <v>514.76793248945148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212</v>
      </c>
      <c r="C31" s="206">
        <f t="shared" si="18"/>
        <v>4561.4193548387093</v>
      </c>
      <c r="D31">
        <f t="shared" si="44"/>
        <v>212</v>
      </c>
      <c r="E31" s="206">
        <f t="shared" si="18"/>
        <v>4561.4193548387093</v>
      </c>
      <c r="F31">
        <f t="shared" si="45"/>
        <v>212</v>
      </c>
      <c r="G31" s="206">
        <f t="shared" si="1"/>
        <v>4561.4193548387093</v>
      </c>
      <c r="H31" s="206">
        <f t="shared" si="46"/>
        <v>212</v>
      </c>
      <c r="I31" s="206">
        <f t="shared" si="2"/>
        <v>4561.4193548387093</v>
      </c>
      <c r="J31" s="206">
        <f t="shared" si="47"/>
        <v>212</v>
      </c>
      <c r="K31" s="206">
        <f t="shared" si="3"/>
        <v>4561.4193548387093</v>
      </c>
      <c r="L31" s="206">
        <f t="shared" si="48"/>
        <v>212</v>
      </c>
      <c r="M31" s="206">
        <f t="shared" si="4"/>
        <v>4561.4193548387093</v>
      </c>
      <c r="N31" s="206">
        <f t="shared" si="49"/>
        <v>212</v>
      </c>
      <c r="O31" s="206">
        <f t="shared" si="5"/>
        <v>4561.4193548387093</v>
      </c>
      <c r="P31" s="206">
        <f t="shared" si="50"/>
        <v>212</v>
      </c>
      <c r="Q31" s="206">
        <f t="shared" si="6"/>
        <v>4561.4193548387093</v>
      </c>
      <c r="R31" s="206">
        <f t="shared" si="51"/>
        <v>212</v>
      </c>
      <c r="S31" s="206">
        <f t="shared" si="7"/>
        <v>4561.4193548387093</v>
      </c>
      <c r="T31" s="206">
        <f t="shared" si="52"/>
        <v>212</v>
      </c>
      <c r="U31" s="206">
        <f t="shared" si="8"/>
        <v>4561.4193548387093</v>
      </c>
      <c r="V31" s="206">
        <f t="shared" si="53"/>
        <v>212</v>
      </c>
      <c r="W31" s="206">
        <f t="shared" si="9"/>
        <v>4561.4193548387093</v>
      </c>
      <c r="X31" s="35">
        <f t="shared" si="54"/>
        <v>0.68387096774193556</v>
      </c>
      <c r="Y31" s="36">
        <f t="shared" si="55"/>
        <v>50175.61290322581</v>
      </c>
      <c r="Z31" s="206">
        <f>'B5'!C30</f>
        <v>219</v>
      </c>
      <c r="AA31" s="206">
        <f t="shared" si="30"/>
        <v>2190</v>
      </c>
      <c r="AB31" s="206">
        <f t="shared" si="56"/>
        <v>219</v>
      </c>
      <c r="AC31" s="206">
        <f t="shared" si="30"/>
        <v>2190</v>
      </c>
      <c r="AD31" s="206">
        <f t="shared" si="57"/>
        <v>219</v>
      </c>
      <c r="AE31" s="206">
        <f t="shared" si="11"/>
        <v>2190</v>
      </c>
      <c r="AF31" s="206">
        <f t="shared" si="58"/>
        <v>219</v>
      </c>
      <c r="AG31" s="206">
        <f t="shared" si="12"/>
        <v>2190</v>
      </c>
      <c r="AH31" s="206">
        <f t="shared" si="59"/>
        <v>219</v>
      </c>
      <c r="AI31" s="206">
        <f t="shared" si="13"/>
        <v>2190</v>
      </c>
      <c r="AJ31" s="206">
        <f t="shared" si="60"/>
        <v>219</v>
      </c>
      <c r="AK31" s="206">
        <f t="shared" si="14"/>
        <v>2190</v>
      </c>
      <c r="AL31" s="206">
        <f t="shared" si="61"/>
        <v>219</v>
      </c>
      <c r="AM31" s="206">
        <f t="shared" si="15"/>
        <v>2190</v>
      </c>
      <c r="AN31" s="35">
        <f t="shared" si="62"/>
        <v>0.78214285714285714</v>
      </c>
      <c r="AO31" s="36">
        <f t="shared" si="63"/>
        <v>15330</v>
      </c>
      <c r="AQ31" s="226">
        <f t="shared" si="37"/>
        <v>0.70458871574944404</v>
      </c>
      <c r="AR31" s="38">
        <f t="shared" si="41"/>
        <v>65505.61290322581</v>
      </c>
      <c r="AS31" s="200">
        <f>SUM(AR31-AR30-AT31)</f>
        <v>-850.03225806452247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-850.03225806452247</v>
      </c>
      <c r="AY31" s="37">
        <f t="shared" si="40"/>
        <v>-850.03225806452247</v>
      </c>
      <c r="AZ31" s="100">
        <f>ELEC!A28</f>
        <v>0</v>
      </c>
      <c r="BA31" s="118">
        <f>'General information '!D31</f>
        <v>29</v>
      </c>
      <c r="BB31" s="404">
        <f>SUM('General information '!E31)</f>
        <v>0.66</v>
      </c>
      <c r="BC31" s="3">
        <f t="shared" si="43"/>
        <v>0</v>
      </c>
      <c r="BD31" s="102">
        <v>19222</v>
      </c>
      <c r="BE31" s="14">
        <f>(305/1185)*ELEC!Q29</f>
        <v>257.38396624472574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211</v>
      </c>
      <c r="C32" s="206">
        <f t="shared" si="18"/>
        <v>4539.9032258064517</v>
      </c>
      <c r="D32">
        <f t="shared" si="44"/>
        <v>211</v>
      </c>
      <c r="E32" s="206">
        <f t="shared" si="18"/>
        <v>4539.9032258064517</v>
      </c>
      <c r="F32">
        <f t="shared" si="45"/>
        <v>211</v>
      </c>
      <c r="G32" s="206">
        <f t="shared" si="1"/>
        <v>4539.9032258064517</v>
      </c>
      <c r="H32" s="206">
        <f t="shared" si="46"/>
        <v>211</v>
      </c>
      <c r="I32" s="206">
        <f t="shared" si="2"/>
        <v>4539.9032258064517</v>
      </c>
      <c r="J32" s="206">
        <f t="shared" si="47"/>
        <v>211</v>
      </c>
      <c r="K32" s="206">
        <f t="shared" si="3"/>
        <v>4539.9032258064517</v>
      </c>
      <c r="L32" s="206">
        <f t="shared" si="48"/>
        <v>211</v>
      </c>
      <c r="M32" s="206">
        <f t="shared" si="4"/>
        <v>4539.9032258064517</v>
      </c>
      <c r="N32" s="206">
        <f t="shared" si="49"/>
        <v>211</v>
      </c>
      <c r="O32" s="206">
        <f t="shared" si="5"/>
        <v>4539.9032258064517</v>
      </c>
      <c r="P32" s="206">
        <f t="shared" si="50"/>
        <v>211</v>
      </c>
      <c r="Q32" s="206">
        <f t="shared" si="6"/>
        <v>4539.9032258064517</v>
      </c>
      <c r="R32" s="206">
        <f t="shared" si="51"/>
        <v>211</v>
      </c>
      <c r="S32" s="206">
        <f t="shared" si="7"/>
        <v>4539.9032258064517</v>
      </c>
      <c r="T32" s="206">
        <f t="shared" si="52"/>
        <v>211</v>
      </c>
      <c r="U32" s="206">
        <f t="shared" si="8"/>
        <v>4539.9032258064517</v>
      </c>
      <c r="V32" s="206">
        <f t="shared" si="53"/>
        <v>211</v>
      </c>
      <c r="W32" s="206">
        <f t="shared" si="9"/>
        <v>4539.9032258064517</v>
      </c>
      <c r="X32" s="35">
        <f t="shared" si="54"/>
        <v>0.68064516129032271</v>
      </c>
      <c r="Y32" s="36">
        <f t="shared" si="55"/>
        <v>49938.935483870977</v>
      </c>
      <c r="Z32" s="206">
        <f>'B5'!C31</f>
        <v>217</v>
      </c>
      <c r="AA32" s="206">
        <f t="shared" si="30"/>
        <v>2170</v>
      </c>
      <c r="AB32" s="206">
        <f t="shared" si="56"/>
        <v>217</v>
      </c>
      <c r="AC32" s="206">
        <f t="shared" si="30"/>
        <v>2170</v>
      </c>
      <c r="AD32" s="206">
        <f t="shared" si="57"/>
        <v>217</v>
      </c>
      <c r="AE32" s="206">
        <f t="shared" si="11"/>
        <v>2170</v>
      </c>
      <c r="AF32" s="206">
        <f t="shared" si="58"/>
        <v>217</v>
      </c>
      <c r="AG32" s="206">
        <f t="shared" si="12"/>
        <v>2170</v>
      </c>
      <c r="AH32" s="206">
        <f t="shared" si="59"/>
        <v>217</v>
      </c>
      <c r="AI32" s="206">
        <f t="shared" si="13"/>
        <v>2170</v>
      </c>
      <c r="AJ32" s="206">
        <f t="shared" si="60"/>
        <v>217</v>
      </c>
      <c r="AK32" s="206">
        <f t="shared" si="14"/>
        <v>2170</v>
      </c>
      <c r="AL32" s="206">
        <f t="shared" si="61"/>
        <v>217</v>
      </c>
      <c r="AM32" s="206">
        <f t="shared" si="15"/>
        <v>2170</v>
      </c>
      <c r="AN32" s="35">
        <f t="shared" si="62"/>
        <v>0.77500000000000002</v>
      </c>
      <c r="AO32" s="36">
        <f t="shared" si="63"/>
        <v>15190</v>
      </c>
      <c r="AQ32" s="226">
        <f t="shared" si="37"/>
        <v>0.70053711394934903</v>
      </c>
      <c r="AR32" s="38">
        <f t="shared" si="41"/>
        <v>65128.935483870977</v>
      </c>
      <c r="AS32" s="200">
        <f t="shared" si="38"/>
        <v>-9928.6774193548335</v>
      </c>
      <c r="AT32" s="365">
        <v>9552</v>
      </c>
      <c r="AU32" s="449">
        <v>0.53</v>
      </c>
      <c r="AV32" s="533">
        <f>IF(AT32&gt;0,AU32,AV31)</f>
        <v>0.53</v>
      </c>
      <c r="AW32" s="298">
        <f>-SUM('B5'!AI31)</f>
        <v>0</v>
      </c>
      <c r="AX32" s="298">
        <f t="shared" si="39"/>
        <v>-9928.6774193548335</v>
      </c>
      <c r="AY32" s="37">
        <f t="shared" si="40"/>
        <v>-9928.6774193548335</v>
      </c>
      <c r="AZ32" s="100">
        <f>ELEC!A29</f>
        <v>0</v>
      </c>
      <c r="BA32" s="118">
        <f>'General information '!D32</f>
        <v>28</v>
      </c>
      <c r="BB32" s="404">
        <f>SUM('General information '!E32)</f>
        <v>0.64</v>
      </c>
      <c r="BC32" s="3">
        <f t="shared" si="43"/>
        <v>0</v>
      </c>
      <c r="BD32" s="102">
        <v>19222</v>
      </c>
      <c r="BE32" s="14">
        <f>(305/1185)*ELEC!Q30</f>
        <v>257.38396624472574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247</v>
      </c>
      <c r="C33" s="206">
        <f t="shared" si="18"/>
        <v>5314.4838709677415</v>
      </c>
      <c r="D33">
        <f t="shared" si="44"/>
        <v>247</v>
      </c>
      <c r="E33" s="206">
        <f t="shared" si="18"/>
        <v>5314.4838709677415</v>
      </c>
      <c r="F33">
        <f t="shared" si="45"/>
        <v>247</v>
      </c>
      <c r="G33" s="206">
        <f t="shared" si="1"/>
        <v>5314.4838709677415</v>
      </c>
      <c r="H33" s="206">
        <f t="shared" si="46"/>
        <v>247</v>
      </c>
      <c r="I33" s="206">
        <f t="shared" si="2"/>
        <v>5314.4838709677415</v>
      </c>
      <c r="J33" s="206">
        <f t="shared" si="47"/>
        <v>247</v>
      </c>
      <c r="K33" s="206">
        <f t="shared" si="3"/>
        <v>5314.4838709677415</v>
      </c>
      <c r="L33" s="206">
        <f t="shared" si="48"/>
        <v>247</v>
      </c>
      <c r="M33" s="206">
        <f t="shared" si="4"/>
        <v>5314.4838709677415</v>
      </c>
      <c r="N33" s="206">
        <f t="shared" si="49"/>
        <v>247</v>
      </c>
      <c r="O33" s="206">
        <f t="shared" si="5"/>
        <v>5314.4838709677415</v>
      </c>
      <c r="P33" s="206">
        <f t="shared" si="50"/>
        <v>247</v>
      </c>
      <c r="Q33" s="206">
        <f t="shared" si="6"/>
        <v>5314.4838709677415</v>
      </c>
      <c r="R33" s="206">
        <f t="shared" si="51"/>
        <v>247</v>
      </c>
      <c r="S33" s="206">
        <f t="shared" si="7"/>
        <v>5314.4838709677415</v>
      </c>
      <c r="T33" s="206">
        <f t="shared" si="52"/>
        <v>247</v>
      </c>
      <c r="U33" s="206">
        <f t="shared" si="8"/>
        <v>5314.4838709677415</v>
      </c>
      <c r="V33" s="206">
        <f t="shared" si="53"/>
        <v>247</v>
      </c>
      <c r="W33" s="206">
        <f t="shared" si="9"/>
        <v>5314.4838709677415</v>
      </c>
      <c r="X33" s="35">
        <f t="shared" si="54"/>
        <v>0.79677419354838708</v>
      </c>
      <c r="Y33" s="36">
        <f t="shared" si="55"/>
        <v>58459.322580645159</v>
      </c>
      <c r="Z33" s="206">
        <f>'B5'!C32</f>
        <v>252</v>
      </c>
      <c r="AA33" s="206">
        <f t="shared" si="30"/>
        <v>2520</v>
      </c>
      <c r="AB33" s="206">
        <f t="shared" si="56"/>
        <v>252</v>
      </c>
      <c r="AC33" s="206">
        <f t="shared" si="30"/>
        <v>2520</v>
      </c>
      <c r="AD33" s="206">
        <f t="shared" si="57"/>
        <v>252</v>
      </c>
      <c r="AE33" s="206">
        <f t="shared" si="11"/>
        <v>2520</v>
      </c>
      <c r="AF33" s="206">
        <f t="shared" si="58"/>
        <v>252</v>
      </c>
      <c r="AG33" s="206">
        <f t="shared" si="12"/>
        <v>2520</v>
      </c>
      <c r="AH33" s="206">
        <f t="shared" si="59"/>
        <v>252</v>
      </c>
      <c r="AI33" s="206">
        <f t="shared" si="13"/>
        <v>2520</v>
      </c>
      <c r="AJ33" s="206">
        <f t="shared" si="60"/>
        <v>252</v>
      </c>
      <c r="AK33" s="206">
        <f t="shared" si="14"/>
        <v>2520</v>
      </c>
      <c r="AL33" s="206">
        <f t="shared" si="61"/>
        <v>252</v>
      </c>
      <c r="AM33" s="206">
        <f t="shared" si="15"/>
        <v>2520</v>
      </c>
      <c r="AN33" s="35">
        <f t="shared" si="62"/>
        <v>0.9</v>
      </c>
      <c r="AO33" s="36">
        <f t="shared" si="63"/>
        <v>17640</v>
      </c>
      <c r="AQ33" s="226">
        <f t="shared" si="37"/>
        <v>0.81853632979074054</v>
      </c>
      <c r="AR33" s="38">
        <f t="shared" si="41"/>
        <v>76099.322580645152</v>
      </c>
      <c r="AS33" s="200">
        <f t="shared" si="38"/>
        <v>10970.387096774175</v>
      </c>
      <c r="AT33" s="365"/>
      <c r="AU33" s="449"/>
      <c r="AV33" s="533">
        <f>IF(AT33&gt;0,AU33,AV32)</f>
        <v>0.53</v>
      </c>
      <c r="AW33" s="298">
        <f>-SUM('B5'!AI32)</f>
        <v>0</v>
      </c>
      <c r="AX33" s="298">
        <f t="shared" si="39"/>
        <v>10970.387096774175</v>
      </c>
      <c r="AY33" s="37">
        <f t="shared" si="40"/>
        <v>10970.387096774175</v>
      </c>
      <c r="AZ33" s="100">
        <f>ELEC!A30</f>
        <v>0</v>
      </c>
      <c r="BA33" s="118">
        <f>'General information '!D33</f>
        <v>28</v>
      </c>
      <c r="BB33" s="207">
        <f>SUM('General information '!E33)</f>
        <v>0.66</v>
      </c>
      <c r="BC33" s="3">
        <f t="shared" si="43"/>
        <v>1</v>
      </c>
      <c r="BD33" s="102">
        <v>19222</v>
      </c>
      <c r="BE33" s="14">
        <f>(305/1185)*ELEC!Q31</f>
        <v>772.15189873417728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245</v>
      </c>
      <c r="C34" s="206">
        <f t="shared" si="18"/>
        <v>5271.4516129032254</v>
      </c>
      <c r="D34">
        <f t="shared" si="44"/>
        <v>245</v>
      </c>
      <c r="E34" s="206">
        <f t="shared" si="18"/>
        <v>5271.4516129032254</v>
      </c>
      <c r="F34">
        <f t="shared" si="45"/>
        <v>245</v>
      </c>
      <c r="G34" s="206">
        <f t="shared" si="1"/>
        <v>5271.4516129032254</v>
      </c>
      <c r="H34" s="206">
        <f t="shared" si="46"/>
        <v>245</v>
      </c>
      <c r="I34" s="206">
        <f t="shared" si="2"/>
        <v>5271.4516129032254</v>
      </c>
      <c r="J34" s="206">
        <f t="shared" si="47"/>
        <v>245</v>
      </c>
      <c r="K34" s="206">
        <f t="shared" si="3"/>
        <v>5271.4516129032254</v>
      </c>
      <c r="L34" s="206">
        <f t="shared" si="48"/>
        <v>245</v>
      </c>
      <c r="M34" s="206">
        <f t="shared" si="4"/>
        <v>5271.4516129032254</v>
      </c>
      <c r="N34" s="206">
        <f t="shared" si="49"/>
        <v>245</v>
      </c>
      <c r="O34" s="206">
        <f t="shared" si="5"/>
        <v>5271.4516129032254</v>
      </c>
      <c r="P34" s="206">
        <f t="shared" si="50"/>
        <v>245</v>
      </c>
      <c r="Q34" s="206">
        <f t="shared" si="6"/>
        <v>5271.4516129032254</v>
      </c>
      <c r="R34" s="206">
        <f t="shared" si="51"/>
        <v>245</v>
      </c>
      <c r="S34" s="206">
        <f t="shared" si="7"/>
        <v>5271.4516129032254</v>
      </c>
      <c r="T34" s="206">
        <f t="shared" si="52"/>
        <v>245</v>
      </c>
      <c r="U34" s="206">
        <f t="shared" si="8"/>
        <v>5271.4516129032254</v>
      </c>
      <c r="V34" s="206">
        <f t="shared" si="53"/>
        <v>245</v>
      </c>
      <c r="W34" s="206">
        <f t="shared" si="9"/>
        <v>5271.4516129032254</v>
      </c>
      <c r="X34" s="35">
        <f t="shared" si="54"/>
        <v>0.79032258064516137</v>
      </c>
      <c r="Y34" s="36">
        <f t="shared" si="55"/>
        <v>57985.967741935492</v>
      </c>
      <c r="Z34" s="206">
        <f>'B5'!C33</f>
        <v>251</v>
      </c>
      <c r="AA34" s="206">
        <f t="shared" si="30"/>
        <v>2510</v>
      </c>
      <c r="AB34" s="206">
        <f t="shared" si="56"/>
        <v>251</v>
      </c>
      <c r="AC34" s="206">
        <f t="shared" si="30"/>
        <v>2510</v>
      </c>
      <c r="AD34" s="206">
        <f t="shared" si="57"/>
        <v>251</v>
      </c>
      <c r="AE34" s="206">
        <f t="shared" si="11"/>
        <v>2510</v>
      </c>
      <c r="AF34" s="206">
        <f t="shared" si="58"/>
        <v>251</v>
      </c>
      <c r="AG34" s="206">
        <f t="shared" si="12"/>
        <v>2510</v>
      </c>
      <c r="AH34" s="206">
        <f t="shared" si="59"/>
        <v>251</v>
      </c>
      <c r="AI34" s="206">
        <f t="shared" si="13"/>
        <v>2510</v>
      </c>
      <c r="AJ34" s="206">
        <f t="shared" si="60"/>
        <v>251</v>
      </c>
      <c r="AK34" s="206">
        <f t="shared" si="14"/>
        <v>2510</v>
      </c>
      <c r="AL34" s="206">
        <f t="shared" si="61"/>
        <v>251</v>
      </c>
      <c r="AM34" s="206">
        <f t="shared" si="15"/>
        <v>2510</v>
      </c>
      <c r="AN34" s="35">
        <f t="shared" si="62"/>
        <v>0.89642857142857146</v>
      </c>
      <c r="AO34" s="36">
        <f t="shared" si="63"/>
        <v>17570</v>
      </c>
      <c r="AQ34" s="226">
        <f>SUM(AR34/92970)</f>
        <v>0.81269191934963414</v>
      </c>
      <c r="AR34" s="38">
        <f t="shared" si="41"/>
        <v>75555.967741935485</v>
      </c>
      <c r="AS34" s="200">
        <f t="shared" si="38"/>
        <v>-543.35483870966709</v>
      </c>
      <c r="AT34" s="365"/>
      <c r="AU34" s="449"/>
      <c r="AV34" s="533">
        <f t="shared" si="42"/>
        <v>0.53</v>
      </c>
      <c r="AW34" s="298">
        <f>-SUM('B5'!AI33)</f>
        <v>0</v>
      </c>
      <c r="AX34" s="298">
        <f t="shared" si="39"/>
        <v>-543.35483870966709</v>
      </c>
      <c r="AY34" s="37">
        <f t="shared" si="40"/>
        <v>-543.35483870966709</v>
      </c>
      <c r="AZ34" s="100">
        <f>ELEC!A31</f>
        <v>0</v>
      </c>
      <c r="BA34" s="118">
        <f>'General information '!D34</f>
        <v>27.5</v>
      </c>
      <c r="BB34" s="207">
        <f>SUM('General information '!E34)</f>
        <v>0.65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245</v>
      </c>
      <c r="C35" s="206">
        <f t="shared" si="18"/>
        <v>5271.4516129032254</v>
      </c>
      <c r="D35">
        <f t="shared" si="44"/>
        <v>245</v>
      </c>
      <c r="E35" s="206">
        <f t="shared" si="18"/>
        <v>5271.4516129032254</v>
      </c>
      <c r="F35">
        <f t="shared" si="45"/>
        <v>245</v>
      </c>
      <c r="G35" s="206">
        <f t="shared" si="1"/>
        <v>5271.4516129032254</v>
      </c>
      <c r="H35" s="206">
        <f t="shared" si="46"/>
        <v>245</v>
      </c>
      <c r="I35" s="206">
        <f t="shared" si="2"/>
        <v>5271.4516129032254</v>
      </c>
      <c r="J35" s="206">
        <f t="shared" si="47"/>
        <v>245</v>
      </c>
      <c r="K35" s="206">
        <f t="shared" si="3"/>
        <v>5271.4516129032254</v>
      </c>
      <c r="L35" s="206">
        <f t="shared" si="48"/>
        <v>245</v>
      </c>
      <c r="M35" s="206">
        <f t="shared" si="4"/>
        <v>5271.4516129032254</v>
      </c>
      <c r="N35" s="206">
        <f t="shared" si="49"/>
        <v>245</v>
      </c>
      <c r="O35" s="206">
        <f t="shared" si="5"/>
        <v>5271.4516129032254</v>
      </c>
      <c r="P35" s="206">
        <f t="shared" si="50"/>
        <v>245</v>
      </c>
      <c r="Q35" s="206">
        <f t="shared" si="6"/>
        <v>5271.4516129032254</v>
      </c>
      <c r="R35" s="206">
        <f t="shared" si="51"/>
        <v>245</v>
      </c>
      <c r="S35" s="206">
        <f t="shared" si="7"/>
        <v>5271.4516129032254</v>
      </c>
      <c r="T35" s="206">
        <f t="shared" si="52"/>
        <v>245</v>
      </c>
      <c r="U35" s="206">
        <f t="shared" si="8"/>
        <v>5271.4516129032254</v>
      </c>
      <c r="V35" s="206">
        <f t="shared" si="53"/>
        <v>245</v>
      </c>
      <c r="W35" s="206">
        <f t="shared" si="9"/>
        <v>5271.4516129032254</v>
      </c>
      <c r="X35" s="35">
        <f t="shared" si="54"/>
        <v>0.79032258064516137</v>
      </c>
      <c r="Y35" s="36">
        <f t="shared" si="55"/>
        <v>57985.967741935492</v>
      </c>
      <c r="Z35" s="206">
        <f>'B5'!C34</f>
        <v>251</v>
      </c>
      <c r="AA35" s="206">
        <f t="shared" si="30"/>
        <v>2510</v>
      </c>
      <c r="AB35" s="206">
        <f t="shared" si="56"/>
        <v>251</v>
      </c>
      <c r="AC35" s="206">
        <f t="shared" si="30"/>
        <v>2510</v>
      </c>
      <c r="AD35" s="206">
        <f t="shared" si="57"/>
        <v>251</v>
      </c>
      <c r="AE35" s="206">
        <f t="shared" si="11"/>
        <v>2510</v>
      </c>
      <c r="AF35" s="206">
        <f t="shared" si="58"/>
        <v>251</v>
      </c>
      <c r="AG35" s="206">
        <f t="shared" si="12"/>
        <v>2510</v>
      </c>
      <c r="AH35" s="206">
        <f t="shared" si="59"/>
        <v>251</v>
      </c>
      <c r="AI35" s="206">
        <f t="shared" si="13"/>
        <v>2510</v>
      </c>
      <c r="AJ35" s="206">
        <f t="shared" si="60"/>
        <v>251</v>
      </c>
      <c r="AK35" s="206">
        <f t="shared" si="14"/>
        <v>2510</v>
      </c>
      <c r="AL35" s="206">
        <f t="shared" si="61"/>
        <v>251</v>
      </c>
      <c r="AM35" s="206">
        <f t="shared" si="15"/>
        <v>2510</v>
      </c>
      <c r="AN35" s="35">
        <f t="shared" si="62"/>
        <v>0.89642857142857146</v>
      </c>
      <c r="AO35" s="36">
        <f t="shared" si="63"/>
        <v>17570</v>
      </c>
      <c r="AQ35" s="226">
        <f>SUM(AR35/92970)</f>
        <v>0.81269191934963414</v>
      </c>
      <c r="AR35" s="38">
        <f t="shared" si="41"/>
        <v>75555.967741935485</v>
      </c>
      <c r="AS35" s="200">
        <f t="shared" si="38"/>
        <v>0</v>
      </c>
      <c r="AT35" s="365"/>
      <c r="AU35" s="449"/>
      <c r="AV35" s="533">
        <f>IF(AT35&gt;0,AU35,AV34)</f>
        <v>0.53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245</v>
      </c>
      <c r="C36" s="206">
        <f t="shared" ref="C36" si="64">B36*$B$4</f>
        <v>5271.4516129032254</v>
      </c>
      <c r="D36">
        <f t="shared" ref="D36" si="65">SUM(B36)</f>
        <v>245</v>
      </c>
      <c r="E36" s="206">
        <f t="shared" ref="E36" si="66">D36*$B$4</f>
        <v>5271.4516129032254</v>
      </c>
      <c r="F36">
        <f t="shared" ref="F36" si="67">SUM(D36)</f>
        <v>245</v>
      </c>
      <c r="G36" s="206">
        <f t="shared" ref="G36" si="68">F36*$B$4</f>
        <v>5271.4516129032254</v>
      </c>
      <c r="H36" s="206">
        <f t="shared" ref="H36" si="69">SUM(F36)</f>
        <v>245</v>
      </c>
      <c r="I36" s="206">
        <f t="shared" ref="I36" si="70">H36*$B$4</f>
        <v>5271.4516129032254</v>
      </c>
      <c r="J36" s="206">
        <f t="shared" ref="J36" si="71">SUM(H36)</f>
        <v>245</v>
      </c>
      <c r="K36" s="206">
        <f t="shared" ref="K36" si="72">J36*$B$4</f>
        <v>5271.4516129032254</v>
      </c>
      <c r="L36" s="206">
        <f t="shared" ref="L36" si="73">SUM(J36)</f>
        <v>245</v>
      </c>
      <c r="M36" s="206">
        <f t="shared" ref="M36" si="74">L36*$B$4</f>
        <v>5271.4516129032254</v>
      </c>
      <c r="N36" s="206">
        <f t="shared" ref="N36" si="75">SUM(L36)</f>
        <v>245</v>
      </c>
      <c r="O36" s="206">
        <f t="shared" ref="O36" si="76">N36*$B$4</f>
        <v>5271.4516129032254</v>
      </c>
      <c r="P36" s="206">
        <f t="shared" ref="P36" si="77">SUM(N36)</f>
        <v>245</v>
      </c>
      <c r="Q36" s="206">
        <f t="shared" ref="Q36" si="78">P36*$B$4</f>
        <v>5271.4516129032254</v>
      </c>
      <c r="R36" s="206">
        <f t="shared" ref="R36" si="79">SUM(P36)</f>
        <v>245</v>
      </c>
      <c r="S36" s="206">
        <f t="shared" ref="S36" si="80">R36*$B$4</f>
        <v>5271.4516129032254</v>
      </c>
      <c r="T36" s="206">
        <f t="shared" ref="T36" si="81">SUM(R36)</f>
        <v>245</v>
      </c>
      <c r="U36" s="206">
        <f t="shared" ref="U36" si="82">T36*$B$4</f>
        <v>5271.4516129032254</v>
      </c>
      <c r="V36" s="206">
        <f t="shared" ref="V36" si="83">SUM(T36)</f>
        <v>245</v>
      </c>
      <c r="W36" s="206">
        <f t="shared" ref="W36" si="84">V36*$B$4</f>
        <v>5271.4516129032254</v>
      </c>
      <c r="X36" s="35">
        <f t="shared" ref="X36" si="85">SUM(Y36/73370)</f>
        <v>0.79032258064516137</v>
      </c>
      <c r="Y36" s="36">
        <f t="shared" ref="Y36" si="86">SUM(C36+E36+G36+I36+K36+M36+O36+Q36+S36+U36+W36)</f>
        <v>57985.967741935492</v>
      </c>
      <c r="Z36" s="206">
        <f>'B5'!C35</f>
        <v>251</v>
      </c>
      <c r="AA36" s="206">
        <f t="shared" ref="AA36" si="87">SUM(Z36*$Z$4)</f>
        <v>2510</v>
      </c>
      <c r="AB36" s="206">
        <f t="shared" ref="AB36" si="88">SUM(Z36)</f>
        <v>251</v>
      </c>
      <c r="AC36" s="206">
        <f t="shared" ref="AC36" si="89">SUM(AB36*$Z$4)</f>
        <v>2510</v>
      </c>
      <c r="AD36" s="206">
        <f t="shared" ref="AD36" si="90">SUM(AB36)</f>
        <v>251</v>
      </c>
      <c r="AE36" s="206">
        <f t="shared" ref="AE36" si="91">SUM(AD36*$Z$4)</f>
        <v>2510</v>
      </c>
      <c r="AF36" s="206">
        <f t="shared" ref="AF36" si="92">SUM(AD36)</f>
        <v>251</v>
      </c>
      <c r="AG36" s="206">
        <f t="shared" ref="AG36" si="93">SUM(AF36*$Z$4)</f>
        <v>2510</v>
      </c>
      <c r="AH36" s="206">
        <f t="shared" ref="AH36" si="94">SUM(AF36)</f>
        <v>251</v>
      </c>
      <c r="AI36" s="206">
        <f t="shared" ref="AI36" si="95">SUM(AH36*$Z$4)</f>
        <v>2510</v>
      </c>
      <c r="AJ36" s="206">
        <f t="shared" ref="AJ36" si="96">SUM(AH36)</f>
        <v>251</v>
      </c>
      <c r="AK36" s="206">
        <f t="shared" ref="AK36" si="97">SUM(AJ36*$Z$4)</f>
        <v>2510</v>
      </c>
      <c r="AL36" s="206">
        <f t="shared" ref="AL36" si="98">SUM(AJ36)</f>
        <v>251</v>
      </c>
      <c r="AM36" s="206">
        <f t="shared" ref="AM36" si="99">SUM(AL36*$Z$4)</f>
        <v>2510</v>
      </c>
      <c r="AN36" s="35">
        <f t="shared" ref="AN36" si="100">SUM(AO36/19600)</f>
        <v>0.89642857142857146</v>
      </c>
      <c r="AO36" s="36">
        <f t="shared" ref="AO36" si="101">SUM(AA36+AC36+AE36+AG36+AI36+AK36+AM36)</f>
        <v>17570</v>
      </c>
      <c r="AQ36" s="226">
        <f>SUM(AR36/92970)</f>
        <v>0.81269191934963414</v>
      </c>
      <c r="AR36" s="38">
        <f t="shared" si="41"/>
        <v>75555.967741935485</v>
      </c>
      <c r="AS36" s="200">
        <f t="shared" ref="AS36" si="102">SUM(AR36-AR35-AT36)</f>
        <v>0</v>
      </c>
      <c r="AT36" s="365"/>
      <c r="AU36" s="449"/>
      <c r="AV36" s="533">
        <f>IF(AT36&gt;0,AU36,AV35)</f>
        <v>0.53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3</v>
      </c>
      <c r="AT37" s="206">
        <f>SUM(AT6:AT35)</f>
        <v>39292</v>
      </c>
      <c r="AU37">
        <f>SUM(AU6:AU35)/AS37</f>
        <v>0.53500000000000003</v>
      </c>
      <c r="AX37" s="206">
        <f>SUM(AX6:AX35)</f>
        <v>-28365.509677419337</v>
      </c>
      <c r="AY37" s="206">
        <f>SUM(AY6:AY35)</f>
        <v>-30941.709677419349</v>
      </c>
    </row>
    <row r="38" spans="1:60">
      <c r="AS38" s="209"/>
      <c r="AT38">
        <f>+AT37*AU37</f>
        <v>21021.22</v>
      </c>
    </row>
    <row r="40" spans="1:60">
      <c r="AS40" s="165">
        <f>SUM(AS6:AS35)/'EDl log'!A37</f>
        <v>-1066.9555061179085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0" activePane="bottomLeft" state="frozen"/>
      <selection pane="bottomLeft" activeCell="P31" sqref="P3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68">
        <v>9005</v>
      </c>
      <c r="C3" s="295">
        <f>B3-B2</f>
        <v>8</v>
      </c>
      <c r="D3" s="569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69">
        <f>J2</f>
        <v>10698</v>
      </c>
      <c r="K3" s="295">
        <f t="shared" ref="K3:K31" si="2">J3-J2</f>
        <v>0</v>
      </c>
      <c r="L3" s="569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69">
        <v>11612</v>
      </c>
      <c r="S3" s="295">
        <f t="shared" ref="S3:S32" si="5">R3-R2</f>
        <v>17</v>
      </c>
      <c r="T3" s="569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68">
        <v>9010</v>
      </c>
      <c r="C4" s="295">
        <f t="shared" ref="C4:C32" si="11">B4-B3</f>
        <v>5</v>
      </c>
      <c r="D4" s="569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69">
        <v>10698</v>
      </c>
      <c r="K4" s="295">
        <f t="shared" si="2"/>
        <v>0</v>
      </c>
      <c r="L4" s="569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69">
        <v>11616</v>
      </c>
      <c r="S4" s="295">
        <f t="shared" si="5"/>
        <v>4</v>
      </c>
      <c r="T4" s="569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68">
        <v>9025</v>
      </c>
      <c r="C5" s="295">
        <f t="shared" si="11"/>
        <v>15</v>
      </c>
      <c r="D5" s="569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69">
        <v>10698</v>
      </c>
      <c r="K5" s="295">
        <f t="shared" si="2"/>
        <v>0</v>
      </c>
      <c r="L5" s="569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69">
        <v>11620</v>
      </c>
      <c r="S5" s="295">
        <f t="shared" si="5"/>
        <v>4</v>
      </c>
      <c r="T5" s="569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68">
        <v>9038</v>
      </c>
      <c r="C6" s="295">
        <f t="shared" si="11"/>
        <v>13</v>
      </c>
      <c r="D6" s="569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69">
        <f t="shared" si="14"/>
        <v>10698</v>
      </c>
      <c r="K6" s="295">
        <f t="shared" si="2"/>
        <v>0</v>
      </c>
      <c r="L6" s="569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69">
        <v>11627</v>
      </c>
      <c r="S6" s="295">
        <f t="shared" si="5"/>
        <v>7</v>
      </c>
      <c r="T6" s="569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68">
        <v>9046</v>
      </c>
      <c r="C7" s="295">
        <f t="shared" si="11"/>
        <v>8</v>
      </c>
      <c r="D7" s="569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69">
        <v>10698</v>
      </c>
      <c r="K7" s="295">
        <f t="shared" si="2"/>
        <v>0</v>
      </c>
      <c r="L7" s="569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69">
        <v>11627</v>
      </c>
      <c r="S7" s="295">
        <f t="shared" si="5"/>
        <v>0</v>
      </c>
      <c r="T7" s="569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68">
        <v>9048</v>
      </c>
      <c r="C8" s="295">
        <f t="shared" si="11"/>
        <v>2</v>
      </c>
      <c r="D8" s="569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69">
        <f t="shared" si="14"/>
        <v>10698</v>
      </c>
      <c r="K8" s="295">
        <f t="shared" si="2"/>
        <v>0</v>
      </c>
      <c r="L8" s="569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69">
        <f t="shared" ref="R8:T33" si="27">R7</f>
        <v>11627</v>
      </c>
      <c r="S8" s="295">
        <f t="shared" si="5"/>
        <v>0</v>
      </c>
      <c r="T8" s="569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68">
        <v>9052</v>
      </c>
      <c r="C9" s="295">
        <f t="shared" si="11"/>
        <v>4</v>
      </c>
      <c r="D9" s="569">
        <v>212052</v>
      </c>
      <c r="E9" s="295">
        <f t="shared" si="12"/>
        <v>662</v>
      </c>
      <c r="F9" s="295">
        <f t="shared" si="0"/>
        <v>165.5</v>
      </c>
      <c r="G9" s="199"/>
      <c r="H9" s="296">
        <f t="shared" si="13"/>
        <v>9100</v>
      </c>
      <c r="I9" s="295" t="str">
        <f t="shared" si="1"/>
        <v>ok</v>
      </c>
      <c r="J9" s="569">
        <v>10698</v>
      </c>
      <c r="K9" s="295">
        <f t="shared" si="2"/>
        <v>0</v>
      </c>
      <c r="L9" s="569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69">
        <v>11627</v>
      </c>
      <c r="S9" s="295">
        <f t="shared" si="5"/>
        <v>0</v>
      </c>
      <c r="T9" s="569"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4</v>
      </c>
      <c r="AA9" s="295">
        <f t="shared" si="19"/>
        <v>662</v>
      </c>
      <c r="AB9" s="295">
        <f t="shared" si="20"/>
        <v>165.5</v>
      </c>
      <c r="AC9" s="295">
        <f t="shared" si="21"/>
        <v>165.5</v>
      </c>
      <c r="AD9" s="73">
        <f>ELEC!Q9</f>
        <v>1000</v>
      </c>
      <c r="AE9" s="73">
        <f t="shared" si="23"/>
        <v>250</v>
      </c>
      <c r="AF9" s="413">
        <f t="shared" si="24"/>
        <v>0.15625</v>
      </c>
      <c r="AG9" s="414">
        <f t="shared" si="25"/>
        <v>50</v>
      </c>
      <c r="AH9" s="414">
        <f t="shared" si="22"/>
        <v>115.5</v>
      </c>
      <c r="AI9" s="73">
        <f t="shared" si="26"/>
        <v>257.38396624472574</v>
      </c>
      <c r="AJ9" s="297">
        <v>0.25738396624472576</v>
      </c>
      <c r="AK9" s="297">
        <f t="shared" ref="AK9:AK16" si="28">IF(Z9&gt;0,AI9/Z9,0)</f>
        <v>64.345991561181435</v>
      </c>
    </row>
    <row r="10" spans="1:37" ht="15.75" thickBot="1">
      <c r="A10" s="4">
        <f>ELEC!C10</f>
        <v>44051</v>
      </c>
      <c r="B10" s="568">
        <v>9055</v>
      </c>
      <c r="C10" s="295">
        <f t="shared" si="11"/>
        <v>3</v>
      </c>
      <c r="D10" s="569">
        <v>212879</v>
      </c>
      <c r="E10" s="295">
        <f t="shared" si="12"/>
        <v>827</v>
      </c>
      <c r="F10" s="295">
        <f t="shared" si="0"/>
        <v>275.66666666666669</v>
      </c>
      <c r="G10" s="199"/>
      <c r="H10" s="296">
        <f t="shared" si="13"/>
        <v>9100</v>
      </c>
      <c r="I10" s="295" t="str">
        <f t="shared" si="1"/>
        <v>ok</v>
      </c>
      <c r="J10" s="569">
        <f t="shared" si="14"/>
        <v>10698</v>
      </c>
      <c r="K10" s="295">
        <f t="shared" si="2"/>
        <v>0</v>
      </c>
      <c r="L10" s="569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69">
        <v>11627</v>
      </c>
      <c r="S10" s="295">
        <f t="shared" si="5"/>
        <v>0</v>
      </c>
      <c r="T10" s="569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3</v>
      </c>
      <c r="AA10" s="295">
        <f t="shared" si="19"/>
        <v>827</v>
      </c>
      <c r="AB10" s="295">
        <f t="shared" si="20"/>
        <v>275.66666666666669</v>
      </c>
      <c r="AC10" s="295">
        <f t="shared" si="21"/>
        <v>275.66666666666669</v>
      </c>
      <c r="AD10" s="73">
        <f>ELEC!Q10</f>
        <v>2000</v>
      </c>
      <c r="AE10" s="73">
        <f t="shared" si="23"/>
        <v>666.66666666666663</v>
      </c>
      <c r="AF10" s="413">
        <f t="shared" si="24"/>
        <v>0.41666666666666663</v>
      </c>
      <c r="AG10" s="414">
        <f t="shared" si="25"/>
        <v>133.33333333333331</v>
      </c>
      <c r="AH10" s="414">
        <f t="shared" si="22"/>
        <v>142.33333333333337</v>
      </c>
      <c r="AI10" s="73">
        <f t="shared" si="26"/>
        <v>514.76793248945148</v>
      </c>
      <c r="AJ10" s="297">
        <f t="shared" si="9"/>
        <v>0.25738396624472576</v>
      </c>
      <c r="AK10" s="297">
        <f t="shared" si="28"/>
        <v>171.58931082981715</v>
      </c>
    </row>
    <row r="11" spans="1:37" ht="15.75" thickBot="1">
      <c r="A11" s="4">
        <f>ELEC!C11</f>
        <v>44052</v>
      </c>
      <c r="B11" s="568">
        <v>9058</v>
      </c>
      <c r="C11" s="295">
        <f t="shared" si="11"/>
        <v>3</v>
      </c>
      <c r="D11" s="569">
        <v>213567</v>
      </c>
      <c r="E11" s="295">
        <f t="shared" si="12"/>
        <v>688</v>
      </c>
      <c r="F11" s="295">
        <f t="shared" si="0"/>
        <v>229.33333333333334</v>
      </c>
      <c r="G11" s="199"/>
      <c r="H11" s="296">
        <f t="shared" si="13"/>
        <v>9100</v>
      </c>
      <c r="I11" s="295" t="str">
        <f t="shared" si="1"/>
        <v>ok</v>
      </c>
      <c r="J11" s="569">
        <f t="shared" si="14"/>
        <v>10698</v>
      </c>
      <c r="K11" s="295">
        <f t="shared" si="2"/>
        <v>0</v>
      </c>
      <c r="L11" s="569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69">
        <f t="shared" si="27"/>
        <v>11627</v>
      </c>
      <c r="S11" s="295">
        <f t="shared" si="5"/>
        <v>0</v>
      </c>
      <c r="T11" s="569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3</v>
      </c>
      <c r="AA11" s="295">
        <f t="shared" si="19"/>
        <v>688</v>
      </c>
      <c r="AB11" s="295">
        <f t="shared" si="20"/>
        <v>229.33333333333334</v>
      </c>
      <c r="AC11" s="295">
        <f t="shared" si="21"/>
        <v>229.33333333333334</v>
      </c>
      <c r="AD11" s="73">
        <f>ELEC!Q11</f>
        <v>2000</v>
      </c>
      <c r="AE11" s="73">
        <f t="shared" si="23"/>
        <v>666.66666666666663</v>
      </c>
      <c r="AF11" s="413">
        <f t="shared" si="24"/>
        <v>0.41666666666666663</v>
      </c>
      <c r="AG11" s="414">
        <f t="shared" si="25"/>
        <v>133.33333333333331</v>
      </c>
      <c r="AH11" s="414">
        <f t="shared" si="22"/>
        <v>96.000000000000028</v>
      </c>
      <c r="AI11" s="73">
        <f t="shared" si="26"/>
        <v>514.76793248945148</v>
      </c>
      <c r="AJ11" s="297">
        <f t="shared" si="9"/>
        <v>0.25738396624472576</v>
      </c>
      <c r="AK11" s="297">
        <f t="shared" si="28"/>
        <v>171.58931082981715</v>
      </c>
    </row>
    <row r="12" spans="1:37" ht="15.75" thickBot="1">
      <c r="A12" s="4">
        <f>ELEC!C12</f>
        <v>44053</v>
      </c>
      <c r="B12" s="568">
        <v>9061</v>
      </c>
      <c r="C12" s="295">
        <f t="shared" si="11"/>
        <v>3</v>
      </c>
      <c r="D12" s="569">
        <v>214264</v>
      </c>
      <c r="E12" s="295">
        <f t="shared" si="12"/>
        <v>697</v>
      </c>
      <c r="F12" s="295">
        <f t="shared" si="0"/>
        <v>232.33333333333334</v>
      </c>
      <c r="G12" s="199"/>
      <c r="H12" s="296">
        <f t="shared" si="13"/>
        <v>9100</v>
      </c>
      <c r="I12" s="295" t="str">
        <f t="shared" si="1"/>
        <v>ok</v>
      </c>
      <c r="J12" s="569">
        <f t="shared" si="14"/>
        <v>10698</v>
      </c>
      <c r="K12" s="295">
        <f t="shared" si="2"/>
        <v>0</v>
      </c>
      <c r="L12" s="569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69">
        <f t="shared" si="27"/>
        <v>11627</v>
      </c>
      <c r="S12" s="295">
        <f t="shared" si="5"/>
        <v>0</v>
      </c>
      <c r="T12" s="569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3</v>
      </c>
      <c r="AA12" s="295">
        <f t="shared" si="19"/>
        <v>697</v>
      </c>
      <c r="AB12" s="295">
        <f t="shared" si="20"/>
        <v>232.33333333333334</v>
      </c>
      <c r="AC12" s="295">
        <f t="shared" si="21"/>
        <v>232.33333333333334</v>
      </c>
      <c r="AD12" s="73">
        <f>ELEC!Q12</f>
        <v>1000</v>
      </c>
      <c r="AE12" s="73">
        <f t="shared" si="23"/>
        <v>333.33333333333331</v>
      </c>
      <c r="AF12" s="413">
        <f t="shared" si="24"/>
        <v>0.20833333333333331</v>
      </c>
      <c r="AG12" s="414">
        <f t="shared" si="25"/>
        <v>66.666666666666657</v>
      </c>
      <c r="AH12" s="414">
        <f t="shared" si="22"/>
        <v>165.66666666666669</v>
      </c>
      <c r="AI12" s="73">
        <f t="shared" si="26"/>
        <v>257.38396624472574</v>
      </c>
      <c r="AJ12" s="297">
        <f t="shared" si="9"/>
        <v>0.25738396624472576</v>
      </c>
      <c r="AK12" s="297">
        <f t="shared" si="28"/>
        <v>85.794655414908576</v>
      </c>
    </row>
    <row r="13" spans="1:37" ht="15.75" thickBot="1">
      <c r="A13" s="4">
        <f>ELEC!C13</f>
        <v>44054</v>
      </c>
      <c r="B13" s="568">
        <v>9064</v>
      </c>
      <c r="C13" s="295">
        <f t="shared" si="11"/>
        <v>3</v>
      </c>
      <c r="D13" s="569">
        <v>215063</v>
      </c>
      <c r="E13" s="295">
        <f t="shared" si="12"/>
        <v>799</v>
      </c>
      <c r="F13" s="295">
        <f t="shared" si="0"/>
        <v>266.33333333333331</v>
      </c>
      <c r="G13" s="199"/>
      <c r="H13" s="296">
        <f t="shared" si="13"/>
        <v>9100</v>
      </c>
      <c r="I13" s="295" t="str">
        <f t="shared" si="1"/>
        <v>ok</v>
      </c>
      <c r="J13" s="569">
        <f t="shared" si="14"/>
        <v>10698</v>
      </c>
      <c r="K13" s="295">
        <f t="shared" si="2"/>
        <v>0</v>
      </c>
      <c r="L13" s="569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69">
        <v>11627</v>
      </c>
      <c r="S13" s="295">
        <f t="shared" si="5"/>
        <v>0</v>
      </c>
      <c r="T13" s="569">
        <v>340045</v>
      </c>
      <c r="U13" s="295">
        <f t="shared" si="6"/>
        <v>3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3</v>
      </c>
      <c r="AA13" s="295">
        <f t="shared" si="19"/>
        <v>802</v>
      </c>
      <c r="AB13" s="295">
        <f t="shared" si="20"/>
        <v>266.33333333333331</v>
      </c>
      <c r="AC13" s="295">
        <f t="shared" si="21"/>
        <v>267.33333333333331</v>
      </c>
      <c r="AD13" s="73">
        <f>ELEC!Q13</f>
        <v>2000</v>
      </c>
      <c r="AE13" s="73">
        <f t="shared" si="23"/>
        <v>666.66666666666663</v>
      </c>
      <c r="AF13" s="413">
        <f t="shared" si="24"/>
        <v>0.41666666666666663</v>
      </c>
      <c r="AG13" s="414">
        <f t="shared" si="25"/>
        <v>133.33333333333331</v>
      </c>
      <c r="AH13" s="414">
        <f t="shared" si="22"/>
        <v>134</v>
      </c>
      <c r="AI13" s="73">
        <f t="shared" si="26"/>
        <v>514.76793248945148</v>
      </c>
      <c r="AJ13" s="297">
        <f t="shared" si="9"/>
        <v>0.25738396624472576</v>
      </c>
      <c r="AK13" s="297">
        <f t="shared" si="28"/>
        <v>171.58931082981715</v>
      </c>
    </row>
    <row r="14" spans="1:37" ht="15.75" thickBot="1">
      <c r="A14" s="4">
        <f>ELEC!C14</f>
        <v>44055</v>
      </c>
      <c r="B14" s="568">
        <v>9067</v>
      </c>
      <c r="C14" s="295">
        <f t="shared" si="11"/>
        <v>3</v>
      </c>
      <c r="D14" s="569">
        <v>215713</v>
      </c>
      <c r="E14" s="295">
        <f t="shared" si="12"/>
        <v>650</v>
      </c>
      <c r="F14" s="295">
        <f t="shared" si="0"/>
        <v>216.66666666666666</v>
      </c>
      <c r="G14" s="199"/>
      <c r="H14" s="296">
        <f t="shared" si="13"/>
        <v>9100</v>
      </c>
      <c r="I14" s="295" t="str">
        <f t="shared" si="1"/>
        <v>ok</v>
      </c>
      <c r="J14" s="569">
        <f t="shared" si="14"/>
        <v>10698</v>
      </c>
      <c r="K14" s="295">
        <f t="shared" si="2"/>
        <v>0</v>
      </c>
      <c r="L14" s="569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69">
        <f t="shared" si="27"/>
        <v>11627</v>
      </c>
      <c r="S14" s="295">
        <f t="shared" si="5"/>
        <v>0</v>
      </c>
      <c r="T14" s="569">
        <f t="shared" si="27"/>
        <v>340045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3</v>
      </c>
      <c r="AA14" s="295">
        <f t="shared" si="19"/>
        <v>650</v>
      </c>
      <c r="AB14" s="295">
        <f t="shared" si="20"/>
        <v>216.66666666666666</v>
      </c>
      <c r="AC14" s="295">
        <f t="shared" si="21"/>
        <v>216.66666666666666</v>
      </c>
      <c r="AD14" s="73">
        <f>ELEC!Q14</f>
        <v>2000</v>
      </c>
      <c r="AE14" s="73">
        <f t="shared" si="23"/>
        <v>666.66666666666663</v>
      </c>
      <c r="AF14" s="413">
        <f t="shared" si="24"/>
        <v>0.41666666666666663</v>
      </c>
      <c r="AG14" s="414">
        <f t="shared" si="25"/>
        <v>133.33333333333331</v>
      </c>
      <c r="AH14" s="414">
        <f t="shared" si="22"/>
        <v>83.333333333333343</v>
      </c>
      <c r="AI14" s="73">
        <f t="shared" si="26"/>
        <v>514.76793248945148</v>
      </c>
      <c r="AJ14" s="297">
        <f t="shared" si="9"/>
        <v>0.25738396624472576</v>
      </c>
      <c r="AK14" s="297">
        <f t="shared" si="28"/>
        <v>171.58931082981715</v>
      </c>
    </row>
    <row r="15" spans="1:37" ht="15.75" thickBot="1">
      <c r="A15" s="4">
        <f>ELEC!C15</f>
        <v>44056</v>
      </c>
      <c r="B15" s="568">
        <v>9071</v>
      </c>
      <c r="C15" s="295">
        <f t="shared" si="11"/>
        <v>4</v>
      </c>
      <c r="D15" s="569">
        <v>216260</v>
      </c>
      <c r="E15" s="295">
        <f t="shared" si="12"/>
        <v>547</v>
      </c>
      <c r="F15" s="295">
        <f t="shared" si="0"/>
        <v>136.75</v>
      </c>
      <c r="G15" s="199"/>
      <c r="H15" s="296">
        <f t="shared" si="13"/>
        <v>9100</v>
      </c>
      <c r="I15" s="295" t="str">
        <f t="shared" si="1"/>
        <v>ok</v>
      </c>
      <c r="J15" s="569">
        <f t="shared" si="14"/>
        <v>10698</v>
      </c>
      <c r="K15" s="295">
        <f t="shared" si="2"/>
        <v>0</v>
      </c>
      <c r="L15" s="569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69">
        <v>11629</v>
      </c>
      <c r="S15" s="295">
        <f t="shared" si="5"/>
        <v>2</v>
      </c>
      <c r="T15" s="569">
        <v>340575</v>
      </c>
      <c r="U15" s="295">
        <f t="shared" si="6"/>
        <v>530</v>
      </c>
      <c r="V15" s="295">
        <f t="shared" si="17"/>
        <v>265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6</v>
      </c>
      <c r="AA15" s="295">
        <f t="shared" si="19"/>
        <v>1077</v>
      </c>
      <c r="AB15" s="295">
        <f t="shared" si="20"/>
        <v>401.75</v>
      </c>
      <c r="AC15" s="295">
        <f t="shared" si="21"/>
        <v>179.5</v>
      </c>
      <c r="AD15" s="73">
        <f>ELEC!Q15</f>
        <v>2000</v>
      </c>
      <c r="AE15" s="73">
        <f t="shared" si="23"/>
        <v>333.33333333333331</v>
      </c>
      <c r="AF15" s="413">
        <f t="shared" si="24"/>
        <v>0.20833333333333331</v>
      </c>
      <c r="AG15" s="414">
        <f t="shared" si="25"/>
        <v>66.666666666666657</v>
      </c>
      <c r="AH15" s="414">
        <f t="shared" si="22"/>
        <v>112.83333333333334</v>
      </c>
      <c r="AI15" s="73">
        <f t="shared" si="26"/>
        <v>514.76793248945148</v>
      </c>
      <c r="AJ15" s="297">
        <f t="shared" si="9"/>
        <v>0.25738396624472576</v>
      </c>
      <c r="AK15" s="297">
        <f t="shared" si="28"/>
        <v>85.794655414908576</v>
      </c>
    </row>
    <row r="16" spans="1:37" ht="15.75" thickBot="1">
      <c r="A16" s="4">
        <f>ELEC!C16</f>
        <v>44057</v>
      </c>
      <c r="B16" s="568">
        <f t="shared" ref="B16:B33" si="29">B15</f>
        <v>9071</v>
      </c>
      <c r="C16" s="295">
        <f t="shared" si="11"/>
        <v>0</v>
      </c>
      <c r="D16" s="569">
        <f t="shared" ref="D16:D33" si="30">D15</f>
        <v>216260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69">
        <f t="shared" si="14"/>
        <v>10698</v>
      </c>
      <c r="K16" s="295">
        <f t="shared" si="2"/>
        <v>0</v>
      </c>
      <c r="L16" s="569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69">
        <v>11635</v>
      </c>
      <c r="S16" s="595">
        <f t="shared" si="5"/>
        <v>6</v>
      </c>
      <c r="T16" s="569">
        <v>341869</v>
      </c>
      <c r="U16" s="295">
        <f t="shared" si="6"/>
        <v>1294</v>
      </c>
      <c r="V16" s="295">
        <f t="shared" si="17"/>
        <v>215.66666666666666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6</v>
      </c>
      <c r="AA16" s="295">
        <f t="shared" si="19"/>
        <v>1294</v>
      </c>
      <c r="AB16" s="295">
        <f t="shared" si="20"/>
        <v>215.66666666666666</v>
      </c>
      <c r="AC16" s="295">
        <f t="shared" si="21"/>
        <v>215.66666666666666</v>
      </c>
      <c r="AD16" s="73">
        <f>ELEC!Q16</f>
        <v>4000</v>
      </c>
      <c r="AE16" s="73">
        <f t="shared" si="23"/>
        <v>666.66666666666663</v>
      </c>
      <c r="AF16" s="413">
        <f t="shared" si="24"/>
        <v>0.41666666666666663</v>
      </c>
      <c r="AG16" s="414">
        <f t="shared" si="25"/>
        <v>133.33333333333331</v>
      </c>
      <c r="AH16" s="414">
        <f t="shared" si="22"/>
        <v>82.333333333333343</v>
      </c>
      <c r="AI16" s="73">
        <f t="shared" si="26"/>
        <v>1029.535864978903</v>
      </c>
      <c r="AJ16" s="297">
        <f t="shared" si="9"/>
        <v>0.25738396624472576</v>
      </c>
      <c r="AK16" s="297">
        <f t="shared" si="28"/>
        <v>171.58931082981715</v>
      </c>
    </row>
    <row r="17" spans="1:37" ht="15.75" thickBot="1">
      <c r="A17" s="4">
        <f>ELEC!C17</f>
        <v>44058</v>
      </c>
      <c r="B17" s="568">
        <f t="shared" si="29"/>
        <v>9071</v>
      </c>
      <c r="C17" s="295">
        <f t="shared" si="11"/>
        <v>0</v>
      </c>
      <c r="D17" s="569">
        <f t="shared" si="30"/>
        <v>216260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69">
        <f t="shared" si="14"/>
        <v>10698</v>
      </c>
      <c r="K17" s="295">
        <f t="shared" si="2"/>
        <v>0</v>
      </c>
      <c r="L17" s="569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69">
        <v>11640</v>
      </c>
      <c r="S17" s="295">
        <f t="shared" si="5"/>
        <v>5</v>
      </c>
      <c r="T17" s="569">
        <v>342996</v>
      </c>
      <c r="U17" s="295">
        <f t="shared" si="6"/>
        <v>1127</v>
      </c>
      <c r="V17" s="295">
        <f t="shared" si="17"/>
        <v>225.4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5</v>
      </c>
      <c r="AA17" s="295">
        <f t="shared" si="19"/>
        <v>1127</v>
      </c>
      <c r="AB17" s="295">
        <f t="shared" si="20"/>
        <v>225.4</v>
      </c>
      <c r="AC17" s="295">
        <f t="shared" si="21"/>
        <v>225.4</v>
      </c>
      <c r="AD17" s="73">
        <f>ELEC!Q17</f>
        <v>2000</v>
      </c>
      <c r="AE17" s="73">
        <f t="shared" si="23"/>
        <v>400</v>
      </c>
      <c r="AF17" s="413">
        <f t="shared" si="24"/>
        <v>0.25</v>
      </c>
      <c r="AG17" s="414">
        <f t="shared" si="25"/>
        <v>80</v>
      </c>
      <c r="AH17" s="414">
        <f t="shared" si="22"/>
        <v>145.4</v>
      </c>
      <c r="AI17" s="73">
        <f t="shared" si="26"/>
        <v>514.76793248945148</v>
      </c>
      <c r="AJ17" s="297">
        <f t="shared" si="9"/>
        <v>0.25738396624472576</v>
      </c>
      <c r="AK17" s="297">
        <f t="shared" ref="AK17:AK32" si="31">IF(Z17&gt;0,AI17/Z17,0)</f>
        <v>102.9535864978903</v>
      </c>
    </row>
    <row r="18" spans="1:37" ht="15.75" thickBot="1">
      <c r="A18" s="4">
        <f>ELEC!C18</f>
        <v>44059</v>
      </c>
      <c r="B18" s="568">
        <v>9074</v>
      </c>
      <c r="C18" s="295">
        <f t="shared" si="11"/>
        <v>3</v>
      </c>
      <c r="D18" s="569">
        <v>217025</v>
      </c>
      <c r="E18" s="295">
        <f t="shared" si="12"/>
        <v>765</v>
      </c>
      <c r="F18" s="295">
        <f t="shared" si="0"/>
        <v>255</v>
      </c>
      <c r="G18" s="199"/>
      <c r="H18" s="296">
        <f t="shared" si="13"/>
        <v>9100</v>
      </c>
      <c r="I18" s="295" t="str">
        <f t="shared" si="1"/>
        <v>ok</v>
      </c>
      <c r="J18" s="569">
        <f t="shared" si="14"/>
        <v>10698</v>
      </c>
      <c r="K18" s="295">
        <f t="shared" si="2"/>
        <v>0</v>
      </c>
      <c r="L18" s="569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69">
        <f t="shared" si="27"/>
        <v>11640</v>
      </c>
      <c r="S18" s="295">
        <f t="shared" si="5"/>
        <v>0</v>
      </c>
      <c r="T18" s="569">
        <f t="shared" si="27"/>
        <v>342996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3</v>
      </c>
      <c r="AA18" s="295">
        <f t="shared" si="19"/>
        <v>765</v>
      </c>
      <c r="AB18" s="295">
        <f t="shared" si="20"/>
        <v>255</v>
      </c>
      <c r="AC18" s="295">
        <f t="shared" si="21"/>
        <v>255</v>
      </c>
      <c r="AD18" s="73">
        <f>ELEC!Q18</f>
        <v>2000</v>
      </c>
      <c r="AE18" s="73">
        <f t="shared" si="23"/>
        <v>666.66666666666663</v>
      </c>
      <c r="AF18" s="413">
        <f t="shared" si="24"/>
        <v>0.41666666666666663</v>
      </c>
      <c r="AG18" s="414">
        <f t="shared" si="25"/>
        <v>133.33333333333331</v>
      </c>
      <c r="AH18" s="414">
        <f t="shared" si="22"/>
        <v>121.66666666666669</v>
      </c>
      <c r="AI18" s="73">
        <f t="shared" si="26"/>
        <v>514.76793248945148</v>
      </c>
      <c r="AJ18" s="297">
        <f t="shared" si="9"/>
        <v>0.25738396624472576</v>
      </c>
      <c r="AK18" s="297">
        <f t="shared" si="31"/>
        <v>171.58931082981715</v>
      </c>
    </row>
    <row r="19" spans="1:37" ht="15.75" thickBot="1">
      <c r="A19" s="4">
        <f>ELEC!C19</f>
        <v>44060</v>
      </c>
      <c r="B19" s="568">
        <v>9077</v>
      </c>
      <c r="C19" s="295">
        <f t="shared" si="11"/>
        <v>3</v>
      </c>
      <c r="D19" s="569">
        <v>217619</v>
      </c>
      <c r="E19" s="295">
        <f t="shared" si="12"/>
        <v>594</v>
      </c>
      <c r="F19" s="295">
        <f t="shared" si="0"/>
        <v>198</v>
      </c>
      <c r="G19" s="199"/>
      <c r="H19" s="296">
        <f t="shared" si="13"/>
        <v>9100</v>
      </c>
      <c r="I19" s="295" t="str">
        <f t="shared" si="1"/>
        <v>ok</v>
      </c>
      <c r="J19" s="569">
        <f t="shared" si="14"/>
        <v>10698</v>
      </c>
      <c r="K19" s="295">
        <f t="shared" si="2"/>
        <v>0</v>
      </c>
      <c r="L19" s="569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69">
        <f t="shared" si="27"/>
        <v>11640</v>
      </c>
      <c r="S19" s="295">
        <f t="shared" si="5"/>
        <v>0</v>
      </c>
      <c r="T19" s="569">
        <f t="shared" si="27"/>
        <v>342996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3</v>
      </c>
      <c r="AA19" s="295">
        <f t="shared" si="19"/>
        <v>594</v>
      </c>
      <c r="AB19" s="295">
        <f t="shared" si="20"/>
        <v>198</v>
      </c>
      <c r="AC19" s="295">
        <f t="shared" si="21"/>
        <v>198</v>
      </c>
      <c r="AD19" s="73">
        <f>ELEC!Q19</f>
        <v>1000</v>
      </c>
      <c r="AE19" s="73">
        <f t="shared" si="23"/>
        <v>333.33333333333331</v>
      </c>
      <c r="AF19" s="413">
        <f t="shared" si="24"/>
        <v>0.20833333333333331</v>
      </c>
      <c r="AG19" s="414">
        <f t="shared" si="25"/>
        <v>66.666666666666657</v>
      </c>
      <c r="AH19" s="414">
        <f t="shared" si="22"/>
        <v>131.33333333333334</v>
      </c>
      <c r="AI19" s="73">
        <f t="shared" si="26"/>
        <v>257.38396624472574</v>
      </c>
      <c r="AJ19" s="297">
        <f t="shared" si="9"/>
        <v>0.25738396624472576</v>
      </c>
      <c r="AK19" s="297">
        <f t="shared" si="31"/>
        <v>85.794655414908576</v>
      </c>
    </row>
    <row r="20" spans="1:37" ht="15.75" thickBot="1">
      <c r="A20" s="4">
        <f>ELEC!C20</f>
        <v>44061</v>
      </c>
      <c r="B20" s="568">
        <v>9079</v>
      </c>
      <c r="C20" s="295">
        <f>B20-B19</f>
        <v>2</v>
      </c>
      <c r="D20" s="569">
        <v>218240</v>
      </c>
      <c r="E20" s="295">
        <f t="shared" si="12"/>
        <v>621</v>
      </c>
      <c r="F20" s="295">
        <f t="shared" si="0"/>
        <v>310.5</v>
      </c>
      <c r="G20" s="199"/>
      <c r="H20" s="296">
        <f t="shared" si="13"/>
        <v>9100</v>
      </c>
      <c r="I20" s="295" t="str">
        <f t="shared" si="1"/>
        <v>ok</v>
      </c>
      <c r="J20" s="569">
        <f t="shared" si="14"/>
        <v>10698</v>
      </c>
      <c r="K20" s="295">
        <f t="shared" si="2"/>
        <v>0</v>
      </c>
      <c r="L20" s="569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69">
        <f t="shared" si="27"/>
        <v>11640</v>
      </c>
      <c r="S20" s="295">
        <f t="shared" si="5"/>
        <v>0</v>
      </c>
      <c r="T20" s="569">
        <f t="shared" si="27"/>
        <v>342996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2</v>
      </c>
      <c r="AA20" s="295">
        <f t="shared" si="19"/>
        <v>621</v>
      </c>
      <c r="AB20" s="295">
        <f t="shared" si="20"/>
        <v>310.5</v>
      </c>
      <c r="AC20" s="295">
        <f t="shared" si="21"/>
        <v>310.5</v>
      </c>
      <c r="AD20" s="73">
        <f>ELEC!Q20</f>
        <v>1000</v>
      </c>
      <c r="AE20" s="73">
        <f t="shared" si="23"/>
        <v>500</v>
      </c>
      <c r="AF20" s="413">
        <f t="shared" si="24"/>
        <v>0.3125</v>
      </c>
      <c r="AG20" s="414">
        <f t="shared" si="25"/>
        <v>100</v>
      </c>
      <c r="AH20" s="414">
        <f t="shared" si="22"/>
        <v>210.5</v>
      </c>
      <c r="AI20" s="73">
        <f>AD20*AJ20</f>
        <v>257.38396624472574</v>
      </c>
      <c r="AJ20" s="297">
        <f t="shared" si="9"/>
        <v>0.25738396624472576</v>
      </c>
      <c r="AK20" s="297">
        <f t="shared" si="31"/>
        <v>128.69198312236287</v>
      </c>
    </row>
    <row r="21" spans="1:37" ht="15.75" thickBot="1">
      <c r="A21" s="4">
        <f>ELEC!C21</f>
        <v>44062</v>
      </c>
      <c r="B21" s="568">
        <v>9082</v>
      </c>
      <c r="C21" s="295">
        <f t="shared" si="11"/>
        <v>3</v>
      </c>
      <c r="D21" s="569">
        <v>218576</v>
      </c>
      <c r="E21" s="295">
        <f t="shared" si="12"/>
        <v>336</v>
      </c>
      <c r="F21" s="295">
        <f t="shared" si="0"/>
        <v>112</v>
      </c>
      <c r="G21" s="199"/>
      <c r="H21" s="296">
        <f t="shared" si="13"/>
        <v>9100</v>
      </c>
      <c r="I21" s="295" t="str">
        <f t="shared" si="1"/>
        <v>ok</v>
      </c>
      <c r="J21" s="569">
        <f t="shared" si="14"/>
        <v>10698</v>
      </c>
      <c r="K21" s="295">
        <f t="shared" si="2"/>
        <v>0</v>
      </c>
      <c r="L21" s="569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69">
        <f t="shared" si="27"/>
        <v>11640</v>
      </c>
      <c r="S21" s="295">
        <f t="shared" si="5"/>
        <v>0</v>
      </c>
      <c r="T21" s="569">
        <f t="shared" si="27"/>
        <v>342996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3</v>
      </c>
      <c r="AA21" s="295">
        <f t="shared" si="19"/>
        <v>336</v>
      </c>
      <c r="AB21" s="295">
        <f t="shared" si="20"/>
        <v>112</v>
      </c>
      <c r="AC21" s="295">
        <f t="shared" si="21"/>
        <v>112</v>
      </c>
      <c r="AD21" s="73">
        <f>ELEC!Q21</f>
        <v>2000</v>
      </c>
      <c r="AE21" s="73">
        <f t="shared" si="23"/>
        <v>666.66666666666663</v>
      </c>
      <c r="AF21" s="413">
        <f t="shared" si="24"/>
        <v>0.41666666666666663</v>
      </c>
      <c r="AG21" s="414">
        <f t="shared" si="25"/>
        <v>133.33333333333331</v>
      </c>
      <c r="AH21" s="414">
        <f t="shared" si="22"/>
        <v>-21.333333333333314</v>
      </c>
      <c r="AI21" s="73">
        <f t="shared" si="26"/>
        <v>514.76793248945148</v>
      </c>
      <c r="AJ21" s="297">
        <f t="shared" si="9"/>
        <v>0.25738396624472576</v>
      </c>
      <c r="AK21" s="297">
        <f t="shared" si="31"/>
        <v>171.58931082981715</v>
      </c>
    </row>
    <row r="22" spans="1:37" ht="15.75" thickBot="1">
      <c r="A22" s="4">
        <f>ELEC!C22</f>
        <v>44063</v>
      </c>
      <c r="B22" s="568">
        <v>9085</v>
      </c>
      <c r="C22" s="295">
        <f t="shared" si="11"/>
        <v>3</v>
      </c>
      <c r="D22" s="569">
        <v>219097</v>
      </c>
      <c r="E22" s="295">
        <f t="shared" si="12"/>
        <v>521</v>
      </c>
      <c r="F22" s="295">
        <f t="shared" si="0"/>
        <v>173.66666666666666</v>
      </c>
      <c r="G22" s="199"/>
      <c r="H22" s="296">
        <f t="shared" si="13"/>
        <v>9100</v>
      </c>
      <c r="I22" s="295" t="str">
        <f t="shared" si="1"/>
        <v>ok</v>
      </c>
      <c r="J22" s="569">
        <f t="shared" si="14"/>
        <v>10698</v>
      </c>
      <c r="K22" s="295">
        <f t="shared" si="2"/>
        <v>0</v>
      </c>
      <c r="L22" s="569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69">
        <f t="shared" si="27"/>
        <v>11640</v>
      </c>
      <c r="S22" s="295">
        <f t="shared" si="5"/>
        <v>0</v>
      </c>
      <c r="T22" s="569">
        <f t="shared" si="27"/>
        <v>342996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3</v>
      </c>
      <c r="AA22" s="295">
        <f t="shared" si="19"/>
        <v>521</v>
      </c>
      <c r="AB22" s="295">
        <f t="shared" si="20"/>
        <v>173.66666666666666</v>
      </c>
      <c r="AC22" s="295">
        <f t="shared" si="21"/>
        <v>173.66666666666666</v>
      </c>
      <c r="AD22" s="73">
        <f>ELEC!Q22</f>
        <v>2000</v>
      </c>
      <c r="AE22" s="73">
        <f t="shared" si="23"/>
        <v>666.66666666666663</v>
      </c>
      <c r="AF22" s="413">
        <f t="shared" si="24"/>
        <v>0.41666666666666663</v>
      </c>
      <c r="AG22" s="414">
        <f t="shared" si="25"/>
        <v>133.33333333333331</v>
      </c>
      <c r="AH22" s="414">
        <f t="shared" si="22"/>
        <v>40.333333333333343</v>
      </c>
      <c r="AI22" s="73">
        <f t="shared" si="26"/>
        <v>514.76793248945148</v>
      </c>
      <c r="AJ22" s="297">
        <f t="shared" si="9"/>
        <v>0.25738396624472576</v>
      </c>
      <c r="AK22" s="297">
        <f t="shared" si="31"/>
        <v>171.58931082981715</v>
      </c>
    </row>
    <row r="23" spans="1:37" ht="15.75" thickBot="1">
      <c r="A23" s="4">
        <f>ELEC!C23</f>
        <v>44064</v>
      </c>
      <c r="B23" s="568">
        <v>9088</v>
      </c>
      <c r="C23" s="295">
        <f t="shared" si="11"/>
        <v>3</v>
      </c>
      <c r="D23" s="569">
        <v>219750</v>
      </c>
      <c r="E23" s="295">
        <f t="shared" si="12"/>
        <v>653</v>
      </c>
      <c r="F23" s="295">
        <f t="shared" si="0"/>
        <v>217.66666666666666</v>
      </c>
      <c r="G23" s="199"/>
      <c r="H23" s="296">
        <f t="shared" si="13"/>
        <v>9100</v>
      </c>
      <c r="I23" s="295" t="str">
        <f t="shared" si="1"/>
        <v>ok</v>
      </c>
      <c r="J23" s="569">
        <f t="shared" si="14"/>
        <v>10698</v>
      </c>
      <c r="K23" s="295">
        <f t="shared" si="2"/>
        <v>0</v>
      </c>
      <c r="L23" s="569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69">
        <f t="shared" si="27"/>
        <v>11640</v>
      </c>
      <c r="S23" s="295">
        <f t="shared" si="5"/>
        <v>0</v>
      </c>
      <c r="T23" s="569">
        <f t="shared" si="27"/>
        <v>342996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3</v>
      </c>
      <c r="AA23" s="295">
        <f t="shared" si="19"/>
        <v>653</v>
      </c>
      <c r="AB23" s="295">
        <f t="shared" si="20"/>
        <v>217.66666666666666</v>
      </c>
      <c r="AC23" s="295">
        <f t="shared" si="21"/>
        <v>217.66666666666666</v>
      </c>
      <c r="AD23" s="73">
        <f>ELEC!Q23</f>
        <v>2000</v>
      </c>
      <c r="AE23" s="73">
        <f t="shared" si="23"/>
        <v>666.66666666666663</v>
      </c>
      <c r="AF23" s="413">
        <f t="shared" si="24"/>
        <v>0.41666666666666663</v>
      </c>
      <c r="AG23" s="414">
        <f t="shared" si="25"/>
        <v>133.33333333333331</v>
      </c>
      <c r="AH23" s="414">
        <f t="shared" si="22"/>
        <v>84.333333333333343</v>
      </c>
      <c r="AI23" s="73">
        <f t="shared" si="26"/>
        <v>514.76793248945148</v>
      </c>
      <c r="AJ23" s="297">
        <f t="shared" si="9"/>
        <v>0.25738396624472576</v>
      </c>
      <c r="AK23" s="297">
        <f t="shared" si="31"/>
        <v>171.58931082981715</v>
      </c>
    </row>
    <row r="24" spans="1:37" ht="15.75" thickBot="1">
      <c r="A24" s="4">
        <f>ELEC!C24</f>
        <v>44065</v>
      </c>
      <c r="B24" s="568">
        <v>9090</v>
      </c>
      <c r="C24" s="295">
        <f t="shared" si="11"/>
        <v>2</v>
      </c>
      <c r="D24" s="569">
        <v>220250</v>
      </c>
      <c r="E24" s="295">
        <f t="shared" si="12"/>
        <v>500</v>
      </c>
      <c r="F24" s="295">
        <f t="shared" si="0"/>
        <v>250</v>
      </c>
      <c r="G24" s="199"/>
      <c r="H24" s="296">
        <f>8920+180</f>
        <v>9100</v>
      </c>
      <c r="I24" s="295" t="str">
        <f t="shared" si="1"/>
        <v>ok</v>
      </c>
      <c r="J24" s="569">
        <f t="shared" si="14"/>
        <v>10698</v>
      </c>
      <c r="K24" s="295">
        <f t="shared" si="2"/>
        <v>0</v>
      </c>
      <c r="L24" s="569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69">
        <f t="shared" si="27"/>
        <v>11640</v>
      </c>
      <c r="S24" s="295">
        <f t="shared" si="5"/>
        <v>0</v>
      </c>
      <c r="T24" s="569">
        <f t="shared" si="27"/>
        <v>342996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2</v>
      </c>
      <c r="AA24" s="295">
        <f t="shared" si="19"/>
        <v>500</v>
      </c>
      <c r="AB24" s="295">
        <f t="shared" si="20"/>
        <v>250</v>
      </c>
      <c r="AC24" s="295">
        <f t="shared" si="21"/>
        <v>250</v>
      </c>
      <c r="AD24" s="73">
        <f>ELEC!Q24</f>
        <v>1000</v>
      </c>
      <c r="AE24" s="73">
        <f t="shared" si="23"/>
        <v>500</v>
      </c>
      <c r="AF24" s="413">
        <f t="shared" si="24"/>
        <v>0.3125</v>
      </c>
      <c r="AG24" s="414">
        <f t="shared" si="25"/>
        <v>100</v>
      </c>
      <c r="AH24" s="414">
        <f t="shared" si="22"/>
        <v>150</v>
      </c>
      <c r="AI24" s="73">
        <f t="shared" si="26"/>
        <v>257.38396624472574</v>
      </c>
      <c r="AJ24" s="297">
        <f t="shared" si="9"/>
        <v>0.25738396624472576</v>
      </c>
      <c r="AK24" s="297">
        <f t="shared" si="31"/>
        <v>128.69198312236287</v>
      </c>
    </row>
    <row r="25" spans="1:37" ht="15.75" thickBot="1">
      <c r="A25" s="4">
        <f>ELEC!C25</f>
        <v>44066</v>
      </c>
      <c r="B25" s="604">
        <v>9093</v>
      </c>
      <c r="C25" s="295">
        <f t="shared" si="11"/>
        <v>3</v>
      </c>
      <c r="D25" s="276">
        <v>220890</v>
      </c>
      <c r="E25" s="295">
        <f t="shared" si="12"/>
        <v>640</v>
      </c>
      <c r="F25" s="295">
        <f t="shared" si="0"/>
        <v>213.33333333333334</v>
      </c>
      <c r="G25" s="199"/>
      <c r="H25" s="296">
        <f t="shared" ref="H25:H33" si="35">8920+180</f>
        <v>9100</v>
      </c>
      <c r="I25" s="295" t="str">
        <f t="shared" si="1"/>
        <v>ok</v>
      </c>
      <c r="J25" s="569">
        <f t="shared" si="14"/>
        <v>10698</v>
      </c>
      <c r="K25" s="295">
        <f t="shared" si="2"/>
        <v>0</v>
      </c>
      <c r="L25" s="569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69">
        <f t="shared" si="27"/>
        <v>11640</v>
      </c>
      <c r="S25" s="295">
        <f t="shared" si="5"/>
        <v>0</v>
      </c>
      <c r="T25" s="569">
        <f t="shared" si="27"/>
        <v>342996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3</v>
      </c>
      <c r="AA25" s="295">
        <f t="shared" si="19"/>
        <v>640</v>
      </c>
      <c r="AB25" s="295">
        <f t="shared" si="20"/>
        <v>213.33333333333334</v>
      </c>
      <c r="AC25" s="295">
        <f t="shared" si="21"/>
        <v>213.33333333333334</v>
      </c>
      <c r="AD25" s="73">
        <f>ELEC!Q25</f>
        <v>1000</v>
      </c>
      <c r="AE25" s="73">
        <f t="shared" si="23"/>
        <v>333.33333333333331</v>
      </c>
      <c r="AF25" s="413">
        <f t="shared" si="24"/>
        <v>0.20833333333333331</v>
      </c>
      <c r="AG25" s="414">
        <f t="shared" si="25"/>
        <v>66.666666666666657</v>
      </c>
      <c r="AH25" s="414">
        <f t="shared" si="22"/>
        <v>146.66666666666669</v>
      </c>
      <c r="AI25" s="73">
        <f t="shared" si="26"/>
        <v>257.38396624472574</v>
      </c>
      <c r="AJ25" s="297">
        <f t="shared" si="9"/>
        <v>0.25738396624472576</v>
      </c>
      <c r="AK25" s="297">
        <f t="shared" si="31"/>
        <v>85.794655414908576</v>
      </c>
    </row>
    <row r="26" spans="1:37" ht="15.75" thickBot="1">
      <c r="A26" s="4">
        <f>ELEC!C26</f>
        <v>44067</v>
      </c>
      <c r="B26" s="604">
        <v>9096</v>
      </c>
      <c r="C26" s="295">
        <f t="shared" si="11"/>
        <v>3</v>
      </c>
      <c r="D26" s="276">
        <v>221531</v>
      </c>
      <c r="E26" s="295">
        <f t="shared" si="12"/>
        <v>641</v>
      </c>
      <c r="F26" s="295">
        <f t="shared" si="0"/>
        <v>213.66666666666666</v>
      </c>
      <c r="G26" s="199"/>
      <c r="H26" s="296">
        <f t="shared" si="35"/>
        <v>9100</v>
      </c>
      <c r="I26" s="295" t="str">
        <f t="shared" si="1"/>
        <v>ok</v>
      </c>
      <c r="J26" s="569">
        <f t="shared" si="14"/>
        <v>10698</v>
      </c>
      <c r="K26" s="295">
        <f t="shared" si="2"/>
        <v>0</v>
      </c>
      <c r="L26" s="569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69">
        <f t="shared" si="27"/>
        <v>11640</v>
      </c>
      <c r="S26" s="295">
        <f t="shared" si="5"/>
        <v>0</v>
      </c>
      <c r="T26" s="569">
        <f t="shared" si="27"/>
        <v>342996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3</v>
      </c>
      <c r="AA26" s="295">
        <f t="shared" si="19"/>
        <v>641</v>
      </c>
      <c r="AB26" s="295">
        <f t="shared" si="20"/>
        <v>213.66666666666666</v>
      </c>
      <c r="AC26" s="295">
        <f t="shared" si="21"/>
        <v>213.66666666666666</v>
      </c>
      <c r="AD26" s="73">
        <f>ELEC!Q26</f>
        <v>2000</v>
      </c>
      <c r="AE26" s="73">
        <f t="shared" si="23"/>
        <v>666.66666666666663</v>
      </c>
      <c r="AF26" s="413">
        <f t="shared" si="24"/>
        <v>0.41666666666666663</v>
      </c>
      <c r="AG26" s="414">
        <f t="shared" si="25"/>
        <v>133.33333333333331</v>
      </c>
      <c r="AH26" s="414">
        <f t="shared" si="22"/>
        <v>80.333333333333343</v>
      </c>
      <c r="AI26" s="73">
        <f t="shared" si="26"/>
        <v>514.76793248945148</v>
      </c>
      <c r="AJ26" s="297">
        <f t="shared" si="9"/>
        <v>0.25738396624472576</v>
      </c>
      <c r="AK26" s="297">
        <f t="shared" si="31"/>
        <v>171.58931082981715</v>
      </c>
    </row>
    <row r="27" spans="1:37" ht="15.75" thickBot="1">
      <c r="A27" s="4">
        <f>ELEC!C27</f>
        <v>44068</v>
      </c>
      <c r="B27" s="604">
        <v>9098</v>
      </c>
      <c r="C27" s="295">
        <f t="shared" si="11"/>
        <v>2</v>
      </c>
      <c r="D27" s="276">
        <v>221823</v>
      </c>
      <c r="E27" s="295">
        <f t="shared" si="12"/>
        <v>292</v>
      </c>
      <c r="F27" s="295">
        <f t="shared" si="0"/>
        <v>146</v>
      </c>
      <c r="G27" s="199"/>
      <c r="H27" s="296">
        <f t="shared" si="35"/>
        <v>9100</v>
      </c>
      <c r="I27" s="295" t="str">
        <f>IF(B27-H27&lt;=0,"ok","oil change")</f>
        <v>ok</v>
      </c>
      <c r="J27" s="569">
        <f t="shared" si="14"/>
        <v>10698</v>
      </c>
      <c r="K27" s="295">
        <f t="shared" si="2"/>
        <v>0</v>
      </c>
      <c r="L27" s="569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608">
        <v>11641</v>
      </c>
      <c r="S27" s="295">
        <f t="shared" si="5"/>
        <v>1</v>
      </c>
      <c r="T27" s="276">
        <v>343350</v>
      </c>
      <c r="U27" s="295">
        <f t="shared" si="33"/>
        <v>354</v>
      </c>
      <c r="V27" s="295">
        <f t="shared" si="17"/>
        <v>354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3</v>
      </c>
      <c r="AA27" s="295">
        <f t="shared" si="19"/>
        <v>646</v>
      </c>
      <c r="AB27" s="295">
        <f t="shared" si="20"/>
        <v>500</v>
      </c>
      <c r="AC27" s="295">
        <f t="shared" si="21"/>
        <v>215.33333333333334</v>
      </c>
      <c r="AD27" s="73">
        <f>ELEC!Q27</f>
        <v>2000</v>
      </c>
      <c r="AE27" s="73">
        <f t="shared" si="23"/>
        <v>666.66666666666663</v>
      </c>
      <c r="AF27" s="413">
        <f t="shared" si="24"/>
        <v>0.41666666666666663</v>
      </c>
      <c r="AG27" s="414">
        <f t="shared" si="25"/>
        <v>133.33333333333331</v>
      </c>
      <c r="AH27" s="414">
        <f t="shared" si="22"/>
        <v>82.000000000000028</v>
      </c>
      <c r="AI27" s="73">
        <f t="shared" si="26"/>
        <v>514.76793248945148</v>
      </c>
      <c r="AJ27" s="297">
        <f t="shared" si="9"/>
        <v>0.25738396624472576</v>
      </c>
      <c r="AK27" s="297">
        <f t="shared" si="31"/>
        <v>171.58931082981715</v>
      </c>
    </row>
    <row r="28" spans="1:37" ht="15.75" thickBot="1">
      <c r="A28" s="4">
        <f>ELEC!C28</f>
        <v>44069</v>
      </c>
      <c r="B28" s="604">
        <v>9101</v>
      </c>
      <c r="C28" s="295">
        <f t="shared" si="11"/>
        <v>3</v>
      </c>
      <c r="D28" s="276">
        <v>222652</v>
      </c>
      <c r="E28" s="295">
        <f t="shared" si="12"/>
        <v>829</v>
      </c>
      <c r="F28" s="295">
        <f t="shared" si="0"/>
        <v>276.33333333333331</v>
      </c>
      <c r="G28" s="293"/>
      <c r="H28" s="296">
        <f t="shared" si="35"/>
        <v>9100</v>
      </c>
      <c r="I28" s="295" t="str">
        <f t="shared" si="1"/>
        <v>oil change</v>
      </c>
      <c r="J28" s="569">
        <f t="shared" si="14"/>
        <v>10698</v>
      </c>
      <c r="K28" s="295">
        <f t="shared" si="2"/>
        <v>0</v>
      </c>
      <c r="L28" s="569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69">
        <f t="shared" si="27"/>
        <v>11641</v>
      </c>
      <c r="S28" s="295">
        <f t="shared" si="5"/>
        <v>0</v>
      </c>
      <c r="T28" s="569">
        <f t="shared" si="27"/>
        <v>343350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3</v>
      </c>
      <c r="AA28" s="295">
        <f t="shared" si="19"/>
        <v>829</v>
      </c>
      <c r="AB28" s="295">
        <f t="shared" si="20"/>
        <v>276.33333333333331</v>
      </c>
      <c r="AC28" s="295">
        <f t="shared" si="21"/>
        <v>276.33333333333331</v>
      </c>
      <c r="AD28" s="73">
        <f>ELEC!Q28</f>
        <v>2000</v>
      </c>
      <c r="AE28" s="73">
        <f t="shared" si="23"/>
        <v>666.66666666666663</v>
      </c>
      <c r="AF28" s="413">
        <f t="shared" si="24"/>
        <v>0.41666666666666663</v>
      </c>
      <c r="AG28" s="414">
        <f t="shared" si="25"/>
        <v>133.33333333333331</v>
      </c>
      <c r="AH28" s="414">
        <f t="shared" si="22"/>
        <v>143</v>
      </c>
      <c r="AI28" s="73">
        <f t="shared" si="26"/>
        <v>514.76793248945148</v>
      </c>
      <c r="AJ28" s="297">
        <f t="shared" si="9"/>
        <v>0.25738396624472576</v>
      </c>
      <c r="AK28" s="297">
        <f t="shared" si="31"/>
        <v>171.58931082981715</v>
      </c>
    </row>
    <row r="29" spans="1:37" ht="15.75" thickBot="1">
      <c r="A29" s="4">
        <f>ELEC!C29</f>
        <v>44070</v>
      </c>
      <c r="B29" s="568">
        <f t="shared" si="29"/>
        <v>9101</v>
      </c>
      <c r="C29" s="295">
        <f t="shared" si="11"/>
        <v>0</v>
      </c>
      <c r="D29" s="569">
        <f t="shared" si="30"/>
        <v>222652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oil change</v>
      </c>
      <c r="J29" s="569">
        <f t="shared" si="14"/>
        <v>10698</v>
      </c>
      <c r="K29" s="295">
        <f t="shared" si="2"/>
        <v>0</v>
      </c>
      <c r="L29" s="569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608">
        <v>11644</v>
      </c>
      <c r="S29" s="295">
        <f t="shared" si="5"/>
        <v>3</v>
      </c>
      <c r="T29" s="276">
        <v>343897</v>
      </c>
      <c r="U29" s="295">
        <f t="shared" si="33"/>
        <v>547</v>
      </c>
      <c r="V29" s="295">
        <f t="shared" si="17"/>
        <v>182.33333333333334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3</v>
      </c>
      <c r="AA29" s="295">
        <f t="shared" si="19"/>
        <v>547</v>
      </c>
      <c r="AB29" s="295">
        <f t="shared" si="20"/>
        <v>182.33333333333334</v>
      </c>
      <c r="AC29" s="295">
        <f t="shared" si="21"/>
        <v>182.33333333333334</v>
      </c>
      <c r="AD29" s="73">
        <f>ELEC!Q29</f>
        <v>1000</v>
      </c>
      <c r="AE29" s="73">
        <f t="shared" si="23"/>
        <v>333.33333333333331</v>
      </c>
      <c r="AF29" s="413">
        <f t="shared" si="24"/>
        <v>0.20833333333333331</v>
      </c>
      <c r="AG29" s="414">
        <f t="shared" si="25"/>
        <v>66.666666666666657</v>
      </c>
      <c r="AH29" s="414">
        <f t="shared" si="22"/>
        <v>115.66666666666669</v>
      </c>
      <c r="AI29" s="73">
        <f t="shared" si="26"/>
        <v>257.38396624472574</v>
      </c>
      <c r="AJ29" s="297">
        <f t="shared" si="9"/>
        <v>0.25738396624472576</v>
      </c>
      <c r="AK29" s="297">
        <f t="shared" si="31"/>
        <v>85.794655414908576</v>
      </c>
    </row>
    <row r="30" spans="1:37" ht="15.75" thickBot="1">
      <c r="A30" s="4">
        <f>ELEC!C30</f>
        <v>44071</v>
      </c>
      <c r="B30" s="568">
        <v>9104</v>
      </c>
      <c r="C30" s="295">
        <f t="shared" si="11"/>
        <v>3</v>
      </c>
      <c r="D30" s="569">
        <v>223411</v>
      </c>
      <c r="E30" s="295">
        <f t="shared" si="12"/>
        <v>759</v>
      </c>
      <c r="F30" s="295">
        <f t="shared" si="0"/>
        <v>253</v>
      </c>
      <c r="G30" s="199"/>
      <c r="H30" s="296">
        <f t="shared" si="35"/>
        <v>9100</v>
      </c>
      <c r="I30" s="295" t="str">
        <f t="shared" si="1"/>
        <v>oil change</v>
      </c>
      <c r="J30" s="569">
        <f t="shared" si="14"/>
        <v>10698</v>
      </c>
      <c r="K30" s="295">
        <f t="shared" si="2"/>
        <v>0</v>
      </c>
      <c r="L30" s="569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69">
        <f t="shared" si="27"/>
        <v>11644</v>
      </c>
      <c r="S30" s="295">
        <f t="shared" si="5"/>
        <v>0</v>
      </c>
      <c r="T30" s="569">
        <f t="shared" si="27"/>
        <v>343897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3</v>
      </c>
      <c r="AA30" s="295">
        <f t="shared" si="19"/>
        <v>759</v>
      </c>
      <c r="AB30" s="295">
        <f t="shared" si="20"/>
        <v>253</v>
      </c>
      <c r="AC30" s="295">
        <f t="shared" si="21"/>
        <v>253</v>
      </c>
      <c r="AD30" s="73">
        <f>ELEC!Q30</f>
        <v>1000</v>
      </c>
      <c r="AE30" s="73">
        <f t="shared" si="23"/>
        <v>333.33333333333331</v>
      </c>
      <c r="AF30" s="413">
        <f t="shared" si="24"/>
        <v>0.20833333333333331</v>
      </c>
      <c r="AG30" s="414">
        <f t="shared" si="25"/>
        <v>66.666666666666657</v>
      </c>
      <c r="AH30" s="414">
        <f t="shared" si="22"/>
        <v>186.33333333333334</v>
      </c>
      <c r="AI30" s="73">
        <f t="shared" si="26"/>
        <v>257.38396624472574</v>
      </c>
      <c r="AJ30" s="297">
        <f t="shared" si="9"/>
        <v>0.25738396624472576</v>
      </c>
      <c r="AK30" s="297">
        <f t="shared" si="31"/>
        <v>85.794655414908576</v>
      </c>
    </row>
    <row r="31" spans="1:37" ht="15.75" thickBot="1">
      <c r="A31" s="4">
        <f>ELEC!C31</f>
        <v>44072</v>
      </c>
      <c r="B31" s="568">
        <v>9108</v>
      </c>
      <c r="C31" s="295">
        <f t="shared" si="11"/>
        <v>4</v>
      </c>
      <c r="D31" s="569">
        <v>224251</v>
      </c>
      <c r="E31" s="295">
        <f t="shared" si="12"/>
        <v>840</v>
      </c>
      <c r="F31" s="295">
        <f t="shared" si="0"/>
        <v>210</v>
      </c>
      <c r="G31" s="199"/>
      <c r="H31" s="296">
        <f t="shared" si="35"/>
        <v>9100</v>
      </c>
      <c r="I31" s="295" t="str">
        <f t="shared" si="1"/>
        <v>oil change</v>
      </c>
      <c r="J31" s="569">
        <f t="shared" si="14"/>
        <v>10698</v>
      </c>
      <c r="K31" s="295">
        <f t="shared" si="2"/>
        <v>0</v>
      </c>
      <c r="L31" s="569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69">
        <v>11647</v>
      </c>
      <c r="S31" s="295">
        <f t="shared" si="5"/>
        <v>3</v>
      </c>
      <c r="T31" s="569">
        <v>345060</v>
      </c>
      <c r="U31" s="295">
        <f t="shared" si="33"/>
        <v>1163</v>
      </c>
      <c r="V31" s="295">
        <f t="shared" si="17"/>
        <v>387.66666666666669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7</v>
      </c>
      <c r="AA31" s="295">
        <f t="shared" si="19"/>
        <v>2003</v>
      </c>
      <c r="AB31" s="295">
        <f t="shared" si="20"/>
        <v>597.66666666666674</v>
      </c>
      <c r="AC31" s="295">
        <f t="shared" si="21"/>
        <v>286.14285714285717</v>
      </c>
      <c r="AD31" s="73">
        <f>ELEC!Q31</f>
        <v>3000</v>
      </c>
      <c r="AE31" s="73">
        <f t="shared" si="23"/>
        <v>428.57142857142856</v>
      </c>
      <c r="AF31" s="413">
        <f t="shared" si="24"/>
        <v>0.26785714285714285</v>
      </c>
      <c r="AG31" s="414">
        <f t="shared" si="25"/>
        <v>85.714285714285708</v>
      </c>
      <c r="AH31" s="414">
        <f t="shared" si="22"/>
        <v>200.42857142857144</v>
      </c>
      <c r="AI31" s="73">
        <f t="shared" si="26"/>
        <v>772.15189873417728</v>
      </c>
      <c r="AJ31" s="297">
        <f t="shared" si="9"/>
        <v>0.25738396624472576</v>
      </c>
      <c r="AK31" s="297">
        <f t="shared" si="31"/>
        <v>110.30741410488247</v>
      </c>
    </row>
    <row r="32" spans="1:37" ht="15.75" thickBot="1">
      <c r="A32" s="4">
        <f>ELEC!C32</f>
        <v>44073</v>
      </c>
      <c r="B32" s="568">
        <f t="shared" si="29"/>
        <v>9108</v>
      </c>
      <c r="C32" s="295">
        <f t="shared" si="11"/>
        <v>0</v>
      </c>
      <c r="D32" s="569">
        <f t="shared" si="30"/>
        <v>224251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oil change</v>
      </c>
      <c r="J32" s="569">
        <f t="shared" si="14"/>
        <v>10698</v>
      </c>
      <c r="K32" s="295">
        <f>J32-J31</f>
        <v>0</v>
      </c>
      <c r="L32" s="569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69">
        <f t="shared" si="27"/>
        <v>11647</v>
      </c>
      <c r="S32" s="295">
        <f t="shared" si="5"/>
        <v>0</v>
      </c>
      <c r="T32" s="569">
        <f t="shared" si="27"/>
        <v>345060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68">
        <f t="shared" si="29"/>
        <v>9108</v>
      </c>
      <c r="C33" s="295">
        <f t="shared" ref="C33" si="36">B33-B32</f>
        <v>0</v>
      </c>
      <c r="D33" s="569">
        <f t="shared" si="30"/>
        <v>224251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oil change</v>
      </c>
      <c r="J33" s="569">
        <f t="shared" si="14"/>
        <v>10698</v>
      </c>
      <c r="K33" s="295">
        <f>J33-J32</f>
        <v>0</v>
      </c>
      <c r="L33" s="569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69">
        <f t="shared" si="27"/>
        <v>11647</v>
      </c>
      <c r="S33" s="295">
        <f t="shared" ref="S33" si="43">R33-R32</f>
        <v>0</v>
      </c>
      <c r="T33" s="569">
        <f t="shared" si="27"/>
        <v>345060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163</v>
      </c>
      <c r="V34" s="40"/>
      <c r="X34">
        <v>341</v>
      </c>
      <c r="Z34" s="432">
        <f>SUM(Z3:Z32)</f>
        <v>163</v>
      </c>
    </row>
    <row r="35" spans="1:37">
      <c r="C35" s="40">
        <f>SUM(C3:C32)</f>
        <v>111</v>
      </c>
      <c r="K35" s="40">
        <f>SUM(K3:K32)</f>
        <v>0</v>
      </c>
      <c r="S35" s="40">
        <f>SUM(S3:S32)</f>
        <v>52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9988</v>
      </c>
      <c r="E6" s="3">
        <f>ELEC!Q24</f>
        <v>1000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11</v>
      </c>
      <c r="B8" s="3">
        <f>ELEC!AF9</f>
        <v>2373</v>
      </c>
      <c r="C8" s="3">
        <f>ELEC!N9</f>
        <v>9781</v>
      </c>
      <c r="D8" s="3">
        <f t="shared" si="0"/>
        <v>8781</v>
      </c>
      <c r="E8" s="3">
        <f>ELEC!Q9</f>
        <v>1000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115.10000000000001</v>
      </c>
      <c r="J8" s="9">
        <f>'B5'!A10</f>
        <v>44049</v>
      </c>
    </row>
    <row r="9" spans="1:10">
      <c r="A9" s="3">
        <f>ELEC!T10+ELEC!X10+ELEC!AB10</f>
        <v>14</v>
      </c>
      <c r="B9" s="3">
        <f>ELEC!AF10</f>
        <v>2687</v>
      </c>
      <c r="C9" s="3">
        <f>ELEC!N10</f>
        <v>10647</v>
      </c>
      <c r="D9" s="3">
        <f t="shared" si="0"/>
        <v>8647</v>
      </c>
      <c r="E9" s="3">
        <f>ELEC!Q10</f>
        <v>2000</v>
      </c>
      <c r="F9" s="3">
        <f>GEN!Z9</f>
        <v>4</v>
      </c>
      <c r="G9" s="3">
        <f>WATER!C12+WATER!H12</f>
        <v>0</v>
      </c>
      <c r="H9" s="3">
        <f>WATER!L12</f>
        <v>0</v>
      </c>
      <c r="I9" s="15">
        <f>WATER!BC12+WATER!BD12+WATER!BE13-Sheet1!G9</f>
        <v>58.099999999999966</v>
      </c>
      <c r="J9" s="9">
        <f>'B5'!A11</f>
        <v>44050</v>
      </c>
    </row>
    <row r="10" spans="1:10">
      <c r="A10" s="3">
        <f>ELEC!T11+ELEC!X11+ELEC!AB11</f>
        <v>11</v>
      </c>
      <c r="B10" s="3">
        <f>ELEC!AF11</f>
        <v>1781</v>
      </c>
      <c r="C10" s="3">
        <f>ELEC!N11</f>
        <v>8400</v>
      </c>
      <c r="D10" s="3">
        <f t="shared" si="0"/>
        <v>6400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238.39999999999998</v>
      </c>
      <c r="J10" s="9">
        <f>'B5'!A12</f>
        <v>44051</v>
      </c>
    </row>
    <row r="11" spans="1:10">
      <c r="A11" s="3">
        <f>ELEC!T12+ELEC!X12+ELEC!AB12</f>
        <v>14</v>
      </c>
      <c r="B11" s="3">
        <f>ELEC!AF12</f>
        <v>2576</v>
      </c>
      <c r="C11" s="3">
        <f>ELEC!N12</f>
        <v>10457</v>
      </c>
      <c r="D11" s="3">
        <f t="shared" si="0"/>
        <v>9457</v>
      </c>
      <c r="E11" s="3">
        <f>ELEC!Q12</f>
        <v>1000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53.800000000000011</v>
      </c>
      <c r="J11" s="9">
        <f>'B5'!A13</f>
        <v>44052</v>
      </c>
    </row>
    <row r="12" spans="1:10">
      <c r="A12" s="3">
        <f>ELEC!T13+ELEC!X13+ELEC!AB13</f>
        <v>8</v>
      </c>
      <c r="B12" s="3">
        <f>ELEC!AF13</f>
        <v>1627</v>
      </c>
      <c r="C12" s="3">
        <f>ELEC!N13</f>
        <v>10265</v>
      </c>
      <c r="D12" s="3">
        <f t="shared" si="0"/>
        <v>8265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287.10000000000002</v>
      </c>
      <c r="J12" s="9">
        <f>'B5'!A14</f>
        <v>44053</v>
      </c>
    </row>
    <row r="13" spans="1:10">
      <c r="A13" s="3">
        <f>ELEC!T14+ELEC!X14+ELEC!AB14</f>
        <v>13</v>
      </c>
      <c r="B13" s="3">
        <f>ELEC!AF14</f>
        <v>2776</v>
      </c>
      <c r="C13" s="3">
        <f>ELEC!N14</f>
        <v>10779</v>
      </c>
      <c r="D13" s="3">
        <f t="shared" si="0"/>
        <v>8779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0.5</v>
      </c>
      <c r="J13" s="9">
        <f>'B5'!A15</f>
        <v>44054</v>
      </c>
    </row>
    <row r="14" spans="1:10">
      <c r="A14" s="3">
        <f>ELEC!T15+ELEC!X15+ELEC!AB15</f>
        <v>12</v>
      </c>
      <c r="B14" s="3">
        <f>ELEC!AF15</f>
        <v>2726</v>
      </c>
      <c r="C14" s="3">
        <f>ELEC!N15</f>
        <v>11455</v>
      </c>
      <c r="D14" s="3">
        <f t="shared" si="0"/>
        <v>9455</v>
      </c>
      <c r="E14" s="3">
        <f>ELEC!Q15</f>
        <v>2000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334.9</v>
      </c>
      <c r="J14" s="9">
        <f>'B5'!A16</f>
        <v>44055</v>
      </c>
    </row>
    <row r="15" spans="1:10">
      <c r="A15" s="3">
        <f>ELEC!T16+ELEC!X16+ELEC!AB16</f>
        <v>10</v>
      </c>
      <c r="B15" s="3">
        <f>ELEC!AF16</f>
        <v>2182</v>
      </c>
      <c r="C15" s="3">
        <f>ELEC!N16</f>
        <v>11209</v>
      </c>
      <c r="D15" s="3">
        <f t="shared" si="0"/>
        <v>7209</v>
      </c>
      <c r="E15" s="3">
        <f>ELEC!Q16</f>
        <v>4000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100.09999999999997</v>
      </c>
      <c r="J15" s="9">
        <f>'B5'!A17</f>
        <v>44056</v>
      </c>
    </row>
    <row r="16" spans="1:10">
      <c r="A16" s="3">
        <f>ELEC!T17+ELEC!X17+ELEC!AB17</f>
        <v>10</v>
      </c>
      <c r="B16" s="3">
        <f>ELEC!AF17</f>
        <v>1813</v>
      </c>
      <c r="C16" s="3">
        <f>ELEC!N17</f>
        <v>9704</v>
      </c>
      <c r="D16" s="3">
        <f t="shared" si="0"/>
        <v>7704</v>
      </c>
      <c r="E16" s="3">
        <f>ELEC!Q17</f>
        <v>2000</v>
      </c>
      <c r="F16" s="3">
        <f>GEN!Z16</f>
        <v>6</v>
      </c>
      <c r="G16" s="3">
        <f>WATER!C19+WATER!H19</f>
        <v>0</v>
      </c>
      <c r="H16" s="3">
        <f>WATER!L19</f>
        <v>0</v>
      </c>
      <c r="I16" s="15">
        <f>WATER!BC19+WATER!BD19+WATER!BE20-Sheet1!G16</f>
        <v>-31.699999999999989</v>
      </c>
      <c r="J16" s="9">
        <f>'B5'!A18</f>
        <v>44057</v>
      </c>
    </row>
    <row r="17" spans="1:10">
      <c r="A17" s="3">
        <f>ELEC!T18+ELEC!X18+ELEC!AB18</f>
        <v>8</v>
      </c>
      <c r="B17" s="3">
        <f>ELEC!AF18</f>
        <v>1812</v>
      </c>
      <c r="C17" s="3">
        <f>ELEC!N18</f>
        <v>9365</v>
      </c>
      <c r="D17" s="3">
        <f t="shared" si="0"/>
        <v>7365</v>
      </c>
      <c r="E17" s="3">
        <f>ELEC!Q18</f>
        <v>2000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-36.099999999999994</v>
      </c>
      <c r="J17" s="9">
        <f>'B5'!A19</f>
        <v>44058</v>
      </c>
    </row>
    <row r="18" spans="1:10">
      <c r="A18" s="3">
        <f>ELEC!T19+ELEC!X19+ELEC!AB19</f>
        <v>7</v>
      </c>
      <c r="B18" s="3">
        <f>ELEC!AF19</f>
        <v>1370</v>
      </c>
      <c r="C18" s="3">
        <f>ELEC!N19</f>
        <v>11726</v>
      </c>
      <c r="D18" s="3">
        <f t="shared" si="0"/>
        <v>10726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0</v>
      </c>
      <c r="I18" s="15">
        <f>WATER!BC21+WATER!BD21+WATER!BE22-Sheet1!G18</f>
        <v>-16.39999999999992</v>
      </c>
      <c r="J18" s="9">
        <f>'B5'!A20</f>
        <v>44059</v>
      </c>
    </row>
    <row r="19" spans="1:10">
      <c r="A19" s="3">
        <f>ELEC!T20+ELEC!X20+ELEC!AB20</f>
        <v>19</v>
      </c>
      <c r="B19" s="3">
        <f>ELEC!AF20</f>
        <v>4094</v>
      </c>
      <c r="C19" s="3">
        <f>ELEC!N20</f>
        <v>12104</v>
      </c>
      <c r="D19" s="3">
        <f t="shared" si="0"/>
        <v>11104</v>
      </c>
      <c r="E19" s="3">
        <f>ELEC!Q20</f>
        <v>1000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-69.499999999999972</v>
      </c>
      <c r="J19" s="9">
        <f>'B5'!A21</f>
        <v>232</v>
      </c>
    </row>
    <row r="20" spans="1:10">
      <c r="A20" s="3">
        <f>ELEC!T21+ELEC!X21+ELEC!AB21</f>
        <v>14</v>
      </c>
      <c r="B20" s="3">
        <f>ELEC!AF21</f>
        <v>3130</v>
      </c>
      <c r="C20" s="3">
        <f>ELEC!N21</f>
        <v>13057</v>
      </c>
      <c r="D20" s="3">
        <f t="shared" si="0"/>
        <v>11057</v>
      </c>
      <c r="E20" s="3">
        <f>ELEC!Q21</f>
        <v>2000</v>
      </c>
      <c r="F20" s="3">
        <f>GEN!Z20</f>
        <v>2</v>
      </c>
      <c r="G20" s="3">
        <f>WATER!C23+WATER!H23</f>
        <v>0</v>
      </c>
      <c r="H20" s="3">
        <f>WATER!L23</f>
        <v>0</v>
      </c>
      <c r="I20" s="15">
        <f>WATER!BC23+WATER!BD23+WATER!BE24-Sheet1!G20</f>
        <v>-67.30000000000004</v>
      </c>
      <c r="J20" s="9">
        <f>'B5'!A22</f>
        <v>44061</v>
      </c>
    </row>
    <row r="21" spans="1:10">
      <c r="A21" s="3">
        <f>ELEC!T22+ELEC!X22+ELEC!AB22</f>
        <v>11</v>
      </c>
      <c r="B21" s="3">
        <f>ELEC!AF22</f>
        <v>2543</v>
      </c>
      <c r="C21" s="3">
        <f>ELEC!N22</f>
        <v>11496</v>
      </c>
      <c r="D21" s="3">
        <f t="shared" si="0"/>
        <v>9496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0</v>
      </c>
      <c r="I21" s="15">
        <f>WATER!BC24+WATER!BD24+WATER!BE25-Sheet1!G21</f>
        <v>19.499999999999915</v>
      </c>
      <c r="J21" s="9">
        <f>'B5'!A23</f>
        <v>44062</v>
      </c>
    </row>
    <row r="22" spans="1:10">
      <c r="A22" s="3">
        <f>ELEC!T23+ELEC!X23+ELEC!AB23</f>
        <v>13</v>
      </c>
      <c r="B22" s="3">
        <f>ELEC!AF23</f>
        <v>2323</v>
      </c>
      <c r="C22" s="3">
        <f>ELEC!N23</f>
        <v>9977</v>
      </c>
      <c r="D22" s="3">
        <f t="shared" si="0"/>
        <v>7977</v>
      </c>
      <c r="E22" s="3">
        <f>ELEC!Q23</f>
        <v>2000</v>
      </c>
      <c r="F22" s="3">
        <f>GEN!Z22</f>
        <v>3</v>
      </c>
      <c r="G22" s="3">
        <f>WATER!C25+WATER!H25</f>
        <v>0</v>
      </c>
      <c r="H22" s="3">
        <f>WATER!L25</f>
        <v>0</v>
      </c>
      <c r="I22" s="15">
        <f>WATER!BC25+WATER!BD25+WATER!BE26-Sheet1!G22</f>
        <v>-50.500000000000057</v>
      </c>
      <c r="J22" s="9">
        <f>'B5'!A24</f>
        <v>44063</v>
      </c>
    </row>
    <row r="23" spans="1:10">
      <c r="A23" s="3">
        <f>ELEC!T24+ELEC!X24+ELEC!AB24</f>
        <v>1</v>
      </c>
      <c r="B23" s="3">
        <f>ELEC!AF24</f>
        <v>931</v>
      </c>
      <c r="C23" s="3">
        <f>ELEC!N24</f>
        <v>9301</v>
      </c>
      <c r="D23" s="3">
        <f t="shared" si="0"/>
        <v>8301</v>
      </c>
      <c r="E23" s="3">
        <f>ELEC!Q24</f>
        <v>1000</v>
      </c>
      <c r="F23" s="3">
        <f>GEN!Z23</f>
        <v>3</v>
      </c>
      <c r="G23" s="3">
        <f>WATER!C26+WATER!H26</f>
        <v>0</v>
      </c>
      <c r="H23" s="3">
        <f>WATER!L26</f>
        <v>0</v>
      </c>
      <c r="I23" s="15">
        <f>WATER!BC26+WATER!BD26+WATER!BE27-Sheet1!G23</f>
        <v>-17.099999999999909</v>
      </c>
      <c r="J23" s="9">
        <f>'B5'!A25</f>
        <v>44064</v>
      </c>
    </row>
    <row r="24" spans="1:10">
      <c r="A24" s="3">
        <f>ELEC!T25+ELEC!X25+ELEC!AB25</f>
        <v>7</v>
      </c>
      <c r="B24" s="3">
        <f>ELEC!AF25</f>
        <v>1574</v>
      </c>
      <c r="C24" s="3">
        <f>ELEC!N25</f>
        <v>10003</v>
      </c>
      <c r="D24" s="3">
        <f t="shared" si="0"/>
        <v>9003</v>
      </c>
      <c r="E24" s="3">
        <f>ELEC!Q25</f>
        <v>1000</v>
      </c>
      <c r="F24" s="3">
        <f>GEN!Z24</f>
        <v>2</v>
      </c>
      <c r="G24" s="3">
        <f>WATER!C27+WATER!H27</f>
        <v>0</v>
      </c>
      <c r="H24" s="3">
        <f>WATER!L27</f>
        <v>0</v>
      </c>
      <c r="I24" s="15">
        <f>WATER!BC27+WATER!BD27+WATER!BE28-Sheet1!G24</f>
        <v>-27.899999999999977</v>
      </c>
      <c r="J24" s="9">
        <f>'B5'!A26</f>
        <v>44065</v>
      </c>
    </row>
    <row r="25" spans="1:10">
      <c r="A25" s="3">
        <f>ELEC!T26+ELEC!X26+ELEC!AB26</f>
        <v>9</v>
      </c>
      <c r="B25" s="3">
        <f>ELEC!AF26</f>
        <v>2076</v>
      </c>
      <c r="C25" s="3">
        <f>ELEC!N26</f>
        <v>10040</v>
      </c>
      <c r="D25" s="3">
        <f t="shared" si="0"/>
        <v>8040</v>
      </c>
      <c r="E25" s="3">
        <f>ELEC!Q26</f>
        <v>2000</v>
      </c>
      <c r="F25" s="3">
        <f>GEN!Z25</f>
        <v>3</v>
      </c>
      <c r="G25" s="3">
        <f>WATER!C28+WATER!H28</f>
        <v>0</v>
      </c>
      <c r="H25" s="3">
        <f>WATER!L28</f>
        <v>0</v>
      </c>
      <c r="I25" s="15">
        <f>WATER!BC28+WATER!BD28+WATER!BE29-Sheet1!G25</f>
        <v>-88.700000000000074</v>
      </c>
      <c r="J25" s="9">
        <f>'B5'!A27</f>
        <v>44066</v>
      </c>
    </row>
    <row r="26" spans="1:10">
      <c r="A26" s="3">
        <f>ELEC!T27+ELEC!X27+ELEC!AB27</f>
        <v>9</v>
      </c>
      <c r="B26" s="3">
        <f>ELEC!AF27</f>
        <v>2346</v>
      </c>
      <c r="C26" s="3">
        <f>ELEC!N27</f>
        <v>10187</v>
      </c>
      <c r="D26" s="3">
        <f t="shared" si="0"/>
        <v>8187</v>
      </c>
      <c r="E26" s="3">
        <f>ELEC!Q27</f>
        <v>2000</v>
      </c>
      <c r="F26" s="3">
        <f>GEN!Z26</f>
        <v>3</v>
      </c>
      <c r="G26" s="3">
        <f>WATER!C29+WATER!H29</f>
        <v>0</v>
      </c>
      <c r="H26" s="3">
        <f>WATER!L29</f>
        <v>0</v>
      </c>
      <c r="I26" s="15">
        <f>WATER!BC29+WATER!BD29+WATER!BE30-Sheet1!G26</f>
        <v>91.700000000000017</v>
      </c>
      <c r="J26" s="9">
        <f>'B5'!A28</f>
        <v>44067</v>
      </c>
    </row>
    <row r="27" spans="1:10">
      <c r="A27" s="3">
        <f>ELEC!T28+ELEC!X28+ELEC!AB28</f>
        <v>14</v>
      </c>
      <c r="B27" s="3">
        <f>ELEC!AF28</f>
        <v>2757</v>
      </c>
      <c r="C27" s="3">
        <f>ELEC!N28</f>
        <v>9950</v>
      </c>
      <c r="D27" s="3">
        <f t="shared" si="0"/>
        <v>7950</v>
      </c>
      <c r="E27" s="3">
        <f>ELEC!Q28</f>
        <v>2000</v>
      </c>
      <c r="F27" s="3">
        <f>GEN!Z27</f>
        <v>3</v>
      </c>
      <c r="G27" s="3">
        <f>WATER!C30+WATER!H30</f>
        <v>0</v>
      </c>
      <c r="H27" s="3">
        <f>WATER!L30</f>
        <v>0</v>
      </c>
      <c r="I27" s="15">
        <f>WATER!BC30+WATER!BD30+WATER!BE31-Sheet1!G27</f>
        <v>74.300000000000054</v>
      </c>
      <c r="J27" s="9">
        <f>'B5'!A29</f>
        <v>44068</v>
      </c>
    </row>
    <row r="28" spans="1:10">
      <c r="A28" s="3">
        <f>ELEC!T29+ELEC!X29+ELEC!AB29</f>
        <v>9</v>
      </c>
      <c r="B28" s="3">
        <f>ELEC!AF29</f>
        <v>1890</v>
      </c>
      <c r="C28" s="3">
        <f>ELEC!N29</f>
        <v>9580</v>
      </c>
      <c r="D28" s="3">
        <f t="shared" si="0"/>
        <v>8580</v>
      </c>
      <c r="E28" s="3">
        <f>ELEC!Q29</f>
        <v>1000</v>
      </c>
      <c r="F28" s="3">
        <f>GEN!Z28</f>
        <v>3</v>
      </c>
      <c r="G28" s="3">
        <f>WATER!C31+WATER!H31</f>
        <v>0</v>
      </c>
      <c r="H28" s="3">
        <f>WATER!L31</f>
        <v>0</v>
      </c>
      <c r="I28" s="15">
        <f>WATER!BC31+WATER!BD31+WATER!BE32-Sheet1!G28</f>
        <v>115.00000000000003</v>
      </c>
      <c r="J28" s="9">
        <f>'B5'!A30</f>
        <v>44069</v>
      </c>
    </row>
    <row r="29" spans="1:10">
      <c r="A29" s="3">
        <f>ELEC!T30+ELEC!X30+ELEC!AB30</f>
        <v>8</v>
      </c>
      <c r="B29" s="3">
        <f>ELEC!AF30</f>
        <v>1600</v>
      </c>
      <c r="C29" s="3">
        <f>ELEC!N30</f>
        <v>8648</v>
      </c>
      <c r="D29" s="3">
        <f t="shared" si="0"/>
        <v>7648</v>
      </c>
      <c r="E29" s="3">
        <f>ELEC!Q30</f>
        <v>1000</v>
      </c>
      <c r="F29" s="3">
        <f>GEN!Z29</f>
        <v>3</v>
      </c>
      <c r="G29" s="3">
        <f>WATER!C32+WATER!H32</f>
        <v>0</v>
      </c>
      <c r="H29" s="3">
        <f>WATER!L32</f>
        <v>0</v>
      </c>
      <c r="I29" s="15">
        <f>WATER!BC32+WATER!BD32+WATER!BE33-Sheet1!G29</f>
        <v>-5.9999999999999716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1813</v>
      </c>
      <c r="C30" s="3">
        <f>ELEC!N31</f>
        <v>10211</v>
      </c>
      <c r="D30" s="3">
        <f t="shared" si="0"/>
        <v>7211</v>
      </c>
      <c r="E30" s="3">
        <f>ELEC!Q31</f>
        <v>3000</v>
      </c>
      <c r="F30" s="3">
        <f>GEN!Z30</f>
        <v>3</v>
      </c>
      <c r="G30" s="3">
        <f>WATER!C33+WATER!H33</f>
        <v>2085</v>
      </c>
      <c r="H30" s="3">
        <f>WATER!L33</f>
        <v>0</v>
      </c>
      <c r="I30" s="15">
        <f>WATER!BC33+WATER!BD33+WATER!BE34-Sheet1!G30</f>
        <v>-2090.1</v>
      </c>
      <c r="J30" s="9">
        <f>'B5'!A32</f>
        <v>44071</v>
      </c>
    </row>
    <row r="31" spans="1:10">
      <c r="A31" s="3">
        <f>ELEC!T32+ELEC!X32+ELEC!AB31</f>
        <v>5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7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6"/>
      <c r="B1" s="644" t="s">
        <v>119</v>
      </c>
      <c r="C1" s="644" t="s">
        <v>118</v>
      </c>
      <c r="D1" s="648" t="s">
        <v>113</v>
      </c>
      <c r="E1" s="648" t="s">
        <v>114</v>
      </c>
      <c r="F1" s="649" t="s">
        <v>120</v>
      </c>
      <c r="G1" s="650" t="s">
        <v>75</v>
      </c>
      <c r="H1" s="641" t="s">
        <v>115</v>
      </c>
      <c r="I1" s="642" t="s">
        <v>116</v>
      </c>
      <c r="J1" s="641" t="s">
        <v>117</v>
      </c>
      <c r="K1" s="640" t="s">
        <v>121</v>
      </c>
      <c r="L1" s="640" t="s">
        <v>122</v>
      </c>
      <c r="M1" s="640" t="s">
        <v>123</v>
      </c>
      <c r="N1" s="640" t="s">
        <v>124</v>
      </c>
    </row>
    <row r="2" spans="1:14">
      <c r="A2" s="647"/>
      <c r="B2" s="645"/>
      <c r="C2" s="645"/>
      <c r="D2" s="648"/>
      <c r="E2" s="648"/>
      <c r="F2" s="649"/>
      <c r="G2" s="650"/>
      <c r="H2" s="641"/>
      <c r="I2" s="643"/>
      <c r="J2" s="641"/>
      <c r="K2" s="640"/>
      <c r="L2" s="640"/>
      <c r="M2" s="640"/>
      <c r="N2" s="64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257.38396624472574</v>
      </c>
      <c r="E11" s="247">
        <f t="shared" si="0"/>
        <v>257.38396624472574</v>
      </c>
      <c r="F11" s="75">
        <f>WATER!L11</f>
        <v>0</v>
      </c>
      <c r="G11" s="78">
        <f>WATER!BG11</f>
        <v>-9.1999999999999744</v>
      </c>
      <c r="H11" s="79">
        <f>ELEC!AF9</f>
        <v>2373</v>
      </c>
      <c r="I11" s="79">
        <f>ELEC!Q9</f>
        <v>1000</v>
      </c>
      <c r="J11" s="79">
        <f>ELEC!R9</f>
        <v>8781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514.76793248945148</v>
      </c>
      <c r="E12" s="247">
        <f t="shared" si="0"/>
        <v>514.76793248945148</v>
      </c>
      <c r="F12" s="75">
        <f>WATER!L12</f>
        <v>0</v>
      </c>
      <c r="G12" s="78">
        <f>WATER!BG12</f>
        <v>129.69999999999999</v>
      </c>
      <c r="H12" s="79">
        <f>ELEC!AF10</f>
        <v>2687</v>
      </c>
      <c r="I12" s="79">
        <f>ELEC!Q10</f>
        <v>2000</v>
      </c>
      <c r="J12" s="79">
        <f>ELEC!R10</f>
        <v>8647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-14.000000000000028</v>
      </c>
      <c r="H13" s="79">
        <f>ELEC!AF11</f>
        <v>1781</v>
      </c>
      <c r="I13" s="79">
        <f>ELEC!Q11</f>
        <v>2000</v>
      </c>
      <c r="J13" s="79">
        <f>ELEC!R11</f>
        <v>6400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257.38396624472574</v>
      </c>
      <c r="E14" s="247">
        <f t="shared" si="0"/>
        <v>257.38396624472574</v>
      </c>
      <c r="F14" s="75">
        <f>WATER!L14</f>
        <v>0</v>
      </c>
      <c r="G14" s="78">
        <f>WATER!BG14</f>
        <v>164.2</v>
      </c>
      <c r="H14" s="79">
        <f>ELEC!AF12</f>
        <v>2576</v>
      </c>
      <c r="I14" s="79">
        <f>ELEC!Q12</f>
        <v>1000</v>
      </c>
      <c r="J14" s="79">
        <f>ELEC!R12</f>
        <v>9457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9</v>
      </c>
      <c r="C15" s="76">
        <f>'B5'!AH15</f>
        <v>106.20000000001164</v>
      </c>
      <c r="D15" s="76">
        <f>GEN!AI13</f>
        <v>514.76793248945148</v>
      </c>
      <c r="E15" s="247">
        <f t="shared" si="0"/>
        <v>629.96793248946312</v>
      </c>
      <c r="F15" s="75">
        <f>WATER!L15</f>
        <v>0</v>
      </c>
      <c r="G15" s="78">
        <f>WATER!BG15</f>
        <v>-23.999999999999972</v>
      </c>
      <c r="H15" s="79">
        <f>ELEC!AF13</f>
        <v>1627</v>
      </c>
      <c r="I15" s="79">
        <f>ELEC!Q13</f>
        <v>2000</v>
      </c>
      <c r="J15" s="79">
        <f>ELEC!R13</f>
        <v>8265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514.76793248945148</v>
      </c>
      <c r="E16" s="247">
        <f t="shared" si="0"/>
        <v>514.76793248945148</v>
      </c>
      <c r="F16" s="75">
        <f>WATER!L16</f>
        <v>0</v>
      </c>
      <c r="G16" s="78">
        <f>WATER!BG16</f>
        <v>181.50000000000003</v>
      </c>
      <c r="H16" s="79">
        <f>ELEC!AF14</f>
        <v>2776</v>
      </c>
      <c r="I16" s="79">
        <f>ELEC!Q14</f>
        <v>2000</v>
      </c>
      <c r="J16" s="79">
        <f>ELEC!R14</f>
        <v>8779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-33.400000000000034</v>
      </c>
      <c r="H17" s="79">
        <f>ELEC!AF15</f>
        <v>2726</v>
      </c>
      <c r="I17" s="79">
        <f>ELEC!Q15</f>
        <v>2000</v>
      </c>
      <c r="J17" s="79">
        <f>ELEC!R15</f>
        <v>9455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1029.535864978903</v>
      </c>
      <c r="E18" s="247">
        <f t="shared" si="0"/>
        <v>1029.535864978903</v>
      </c>
      <c r="F18" s="75">
        <f>WATER!L18</f>
        <v>0</v>
      </c>
      <c r="G18" s="78">
        <f>WATER!BG18</f>
        <v>240.49999999999997</v>
      </c>
      <c r="H18" s="79">
        <f>ELEC!AF16</f>
        <v>2182</v>
      </c>
      <c r="I18" s="79">
        <f>ELEC!Q16</f>
        <v>4000</v>
      </c>
      <c r="J18" s="79">
        <f>ELEC!R16</f>
        <v>7209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514.76793248945148</v>
      </c>
      <c r="E19" s="247">
        <f t="shared" si="0"/>
        <v>514.76793248945148</v>
      </c>
      <c r="F19" s="75">
        <f>WATER!L19</f>
        <v>0</v>
      </c>
      <c r="G19" s="78">
        <f>WATER!BG19</f>
        <v>0</v>
      </c>
      <c r="H19" s="79">
        <f>ELEC!AF17</f>
        <v>1813</v>
      </c>
      <c r="I19" s="79">
        <f>ELEC!Q17</f>
        <v>2000</v>
      </c>
      <c r="J19" s="79">
        <f>ELEC!R17</f>
        <v>7704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514.76793248945148</v>
      </c>
      <c r="E20" s="247">
        <f t="shared" si="0"/>
        <v>514.76793248945148</v>
      </c>
      <c r="F20" s="75">
        <f>WATER!L20</f>
        <v>0</v>
      </c>
      <c r="G20" s="78">
        <f>WATER!BG20</f>
        <v>-31.699999999999989</v>
      </c>
      <c r="H20" s="79">
        <f>ELEC!AF18</f>
        <v>1812</v>
      </c>
      <c r="I20" s="79">
        <f>ELEC!Q18</f>
        <v>2000</v>
      </c>
      <c r="J20" s="79">
        <f>ELEC!R18</f>
        <v>7365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-6.1999999999999886</v>
      </c>
      <c r="H21" s="79">
        <f>ELEC!AF19</f>
        <v>1370</v>
      </c>
      <c r="I21" s="79">
        <f>ELEC!Q19</f>
        <v>1000</v>
      </c>
      <c r="J21" s="79">
        <f>ELEC!R19</f>
        <v>10726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211</v>
      </c>
      <c r="C22" s="76">
        <f>'B5'!AH22</f>
        <v>244</v>
      </c>
      <c r="D22" s="76">
        <f>GEN!AI20</f>
        <v>257.38396624472574</v>
      </c>
      <c r="E22" s="247">
        <f t="shared" si="0"/>
        <v>712.3839662447258</v>
      </c>
      <c r="F22" s="75">
        <f>WATER!L22</f>
        <v>0</v>
      </c>
      <c r="G22" s="78">
        <f>WATER!BG22</f>
        <v>-10.199999999999932</v>
      </c>
      <c r="H22" s="79">
        <f>ELEC!AF20</f>
        <v>4094</v>
      </c>
      <c r="I22" s="79">
        <f>ELEC!Q20</f>
        <v>1000</v>
      </c>
      <c r="J22" s="79">
        <f>ELEC!R20</f>
        <v>11104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291</v>
      </c>
      <c r="D23" s="76">
        <f>GEN!AI21</f>
        <v>514.76793248945148</v>
      </c>
      <c r="E23" s="247">
        <f t="shared" si="0"/>
        <v>805.76793248945148</v>
      </c>
      <c r="F23" s="75">
        <f>WATER!L23</f>
        <v>0</v>
      </c>
      <c r="G23" s="78">
        <f>WATER!BG23</f>
        <v>-59.30000000000004</v>
      </c>
      <c r="H23" s="79">
        <f>ELEC!AF21</f>
        <v>3130</v>
      </c>
      <c r="I23" s="79">
        <f>ELEC!Q21</f>
        <v>2000</v>
      </c>
      <c r="J23" s="79">
        <f>ELEC!R21</f>
        <v>11057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514.76793248945148</v>
      </c>
      <c r="E24" s="247">
        <f t="shared" si="0"/>
        <v>514.76793248945148</v>
      </c>
      <c r="F24" s="75">
        <f>WATER!L24</f>
        <v>0</v>
      </c>
      <c r="G24" s="78">
        <f>WATER!BG24</f>
        <v>-73.700000000000017</v>
      </c>
      <c r="H24" s="79">
        <f>ELEC!AF22</f>
        <v>2543</v>
      </c>
      <c r="I24" s="79">
        <f>ELEC!Q22</f>
        <v>2000</v>
      </c>
      <c r="J24" s="79">
        <f>ELEC!R22</f>
        <v>9496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514.76793248945148</v>
      </c>
      <c r="E25" s="247">
        <f t="shared" si="0"/>
        <v>514.76793248945148</v>
      </c>
      <c r="F25" s="75">
        <f>WATER!L25</f>
        <v>0</v>
      </c>
      <c r="G25" s="78">
        <f>WATER!BG25</f>
        <v>-5.8000000000000682</v>
      </c>
      <c r="H25" s="79">
        <f>ELEC!AF23</f>
        <v>2323</v>
      </c>
      <c r="I25" s="79">
        <f>ELEC!Q23</f>
        <v>2000</v>
      </c>
      <c r="J25" s="79">
        <f>ELEC!R23</f>
        <v>7977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257.38396624472574</v>
      </c>
      <c r="E26" s="247">
        <f t="shared" si="0"/>
        <v>257.38396624472574</v>
      </c>
      <c r="F26" s="75">
        <f>WATER!L26</f>
        <v>0</v>
      </c>
      <c r="G26" s="78">
        <f>WATER!BG26</f>
        <v>-44.699999999999989</v>
      </c>
      <c r="H26" s="79">
        <f>ELEC!AF24</f>
        <v>931</v>
      </c>
      <c r="I26" s="79">
        <f>ELEC!Q24</f>
        <v>1000</v>
      </c>
      <c r="J26" s="79">
        <f>ELEC!R24</f>
        <v>8301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282</v>
      </c>
      <c r="D27" s="76">
        <f>GEN!AI25</f>
        <v>257.38396624472574</v>
      </c>
      <c r="E27" s="247">
        <f t="shared" si="0"/>
        <v>539.3839662447258</v>
      </c>
      <c r="F27" s="75">
        <f>WATER!L27</f>
        <v>0</v>
      </c>
      <c r="G27" s="78">
        <f>WATER!BG27</f>
        <v>27.60000000000008</v>
      </c>
      <c r="H27" s="79">
        <f>ELEC!AF25</f>
        <v>1574</v>
      </c>
      <c r="I27" s="79">
        <f>ELEC!Q25</f>
        <v>1000</v>
      </c>
      <c r="J27" s="79">
        <f>ELEC!R25</f>
        <v>9003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514.76793248945148</v>
      </c>
      <c r="E28" s="247">
        <f t="shared" si="0"/>
        <v>514.76793248945148</v>
      </c>
      <c r="F28" s="75">
        <f>WATER!L28</f>
        <v>0</v>
      </c>
      <c r="G28" s="78">
        <f>WATER!BG28</f>
        <v>-55.500000000000057</v>
      </c>
      <c r="H28" s="79">
        <f>ELEC!AF26</f>
        <v>2076</v>
      </c>
      <c r="I28" s="79">
        <f>ELEC!Q26</f>
        <v>2000</v>
      </c>
      <c r="J28" s="79">
        <f>ELEC!R26</f>
        <v>8040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514.76793248945148</v>
      </c>
      <c r="E29" s="77">
        <f t="shared" si="0"/>
        <v>514.76793248945148</v>
      </c>
      <c r="F29" s="75">
        <f>WATER!L29</f>
        <v>0</v>
      </c>
      <c r="G29" s="78">
        <f>WATER!BG29</f>
        <v>-33.200000000000017</v>
      </c>
      <c r="H29" s="79">
        <f>ELEC!AF27</f>
        <v>2346</v>
      </c>
      <c r="I29" s="79">
        <f>ELEC!Q27</f>
        <v>2000</v>
      </c>
      <c r="J29" s="79">
        <f>ELEC!R27</f>
        <v>8187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514.76793248945148</v>
      </c>
      <c r="E30" s="77">
        <f t="shared" si="0"/>
        <v>514.76793248945148</v>
      </c>
      <c r="F30" s="75">
        <f>WATER!L30</f>
        <v>0</v>
      </c>
      <c r="G30" s="78">
        <f>WATER!BG30</f>
        <v>124.90000000000003</v>
      </c>
      <c r="H30" s="79">
        <f>ELEC!AF28</f>
        <v>2757</v>
      </c>
      <c r="I30" s="79">
        <f>ELEC!Q28</f>
        <v>2000</v>
      </c>
      <c r="J30" s="79">
        <f>ELEC!R28</f>
        <v>7950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257.38396624472574</v>
      </c>
      <c r="E31" s="77">
        <f t="shared" si="0"/>
        <v>257.38396624472574</v>
      </c>
      <c r="F31" s="75">
        <f>WATER!L31</f>
        <v>0</v>
      </c>
      <c r="G31" s="78">
        <f>WATER!BG31</f>
        <v>89.800000000000026</v>
      </c>
      <c r="H31" s="79">
        <f>ELEC!AF29</f>
        <v>1890</v>
      </c>
      <c r="I31" s="79">
        <f>ELEC!Q29</f>
        <v>1000</v>
      </c>
      <c r="J31" s="79">
        <f>ELEC!R29</f>
        <v>8580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257.38396624472574</v>
      </c>
      <c r="E32" s="77">
        <f t="shared" si="0"/>
        <v>257.38396624472574</v>
      </c>
      <c r="F32" s="75">
        <f>WATER!L32</f>
        <v>0</v>
      </c>
      <c r="G32" s="78">
        <f>WATER!BG32</f>
        <v>0</v>
      </c>
      <c r="H32" s="79">
        <f>ELEC!AF30</f>
        <v>1600</v>
      </c>
      <c r="I32" s="79">
        <f>ELEC!Q30</f>
        <v>1000</v>
      </c>
      <c r="J32" s="79">
        <f>ELEC!R30</f>
        <v>7648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772.15189873417728</v>
      </c>
      <c r="E33" s="77">
        <f t="shared" si="0"/>
        <v>772.15189873417728</v>
      </c>
      <c r="F33" s="75">
        <f>WATER!L33</f>
        <v>0</v>
      </c>
      <c r="G33" s="78">
        <f>WATER!BG33</f>
        <v>-6</v>
      </c>
      <c r="H33" s="79">
        <f>ELEC!AF31</f>
        <v>1813</v>
      </c>
      <c r="I33" s="79">
        <f>ELEC!Q31</f>
        <v>3000</v>
      </c>
      <c r="J33" s="79">
        <f>ELEC!R31</f>
        <v>7211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1" t="s">
        <v>151</v>
      </c>
      <c r="U3" s="65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2</v>
      </c>
      <c r="G16">
        <f t="shared" si="1"/>
        <v>214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5</v>
      </c>
      <c r="G23">
        <f t="shared" si="1"/>
        <v>535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5</v>
      </c>
      <c r="G24">
        <f t="shared" si="1"/>
        <v>535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6</v>
      </c>
      <c r="G28">
        <f t="shared" si="1"/>
        <v>642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A24" zoomScale="80" zoomScaleNormal="80" workbookViewId="0">
      <selection activeCell="N32" sqref="N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66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66">
        <v>30051</v>
      </c>
      <c r="G4" s="160">
        <f t="shared" ref="G4:G32" si="1">F4-F3</f>
        <v>0</v>
      </c>
      <c r="H4" s="566">
        <v>103383</v>
      </c>
      <c r="I4" s="161">
        <f t="shared" ref="I4:I33" si="2">H4-H3</f>
        <v>3514</v>
      </c>
      <c r="J4" s="566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144.81574575958226</v>
      </c>
      <c r="P4" s="305">
        <f>SUM(L4:O4)</f>
        <v>468.08473415095864</v>
      </c>
      <c r="Q4" s="305">
        <f>SUM(-tanks!AX6*tanks!$AU$37)</f>
        <v>3129.3340806451611</v>
      </c>
      <c r="R4" s="305">
        <f>SUM(P4:Q4)</f>
        <v>3597.4188147961195</v>
      </c>
      <c r="S4" s="307">
        <f>SUM(ELEC!N3)</f>
        <v>25351</v>
      </c>
      <c r="T4" s="344">
        <f>IF(S4&gt;0,R4/S4,0)</f>
        <v>0.14190441461071041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62"/>
      <c r="AC4" s="663"/>
    </row>
    <row r="5" spans="1:30" ht="15.75" thickBot="1">
      <c r="A5" s="163">
        <f>ELEC!C4</f>
        <v>44045</v>
      </c>
      <c r="B5" s="566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66">
        <v>31607</v>
      </c>
      <c r="G5" s="160">
        <f t="shared" si="1"/>
        <v>1556</v>
      </c>
      <c r="H5" s="566">
        <v>107210</v>
      </c>
      <c r="I5" s="161">
        <f t="shared" si="2"/>
        <v>3827</v>
      </c>
      <c r="J5" s="566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144.81574575958226</v>
      </c>
      <c r="P5" s="305">
        <f t="shared" ref="P5:P32" si="9">SUM(L5:O5)</f>
        <v>896.19485023719415</v>
      </c>
      <c r="Q5" s="305">
        <f>SUM(-tanks!AX7*tanks!$AU$37)</f>
        <v>1429.5734999999993</v>
      </c>
      <c r="R5" s="305">
        <f t="shared" ref="R5:R32" si="10">SUM(P5:Q5)</f>
        <v>2325.7683502371933</v>
      </c>
      <c r="S5" s="307">
        <f>SUM(ELEC!N4)</f>
        <v>24732</v>
      </c>
      <c r="T5" s="344">
        <f>IF(S5&gt;0,R5/S5,0)</f>
        <v>9.4038830269981943E-2</v>
      </c>
      <c r="U5" s="255"/>
      <c r="V5" s="656"/>
      <c r="W5" s="657"/>
      <c r="X5" s="657"/>
      <c r="Y5" s="658"/>
      <c r="Z5" s="26" t="s">
        <v>203</v>
      </c>
      <c r="AA5" s="270">
        <f>'[5]EDl log'!AA22</f>
        <v>5000</v>
      </c>
      <c r="AB5" s="664"/>
      <c r="AC5" s="665"/>
    </row>
    <row r="6" spans="1:30" ht="15.75" thickBot="1">
      <c r="A6" s="163">
        <f>ELEC!C5</f>
        <v>44046</v>
      </c>
      <c r="B6" s="566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66">
        <v>31607</v>
      </c>
      <c r="G6" s="160">
        <f t="shared" si="1"/>
        <v>0</v>
      </c>
      <c r="H6" s="566">
        <v>110888</v>
      </c>
      <c r="I6" s="161">
        <f t="shared" si="2"/>
        <v>3678</v>
      </c>
      <c r="J6" s="566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144.81574575958226</v>
      </c>
      <c r="P6" s="305">
        <f t="shared" si="9"/>
        <v>461.53614376953249</v>
      </c>
      <c r="Q6" s="305">
        <f>SUM(-tanks!AX8*tanks!$AU$37)</f>
        <v>1904.1340322580666</v>
      </c>
      <c r="R6" s="305">
        <f t="shared" si="10"/>
        <v>2365.6701760275992</v>
      </c>
      <c r="S6" s="307">
        <f>SUM(ELEC!N5)</f>
        <v>23757</v>
      </c>
      <c r="T6" s="344">
        <f t="shared" ref="T6:T32" si="12">IF(S6&gt;0,R6/S6,0)</f>
        <v>9.9577816055377327E-2</v>
      </c>
      <c r="V6" s="659"/>
      <c r="W6" s="660"/>
      <c r="X6" s="660"/>
      <c r="Y6" s="661"/>
      <c r="Z6" s="3"/>
      <c r="AA6" s="3"/>
      <c r="AB6" s="664"/>
      <c r="AC6" s="665"/>
    </row>
    <row r="7" spans="1:30" ht="15" customHeight="1" thickBot="1">
      <c r="A7" s="163">
        <f>ELEC!C6</f>
        <v>44047</v>
      </c>
      <c r="B7" s="566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66">
        <v>32332</v>
      </c>
      <c r="G7" s="160">
        <f t="shared" si="1"/>
        <v>725</v>
      </c>
      <c r="H7" s="566">
        <v>114200</v>
      </c>
      <c r="I7" s="161">
        <f t="shared" si="2"/>
        <v>3312</v>
      </c>
      <c r="J7" s="566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144.81574575958226</v>
      </c>
      <c r="P7" s="305">
        <f t="shared" si="9"/>
        <v>723.77693978943296</v>
      </c>
      <c r="Q7" s="305">
        <f>SUM(-tanks!AX9*tanks!$AU$37)</f>
        <v>711.55000000000007</v>
      </c>
      <c r="R7" s="305">
        <f t="shared" si="10"/>
        <v>1435.326939789433</v>
      </c>
      <c r="S7" s="307">
        <f>SUM(ELEC!N6)</f>
        <v>25244</v>
      </c>
      <c r="T7" s="344">
        <f t="shared" si="12"/>
        <v>5.6858142124442762E-2</v>
      </c>
      <c r="V7" s="652" t="s">
        <v>204</v>
      </c>
      <c r="W7" s="653"/>
      <c r="X7" s="654" t="s">
        <v>205</v>
      </c>
      <c r="Y7" s="655"/>
      <c r="Z7" s="653"/>
      <c r="AA7" s="26"/>
      <c r="AB7" s="666"/>
      <c r="AC7" s="667"/>
    </row>
    <row r="8" spans="1:30" ht="15.75" customHeight="1" thickBot="1">
      <c r="A8" s="163">
        <f>ELEC!C7</f>
        <v>44048</v>
      </c>
      <c r="B8" s="566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66">
        <v>32678</v>
      </c>
      <c r="G8" s="160">
        <f t="shared" si="1"/>
        <v>346</v>
      </c>
      <c r="H8" s="566">
        <v>116434</v>
      </c>
      <c r="I8" s="161">
        <f t="shared" si="2"/>
        <v>2234</v>
      </c>
      <c r="J8" s="566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144.81574575958226</v>
      </c>
      <c r="P8" s="305">
        <f t="shared" si="9"/>
        <v>384.23730463188741</v>
      </c>
      <c r="Q8" s="305">
        <f>SUM(-tanks!AX10*tanks!$AU$37)</f>
        <v>2417.4216612903174</v>
      </c>
      <c r="R8" s="305">
        <f t="shared" si="10"/>
        <v>2801.658965922205</v>
      </c>
      <c r="S8" s="307">
        <f>SUM(ELEC!N7)</f>
        <v>10988</v>
      </c>
      <c r="T8" s="344">
        <f>IF(S8&gt;0,R8/S8,0)</f>
        <v>0.2549744235458869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66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66">
        <v>33222</v>
      </c>
      <c r="G9" s="160">
        <f t="shared" si="1"/>
        <v>544</v>
      </c>
      <c r="H9" s="566">
        <v>117014</v>
      </c>
      <c r="I9" s="161">
        <f t="shared" si="2"/>
        <v>580</v>
      </c>
      <c r="J9" s="566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144.81574575958226</v>
      </c>
      <c r="P9" s="305">
        <f t="shared" si="9"/>
        <v>394.76599451580114</v>
      </c>
      <c r="Q9" s="305">
        <f>SUM(-tanks!AX11*tanks!$AU$37)</f>
        <v>239.5091451612922</v>
      </c>
      <c r="R9" s="305">
        <f>SUM(P9:Q9)</f>
        <v>634.27513967709331</v>
      </c>
      <c r="S9" s="307">
        <f>SUM(ELEC!N8)</f>
        <v>10699</v>
      </c>
      <c r="T9" s="344">
        <f t="shared" si="12"/>
        <v>5.9283590959631115E-2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66">
        <v>242141</v>
      </c>
      <c r="C10" s="270">
        <f t="shared" si="0"/>
        <v>4150</v>
      </c>
      <c r="D10" s="316">
        <f t="shared" si="7"/>
        <v>6150</v>
      </c>
      <c r="E10" s="316">
        <f t="shared" si="11"/>
        <v>244141</v>
      </c>
      <c r="F10" s="566">
        <v>33793</v>
      </c>
      <c r="G10" s="160">
        <f t="shared" si="1"/>
        <v>571</v>
      </c>
      <c r="H10" s="566">
        <v>121686</v>
      </c>
      <c r="I10" s="161">
        <f t="shared" si="2"/>
        <v>4672</v>
      </c>
      <c r="J10" s="566">
        <v>86661</v>
      </c>
      <c r="K10" s="162">
        <f t="shared" si="3"/>
        <v>907</v>
      </c>
      <c r="L10" s="304">
        <f t="shared" si="4"/>
        <v>121.2072968490879</v>
      </c>
      <c r="M10" s="304">
        <f t="shared" si="5"/>
        <v>347.1071310116086</v>
      </c>
      <c r="N10" s="304">
        <f t="shared" si="6"/>
        <v>48.13266998341625</v>
      </c>
      <c r="O10" s="304">
        <f t="shared" si="8"/>
        <v>144.81574575958226</v>
      </c>
      <c r="P10" s="305">
        <f t="shared" si="9"/>
        <v>661.26284360369493</v>
      </c>
      <c r="Q10" s="305">
        <f>SUM(-tanks!AX12*tanks!$AU$37)</f>
        <v>-1130.7483870967658</v>
      </c>
      <c r="R10" s="305">
        <f t="shared" si="10"/>
        <v>-469.48554349307085</v>
      </c>
      <c r="S10" s="307">
        <f>SUM(ELEC!N9)</f>
        <v>9781</v>
      </c>
      <c r="T10" s="344">
        <f t="shared" si="12"/>
        <v>-4.7999748849102429E-2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66">
        <v>246765</v>
      </c>
      <c r="C11" s="270">
        <f t="shared" si="0"/>
        <v>4624</v>
      </c>
      <c r="D11" s="316">
        <f>SUM(G11+I11+K11)</f>
        <v>4625</v>
      </c>
      <c r="E11" s="316">
        <f t="shared" si="11"/>
        <v>246766</v>
      </c>
      <c r="F11" s="566">
        <v>34451</v>
      </c>
      <c r="G11" s="160">
        <f t="shared" si="1"/>
        <v>658</v>
      </c>
      <c r="H11" s="566">
        <v>124110</v>
      </c>
      <c r="I11" s="161">
        <f t="shared" si="2"/>
        <v>2424</v>
      </c>
      <c r="J11" s="566">
        <v>88204</v>
      </c>
      <c r="K11" s="162">
        <f t="shared" si="3"/>
        <v>1543</v>
      </c>
      <c r="L11" s="304">
        <f t="shared" si="4"/>
        <v>139.67495854063017</v>
      </c>
      <c r="M11" s="304">
        <f t="shared" si="5"/>
        <v>180.09154228855721</v>
      </c>
      <c r="N11" s="304">
        <f t="shared" si="6"/>
        <v>81.88391376451078</v>
      </c>
      <c r="O11" s="304">
        <f t="shared" si="8"/>
        <v>144.81574575958226</v>
      </c>
      <c r="P11" s="305">
        <f t="shared" si="9"/>
        <v>546.46616035328043</v>
      </c>
      <c r="Q11" s="305">
        <f>SUM(-tanks!AX13*tanks!$AU$37)</f>
        <v>606.77456451612193</v>
      </c>
      <c r="R11" s="305">
        <f t="shared" si="10"/>
        <v>1153.2407248694024</v>
      </c>
      <c r="S11" s="307">
        <f>SUM(ELEC!N10)</f>
        <v>10647</v>
      </c>
      <c r="T11" s="344">
        <f t="shared" si="12"/>
        <v>0.1083160256287595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66">
        <v>250281</v>
      </c>
      <c r="C12" s="270">
        <f t="shared" si="0"/>
        <v>3516</v>
      </c>
      <c r="D12" s="316">
        <f t="shared" si="7"/>
        <v>3515</v>
      </c>
      <c r="E12" s="316">
        <f t="shared" si="11"/>
        <v>250280</v>
      </c>
      <c r="F12" s="566">
        <v>34998</v>
      </c>
      <c r="G12" s="160">
        <f t="shared" si="1"/>
        <v>547</v>
      </c>
      <c r="H12" s="566">
        <v>126161</v>
      </c>
      <c r="I12" s="161">
        <f t="shared" si="2"/>
        <v>2051</v>
      </c>
      <c r="J12" s="566">
        <v>89121</v>
      </c>
      <c r="K12" s="162">
        <f t="shared" si="3"/>
        <v>917</v>
      </c>
      <c r="L12" s="304">
        <f t="shared" si="4"/>
        <v>116.11276948590381</v>
      </c>
      <c r="M12" s="304">
        <f t="shared" si="5"/>
        <v>152.37943615257049</v>
      </c>
      <c r="N12" s="304">
        <f t="shared" si="6"/>
        <v>48.663349917081263</v>
      </c>
      <c r="O12" s="304">
        <f t="shared" si="8"/>
        <v>144.81574575958226</v>
      </c>
      <c r="P12" s="305">
        <f t="shared" si="9"/>
        <v>461.97130131513779</v>
      </c>
      <c r="Q12" s="305">
        <f>SUM(-tanks!AX14*tanks!$AU$37)</f>
        <v>319.22759677419685</v>
      </c>
      <c r="R12" s="305">
        <f t="shared" si="10"/>
        <v>781.19889808933465</v>
      </c>
      <c r="S12" s="307">
        <f>SUM(ELEC!N11)</f>
        <v>8400</v>
      </c>
      <c r="T12" s="344">
        <f t="shared" si="12"/>
        <v>9.2999868820158885E-2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66">
        <v>254987</v>
      </c>
      <c r="C13" s="270">
        <f t="shared" si="0"/>
        <v>4706</v>
      </c>
      <c r="D13" s="316">
        <f t="shared" si="7"/>
        <v>4706</v>
      </c>
      <c r="E13" s="316">
        <f t="shared" si="11"/>
        <v>254987</v>
      </c>
      <c r="F13" s="566">
        <v>35632</v>
      </c>
      <c r="G13" s="160">
        <f t="shared" si="1"/>
        <v>634</v>
      </c>
      <c r="H13" s="566">
        <v>129428</v>
      </c>
      <c r="I13" s="161">
        <f t="shared" si="2"/>
        <v>3267</v>
      </c>
      <c r="J13" s="566">
        <v>89926</v>
      </c>
      <c r="K13" s="162">
        <f t="shared" si="3"/>
        <v>805</v>
      </c>
      <c r="L13" s="304">
        <f t="shared" si="4"/>
        <v>134.58043117744612</v>
      </c>
      <c r="M13" s="304">
        <f t="shared" si="5"/>
        <v>242.7223880597015</v>
      </c>
      <c r="N13" s="304">
        <f t="shared" si="6"/>
        <v>42.719734660033168</v>
      </c>
      <c r="O13" s="304">
        <f t="shared" si="8"/>
        <v>144.81574575958226</v>
      </c>
      <c r="P13" s="305">
        <f t="shared" si="9"/>
        <v>564.83829965676307</v>
      </c>
      <c r="Q13" s="305">
        <f>SUM(-tanks!AX15*tanks!$AU$37)</f>
        <v>252.17138709677502</v>
      </c>
      <c r="R13" s="305">
        <f t="shared" si="10"/>
        <v>817.00968675353806</v>
      </c>
      <c r="S13" s="307">
        <f>SUM(ELEC!N12)</f>
        <v>10457</v>
      </c>
      <c r="T13" s="344">
        <f t="shared" si="12"/>
        <v>7.8130408984750696E-2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72">
        <f>ELEC!C13</f>
        <v>44054</v>
      </c>
      <c r="B14" s="566">
        <v>259601</v>
      </c>
      <c r="C14" s="270">
        <f t="shared" si="0"/>
        <v>4614</v>
      </c>
      <c r="D14" s="316">
        <f t="shared" si="7"/>
        <v>4614</v>
      </c>
      <c r="E14" s="316">
        <f t="shared" si="11"/>
        <v>259601</v>
      </c>
      <c r="F14" s="566">
        <v>36294</v>
      </c>
      <c r="G14" s="160">
        <f t="shared" si="1"/>
        <v>662</v>
      </c>
      <c r="H14" s="566">
        <v>132032</v>
      </c>
      <c r="I14" s="161">
        <f t="shared" si="2"/>
        <v>2604</v>
      </c>
      <c r="J14" s="566">
        <v>91274</v>
      </c>
      <c r="K14" s="162">
        <f t="shared" ref="K14:K17" si="13">J14-J13</f>
        <v>1348</v>
      </c>
      <c r="L14" s="304">
        <f t="shared" ref="L14:L17" si="14">SUM(G14*$Y$28)/1507.5</f>
        <v>140.52404643449421</v>
      </c>
      <c r="M14" s="304">
        <f t="shared" ref="M14:M17" si="15">SUM(I14*$Y$27)/1507.5</f>
        <v>193.46467661691543</v>
      </c>
      <c r="N14" s="304">
        <f t="shared" ref="N14:N17" si="16">SUM(K14*$Y$26)/1507.5</f>
        <v>71.535655058043119</v>
      </c>
      <c r="O14" s="304">
        <f t="shared" ref="O14:O17" si="17">($AC$31/$A$39)/1507.5</f>
        <v>144.81574575958226</v>
      </c>
      <c r="P14" s="305">
        <f t="shared" ref="P14:P17" si="18">SUM(L14:O14)</f>
        <v>550.34012386903498</v>
      </c>
      <c r="Q14" s="305">
        <f>SUM(-tanks!AX16*tanks!$AU$37)</f>
        <v>270.25783870966569</v>
      </c>
      <c r="R14" s="305">
        <f t="shared" ref="R14:R17" si="19">SUM(P14:Q14)</f>
        <v>820.59796257870062</v>
      </c>
      <c r="S14" s="307">
        <f>SUM(ELEC!N13)</f>
        <v>10265</v>
      </c>
      <c r="T14" s="344">
        <f t="shared" ref="T14:T17" si="20">IF(S14&gt;0,R14/S14,0)</f>
        <v>7.9941350470404349E-2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66">
        <v>264224</v>
      </c>
      <c r="C15" s="270">
        <f t="shared" si="0"/>
        <v>4623</v>
      </c>
      <c r="D15" s="316">
        <f t="shared" si="7"/>
        <v>4623</v>
      </c>
      <c r="E15" s="316">
        <f t="shared" si="11"/>
        <v>264224</v>
      </c>
      <c r="F15" s="566">
        <v>36961</v>
      </c>
      <c r="G15" s="160">
        <f t="shared" si="1"/>
        <v>667</v>
      </c>
      <c r="H15" s="566">
        <v>134600</v>
      </c>
      <c r="I15" s="161">
        <f t="shared" si="2"/>
        <v>2568</v>
      </c>
      <c r="J15" s="566">
        <v>92662</v>
      </c>
      <c r="K15" s="162">
        <f t="shared" si="13"/>
        <v>1388</v>
      </c>
      <c r="L15" s="304">
        <f t="shared" si="14"/>
        <v>141.58540630182421</v>
      </c>
      <c r="M15" s="304">
        <f t="shared" si="15"/>
        <v>190.79004975124377</v>
      </c>
      <c r="N15" s="304">
        <f t="shared" si="16"/>
        <v>73.658374792703157</v>
      </c>
      <c r="O15" s="304">
        <f t="shared" si="17"/>
        <v>144.81574575958226</v>
      </c>
      <c r="P15" s="305">
        <f t="shared" si="18"/>
        <v>550.84957660535338</v>
      </c>
      <c r="Q15" s="305">
        <f>SUM(-tanks!AX17*tanks!$AU$37)</f>
        <v>907.57054838710008</v>
      </c>
      <c r="R15" s="305">
        <f t="shared" si="19"/>
        <v>1458.4201249924536</v>
      </c>
      <c r="S15" s="307">
        <f>SUM(ELEC!N14)</f>
        <v>10779</v>
      </c>
      <c r="T15" s="344">
        <f t="shared" si="20"/>
        <v>0.13530198766049295</v>
      </c>
      <c r="V15" s="270" t="str">
        <f>'[5]EDl log'!V32</f>
        <v>H Deg</v>
      </c>
      <c r="W15" s="270">
        <f>'[1]EDl log'!W32</f>
        <v>-549.00000000000011</v>
      </c>
      <c r="X15" s="573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66">
        <v>268828</v>
      </c>
      <c r="C16" s="270">
        <f t="shared" si="0"/>
        <v>4604</v>
      </c>
      <c r="D16" s="316">
        <f t="shared" si="7"/>
        <v>4605</v>
      </c>
      <c r="E16" s="316">
        <f t="shared" si="11"/>
        <v>268829</v>
      </c>
      <c r="F16" s="566">
        <v>37335</v>
      </c>
      <c r="G16" s="160">
        <f t="shared" si="1"/>
        <v>374</v>
      </c>
      <c r="H16" s="566">
        <v>137364</v>
      </c>
      <c r="I16" s="161">
        <f t="shared" si="2"/>
        <v>2764</v>
      </c>
      <c r="J16" s="566">
        <v>94129</v>
      </c>
      <c r="K16" s="162">
        <f t="shared" si="13"/>
        <v>1467</v>
      </c>
      <c r="L16" s="304">
        <f t="shared" si="14"/>
        <v>79.389718076285234</v>
      </c>
      <c r="M16" s="304">
        <f t="shared" si="15"/>
        <v>205.35190713101161</v>
      </c>
      <c r="N16" s="304">
        <f t="shared" si="16"/>
        <v>77.850746268656721</v>
      </c>
      <c r="O16" s="304">
        <f t="shared" si="17"/>
        <v>144.81574575958226</v>
      </c>
      <c r="P16" s="305">
        <f t="shared" si="18"/>
        <v>507.40811723553588</v>
      </c>
      <c r="Q16" s="305">
        <f>SUM(-tanks!AX18*tanks!$AU$37)</f>
        <v>0</v>
      </c>
      <c r="R16" s="305">
        <f t="shared" si="19"/>
        <v>507.40811723553588</v>
      </c>
      <c r="S16" s="307">
        <f>SUM(ELEC!N15)</f>
        <v>11455</v>
      </c>
      <c r="T16" s="344">
        <f t="shared" si="20"/>
        <v>4.4295776275472362E-2</v>
      </c>
      <c r="V16" s="270" t="str">
        <f>'[5]EDl log'!V33</f>
        <v>C Deg</v>
      </c>
      <c r="W16" s="270">
        <f>'[1]EDl log'!W33</f>
        <v>0</v>
      </c>
      <c r="X16" s="573">
        <f>'[2]EDl log'!X16</f>
        <v>0</v>
      </c>
      <c r="Y16" s="573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66">
        <v>272715</v>
      </c>
      <c r="C17" s="270">
        <f t="shared" si="0"/>
        <v>3887</v>
      </c>
      <c r="D17" s="316">
        <f t="shared" si="7"/>
        <v>3887</v>
      </c>
      <c r="E17" s="316">
        <f t="shared" si="11"/>
        <v>272715</v>
      </c>
      <c r="F17" s="566">
        <v>37817</v>
      </c>
      <c r="G17" s="160">
        <f t="shared" si="1"/>
        <v>482</v>
      </c>
      <c r="H17" s="566">
        <v>139727</v>
      </c>
      <c r="I17" s="161">
        <f t="shared" si="2"/>
        <v>2363</v>
      </c>
      <c r="J17" s="566">
        <v>95171</v>
      </c>
      <c r="K17" s="162">
        <f t="shared" si="13"/>
        <v>1042</v>
      </c>
      <c r="L17" s="304">
        <f t="shared" si="14"/>
        <v>102.3150912106136</v>
      </c>
      <c r="M17" s="304">
        <f t="shared" si="15"/>
        <v>175.55953565505806</v>
      </c>
      <c r="N17" s="304">
        <f t="shared" si="16"/>
        <v>55.296849087893861</v>
      </c>
      <c r="O17" s="304">
        <f t="shared" si="17"/>
        <v>144.81574575958226</v>
      </c>
      <c r="P17" s="305">
        <f t="shared" si="18"/>
        <v>477.98722171314773</v>
      </c>
      <c r="Q17" s="305">
        <f>SUM(-tanks!AX19*tanks!$AU$37)</f>
        <v>688.21364516129063</v>
      </c>
      <c r="R17" s="305">
        <f t="shared" si="19"/>
        <v>1166.2008668744384</v>
      </c>
      <c r="S17" s="307">
        <f>SUM(ELEC!N16)</f>
        <v>11209</v>
      </c>
      <c r="T17" s="344">
        <f t="shared" si="20"/>
        <v>0.10404147264469965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66">
        <v>276815</v>
      </c>
      <c r="C18" s="270">
        <f t="shared" si="0"/>
        <v>4100</v>
      </c>
      <c r="D18" s="316">
        <f t="shared" si="7"/>
        <v>4099</v>
      </c>
      <c r="E18" s="316">
        <f t="shared" si="11"/>
        <v>276814</v>
      </c>
      <c r="F18" s="566">
        <v>38527</v>
      </c>
      <c r="G18" s="160">
        <f t="shared" si="1"/>
        <v>710</v>
      </c>
      <c r="H18" s="566">
        <v>141543</v>
      </c>
      <c r="I18" s="161">
        <f t="shared" si="2"/>
        <v>1816</v>
      </c>
      <c r="J18" s="566">
        <v>96744</v>
      </c>
      <c r="K18" s="162">
        <f t="shared" si="3"/>
        <v>1573</v>
      </c>
      <c r="L18" s="304">
        <f t="shared" ref="L18:L33" si="21">SUM(G18*$Y$28)/1507.5</f>
        <v>150.71310116086235</v>
      </c>
      <c r="M18" s="304">
        <f t="shared" ref="M18:M33" si="22">SUM(I18*$Y$27)/1507.5</f>
        <v>134.9200663349917</v>
      </c>
      <c r="N18" s="304">
        <f t="shared" ref="N18:N33" si="23">SUM(K18*$Y$26)/1507.5</f>
        <v>83.475953565505804</v>
      </c>
      <c r="O18" s="304">
        <f t="shared" ref="O18:O34" si="24">($AC$31/$A$39)/1507.5</f>
        <v>144.81574575958226</v>
      </c>
      <c r="P18" s="305">
        <f t="shared" si="9"/>
        <v>513.92486682094216</v>
      </c>
      <c r="Q18" s="305">
        <f>SUM(-tanks!AX20*tanks!$AU$37)</f>
        <v>503.45225806451566</v>
      </c>
      <c r="R18" s="305">
        <f t="shared" si="10"/>
        <v>1017.3771248854578</v>
      </c>
      <c r="S18" s="307">
        <f>SUM(ELEC!N17)</f>
        <v>9704</v>
      </c>
      <c r="T18" s="344">
        <f t="shared" si="12"/>
        <v>0.10484100627426399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66">
        <v>280938</v>
      </c>
      <c r="C19" s="270">
        <f t="shared" si="0"/>
        <v>4123</v>
      </c>
      <c r="D19" s="316">
        <f t="shared" si="7"/>
        <v>4123</v>
      </c>
      <c r="E19" s="316">
        <f t="shared" si="11"/>
        <v>280938</v>
      </c>
      <c r="F19" s="566">
        <v>39113</v>
      </c>
      <c r="G19" s="160">
        <f t="shared" si="1"/>
        <v>586</v>
      </c>
      <c r="H19" s="566">
        <v>143816</v>
      </c>
      <c r="I19" s="161">
        <f t="shared" si="2"/>
        <v>2273</v>
      </c>
      <c r="J19" s="566">
        <v>98008</v>
      </c>
      <c r="K19" s="162">
        <f t="shared" si="3"/>
        <v>1264</v>
      </c>
      <c r="L19" s="304">
        <f t="shared" si="21"/>
        <v>124.39137645107795</v>
      </c>
      <c r="M19" s="304">
        <f t="shared" si="22"/>
        <v>168.87296849087895</v>
      </c>
      <c r="N19" s="304">
        <f t="shared" si="23"/>
        <v>67.077943615257041</v>
      </c>
      <c r="O19" s="304">
        <f t="shared" si="24"/>
        <v>144.81574575958226</v>
      </c>
      <c r="P19" s="305">
        <f t="shared" si="9"/>
        <v>505.15803431679615</v>
      </c>
      <c r="Q19" s="305">
        <f>SUM(-tanks!AX21*tanks!$AU$37)</f>
        <v>117.1684516128969</v>
      </c>
      <c r="R19" s="305">
        <f t="shared" si="10"/>
        <v>622.32648592969304</v>
      </c>
      <c r="S19" s="307">
        <f>SUM(ELEC!N18)</f>
        <v>9365</v>
      </c>
      <c r="T19" s="344">
        <f t="shared" si="12"/>
        <v>6.6452374365156761E-2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66">
        <v>286074</v>
      </c>
      <c r="C20" s="270">
        <f t="shared" si="0"/>
        <v>5136</v>
      </c>
      <c r="D20" s="316">
        <f t="shared" si="7"/>
        <v>5136</v>
      </c>
      <c r="E20" s="316">
        <f t="shared" si="11"/>
        <v>286074</v>
      </c>
      <c r="F20" s="566">
        <v>39658</v>
      </c>
      <c r="G20" s="160">
        <f t="shared" si="1"/>
        <v>545</v>
      </c>
      <c r="H20" s="566">
        <v>146584</v>
      </c>
      <c r="I20" s="161">
        <f t="shared" si="2"/>
        <v>2768</v>
      </c>
      <c r="J20" s="566">
        <v>99831</v>
      </c>
      <c r="K20" s="162">
        <f t="shared" si="3"/>
        <v>1823</v>
      </c>
      <c r="L20" s="304">
        <f t="shared" si="21"/>
        <v>115.68822553897181</v>
      </c>
      <c r="M20" s="304">
        <f t="shared" si="22"/>
        <v>205.64908789386402</v>
      </c>
      <c r="N20" s="304">
        <f t="shared" si="23"/>
        <v>96.742951907131015</v>
      </c>
      <c r="O20" s="304">
        <f t="shared" si="24"/>
        <v>144.81574575958226</v>
      </c>
      <c r="P20" s="305">
        <f t="shared" si="9"/>
        <v>562.89601109954901</v>
      </c>
      <c r="Q20" s="305">
        <f>SUM(-tanks!AX22*tanks!$AU$37)</f>
        <v>378.79380645161876</v>
      </c>
      <c r="R20" s="305">
        <f t="shared" si="10"/>
        <v>941.68981755116783</v>
      </c>
      <c r="S20" s="307">
        <f>SUM(ELEC!N19)</f>
        <v>11726</v>
      </c>
      <c r="T20" s="344">
        <f t="shared" si="12"/>
        <v>8.0307847309497513E-2</v>
      </c>
      <c r="V20" t="s">
        <v>414</v>
      </c>
      <c r="AB20" s="270"/>
    </row>
    <row r="21" spans="1:32" ht="15.75" thickBot="1">
      <c r="A21" s="163">
        <f>ELEC!C20</f>
        <v>44061</v>
      </c>
      <c r="B21" s="566">
        <v>291983</v>
      </c>
      <c r="C21" s="270">
        <f t="shared" si="0"/>
        <v>5909</v>
      </c>
      <c r="D21" s="316">
        <f t="shared" si="7"/>
        <v>5909</v>
      </c>
      <c r="E21" s="316">
        <f t="shared" si="11"/>
        <v>291983</v>
      </c>
      <c r="F21" s="566">
        <v>40231</v>
      </c>
      <c r="G21" s="160">
        <f t="shared" si="1"/>
        <v>573</v>
      </c>
      <c r="H21" s="566">
        <v>150160</v>
      </c>
      <c r="I21" s="161">
        <f t="shared" si="2"/>
        <v>3576</v>
      </c>
      <c r="J21" s="566">
        <v>101591</v>
      </c>
      <c r="K21" s="162">
        <f t="shared" si="3"/>
        <v>1760</v>
      </c>
      <c r="L21" s="304">
        <f t="shared" si="21"/>
        <v>121.6318407960199</v>
      </c>
      <c r="M21" s="304">
        <f t="shared" si="22"/>
        <v>265.67960199004978</v>
      </c>
      <c r="N21" s="304">
        <f t="shared" si="23"/>
        <v>93.399668325041461</v>
      </c>
      <c r="O21" s="304">
        <f t="shared" si="24"/>
        <v>144.81574575958226</v>
      </c>
      <c r="P21" s="305">
        <f t="shared" si="9"/>
        <v>625.52685687069334</v>
      </c>
      <c r="Q21" s="305">
        <f>SUM(-tanks!AX23*tanks!$AU$37)</f>
        <v>88.464838709671895</v>
      </c>
      <c r="R21" s="305">
        <f t="shared" si="10"/>
        <v>713.99169558036522</v>
      </c>
      <c r="S21" s="307">
        <f>SUM(ELEC!N20)</f>
        <v>12104</v>
      </c>
      <c r="T21" s="344">
        <f t="shared" si="12"/>
        <v>5.8988077956077759E-2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62"/>
      <c r="AC21" s="663"/>
    </row>
    <row r="22" spans="1:32" ht="15.75" thickBot="1">
      <c r="A22" s="163">
        <f>ELEC!C21</f>
        <v>44062</v>
      </c>
      <c r="B22" s="566">
        <v>297597</v>
      </c>
      <c r="C22" s="270">
        <f t="shared" si="0"/>
        <v>5614</v>
      </c>
      <c r="D22" s="316">
        <f t="shared" si="7"/>
        <v>5614</v>
      </c>
      <c r="E22" s="316">
        <f t="shared" si="11"/>
        <v>297597</v>
      </c>
      <c r="F22" s="566">
        <v>40875</v>
      </c>
      <c r="G22" s="160">
        <f t="shared" si="1"/>
        <v>644</v>
      </c>
      <c r="H22" s="566">
        <v>153428</v>
      </c>
      <c r="I22" s="161">
        <f t="shared" si="2"/>
        <v>3268</v>
      </c>
      <c r="J22" s="566">
        <v>103293</v>
      </c>
      <c r="K22" s="162">
        <f t="shared" si="3"/>
        <v>1702</v>
      </c>
      <c r="L22" s="304">
        <f t="shared" si="21"/>
        <v>136.70315091210614</v>
      </c>
      <c r="M22" s="304">
        <f t="shared" si="22"/>
        <v>242.79668325041459</v>
      </c>
      <c r="N22" s="304">
        <f t="shared" si="23"/>
        <v>90.321724709784405</v>
      </c>
      <c r="O22" s="304">
        <f t="shared" si="24"/>
        <v>144.81574575958226</v>
      </c>
      <c r="P22" s="305">
        <f t="shared" si="9"/>
        <v>614.63730463188745</v>
      </c>
      <c r="Q22" s="305">
        <f>SUM(-tanks!AX24*tanks!$AU$37)</f>
        <v>500.60467741935162</v>
      </c>
      <c r="R22" s="305">
        <f t="shared" si="10"/>
        <v>1115.2419820512391</v>
      </c>
      <c r="S22" s="307">
        <f>SUM(ELEC!N21)</f>
        <v>13057</v>
      </c>
      <c r="T22" s="344">
        <f t="shared" si="12"/>
        <v>8.5413340127995646E-2</v>
      </c>
      <c r="V22" s="668"/>
      <c r="W22" s="669"/>
      <c r="X22" s="669"/>
      <c r="Y22" s="670"/>
      <c r="Z22" s="26" t="s">
        <v>203</v>
      </c>
      <c r="AA22" s="26">
        <v>5000</v>
      </c>
      <c r="AB22" s="664"/>
      <c r="AC22" s="665"/>
    </row>
    <row r="23" spans="1:32" ht="15.75" thickBot="1">
      <c r="A23" s="163">
        <f>ELEC!C22</f>
        <v>44063</v>
      </c>
      <c r="B23" s="566">
        <v>302554</v>
      </c>
      <c r="C23" s="270">
        <f t="shared" si="0"/>
        <v>4957</v>
      </c>
      <c r="D23" s="316">
        <f t="shared" si="7"/>
        <v>4957</v>
      </c>
      <c r="E23" s="316">
        <f t="shared" si="11"/>
        <v>302554</v>
      </c>
      <c r="F23" s="566">
        <v>41296</v>
      </c>
      <c r="G23" s="160">
        <f t="shared" si="1"/>
        <v>421</v>
      </c>
      <c r="H23" s="566">
        <v>156056</v>
      </c>
      <c r="I23" s="161">
        <f t="shared" si="2"/>
        <v>2628</v>
      </c>
      <c r="J23" s="566">
        <v>105201</v>
      </c>
      <c r="K23" s="162">
        <f t="shared" si="3"/>
        <v>1908</v>
      </c>
      <c r="L23" s="304">
        <f t="shared" si="21"/>
        <v>89.366500829187402</v>
      </c>
      <c r="M23" s="304">
        <f t="shared" si="22"/>
        <v>195.24776119402986</v>
      </c>
      <c r="N23" s="304">
        <f t="shared" si="23"/>
        <v>101.25373134328358</v>
      </c>
      <c r="O23" s="304">
        <f t="shared" si="24"/>
        <v>144.81574575958226</v>
      </c>
      <c r="P23" s="305">
        <f t="shared" si="9"/>
        <v>530.68373912608308</v>
      </c>
      <c r="Q23" s="305">
        <f>SUM(-tanks!AX25*tanks!$AU$37)</f>
        <v>328.14483870968746</v>
      </c>
      <c r="R23" s="305">
        <f t="shared" si="10"/>
        <v>858.8285778357706</v>
      </c>
      <c r="S23" s="307">
        <f>SUM(ELEC!N22)</f>
        <v>11496</v>
      </c>
      <c r="T23" s="344">
        <f t="shared" si="12"/>
        <v>7.4706730848623046E-2</v>
      </c>
      <c r="V23" s="671"/>
      <c r="W23" s="672"/>
      <c r="X23" s="672"/>
      <c r="Y23" s="673"/>
      <c r="Z23" s="674"/>
      <c r="AA23" s="675"/>
      <c r="AB23" s="664"/>
      <c r="AC23" s="665"/>
    </row>
    <row r="24" spans="1:32" ht="15" customHeight="1" thickBot="1">
      <c r="A24" s="163">
        <f>ELEC!C23</f>
        <v>44064</v>
      </c>
      <c r="B24" s="566">
        <v>306809</v>
      </c>
      <c r="C24" s="270">
        <f t="shared" si="0"/>
        <v>4255</v>
      </c>
      <c r="D24" s="316">
        <f t="shared" si="7"/>
        <v>4256</v>
      </c>
      <c r="E24" s="316">
        <f t="shared" si="11"/>
        <v>306810</v>
      </c>
      <c r="F24" s="566">
        <v>42028</v>
      </c>
      <c r="G24" s="160">
        <f t="shared" si="1"/>
        <v>732</v>
      </c>
      <c r="H24" s="566">
        <v>158050</v>
      </c>
      <c r="I24" s="161">
        <f t="shared" si="2"/>
        <v>1994</v>
      </c>
      <c r="J24" s="566">
        <v>106731</v>
      </c>
      <c r="K24" s="162">
        <f t="shared" si="3"/>
        <v>1530</v>
      </c>
      <c r="L24" s="304">
        <f t="shared" si="21"/>
        <v>155.38308457711443</v>
      </c>
      <c r="M24" s="304">
        <f t="shared" si="22"/>
        <v>148.14461028192372</v>
      </c>
      <c r="N24" s="304">
        <f t="shared" si="23"/>
        <v>81.194029850746276</v>
      </c>
      <c r="O24" s="304">
        <f t="shared" si="24"/>
        <v>144.81574575958226</v>
      </c>
      <c r="P24" s="305">
        <f t="shared" si="9"/>
        <v>529.53747046936667</v>
      </c>
      <c r="Q24" s="305">
        <f>SUM(-tanks!AX26*tanks!$AU$37)</f>
        <v>492.21725806452343</v>
      </c>
      <c r="R24" s="305">
        <f t="shared" si="10"/>
        <v>1021.7547285338901</v>
      </c>
      <c r="S24" s="307">
        <f>SUM(ELEC!N23)</f>
        <v>9977</v>
      </c>
      <c r="T24" s="344">
        <f t="shared" si="12"/>
        <v>0.10241101819523805</v>
      </c>
      <c r="V24" s="676" t="s">
        <v>204</v>
      </c>
      <c r="W24" s="677"/>
      <c r="X24" s="678" t="s">
        <v>205</v>
      </c>
      <c r="Y24" s="679"/>
      <c r="Z24" s="680"/>
      <c r="AA24" s="170"/>
      <c r="AB24" s="666"/>
      <c r="AC24" s="667"/>
    </row>
    <row r="25" spans="1:32" ht="17.25" customHeight="1">
      <c r="A25" s="163">
        <f>ELEC!C24</f>
        <v>44065</v>
      </c>
      <c r="B25" s="566">
        <v>311336</v>
      </c>
      <c r="C25" s="270">
        <f t="shared" si="0"/>
        <v>4527</v>
      </c>
      <c r="D25" s="316">
        <f t="shared" si="7"/>
        <v>4527</v>
      </c>
      <c r="E25" s="316">
        <f t="shared" si="11"/>
        <v>311336</v>
      </c>
      <c r="F25" s="566">
        <v>42497</v>
      </c>
      <c r="G25" s="160">
        <f t="shared" si="1"/>
        <v>469</v>
      </c>
      <c r="H25" s="566">
        <v>160853</v>
      </c>
      <c r="I25" s="161">
        <f t="shared" si="2"/>
        <v>2803</v>
      </c>
      <c r="J25" s="566">
        <v>107986</v>
      </c>
      <c r="K25" s="162">
        <f t="shared" si="3"/>
        <v>1255</v>
      </c>
      <c r="L25" s="304">
        <f t="shared" si="21"/>
        <v>99.555555555555557</v>
      </c>
      <c r="M25" s="304">
        <f t="shared" si="22"/>
        <v>208.24941956882256</v>
      </c>
      <c r="N25" s="304">
        <f t="shared" si="23"/>
        <v>66.600331674958539</v>
      </c>
      <c r="O25" s="304">
        <f t="shared" si="24"/>
        <v>144.81574575958226</v>
      </c>
      <c r="P25" s="305">
        <f t="shared" si="9"/>
        <v>519.22105255891893</v>
      </c>
      <c r="Q25" s="305">
        <f>SUM(-tanks!AX27*tanks!$AU$37)</f>
        <v>145.34741935482816</v>
      </c>
      <c r="R25" s="305">
        <f t="shared" si="10"/>
        <v>664.56847191374709</v>
      </c>
      <c r="S25" s="307">
        <f>SUM(ELEC!N24)</f>
        <v>9301</v>
      </c>
      <c r="T25" s="344">
        <f t="shared" si="12"/>
        <v>7.1451292539914751E-2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>
      <c r="A26" s="163">
        <f>ELEC!C25</f>
        <v>44066</v>
      </c>
      <c r="B26" s="602">
        <v>315584</v>
      </c>
      <c r="C26" s="270">
        <f t="shared" si="0"/>
        <v>4248</v>
      </c>
      <c r="D26" s="316">
        <f t="shared" si="7"/>
        <v>3523</v>
      </c>
      <c r="E26" s="316">
        <f t="shared" si="11"/>
        <v>314859</v>
      </c>
      <c r="F26" s="602">
        <v>42378</v>
      </c>
      <c r="G26" s="160">
        <f t="shared" si="1"/>
        <v>-119</v>
      </c>
      <c r="H26" s="602">
        <v>163086</v>
      </c>
      <c r="I26" s="161">
        <f t="shared" si="2"/>
        <v>2233</v>
      </c>
      <c r="J26" s="605">
        <v>109395</v>
      </c>
      <c r="K26" s="162">
        <f t="shared" si="3"/>
        <v>1409</v>
      </c>
      <c r="L26" s="304">
        <f t="shared" si="21"/>
        <v>-25.260364842454393</v>
      </c>
      <c r="M26" s="304">
        <f t="shared" si="22"/>
        <v>165.90116086235489</v>
      </c>
      <c r="N26" s="304">
        <f t="shared" si="23"/>
        <v>74.772802653399665</v>
      </c>
      <c r="O26" s="304">
        <f t="shared" si="24"/>
        <v>144.81574575958226</v>
      </c>
      <c r="P26" s="305">
        <f t="shared" si="9"/>
        <v>360.22934443288239</v>
      </c>
      <c r="Q26" s="305">
        <f>SUM(-tanks!AX28*tanks!$AU$37)</f>
        <v>31.927419354843735</v>
      </c>
      <c r="R26" s="305">
        <f t="shared" si="10"/>
        <v>392.15676378772611</v>
      </c>
      <c r="S26" s="307">
        <f>SUM(ELEC!N25)</f>
        <v>10003</v>
      </c>
      <c r="T26" s="344">
        <f t="shared" si="12"/>
        <v>3.9203915204211348E-2</v>
      </c>
      <c r="V26" s="259">
        <f>W9</f>
        <v>76091</v>
      </c>
      <c r="W26" s="170">
        <f>J34</f>
        <v>117746</v>
      </c>
      <c r="X26" s="172" t="s">
        <v>199</v>
      </c>
      <c r="Y26" s="172">
        <v>80</v>
      </c>
      <c r="Z26" s="172">
        <v>1</v>
      </c>
      <c r="AA26" s="199">
        <f>(W26-V26)*Z26</f>
        <v>41655</v>
      </c>
      <c r="AB26" s="199">
        <f>AA26*Y26</f>
        <v>3332400</v>
      </c>
      <c r="AC26" s="254">
        <f>AC9</f>
        <v>1033333</v>
      </c>
      <c r="AD26" s="215">
        <f>SUM(K38)</f>
        <v>0.3084230478757275</v>
      </c>
    </row>
    <row r="27" spans="1:32">
      <c r="A27" s="163">
        <f>ELEC!C26</f>
        <v>44067</v>
      </c>
      <c r="B27" s="602">
        <v>319960</v>
      </c>
      <c r="C27" s="270">
        <f t="shared" si="0"/>
        <v>4376</v>
      </c>
      <c r="D27" s="316">
        <f t="shared" si="7"/>
        <v>5101</v>
      </c>
      <c r="E27" s="316">
        <f t="shared" si="11"/>
        <v>320685</v>
      </c>
      <c r="F27" s="602">
        <v>43837</v>
      </c>
      <c r="G27" s="160">
        <f t="shared" si="1"/>
        <v>1459</v>
      </c>
      <c r="H27" s="602">
        <v>165319</v>
      </c>
      <c r="I27" s="161">
        <f t="shared" si="2"/>
        <v>2233</v>
      </c>
      <c r="J27" s="605">
        <v>110804</v>
      </c>
      <c r="K27" s="162">
        <f t="shared" si="3"/>
        <v>1409</v>
      </c>
      <c r="L27" s="304">
        <f t="shared" si="21"/>
        <v>309.70480928689886</v>
      </c>
      <c r="M27" s="304">
        <f t="shared" si="22"/>
        <v>165.90116086235489</v>
      </c>
      <c r="N27" s="304">
        <f t="shared" si="23"/>
        <v>74.772802653399665</v>
      </c>
      <c r="O27" s="304">
        <f t="shared" si="24"/>
        <v>144.81574575958226</v>
      </c>
      <c r="P27" s="305">
        <f t="shared" si="9"/>
        <v>695.19451856223566</v>
      </c>
      <c r="Q27" s="305">
        <f>SUM(-tanks!AX29*tanks!$AU$37)</f>
        <v>328.14483870967189</v>
      </c>
      <c r="R27" s="305">
        <f t="shared" si="10"/>
        <v>1023.3393572719076</v>
      </c>
      <c r="S27" s="307">
        <f>SUM(ELEC!N26)</f>
        <v>10040</v>
      </c>
      <c r="T27" s="344">
        <f t="shared" si="12"/>
        <v>0.10192623080397487</v>
      </c>
      <c r="V27" s="259">
        <f t="shared" ref="V27:V28" si="25">W10</f>
        <v>99869</v>
      </c>
      <c r="W27" s="170">
        <f>H34</f>
        <v>177143</v>
      </c>
      <c r="X27" s="172" t="s">
        <v>213</v>
      </c>
      <c r="Y27" s="172">
        <v>112</v>
      </c>
      <c r="Z27" s="172">
        <v>1</v>
      </c>
      <c r="AA27" s="199">
        <f>(W27-V27)*Z27</f>
        <v>77274</v>
      </c>
      <c r="AB27" s="199">
        <f>SUM(AA27*Y27)</f>
        <v>8654688</v>
      </c>
      <c r="AC27" s="254">
        <f>AC10</f>
        <v>6200000</v>
      </c>
      <c r="AD27" s="215">
        <f>SUM(I38)</f>
        <v>0.57215418560914577</v>
      </c>
    </row>
    <row r="28" spans="1:32">
      <c r="A28" s="163">
        <f>ELEC!C27</f>
        <v>44068</v>
      </c>
      <c r="B28" s="606">
        <v>324390</v>
      </c>
      <c r="C28" s="270">
        <f t="shared" si="0"/>
        <v>4430</v>
      </c>
      <c r="D28" s="316">
        <f t="shared" si="7"/>
        <v>4429</v>
      </c>
      <c r="E28" s="316">
        <f t="shared" si="11"/>
        <v>324389</v>
      </c>
      <c r="F28" s="606">
        <v>44602</v>
      </c>
      <c r="G28" s="160">
        <f t="shared" si="1"/>
        <v>765</v>
      </c>
      <c r="H28" s="606">
        <v>167626</v>
      </c>
      <c r="I28" s="161">
        <f t="shared" si="2"/>
        <v>2307</v>
      </c>
      <c r="J28" s="605">
        <v>112161</v>
      </c>
      <c r="K28" s="162">
        <f t="shared" si="3"/>
        <v>1357</v>
      </c>
      <c r="L28" s="304">
        <f t="shared" si="21"/>
        <v>162.38805970149255</v>
      </c>
      <c r="M28" s="304">
        <f t="shared" si="22"/>
        <v>171.39900497512437</v>
      </c>
      <c r="N28" s="304">
        <f t="shared" si="23"/>
        <v>72.013266998341621</v>
      </c>
      <c r="O28" s="304">
        <f t="shared" si="24"/>
        <v>144.81574575958226</v>
      </c>
      <c r="P28" s="305">
        <f t="shared" si="9"/>
        <v>550.61607743454078</v>
      </c>
      <c r="Q28" s="305">
        <f>SUM(-tanks!AX30*tanks!$AU$37)</f>
        <v>328.14483870967189</v>
      </c>
      <c r="R28" s="305">
        <f t="shared" si="10"/>
        <v>878.76091614421262</v>
      </c>
      <c r="S28" s="307">
        <f>SUM(ELEC!N27)</f>
        <v>10187</v>
      </c>
      <c r="T28" s="344">
        <f t="shared" si="12"/>
        <v>8.6262974000609852E-2</v>
      </c>
      <c r="V28" s="259">
        <f t="shared" si="25"/>
        <v>30051</v>
      </c>
      <c r="W28" s="170">
        <f>F34</f>
        <v>46178</v>
      </c>
      <c r="X28" s="172" t="s">
        <v>197</v>
      </c>
      <c r="Y28" s="172">
        <v>320</v>
      </c>
      <c r="Z28" s="172">
        <v>1</v>
      </c>
      <c r="AA28" s="199">
        <f>(W28-V28)*Z28</f>
        <v>16127</v>
      </c>
      <c r="AB28" s="199">
        <f>SUM(AA28*Y28)</f>
        <v>5160640</v>
      </c>
      <c r="AC28" s="254">
        <f>AC11</f>
        <v>1000</v>
      </c>
      <c r="AD28" s="215">
        <f>SUM(G38)</f>
        <v>0.11940795806246206</v>
      </c>
      <c r="AE28" s="40">
        <f>SUM(AB28*5%)</f>
        <v>258032</v>
      </c>
      <c r="AF28" s="82">
        <f>SUM(AE28/7)*31</f>
        <v>1142713.1428571427</v>
      </c>
    </row>
    <row r="29" spans="1:32">
      <c r="A29" s="163">
        <f>ELEC!C28</f>
        <v>44069</v>
      </c>
      <c r="B29" s="607">
        <v>328824</v>
      </c>
      <c r="C29" s="270">
        <f t="shared" si="0"/>
        <v>4434</v>
      </c>
      <c r="D29" s="316">
        <f t="shared" si="7"/>
        <v>4435</v>
      </c>
      <c r="E29" s="316">
        <f t="shared" si="11"/>
        <v>328825</v>
      </c>
      <c r="F29" s="607">
        <v>44953</v>
      </c>
      <c r="G29" s="160">
        <f t="shared" si="1"/>
        <v>351</v>
      </c>
      <c r="H29" s="607">
        <v>170602</v>
      </c>
      <c r="I29" s="161">
        <f t="shared" si="2"/>
        <v>2976</v>
      </c>
      <c r="J29" s="605">
        <v>113269</v>
      </c>
      <c r="K29" s="162">
        <f t="shared" si="3"/>
        <v>1108</v>
      </c>
      <c r="L29" s="304">
        <f t="shared" si="21"/>
        <v>74.507462686567166</v>
      </c>
      <c r="M29" s="304">
        <f t="shared" si="22"/>
        <v>221.10248756218905</v>
      </c>
      <c r="N29" s="304">
        <f t="shared" si="23"/>
        <v>58.799336650082921</v>
      </c>
      <c r="O29" s="304">
        <f t="shared" si="24"/>
        <v>144.81574575958226</v>
      </c>
      <c r="P29" s="305">
        <f t="shared" si="9"/>
        <v>499.22503265842136</v>
      </c>
      <c r="Q29" s="305">
        <f>SUM(-tanks!AX31*tanks!$AU$37)</f>
        <v>454.76725806451952</v>
      </c>
      <c r="R29" s="305">
        <f t="shared" si="10"/>
        <v>953.99229072294088</v>
      </c>
      <c r="S29" s="307">
        <f>SUM(ELEC!N28)</f>
        <v>9950</v>
      </c>
      <c r="T29" s="344">
        <f t="shared" si="12"/>
        <v>9.5878622183210138E-2</v>
      </c>
      <c r="V29" s="216"/>
      <c r="W29" s="217"/>
      <c r="X29" s="217"/>
      <c r="Y29" s="218"/>
      <c r="Z29" s="3"/>
      <c r="AA29" s="293">
        <f>SUM(AA26:AA28)</f>
        <v>135056</v>
      </c>
      <c r="AB29" s="199"/>
      <c r="AC29" s="254"/>
    </row>
    <row r="30" spans="1:32" ht="14.25" customHeight="1" thickBot="1">
      <c r="A30" s="163">
        <f>ELEC!C29</f>
        <v>44070</v>
      </c>
      <c r="B30" s="609">
        <v>333172</v>
      </c>
      <c r="C30" s="270">
        <f t="shared" si="0"/>
        <v>4348</v>
      </c>
      <c r="D30" s="316">
        <f t="shared" si="7"/>
        <v>4348</v>
      </c>
      <c r="E30" s="316">
        <f t="shared" si="11"/>
        <v>333172</v>
      </c>
      <c r="F30" s="609">
        <v>45457</v>
      </c>
      <c r="G30" s="160">
        <f t="shared" si="1"/>
        <v>504</v>
      </c>
      <c r="H30" s="609">
        <v>173139</v>
      </c>
      <c r="I30" s="161">
        <f t="shared" si="2"/>
        <v>2537</v>
      </c>
      <c r="J30" s="605">
        <v>114576</v>
      </c>
      <c r="K30" s="162">
        <f t="shared" si="3"/>
        <v>1307</v>
      </c>
      <c r="L30" s="304">
        <f t="shared" si="21"/>
        <v>106.98507462686567</v>
      </c>
      <c r="M30" s="304">
        <f t="shared" si="22"/>
        <v>188.48689883913764</v>
      </c>
      <c r="N30" s="304">
        <f t="shared" si="23"/>
        <v>69.359867330016584</v>
      </c>
      <c r="O30" s="304">
        <f t="shared" si="24"/>
        <v>144.81574575958226</v>
      </c>
      <c r="P30" s="305">
        <f t="shared" si="9"/>
        <v>509.64758655560217</v>
      </c>
      <c r="Q30" s="305">
        <f>SUM(-tanks!AX32*tanks!$AU$37)</f>
        <v>5311.8424193548362</v>
      </c>
      <c r="R30" s="305">
        <f t="shared" si="10"/>
        <v>5821.4900059104384</v>
      </c>
      <c r="S30" s="307">
        <f>SUM(ELEC!N29)</f>
        <v>9580</v>
      </c>
      <c r="T30" s="344">
        <f t="shared" si="12"/>
        <v>0.60767119059607921</v>
      </c>
      <c r="V30" s="219" t="s">
        <v>316</v>
      </c>
      <c r="W30" s="456">
        <f>'General information '!F37</f>
        <v>0.10261000000000001</v>
      </c>
      <c r="X30" s="220"/>
      <c r="Y30" s="221" t="s">
        <v>332</v>
      </c>
      <c r="Z30" s="3"/>
      <c r="AA30" s="293"/>
      <c r="AB30" s="199">
        <f>SUM(AB26:AB29)</f>
        <v>17147728</v>
      </c>
      <c r="AC30" s="254">
        <f>SUM(AC26:AC29)/A39*A37</f>
        <v>6767601.8387096776</v>
      </c>
    </row>
    <row r="31" spans="1:32" ht="15.75" thickBot="1">
      <c r="A31" s="163">
        <f>ELEC!C30</f>
        <v>44071</v>
      </c>
      <c r="B31" s="566">
        <v>336934</v>
      </c>
      <c r="C31" s="270">
        <f t="shared" si="0"/>
        <v>3762</v>
      </c>
      <c r="D31" s="316">
        <f t="shared" si="7"/>
        <v>3762</v>
      </c>
      <c r="E31" s="316">
        <f t="shared" si="11"/>
        <v>336934</v>
      </c>
      <c r="F31" s="566">
        <v>45995</v>
      </c>
      <c r="G31" s="160">
        <f t="shared" si="1"/>
        <v>538</v>
      </c>
      <c r="H31" s="566">
        <v>175061</v>
      </c>
      <c r="I31" s="161">
        <f t="shared" si="2"/>
        <v>1922</v>
      </c>
      <c r="J31" s="566">
        <v>115878</v>
      </c>
      <c r="K31" s="162">
        <f t="shared" si="3"/>
        <v>1302</v>
      </c>
      <c r="L31" s="304">
        <f t="shared" si="21"/>
        <v>114.20232172470979</v>
      </c>
      <c r="M31" s="304">
        <f t="shared" si="22"/>
        <v>142.79535655058044</v>
      </c>
      <c r="N31" s="304">
        <f t="shared" si="23"/>
        <v>69.094527363184085</v>
      </c>
      <c r="O31" s="304">
        <f t="shared" si="24"/>
        <v>144.81574575958226</v>
      </c>
      <c r="P31" s="305">
        <f t="shared" si="9"/>
        <v>470.90795139805653</v>
      </c>
      <c r="Q31" s="305">
        <f>SUM(-tanks!AX33*tanks!$AU$37)</f>
        <v>-5869.1570967741836</v>
      </c>
      <c r="R31" s="305">
        <f t="shared" si="10"/>
        <v>-5398.2491453761268</v>
      </c>
      <c r="S31" s="307">
        <f>SUM(ELEC!N30)</f>
        <v>8648</v>
      </c>
      <c r="T31" s="344">
        <f t="shared" si="12"/>
        <v>-0.6242193738871562</v>
      </c>
      <c r="V31" s="219" t="s">
        <v>317</v>
      </c>
      <c r="W31" s="220">
        <f>SUM(GEN!U34)</f>
        <v>163</v>
      </c>
      <c r="X31" s="225">
        <f>SUM(W31/A37)</f>
        <v>5.6206896551724137</v>
      </c>
      <c r="Y31" s="266">
        <f>SUM(X31/2)</f>
        <v>2.8103448275862069</v>
      </c>
      <c r="Z31" s="3"/>
      <c r="AA31" s="3"/>
      <c r="AB31" s="570">
        <f>SUM(AB30+AC31)</f>
        <v>23915329.838709679</v>
      </c>
      <c r="AC31" s="254">
        <f>SUM(AC30)</f>
        <v>6767601.8387096776</v>
      </c>
    </row>
    <row r="32" spans="1:32" ht="15.75" thickBot="1">
      <c r="A32" s="163">
        <f>ELEC!C31</f>
        <v>44072</v>
      </c>
      <c r="B32" s="566">
        <v>341068</v>
      </c>
      <c r="C32" s="270">
        <f t="shared" si="0"/>
        <v>4134</v>
      </c>
      <c r="D32" s="316">
        <f t="shared" si="7"/>
        <v>4133</v>
      </c>
      <c r="E32" s="316">
        <f t="shared" si="11"/>
        <v>341067</v>
      </c>
      <c r="F32" s="566">
        <v>46178</v>
      </c>
      <c r="G32" s="160">
        <f t="shared" si="1"/>
        <v>183</v>
      </c>
      <c r="H32" s="566">
        <v>177143</v>
      </c>
      <c r="I32" s="161">
        <f t="shared" si="2"/>
        <v>2082</v>
      </c>
      <c r="J32" s="566">
        <v>117746</v>
      </c>
      <c r="K32" s="162">
        <f t="shared" si="3"/>
        <v>1868</v>
      </c>
      <c r="L32" s="304">
        <f t="shared" si="21"/>
        <v>38.845771144278608</v>
      </c>
      <c r="M32" s="304">
        <f t="shared" si="22"/>
        <v>154.68258706467662</v>
      </c>
      <c r="N32" s="304">
        <f t="shared" si="23"/>
        <v>99.131011608623552</v>
      </c>
      <c r="O32" s="304">
        <f t="shared" si="24"/>
        <v>144.81574575958226</v>
      </c>
      <c r="P32" s="305">
        <f t="shared" si="9"/>
        <v>437.47511557716109</v>
      </c>
      <c r="Q32" s="305">
        <f>SUM(-tanks!AX34*tanks!$AU$37)</f>
        <v>290.6948387096719</v>
      </c>
      <c r="R32" s="305">
        <f t="shared" si="10"/>
        <v>728.16995428683299</v>
      </c>
      <c r="S32" s="307">
        <f>SUM(ELEC!N31)</f>
        <v>10211</v>
      </c>
      <c r="T32" s="344">
        <f t="shared" si="12"/>
        <v>7.131230577679297E-2</v>
      </c>
      <c r="V32" s="219" t="s">
        <v>318</v>
      </c>
      <c r="W32" s="220">
        <f>'Degree Days 2020'!AA17</f>
        <v>-36.6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66">
        <f t="shared" ref="B33:B34" si="26">B32</f>
        <v>341068</v>
      </c>
      <c r="C33" s="270">
        <f t="shared" si="0"/>
        <v>0</v>
      </c>
      <c r="D33" s="316">
        <f t="shared" si="7"/>
        <v>0</v>
      </c>
      <c r="E33" s="316">
        <f t="shared" si="11"/>
        <v>341068</v>
      </c>
      <c r="F33" s="566">
        <f t="shared" ref="F33:J34" si="27">F32</f>
        <v>46178</v>
      </c>
      <c r="G33" s="160">
        <f>F33-F32</f>
        <v>0</v>
      </c>
      <c r="H33" s="566">
        <f t="shared" si="27"/>
        <v>177143</v>
      </c>
      <c r="I33" s="161">
        <f t="shared" si="2"/>
        <v>0</v>
      </c>
      <c r="J33" s="566">
        <f t="shared" si="27"/>
        <v>117746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24"/>
        <v>144.81574575958226</v>
      </c>
      <c r="P33" s="305">
        <f>SUM(L33:O33)</f>
        <v>144.81574575958226</v>
      </c>
      <c r="Q33" s="305">
        <f>SUM(-tanks!AX35*tanks!$AU$37)</f>
        <v>0</v>
      </c>
      <c r="R33" s="305">
        <f>SUM(P33:Q33)</f>
        <v>144.81574575958226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284.29999999999984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66">
        <f t="shared" si="26"/>
        <v>341068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341068</v>
      </c>
      <c r="F34" s="566">
        <f t="shared" si="27"/>
        <v>46178</v>
      </c>
      <c r="G34" s="160">
        <f>F34-F33</f>
        <v>0</v>
      </c>
      <c r="H34" s="566">
        <f t="shared" si="27"/>
        <v>177143</v>
      </c>
      <c r="I34" s="161">
        <f t="shared" ref="I34" si="29">H34-H33</f>
        <v>0</v>
      </c>
      <c r="J34" s="566">
        <f t="shared" si="27"/>
        <v>117746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4"/>
        <v>144.81574575958226</v>
      </c>
      <c r="P34" s="305">
        <f>SUM(L34:O34)</f>
        <v>144.81574575958226</v>
      </c>
      <c r="Q34" s="305">
        <f>SUM(-tanks!AX36*tanks!$AU$37)</f>
        <v>0</v>
      </c>
      <c r="R34" s="305">
        <f>SUM(P34:Q34)</f>
        <v>144.81574575958226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56"/>
      <c r="B35" s="557"/>
      <c r="C35" s="558"/>
      <c r="D35" s="557"/>
      <c r="E35" s="557"/>
      <c r="F35" s="557"/>
      <c r="G35" s="557"/>
      <c r="H35" s="557"/>
      <c r="I35" s="557"/>
      <c r="J35" s="557"/>
      <c r="K35" s="557"/>
      <c r="L35" s="559"/>
      <c r="M35" s="559"/>
      <c r="N35" s="559"/>
      <c r="O35" s="559"/>
      <c r="P35" s="560"/>
      <c r="Q35" s="560"/>
      <c r="R35" s="560"/>
      <c r="S35" s="561"/>
      <c r="T35" s="562"/>
      <c r="V35" s="219"/>
      <c r="W35" s="220"/>
      <c r="X35" s="220"/>
      <c r="Y35" s="220"/>
      <c r="Z35" s="3"/>
      <c r="AA35" s="3"/>
      <c r="AB35" s="3"/>
      <c r="AC35" s="246"/>
    </row>
    <row r="36" spans="1:32">
      <c r="A36" s="556"/>
      <c r="B36" s="557"/>
      <c r="C36" s="558"/>
      <c r="D36" s="558"/>
      <c r="E36" s="558"/>
      <c r="F36" s="557"/>
      <c r="G36" s="557"/>
      <c r="H36" s="557"/>
      <c r="I36" s="557"/>
      <c r="J36" s="557"/>
      <c r="K36" s="563"/>
      <c r="L36" s="560"/>
      <c r="M36" s="560"/>
      <c r="N36" s="560"/>
      <c r="O36" s="560"/>
      <c r="P36" s="561"/>
      <c r="Q36" s="561"/>
      <c r="R36" s="561"/>
      <c r="S36" s="561"/>
      <c r="T36" s="562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2630686.2822580645</v>
      </c>
      <c r="AC36" s="286"/>
    </row>
    <row r="37" spans="1:32" ht="15.75" thickBot="1">
      <c r="A37" s="555">
        <f>A39-COUNTIF(C4:C35,0)</f>
        <v>29</v>
      </c>
      <c r="C37" s="176">
        <f>SUM(C4:C35)/A37</f>
        <v>4657.1724137931033</v>
      </c>
      <c r="D37" s="176"/>
      <c r="E37" s="176"/>
      <c r="G37" s="176">
        <f>SUM(G4:G35)/A37</f>
        <v>556.10344827586209</v>
      </c>
      <c r="I37" s="176">
        <f>SUM(I4:I35)/A37</f>
        <v>2664.6206896551726</v>
      </c>
      <c r="K37" s="176">
        <f>SUM(K4:K36)/A37</f>
        <v>1436.3793103448277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26546016.120967742</v>
      </c>
      <c r="AC37" s="286"/>
    </row>
    <row r="38" spans="1:32" ht="15.75" thickBot="1">
      <c r="A38" s="213"/>
      <c r="C38" s="215">
        <f>SUM(G38:K38)</f>
        <v>0.99998519154733534</v>
      </c>
      <c r="G38" s="228">
        <f>IF(C37&gt;0,G37/C37,0)</f>
        <v>0.11940795806246206</v>
      </c>
      <c r="H38" s="215"/>
      <c r="I38" s="228">
        <f>SUM(I37/C37)</f>
        <v>0.57215418560914577</v>
      </c>
      <c r="J38" s="215"/>
      <c r="K38" s="228">
        <f>SUM(K37/C37)</f>
        <v>0.3084230478757275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15864.232065479056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4489.2881185470496</v>
      </c>
      <c r="Z40" s="40"/>
      <c r="AA40" s="300" t="s">
        <v>215</v>
      </c>
      <c r="AB40" s="301">
        <f>SUM(AB38)</f>
        <v>15864.232065479056</v>
      </c>
    </row>
    <row r="41" spans="1:32">
      <c r="V41" s="220"/>
      <c r="W41" s="82">
        <f>(AB30+AB56)/1507.5</f>
        <v>11374.943946932006</v>
      </c>
      <c r="X41" s="571"/>
      <c r="Z41" s="302">
        <f>SUM(AB40)</f>
        <v>15864.232065479056</v>
      </c>
      <c r="AA41" s="301"/>
      <c r="AB41" s="301"/>
    </row>
    <row r="42" spans="1:32">
      <c r="V42" s="17"/>
      <c r="W42" s="82">
        <f>SUM(W40:W41)</f>
        <v>15864.232065479056</v>
      </c>
      <c r="X42" s="571"/>
      <c r="Y42" s="82"/>
      <c r="Z42" s="302">
        <f>SUM(-tanks!AX37)*tanks!AU37</f>
        <v>15175.547677419347</v>
      </c>
      <c r="AA42" s="101">
        <f>SUM(AB31/A37)</f>
        <v>824666.54616240272</v>
      </c>
      <c r="AB42" s="358">
        <f>SUM(AA42*A39)</f>
        <v>25564662.931034483</v>
      </c>
    </row>
    <row r="43" spans="1:32" ht="18.75">
      <c r="W43" s="82">
        <f>(AB30+AB56)/1507.5</f>
        <v>11374.943946932006</v>
      </c>
      <c r="Z43" s="282">
        <f>SUM(Z41:Z42)</f>
        <v>31039.779742898405</v>
      </c>
      <c r="AA43" s="301">
        <f>SUM(AA42/1507.5)</f>
        <v>547.04248501651921</v>
      </c>
      <c r="AB43" s="357">
        <f>SUM(AB42/1507.5)</f>
        <v>16958.317035512096</v>
      </c>
    </row>
    <row r="44" spans="1:32">
      <c r="D44" s="534"/>
      <c r="E44" s="534"/>
      <c r="F44" s="534"/>
      <c r="W44" s="82">
        <f>SUM(W42:W43)</f>
        <v>27239.176012411062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74"/>
      <c r="W47" s="575"/>
      <c r="X47" s="17"/>
      <c r="Y47" s="17"/>
      <c r="Z47" s="576"/>
      <c r="AA47" s="17"/>
      <c r="AB47" s="681"/>
      <c r="AC47" s="681"/>
      <c r="AD47" s="17"/>
      <c r="AE47" s="17"/>
      <c r="AF47" s="17"/>
    </row>
    <row r="48" spans="1:32">
      <c r="V48" s="681"/>
      <c r="W48" s="681"/>
      <c r="X48" s="681"/>
      <c r="Y48" s="681"/>
      <c r="Z48" s="576"/>
      <c r="AA48" s="576"/>
      <c r="AB48" s="681"/>
      <c r="AC48" s="681"/>
      <c r="AD48" s="17"/>
      <c r="AE48" s="17"/>
      <c r="AF48" s="17"/>
    </row>
    <row r="49" spans="22:32">
      <c r="V49" s="681"/>
      <c r="W49" s="681"/>
      <c r="X49" s="681"/>
      <c r="Y49" s="681"/>
      <c r="Z49" s="681"/>
      <c r="AA49" s="681"/>
      <c r="AB49" s="681"/>
      <c r="AC49" s="681"/>
      <c r="AD49" s="17"/>
      <c r="AE49" s="17"/>
      <c r="AF49" s="17"/>
    </row>
    <row r="50" spans="22:32">
      <c r="V50" s="682"/>
      <c r="W50" s="682"/>
      <c r="X50" s="683"/>
      <c r="Y50" s="683"/>
      <c r="Z50" s="683"/>
      <c r="AA50" s="577"/>
      <c r="AB50" s="681"/>
      <c r="AC50" s="681"/>
      <c r="AD50" s="17"/>
      <c r="AE50" s="17"/>
      <c r="AF50" s="17"/>
    </row>
    <row r="51" spans="22:32">
      <c r="V51" s="574"/>
      <c r="W51" s="574"/>
      <c r="X51" s="574"/>
      <c r="Y51" s="574"/>
      <c r="Z51" s="574"/>
      <c r="AA51" s="574"/>
      <c r="AB51" s="574"/>
      <c r="AC51" s="578"/>
      <c r="AD51" s="17"/>
      <c r="AE51" s="17"/>
      <c r="AF51" s="17"/>
    </row>
    <row r="52" spans="22:32">
      <c r="V52" s="577"/>
      <c r="W52" s="577"/>
      <c r="X52" s="579"/>
      <c r="Y52" s="579"/>
      <c r="Z52" s="579"/>
      <c r="AA52" s="73"/>
      <c r="AB52" s="73"/>
      <c r="AC52" s="73"/>
      <c r="AD52" s="580"/>
      <c r="AE52" s="17"/>
      <c r="AF52" s="17"/>
    </row>
    <row r="53" spans="22:32">
      <c r="V53" s="577"/>
      <c r="W53" s="577"/>
      <c r="X53" s="579"/>
      <c r="Y53" s="579"/>
      <c r="Z53" s="579"/>
      <c r="AA53" s="73"/>
      <c r="AB53" s="73"/>
      <c r="AC53" s="73"/>
      <c r="AD53" s="580"/>
      <c r="AE53" s="17"/>
      <c r="AF53" s="17"/>
    </row>
    <row r="54" spans="22:32">
      <c r="V54" s="577"/>
      <c r="W54" s="577"/>
      <c r="X54" s="579"/>
      <c r="Y54" s="579"/>
      <c r="Z54" s="579"/>
      <c r="AA54" s="73"/>
      <c r="AB54" s="73"/>
      <c r="AC54" s="73"/>
      <c r="AD54" s="580"/>
      <c r="AE54" s="581"/>
      <c r="AF54" s="582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83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84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5"/>
      <c r="AB61" s="586"/>
      <c r="AC61" s="587"/>
      <c r="AD61" s="17"/>
      <c r="AE61" s="17"/>
      <c r="AF61" s="17"/>
    </row>
    <row r="62" spans="22:32">
      <c r="V62" s="17"/>
      <c r="W62" s="17"/>
      <c r="X62" s="17"/>
      <c r="Y62" s="17"/>
      <c r="Z62" s="17"/>
      <c r="AA62" s="588"/>
      <c r="AB62" s="586"/>
      <c r="AC62" s="587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86"/>
      <c r="AC63" s="587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89"/>
      <c r="AC64" s="17"/>
      <c r="AD64" s="17"/>
      <c r="AE64" s="17"/>
      <c r="AF64" s="17"/>
    </row>
    <row r="65" spans="22:32">
      <c r="V65" s="220"/>
      <c r="W65" s="582"/>
      <c r="X65" s="17"/>
      <c r="Y65" s="17"/>
      <c r="Z65" s="581"/>
      <c r="AA65" s="590"/>
      <c r="AB65" s="579"/>
      <c r="AC65" s="17"/>
      <c r="AD65" s="17"/>
      <c r="AE65" s="17"/>
      <c r="AF65" s="17"/>
    </row>
    <row r="66" spans="22:32">
      <c r="V66" s="220"/>
      <c r="W66" s="582"/>
      <c r="X66" s="17"/>
      <c r="Y66" s="17"/>
      <c r="Z66" s="433"/>
      <c r="AA66" s="579"/>
      <c r="AB66" s="579"/>
      <c r="AC66" s="17"/>
      <c r="AD66" s="17"/>
      <c r="AE66" s="17"/>
      <c r="AF66" s="17"/>
    </row>
    <row r="67" spans="22:32">
      <c r="V67" s="17"/>
      <c r="W67" s="582"/>
      <c r="X67" s="17"/>
      <c r="Y67" s="582"/>
      <c r="Z67" s="433"/>
      <c r="AA67" s="579"/>
      <c r="AB67" s="591"/>
      <c r="AC67" s="17"/>
      <c r="AD67" s="17"/>
      <c r="AE67" s="17"/>
      <c r="AF67" s="17"/>
    </row>
    <row r="68" spans="22:32" ht="18.75">
      <c r="V68" s="17"/>
      <c r="W68" s="582"/>
      <c r="X68" s="17"/>
      <c r="Y68" s="17"/>
      <c r="Z68" s="592"/>
      <c r="AA68" s="579"/>
      <c r="AB68" s="593"/>
      <c r="AC68" s="17"/>
      <c r="AD68" s="17"/>
      <c r="AE68" s="17"/>
      <c r="AF68" s="17"/>
    </row>
    <row r="69" spans="22:32">
      <c r="V69" s="17"/>
      <c r="W69" s="582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79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B33" sqref="B33:G34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320</v>
      </c>
      <c r="C1" s="697"/>
      <c r="D1" s="699"/>
      <c r="E1" s="696" t="s">
        <v>321</v>
      </c>
      <c r="F1" s="697"/>
      <c r="G1" s="698"/>
      <c r="H1" s="693" t="s">
        <v>326</v>
      </c>
      <c r="I1" s="690" t="s">
        <v>327</v>
      </c>
      <c r="J1" s="687" t="s">
        <v>43</v>
      </c>
    </row>
    <row r="2" spans="1:18" ht="38.25" thickBot="1">
      <c r="A2" s="685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4"/>
      <c r="I2" s="691"/>
      <c r="J2" s="688"/>
    </row>
    <row r="3" spans="1:18" ht="24" customHeight="1" thickBot="1">
      <c r="A3" s="686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5"/>
      <c r="I3" s="692"/>
      <c r="J3" s="689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v>6541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5">
        <v>2.5</v>
      </c>
      <c r="C6" s="566">
        <v>7.8</v>
      </c>
      <c r="D6" s="567">
        <v>28</v>
      </c>
      <c r="E6" s="567">
        <v>2.5</v>
      </c>
      <c r="F6" s="567">
        <v>8</v>
      </c>
      <c r="G6" s="567">
        <v>35</v>
      </c>
      <c r="H6" s="567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v>6543</v>
      </c>
      <c r="N6" s="524">
        <v>487</v>
      </c>
      <c r="O6" s="524">
        <f t="shared" ref="O6:O35" si="1">M6+N6</f>
        <v>7030</v>
      </c>
    </row>
    <row r="7" spans="1:18" ht="15.75" thickBot="1">
      <c r="A7" s="244">
        <f>ELEC!C4</f>
        <v>44045</v>
      </c>
      <c r="B7" s="553">
        <v>25</v>
      </c>
      <c r="C7" s="564">
        <v>7.8</v>
      </c>
      <c r="D7" s="170">
        <v>28</v>
      </c>
      <c r="E7" s="170">
        <v>2</v>
      </c>
      <c r="F7" s="170">
        <v>8</v>
      </c>
      <c r="G7" s="170">
        <v>35</v>
      </c>
      <c r="H7" s="567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v>6550</v>
      </c>
      <c r="N7" s="524">
        <v>487</v>
      </c>
      <c r="O7" s="524">
        <f t="shared" si="1"/>
        <v>7037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67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v>6555</v>
      </c>
      <c r="N8" s="524">
        <v>487</v>
      </c>
      <c r="O8" s="524">
        <f t="shared" si="1"/>
        <v>7042</v>
      </c>
    </row>
    <row r="9" spans="1:18" ht="15.75" thickBot="1">
      <c r="A9" s="244">
        <f>ELEC!C6</f>
        <v>44047</v>
      </c>
      <c r="B9" s="553" t="s">
        <v>417</v>
      </c>
      <c r="C9" s="553" t="s">
        <v>417</v>
      </c>
      <c r="D9" s="553" t="s">
        <v>417</v>
      </c>
      <c r="E9" s="553" t="s">
        <v>417</v>
      </c>
      <c r="F9" s="553" t="s">
        <v>417</v>
      </c>
      <c r="G9" s="553" t="s">
        <v>417</v>
      </c>
      <c r="H9" s="567">
        <f t="shared" ref="H9:H36" si="3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ref="M9:M36" si="4">M8</f>
        <v>6555</v>
      </c>
      <c r="N9" s="524">
        <v>487</v>
      </c>
      <c r="O9" s="524">
        <f t="shared" si="1"/>
        <v>7042</v>
      </c>
    </row>
    <row r="10" spans="1:18" ht="15.75" thickBot="1">
      <c r="A10" s="244">
        <f>ELEC!C7</f>
        <v>44048</v>
      </c>
      <c r="B10" s="553" t="s">
        <v>417</v>
      </c>
      <c r="C10" s="553" t="s">
        <v>417</v>
      </c>
      <c r="D10" s="553" t="s">
        <v>417</v>
      </c>
      <c r="E10" s="553" t="s">
        <v>417</v>
      </c>
      <c r="F10" s="553" t="s">
        <v>417</v>
      </c>
      <c r="G10" s="553" t="s">
        <v>417</v>
      </c>
      <c r="H10" s="567">
        <f t="shared" si="3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4"/>
        <v>6555</v>
      </c>
      <c r="N10" s="524">
        <v>487</v>
      </c>
      <c r="O10" s="524">
        <f t="shared" si="1"/>
        <v>7042</v>
      </c>
    </row>
    <row r="11" spans="1:18" ht="15.75" thickBot="1">
      <c r="A11" s="244">
        <f>ELEC!C8</f>
        <v>44049</v>
      </c>
      <c r="B11" s="553" t="s">
        <v>417</v>
      </c>
      <c r="C11" s="553" t="s">
        <v>417</v>
      </c>
      <c r="D11" s="553" t="s">
        <v>417</v>
      </c>
      <c r="E11" s="553" t="s">
        <v>417</v>
      </c>
      <c r="F11" s="553" t="s">
        <v>417</v>
      </c>
      <c r="G11" s="553" t="s">
        <v>417</v>
      </c>
      <c r="H11" s="567">
        <f t="shared" si="3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4"/>
        <v>6555</v>
      </c>
      <c r="N11" s="524">
        <v>487</v>
      </c>
      <c r="O11" s="524">
        <f t="shared" si="1"/>
        <v>7042</v>
      </c>
    </row>
    <row r="12" spans="1:18" ht="16.5" thickBot="1">
      <c r="A12" s="244">
        <f>ELEC!C9</f>
        <v>44050</v>
      </c>
      <c r="B12" s="553" t="s">
        <v>417</v>
      </c>
      <c r="C12" s="553" t="s">
        <v>417</v>
      </c>
      <c r="D12" s="553" t="s">
        <v>417</v>
      </c>
      <c r="E12" s="553" t="s">
        <v>417</v>
      </c>
      <c r="F12" s="553" t="s">
        <v>417</v>
      </c>
      <c r="G12" s="553" t="s">
        <v>417</v>
      </c>
      <c r="H12" s="567">
        <f t="shared" si="3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4"/>
        <v>6555</v>
      </c>
      <c r="N12" s="524">
        <v>487</v>
      </c>
      <c r="O12" s="524">
        <f t="shared" si="1"/>
        <v>7042</v>
      </c>
      <c r="P12" s="450"/>
      <c r="Q12" s="368"/>
      <c r="R12" s="368"/>
    </row>
    <row r="13" spans="1:18" ht="15.75" thickBot="1">
      <c r="A13" s="244">
        <f>ELEC!C10</f>
        <v>44051</v>
      </c>
      <c r="B13" s="553" t="s">
        <v>417</v>
      </c>
      <c r="C13" s="553" t="s">
        <v>417</v>
      </c>
      <c r="D13" s="553" t="s">
        <v>417</v>
      </c>
      <c r="E13" s="553" t="s">
        <v>417</v>
      </c>
      <c r="F13" s="553" t="s">
        <v>417</v>
      </c>
      <c r="G13" s="553" t="s">
        <v>417</v>
      </c>
      <c r="H13" s="567">
        <f t="shared" si="3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4"/>
        <v>6555</v>
      </c>
      <c r="N13" s="524">
        <v>487</v>
      </c>
      <c r="O13" s="524">
        <f t="shared" si="1"/>
        <v>7042</v>
      </c>
    </row>
    <row r="14" spans="1:18" ht="15.75" thickBot="1">
      <c r="A14" s="244">
        <f>ELEC!C11</f>
        <v>44052</v>
      </c>
      <c r="B14" s="553" t="s">
        <v>417</v>
      </c>
      <c r="C14" s="553" t="s">
        <v>417</v>
      </c>
      <c r="D14" s="553" t="s">
        <v>417</v>
      </c>
      <c r="E14" s="553" t="s">
        <v>417</v>
      </c>
      <c r="F14" s="553" t="s">
        <v>417</v>
      </c>
      <c r="G14" s="553" t="s">
        <v>417</v>
      </c>
      <c r="H14" s="567">
        <f t="shared" si="3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4"/>
        <v>6555</v>
      </c>
      <c r="N14" s="524">
        <v>487</v>
      </c>
      <c r="O14" s="524">
        <f t="shared" si="1"/>
        <v>7042</v>
      </c>
    </row>
    <row r="15" spans="1:18" ht="15.75" thickBot="1">
      <c r="A15" s="244">
        <f>ELEC!C12</f>
        <v>44053</v>
      </c>
      <c r="B15" s="553" t="s">
        <v>417</v>
      </c>
      <c r="C15" s="553" t="s">
        <v>417</v>
      </c>
      <c r="D15" s="553" t="s">
        <v>417</v>
      </c>
      <c r="E15" s="553" t="s">
        <v>417</v>
      </c>
      <c r="F15" s="553" t="s">
        <v>417</v>
      </c>
      <c r="G15" s="553" t="s">
        <v>417</v>
      </c>
      <c r="H15" s="567">
        <f t="shared" si="3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4"/>
        <v>6555</v>
      </c>
      <c r="N15" s="524">
        <v>487</v>
      </c>
      <c r="O15" s="524">
        <f t="shared" si="1"/>
        <v>7042</v>
      </c>
    </row>
    <row r="16" spans="1:18" ht="15.75" thickBot="1">
      <c r="A16" s="244">
        <f>ELEC!C13</f>
        <v>44054</v>
      </c>
      <c r="B16" s="553" t="s">
        <v>417</v>
      </c>
      <c r="C16" s="553" t="s">
        <v>417</v>
      </c>
      <c r="D16" s="553" t="s">
        <v>417</v>
      </c>
      <c r="E16" s="553" t="s">
        <v>417</v>
      </c>
      <c r="F16" s="553" t="s">
        <v>417</v>
      </c>
      <c r="G16" s="553" t="s">
        <v>417</v>
      </c>
      <c r="H16" s="567">
        <f t="shared" si="3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4"/>
        <v>6555</v>
      </c>
      <c r="N16" s="524">
        <v>487</v>
      </c>
      <c r="O16" s="524">
        <f t="shared" si="1"/>
        <v>7042</v>
      </c>
    </row>
    <row r="17" spans="1:17" ht="15.75" thickBot="1">
      <c r="A17" s="244">
        <f>ELEC!C14</f>
        <v>44055</v>
      </c>
      <c r="B17" s="553" t="s">
        <v>417</v>
      </c>
      <c r="C17" s="553" t="s">
        <v>417</v>
      </c>
      <c r="D17" s="553" t="s">
        <v>417</v>
      </c>
      <c r="E17" s="553" t="s">
        <v>417</v>
      </c>
      <c r="F17" s="553" t="s">
        <v>417</v>
      </c>
      <c r="G17" s="553" t="s">
        <v>417</v>
      </c>
      <c r="H17" s="567">
        <f t="shared" si="3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4"/>
        <v>6555</v>
      </c>
      <c r="N17" s="524">
        <v>487</v>
      </c>
      <c r="O17" s="524">
        <f t="shared" si="1"/>
        <v>7042</v>
      </c>
    </row>
    <row r="18" spans="1:17" ht="15.75" thickBot="1">
      <c r="A18" s="244">
        <f>ELEC!C15</f>
        <v>44056</v>
      </c>
      <c r="B18" s="553" t="s">
        <v>417</v>
      </c>
      <c r="C18" s="553" t="s">
        <v>417</v>
      </c>
      <c r="D18" s="553" t="s">
        <v>417</v>
      </c>
      <c r="E18" s="553" t="s">
        <v>417</v>
      </c>
      <c r="F18" s="553" t="s">
        <v>417</v>
      </c>
      <c r="G18" s="553" t="s">
        <v>417</v>
      </c>
      <c r="H18" s="567">
        <f t="shared" si="3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4"/>
        <v>6555</v>
      </c>
      <c r="N18" s="524">
        <v>487</v>
      </c>
      <c r="O18" s="524">
        <f t="shared" si="1"/>
        <v>7042</v>
      </c>
    </row>
    <row r="19" spans="1:17" ht="15.75" thickBot="1">
      <c r="A19" s="244">
        <f>ELEC!C16</f>
        <v>44057</v>
      </c>
      <c r="B19" s="553" t="s">
        <v>417</v>
      </c>
      <c r="C19" s="553" t="s">
        <v>417</v>
      </c>
      <c r="D19" s="553" t="s">
        <v>417</v>
      </c>
      <c r="E19" s="553" t="s">
        <v>417</v>
      </c>
      <c r="F19" s="553" t="s">
        <v>417</v>
      </c>
      <c r="G19" s="553" t="s">
        <v>417</v>
      </c>
      <c r="H19" s="567">
        <f t="shared" si="3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4"/>
        <v>6555</v>
      </c>
      <c r="N19" s="524">
        <v>487</v>
      </c>
      <c r="O19" s="524">
        <f t="shared" si="1"/>
        <v>7042</v>
      </c>
    </row>
    <row r="20" spans="1:17" ht="15.75" thickBot="1">
      <c r="A20" s="244">
        <f>ELEC!C17</f>
        <v>44058</v>
      </c>
      <c r="B20" s="553" t="s">
        <v>417</v>
      </c>
      <c r="C20" s="553" t="s">
        <v>417</v>
      </c>
      <c r="D20" s="553" t="s">
        <v>417</v>
      </c>
      <c r="E20" s="553" t="s">
        <v>417</v>
      </c>
      <c r="F20" s="553" t="s">
        <v>417</v>
      </c>
      <c r="G20" s="553" t="s">
        <v>417</v>
      </c>
      <c r="H20" s="567">
        <f t="shared" si="3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4"/>
        <v>6555</v>
      </c>
      <c r="N20" s="524">
        <v>487</v>
      </c>
      <c r="O20" s="524">
        <f t="shared" si="1"/>
        <v>7042</v>
      </c>
    </row>
    <row r="21" spans="1:17" ht="15.75" thickBot="1">
      <c r="A21" s="244">
        <f>ELEC!C18</f>
        <v>44059</v>
      </c>
      <c r="B21" s="553" t="s">
        <v>417</v>
      </c>
      <c r="C21" s="553" t="s">
        <v>417</v>
      </c>
      <c r="D21" s="553" t="s">
        <v>417</v>
      </c>
      <c r="E21" s="553" t="s">
        <v>417</v>
      </c>
      <c r="F21" s="553" t="s">
        <v>417</v>
      </c>
      <c r="G21" s="553" t="s">
        <v>417</v>
      </c>
      <c r="H21" s="567">
        <f t="shared" si="3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4"/>
        <v>6555</v>
      </c>
      <c r="N21" s="524">
        <v>487</v>
      </c>
      <c r="O21" s="524">
        <f t="shared" si="1"/>
        <v>7042</v>
      </c>
    </row>
    <row r="22" spans="1:17" ht="15.75" thickBot="1">
      <c r="A22" s="244">
        <f>ELEC!C19</f>
        <v>44060</v>
      </c>
      <c r="B22" s="553" t="s">
        <v>417</v>
      </c>
      <c r="C22" s="553" t="s">
        <v>417</v>
      </c>
      <c r="D22" s="553" t="s">
        <v>417</v>
      </c>
      <c r="E22" s="553" t="s">
        <v>417</v>
      </c>
      <c r="F22" s="553" t="s">
        <v>417</v>
      </c>
      <c r="G22" s="553" t="s">
        <v>417</v>
      </c>
      <c r="H22" s="567">
        <f t="shared" si="3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4"/>
        <v>6555</v>
      </c>
      <c r="N22" s="524">
        <v>487</v>
      </c>
      <c r="O22" s="524">
        <f t="shared" si="1"/>
        <v>7042</v>
      </c>
    </row>
    <row r="23" spans="1:17" ht="15.75" thickBot="1">
      <c r="A23" s="244">
        <f>ELEC!C20</f>
        <v>44061</v>
      </c>
      <c r="B23" s="553" t="s">
        <v>417</v>
      </c>
      <c r="C23" s="553" t="s">
        <v>417</v>
      </c>
      <c r="D23" s="553" t="s">
        <v>417</v>
      </c>
      <c r="E23" s="553" t="s">
        <v>417</v>
      </c>
      <c r="F23" s="553" t="s">
        <v>417</v>
      </c>
      <c r="G23" s="553" t="s">
        <v>417</v>
      </c>
      <c r="H23" s="567">
        <f t="shared" si="3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4"/>
        <v>6555</v>
      </c>
      <c r="N23" s="524">
        <v>487</v>
      </c>
      <c r="O23" s="524">
        <f t="shared" si="1"/>
        <v>7042</v>
      </c>
    </row>
    <row r="24" spans="1:17" ht="15.75" thickBot="1">
      <c r="A24" s="244">
        <f>ELEC!C21</f>
        <v>44062</v>
      </c>
      <c r="B24" s="553" t="s">
        <v>417</v>
      </c>
      <c r="C24" s="553" t="s">
        <v>417</v>
      </c>
      <c r="D24" s="553" t="s">
        <v>417</v>
      </c>
      <c r="E24" s="553" t="s">
        <v>417</v>
      </c>
      <c r="F24" s="553" t="s">
        <v>417</v>
      </c>
      <c r="G24" s="553" t="s">
        <v>417</v>
      </c>
      <c r="H24" s="567">
        <f t="shared" si="3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4"/>
        <v>6555</v>
      </c>
      <c r="N24" s="524">
        <v>487</v>
      </c>
      <c r="O24" s="524">
        <f t="shared" si="1"/>
        <v>7042</v>
      </c>
    </row>
    <row r="25" spans="1:17" ht="15.75" thickBot="1">
      <c r="A25" s="244">
        <f>ELEC!C22</f>
        <v>44063</v>
      </c>
      <c r="B25" s="553" t="s">
        <v>417</v>
      </c>
      <c r="C25" s="553" t="s">
        <v>417</v>
      </c>
      <c r="D25" s="553" t="s">
        <v>417</v>
      </c>
      <c r="E25" s="553" t="s">
        <v>417</v>
      </c>
      <c r="F25" s="553" t="s">
        <v>417</v>
      </c>
      <c r="G25" s="553" t="s">
        <v>417</v>
      </c>
      <c r="H25" s="567">
        <f t="shared" si="3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4"/>
        <v>6555</v>
      </c>
      <c r="N25" s="524">
        <v>487</v>
      </c>
      <c r="O25" s="524">
        <f t="shared" si="1"/>
        <v>7042</v>
      </c>
    </row>
    <row r="26" spans="1:17" ht="15.75" thickBot="1">
      <c r="A26" s="244">
        <f>ELEC!C23</f>
        <v>44064</v>
      </c>
      <c r="B26" s="553" t="s">
        <v>417</v>
      </c>
      <c r="C26" s="553" t="s">
        <v>417</v>
      </c>
      <c r="D26" s="553" t="s">
        <v>417</v>
      </c>
      <c r="E26" s="553" t="s">
        <v>417</v>
      </c>
      <c r="F26" s="553" t="s">
        <v>417</v>
      </c>
      <c r="G26" s="553" t="s">
        <v>417</v>
      </c>
      <c r="H26" s="567">
        <f t="shared" si="3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4"/>
        <v>6555</v>
      </c>
      <c r="N26" s="524">
        <v>487</v>
      </c>
      <c r="O26" s="524">
        <f t="shared" si="1"/>
        <v>7042</v>
      </c>
    </row>
    <row r="27" spans="1:17" ht="15.75" thickBot="1">
      <c r="A27" s="244">
        <f>ELEC!C24</f>
        <v>44065</v>
      </c>
      <c r="B27" s="553" t="s">
        <v>417</v>
      </c>
      <c r="C27" s="553" t="s">
        <v>417</v>
      </c>
      <c r="D27" s="553" t="s">
        <v>417</v>
      </c>
      <c r="E27" s="553" t="s">
        <v>417</v>
      </c>
      <c r="F27" s="553" t="s">
        <v>417</v>
      </c>
      <c r="G27" s="553" t="s">
        <v>417</v>
      </c>
      <c r="H27" s="567">
        <f t="shared" si="3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4"/>
        <v>6555</v>
      </c>
      <c r="N27" s="3">
        <v>642</v>
      </c>
      <c r="O27" s="524">
        <f t="shared" si="1"/>
        <v>7197</v>
      </c>
    </row>
    <row r="28" spans="1:17" ht="15.75" thickBot="1">
      <c r="A28" s="244">
        <f>ELEC!C25</f>
        <v>44066</v>
      </c>
      <c r="B28" s="553" t="s">
        <v>417</v>
      </c>
      <c r="C28" s="553" t="s">
        <v>417</v>
      </c>
      <c r="D28" s="553" t="s">
        <v>417</v>
      </c>
      <c r="E28" s="553" t="s">
        <v>417</v>
      </c>
      <c r="F28" s="553" t="s">
        <v>417</v>
      </c>
      <c r="G28" s="553" t="s">
        <v>417</v>
      </c>
      <c r="H28" s="567">
        <f t="shared" si="3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4"/>
        <v>6555</v>
      </c>
      <c r="N28" s="3">
        <v>642</v>
      </c>
      <c r="O28" s="524">
        <f t="shared" si="1"/>
        <v>7197</v>
      </c>
    </row>
    <row r="29" spans="1:17" ht="15.75" thickBot="1">
      <c r="A29" s="244">
        <f>ELEC!C26</f>
        <v>44067</v>
      </c>
      <c r="B29" s="553" t="s">
        <v>417</v>
      </c>
      <c r="C29" s="553" t="s">
        <v>417</v>
      </c>
      <c r="D29" s="553" t="s">
        <v>417</v>
      </c>
      <c r="E29" s="553" t="s">
        <v>417</v>
      </c>
      <c r="F29" s="553" t="s">
        <v>417</v>
      </c>
      <c r="G29" s="553" t="s">
        <v>417</v>
      </c>
      <c r="H29" s="567">
        <f t="shared" si="3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4"/>
        <v>6555</v>
      </c>
      <c r="N29" s="3">
        <v>642</v>
      </c>
      <c r="O29" s="524">
        <f t="shared" si="1"/>
        <v>7197</v>
      </c>
    </row>
    <row r="30" spans="1:17" ht="15.75" thickBot="1">
      <c r="A30" s="244">
        <f>ELEC!C27</f>
        <v>44068</v>
      </c>
      <c r="B30" s="553" t="s">
        <v>417</v>
      </c>
      <c r="C30" s="553" t="s">
        <v>417</v>
      </c>
      <c r="D30" s="553" t="s">
        <v>417</v>
      </c>
      <c r="E30" s="553" t="s">
        <v>417</v>
      </c>
      <c r="F30" s="553" t="s">
        <v>417</v>
      </c>
      <c r="G30" s="553" t="s">
        <v>417</v>
      </c>
      <c r="H30" s="567">
        <f t="shared" si="3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4"/>
        <v>6555</v>
      </c>
      <c r="N30" s="3">
        <v>642</v>
      </c>
      <c r="O30" s="524">
        <f t="shared" si="1"/>
        <v>7197</v>
      </c>
    </row>
    <row r="31" spans="1:17" ht="15.75" thickBot="1">
      <c r="A31" s="244">
        <f>ELEC!C28</f>
        <v>44069</v>
      </c>
      <c r="B31" s="553" t="s">
        <v>417</v>
      </c>
      <c r="C31" s="553" t="s">
        <v>417</v>
      </c>
      <c r="D31" s="553" t="s">
        <v>417</v>
      </c>
      <c r="E31" s="553" t="s">
        <v>417</v>
      </c>
      <c r="F31" s="553" t="s">
        <v>417</v>
      </c>
      <c r="G31" s="553" t="s">
        <v>417</v>
      </c>
      <c r="H31" s="567">
        <f t="shared" si="3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4"/>
        <v>6555</v>
      </c>
      <c r="N31" s="3">
        <v>642</v>
      </c>
      <c r="O31" s="524">
        <f t="shared" si="1"/>
        <v>7197</v>
      </c>
    </row>
    <row r="32" spans="1:17" ht="15.75" thickBot="1">
      <c r="A32" s="244">
        <f>ELEC!C29</f>
        <v>44070</v>
      </c>
      <c r="B32" s="553" t="s">
        <v>417</v>
      </c>
      <c r="C32" s="553" t="s">
        <v>417</v>
      </c>
      <c r="D32" s="553" t="s">
        <v>417</v>
      </c>
      <c r="E32" s="553" t="s">
        <v>417</v>
      </c>
      <c r="F32" s="553" t="s">
        <v>417</v>
      </c>
      <c r="G32" s="553" t="s">
        <v>417</v>
      </c>
      <c r="H32" s="567">
        <f t="shared" si="3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4"/>
        <v>6555</v>
      </c>
      <c r="N32" s="3">
        <v>642</v>
      </c>
      <c r="O32" s="524">
        <f t="shared" si="1"/>
        <v>7197</v>
      </c>
    </row>
    <row r="33" spans="1:15" ht="15.75" thickBot="1">
      <c r="A33" s="244">
        <f>ELEC!C30</f>
        <v>44071</v>
      </c>
      <c r="B33" s="553" t="s">
        <v>417</v>
      </c>
      <c r="C33" s="553" t="s">
        <v>417</v>
      </c>
      <c r="D33" s="553" t="s">
        <v>417</v>
      </c>
      <c r="E33" s="553" t="s">
        <v>417</v>
      </c>
      <c r="F33" s="553" t="s">
        <v>417</v>
      </c>
      <c r="G33" s="553" t="s">
        <v>417</v>
      </c>
      <c r="H33" s="567">
        <f t="shared" si="3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4"/>
        <v>6555</v>
      </c>
      <c r="N33" s="3">
        <v>642</v>
      </c>
      <c r="O33" s="524">
        <f t="shared" si="1"/>
        <v>7197</v>
      </c>
    </row>
    <row r="34" spans="1:15" ht="15.75" thickBot="1">
      <c r="A34" s="244">
        <f>ELEC!C31</f>
        <v>44072</v>
      </c>
      <c r="B34" s="553" t="s">
        <v>417</v>
      </c>
      <c r="C34" s="553" t="s">
        <v>417</v>
      </c>
      <c r="D34" s="553" t="s">
        <v>417</v>
      </c>
      <c r="E34" s="553" t="s">
        <v>417</v>
      </c>
      <c r="F34" s="553" t="s">
        <v>417</v>
      </c>
      <c r="G34" s="553" t="s">
        <v>417</v>
      </c>
      <c r="H34" s="567">
        <f t="shared" si="3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4"/>
        <v>6555</v>
      </c>
      <c r="N34" s="3">
        <v>642</v>
      </c>
      <c r="O34" s="524">
        <f t="shared" si="1"/>
        <v>7197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67">
        <f t="shared" si="3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4"/>
        <v>6555</v>
      </c>
      <c r="N35" s="3">
        <v>642</v>
      </c>
      <c r="O35" s="524">
        <f t="shared" si="1"/>
        <v>7197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67">
        <f t="shared" si="3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4"/>
        <v>6555</v>
      </c>
      <c r="N36" s="3">
        <v>642</v>
      </c>
      <c r="O36" s="524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411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-36.6</v>
      </c>
      <c r="AB17" s="278">
        <f>G81</f>
        <v>284.29999999999984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-444.4</v>
      </c>
      <c r="AB23" s="134">
        <f>SUM(AB10:AB22)</f>
        <v>933.99999999999966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31</v>
      </c>
      <c r="G54" s="278">
        <f>'General information '!C12</f>
        <v>23</v>
      </c>
      <c r="H54" s="119">
        <f t="shared" si="9"/>
        <v>8.6999999999999993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33</v>
      </c>
      <c r="G55" s="278">
        <f>'General information '!C13</f>
        <v>24</v>
      </c>
      <c r="H55" s="119">
        <f t="shared" si="9"/>
        <v>10.199999999999999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31</v>
      </c>
      <c r="G56" s="278">
        <f>'General information '!C14</f>
        <v>27</v>
      </c>
      <c r="H56" s="119">
        <f t="shared" si="9"/>
        <v>10.7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31</v>
      </c>
      <c r="G57" s="278">
        <f>'General information '!C15</f>
        <v>23</v>
      </c>
      <c r="H57" s="119">
        <f t="shared" si="9"/>
        <v>8.6999999999999993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30</v>
      </c>
      <c r="G58" s="278">
        <f>'General information '!C16</f>
        <v>27</v>
      </c>
      <c r="H58" s="119">
        <f t="shared" si="9"/>
        <v>10.199999999999999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30</v>
      </c>
      <c r="G59" s="278">
        <f>'General information '!C17</f>
        <v>26</v>
      </c>
      <c r="H59" s="119">
        <f t="shared" si="9"/>
        <v>9.6999999999999993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32</v>
      </c>
      <c r="G60" s="278">
        <f>'General information '!C18</f>
        <v>23</v>
      </c>
      <c r="H60" s="119">
        <f t="shared" si="9"/>
        <v>9.1999999999999993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31</v>
      </c>
      <c r="G61" s="278">
        <f>'General information '!C19</f>
        <v>24</v>
      </c>
      <c r="H61" s="119">
        <f t="shared" si="9"/>
        <v>9.1999999999999993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31</v>
      </c>
      <c r="G62" s="278">
        <f>'General information '!C20</f>
        <v>24</v>
      </c>
      <c r="H62" s="119">
        <f t="shared" si="9"/>
        <v>9.1999999999999993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31</v>
      </c>
      <c r="G63" s="278">
        <f>'General information '!C21</f>
        <v>25</v>
      </c>
      <c r="H63" s="119">
        <f t="shared" si="9"/>
        <v>9.6999999999999993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31</v>
      </c>
      <c r="G64" s="278">
        <f>'General information '!C22</f>
        <v>26</v>
      </c>
      <c r="H64" s="119">
        <f t="shared" si="9"/>
        <v>10.199999999999999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30</v>
      </c>
      <c r="G65" s="278">
        <f>'General information '!C23</f>
        <v>26</v>
      </c>
      <c r="H65" s="119">
        <f t="shared" si="9"/>
        <v>9.6999999999999993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30</v>
      </c>
      <c r="G66" s="278">
        <f>'General information '!C24</f>
        <v>25</v>
      </c>
      <c r="H66" s="119">
        <f t="shared" si="9"/>
        <v>9.1999999999999993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30</v>
      </c>
      <c r="G67" s="278">
        <f>'General information '!C25</f>
        <v>25</v>
      </c>
      <c r="H67" s="119">
        <f t="shared" si="9"/>
        <v>9.1999999999999993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31</v>
      </c>
      <c r="G68" s="278">
        <f>'General information '!C26</f>
        <v>27</v>
      </c>
      <c r="H68" s="119">
        <f t="shared" si="9"/>
        <v>10.7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30</v>
      </c>
      <c r="G69" s="278">
        <f>'General information '!C27</f>
        <v>26</v>
      </c>
      <c r="H69" s="119">
        <f t="shared" si="9"/>
        <v>9.6999999999999993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32</v>
      </c>
      <c r="G70" s="278">
        <f>'General information '!C28</f>
        <v>26</v>
      </c>
      <c r="H70" s="119">
        <f t="shared" si="9"/>
        <v>10.7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32</v>
      </c>
      <c r="G71" s="278">
        <f>'General information '!C29</f>
        <v>27</v>
      </c>
      <c r="H71" s="119">
        <f t="shared" si="9"/>
        <v>11.2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34</v>
      </c>
      <c r="G72" s="278">
        <f>'General information '!C30</f>
        <v>18</v>
      </c>
      <c r="H72" s="119">
        <f t="shared" si="9"/>
        <v>7.6999999999999993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31</v>
      </c>
      <c r="G73" s="278">
        <f>'General information '!C31</f>
        <v>27</v>
      </c>
      <c r="H73" s="119">
        <f t="shared" si="9"/>
        <v>10.7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30</v>
      </c>
      <c r="G74" s="278">
        <f>'General information '!C32</f>
        <v>26</v>
      </c>
      <c r="H74" s="119">
        <f t="shared" si="9"/>
        <v>9.6999999999999993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30</v>
      </c>
      <c r="G75" s="278">
        <f>'General information '!C33</f>
        <v>26</v>
      </c>
      <c r="H75" s="119">
        <f t="shared" si="9"/>
        <v>9.6999999999999993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29</v>
      </c>
      <c r="G76" s="278">
        <f>'General information '!C34</f>
        <v>26</v>
      </c>
      <c r="H76" s="119">
        <f t="shared" si="9"/>
        <v>9.1999999999999993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-36.6</v>
      </c>
      <c r="G81" s="119">
        <f>SUMIF(H48:H78,"&gt;0")</f>
        <v>284.29999999999984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-2688.7000000000003</v>
      </c>
      <c r="O86" s="142">
        <f>C43+G43+K43+O43+S43+W43+C81+G81+K81+O81+S81+W81</f>
        <v>911.99999999999966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H12" sqref="H12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216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29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6.2</v>
      </c>
      <c r="F6" s="188">
        <f>SUM(E6*F4)</f>
        <v>179.8</v>
      </c>
      <c r="G6" s="189">
        <f>SUM(B6*C6)</f>
        <v>179.79999999999998</v>
      </c>
      <c r="H6" s="188">
        <f>10275.6-H7</f>
        <v>2775.6000000000004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2993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7016.1290322580644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39292</v>
      </c>
      <c r="C8" s="508">
        <f>SUM(tanks!AU37)</f>
        <v>0.53500000000000003</v>
      </c>
      <c r="D8" s="194">
        <f>SUM(B8*C8)*D4</f>
        <v>31689489.150000002</v>
      </c>
      <c r="E8" s="195">
        <f>SUM(D8/D4/F4)</f>
        <v>724.86965517241379</v>
      </c>
      <c r="F8" s="195">
        <f>SUM(E8*F4)</f>
        <v>21021.22</v>
      </c>
      <c r="G8" s="525">
        <f>E8*$F$4</f>
        <v>21021.22</v>
      </c>
      <c r="H8" s="192">
        <v>38045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7233.5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23915329.838709679</v>
      </c>
      <c r="E10" s="185">
        <f>SUM(D10/D4/F4)</f>
        <v>547.04248501651921</v>
      </c>
      <c r="F10" s="185">
        <f>SUM(E10*F4)</f>
        <v>15864.232065479056</v>
      </c>
      <c r="G10" s="525">
        <f>E10*$G$4</f>
        <v>16958.317035512096</v>
      </c>
      <c r="H10" s="192">
        <v>48374.400000000001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1520.0476240599007</v>
      </c>
      <c r="F12" s="183">
        <f>SUM(F6:F10)</f>
        <v>44081.381097737118</v>
      </c>
      <c r="G12" s="182">
        <f>SUM(G6:G10)</f>
        <v>45659.337035512101</v>
      </c>
      <c r="H12" s="182">
        <f>SUM(H6:H11)</f>
        <v>103928.5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284.29999999999984</v>
      </c>
      <c r="C14" s="445">
        <f>'[9]Utility Cost '!C14</f>
        <v>151</v>
      </c>
      <c r="D14" s="170"/>
      <c r="E14" s="170">
        <f t="shared" ref="E14:E18" si="0">B14-C14</f>
        <v>133.29999999999984</v>
      </c>
      <c r="F14" s="524">
        <v>0</v>
      </c>
      <c r="G14" s="433"/>
      <c r="H14" s="434">
        <f>SUM(G12-H12)</f>
        <v>-58269.162964487899</v>
      </c>
      <c r="I14" s="434">
        <f>SUM(G12-I12)</f>
        <v>-67340.662964487899</v>
      </c>
    </row>
    <row r="15" spans="1:11">
      <c r="A15" s="462" t="s">
        <v>303</v>
      </c>
      <c r="B15" s="97">
        <f>'Degree Days 2020'!AA17</f>
        <v>-36.6</v>
      </c>
      <c r="C15" s="445">
        <f>'[9]Utility Cost '!C15</f>
        <v>-18.3</v>
      </c>
      <c r="D15" s="170"/>
      <c r="E15" s="170">
        <f t="shared" si="0"/>
        <v>-18.3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6">
        <f>'General information '!D38</f>
        <v>28.103448275862068</v>
      </c>
      <c r="C16" s="445">
        <f>'[9]Utility Cost '!C16</f>
        <v>28.661290322580644</v>
      </c>
      <c r="D16" s="445"/>
      <c r="E16" s="446">
        <f t="shared" si="0"/>
        <v>-0.55784204671857651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0.10261000000000001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-0.72159000000000006</v>
      </c>
      <c r="F17" s="542">
        <f>B17-D17</f>
        <v>-0.54888999999999999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163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-25.200000000000728</v>
      </c>
      <c r="F18" s="543">
        <f>B18-D18</f>
        <v>-135.16666666666669</v>
      </c>
    </row>
    <row r="19" spans="1:10">
      <c r="A19" s="537" t="s">
        <v>413</v>
      </c>
      <c r="B19" s="535">
        <f>SUM(B18/$F$4)</f>
        <v>5.6206896551724137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2020-08-30T07:35:09Z</dcterms:modified>
</cp:coreProperties>
</file>