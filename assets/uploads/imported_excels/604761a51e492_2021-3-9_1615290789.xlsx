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FS Prague" sheetId="3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5" i="3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K2" i="1"/>
  <c r="I2" i="1"/>
  <c r="G2" i="1"/>
  <c r="E2" i="1"/>
  <c r="D36" i="3"/>
  <c r="C36" i="3"/>
  <c r="B36" i="3"/>
  <c r="H35" i="3"/>
  <c r="F35" i="3"/>
  <c r="D35" i="3"/>
  <c r="C35" i="3"/>
  <c r="B35" i="3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C38" i="3" l="1"/>
  <c r="B38" i="3"/>
  <c r="D38" i="3"/>
</calcChain>
</file>

<file path=xl/sharedStrings.xml><?xml version="1.0" encoding="utf-8"?>
<sst xmlns="http://schemas.openxmlformats.org/spreadsheetml/2006/main" count="71" uniqueCount="32">
  <si>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</si>
  <si>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</si>
  <si>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</si>
  <si>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</si>
  <si>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</si>
  <si>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</si>
  <si>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</si>
  <si>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</si>
  <si>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</si>
  <si>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</si>
  <si>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Total Guests </t>
  </si>
  <si>
    <t xml:space="preserve">Room Nights </t>
  </si>
  <si>
    <t>Prague</t>
  </si>
  <si>
    <t xml:space="preserve"> </t>
  </si>
  <si>
    <t>DATE</t>
  </si>
  <si>
    <t xml:space="preserve">Electricity </t>
  </si>
  <si>
    <t>Gas</t>
  </si>
  <si>
    <t>Water</t>
  </si>
  <si>
    <t>Guests</t>
  </si>
  <si>
    <t>MTG</t>
  </si>
  <si>
    <t>[kWh]</t>
  </si>
  <si>
    <t>[m3]</t>
  </si>
  <si>
    <t>in house</t>
  </si>
  <si>
    <t>rooms</t>
  </si>
  <si>
    <t xml:space="preserve">TOTAL </t>
  </si>
  <si>
    <t>AVG</t>
  </si>
  <si>
    <t>Average consumption per guest</t>
  </si>
  <si>
    <t>OpticLab</t>
  </si>
  <si>
    <t>Stefano Ricci</t>
  </si>
  <si>
    <t>Room Night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</si>
  <si>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</si>
  <si>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>Four Seasons Hotel Prague - Utilities Daily Consumption - FEBRUARY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</si>
</sst>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  <charset val="238"/>
    </font>
    <font>
      <sz val="8"/>
      <name val="Arial CE"/>
      <family val="2"/>
      <charset val="238"/>
    </font>
    <font>
      <sz val="8"/>
      <name val="Arial"/>
      <family val="2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669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2" borderId="5" xfId="0" applyNumberFormat="1" applyFont="1" applyFill="1" applyBorder="1" applyAlignment="1" applyProtection="1">
      <alignment horizontal="center"/>
    </xf>
    <xf numFmtId="0" fontId="2" fillId="2" borderId="6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Continuous"/>
    </xf>
    <xf numFmtId="0" fontId="2" fillId="0" borderId="0" xfId="0" applyFont="1" applyBorder="1"/>
    <xf numFmtId="0" fontId="1" fillId="0" borderId="0" xfId="0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2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2" borderId="0" xfId="0" applyFont="1" applyFill="1" applyBorder="1" applyAlignment="1" applyProtection="1">
      <alignment horizontal="center"/>
      <protection locked="0"/>
    </xf>
    <xf numFmtId="0" fontId="2" fillId="2" borderId="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3" fontId="3" fillId="2" borderId="12" xfId="0" applyNumberFormat="1" applyFont="1" applyFill="1" applyBorder="1" applyAlignment="1" applyProtection="1">
      <alignment horizontal="center"/>
    </xf>
    <xf numFmtId="0" fontId="2" fillId="0" borderId="13" xfId="0" applyFont="1" applyBorder="1" applyAlignment="1">
      <alignment horizontal="center"/>
    </xf>
    <xf numFmtId="4" fontId="1" fillId="3" borderId="16" xfId="0" applyNumberFormat="1" applyFont="1" applyFill="1" applyBorder="1" applyAlignment="1">
      <alignment horizontal="center"/>
    </xf>
    <xf numFmtId="4" fontId="1" fillId="3" borderId="17" xfId="0" applyNumberFormat="1" applyFont="1" applyFill="1" applyBorder="1" applyAlignment="1">
      <alignment horizontal="center"/>
    </xf>
    <xf numFmtId="4" fontId="1" fillId="3" borderId="18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5" fillId="0" borderId="22" xfId="0" applyFont="1" applyBorder="1" applyAlignment="1">
      <alignment horizontal="right"/>
    </xf>
    <xf numFmtId="3" fontId="6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tabSelected="1" workbookViewId="0">
      <selection activeCell="D2" sqref="D2:D32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29"/>
    <col min="4" max="4" width="13.42578125" style="2" customWidth="1"/>
    <col min="5" max="5" width="12.5703125" style="1" customWidth="1"/>
    <col min="6" max="6" width="12.5703125" style="24" customWidth="1"/>
    <col min="7" max="7" width="11.5703125" style="1"/>
    <col min="8" max="8" width="11.5703125" style="24"/>
    <col min="9" max="9" width="11.5703125" style="1"/>
    <col min="10" max="10" width="11.5703125" style="25"/>
    <col min="11" max="11" width="11.5703125" style="32"/>
    <col min="12" max="24" width="11.5703125" style="1"/>
  </cols>
  <sheetData>
    <row r="1" spans="1:24" s="3" customFormat="1" ht="60" x14ac:dyDescent="0.25">
      <c r="A1" s="26" t="s">
        <v>0</v>
      </c>
      <c r="B1" s="26" t="s">
        <v>1</v>
      </c>
      <c r="C1" s="28" t="s">
        <v>2</v>
      </c>
      <c r="D1" s="26" t="s">
        <v>3</v>
      </c>
      <c r="E1" s="26" t="s">
        <v>4</v>
      </c>
      <c r="F1" s="27" t="s">
        <v>5</v>
      </c>
      <c r="G1" s="26" t="s">
        <v>6</v>
      </c>
      <c r="H1" s="27" t="s">
        <v>7</v>
      </c>
      <c r="I1" s="26" t="s">
        <v>8</v>
      </c>
      <c r="J1" s="28" t="s">
        <v>9</v>
      </c>
      <c r="K1" s="30" t="s">
        <v>10</v>
      </c>
      <c r="L1" s="26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9">
        <v>2</v>
      </c>
      <c r="D2" s="2">
        <v>2021</v>
      </c>
      <c r="E2" s="4">
        <f>'FS Prague'!B4</f>
        <v>4152</v>
      </c>
      <c r="F2" s="22">
        <v>9.9000000000000005E-2</v>
      </c>
      <c r="G2" s="4">
        <f>'FS Prague'!C4</f>
        <v>763</v>
      </c>
      <c r="H2" s="24">
        <v>0.28000000000000003</v>
      </c>
      <c r="I2" s="4">
        <f>'FS Prague'!D4</f>
        <v>4</v>
      </c>
      <c r="J2" s="24">
        <v>3.2719999999999998</v>
      </c>
      <c r="K2" s="31">
        <f>'FS Prague'!F4</f>
        <v>0</v>
      </c>
      <c r="L2" s="31">
        <f>'FS Prague'!G4</f>
        <v>0</v>
      </c>
      <c r="M2" s="1" t="s">
        <v>13</v>
      </c>
    </row>
    <row r="3" spans="1:24" x14ac:dyDescent="0.25">
      <c r="A3" s="3" t="s">
        <v>12</v>
      </c>
      <c r="B3" s="2">
        <f>B2+1</f>
        <v>2</v>
      </c>
      <c r="C3" s="29">
        <v>2</v>
      </c>
      <c r="D3" s="2">
        <v>2021</v>
      </c>
      <c r="E3" s="4">
        <f>'FS Prague'!B5</f>
        <v>4128</v>
      </c>
      <c r="F3" s="22">
        <v>9.9000000000000005E-2</v>
      </c>
      <c r="G3" s="4">
        <f>'FS Prague'!C5</f>
        <v>694</v>
      </c>
      <c r="H3" s="24">
        <v>0.28000000000000003</v>
      </c>
      <c r="I3" s="4">
        <f>'FS Prague'!D5</f>
        <v>5</v>
      </c>
      <c r="J3" s="24">
        <v>3.2719999999999998</v>
      </c>
      <c r="K3" s="31">
        <f>'FS Prague'!F5</f>
        <v>0</v>
      </c>
      <c r="L3" s="31">
        <f>'FS Prague'!G5</f>
        <v>0</v>
      </c>
    </row>
    <row r="4" spans="1:24" x14ac:dyDescent="0.25">
      <c r="A4" s="3" t="s">
        <v>12</v>
      </c>
      <c r="B4" s="2">
        <f t="shared" ref="B4:B32" si="0">B3+1</f>
        <v>3</v>
      </c>
      <c r="C4" s="29">
        <v>2</v>
      </c>
      <c r="D4" s="2">
        <v>2021</v>
      </c>
      <c r="E4" s="4">
        <f>'FS Prague'!B6</f>
        <v>4099</v>
      </c>
      <c r="F4" s="22">
        <v>9.9000000000000005E-2</v>
      </c>
      <c r="G4" s="4">
        <f>'FS Prague'!C6</f>
        <v>603</v>
      </c>
      <c r="H4" s="24">
        <v>0.28000000000000003</v>
      </c>
      <c r="I4" s="4">
        <f>'FS Prague'!D6</f>
        <v>5</v>
      </c>
      <c r="J4" s="24">
        <v>3.2719999999999998</v>
      </c>
      <c r="K4" s="31">
        <f>'FS Prague'!F6</f>
        <v>0</v>
      </c>
      <c r="L4" s="31">
        <f>'FS Prague'!G6</f>
        <v>0</v>
      </c>
    </row>
    <row r="5" spans="1:24" x14ac:dyDescent="0.25">
      <c r="A5" s="3" t="s">
        <v>12</v>
      </c>
      <c r="B5" s="2">
        <f t="shared" si="0"/>
        <v>4</v>
      </c>
      <c r="C5" s="29">
        <v>2</v>
      </c>
      <c r="D5" s="2">
        <v>2021</v>
      </c>
      <c r="E5" s="4">
        <f>'FS Prague'!B7</f>
        <v>4059</v>
      </c>
      <c r="F5" s="22">
        <v>9.9000000000000005E-2</v>
      </c>
      <c r="G5" s="4">
        <f>'FS Prague'!C7</f>
        <v>659</v>
      </c>
      <c r="H5" s="24">
        <v>0.28000000000000003</v>
      </c>
      <c r="I5" s="4">
        <f>'FS Prague'!D7</f>
        <v>5</v>
      </c>
      <c r="J5" s="24">
        <v>3.2719999999999998</v>
      </c>
      <c r="K5" s="31">
        <f>'FS Prague'!F7</f>
        <v>0</v>
      </c>
      <c r="L5" s="31">
        <f>'FS Prague'!G7</f>
        <v>0</v>
      </c>
    </row>
    <row r="6" spans="1:24" x14ac:dyDescent="0.25">
      <c r="A6" s="3" t="s">
        <v>12</v>
      </c>
      <c r="B6" s="2">
        <f t="shared" si="0"/>
        <v>5</v>
      </c>
      <c r="C6" s="29">
        <v>2</v>
      </c>
      <c r="D6" s="2">
        <v>2021</v>
      </c>
      <c r="E6" s="4">
        <f>'FS Prague'!B8</f>
        <v>4360</v>
      </c>
      <c r="F6" s="22">
        <v>9.9000000000000005E-2</v>
      </c>
      <c r="G6" s="4">
        <f>'FS Prague'!C8</f>
        <v>782</v>
      </c>
      <c r="H6" s="24">
        <v>0.28000000000000003</v>
      </c>
      <c r="I6" s="4">
        <f>'FS Prague'!D8</f>
        <v>4</v>
      </c>
      <c r="J6" s="24">
        <v>3.2719999999999998</v>
      </c>
      <c r="K6" s="31">
        <f>'FS Prague'!F8</f>
        <v>0</v>
      </c>
      <c r="L6" s="31">
        <f>'FS Prague'!G8</f>
        <v>0</v>
      </c>
    </row>
    <row r="7" spans="1:24" x14ac:dyDescent="0.25">
      <c r="A7" s="3" t="s">
        <v>12</v>
      </c>
      <c r="B7" s="2">
        <f t="shared" si="0"/>
        <v>6</v>
      </c>
      <c r="C7" s="29">
        <v>2</v>
      </c>
      <c r="D7" s="2">
        <v>2021</v>
      </c>
      <c r="E7" s="4">
        <f>'FS Prague'!B9</f>
        <v>4217</v>
      </c>
      <c r="F7" s="22">
        <v>9.9000000000000005E-2</v>
      </c>
      <c r="G7" s="4">
        <f>'FS Prague'!C9</f>
        <v>748</v>
      </c>
      <c r="H7" s="24">
        <v>0.28000000000000003</v>
      </c>
      <c r="I7" s="4">
        <f>'FS Prague'!D9</f>
        <v>4</v>
      </c>
      <c r="J7" s="24">
        <v>3.2719999999999998</v>
      </c>
      <c r="K7" s="31">
        <f>'FS Prague'!F9</f>
        <v>0</v>
      </c>
      <c r="L7" s="31">
        <f>'FS Prague'!G9</f>
        <v>0</v>
      </c>
    </row>
    <row r="8" spans="1:24" x14ac:dyDescent="0.25">
      <c r="A8" s="3" t="s">
        <v>12</v>
      </c>
      <c r="B8" s="2">
        <f t="shared" si="0"/>
        <v>7</v>
      </c>
      <c r="C8" s="29">
        <v>2</v>
      </c>
      <c r="D8" s="2">
        <v>2021</v>
      </c>
      <c r="E8" s="4">
        <f>'FS Prague'!B10</f>
        <v>4344</v>
      </c>
      <c r="F8" s="22">
        <v>9.9000000000000005E-2</v>
      </c>
      <c r="G8" s="4">
        <f>'FS Prague'!C10</f>
        <v>781</v>
      </c>
      <c r="H8" s="24">
        <v>0.28000000000000003</v>
      </c>
      <c r="I8" s="4">
        <f>'FS Prague'!D10</f>
        <v>4</v>
      </c>
      <c r="J8" s="24">
        <v>3.2719999999999998</v>
      </c>
      <c r="K8" s="31">
        <f>'FS Prague'!F10</f>
        <v>0</v>
      </c>
      <c r="L8" s="31">
        <f>'FS Prague'!G10</f>
        <v>0</v>
      </c>
    </row>
    <row r="9" spans="1:24" x14ac:dyDescent="0.25">
      <c r="A9" s="3" t="s">
        <v>12</v>
      </c>
      <c r="B9" s="2">
        <f t="shared" si="0"/>
        <v>8</v>
      </c>
      <c r="C9" s="29">
        <v>2</v>
      </c>
      <c r="D9" s="2">
        <v>2021</v>
      </c>
      <c r="E9" s="4">
        <f>'FS Prague'!B11</f>
        <v>4372</v>
      </c>
      <c r="F9" s="22">
        <v>9.9000000000000005E-2</v>
      </c>
      <c r="G9" s="4">
        <f>'FS Prague'!C11</f>
        <v>842</v>
      </c>
      <c r="H9" s="24">
        <v>0.28000000000000003</v>
      </c>
      <c r="I9" s="4">
        <f>'FS Prague'!D11</f>
        <v>3</v>
      </c>
      <c r="J9" s="24">
        <v>3.2719999999999998</v>
      </c>
      <c r="K9" s="31">
        <f>'FS Prague'!F11</f>
        <v>0</v>
      </c>
      <c r="L9" s="31">
        <f>'FS Prague'!G11</f>
        <v>0</v>
      </c>
    </row>
    <row r="10" spans="1:24" x14ac:dyDescent="0.25">
      <c r="A10" s="3" t="s">
        <v>12</v>
      </c>
      <c r="B10" s="2">
        <f t="shared" si="0"/>
        <v>9</v>
      </c>
      <c r="C10" s="29">
        <v>2</v>
      </c>
      <c r="D10" s="2">
        <v>2021</v>
      </c>
      <c r="E10" s="4">
        <f>'FS Prague'!B12</f>
        <v>4564</v>
      </c>
      <c r="F10" s="22">
        <v>9.9000000000000005E-2</v>
      </c>
      <c r="G10" s="4">
        <f>'FS Prague'!C12</f>
        <v>987</v>
      </c>
      <c r="H10" s="24">
        <v>0.28000000000000003</v>
      </c>
      <c r="I10" s="4">
        <f>'FS Prague'!D12</f>
        <v>25</v>
      </c>
      <c r="J10" s="24">
        <v>3.2719999999999998</v>
      </c>
      <c r="K10" s="31">
        <f>'FS Prague'!F12</f>
        <v>0</v>
      </c>
      <c r="L10" s="31">
        <f>'FS Prague'!G12</f>
        <v>0</v>
      </c>
    </row>
    <row r="11" spans="1:24" x14ac:dyDescent="0.25">
      <c r="A11" s="3" t="s">
        <v>12</v>
      </c>
      <c r="B11" s="2">
        <f t="shared" si="0"/>
        <v>10</v>
      </c>
      <c r="C11" s="29">
        <v>2</v>
      </c>
      <c r="D11" s="2">
        <v>2021</v>
      </c>
      <c r="E11" s="4">
        <f>'FS Prague'!B13</f>
        <v>4409</v>
      </c>
      <c r="F11" s="22">
        <v>9.9000000000000005E-2</v>
      </c>
      <c r="G11" s="4">
        <f>'FS Prague'!C13</f>
        <v>1043</v>
      </c>
      <c r="H11" s="24">
        <v>0.28000000000000003</v>
      </c>
      <c r="I11" s="4">
        <f>'FS Prague'!D13</f>
        <v>4</v>
      </c>
      <c r="J11" s="24">
        <v>3.2719999999999998</v>
      </c>
      <c r="K11" s="31">
        <f>'FS Prague'!F13</f>
        <v>0</v>
      </c>
      <c r="L11" s="31">
        <f>'FS Prague'!G13</f>
        <v>0</v>
      </c>
    </row>
    <row r="12" spans="1:24" x14ac:dyDescent="0.25">
      <c r="A12" s="3" t="s">
        <v>12</v>
      </c>
      <c r="B12" s="2">
        <f t="shared" si="0"/>
        <v>11</v>
      </c>
      <c r="C12" s="29">
        <v>2</v>
      </c>
      <c r="D12" s="2">
        <v>2021</v>
      </c>
      <c r="E12" s="4">
        <f>'FS Prague'!B14</f>
        <v>4385</v>
      </c>
      <c r="F12" s="22">
        <v>9.9000000000000005E-2</v>
      </c>
      <c r="G12" s="4">
        <f>'FS Prague'!C14</f>
        <v>992</v>
      </c>
      <c r="H12" s="24">
        <v>0.28000000000000003</v>
      </c>
      <c r="I12" s="4">
        <f>'FS Prague'!D14</f>
        <v>4</v>
      </c>
      <c r="J12" s="24">
        <v>3.2719999999999998</v>
      </c>
      <c r="K12" s="31">
        <f>'FS Prague'!F14</f>
        <v>0</v>
      </c>
      <c r="L12" s="31">
        <f>'FS Prague'!G14</f>
        <v>0</v>
      </c>
    </row>
    <row r="13" spans="1:24" x14ac:dyDescent="0.25">
      <c r="A13" s="3" t="s">
        <v>12</v>
      </c>
      <c r="B13" s="2">
        <f t="shared" si="0"/>
        <v>12</v>
      </c>
      <c r="C13" s="29">
        <v>2</v>
      </c>
      <c r="D13" s="2">
        <v>2021</v>
      </c>
      <c r="E13" s="4">
        <f>'FS Prague'!B15</f>
        <v>4414</v>
      </c>
      <c r="F13" s="22">
        <v>9.9000000000000005E-2</v>
      </c>
      <c r="G13" s="4">
        <f>'FS Prague'!C15</f>
        <v>1019</v>
      </c>
      <c r="H13" s="24">
        <v>0.28000000000000003</v>
      </c>
      <c r="I13" s="4">
        <f>'FS Prague'!D15</f>
        <v>3</v>
      </c>
      <c r="J13" s="24">
        <v>3.2719999999999998</v>
      </c>
      <c r="K13" s="31">
        <f>'FS Prague'!F15</f>
        <v>0</v>
      </c>
      <c r="L13" s="31">
        <f>'FS Prague'!G15</f>
        <v>0</v>
      </c>
    </row>
    <row r="14" spans="1:24" x14ac:dyDescent="0.25">
      <c r="A14" s="3" t="s">
        <v>12</v>
      </c>
      <c r="B14" s="2">
        <f t="shared" si="0"/>
        <v>13</v>
      </c>
      <c r="C14" s="29">
        <v>2</v>
      </c>
      <c r="D14" s="2">
        <v>2021</v>
      </c>
      <c r="E14" s="4">
        <f>'FS Prague'!B16</f>
        <v>4323</v>
      </c>
      <c r="F14" s="22">
        <v>9.9000000000000005E-2</v>
      </c>
      <c r="G14" s="4">
        <f>'FS Prague'!C16</f>
        <v>1011</v>
      </c>
      <c r="H14" s="24">
        <v>0.28000000000000003</v>
      </c>
      <c r="I14" s="4">
        <f>'FS Prague'!D16</f>
        <v>4</v>
      </c>
      <c r="J14" s="24">
        <v>3.2719999999999998</v>
      </c>
      <c r="K14" s="31">
        <f>'FS Prague'!F16</f>
        <v>0</v>
      </c>
      <c r="L14" s="31">
        <f>'FS Prague'!G16</f>
        <v>0</v>
      </c>
    </row>
    <row r="15" spans="1:24" x14ac:dyDescent="0.25">
      <c r="A15" s="3" t="s">
        <v>12</v>
      </c>
      <c r="B15" s="2">
        <f t="shared" si="0"/>
        <v>14</v>
      </c>
      <c r="C15" s="29">
        <v>2</v>
      </c>
      <c r="D15" s="2">
        <v>2021</v>
      </c>
      <c r="E15" s="4">
        <f>'FS Prague'!B17</f>
        <v>4336</v>
      </c>
      <c r="F15" s="22">
        <v>9.9000000000000005E-2</v>
      </c>
      <c r="G15" s="4">
        <f>'FS Prague'!C17</f>
        <v>1035</v>
      </c>
      <c r="H15" s="24">
        <v>0.28000000000000003</v>
      </c>
      <c r="I15" s="4">
        <f>'FS Prague'!D17</f>
        <v>17</v>
      </c>
      <c r="J15" s="24">
        <v>3.2719999999999998</v>
      </c>
      <c r="K15" s="31">
        <f>'FS Prague'!F17</f>
        <v>0</v>
      </c>
      <c r="L15" s="31">
        <f>'FS Prague'!G17</f>
        <v>0</v>
      </c>
    </row>
    <row r="16" spans="1:24" x14ac:dyDescent="0.25">
      <c r="A16" s="3" t="s">
        <v>12</v>
      </c>
      <c r="B16" s="2">
        <f t="shared" si="0"/>
        <v>15</v>
      </c>
      <c r="C16" s="29">
        <v>2</v>
      </c>
      <c r="D16" s="2">
        <v>2021</v>
      </c>
      <c r="E16" s="4">
        <f>'FS Prague'!B18</f>
        <v>4484</v>
      </c>
      <c r="F16" s="22">
        <v>9.9000000000000005E-2</v>
      </c>
      <c r="G16" s="4">
        <f>'FS Prague'!C18</f>
        <v>1077</v>
      </c>
      <c r="H16" s="24">
        <v>0.28000000000000003</v>
      </c>
      <c r="I16" s="4">
        <f>'FS Prague'!D18</f>
        <v>13</v>
      </c>
      <c r="J16" s="24">
        <v>3.2719999999999998</v>
      </c>
      <c r="K16" s="31">
        <f>'FS Prague'!F18</f>
        <v>0</v>
      </c>
      <c r="L16" s="31">
        <f>'FS Prague'!G18</f>
        <v>0</v>
      </c>
    </row>
    <row r="17" spans="1:12" x14ac:dyDescent="0.25">
      <c r="A17" s="3" t="s">
        <v>12</v>
      </c>
      <c r="B17" s="2">
        <f t="shared" si="0"/>
        <v>16</v>
      </c>
      <c r="C17" s="29">
        <v>2</v>
      </c>
      <c r="D17" s="2">
        <v>2021</v>
      </c>
      <c r="E17" s="4">
        <f>'FS Prague'!B19</f>
        <v>4436</v>
      </c>
      <c r="F17" s="22">
        <v>9.9000000000000005E-2</v>
      </c>
      <c r="G17" s="4">
        <f>'FS Prague'!C19</f>
        <v>897</v>
      </c>
      <c r="H17" s="24">
        <v>0.28000000000000003</v>
      </c>
      <c r="I17" s="4">
        <f>'FS Prague'!D19</f>
        <v>4</v>
      </c>
      <c r="J17" s="24">
        <v>3.2719999999999998</v>
      </c>
      <c r="K17" s="31">
        <f>'FS Prague'!F19</f>
        <v>0</v>
      </c>
      <c r="L17" s="31">
        <f>'FS Prague'!G19</f>
        <v>0</v>
      </c>
    </row>
    <row r="18" spans="1:12" x14ac:dyDescent="0.25">
      <c r="A18" s="3" t="s">
        <v>12</v>
      </c>
      <c r="B18" s="2">
        <f t="shared" si="0"/>
        <v>17</v>
      </c>
      <c r="C18" s="29">
        <v>2</v>
      </c>
      <c r="D18" s="2">
        <v>2021</v>
      </c>
      <c r="E18" s="4">
        <f>'FS Prague'!B20</f>
        <v>4199</v>
      </c>
      <c r="F18" s="22">
        <v>9.9000000000000005E-2</v>
      </c>
      <c r="G18" s="4">
        <f>'FS Prague'!C20</f>
        <v>752</v>
      </c>
      <c r="H18" s="24">
        <v>0.28000000000000003</v>
      </c>
      <c r="I18" s="4">
        <f>'FS Prague'!D20</f>
        <v>4</v>
      </c>
      <c r="J18" s="24">
        <v>3.2719999999999998</v>
      </c>
      <c r="K18" s="31">
        <f>'FS Prague'!F20</f>
        <v>0</v>
      </c>
      <c r="L18" s="31">
        <f>'FS Prague'!G20</f>
        <v>0</v>
      </c>
    </row>
    <row r="19" spans="1:12" x14ac:dyDescent="0.25">
      <c r="A19" s="3" t="s">
        <v>12</v>
      </c>
      <c r="B19" s="2">
        <f t="shared" si="0"/>
        <v>18</v>
      </c>
      <c r="C19" s="29">
        <v>2</v>
      </c>
      <c r="D19" s="2">
        <v>2021</v>
      </c>
      <c r="E19" s="4">
        <f>'FS Prague'!B21</f>
        <v>4228</v>
      </c>
      <c r="F19" s="22">
        <v>9.9000000000000005E-2</v>
      </c>
      <c r="G19" s="4">
        <f>'FS Prague'!C21</f>
        <v>733</v>
      </c>
      <c r="H19" s="24">
        <v>0.28000000000000003</v>
      </c>
      <c r="I19" s="4">
        <f>'FS Prague'!D21</f>
        <v>3</v>
      </c>
      <c r="J19" s="24">
        <v>3.2719999999999998</v>
      </c>
      <c r="K19" s="31">
        <f>'FS Prague'!F21</f>
        <v>0</v>
      </c>
      <c r="L19" s="31">
        <f>'FS Prague'!G21</f>
        <v>0</v>
      </c>
    </row>
    <row r="20" spans="1:12" x14ac:dyDescent="0.25">
      <c r="A20" s="3" t="s">
        <v>12</v>
      </c>
      <c r="B20" s="2">
        <f t="shared" si="0"/>
        <v>19</v>
      </c>
      <c r="C20" s="29">
        <v>2</v>
      </c>
      <c r="D20" s="2">
        <v>2021</v>
      </c>
      <c r="E20" s="4">
        <f>'FS Prague'!B22</f>
        <v>4198</v>
      </c>
      <c r="F20" s="22">
        <v>9.9000000000000005E-2</v>
      </c>
      <c r="G20" s="4">
        <f>'FS Prague'!C22</f>
        <v>741</v>
      </c>
      <c r="H20" s="24">
        <v>0.28000000000000003</v>
      </c>
      <c r="I20" s="4">
        <f>'FS Prague'!D22</f>
        <v>4</v>
      </c>
      <c r="J20" s="24">
        <v>3.2719999999999998</v>
      </c>
      <c r="K20" s="31">
        <f>'FS Prague'!F22</f>
        <v>0</v>
      </c>
      <c r="L20" s="31">
        <f>'FS Prague'!G22</f>
        <v>0</v>
      </c>
    </row>
    <row r="21" spans="1:12" x14ac:dyDescent="0.25">
      <c r="A21" s="3" t="s">
        <v>12</v>
      </c>
      <c r="B21" s="2">
        <f t="shared" si="0"/>
        <v>20</v>
      </c>
      <c r="C21" s="29">
        <v>2</v>
      </c>
      <c r="D21" s="2">
        <v>2021</v>
      </c>
      <c r="E21" s="4">
        <f>'FS Prague'!B23</f>
        <v>3989</v>
      </c>
      <c r="F21" s="22">
        <v>9.9000000000000005E-2</v>
      </c>
      <c r="G21" s="4">
        <f>'FS Prague'!C23</f>
        <v>720</v>
      </c>
      <c r="H21" s="24">
        <v>0.28000000000000003</v>
      </c>
      <c r="I21" s="4">
        <f>'FS Prague'!D23</f>
        <v>3</v>
      </c>
      <c r="J21" s="24">
        <v>3.2719999999999998</v>
      </c>
      <c r="K21" s="31">
        <f>'FS Prague'!F23</f>
        <v>0</v>
      </c>
      <c r="L21" s="31">
        <f>'FS Prague'!G23</f>
        <v>0</v>
      </c>
    </row>
    <row r="22" spans="1:12" x14ac:dyDescent="0.25">
      <c r="A22" s="3" t="s">
        <v>12</v>
      </c>
      <c r="B22" s="2">
        <f t="shared" si="0"/>
        <v>21</v>
      </c>
      <c r="C22" s="29">
        <v>2</v>
      </c>
      <c r="D22" s="2">
        <v>2021</v>
      </c>
      <c r="E22" s="4">
        <f>'FS Prague'!B24</f>
        <v>4018</v>
      </c>
      <c r="F22" s="22">
        <v>9.9000000000000005E-2</v>
      </c>
      <c r="G22" s="4">
        <f>'FS Prague'!C24</f>
        <v>733</v>
      </c>
      <c r="H22" s="24">
        <v>0.28000000000000003</v>
      </c>
      <c r="I22" s="4">
        <f>'FS Prague'!D24</f>
        <v>3</v>
      </c>
      <c r="J22" s="24">
        <v>3.2719999999999998</v>
      </c>
      <c r="K22" s="31">
        <f>'FS Prague'!F24</f>
        <v>0</v>
      </c>
      <c r="L22" s="31">
        <f>'FS Prague'!G24</f>
        <v>0</v>
      </c>
    </row>
    <row r="23" spans="1:12" x14ac:dyDescent="0.25">
      <c r="A23" s="3" t="s">
        <v>12</v>
      </c>
      <c r="B23" s="2">
        <f t="shared" si="0"/>
        <v>22</v>
      </c>
      <c r="C23" s="29">
        <v>2</v>
      </c>
      <c r="D23" s="2">
        <v>2021</v>
      </c>
      <c r="E23" s="4">
        <f>'FS Prague'!B25</f>
        <v>4046</v>
      </c>
      <c r="F23" s="22">
        <v>9.9000000000000005E-2</v>
      </c>
      <c r="G23" s="4">
        <f>'FS Prague'!C25</f>
        <v>727</v>
      </c>
      <c r="H23" s="24">
        <v>0.28000000000000003</v>
      </c>
      <c r="I23" s="4">
        <f>'FS Prague'!D25</f>
        <v>3</v>
      </c>
      <c r="J23" s="24">
        <v>3.2719999999999998</v>
      </c>
      <c r="K23" s="31">
        <f>'FS Prague'!F25</f>
        <v>0</v>
      </c>
      <c r="L23" s="31">
        <f>'FS Prague'!G25</f>
        <v>0</v>
      </c>
    </row>
    <row r="24" spans="1:12" x14ac:dyDescent="0.25">
      <c r="A24" s="3" t="s">
        <v>12</v>
      </c>
      <c r="B24" s="2">
        <f t="shared" si="0"/>
        <v>23</v>
      </c>
      <c r="C24" s="29">
        <v>2</v>
      </c>
      <c r="D24" s="2">
        <v>2021</v>
      </c>
      <c r="E24" s="4">
        <f>'FS Prague'!B26</f>
        <v>4040</v>
      </c>
      <c r="F24" s="22">
        <v>9.9000000000000005E-2</v>
      </c>
      <c r="G24" s="4">
        <f>'FS Prague'!C26</f>
        <v>737</v>
      </c>
      <c r="H24" s="24">
        <v>0.28000000000000003</v>
      </c>
      <c r="I24" s="4">
        <f>'FS Prague'!D26</f>
        <v>3</v>
      </c>
      <c r="J24" s="24">
        <v>3.2719999999999998</v>
      </c>
      <c r="K24" s="31">
        <f>'FS Prague'!F26</f>
        <v>0</v>
      </c>
      <c r="L24" s="31">
        <f>'FS Prague'!G26</f>
        <v>0</v>
      </c>
    </row>
    <row r="25" spans="1:12" x14ac:dyDescent="0.25">
      <c r="A25" s="3" t="s">
        <v>12</v>
      </c>
      <c r="B25" s="2">
        <f t="shared" si="0"/>
        <v>24</v>
      </c>
      <c r="C25" s="29">
        <v>2</v>
      </c>
      <c r="D25" s="2">
        <v>2021</v>
      </c>
      <c r="E25" s="4">
        <f>'FS Prague'!B27</f>
        <v>4075</v>
      </c>
      <c r="F25" s="22">
        <v>9.9000000000000005E-2</v>
      </c>
      <c r="G25" s="4">
        <f>'FS Prague'!C27</f>
        <v>713</v>
      </c>
      <c r="H25" s="24">
        <v>0.28000000000000003</v>
      </c>
      <c r="I25" s="4">
        <f>'FS Prague'!D27</f>
        <v>3</v>
      </c>
      <c r="J25" s="24">
        <v>3.2719999999999998</v>
      </c>
      <c r="K25" s="31">
        <f>'FS Prague'!F27</f>
        <v>0</v>
      </c>
      <c r="L25" s="31">
        <f>'FS Prague'!G27</f>
        <v>0</v>
      </c>
    </row>
    <row r="26" spans="1:12" x14ac:dyDescent="0.25">
      <c r="A26" s="3" t="s">
        <v>12</v>
      </c>
      <c r="B26" s="2">
        <f>B25+1</f>
        <v>25</v>
      </c>
      <c r="C26" s="29">
        <v>2</v>
      </c>
      <c r="D26" s="2">
        <v>2021</v>
      </c>
      <c r="E26" s="4">
        <f>'FS Prague'!B28</f>
        <v>4065</v>
      </c>
      <c r="F26" s="22">
        <v>9.9000000000000005E-2</v>
      </c>
      <c r="G26" s="4">
        <f>'FS Prague'!C28</f>
        <v>697</v>
      </c>
      <c r="H26" s="24">
        <v>0.28000000000000003</v>
      </c>
      <c r="I26" s="4">
        <f>'FS Prague'!D28</f>
        <v>3</v>
      </c>
      <c r="J26" s="24">
        <v>3.2719999999999998</v>
      </c>
      <c r="K26" s="31">
        <f>'FS Prague'!F28</f>
        <v>0</v>
      </c>
      <c r="L26" s="31">
        <f>'FS Prague'!G28</f>
        <v>0</v>
      </c>
    </row>
    <row r="27" spans="1:12" x14ac:dyDescent="0.25">
      <c r="A27" s="3" t="s">
        <v>12</v>
      </c>
      <c r="B27" s="2">
        <f t="shared" si="0"/>
        <v>26</v>
      </c>
      <c r="C27" s="29">
        <v>2</v>
      </c>
      <c r="D27" s="2">
        <v>2021</v>
      </c>
      <c r="E27" s="4">
        <f>'FS Prague'!B29</f>
        <v>4363</v>
      </c>
      <c r="F27" s="22">
        <v>9.9000000000000005E-2</v>
      </c>
      <c r="G27" s="4">
        <f>'FS Prague'!C29</f>
        <v>753</v>
      </c>
      <c r="H27" s="24">
        <v>0.28000000000000003</v>
      </c>
      <c r="I27" s="4">
        <f>'FS Prague'!D29</f>
        <v>10</v>
      </c>
      <c r="J27" s="24">
        <v>3.2719999999999998</v>
      </c>
      <c r="K27" s="31">
        <f>'FS Prague'!F29</f>
        <v>0</v>
      </c>
      <c r="L27" s="31">
        <f>'FS Prague'!G29</f>
        <v>0</v>
      </c>
    </row>
    <row r="28" spans="1:12" x14ac:dyDescent="0.25">
      <c r="A28" s="3" t="s">
        <v>12</v>
      </c>
      <c r="B28" s="2">
        <f t="shared" si="0"/>
        <v>27</v>
      </c>
      <c r="C28" s="29">
        <v>2</v>
      </c>
      <c r="D28" s="2">
        <v>2021</v>
      </c>
      <c r="E28" s="4">
        <f>'FS Prague'!B30</f>
        <v>4253</v>
      </c>
      <c r="F28" s="22">
        <v>9.9000000000000005E-2</v>
      </c>
      <c r="G28" s="4">
        <f>'FS Prague'!C30</f>
        <v>701</v>
      </c>
      <c r="H28" s="24">
        <v>0.28000000000000003</v>
      </c>
      <c r="I28" s="4">
        <f>'FS Prague'!D30</f>
        <v>9</v>
      </c>
      <c r="J28" s="24">
        <v>3.2719999999999998</v>
      </c>
      <c r="K28" s="31">
        <f>'FS Prague'!F30</f>
        <v>0</v>
      </c>
      <c r="L28" s="31">
        <f>'FS Prague'!G30</f>
        <v>0</v>
      </c>
    </row>
    <row r="29" spans="1:12" x14ac:dyDescent="0.25">
      <c r="A29" s="3" t="s">
        <v>12</v>
      </c>
      <c r="B29" s="2">
        <f t="shared" si="0"/>
        <v>28</v>
      </c>
      <c r="C29" s="29">
        <v>2</v>
      </c>
      <c r="D29" s="2">
        <v>2021</v>
      </c>
      <c r="E29" s="4">
        <f>'FS Prague'!B31</f>
        <v>4246</v>
      </c>
      <c r="F29" s="22">
        <v>9.9000000000000005E-2</v>
      </c>
      <c r="G29" s="4">
        <f>'FS Prague'!C31</f>
        <v>811</v>
      </c>
      <c r="H29" s="24">
        <v>0.28000000000000003</v>
      </c>
      <c r="I29" s="4">
        <f>'FS Prague'!D31</f>
        <v>4</v>
      </c>
      <c r="J29" s="24">
        <v>3.2719999999999998</v>
      </c>
      <c r="K29" s="31">
        <f>'FS Prague'!F31</f>
        <v>0</v>
      </c>
      <c r="L29" s="31">
        <f>'FS Prague'!G31</f>
        <v>0</v>
      </c>
    </row>
    <row r="30" spans="1:12" x14ac:dyDescent="0.25">
      <c r="A30" s="3" t="s">
        <v>12</v>
      </c>
      <c r="B30" s="2">
        <f t="shared" si="0"/>
        <v>29</v>
      </c>
      <c r="C30" s="29">
        <v>2</v>
      </c>
      <c r="D30" s="2">
        <v>2021</v>
      </c>
      <c r="E30" s="4">
        <f>'FS Prague'!B32</f>
        <v>0</v>
      </c>
      <c r="F30" s="22">
        <v>9.9000000000000005E-2</v>
      </c>
      <c r="G30" s="4">
        <f>'FS Prague'!C32</f>
        <v>0</v>
      </c>
      <c r="H30" s="24">
        <v>0.28000000000000003</v>
      </c>
      <c r="I30" s="4">
        <f>'FS Prague'!D32</f>
        <v>0</v>
      </c>
      <c r="J30" s="24">
        <v>3.2719999999999998</v>
      </c>
      <c r="K30" s="31">
        <f>'FS Prague'!F32</f>
        <v>0</v>
      </c>
      <c r="L30" s="31">
        <f>'FS Prague'!G32</f>
        <v>0</v>
      </c>
    </row>
    <row r="31" spans="1:12" x14ac:dyDescent="0.25">
      <c r="A31" s="3" t="s">
        <v>12</v>
      </c>
      <c r="B31" s="2">
        <f t="shared" si="0"/>
        <v>30</v>
      </c>
      <c r="C31" s="29">
        <v>2</v>
      </c>
      <c r="D31" s="2">
        <v>2021</v>
      </c>
      <c r="E31" s="4">
        <f>'FS Prague'!B33</f>
        <v>0</v>
      </c>
      <c r="F31" s="22">
        <v>9.9000000000000005E-2</v>
      </c>
      <c r="G31" s="4">
        <f>'FS Prague'!C33</f>
        <v>0</v>
      </c>
      <c r="H31" s="24">
        <v>0.28000000000000003</v>
      </c>
      <c r="I31" s="4">
        <f>'FS Prague'!D33</f>
        <v>0</v>
      </c>
      <c r="J31" s="24">
        <v>3.2719999999999998</v>
      </c>
      <c r="K31" s="31">
        <f>'FS Prague'!F33</f>
        <v>0</v>
      </c>
      <c r="L31" s="31">
        <f>'FS Prague'!G33</f>
        <v>0</v>
      </c>
    </row>
    <row r="32" spans="1:12" x14ac:dyDescent="0.25">
      <c r="A32" s="3" t="s">
        <v>12</v>
      </c>
      <c r="B32" s="2">
        <f t="shared" si="0"/>
        <v>31</v>
      </c>
      <c r="C32" s="29">
        <v>2</v>
      </c>
      <c r="D32" s="2">
        <v>2021</v>
      </c>
      <c r="E32" s="4">
        <f>'FS Prague'!B34</f>
        <v>0</v>
      </c>
      <c r="F32" s="22">
        <v>9.9000000000000005E-2</v>
      </c>
      <c r="G32" s="4">
        <f>'FS Prague'!C34</f>
        <v>0</v>
      </c>
      <c r="H32" s="24">
        <v>0.28000000000000003</v>
      </c>
      <c r="I32" s="4">
        <f>'FS Prague'!D34</f>
        <v>0</v>
      </c>
      <c r="J32" s="24">
        <v>3.2719999999999998</v>
      </c>
      <c r="K32" s="31">
        <f>'FS Prague'!F34</f>
        <v>0</v>
      </c>
      <c r="L32" s="31">
        <f>'FS Prague'!G34</f>
        <v>0</v>
      </c>
    </row>
    <row r="33" spans="5:12" x14ac:dyDescent="0.25">
      <c r="E33" s="4" t="s">
        <v>13</v>
      </c>
      <c r="F33" s="23" t="s">
        <v>13</v>
      </c>
      <c r="G33" s="4" t="s">
        <v>13</v>
      </c>
      <c r="H33" s="23" t="s">
        <v>13</v>
      </c>
      <c r="I33" s="4" t="s">
        <v>13</v>
      </c>
      <c r="J33" s="23" t="s">
        <v>13</v>
      </c>
      <c r="K33" s="31"/>
      <c r="L3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2"/>
  <sheetViews>
    <sheetView topLeftCell="A16" workbookViewId="0">
      <selection activeCell="E45" sqref="E45"/>
    </sheetView>
  </sheetViews>
  <sheetFormatPr defaultRowHeight="15" x14ac:dyDescent="0.25"/>
  <cols>
    <col min="1" max="1" width="15.85546875" bestFit="1" customWidth="1"/>
    <col min="6" max="6" width="9.85546875" customWidth="1"/>
    <col min="7" max="7" width="10.5703125" customWidth="1"/>
  </cols>
  <sheetData>
    <row r="1" spans="1:8" ht="15.75" thickBot="1" x14ac:dyDescent="0.3">
      <c r="A1" s="63" t="s">
        <v>31</v>
      </c>
      <c r="B1" s="64"/>
      <c r="C1" s="64"/>
      <c r="D1" s="64"/>
      <c r="E1" s="64"/>
      <c r="F1" s="64"/>
      <c r="G1" s="64"/>
      <c r="H1" s="65"/>
    </row>
    <row r="2" spans="1:8" x14ac:dyDescent="0.25">
      <c r="A2" s="8" t="s">
        <v>14</v>
      </c>
      <c r="B2" s="7" t="s">
        <v>15</v>
      </c>
      <c r="C2" s="7" t="s">
        <v>16</v>
      </c>
      <c r="D2" s="7" t="s">
        <v>17</v>
      </c>
      <c r="E2" s="21"/>
      <c r="F2" s="8" t="s">
        <v>18</v>
      </c>
      <c r="G2" s="7" t="s">
        <v>29</v>
      </c>
      <c r="H2" s="7" t="s">
        <v>19</v>
      </c>
    </row>
    <row r="3" spans="1:8" ht="15.75" thickBot="1" x14ac:dyDescent="0.3">
      <c r="A3" s="34"/>
      <c r="B3" s="35" t="s">
        <v>20</v>
      </c>
      <c r="C3" s="35" t="s">
        <v>21</v>
      </c>
      <c r="D3" s="61" t="s">
        <v>21</v>
      </c>
      <c r="E3" s="36"/>
      <c r="F3" s="34" t="s">
        <v>22</v>
      </c>
      <c r="G3" s="35" t="s">
        <v>23</v>
      </c>
      <c r="H3" s="35" t="s">
        <v>23</v>
      </c>
    </row>
    <row r="4" spans="1:8" x14ac:dyDescent="0.25">
      <c r="A4" s="6">
        <v>1</v>
      </c>
      <c r="B4" s="37">
        <v>4152</v>
      </c>
      <c r="C4" s="38">
        <v>763</v>
      </c>
      <c r="D4" s="10">
        <v>4</v>
      </c>
      <c r="E4" s="14"/>
      <c r="F4" s="10">
        <v>0</v>
      </c>
      <c r="G4" s="10">
        <v>0</v>
      </c>
      <c r="H4" s="10">
        <v>0</v>
      </c>
    </row>
    <row r="5" spans="1:8" x14ac:dyDescent="0.25">
      <c r="A5" s="11">
        <v>2</v>
      </c>
      <c r="B5" s="39">
        <v>4128</v>
      </c>
      <c r="C5" s="40">
        <v>694</v>
      </c>
      <c r="D5" s="12">
        <v>5</v>
      </c>
      <c r="E5" s="41"/>
      <c r="F5" s="13">
        <v>0</v>
      </c>
      <c r="G5" s="13">
        <v>0</v>
      </c>
      <c r="H5" s="13">
        <v>0</v>
      </c>
    </row>
    <row r="6" spans="1:8" x14ac:dyDescent="0.25">
      <c r="A6" s="11">
        <v>3</v>
      </c>
      <c r="B6" s="39">
        <v>4099</v>
      </c>
      <c r="C6" s="40">
        <v>603</v>
      </c>
      <c r="D6" s="12">
        <v>5</v>
      </c>
      <c r="E6" s="41"/>
      <c r="F6" s="13">
        <v>0</v>
      </c>
      <c r="G6" s="13">
        <v>0</v>
      </c>
      <c r="H6" s="13">
        <v>0</v>
      </c>
    </row>
    <row r="7" spans="1:8" x14ac:dyDescent="0.25">
      <c r="A7" s="11">
        <v>4</v>
      </c>
      <c r="B7" s="39">
        <v>4059</v>
      </c>
      <c r="C7" s="40">
        <v>659</v>
      </c>
      <c r="D7" s="12">
        <v>5</v>
      </c>
      <c r="E7" s="41"/>
      <c r="F7" s="13">
        <v>0</v>
      </c>
      <c r="G7" s="13">
        <v>0</v>
      </c>
      <c r="H7" s="13">
        <v>0</v>
      </c>
    </row>
    <row r="8" spans="1:8" x14ac:dyDescent="0.25">
      <c r="A8" s="11">
        <v>5</v>
      </c>
      <c r="B8" s="39">
        <v>4360</v>
      </c>
      <c r="C8" s="40">
        <v>782</v>
      </c>
      <c r="D8" s="12">
        <v>4</v>
      </c>
      <c r="E8" s="41"/>
      <c r="F8" s="13">
        <v>0</v>
      </c>
      <c r="G8" s="13">
        <v>0</v>
      </c>
      <c r="H8" s="13">
        <v>0</v>
      </c>
    </row>
    <row r="9" spans="1:8" x14ac:dyDescent="0.25">
      <c r="A9" s="11">
        <v>6</v>
      </c>
      <c r="B9" s="39">
        <v>4217</v>
      </c>
      <c r="C9" s="40">
        <v>748</v>
      </c>
      <c r="D9" s="12">
        <v>4</v>
      </c>
      <c r="E9" s="41"/>
      <c r="F9" s="13">
        <v>0</v>
      </c>
      <c r="G9" s="13">
        <v>0</v>
      </c>
      <c r="H9" s="13">
        <v>0</v>
      </c>
    </row>
    <row r="10" spans="1:8" x14ac:dyDescent="0.25">
      <c r="A10" s="11">
        <v>7</v>
      </c>
      <c r="B10" s="39">
        <v>4344</v>
      </c>
      <c r="C10" s="40">
        <v>781</v>
      </c>
      <c r="D10" s="12">
        <v>4</v>
      </c>
      <c r="E10" s="41"/>
      <c r="F10" s="13">
        <v>0</v>
      </c>
      <c r="G10" s="13">
        <v>0</v>
      </c>
      <c r="H10" s="13">
        <v>0</v>
      </c>
    </row>
    <row r="11" spans="1:8" x14ac:dyDescent="0.25">
      <c r="A11" s="11">
        <v>8</v>
      </c>
      <c r="B11" s="39">
        <v>4372</v>
      </c>
      <c r="C11" s="40">
        <v>842</v>
      </c>
      <c r="D11" s="12">
        <v>3</v>
      </c>
      <c r="E11" s="41"/>
      <c r="F11" s="13">
        <v>0</v>
      </c>
      <c r="G11" s="13">
        <v>0</v>
      </c>
      <c r="H11" s="13">
        <v>0</v>
      </c>
    </row>
    <row r="12" spans="1:8" x14ac:dyDescent="0.25">
      <c r="A12" s="11">
        <v>9</v>
      </c>
      <c r="B12" s="39">
        <v>4564</v>
      </c>
      <c r="C12" s="40">
        <v>987</v>
      </c>
      <c r="D12" s="12">
        <v>25</v>
      </c>
      <c r="E12" s="41"/>
      <c r="F12" s="13">
        <v>0</v>
      </c>
      <c r="G12" s="13">
        <v>0</v>
      </c>
      <c r="H12" s="13">
        <v>0</v>
      </c>
    </row>
    <row r="13" spans="1:8" x14ac:dyDescent="0.25">
      <c r="A13" s="11">
        <v>10</v>
      </c>
      <c r="B13" s="39">
        <v>4409</v>
      </c>
      <c r="C13" s="40">
        <v>1043</v>
      </c>
      <c r="D13" s="12">
        <v>4</v>
      </c>
      <c r="E13" s="41"/>
      <c r="F13" s="13">
        <v>0</v>
      </c>
      <c r="G13" s="13">
        <v>0</v>
      </c>
      <c r="H13" s="13">
        <v>0</v>
      </c>
    </row>
    <row r="14" spans="1:8" x14ac:dyDescent="0.25">
      <c r="A14" s="11">
        <v>11</v>
      </c>
      <c r="B14" s="39">
        <v>4385</v>
      </c>
      <c r="C14" s="40">
        <v>992</v>
      </c>
      <c r="D14" s="12">
        <v>4</v>
      </c>
      <c r="E14" s="41"/>
      <c r="F14" s="13">
        <v>0</v>
      </c>
      <c r="G14" s="13">
        <v>0</v>
      </c>
      <c r="H14" s="13">
        <v>0</v>
      </c>
    </row>
    <row r="15" spans="1:8" x14ac:dyDescent="0.25">
      <c r="A15" s="11">
        <v>12</v>
      </c>
      <c r="B15" s="39">
        <v>4414</v>
      </c>
      <c r="C15" s="40">
        <v>1019</v>
      </c>
      <c r="D15" s="12">
        <v>3</v>
      </c>
      <c r="E15" s="41"/>
      <c r="F15" s="13">
        <v>0</v>
      </c>
      <c r="G15" s="13">
        <v>0</v>
      </c>
      <c r="H15" s="13">
        <v>0</v>
      </c>
    </row>
    <row r="16" spans="1:8" x14ac:dyDescent="0.25">
      <c r="A16" s="11">
        <v>13</v>
      </c>
      <c r="B16" s="39">
        <v>4323</v>
      </c>
      <c r="C16" s="40">
        <v>1011</v>
      </c>
      <c r="D16" s="12">
        <v>4</v>
      </c>
      <c r="E16" s="41"/>
      <c r="F16" s="13">
        <v>0</v>
      </c>
      <c r="G16" s="13">
        <v>0</v>
      </c>
      <c r="H16" s="13">
        <v>0</v>
      </c>
    </row>
    <row r="17" spans="1:11" x14ac:dyDescent="0.25">
      <c r="A17" s="11">
        <v>14</v>
      </c>
      <c r="B17" s="39">
        <v>4336</v>
      </c>
      <c r="C17" s="40">
        <v>1035</v>
      </c>
      <c r="D17" s="12">
        <v>17</v>
      </c>
      <c r="E17" s="41"/>
      <c r="F17" s="13">
        <v>0</v>
      </c>
      <c r="G17" s="13">
        <v>0</v>
      </c>
      <c r="H17" s="13">
        <v>0</v>
      </c>
    </row>
    <row r="18" spans="1:11" x14ac:dyDescent="0.25">
      <c r="A18" s="11">
        <v>15</v>
      </c>
      <c r="B18" s="39">
        <v>4484</v>
      </c>
      <c r="C18" s="40">
        <v>1077</v>
      </c>
      <c r="D18" s="12">
        <v>13</v>
      </c>
      <c r="E18" s="41"/>
      <c r="F18" s="13">
        <v>0</v>
      </c>
      <c r="G18" s="13">
        <v>0</v>
      </c>
      <c r="H18" s="13">
        <v>0</v>
      </c>
    </row>
    <row r="19" spans="1:11" x14ac:dyDescent="0.25">
      <c r="A19" s="11">
        <v>16</v>
      </c>
      <c r="B19" s="39">
        <v>4436</v>
      </c>
      <c r="C19" s="40">
        <v>897</v>
      </c>
      <c r="D19" s="12">
        <v>4</v>
      </c>
      <c r="E19" s="41"/>
      <c r="F19" s="13">
        <v>0</v>
      </c>
      <c r="G19" s="13">
        <v>0</v>
      </c>
      <c r="H19" s="13">
        <v>0</v>
      </c>
    </row>
    <row r="20" spans="1:11" x14ac:dyDescent="0.25">
      <c r="A20" s="11">
        <v>17</v>
      </c>
      <c r="B20" s="39">
        <v>4199</v>
      </c>
      <c r="C20" s="40">
        <v>752</v>
      </c>
      <c r="D20" s="12">
        <v>4</v>
      </c>
      <c r="E20" s="41"/>
      <c r="F20" s="13">
        <v>0</v>
      </c>
      <c r="G20" s="13">
        <v>0</v>
      </c>
      <c r="H20" s="13">
        <v>0</v>
      </c>
    </row>
    <row r="21" spans="1:11" x14ac:dyDescent="0.25">
      <c r="A21" s="11">
        <v>18</v>
      </c>
      <c r="B21" s="39">
        <v>4228</v>
      </c>
      <c r="C21" s="40">
        <v>733</v>
      </c>
      <c r="D21" s="12">
        <v>3</v>
      </c>
      <c r="E21" s="41"/>
      <c r="F21" s="13">
        <v>0</v>
      </c>
      <c r="G21" s="13">
        <v>0</v>
      </c>
      <c r="H21" s="13">
        <v>0</v>
      </c>
      <c r="K21" s="62"/>
    </row>
    <row r="22" spans="1:11" x14ac:dyDescent="0.25">
      <c r="A22" s="11">
        <v>19</v>
      </c>
      <c r="B22" s="39">
        <v>4198</v>
      </c>
      <c r="C22" s="40">
        <v>741</v>
      </c>
      <c r="D22" s="12">
        <v>4</v>
      </c>
      <c r="E22" s="41"/>
      <c r="F22" s="13">
        <v>0</v>
      </c>
      <c r="G22" s="13">
        <v>0</v>
      </c>
      <c r="H22" s="13">
        <v>0</v>
      </c>
    </row>
    <row r="23" spans="1:11" x14ac:dyDescent="0.25">
      <c r="A23" s="11">
        <v>20</v>
      </c>
      <c r="B23" s="39">
        <v>3989</v>
      </c>
      <c r="C23" s="40">
        <v>720</v>
      </c>
      <c r="D23" s="12">
        <v>3</v>
      </c>
      <c r="E23" s="41"/>
      <c r="F23" s="13">
        <v>0</v>
      </c>
      <c r="G23" s="13">
        <v>0</v>
      </c>
      <c r="H23" s="13">
        <v>0</v>
      </c>
    </row>
    <row r="24" spans="1:11" x14ac:dyDescent="0.25">
      <c r="A24" s="11">
        <v>21</v>
      </c>
      <c r="B24" s="39">
        <v>4018</v>
      </c>
      <c r="C24" s="40">
        <v>733</v>
      </c>
      <c r="D24" s="13">
        <v>3</v>
      </c>
      <c r="E24" s="14"/>
      <c r="F24" s="13">
        <v>0</v>
      </c>
      <c r="G24" s="13">
        <v>0</v>
      </c>
      <c r="H24" s="13">
        <v>0</v>
      </c>
    </row>
    <row r="25" spans="1:11" x14ac:dyDescent="0.25">
      <c r="A25" s="11">
        <v>22</v>
      </c>
      <c r="B25" s="39">
        <v>4046</v>
      </c>
      <c r="C25" s="15">
        <v>727</v>
      </c>
      <c r="D25" s="13">
        <v>3</v>
      </c>
      <c r="E25" s="14"/>
      <c r="F25" s="13">
        <v>0</v>
      </c>
      <c r="G25" s="13">
        <v>0</v>
      </c>
      <c r="H25" s="13">
        <v>0</v>
      </c>
    </row>
    <row r="26" spans="1:11" x14ac:dyDescent="0.25">
      <c r="A26" s="11">
        <v>23</v>
      </c>
      <c r="B26" s="39">
        <v>4040</v>
      </c>
      <c r="C26" s="15">
        <v>737</v>
      </c>
      <c r="D26" s="13">
        <v>3</v>
      </c>
      <c r="E26" s="14"/>
      <c r="F26" s="13">
        <v>0</v>
      </c>
      <c r="G26" s="13">
        <v>0</v>
      </c>
      <c r="H26" s="13">
        <v>0</v>
      </c>
    </row>
    <row r="27" spans="1:11" x14ac:dyDescent="0.25">
      <c r="A27" s="11">
        <v>24</v>
      </c>
      <c r="B27" s="39">
        <v>4075</v>
      </c>
      <c r="C27" s="15">
        <v>713</v>
      </c>
      <c r="D27" s="13">
        <v>3</v>
      </c>
      <c r="E27" s="14"/>
      <c r="F27" s="13">
        <v>0</v>
      </c>
      <c r="G27" s="13">
        <v>0</v>
      </c>
      <c r="H27" s="13">
        <v>0</v>
      </c>
    </row>
    <row r="28" spans="1:11" x14ac:dyDescent="0.25">
      <c r="A28" s="11">
        <v>25</v>
      </c>
      <c r="B28" s="39">
        <v>4065</v>
      </c>
      <c r="C28" s="15">
        <v>697</v>
      </c>
      <c r="D28" s="16">
        <v>3</v>
      </c>
      <c r="E28" s="42"/>
      <c r="F28" s="13">
        <v>0</v>
      </c>
      <c r="G28" s="13">
        <v>0</v>
      </c>
      <c r="H28" s="13">
        <v>0</v>
      </c>
    </row>
    <row r="29" spans="1:11" x14ac:dyDescent="0.25">
      <c r="A29" s="11">
        <v>26</v>
      </c>
      <c r="B29" s="39">
        <v>4363</v>
      </c>
      <c r="C29" s="15">
        <v>753</v>
      </c>
      <c r="D29" s="13">
        <v>10</v>
      </c>
      <c r="E29" s="14"/>
      <c r="F29" s="13">
        <v>0</v>
      </c>
      <c r="G29" s="13">
        <v>0</v>
      </c>
      <c r="H29" s="13">
        <v>0</v>
      </c>
    </row>
    <row r="30" spans="1:11" x14ac:dyDescent="0.25">
      <c r="A30" s="9">
        <v>27</v>
      </c>
      <c r="B30" s="39">
        <v>4253</v>
      </c>
      <c r="C30" s="15">
        <v>701</v>
      </c>
      <c r="D30" s="13">
        <v>9</v>
      </c>
      <c r="E30" s="14"/>
      <c r="F30" s="13">
        <v>0</v>
      </c>
      <c r="G30" s="13">
        <v>0</v>
      </c>
      <c r="H30" s="13">
        <v>0</v>
      </c>
    </row>
    <row r="31" spans="1:11" x14ac:dyDescent="0.25">
      <c r="A31" s="43">
        <v>28</v>
      </c>
      <c r="B31" s="39">
        <v>4246</v>
      </c>
      <c r="C31" s="15">
        <v>811</v>
      </c>
      <c r="D31" s="13">
        <v>4</v>
      </c>
      <c r="E31" s="14"/>
      <c r="F31" s="13">
        <v>0</v>
      </c>
      <c r="G31" s="13">
        <v>0</v>
      </c>
      <c r="H31" s="13">
        <v>0</v>
      </c>
    </row>
    <row r="32" spans="1:11" x14ac:dyDescent="0.25">
      <c r="A32" s="43">
        <v>29</v>
      </c>
      <c r="B32" s="39"/>
      <c r="C32" s="15"/>
      <c r="D32" s="13"/>
      <c r="E32" s="14"/>
      <c r="F32" s="13">
        <v>0</v>
      </c>
      <c r="G32" s="13">
        <v>0</v>
      </c>
      <c r="H32" s="13">
        <v>0</v>
      </c>
    </row>
    <row r="33" spans="1:11" x14ac:dyDescent="0.25">
      <c r="A33" s="43">
        <v>30</v>
      </c>
      <c r="B33" s="39"/>
      <c r="C33" s="15"/>
      <c r="D33" s="13"/>
      <c r="E33" s="14"/>
      <c r="F33" s="13">
        <v>0</v>
      </c>
      <c r="G33" s="13">
        <v>0</v>
      </c>
      <c r="H33" s="13">
        <v>0</v>
      </c>
    </row>
    <row r="34" spans="1:11" ht="15.75" thickBot="1" x14ac:dyDescent="0.3">
      <c r="A34" s="44">
        <v>31</v>
      </c>
      <c r="B34" s="45"/>
      <c r="C34" s="46"/>
      <c r="D34" s="47"/>
      <c r="E34" s="14"/>
      <c r="F34" s="47">
        <v>0</v>
      </c>
      <c r="G34" s="47">
        <v>0</v>
      </c>
      <c r="H34" s="47">
        <v>0</v>
      </c>
      <c r="K34" t="s">
        <v>30</v>
      </c>
    </row>
    <row r="35" spans="1:11" ht="15.75" thickBot="1" x14ac:dyDescent="0.3">
      <c r="A35" s="33" t="s">
        <v>24</v>
      </c>
      <c r="B35" s="48">
        <f>SUM(B4:B34)</f>
        <v>118802</v>
      </c>
      <c r="C35" s="49">
        <f>SUM(C4:C34)</f>
        <v>22751</v>
      </c>
      <c r="D35" s="50">
        <f>SUM(D4:D34)</f>
        <v>160</v>
      </c>
      <c r="E35" s="51"/>
      <c r="F35" s="52">
        <f>SUM(F4:F34)</f>
        <v>0</v>
      </c>
      <c r="G35" s="52">
        <f>SUM(G4:G34)</f>
        <v>0</v>
      </c>
      <c r="H35" s="53">
        <f>SUM(H4:H34)</f>
        <v>0</v>
      </c>
    </row>
    <row r="36" spans="1:11" ht="15.75" thickBot="1" x14ac:dyDescent="0.3">
      <c r="A36" s="17" t="s">
        <v>25</v>
      </c>
      <c r="B36" s="54">
        <f>AVERAGE(B4:B34)</f>
        <v>4242.9285714285716</v>
      </c>
      <c r="C36" s="55">
        <f>AVERAGE(C4:C34)</f>
        <v>812.53571428571433</v>
      </c>
      <c r="D36" s="56">
        <f>AVERAGE(D4:D34)</f>
        <v>5.7142857142857144</v>
      </c>
      <c r="E36" s="57"/>
      <c r="F36" s="18"/>
      <c r="G36" s="5"/>
      <c r="H36" s="5"/>
    </row>
    <row r="37" spans="1:11" ht="15.75" thickBot="1" x14ac:dyDescent="0.3">
      <c r="A37" s="5"/>
      <c r="B37" s="19" t="s">
        <v>26</v>
      </c>
      <c r="C37" s="19"/>
      <c r="D37" s="19"/>
      <c r="E37" s="19"/>
      <c r="F37" s="19"/>
      <c r="G37" s="5"/>
      <c r="H37" s="5"/>
    </row>
    <row r="38" spans="1:11" ht="15.75" thickBot="1" x14ac:dyDescent="0.3">
      <c r="A38" s="20"/>
      <c r="B38" s="54" t="e">
        <f>B35/F35</f>
        <v>#DIV/0!</v>
      </c>
      <c r="C38" s="55" t="e">
        <f>C35/F35</f>
        <v>#DIV/0!</v>
      </c>
      <c r="D38" s="56" t="e">
        <f>D35/F35</f>
        <v>#DIV/0!</v>
      </c>
      <c r="E38" s="57"/>
      <c r="F38" s="20"/>
      <c r="G38" s="5"/>
      <c r="H38" s="5"/>
    </row>
    <row r="39" spans="1:11" x14ac:dyDescent="0.25">
      <c r="A39" s="21"/>
      <c r="B39" s="19"/>
      <c r="C39" s="19"/>
      <c r="D39" s="19"/>
      <c r="E39" s="19"/>
      <c r="F39" s="21"/>
      <c r="G39" s="5"/>
      <c r="H39" s="5"/>
    </row>
    <row r="40" spans="1:11" x14ac:dyDescent="0.25">
      <c r="A40" s="21"/>
      <c r="B40" s="58"/>
      <c r="C40" s="58"/>
      <c r="D40" s="58"/>
      <c r="E40" s="58"/>
      <c r="F40" s="21"/>
      <c r="G40" s="5"/>
      <c r="H40" s="5"/>
    </row>
    <row r="41" spans="1:11" ht="15.75" x14ac:dyDescent="0.25">
      <c r="A41" s="59" t="s">
        <v>27</v>
      </c>
      <c r="B41" s="60">
        <v>71908</v>
      </c>
      <c r="C41" s="5"/>
      <c r="D41" s="5"/>
      <c r="E41" s="5"/>
      <c r="F41" s="5"/>
      <c r="G41" s="5"/>
      <c r="H41" s="5"/>
    </row>
    <row r="42" spans="1:11" ht="15.75" x14ac:dyDescent="0.25">
      <c r="A42" s="59" t="s">
        <v>28</v>
      </c>
      <c r="B42" s="60">
        <v>52852</v>
      </c>
      <c r="C42" s="5"/>
      <c r="D42" s="5"/>
      <c r="E42" s="5"/>
      <c r="F42" s="5"/>
      <c r="G42" s="5"/>
      <c r="H42" s="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FS Prague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2021-03-09T11:46:51Z</dcterms:modified>
  <cp:category/>
  <cp:contentStatus/>
</cp:coreProperties>
</file>