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https://fshr.sharepoint.com/teams/UBU_Engineering_O365376/Shared Documents/HEP Records/Upload HEP-Dinna/Waste/"/>
    </mc:Choice>
  </mc:AlternateContent>
  <xr:revisionPtr revIDLastSave="0" documentId="8_{F136BEDF-03FB-4492-B4C0-2F4A1F9B32B2}" xr6:coauthVersionLast="47" xr6:coauthVersionMax="47" xr10:uidLastSave="{00000000-0000-0000-0000-000000000000}"/>
  <bookViews>
    <workbookView xWindow="0" yWindow="500" windowWidth="23260" windowHeight="14540" tabRatio="762" xr2:uid="{00000000-000D-0000-FFFF-FFFF00000000}"/>
  </bookViews>
  <sheets>
    <sheet name="Sheet1" sheetId="15" r:id="rId1"/>
    <sheet name="TOTAL" sheetId="11" r:id="rId2"/>
    <sheet name="FSUBU DEC 2022" sheetId="14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5" l="1"/>
  <c r="K13" i="15"/>
  <c r="L13" i="15"/>
  <c r="M13" i="15"/>
  <c r="N13" i="15"/>
  <c r="O13" i="15"/>
  <c r="P13" i="15"/>
  <c r="Q13" i="15"/>
  <c r="R13" i="15"/>
  <c r="S13" i="15"/>
  <c r="T13" i="15"/>
  <c r="U13" i="15"/>
  <c r="V13" i="15"/>
  <c r="W13" i="15"/>
  <c r="X13" i="15"/>
  <c r="Y13" i="15"/>
  <c r="Z13" i="15"/>
  <c r="AA13" i="15"/>
  <c r="AB13" i="15"/>
  <c r="AC13" i="15"/>
  <c r="AD13" i="15"/>
  <c r="AE13" i="15"/>
  <c r="AF13" i="15"/>
  <c r="AG13" i="15"/>
  <c r="AH13" i="15"/>
  <c r="AI13" i="15"/>
  <c r="AJ13" i="15"/>
  <c r="AK13" i="15"/>
  <c r="AL13" i="15"/>
  <c r="AM13" i="15"/>
  <c r="AN13" i="15"/>
  <c r="AO13" i="15"/>
  <c r="AP13" i="15"/>
  <c r="AQ13" i="15"/>
  <c r="AR13" i="15"/>
  <c r="AS13" i="15"/>
  <c r="AT13" i="15"/>
  <c r="AU13" i="15"/>
  <c r="AV13" i="15"/>
  <c r="AW13" i="15"/>
  <c r="AX13" i="15"/>
  <c r="AY13" i="15"/>
  <c r="AZ13" i="15"/>
  <c r="BA13" i="15"/>
  <c r="BB13" i="15"/>
  <c r="BC13" i="15"/>
  <c r="BD13" i="15"/>
  <c r="BE13" i="15"/>
  <c r="BF13" i="15"/>
  <c r="BG13" i="15"/>
  <c r="BH13" i="15"/>
  <c r="BI13" i="15"/>
  <c r="BJ13" i="15"/>
  <c r="BK13" i="15"/>
  <c r="BL13" i="15"/>
  <c r="BM13" i="15"/>
  <c r="BN13" i="15"/>
  <c r="BO13" i="15"/>
  <c r="H13" i="15"/>
  <c r="I13" i="15"/>
  <c r="BC33" i="11"/>
  <c r="W33" i="11"/>
  <c r="X33" i="11"/>
  <c r="Y33" i="11"/>
  <c r="Z33" i="11"/>
  <c r="AA33" i="11"/>
  <c r="N33" i="11"/>
  <c r="O33" i="11"/>
  <c r="P33" i="11"/>
  <c r="Q33" i="11"/>
  <c r="R33" i="11"/>
  <c r="S33" i="11"/>
  <c r="T33" i="11"/>
  <c r="U33" i="11"/>
  <c r="V33" i="11"/>
  <c r="F33" i="11"/>
  <c r="G33" i="11"/>
  <c r="H33" i="11"/>
  <c r="I33" i="11"/>
  <c r="J33" i="11"/>
  <c r="K33" i="11"/>
  <c r="L33" i="11"/>
  <c r="M33" i="11"/>
  <c r="E33" i="11"/>
  <c r="E32" i="11"/>
  <c r="E13" i="15"/>
  <c r="F13" i="15"/>
  <c r="G13" i="15"/>
  <c r="D13" i="15"/>
  <c r="BC32" i="11"/>
  <c r="W32" i="11"/>
  <c r="P32" i="11"/>
  <c r="O32" i="11"/>
  <c r="N32" i="11"/>
  <c r="M32" i="11"/>
  <c r="H32" i="11"/>
  <c r="G32" i="11"/>
  <c r="H31" i="11"/>
  <c r="F32" i="11"/>
  <c r="B32" i="11"/>
  <c r="V44" i="14"/>
  <c r="N43" i="14"/>
  <c r="L43" i="14"/>
  <c r="F43" i="14"/>
  <c r="M43" i="14"/>
  <c r="K43" i="14"/>
  <c r="U43" i="14"/>
  <c r="E43" i="14"/>
  <c r="E23" i="11"/>
  <c r="E2" i="11"/>
  <c r="Y43" i="14"/>
  <c r="AI43" i="14"/>
  <c r="X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2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2" i="11"/>
  <c r="X43" i="14"/>
  <c r="Z43" i="14"/>
  <c r="F31" i="11"/>
  <c r="F29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30" i="11"/>
  <c r="AB33" i="11"/>
  <c r="AC33" i="11"/>
  <c r="AD33" i="1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AQ33" i="11"/>
  <c r="AR33" i="11"/>
  <c r="AS33" i="11"/>
  <c r="AT33" i="11"/>
  <c r="AU33" i="11"/>
  <c r="AV33" i="11"/>
  <c r="AW33" i="11"/>
  <c r="AX33" i="11"/>
  <c r="AY33" i="11"/>
  <c r="AZ33" i="11"/>
  <c r="BA33" i="11"/>
  <c r="BB33" i="11"/>
  <c r="BF33" i="11"/>
  <c r="BG33" i="11"/>
  <c r="BH33" i="11"/>
  <c r="BI33" i="11"/>
  <c r="BJ33" i="11"/>
  <c r="BK33" i="11"/>
  <c r="BL33" i="11"/>
  <c r="BM33" i="11"/>
  <c r="BN33" i="11"/>
  <c r="BO33" i="11"/>
  <c r="BP33" i="11"/>
  <c r="E31" i="11"/>
  <c r="G10" i="11"/>
  <c r="G3" i="11"/>
  <c r="P31" i="11"/>
  <c r="O31" i="11"/>
  <c r="N31" i="11"/>
  <c r="M31" i="11"/>
  <c r="G31" i="11"/>
  <c r="BD30" i="11"/>
  <c r="P30" i="11"/>
  <c r="O30" i="11"/>
  <c r="N30" i="11"/>
  <c r="M30" i="11"/>
  <c r="H30" i="11"/>
  <c r="G30" i="11"/>
  <c r="E30" i="11"/>
  <c r="BD29" i="11"/>
  <c r="P29" i="11"/>
  <c r="O29" i="11"/>
  <c r="N29" i="11"/>
  <c r="M29" i="11"/>
  <c r="H29" i="11"/>
  <c r="G29" i="11"/>
  <c r="E29" i="11"/>
  <c r="BD28" i="11"/>
  <c r="P28" i="11"/>
  <c r="O28" i="11"/>
  <c r="N28" i="11"/>
  <c r="M28" i="11"/>
  <c r="H28" i="11"/>
  <c r="G28" i="11"/>
  <c r="E28" i="11"/>
  <c r="BD27" i="11"/>
  <c r="P27" i="11"/>
  <c r="O27" i="11"/>
  <c r="N27" i="11"/>
  <c r="M27" i="11"/>
  <c r="H27" i="11"/>
  <c r="G27" i="11"/>
  <c r="E27" i="11"/>
  <c r="BD26" i="11"/>
  <c r="P26" i="11"/>
  <c r="O26" i="11"/>
  <c r="N26" i="11"/>
  <c r="M26" i="11"/>
  <c r="H26" i="11"/>
  <c r="G26" i="11"/>
  <c r="E26" i="11"/>
  <c r="BD25" i="11"/>
  <c r="P25" i="11"/>
  <c r="O25" i="11"/>
  <c r="N25" i="11"/>
  <c r="M25" i="11"/>
  <c r="H25" i="11"/>
  <c r="G25" i="11"/>
  <c r="E25" i="11"/>
  <c r="BD24" i="11"/>
  <c r="P24" i="11"/>
  <c r="O24" i="11"/>
  <c r="N24" i="11"/>
  <c r="M24" i="11"/>
  <c r="H24" i="11"/>
  <c r="G24" i="11"/>
  <c r="E24" i="11"/>
  <c r="BD23" i="11"/>
  <c r="P23" i="11"/>
  <c r="O23" i="11"/>
  <c r="N23" i="11"/>
  <c r="M23" i="11"/>
  <c r="H23" i="11"/>
  <c r="G23" i="11"/>
  <c r="BD22" i="11"/>
  <c r="P22" i="11"/>
  <c r="O22" i="11"/>
  <c r="N22" i="11"/>
  <c r="M22" i="11"/>
  <c r="H22" i="11"/>
  <c r="G22" i="11"/>
  <c r="E22" i="11"/>
  <c r="BD21" i="11"/>
  <c r="P21" i="11"/>
  <c r="O21" i="11"/>
  <c r="N21" i="11"/>
  <c r="M21" i="11"/>
  <c r="H21" i="11"/>
  <c r="G21" i="11"/>
  <c r="E21" i="11"/>
  <c r="BD20" i="11"/>
  <c r="P20" i="11"/>
  <c r="O20" i="11"/>
  <c r="N20" i="11"/>
  <c r="M20" i="11"/>
  <c r="H20" i="11"/>
  <c r="G20" i="11"/>
  <c r="E20" i="11"/>
  <c r="BD19" i="11"/>
  <c r="P19" i="11"/>
  <c r="O19" i="11"/>
  <c r="N19" i="11"/>
  <c r="M19" i="11"/>
  <c r="H19" i="11"/>
  <c r="G19" i="11"/>
  <c r="E19" i="11"/>
  <c r="BD18" i="11"/>
  <c r="P18" i="11"/>
  <c r="O18" i="11"/>
  <c r="N18" i="11"/>
  <c r="M18" i="11"/>
  <c r="H18" i="11"/>
  <c r="G18" i="11"/>
  <c r="E18" i="11"/>
  <c r="BD17" i="11"/>
  <c r="P17" i="11"/>
  <c r="O17" i="11"/>
  <c r="N17" i="11"/>
  <c r="M17" i="11"/>
  <c r="H17" i="11"/>
  <c r="G17" i="11"/>
  <c r="E17" i="11"/>
  <c r="BD16" i="11"/>
  <c r="P16" i="11"/>
  <c r="O16" i="11"/>
  <c r="N16" i="11"/>
  <c r="M16" i="11"/>
  <c r="H16" i="11"/>
  <c r="G16" i="11"/>
  <c r="E16" i="11"/>
  <c r="BD15" i="11"/>
  <c r="P15" i="11"/>
  <c r="O15" i="11"/>
  <c r="N15" i="11"/>
  <c r="M15" i="11"/>
  <c r="H15" i="11"/>
  <c r="G15" i="11"/>
  <c r="E15" i="11"/>
  <c r="BD14" i="11"/>
  <c r="P14" i="11"/>
  <c r="O14" i="11"/>
  <c r="N14" i="11"/>
  <c r="M14" i="11"/>
  <c r="H14" i="11"/>
  <c r="G14" i="11"/>
  <c r="E14" i="11"/>
  <c r="BD13" i="11"/>
  <c r="P13" i="11"/>
  <c r="O13" i="11"/>
  <c r="N13" i="11"/>
  <c r="M13" i="11"/>
  <c r="H13" i="11"/>
  <c r="G13" i="11"/>
  <c r="E13" i="11"/>
  <c r="BD12" i="11"/>
  <c r="P12" i="11"/>
  <c r="O12" i="11"/>
  <c r="N12" i="11"/>
  <c r="M12" i="11"/>
  <c r="H12" i="11"/>
  <c r="G12" i="11"/>
  <c r="E12" i="11"/>
  <c r="BD11" i="11"/>
  <c r="P11" i="11"/>
  <c r="O11" i="11"/>
  <c r="N11" i="11"/>
  <c r="M11" i="11"/>
  <c r="H11" i="11"/>
  <c r="G11" i="11"/>
  <c r="E11" i="11"/>
  <c r="BD10" i="11"/>
  <c r="P10" i="11"/>
  <c r="O10" i="11"/>
  <c r="N10" i="11"/>
  <c r="M10" i="11"/>
  <c r="H10" i="11"/>
  <c r="E10" i="11"/>
  <c r="BD9" i="11"/>
  <c r="P9" i="11"/>
  <c r="O9" i="11"/>
  <c r="N9" i="11"/>
  <c r="M9" i="11"/>
  <c r="H9" i="11"/>
  <c r="G9" i="11"/>
  <c r="E9" i="11"/>
  <c r="BD8" i="11"/>
  <c r="P8" i="11"/>
  <c r="O8" i="11"/>
  <c r="N8" i="11"/>
  <c r="M8" i="11"/>
  <c r="H8" i="11"/>
  <c r="G8" i="11"/>
  <c r="E8" i="11"/>
  <c r="BD7" i="11"/>
  <c r="P7" i="11"/>
  <c r="O7" i="11"/>
  <c r="N7" i="11"/>
  <c r="M7" i="11"/>
  <c r="H7" i="11"/>
  <c r="G7" i="11"/>
  <c r="E7" i="11"/>
  <c r="BD6" i="11"/>
  <c r="P6" i="11"/>
  <c r="O6" i="11"/>
  <c r="N6" i="11"/>
  <c r="M6" i="11"/>
  <c r="H6" i="11"/>
  <c r="G6" i="11"/>
  <c r="E6" i="11"/>
  <c r="BD5" i="11"/>
  <c r="P5" i="11"/>
  <c r="O5" i="11"/>
  <c r="N5" i="11"/>
  <c r="M5" i="11"/>
  <c r="H5" i="11"/>
  <c r="G5" i="11"/>
  <c r="E5" i="11"/>
  <c r="BD4" i="11"/>
  <c r="P4" i="11"/>
  <c r="O4" i="11"/>
  <c r="N4" i="11"/>
  <c r="M4" i="11"/>
  <c r="H4" i="11"/>
  <c r="G4" i="11"/>
  <c r="E4" i="11"/>
  <c r="BD3" i="11"/>
  <c r="P3" i="11"/>
  <c r="O3" i="11"/>
  <c r="N3" i="11"/>
  <c r="M3" i="11"/>
  <c r="H3" i="11"/>
  <c r="E3" i="1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D2" i="11"/>
  <c r="BD33" i="11" s="1"/>
  <c r="P2" i="11"/>
  <c r="O2" i="11"/>
  <c r="N2" i="11"/>
  <c r="M2" i="11"/>
  <c r="H2" i="11"/>
  <c r="G2" i="11"/>
</calcChain>
</file>

<file path=xl/sharedStrings.xml><?xml version="1.0" encoding="utf-8"?>
<sst xmlns="http://schemas.openxmlformats.org/spreadsheetml/2006/main" count="254" uniqueCount="81">
  <si>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</si>
  <si>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</si>
  <si>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</si>
  <si>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</si>
  <si>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</si>
  <si>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</si>
  <si>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</si>
  <si>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</si>
  <si>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</si>
  <si>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</si>
  <si>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</si>
  <si>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</si>
  <si>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</si>
  <si>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</si>
  <si>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</si>
  <si>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</si>
  <si>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</si>
  <si>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</si>
  <si>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</si>
  <si>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</si>
  <si>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</si>
  <si>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</si>
  <si>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</si>
  <si>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</si>
  <si>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</si>
  <si>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</si>
  <si>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</si>
  <si>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</si>
  <si>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</si>
  <si>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</si>
  <si>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</si>
  <si>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</si>
  <si>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</si>
  <si>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</si>
  <si>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</si>
  <si>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</si>
  <si>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</si>
  <si>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</si>
  <si>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</si>
  <si>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</si>
  <si>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</si>
  <si>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</si>
  <si>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</si>
  <si>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</si>
  <si>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</si>
  <si>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</si>
  <si>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</si>
  <si>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</si>
  <si>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</si>
  <si>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</si>
  <si>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</si>
  <si>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</si>
  <si>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</si>
  <si>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</si>
  <si>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</si>
  <si>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</si>
  <si>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</si>
  <si>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</si>
  <si>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</si>
  <si>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</si>
  <si>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</si>
  <si>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</si>
  <si>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</si>
  <si>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</si>
  <si>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</si>
  <si>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</si>
  <si>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</si>
  <si>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</si>
  <si>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</si>
  <si>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Four Seasons Resort Bali at Sayan</t>
  </si>
  <si>
    <t>Dec 2022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</si>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</sst>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b/>
      <sz val="11"/>
      <color rgb="FFFF0000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rgb="FF000000"/>
      <name val="Book Antiqua"/>
      <family val="1"/>
    </font>
    <font>
      <sz val="10"/>
      <name val="Book Antiqua"/>
      <family val="1"/>
    </font>
    <font>
      <sz val="10"/>
      <name val="Arial"/>
      <family val="2"/>
    </font>
    <font>
      <sz val="10"/>
      <name val="Arial"/>
      <family val="2"/>
    </font>
    <font>
      <sz val="11"/>
      <color rgb="FF444444"/>
      <name val="Calibri"/>
      <family val="2"/>
      <charset val="1"/>
    </font>
    <font>
      <b/>
      <sz val="12"/>
      <name val="Book Antiqua"/>
      <family val="1"/>
    </font>
    <font>
      <sz val="12"/>
      <color rgb="FF595959"/>
      <name val="ArialMT"/>
      <charset val="1"/>
    </font>
    <font>
      <sz val="9"/>
      <color rgb="FF595959"/>
      <name val="ArialMT"/>
      <charset val="1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41" fontId="11" fillId="0" borderId="0" applyFont="0" applyFill="0" applyBorder="0" applyAlignment="0" applyProtection="0"/>
    <xf numFmtId="0" fontId="11" fillId="0" borderId="0"/>
    <xf numFmtId="43" fontId="2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</cellStyleXfs>
  <cellXfs count="106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2" xfId="0" applyFont="1" applyFill="1" applyBorder="1" applyAlignment="1">
      <alignment horizontal="center" vertical="center" shrinkToFit="1"/>
    </xf>
    <xf numFmtId="165" fontId="0" fillId="0" borderId="7" xfId="1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/>
    <xf numFmtId="0" fontId="0" fillId="0" borderId="14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2" fillId="0" borderId="0" xfId="1" applyNumberFormat="1" applyFont="1" applyBorder="1"/>
    <xf numFmtId="165" fontId="0" fillId="0" borderId="0" xfId="0" applyNumberFormat="1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3" fillId="0" borderId="2" xfId="0" applyFont="1" applyBorder="1"/>
    <xf numFmtId="0" fontId="14" fillId="0" borderId="2" xfId="0" applyFont="1" applyBorder="1" applyAlignment="1">
      <alignment horizontal="right"/>
    </xf>
    <xf numFmtId="0" fontId="14" fillId="0" borderId="2" xfId="0" applyFont="1" applyBorder="1"/>
    <xf numFmtId="0" fontId="14" fillId="0" borderId="5" xfId="0" applyFont="1" applyBorder="1"/>
    <xf numFmtId="0" fontId="14" fillId="0" borderId="5" xfId="0" applyFont="1" applyBorder="1" applyAlignment="1">
      <alignment horizontal="right"/>
    </xf>
    <xf numFmtId="0" fontId="0" fillId="0" borderId="2" xfId="0" applyBorder="1" applyAlignment="1">
      <alignment vertical="center"/>
    </xf>
    <xf numFmtId="0" fontId="15" fillId="0" borderId="2" xfId="0" applyFont="1" applyBorder="1"/>
    <xf numFmtId="0" fontId="0" fillId="0" borderId="3" xfId="0" applyBorder="1" applyAlignment="1">
      <alignment vertical="center"/>
    </xf>
    <xf numFmtId="0" fontId="0" fillId="3" borderId="5" xfId="0" applyFill="1" applyBorder="1"/>
    <xf numFmtId="165" fontId="0" fillId="3" borderId="15" xfId="0" applyNumberFormat="1" applyFill="1" applyBorder="1"/>
    <xf numFmtId="165" fontId="0" fillId="0" borderId="15" xfId="0" applyNumberFormat="1" applyBorder="1"/>
    <xf numFmtId="0" fontId="0" fillId="0" borderId="15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15" fillId="0" borderId="5" xfId="0" applyFont="1" applyBorder="1"/>
    <xf numFmtId="0" fontId="0" fillId="3" borderId="5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165" fontId="0" fillId="3" borderId="15" xfId="0" applyNumberFormat="1" applyFill="1" applyBorder="1" applyAlignment="1">
      <alignment vertical="center"/>
    </xf>
    <xf numFmtId="0" fontId="8" fillId="7" borderId="2" xfId="0" applyFont="1" applyFill="1" applyBorder="1" applyAlignment="1">
      <alignment horizontal="center" vertical="center" shrinkToFit="1"/>
    </xf>
    <xf numFmtId="166" fontId="4" fillId="3" borderId="0" xfId="0" applyNumberFormat="1" applyFont="1" applyFill="1" applyAlignment="1">
      <alignment vertical="center"/>
    </xf>
    <xf numFmtId="166" fontId="5" fillId="0" borderId="0" xfId="0" applyNumberFormat="1" applyFont="1" applyAlignment="1">
      <alignment vertical="center"/>
    </xf>
    <xf numFmtId="166" fontId="1" fillId="0" borderId="2" xfId="0" applyNumberFormat="1" applyFont="1" applyBorder="1" applyAlignment="1">
      <alignment vertical="center" wrapText="1"/>
    </xf>
    <xf numFmtId="166" fontId="0" fillId="0" borderId="2" xfId="0" applyNumberFormat="1" applyBorder="1" applyAlignment="1">
      <alignment vertical="center"/>
    </xf>
    <xf numFmtId="166" fontId="0" fillId="3" borderId="5" xfId="0" applyNumberFormat="1" applyFill="1" applyBorder="1" applyAlignment="1">
      <alignment vertical="center"/>
    </xf>
    <xf numFmtId="166" fontId="0" fillId="3" borderId="15" xfId="0" applyNumberFormat="1" applyFill="1" applyBorder="1" applyAlignment="1">
      <alignment vertical="center"/>
    </xf>
    <xf numFmtId="166" fontId="0" fillId="0" borderId="0" xfId="0" applyNumberFormat="1" applyAlignment="1">
      <alignment vertical="center"/>
    </xf>
    <xf numFmtId="0" fontId="17" fillId="0" borderId="0" xfId="0" applyFont="1"/>
    <xf numFmtId="0" fontId="1" fillId="0" borderId="2" xfId="0" applyFont="1" applyBorder="1" applyAlignment="1">
      <alignment horizontal="right" vertical="center" wrapText="1"/>
    </xf>
    <xf numFmtId="0" fontId="12" fillId="0" borderId="0" xfId="0" applyFont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6" fillId="3" borderId="2" xfId="0" applyFont="1" applyFill="1" applyBorder="1"/>
    <xf numFmtId="0" fontId="18" fillId="0" borderId="2" xfId="0" applyFont="1" applyBorder="1" applyAlignment="1">
      <alignment horizontal="right"/>
    </xf>
    <xf numFmtId="1" fontId="0" fillId="0" borderId="2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15" fillId="0" borderId="16" xfId="0" applyFont="1" applyBorder="1"/>
    <xf numFmtId="0" fontId="0" fillId="0" borderId="16" xfId="0" applyBorder="1"/>
    <xf numFmtId="0" fontId="0" fillId="0" borderId="4" xfId="0" applyBorder="1" applyAlignment="1">
      <alignment vertical="center"/>
    </xf>
    <xf numFmtId="0" fontId="15" fillId="0" borderId="17" xfId="0" applyFont="1" applyBorder="1"/>
    <xf numFmtId="166" fontId="0" fillId="0" borderId="4" xfId="0" applyNumberFormat="1" applyBorder="1" applyAlignment="1">
      <alignment vertical="center"/>
    </xf>
    <xf numFmtId="166" fontId="0" fillId="0" borderId="18" xfId="0" applyNumberFormat="1" applyBorder="1" applyAlignment="1">
      <alignment vertical="center"/>
    </xf>
    <xf numFmtId="0" fontId="6" fillId="3" borderId="17" xfId="0" applyFont="1" applyFill="1" applyBorder="1"/>
    <xf numFmtId="0" fontId="1" fillId="0" borderId="16" xfId="0" applyFont="1" applyBorder="1" applyAlignment="1">
      <alignment vertical="center" wrapText="1"/>
    </xf>
    <xf numFmtId="0" fontId="19" fillId="0" borderId="0" xfId="0" applyFont="1" applyAlignment="1">
      <alignment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16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1" xfId="0" applyNumberFormat="1" applyFont="1" applyFill="1" applyBorder="1" applyAlignment="1">
      <alignment horizontal="left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164" fontId="0" fillId="0" borderId="9" xfId="1" applyFont="1" applyBorder="1" applyAlignment="1">
      <alignment horizontal="center" vertical="center" wrapText="1"/>
    </xf>
    <xf numFmtId="164" fontId="0" fillId="0" borderId="10" xfId="1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20" fillId="0" borderId="16" xfId="0" applyFont="1" applyBorder="1" applyAlignment="1"/>
    <xf numFmtId="0" fontId="0" fillId="0" borderId="21" xfId="0" applyBorder="1"/>
    <xf numFmtId="0" fontId="1" fillId="0" borderId="16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ctricity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3"/>
  <sheetViews>
    <sheetView tabSelected="1" topLeftCell="AX1" workbookViewId="0">
      <selection activeCell="BC12" sqref="BC12"/>
    </sheetView>
  </sheetViews>
  <sheetFormatPr defaultColWidth="8.85546875"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B2">
        <v>1</v>
      </c>
      <c r="C2">
        <v>2022</v>
      </c>
      <c r="D2">
        <v>69</v>
      </c>
      <c r="E2">
        <v>0</v>
      </c>
      <c r="F2">
        <v>47.2</v>
      </c>
      <c r="G2">
        <v>0</v>
      </c>
      <c r="H2">
        <v>95.59999999999998</v>
      </c>
      <c r="I2">
        <v>0</v>
      </c>
      <c r="J2">
        <v>69</v>
      </c>
      <c r="K2">
        <v>0</v>
      </c>
      <c r="L2">
        <v>16</v>
      </c>
      <c r="M2">
        <v>0</v>
      </c>
      <c r="N2">
        <v>53.800000000000004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10501</v>
      </c>
      <c r="W2">
        <v>8800000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7365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</row>
    <row r="3" spans="1:67">
      <c r="A3" t="s">
        <v>67</v>
      </c>
      <c r="B3">
        <v>2</v>
      </c>
      <c r="C3">
        <v>2022</v>
      </c>
      <c r="D3">
        <v>412</v>
      </c>
      <c r="E3">
        <v>0</v>
      </c>
      <c r="F3">
        <v>49.70000000000001</v>
      </c>
      <c r="G3">
        <v>0</v>
      </c>
      <c r="H3">
        <v>156.69999999999996</v>
      </c>
      <c r="I3">
        <v>0</v>
      </c>
      <c r="J3">
        <v>67</v>
      </c>
      <c r="K3">
        <v>0</v>
      </c>
      <c r="L3">
        <v>13</v>
      </c>
      <c r="M3">
        <v>0</v>
      </c>
      <c r="N3">
        <v>54.400000000000006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7101</v>
      </c>
      <c r="W3">
        <v>8800000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6555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</row>
    <row r="4" spans="1:67">
      <c r="A4" t="s">
        <v>67</v>
      </c>
      <c r="B4">
        <v>3</v>
      </c>
      <c r="C4">
        <v>2022</v>
      </c>
      <c r="D4">
        <v>95</v>
      </c>
      <c r="E4">
        <v>0</v>
      </c>
      <c r="F4">
        <v>63.7</v>
      </c>
      <c r="G4">
        <v>0</v>
      </c>
      <c r="H4">
        <v>179.29999999999998</v>
      </c>
      <c r="I4">
        <v>0</v>
      </c>
      <c r="J4">
        <v>95</v>
      </c>
      <c r="K4">
        <v>0</v>
      </c>
      <c r="L4">
        <v>16</v>
      </c>
      <c r="M4">
        <v>0</v>
      </c>
      <c r="N4">
        <v>79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9628</v>
      </c>
      <c r="W4">
        <v>8800000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8540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</row>
    <row r="5" spans="1:67">
      <c r="A5" t="s">
        <v>67</v>
      </c>
      <c r="B5">
        <v>4</v>
      </c>
      <c r="C5">
        <v>2022</v>
      </c>
      <c r="D5" s="64">
        <v>135.69999999999999</v>
      </c>
      <c r="E5">
        <v>0</v>
      </c>
      <c r="F5">
        <v>144.1</v>
      </c>
      <c r="G5">
        <v>0</v>
      </c>
      <c r="H5">
        <v>69.000000000000014</v>
      </c>
      <c r="I5">
        <v>0</v>
      </c>
      <c r="J5">
        <v>135.69999999999999</v>
      </c>
      <c r="K5">
        <v>0</v>
      </c>
      <c r="L5">
        <v>0</v>
      </c>
      <c r="M5">
        <v>0</v>
      </c>
      <c r="N5">
        <v>89.7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3668</v>
      </c>
      <c r="W5">
        <v>8800000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19488.3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</row>
    <row r="6" spans="1:67">
      <c r="A6" t="s">
        <v>67</v>
      </c>
      <c r="B6">
        <v>5</v>
      </c>
      <c r="C6">
        <v>2022</v>
      </c>
      <c r="D6" s="64">
        <v>198.30000000000004</v>
      </c>
      <c r="E6">
        <v>0</v>
      </c>
      <c r="F6">
        <v>118.19999999999999</v>
      </c>
      <c r="G6">
        <v>0</v>
      </c>
      <c r="H6">
        <v>260.8</v>
      </c>
      <c r="I6">
        <v>0</v>
      </c>
      <c r="J6">
        <v>106.69999999999999</v>
      </c>
      <c r="K6">
        <v>0</v>
      </c>
      <c r="L6">
        <v>0</v>
      </c>
      <c r="M6">
        <v>0</v>
      </c>
      <c r="N6">
        <v>58.600000000000009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7190</v>
      </c>
      <c r="W6">
        <v>8800000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16080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</row>
    <row r="7" spans="1:67">
      <c r="A7" t="s">
        <v>67</v>
      </c>
      <c r="B7">
        <v>6</v>
      </c>
      <c r="C7">
        <v>2022</v>
      </c>
      <c r="D7" s="64">
        <v>489.20000000000005</v>
      </c>
      <c r="E7">
        <v>0</v>
      </c>
      <c r="F7">
        <v>367.59999999999991</v>
      </c>
      <c r="G7">
        <v>0</v>
      </c>
      <c r="H7">
        <v>140.89999999999998</v>
      </c>
      <c r="I7">
        <v>0</v>
      </c>
      <c r="J7">
        <v>0</v>
      </c>
      <c r="K7">
        <v>0</v>
      </c>
      <c r="L7">
        <v>0</v>
      </c>
      <c r="M7">
        <v>0</v>
      </c>
      <c r="N7">
        <v>297.69999999999993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6478</v>
      </c>
      <c r="W7">
        <v>8800000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13801.4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</row>
    <row r="8" spans="1:67">
      <c r="A8" t="s">
        <v>67</v>
      </c>
      <c r="B8">
        <v>7</v>
      </c>
      <c r="C8">
        <v>2022</v>
      </c>
      <c r="D8">
        <v>223</v>
      </c>
      <c r="E8">
        <v>-22780</v>
      </c>
      <c r="F8">
        <v>132.6</v>
      </c>
      <c r="G8">
        <v>-260180</v>
      </c>
      <c r="H8">
        <v>0</v>
      </c>
      <c r="I8">
        <v>0</v>
      </c>
      <c r="J8">
        <v>0</v>
      </c>
      <c r="K8">
        <v>0</v>
      </c>
      <c r="L8">
        <v>42.5</v>
      </c>
      <c r="M8">
        <v>-13500</v>
      </c>
      <c r="N8">
        <v>25.8</v>
      </c>
      <c r="O8">
        <v>-1200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7790</v>
      </c>
      <c r="W8">
        <v>6900000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4656.5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</row>
    <row r="9" spans="1:67">
      <c r="A9" t="s">
        <v>67</v>
      </c>
      <c r="B9">
        <v>8</v>
      </c>
      <c r="C9">
        <v>2022</v>
      </c>
      <c r="D9">
        <v>226</v>
      </c>
      <c r="E9">
        <v>-105350</v>
      </c>
      <c r="F9">
        <v>141</v>
      </c>
      <c r="G9">
        <v>0</v>
      </c>
      <c r="H9">
        <v>0</v>
      </c>
      <c r="I9">
        <v>0</v>
      </c>
      <c r="J9">
        <v>0</v>
      </c>
      <c r="K9">
        <v>0</v>
      </c>
      <c r="L9">
        <v>27</v>
      </c>
      <c r="M9">
        <v>-74000</v>
      </c>
      <c r="N9">
        <v>8</v>
      </c>
      <c r="O9">
        <v>-350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7740</v>
      </c>
      <c r="W9">
        <v>6900000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3120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</row>
    <row r="10" spans="1:67">
      <c r="A10" t="s">
        <v>67</v>
      </c>
      <c r="B10">
        <v>9</v>
      </c>
      <c r="C10">
        <v>2022</v>
      </c>
      <c r="D10">
        <v>210</v>
      </c>
      <c r="E10">
        <v>-44310</v>
      </c>
      <c r="F10">
        <v>102</v>
      </c>
      <c r="G10">
        <v>-36500</v>
      </c>
      <c r="H10">
        <v>0</v>
      </c>
      <c r="I10">
        <v>0</v>
      </c>
      <c r="J10">
        <v>0</v>
      </c>
      <c r="K10">
        <v>0</v>
      </c>
      <c r="L10">
        <v>19.399999999999999</v>
      </c>
      <c r="M10">
        <v>-81025</v>
      </c>
      <c r="N10">
        <v>88.4</v>
      </c>
      <c r="O10">
        <v>-27550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7730</v>
      </c>
      <c r="W10">
        <v>6900000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3080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</row>
    <row r="11" spans="1:67">
      <c r="A11" t="s">
        <v>67</v>
      </c>
      <c r="B11">
        <v>10</v>
      </c>
      <c r="C11">
        <v>2022</v>
      </c>
      <c r="D11">
        <v>385</v>
      </c>
      <c r="E11">
        <v>-12600</v>
      </c>
      <c r="F11">
        <v>40</v>
      </c>
      <c r="G11">
        <v>-25200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67.599999999999994</v>
      </c>
      <c r="O11">
        <v>-4230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7960</v>
      </c>
      <c r="W11">
        <v>6900000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4370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</row>
    <row r="12" spans="1:67">
      <c r="A12" t="s">
        <v>67</v>
      </c>
      <c r="B12">
        <v>11</v>
      </c>
      <c r="C12">
        <v>2022</v>
      </c>
      <c r="D12">
        <v>214.9</v>
      </c>
      <c r="E12">
        <v>-49125</v>
      </c>
      <c r="F12">
        <v>94</v>
      </c>
      <c r="G12">
        <v>-29125</v>
      </c>
      <c r="H12">
        <v>0</v>
      </c>
      <c r="I12">
        <v>0</v>
      </c>
      <c r="J12">
        <v>0</v>
      </c>
      <c r="K12">
        <v>0</v>
      </c>
      <c r="L12">
        <v>37</v>
      </c>
      <c r="M12">
        <v>-76500</v>
      </c>
      <c r="N12">
        <v>70.099999999999994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8160</v>
      </c>
      <c r="W12">
        <v>6900000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5670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</row>
    <row r="13" spans="1:67">
      <c r="A13" t="s">
        <v>67</v>
      </c>
      <c r="B13">
        <v>12</v>
      </c>
      <c r="C13">
        <v>2022</v>
      </c>
      <c r="D13">
        <f>TOTAL!E33</f>
        <v>443</v>
      </c>
      <c r="E13">
        <f>TOTAL!F33</f>
        <v>-114550</v>
      </c>
      <c r="F13">
        <f>TOTAL!G33</f>
        <v>158.1</v>
      </c>
      <c r="G13">
        <f>TOTAL!H33</f>
        <v>-45329</v>
      </c>
      <c r="H13">
        <f>TOTAL!I33</f>
        <v>0</v>
      </c>
      <c r="I13">
        <f>TOTAL!J33</f>
        <v>0</v>
      </c>
      <c r="J13">
        <f>TOTAL!K33</f>
        <v>0</v>
      </c>
      <c r="K13">
        <f>TOTAL!L33</f>
        <v>0</v>
      </c>
      <c r="L13">
        <f>TOTAL!M33</f>
        <v>84.6</v>
      </c>
      <c r="M13">
        <f>TOTAL!N33</f>
        <v>-29300</v>
      </c>
      <c r="N13">
        <f>TOTAL!O33</f>
        <v>72</v>
      </c>
      <c r="O13">
        <f>TOTAL!P33</f>
        <v>-20500</v>
      </c>
      <c r="P13">
        <f>TOTAL!Q33</f>
        <v>0</v>
      </c>
      <c r="Q13">
        <f>TOTAL!R33</f>
        <v>0</v>
      </c>
      <c r="R13">
        <f>TOTAL!S33</f>
        <v>0</v>
      </c>
      <c r="S13">
        <f>TOTAL!T33</f>
        <v>0</v>
      </c>
      <c r="T13">
        <f>TOTAL!U33</f>
        <v>0</v>
      </c>
      <c r="U13">
        <f>TOTAL!V33</f>
        <v>0</v>
      </c>
      <c r="V13">
        <f>TOTAL!W33</f>
        <v>8740</v>
      </c>
      <c r="W13">
        <f>TOTAL!X33</f>
        <v>6900000</v>
      </c>
      <c r="X13">
        <f>TOTAL!Y33</f>
        <v>0</v>
      </c>
      <c r="Y13">
        <f>TOTAL!Z33</f>
        <v>0</v>
      </c>
      <c r="Z13">
        <f>TOTAL!AA33</f>
        <v>0</v>
      </c>
      <c r="AA13">
        <f>TOTAL!AB33</f>
        <v>0</v>
      </c>
      <c r="AB13">
        <f>TOTAL!AC33</f>
        <v>0</v>
      </c>
      <c r="AC13">
        <f>TOTAL!AD33</f>
        <v>0</v>
      </c>
      <c r="AD13">
        <f>TOTAL!AE33</f>
        <v>0</v>
      </c>
      <c r="AE13">
        <f>TOTAL!AF33</f>
        <v>0</v>
      </c>
      <c r="AF13">
        <f>TOTAL!AG33</f>
        <v>0</v>
      </c>
      <c r="AG13">
        <f>TOTAL!AH33</f>
        <v>0</v>
      </c>
      <c r="AH13">
        <f>TOTAL!AI33</f>
        <v>0</v>
      </c>
      <c r="AI13">
        <f>TOTAL!AJ33</f>
        <v>0</v>
      </c>
      <c r="AJ13">
        <f>TOTAL!AK33</f>
        <v>0</v>
      </c>
      <c r="AK13">
        <f>TOTAL!AL33</f>
        <v>0</v>
      </c>
      <c r="AL13">
        <f>TOTAL!AM33</f>
        <v>0</v>
      </c>
      <c r="AM13">
        <f>TOTAL!AN33</f>
        <v>0</v>
      </c>
      <c r="AN13">
        <f>TOTAL!AO33</f>
        <v>0</v>
      </c>
      <c r="AO13">
        <f>TOTAL!AP33</f>
        <v>0</v>
      </c>
      <c r="AP13">
        <f>TOTAL!AQ33</f>
        <v>0</v>
      </c>
      <c r="AQ13">
        <f>TOTAL!AR33</f>
        <v>0</v>
      </c>
      <c r="AR13">
        <f>TOTAL!AS33</f>
        <v>0</v>
      </c>
      <c r="AS13">
        <f>TOTAL!AT33</f>
        <v>0</v>
      </c>
      <c r="AT13">
        <f>TOTAL!AU33</f>
        <v>0</v>
      </c>
      <c r="AU13">
        <f>TOTAL!AV33</f>
        <v>0</v>
      </c>
      <c r="AV13">
        <f>TOTAL!AW33</f>
        <v>0</v>
      </c>
      <c r="AW13">
        <f>TOTAL!AX33</f>
        <v>0</v>
      </c>
      <c r="AX13">
        <f>TOTAL!AY33</f>
        <v>0</v>
      </c>
      <c r="AY13">
        <f>TOTAL!AZ33</f>
        <v>0</v>
      </c>
      <c r="AZ13">
        <f>TOTAL!BA33</f>
        <v>0</v>
      </c>
      <c r="BA13">
        <f>TOTAL!BB33</f>
        <v>0</v>
      </c>
      <c r="BB13">
        <f>TOTAL!BC33</f>
        <v>7450</v>
      </c>
      <c r="BC13">
        <f>TOTAL!BD33</f>
        <v>0</v>
      </c>
      <c r="BD13">
        <f>TOTAL!BE33</f>
        <v>0</v>
      </c>
      <c r="BE13">
        <f>TOTAL!BF33</f>
        <v>0</v>
      </c>
      <c r="BF13">
        <f>TOTAL!BG33</f>
        <v>0</v>
      </c>
      <c r="BG13">
        <f>TOTAL!BH33</f>
        <v>0</v>
      </c>
      <c r="BH13">
        <f>TOTAL!BI33</f>
        <v>0</v>
      </c>
      <c r="BI13">
        <f>TOTAL!BJ33</f>
        <v>0</v>
      </c>
      <c r="BJ13">
        <f>TOTAL!BK33</f>
        <v>0</v>
      </c>
      <c r="BK13">
        <f>TOTAL!BL33</f>
        <v>0</v>
      </c>
      <c r="BL13">
        <f>TOTAL!BM33</f>
        <v>0</v>
      </c>
      <c r="BM13">
        <f>TOTAL!BN33</f>
        <v>0</v>
      </c>
      <c r="BN13">
        <f>TOTAL!BO33</f>
        <v>0</v>
      </c>
      <c r="BO13">
        <f>TOTAL!BP33</f>
        <v>0</v>
      </c>
    </row>
    <row r="23" spans="4:4">
      <c r="D23" s="6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50"/>
  <sheetViews>
    <sheetView topLeftCell="AN18" workbookViewId="0">
      <selection activeCell="BC34" sqref="BC34"/>
    </sheetView>
  </sheetViews>
  <sheetFormatPr defaultColWidth="11.42578125" defaultRowHeight="15"/>
  <cols>
    <col min="1" max="1" width="18.42578125" style="18" customWidth="1"/>
    <col min="2" max="2" width="8.28515625" style="19" customWidth="1"/>
    <col min="3" max="3" width="7.42578125" style="20" customWidth="1"/>
    <col min="4" max="4" width="13.42578125" style="19" customWidth="1"/>
    <col min="5" max="5" width="8.7109375" style="63" customWidth="1"/>
    <col min="6" max="6" width="8.7109375" customWidth="1"/>
    <col min="7" max="7" width="8.7109375" style="63" customWidth="1"/>
    <col min="8" max="10" width="8.7109375" customWidth="1"/>
    <col min="11" max="23" width="8.42578125" customWidth="1"/>
    <col min="24" max="24" width="12.42578125" customWidth="1"/>
    <col min="25" max="55" width="8.42578125" customWidth="1"/>
    <col min="56" max="56" width="9.85546875" customWidth="1"/>
    <col min="57" max="68" width="8.42578125" customWidth="1"/>
  </cols>
  <sheetData>
    <row r="1" spans="1:68" s="14" customFormat="1" ht="113.25" customHeight="1">
      <c r="A1" s="12" t="s">
        <v>0</v>
      </c>
      <c r="B1" s="12" t="s">
        <v>68</v>
      </c>
      <c r="C1" s="13" t="s">
        <v>1</v>
      </c>
      <c r="D1" s="28" t="s">
        <v>2</v>
      </c>
      <c r="E1" s="61" t="s">
        <v>3</v>
      </c>
      <c r="F1" s="27" t="s">
        <v>4</v>
      </c>
      <c r="G1" s="61" t="s">
        <v>5</v>
      </c>
      <c r="H1" s="27" t="s">
        <v>6</v>
      </c>
      <c r="I1" s="27" t="s">
        <v>7</v>
      </c>
      <c r="J1" s="27" t="s">
        <v>8</v>
      </c>
      <c r="K1" s="27" t="s">
        <v>9</v>
      </c>
      <c r="L1" s="27" t="s">
        <v>10</v>
      </c>
      <c r="M1" s="27" t="s">
        <v>11</v>
      </c>
      <c r="N1" s="27" t="s">
        <v>12</v>
      </c>
      <c r="O1" s="27" t="s">
        <v>13</v>
      </c>
      <c r="P1" s="27" t="s">
        <v>14</v>
      </c>
      <c r="Q1" s="27" t="s">
        <v>15</v>
      </c>
      <c r="R1" s="27" t="s">
        <v>16</v>
      </c>
      <c r="S1" s="27" t="s">
        <v>17</v>
      </c>
      <c r="T1" s="27" t="s">
        <v>18</v>
      </c>
      <c r="U1" s="27" t="s">
        <v>19</v>
      </c>
      <c r="V1" s="27" t="s">
        <v>20</v>
      </c>
      <c r="W1" s="27" t="s">
        <v>21</v>
      </c>
      <c r="X1" s="27" t="s">
        <v>22</v>
      </c>
      <c r="Y1" s="27" t="s">
        <v>23</v>
      </c>
      <c r="Z1" s="27" t="s">
        <v>24</v>
      </c>
      <c r="AA1" s="27" t="s">
        <v>25</v>
      </c>
      <c r="AB1" s="27" t="s">
        <v>26</v>
      </c>
      <c r="AC1" s="27" t="s">
        <v>27</v>
      </c>
      <c r="AD1" s="27" t="s">
        <v>28</v>
      </c>
      <c r="AE1" s="27" t="s">
        <v>29</v>
      </c>
      <c r="AF1" s="27" t="s">
        <v>30</v>
      </c>
      <c r="AG1" s="27" t="s">
        <v>31</v>
      </c>
      <c r="AH1" s="27" t="s">
        <v>32</v>
      </c>
      <c r="AI1" s="27" t="s">
        <v>33</v>
      </c>
      <c r="AJ1" s="27" t="s">
        <v>34</v>
      </c>
      <c r="AK1" s="27" t="s">
        <v>35</v>
      </c>
      <c r="AL1" s="27" t="s">
        <v>36</v>
      </c>
      <c r="AM1" s="27" t="s">
        <v>37</v>
      </c>
      <c r="AN1" s="27" t="s">
        <v>38</v>
      </c>
      <c r="AO1" s="27" t="s">
        <v>39</v>
      </c>
      <c r="AP1" s="27" t="s">
        <v>40</v>
      </c>
      <c r="AQ1" s="27" t="s">
        <v>41</v>
      </c>
      <c r="AR1" s="27" t="s">
        <v>42</v>
      </c>
      <c r="AS1" s="27" t="s">
        <v>43</v>
      </c>
      <c r="AT1" s="27" t="s">
        <v>44</v>
      </c>
      <c r="AU1" s="27" t="s">
        <v>45</v>
      </c>
      <c r="AV1" s="27" t="s">
        <v>46</v>
      </c>
      <c r="AW1" s="27" t="s">
        <v>47</v>
      </c>
      <c r="AX1" s="27" t="s">
        <v>48</v>
      </c>
      <c r="AY1" s="27" t="s">
        <v>49</v>
      </c>
      <c r="AZ1" s="27" t="s">
        <v>50</v>
      </c>
      <c r="BA1" s="27" t="s">
        <v>51</v>
      </c>
      <c r="BB1" s="27" t="s">
        <v>52</v>
      </c>
      <c r="BC1" s="27" t="s">
        <v>53</v>
      </c>
      <c r="BD1" s="27" t="s">
        <v>54</v>
      </c>
      <c r="BE1" s="27" t="s">
        <v>55</v>
      </c>
      <c r="BF1" s="27" t="s">
        <v>56</v>
      </c>
      <c r="BG1" s="27" t="s">
        <v>57</v>
      </c>
      <c r="BH1" s="27" t="s">
        <v>58</v>
      </c>
      <c r="BI1" s="27" t="s">
        <v>59</v>
      </c>
      <c r="BJ1" s="27" t="s">
        <v>60</v>
      </c>
      <c r="BK1" s="27" t="s">
        <v>61</v>
      </c>
      <c r="BL1" s="27" t="s">
        <v>62</v>
      </c>
      <c r="BM1" s="27" t="s">
        <v>63</v>
      </c>
      <c r="BN1" s="27" t="s">
        <v>64</v>
      </c>
      <c r="BO1" s="30" t="s">
        <v>65</v>
      </c>
      <c r="BP1" s="27" t="s">
        <v>66</v>
      </c>
    </row>
    <row r="2" spans="1:68">
      <c r="A2" s="15" t="s">
        <v>67</v>
      </c>
      <c r="B2" s="16">
        <v>1</v>
      </c>
      <c r="C2" s="17">
        <v>12</v>
      </c>
      <c r="D2" s="29">
        <v>2022</v>
      </c>
      <c r="E2" s="61">
        <f>'FSUBU DEC 2022'!K12</f>
        <v>140.9</v>
      </c>
      <c r="F2" s="27"/>
      <c r="G2" s="61">
        <f>'FSUBU DEC 2022'!E12</f>
        <v>30.5</v>
      </c>
      <c r="H2" s="27">
        <f>'FSUBU DEC 2022'!F12</f>
        <v>0</v>
      </c>
      <c r="I2" s="27"/>
      <c r="J2" s="27"/>
      <c r="K2" s="27"/>
      <c r="L2" s="27"/>
      <c r="M2" s="27">
        <f>'FSUBU DEC 2022'!M12</f>
        <v>25.3</v>
      </c>
      <c r="N2" s="27">
        <f>'FSUBU DEC 2022'!N12</f>
        <v>0</v>
      </c>
      <c r="O2" s="27">
        <f>'FSUBU DEC 2022'!U12</f>
        <v>8</v>
      </c>
      <c r="P2" s="27">
        <f>'FSUBU DEC 2022'!V12</f>
        <v>0</v>
      </c>
      <c r="Q2" s="27"/>
      <c r="R2" s="27"/>
      <c r="S2" s="27"/>
      <c r="T2" s="27"/>
      <c r="U2" s="27"/>
      <c r="V2" s="27"/>
      <c r="W2" s="27">
        <f>'FSUBU DEC 2022'!Y12</f>
        <v>270</v>
      </c>
      <c r="X2" s="27">
        <f>'FSUBU DEC 2022'!Z41</f>
        <v>6900000</v>
      </c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>
        <f>'FSUBU DEC 2022'!AI12</f>
        <v>250</v>
      </c>
      <c r="BD2" s="27">
        <f>'FSUBU DEC 2022'!Z12</f>
        <v>0</v>
      </c>
      <c r="BE2" s="27">
        <v>0</v>
      </c>
      <c r="BF2" s="27"/>
      <c r="BG2" s="27"/>
      <c r="BH2" s="27"/>
      <c r="BI2" s="27"/>
      <c r="BJ2" s="27"/>
      <c r="BK2" s="27"/>
      <c r="BL2" s="27"/>
      <c r="BM2" s="27"/>
      <c r="BN2" s="27"/>
      <c r="BO2" s="30"/>
      <c r="BP2" s="27"/>
    </row>
    <row r="3" spans="1:68">
      <c r="A3" s="15" t="s">
        <v>67</v>
      </c>
      <c r="B3" s="16">
        <f>B2+1</f>
        <v>2</v>
      </c>
      <c r="C3" s="17">
        <v>12</v>
      </c>
      <c r="D3" s="29">
        <v>2022</v>
      </c>
      <c r="E3" s="61">
        <f>'FSUBU DEC 2022'!K13</f>
        <v>0</v>
      </c>
      <c r="F3" s="27">
        <f>'FSUBU DEC 2022'!L13</f>
        <v>0</v>
      </c>
      <c r="G3" s="61">
        <f>'FSUBU DEC 2022'!E13</f>
        <v>0</v>
      </c>
      <c r="H3" s="27">
        <f>'FSUBU DEC 2022'!F13</f>
        <v>0</v>
      </c>
      <c r="I3" s="27"/>
      <c r="J3" s="27"/>
      <c r="K3" s="27"/>
      <c r="L3" s="27"/>
      <c r="M3" s="27">
        <f>'FSUBU DEC 2022'!M13</f>
        <v>0</v>
      </c>
      <c r="N3" s="27">
        <f>'FSUBU DEC 2022'!N13</f>
        <v>0</v>
      </c>
      <c r="O3" s="27">
        <f>'FSUBU DEC 2022'!U13</f>
        <v>0</v>
      </c>
      <c r="P3" s="27">
        <f>'FSUBU DEC 2022'!V13</f>
        <v>0</v>
      </c>
      <c r="Q3" s="27"/>
      <c r="R3" s="27"/>
      <c r="S3" s="27"/>
      <c r="T3" s="27"/>
      <c r="U3" s="27"/>
      <c r="V3" s="27"/>
      <c r="W3" s="27">
        <f>'FSUBU DEC 2022'!Y13</f>
        <v>300</v>
      </c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>
        <f>'FSUBU DEC 2022'!AI13</f>
        <v>240</v>
      </c>
      <c r="BD3" s="27">
        <f>'FSUBU DEC 2022'!Z13</f>
        <v>0</v>
      </c>
      <c r="BE3" s="27">
        <v>0</v>
      </c>
      <c r="BF3" s="27"/>
      <c r="BG3" s="27"/>
      <c r="BH3" s="27"/>
      <c r="BI3" s="27"/>
      <c r="BJ3" s="27"/>
      <c r="BK3" s="27"/>
      <c r="BL3" s="27"/>
      <c r="BM3" s="27"/>
      <c r="BN3" s="27"/>
      <c r="BO3" s="30"/>
      <c r="BP3" s="27"/>
    </row>
    <row r="4" spans="1:68">
      <c r="A4" s="15" t="s">
        <v>67</v>
      </c>
      <c r="B4" s="16">
        <f t="shared" ref="B4:B32" si="0">B3+1</f>
        <v>3</v>
      </c>
      <c r="C4" s="17">
        <v>12</v>
      </c>
      <c r="D4" s="29">
        <v>2022</v>
      </c>
      <c r="E4" s="61">
        <f>'FSUBU DEC 2022'!K14</f>
        <v>0</v>
      </c>
      <c r="F4" s="27">
        <f>'FSUBU DEC 2022'!L14</f>
        <v>0</v>
      </c>
      <c r="G4" s="61">
        <f>'FSUBU DEC 2022'!E14</f>
        <v>0</v>
      </c>
      <c r="H4" s="27">
        <f>'FSUBU DEC 2022'!F14</f>
        <v>0</v>
      </c>
      <c r="I4" s="27"/>
      <c r="J4" s="27"/>
      <c r="K4" s="27"/>
      <c r="L4" s="27"/>
      <c r="M4" s="27">
        <f>'FSUBU DEC 2022'!M14</f>
        <v>0</v>
      </c>
      <c r="N4" s="27">
        <f>'FSUBU DEC 2022'!N14</f>
        <v>0</v>
      </c>
      <c r="O4" s="27">
        <f>'FSUBU DEC 2022'!U14</f>
        <v>0</v>
      </c>
      <c r="P4" s="27">
        <f>'FSUBU DEC 2022'!V14</f>
        <v>0</v>
      </c>
      <c r="Q4" s="27"/>
      <c r="R4" s="27"/>
      <c r="S4" s="27"/>
      <c r="T4" s="27"/>
      <c r="U4" s="27"/>
      <c r="V4" s="27"/>
      <c r="W4" s="27">
        <f>'FSUBU DEC 2022'!Y14</f>
        <v>280</v>
      </c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>
        <f>'FSUBU DEC 2022'!AI14</f>
        <v>290</v>
      </c>
      <c r="BD4" s="27">
        <f>'FSUBU DEC 2022'!Z14</f>
        <v>0</v>
      </c>
      <c r="BE4" s="27">
        <v>0</v>
      </c>
      <c r="BF4" s="27"/>
      <c r="BG4" s="27"/>
      <c r="BH4" s="27"/>
      <c r="BI4" s="27"/>
      <c r="BJ4" s="27"/>
      <c r="BK4" s="27"/>
      <c r="BL4" s="27"/>
      <c r="BM4" s="27"/>
      <c r="BN4" s="27"/>
      <c r="BO4" s="30"/>
      <c r="BP4" s="27"/>
    </row>
    <row r="5" spans="1:68">
      <c r="A5" s="15" t="s">
        <v>67</v>
      </c>
      <c r="B5" s="16">
        <f t="shared" si="0"/>
        <v>4</v>
      </c>
      <c r="C5" s="17">
        <v>12</v>
      </c>
      <c r="D5" s="29">
        <v>2022</v>
      </c>
      <c r="E5" s="61">
        <f>'FSUBU DEC 2022'!K15</f>
        <v>0</v>
      </c>
      <c r="F5" s="27">
        <f>'FSUBU DEC 2022'!L15</f>
        <v>0</v>
      </c>
      <c r="G5" s="61">
        <f>'FSUBU DEC 2022'!E15</f>
        <v>0</v>
      </c>
      <c r="H5" s="27">
        <f>'FSUBU DEC 2022'!F15</f>
        <v>0</v>
      </c>
      <c r="I5" s="27"/>
      <c r="J5" s="27"/>
      <c r="K5" s="27"/>
      <c r="L5" s="27"/>
      <c r="M5" s="27">
        <f>'FSUBU DEC 2022'!M15</f>
        <v>0</v>
      </c>
      <c r="N5" s="27">
        <f>'FSUBU DEC 2022'!N15</f>
        <v>0</v>
      </c>
      <c r="O5" s="27">
        <f>'FSUBU DEC 2022'!U15</f>
        <v>0</v>
      </c>
      <c r="P5" s="27">
        <f>'FSUBU DEC 2022'!V15</f>
        <v>0</v>
      </c>
      <c r="Q5" s="27"/>
      <c r="R5" s="27"/>
      <c r="S5" s="27"/>
      <c r="T5" s="27"/>
      <c r="U5" s="27"/>
      <c r="V5" s="27"/>
      <c r="W5" s="27">
        <f>'FSUBU DEC 2022'!Y15</f>
        <v>270</v>
      </c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>
        <f>'FSUBU DEC 2022'!AI15</f>
        <v>270</v>
      </c>
      <c r="BD5" s="27">
        <f>'FSUBU DEC 2022'!Z15</f>
        <v>0</v>
      </c>
      <c r="BE5" s="27">
        <v>0</v>
      </c>
      <c r="BF5" s="27"/>
      <c r="BG5" s="27"/>
      <c r="BH5" s="27"/>
      <c r="BI5" s="27"/>
      <c r="BJ5" s="27"/>
      <c r="BK5" s="27"/>
      <c r="BL5" s="27"/>
      <c r="BM5" s="27"/>
      <c r="BN5" s="27"/>
      <c r="BO5" s="30"/>
      <c r="BP5" s="27"/>
    </row>
    <row r="6" spans="1:68">
      <c r="A6" s="15" t="s">
        <v>67</v>
      </c>
      <c r="B6" s="16">
        <f t="shared" si="0"/>
        <v>5</v>
      </c>
      <c r="C6" s="17">
        <v>12</v>
      </c>
      <c r="D6" s="29">
        <v>2022</v>
      </c>
      <c r="E6" s="61">
        <f>'FSUBU DEC 2022'!K16</f>
        <v>0</v>
      </c>
      <c r="F6" s="27">
        <f>'FSUBU DEC 2022'!L16</f>
        <v>0</v>
      </c>
      <c r="G6" s="61">
        <f>'FSUBU DEC 2022'!E16</f>
        <v>0</v>
      </c>
      <c r="H6" s="27">
        <f>'FSUBU DEC 2022'!F16</f>
        <v>0</v>
      </c>
      <c r="I6" s="27"/>
      <c r="J6" s="27"/>
      <c r="K6" s="27"/>
      <c r="L6" s="27"/>
      <c r="M6" s="27">
        <f>'FSUBU DEC 2022'!M16</f>
        <v>0</v>
      </c>
      <c r="N6" s="27">
        <f>'FSUBU DEC 2022'!N16</f>
        <v>0</v>
      </c>
      <c r="O6" s="27">
        <f>'FSUBU DEC 2022'!U16</f>
        <v>0</v>
      </c>
      <c r="P6" s="27">
        <f>'FSUBU DEC 2022'!V16</f>
        <v>0</v>
      </c>
      <c r="Q6" s="27"/>
      <c r="R6" s="27"/>
      <c r="S6" s="27"/>
      <c r="T6" s="27"/>
      <c r="U6" s="27"/>
      <c r="V6" s="27"/>
      <c r="W6" s="27">
        <f>'FSUBU DEC 2022'!Y16</f>
        <v>290</v>
      </c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>
        <f>'FSUBU DEC 2022'!AI16</f>
        <v>250</v>
      </c>
      <c r="BD6" s="27">
        <f>'FSUBU DEC 2022'!Z16</f>
        <v>0</v>
      </c>
      <c r="BE6" s="27">
        <v>0</v>
      </c>
      <c r="BF6" s="27"/>
      <c r="BG6" s="27"/>
      <c r="BH6" s="27"/>
      <c r="BI6" s="27"/>
      <c r="BJ6" s="27"/>
      <c r="BK6" s="27"/>
      <c r="BL6" s="27"/>
      <c r="BM6" s="27"/>
      <c r="BN6" s="27"/>
      <c r="BO6" s="30"/>
      <c r="BP6" s="27"/>
    </row>
    <row r="7" spans="1:68">
      <c r="A7" s="15" t="s">
        <v>67</v>
      </c>
      <c r="B7" s="16">
        <f t="shared" si="0"/>
        <v>6</v>
      </c>
      <c r="C7" s="17">
        <v>12</v>
      </c>
      <c r="D7" s="29">
        <v>2022</v>
      </c>
      <c r="E7" s="61">
        <f>'FSUBU DEC 2022'!K17</f>
        <v>0</v>
      </c>
      <c r="F7" s="27">
        <f>'FSUBU DEC 2022'!L17</f>
        <v>0</v>
      </c>
      <c r="G7" s="61">
        <f>'FSUBU DEC 2022'!E17</f>
        <v>0</v>
      </c>
      <c r="H7" s="27">
        <f>'FSUBU DEC 2022'!F17</f>
        <v>0</v>
      </c>
      <c r="I7" s="27"/>
      <c r="J7" s="27"/>
      <c r="K7" s="27"/>
      <c r="L7" s="27"/>
      <c r="M7" s="27">
        <f>'FSUBU DEC 2022'!M17</f>
        <v>0</v>
      </c>
      <c r="N7" s="27">
        <f>'FSUBU DEC 2022'!N17</f>
        <v>0</v>
      </c>
      <c r="O7" s="27">
        <f>'FSUBU DEC 2022'!U17</f>
        <v>0</v>
      </c>
      <c r="P7" s="27">
        <f>'FSUBU DEC 2022'!V17</f>
        <v>0</v>
      </c>
      <c r="Q7" s="27"/>
      <c r="R7" s="27"/>
      <c r="S7" s="27"/>
      <c r="T7" s="27"/>
      <c r="U7" s="27"/>
      <c r="V7" s="27"/>
      <c r="W7" s="27">
        <f>'FSUBU DEC 2022'!Y17</f>
        <v>240</v>
      </c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>
        <f>'FSUBU DEC 2022'!AI17</f>
        <v>290</v>
      </c>
      <c r="BD7" s="27">
        <f>'FSUBU DEC 2022'!Z17</f>
        <v>0</v>
      </c>
      <c r="BE7" s="27">
        <v>0</v>
      </c>
      <c r="BF7" s="27"/>
      <c r="BG7" s="27"/>
      <c r="BH7" s="27"/>
      <c r="BI7" s="27"/>
      <c r="BJ7" s="27"/>
      <c r="BK7" s="27"/>
      <c r="BL7" s="27"/>
      <c r="BM7" s="27"/>
      <c r="BN7" s="27"/>
      <c r="BO7" s="30"/>
      <c r="BP7" s="27"/>
    </row>
    <row r="8" spans="1:68">
      <c r="A8" s="15" t="s">
        <v>67</v>
      </c>
      <c r="B8" s="16">
        <f t="shared" si="0"/>
        <v>7</v>
      </c>
      <c r="C8" s="17">
        <v>12</v>
      </c>
      <c r="D8" s="29">
        <v>2022</v>
      </c>
      <c r="E8" s="61">
        <f>'FSUBU DEC 2022'!K18</f>
        <v>0</v>
      </c>
      <c r="F8" s="27">
        <f>'FSUBU DEC 2022'!L18</f>
        <v>0</v>
      </c>
      <c r="G8" s="61">
        <f>'FSUBU DEC 2022'!E18</f>
        <v>0</v>
      </c>
      <c r="H8" s="27">
        <f>'FSUBU DEC 2022'!F18</f>
        <v>0</v>
      </c>
      <c r="I8" s="27"/>
      <c r="J8" s="27"/>
      <c r="K8" s="27"/>
      <c r="L8" s="27"/>
      <c r="M8" s="27">
        <f>'FSUBU DEC 2022'!M18</f>
        <v>0</v>
      </c>
      <c r="N8" s="27">
        <f>'FSUBU DEC 2022'!N18</f>
        <v>0</v>
      </c>
      <c r="O8" s="27">
        <f>'FSUBU DEC 2022'!U18</f>
        <v>0</v>
      </c>
      <c r="P8" s="27">
        <f>'FSUBU DEC 2022'!V18</f>
        <v>0</v>
      </c>
      <c r="Q8" s="27"/>
      <c r="R8" s="27"/>
      <c r="S8" s="27"/>
      <c r="T8" s="27"/>
      <c r="U8" s="27"/>
      <c r="V8" s="27"/>
      <c r="W8" s="27">
        <f>'FSUBU DEC 2022'!Y18</f>
        <v>260</v>
      </c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>
        <f>'FSUBU DEC 2022'!AI18</f>
        <v>240</v>
      </c>
      <c r="BD8" s="27">
        <f>'FSUBU DEC 2022'!Z18</f>
        <v>0</v>
      </c>
      <c r="BE8" s="27">
        <v>0</v>
      </c>
      <c r="BF8" s="27"/>
      <c r="BG8" s="27"/>
      <c r="BH8" s="27"/>
      <c r="BI8" s="27"/>
      <c r="BJ8" s="27"/>
      <c r="BK8" s="27"/>
      <c r="BL8" s="27"/>
      <c r="BM8" s="27"/>
      <c r="BN8" s="27"/>
      <c r="BO8" s="30"/>
      <c r="BP8" s="27"/>
    </row>
    <row r="9" spans="1:68">
      <c r="A9" s="15" t="s">
        <v>67</v>
      </c>
      <c r="B9" s="16">
        <f t="shared" si="0"/>
        <v>8</v>
      </c>
      <c r="C9" s="17">
        <v>12</v>
      </c>
      <c r="D9" s="29">
        <v>2022</v>
      </c>
      <c r="E9" s="61">
        <f>'FSUBU DEC 2022'!K19</f>
        <v>0</v>
      </c>
      <c r="F9" s="27">
        <f>'FSUBU DEC 2022'!L19</f>
        <v>0</v>
      </c>
      <c r="G9" s="61">
        <f>'FSUBU DEC 2022'!E19</f>
        <v>0</v>
      </c>
      <c r="H9" s="27">
        <f>'FSUBU DEC 2022'!F19</f>
        <v>0</v>
      </c>
      <c r="I9" s="27"/>
      <c r="J9" s="27"/>
      <c r="K9" s="27"/>
      <c r="L9" s="27"/>
      <c r="M9" s="27">
        <f>'FSUBU DEC 2022'!M19</f>
        <v>0</v>
      </c>
      <c r="N9" s="27">
        <f>'FSUBU DEC 2022'!N19</f>
        <v>0</v>
      </c>
      <c r="O9" s="27">
        <f>'FSUBU DEC 2022'!U19</f>
        <v>0</v>
      </c>
      <c r="P9" s="27">
        <f>'FSUBU DEC 2022'!V19</f>
        <v>0</v>
      </c>
      <c r="Q9" s="27"/>
      <c r="R9" s="27"/>
      <c r="S9" s="27"/>
      <c r="T9" s="27"/>
      <c r="U9" s="27"/>
      <c r="V9" s="27"/>
      <c r="W9" s="27">
        <f>'FSUBU DEC 2022'!Y19</f>
        <v>250</v>
      </c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>
        <f>'FSUBU DEC 2022'!AI19</f>
        <v>240</v>
      </c>
      <c r="BD9" s="27">
        <f>'FSUBU DEC 2022'!Z19</f>
        <v>0</v>
      </c>
      <c r="BE9" s="27">
        <v>0</v>
      </c>
      <c r="BF9" s="27"/>
      <c r="BG9" s="27"/>
      <c r="BH9" s="27"/>
      <c r="BI9" s="27"/>
      <c r="BJ9" s="27"/>
      <c r="BK9" s="27"/>
      <c r="BL9" s="27"/>
      <c r="BM9" s="27"/>
      <c r="BN9" s="27"/>
      <c r="BO9" s="30"/>
      <c r="BP9" s="27"/>
    </row>
    <row r="10" spans="1:68">
      <c r="A10" s="15" t="s">
        <v>67</v>
      </c>
      <c r="B10" s="16">
        <f t="shared" si="0"/>
        <v>9</v>
      </c>
      <c r="C10" s="17">
        <v>12</v>
      </c>
      <c r="D10" s="29">
        <v>2022</v>
      </c>
      <c r="E10" s="61">
        <f>'FSUBU DEC 2022'!K20</f>
        <v>0</v>
      </c>
      <c r="F10" s="27">
        <f>'FSUBU DEC 2022'!L20</f>
        <v>0</v>
      </c>
      <c r="G10" s="61">
        <f>'FSUBU DEC 2022'!E20</f>
        <v>0</v>
      </c>
      <c r="H10" s="27">
        <f>'FSUBU DEC 2022'!F20</f>
        <v>0</v>
      </c>
      <c r="I10" s="27"/>
      <c r="J10" s="27"/>
      <c r="K10" s="27"/>
      <c r="L10" s="27"/>
      <c r="M10" s="27">
        <f>'FSUBU DEC 2022'!M20</f>
        <v>0</v>
      </c>
      <c r="N10" s="27">
        <f>'FSUBU DEC 2022'!N20</f>
        <v>0</v>
      </c>
      <c r="O10" s="27">
        <f>'FSUBU DEC 2022'!U20</f>
        <v>0</v>
      </c>
      <c r="P10" s="27">
        <f>'FSUBU DEC 2022'!V20</f>
        <v>0</v>
      </c>
      <c r="Q10" s="27"/>
      <c r="R10" s="27"/>
      <c r="S10" s="27"/>
      <c r="T10" s="27"/>
      <c r="U10" s="27"/>
      <c r="V10" s="27"/>
      <c r="W10" s="27">
        <f>'FSUBU DEC 2022'!Y20</f>
        <v>280</v>
      </c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>
        <f>'FSUBU DEC 2022'!AI20</f>
        <v>250</v>
      </c>
      <c r="BD10" s="27">
        <f>'FSUBU DEC 2022'!Z20</f>
        <v>0</v>
      </c>
      <c r="BE10" s="27">
        <v>0</v>
      </c>
      <c r="BF10" s="27"/>
      <c r="BG10" s="27"/>
      <c r="BH10" s="27"/>
      <c r="BI10" s="27"/>
      <c r="BJ10" s="27"/>
      <c r="BK10" s="27"/>
      <c r="BL10" s="27"/>
      <c r="BM10" s="27"/>
      <c r="BN10" s="27"/>
      <c r="BO10" s="30"/>
      <c r="BP10" s="27"/>
    </row>
    <row r="11" spans="1:68">
      <c r="A11" s="15" t="s">
        <v>67</v>
      </c>
      <c r="B11" s="16">
        <f t="shared" si="0"/>
        <v>10</v>
      </c>
      <c r="C11" s="17">
        <v>12</v>
      </c>
      <c r="D11" s="29">
        <v>2022</v>
      </c>
      <c r="E11" s="61">
        <f>'FSUBU DEC 2022'!K21</f>
        <v>104</v>
      </c>
      <c r="F11" s="27">
        <f>'FSUBU DEC 2022'!L21</f>
        <v>0</v>
      </c>
      <c r="G11" s="61">
        <f>'FSUBU DEC 2022'!E21</f>
        <v>60.5</v>
      </c>
      <c r="H11" s="27">
        <f>'FSUBU DEC 2022'!F21</f>
        <v>0</v>
      </c>
      <c r="I11" s="27"/>
      <c r="J11" s="27"/>
      <c r="K11" s="27"/>
      <c r="L11" s="27"/>
      <c r="M11" s="27">
        <f>'FSUBU DEC 2022'!M21</f>
        <v>0</v>
      </c>
      <c r="N11" s="27">
        <f>'FSUBU DEC 2022'!N21</f>
        <v>0</v>
      </c>
      <c r="O11" s="27">
        <f>'FSUBU DEC 2022'!U21</f>
        <v>40</v>
      </c>
      <c r="P11" s="27">
        <f>'FSUBU DEC 2022'!V21</f>
        <v>0</v>
      </c>
      <c r="Q11" s="27"/>
      <c r="R11" s="27"/>
      <c r="S11" s="27"/>
      <c r="T11" s="27"/>
      <c r="U11" s="27"/>
      <c r="V11" s="27"/>
      <c r="W11" s="27">
        <f>'FSUBU DEC 2022'!Y21</f>
        <v>280</v>
      </c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>
        <f>'FSUBU DEC 2022'!AI21</f>
        <v>270</v>
      </c>
      <c r="BD11" s="27">
        <f>'FSUBU DEC 2022'!Z21</f>
        <v>0</v>
      </c>
      <c r="BE11" s="27">
        <v>0</v>
      </c>
      <c r="BF11" s="27"/>
      <c r="BG11" s="27"/>
      <c r="BH11" s="27"/>
      <c r="BI11" s="27"/>
      <c r="BJ11" s="27"/>
      <c r="BK11" s="27"/>
      <c r="BL11" s="27"/>
      <c r="BM11" s="27"/>
      <c r="BN11" s="27"/>
      <c r="BO11" s="30"/>
      <c r="BP11" s="27"/>
    </row>
    <row r="12" spans="1:68">
      <c r="A12" s="15" t="s">
        <v>67</v>
      </c>
      <c r="B12" s="16">
        <f t="shared" si="0"/>
        <v>11</v>
      </c>
      <c r="C12" s="17">
        <v>12</v>
      </c>
      <c r="D12" s="29">
        <v>2022</v>
      </c>
      <c r="E12" s="61">
        <f>'FSUBU DEC 2022'!K22</f>
        <v>0</v>
      </c>
      <c r="F12" s="27">
        <f>'FSUBU DEC 2022'!L22</f>
        <v>0</v>
      </c>
      <c r="G12" s="61">
        <f>'FSUBU DEC 2022'!E22</f>
        <v>0</v>
      </c>
      <c r="H12" s="27">
        <f>'FSUBU DEC 2022'!F22</f>
        <v>0</v>
      </c>
      <c r="I12" s="27"/>
      <c r="J12" s="27"/>
      <c r="K12" s="27"/>
      <c r="L12" s="27"/>
      <c r="M12" s="27">
        <f>'FSUBU DEC 2022'!M22</f>
        <v>0</v>
      </c>
      <c r="N12" s="27">
        <f>'FSUBU DEC 2022'!N22</f>
        <v>0</v>
      </c>
      <c r="O12" s="27">
        <f>'FSUBU DEC 2022'!U22</f>
        <v>0</v>
      </c>
      <c r="P12" s="27">
        <f>'FSUBU DEC 2022'!V22</f>
        <v>0</v>
      </c>
      <c r="Q12" s="27"/>
      <c r="R12" s="27"/>
      <c r="S12" s="27"/>
      <c r="T12" s="27"/>
      <c r="U12" s="27"/>
      <c r="V12" s="27"/>
      <c r="W12" s="27">
        <f>'FSUBU DEC 2022'!Y22</f>
        <v>300</v>
      </c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>
        <f>'FSUBU DEC 2022'!AI22</f>
        <v>280</v>
      </c>
      <c r="BD12" s="27">
        <f>'FSUBU DEC 2022'!Z22</f>
        <v>0</v>
      </c>
      <c r="BE12" s="27">
        <v>0</v>
      </c>
      <c r="BF12" s="27"/>
      <c r="BG12" s="27"/>
      <c r="BH12" s="27"/>
      <c r="BI12" s="27"/>
      <c r="BJ12" s="27"/>
      <c r="BK12" s="27"/>
      <c r="BL12" s="27"/>
      <c r="BM12" s="27"/>
      <c r="BN12" s="27"/>
      <c r="BO12" s="30"/>
      <c r="BP12" s="27"/>
    </row>
    <row r="13" spans="1:68">
      <c r="A13" s="15" t="s">
        <v>67</v>
      </c>
      <c r="B13" s="16">
        <f t="shared" si="0"/>
        <v>12</v>
      </c>
      <c r="C13" s="17">
        <v>12</v>
      </c>
      <c r="D13" s="29">
        <v>2022</v>
      </c>
      <c r="E13" s="61">
        <f>'FSUBU DEC 2022'!K23</f>
        <v>0</v>
      </c>
      <c r="F13" s="27">
        <f>'FSUBU DEC 2022'!L23</f>
        <v>0</v>
      </c>
      <c r="G13" s="61">
        <f>'FSUBU DEC 2022'!E23</f>
        <v>0</v>
      </c>
      <c r="H13" s="27">
        <f>'FSUBU DEC 2022'!F23</f>
        <v>0</v>
      </c>
      <c r="I13" s="27"/>
      <c r="J13" s="27"/>
      <c r="K13" s="27"/>
      <c r="L13" s="27"/>
      <c r="M13" s="27">
        <f>'FSUBU DEC 2022'!M23</f>
        <v>0</v>
      </c>
      <c r="N13" s="27">
        <f>'FSUBU DEC 2022'!N23</f>
        <v>0</v>
      </c>
      <c r="O13" s="27">
        <f>'FSUBU DEC 2022'!U23</f>
        <v>0</v>
      </c>
      <c r="P13" s="27">
        <f>'FSUBU DEC 2022'!V23</f>
        <v>0</v>
      </c>
      <c r="Q13" s="27"/>
      <c r="R13" s="27"/>
      <c r="S13" s="27"/>
      <c r="T13" s="27"/>
      <c r="U13" s="27"/>
      <c r="V13" s="27"/>
      <c r="W13" s="27">
        <f>'FSUBU DEC 2022'!Y23</f>
        <v>290</v>
      </c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>
        <f>'FSUBU DEC 2022'!AI23</f>
        <v>0</v>
      </c>
      <c r="BD13" s="27">
        <f>'FSUBU DEC 2022'!Z23</f>
        <v>0</v>
      </c>
      <c r="BE13" s="27">
        <v>0</v>
      </c>
      <c r="BF13" s="27"/>
      <c r="BG13" s="27"/>
      <c r="BH13" s="27"/>
      <c r="BI13" s="27"/>
      <c r="BJ13" s="27"/>
      <c r="BK13" s="27"/>
      <c r="BL13" s="27"/>
      <c r="BM13" s="27"/>
      <c r="BN13" s="27"/>
      <c r="BO13" s="30"/>
      <c r="BP13" s="27"/>
    </row>
    <row r="14" spans="1:68">
      <c r="A14" s="15" t="s">
        <v>67</v>
      </c>
      <c r="B14" s="16">
        <f t="shared" si="0"/>
        <v>13</v>
      </c>
      <c r="C14" s="17">
        <v>12</v>
      </c>
      <c r="D14" s="29">
        <v>2022</v>
      </c>
      <c r="E14" s="61">
        <f>'FSUBU DEC 2022'!K24</f>
        <v>0</v>
      </c>
      <c r="F14" s="27">
        <f>'FSUBU DEC 2022'!L24</f>
        <v>0</v>
      </c>
      <c r="G14" s="61">
        <f>'FSUBU DEC 2022'!E24</f>
        <v>0</v>
      </c>
      <c r="H14" s="27">
        <f>'FSUBU DEC 2022'!F24</f>
        <v>0</v>
      </c>
      <c r="I14" s="27"/>
      <c r="J14" s="27"/>
      <c r="K14" s="27"/>
      <c r="L14" s="27"/>
      <c r="M14" s="27">
        <f>'FSUBU DEC 2022'!M24</f>
        <v>0</v>
      </c>
      <c r="N14" s="27">
        <f>'FSUBU DEC 2022'!N24</f>
        <v>0</v>
      </c>
      <c r="O14" s="27">
        <f>'FSUBU DEC 2022'!U24</f>
        <v>0</v>
      </c>
      <c r="P14" s="27">
        <f>'FSUBU DEC 2022'!V24</f>
        <v>0</v>
      </c>
      <c r="Q14" s="27"/>
      <c r="R14" s="27"/>
      <c r="S14" s="27"/>
      <c r="T14" s="27"/>
      <c r="U14" s="27"/>
      <c r="V14" s="27"/>
      <c r="W14" s="27">
        <f>'FSUBU DEC 2022'!Y24</f>
        <v>280</v>
      </c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>
        <f>'FSUBU DEC 2022'!AI24</f>
        <v>180</v>
      </c>
      <c r="BD14" s="27">
        <f>'FSUBU DEC 2022'!Z24</f>
        <v>0</v>
      </c>
      <c r="BE14" s="27">
        <v>0</v>
      </c>
      <c r="BF14" s="27"/>
      <c r="BG14" s="27"/>
      <c r="BH14" s="27"/>
      <c r="BI14" s="27"/>
      <c r="BJ14" s="27"/>
      <c r="BK14" s="27"/>
      <c r="BL14" s="27"/>
      <c r="BM14" s="27"/>
      <c r="BN14" s="27"/>
      <c r="BO14" s="30"/>
      <c r="BP14" s="27"/>
    </row>
    <row r="15" spans="1:68">
      <c r="A15" s="15" t="s">
        <v>67</v>
      </c>
      <c r="B15" s="16">
        <f t="shared" si="0"/>
        <v>14</v>
      </c>
      <c r="C15" s="17">
        <v>12</v>
      </c>
      <c r="D15" s="29">
        <v>2022</v>
      </c>
      <c r="E15" s="61">
        <f>'FSUBU DEC 2022'!K25</f>
        <v>80</v>
      </c>
      <c r="F15" s="27">
        <f>'FSUBU DEC 2022'!L25</f>
        <v>0</v>
      </c>
      <c r="G15" s="61">
        <f>'FSUBU DEC 2022'!E25</f>
        <v>17</v>
      </c>
      <c r="H15" s="27">
        <f>'FSUBU DEC 2022'!F25</f>
        <v>0</v>
      </c>
      <c r="I15" s="27"/>
      <c r="J15" s="27"/>
      <c r="K15" s="27"/>
      <c r="L15" s="27"/>
      <c r="M15" s="27">
        <f>'FSUBU DEC 2022'!M25</f>
        <v>0</v>
      </c>
      <c r="N15" s="27">
        <f>'FSUBU DEC 2022'!N25</f>
        <v>0</v>
      </c>
      <c r="O15" s="27">
        <f>'FSUBU DEC 2022'!U25</f>
        <v>0</v>
      </c>
      <c r="P15" s="27">
        <f>'FSUBU DEC 2022'!V25</f>
        <v>0</v>
      </c>
      <c r="Q15" s="27"/>
      <c r="R15" s="27"/>
      <c r="S15" s="27"/>
      <c r="T15" s="27"/>
      <c r="U15" s="27"/>
      <c r="V15" s="27"/>
      <c r="W15" s="27">
        <f>'FSUBU DEC 2022'!Y25</f>
        <v>250</v>
      </c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>
        <f>'FSUBU DEC 2022'!AI25</f>
        <v>200</v>
      </c>
      <c r="BD15" s="27">
        <f>'FSUBU DEC 2022'!Z25</f>
        <v>0</v>
      </c>
      <c r="BE15" s="27">
        <v>0</v>
      </c>
      <c r="BF15" s="27"/>
      <c r="BG15" s="27"/>
      <c r="BH15" s="27"/>
      <c r="BI15" s="27"/>
      <c r="BJ15" s="27"/>
      <c r="BK15" s="27"/>
      <c r="BL15" s="27"/>
      <c r="BM15" s="27"/>
      <c r="BN15" s="27"/>
      <c r="BO15" s="30"/>
      <c r="BP15" s="27"/>
    </row>
    <row r="16" spans="1:68">
      <c r="A16" s="15" t="s">
        <v>67</v>
      </c>
      <c r="B16" s="16">
        <f t="shared" si="0"/>
        <v>15</v>
      </c>
      <c r="C16" s="17">
        <v>12</v>
      </c>
      <c r="D16" s="29">
        <v>2022</v>
      </c>
      <c r="E16" s="61">
        <f>'FSUBU DEC 2022'!K26</f>
        <v>0</v>
      </c>
      <c r="F16" s="27">
        <f>'FSUBU DEC 2022'!L26</f>
        <v>0</v>
      </c>
      <c r="G16" s="61">
        <f>'FSUBU DEC 2022'!E26</f>
        <v>0</v>
      </c>
      <c r="H16" s="27">
        <f>'FSUBU DEC 2022'!F26</f>
        <v>0</v>
      </c>
      <c r="I16" s="27"/>
      <c r="J16" s="27"/>
      <c r="K16" s="27"/>
      <c r="L16" s="27"/>
      <c r="M16" s="27">
        <f>'FSUBU DEC 2022'!M26</f>
        <v>0</v>
      </c>
      <c r="N16" s="27">
        <f>'FSUBU DEC 2022'!N26</f>
        <v>0</v>
      </c>
      <c r="O16" s="27">
        <f>'FSUBU DEC 2022'!U26</f>
        <v>0</v>
      </c>
      <c r="P16" s="27">
        <f>'FSUBU DEC 2022'!V26</f>
        <v>0</v>
      </c>
      <c r="Q16" s="27"/>
      <c r="R16" s="27"/>
      <c r="S16" s="27"/>
      <c r="T16" s="27"/>
      <c r="U16" s="27"/>
      <c r="V16" s="27"/>
      <c r="W16" s="27">
        <f>'FSUBU DEC 2022'!Y26</f>
        <v>270</v>
      </c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>
        <f>'FSUBU DEC 2022'!AI26</f>
        <v>190</v>
      </c>
      <c r="BD16" s="27">
        <f>'FSUBU DEC 2022'!Z26</f>
        <v>0</v>
      </c>
      <c r="BE16" s="27">
        <v>0</v>
      </c>
      <c r="BF16" s="27"/>
      <c r="BG16" s="27"/>
      <c r="BH16" s="27"/>
      <c r="BI16" s="27"/>
      <c r="BJ16" s="27"/>
      <c r="BK16" s="27"/>
      <c r="BL16" s="27"/>
      <c r="BM16" s="27"/>
      <c r="BN16" s="27"/>
      <c r="BO16" s="30"/>
      <c r="BP16" s="27"/>
    </row>
    <row r="17" spans="1:68">
      <c r="A17" s="15" t="s">
        <v>67</v>
      </c>
      <c r="B17" s="16">
        <f t="shared" si="0"/>
        <v>16</v>
      </c>
      <c r="C17" s="17">
        <v>12</v>
      </c>
      <c r="D17" s="29">
        <v>2022</v>
      </c>
      <c r="E17" s="61">
        <f>'FSUBU DEC 2022'!K27</f>
        <v>0</v>
      </c>
      <c r="F17" s="27">
        <f>'FSUBU DEC 2022'!L27</f>
        <v>0</v>
      </c>
      <c r="G17" s="61">
        <f>'FSUBU DEC 2022'!E27</f>
        <v>0</v>
      </c>
      <c r="H17" s="27">
        <f>'FSUBU DEC 2022'!F27</f>
        <v>0</v>
      </c>
      <c r="I17" s="27"/>
      <c r="J17" s="27"/>
      <c r="K17" s="27"/>
      <c r="L17" s="27"/>
      <c r="M17" s="27">
        <f>'FSUBU DEC 2022'!M27</f>
        <v>0</v>
      </c>
      <c r="N17" s="27">
        <f>'FSUBU DEC 2022'!N27</f>
        <v>0</v>
      </c>
      <c r="O17" s="27">
        <f>'FSUBU DEC 2022'!U27</f>
        <v>0</v>
      </c>
      <c r="P17" s="27">
        <f>'FSUBU DEC 2022'!V27</f>
        <v>0</v>
      </c>
      <c r="Q17" s="27"/>
      <c r="R17" s="27"/>
      <c r="S17" s="27"/>
      <c r="T17" s="27"/>
      <c r="U17" s="27"/>
      <c r="V17" s="27"/>
      <c r="W17" s="27">
        <f>'FSUBU DEC 2022'!Y27</f>
        <v>260</v>
      </c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>
        <f>'FSUBU DEC 2022'!AI27</f>
        <v>220</v>
      </c>
      <c r="BD17" s="27">
        <f>'FSUBU DEC 2022'!Z27</f>
        <v>0</v>
      </c>
      <c r="BE17" s="27">
        <v>0</v>
      </c>
      <c r="BF17" s="27"/>
      <c r="BG17" s="27"/>
      <c r="BH17" s="27"/>
      <c r="BI17" s="27"/>
      <c r="BJ17" s="27"/>
      <c r="BK17" s="27"/>
      <c r="BL17" s="27"/>
      <c r="BM17" s="27"/>
      <c r="BN17" s="27"/>
      <c r="BO17" s="30"/>
      <c r="BP17" s="27"/>
    </row>
    <row r="18" spans="1:68">
      <c r="A18" s="15" t="s">
        <v>67</v>
      </c>
      <c r="B18" s="16">
        <f t="shared" si="0"/>
        <v>17</v>
      </c>
      <c r="C18" s="17">
        <v>12</v>
      </c>
      <c r="D18" s="29">
        <v>2022</v>
      </c>
      <c r="E18" s="61">
        <f>'FSUBU DEC 2022'!K28</f>
        <v>0</v>
      </c>
      <c r="F18" s="27">
        <f>'FSUBU DEC 2022'!L28</f>
        <v>0</v>
      </c>
      <c r="G18" s="61">
        <f>'FSUBU DEC 2022'!E28</f>
        <v>0</v>
      </c>
      <c r="H18" s="27">
        <f>'FSUBU DEC 2022'!F28</f>
        <v>0</v>
      </c>
      <c r="I18" s="27"/>
      <c r="J18" s="27"/>
      <c r="K18" s="27"/>
      <c r="L18" s="27"/>
      <c r="M18" s="27">
        <f>'FSUBU DEC 2022'!M28</f>
        <v>0</v>
      </c>
      <c r="N18" s="27">
        <f>'FSUBU DEC 2022'!N28</f>
        <v>0</v>
      </c>
      <c r="O18" s="27">
        <f>'FSUBU DEC 2022'!U28</f>
        <v>0</v>
      </c>
      <c r="P18" s="27">
        <f>'FSUBU DEC 2022'!V28</f>
        <v>0</v>
      </c>
      <c r="Q18" s="27"/>
      <c r="R18" s="27"/>
      <c r="S18" s="27"/>
      <c r="T18" s="27"/>
      <c r="U18" s="27"/>
      <c r="V18" s="27"/>
      <c r="W18" s="27">
        <f>'FSUBU DEC 2022'!Y28</f>
        <v>270</v>
      </c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>
        <f>'FSUBU DEC 2022'!AI28</f>
        <v>300</v>
      </c>
      <c r="BD18" s="27">
        <f>'FSUBU DEC 2022'!Z28</f>
        <v>0</v>
      </c>
      <c r="BE18" s="27">
        <v>0</v>
      </c>
      <c r="BF18" s="27"/>
      <c r="BG18" s="27"/>
      <c r="BH18" s="27"/>
      <c r="BI18" s="27"/>
      <c r="BJ18" s="27"/>
      <c r="BK18" s="27"/>
      <c r="BL18" s="27"/>
      <c r="BM18" s="27"/>
      <c r="BN18" s="27"/>
      <c r="BO18" s="30"/>
      <c r="BP18" s="27"/>
    </row>
    <row r="19" spans="1:68">
      <c r="A19" s="15" t="s">
        <v>67</v>
      </c>
      <c r="B19" s="16">
        <f t="shared" si="0"/>
        <v>18</v>
      </c>
      <c r="C19" s="17">
        <v>12</v>
      </c>
      <c r="D19" s="29">
        <v>2022</v>
      </c>
      <c r="E19" s="61">
        <f>'FSUBU DEC 2022'!K29</f>
        <v>0</v>
      </c>
      <c r="F19" s="27">
        <f>'FSUBU DEC 2022'!L29</f>
        <v>0</v>
      </c>
      <c r="G19" s="61">
        <f>'FSUBU DEC 2022'!E29</f>
        <v>0</v>
      </c>
      <c r="H19" s="27">
        <f>'FSUBU DEC 2022'!F29</f>
        <v>0</v>
      </c>
      <c r="I19" s="27"/>
      <c r="J19" s="27"/>
      <c r="K19" s="27"/>
      <c r="L19" s="27"/>
      <c r="M19" s="27">
        <f>'FSUBU DEC 2022'!M29</f>
        <v>0</v>
      </c>
      <c r="N19" s="27">
        <f>'FSUBU DEC 2022'!N29</f>
        <v>0</v>
      </c>
      <c r="O19" s="27">
        <f>'FSUBU DEC 2022'!U29</f>
        <v>0</v>
      </c>
      <c r="P19" s="27">
        <f>'FSUBU DEC 2022'!V29</f>
        <v>0</v>
      </c>
      <c r="Q19" s="27"/>
      <c r="R19" s="27"/>
      <c r="S19" s="27"/>
      <c r="T19" s="27"/>
      <c r="U19" s="27"/>
      <c r="V19" s="27"/>
      <c r="W19" s="27">
        <f>'FSUBU DEC 2022'!Y29</f>
        <v>290</v>
      </c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>
        <f>'FSUBU DEC 2022'!AI29</f>
        <v>220</v>
      </c>
      <c r="BD19" s="27">
        <f>'FSUBU DEC 2022'!Z29</f>
        <v>0</v>
      </c>
      <c r="BE19" s="27">
        <v>0</v>
      </c>
      <c r="BF19" s="27"/>
      <c r="BG19" s="27"/>
      <c r="BH19" s="27"/>
      <c r="BI19" s="27"/>
      <c r="BJ19" s="27"/>
      <c r="BK19" s="27"/>
      <c r="BL19" s="27"/>
      <c r="BM19" s="27"/>
      <c r="BN19" s="27"/>
      <c r="BO19" s="30"/>
      <c r="BP19" s="27"/>
    </row>
    <row r="20" spans="1:68">
      <c r="A20" s="15" t="s">
        <v>67</v>
      </c>
      <c r="B20" s="16">
        <f t="shared" si="0"/>
        <v>19</v>
      </c>
      <c r="C20" s="17">
        <v>12</v>
      </c>
      <c r="D20" s="29">
        <v>2022</v>
      </c>
      <c r="E20" s="61">
        <f>'FSUBU DEC 2022'!K30</f>
        <v>0</v>
      </c>
      <c r="F20" s="27">
        <f>'FSUBU DEC 2022'!L30</f>
        <v>0</v>
      </c>
      <c r="G20" s="61">
        <f>'FSUBU DEC 2022'!E30</f>
        <v>0</v>
      </c>
      <c r="H20" s="27">
        <f>'FSUBU DEC 2022'!F30</f>
        <v>0</v>
      </c>
      <c r="I20" s="27"/>
      <c r="J20" s="27"/>
      <c r="K20" s="27"/>
      <c r="L20" s="27"/>
      <c r="M20" s="27">
        <f>'FSUBU DEC 2022'!M30</f>
        <v>0</v>
      </c>
      <c r="N20" s="27">
        <f>'FSUBU DEC 2022'!N30</f>
        <v>0</v>
      </c>
      <c r="O20" s="27">
        <f>'FSUBU DEC 2022'!U30</f>
        <v>0</v>
      </c>
      <c r="P20" s="27">
        <f>'FSUBU DEC 2022'!V30</f>
        <v>0</v>
      </c>
      <c r="Q20" s="27"/>
      <c r="R20" s="27"/>
      <c r="S20" s="27"/>
      <c r="T20" s="27"/>
      <c r="U20" s="27"/>
      <c r="V20" s="27"/>
      <c r="W20" s="27">
        <f>'FSUBU DEC 2022'!Y30</f>
        <v>300</v>
      </c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>
        <f>'FSUBU DEC 2022'!AI30</f>
        <v>240</v>
      </c>
      <c r="BD20" s="27">
        <f>'FSUBU DEC 2022'!Z30</f>
        <v>0</v>
      </c>
      <c r="BE20" s="27">
        <v>0</v>
      </c>
      <c r="BF20" s="27"/>
      <c r="BG20" s="27"/>
      <c r="BH20" s="27"/>
      <c r="BI20" s="27"/>
      <c r="BJ20" s="27"/>
      <c r="BK20" s="27"/>
      <c r="BL20" s="27"/>
      <c r="BM20" s="27"/>
      <c r="BN20" s="27"/>
      <c r="BO20" s="30"/>
      <c r="BP20" s="27"/>
    </row>
    <row r="21" spans="1:68">
      <c r="A21" s="15" t="s">
        <v>67</v>
      </c>
      <c r="B21" s="16">
        <f t="shared" si="0"/>
        <v>20</v>
      </c>
      <c r="C21" s="17">
        <v>12</v>
      </c>
      <c r="D21" s="29">
        <v>2022</v>
      </c>
      <c r="E21" s="61">
        <f>'FSUBU DEC 2022'!K31</f>
        <v>0</v>
      </c>
      <c r="F21" s="27">
        <f>'FSUBU DEC 2022'!L31</f>
        <v>0</v>
      </c>
      <c r="G21" s="61">
        <f>'FSUBU DEC 2022'!E31</f>
        <v>0</v>
      </c>
      <c r="H21" s="27">
        <f>'FSUBU DEC 2022'!F31</f>
        <v>0</v>
      </c>
      <c r="I21" s="27"/>
      <c r="J21" s="27"/>
      <c r="K21" s="27"/>
      <c r="L21" s="27"/>
      <c r="M21" s="27">
        <f>'FSUBU DEC 2022'!M31</f>
        <v>0</v>
      </c>
      <c r="N21" s="27">
        <f>'FSUBU DEC 2022'!N31</f>
        <v>0</v>
      </c>
      <c r="O21" s="27">
        <f>'FSUBU DEC 2022'!U31</f>
        <v>0</v>
      </c>
      <c r="P21" s="27">
        <f>'FSUBU DEC 2022'!V31</f>
        <v>0</v>
      </c>
      <c r="Q21" s="27"/>
      <c r="R21" s="27"/>
      <c r="S21" s="27"/>
      <c r="T21" s="27"/>
      <c r="U21" s="27"/>
      <c r="V21" s="27"/>
      <c r="W21" s="27">
        <f>'FSUBU DEC 2022'!Y31</f>
        <v>250</v>
      </c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>
        <f>'FSUBU DEC 2022'!AI31</f>
        <v>230</v>
      </c>
      <c r="BD21" s="27">
        <f>'FSUBU DEC 2022'!Z31</f>
        <v>0</v>
      </c>
      <c r="BE21" s="27">
        <v>0</v>
      </c>
      <c r="BF21" s="27"/>
      <c r="BG21" s="27"/>
      <c r="BH21" s="27"/>
      <c r="BI21" s="27"/>
      <c r="BJ21" s="27"/>
      <c r="BK21" s="27"/>
      <c r="BL21" s="27"/>
      <c r="BM21" s="27"/>
      <c r="BN21" s="27"/>
      <c r="BO21" s="30"/>
      <c r="BP21" s="27"/>
    </row>
    <row r="22" spans="1:68">
      <c r="A22" s="15" t="s">
        <v>67</v>
      </c>
      <c r="B22" s="16">
        <f t="shared" si="0"/>
        <v>21</v>
      </c>
      <c r="C22" s="17">
        <v>12</v>
      </c>
      <c r="D22" s="29">
        <v>2022</v>
      </c>
      <c r="E22" s="61">
        <f>'FSUBU DEC 2022'!K32</f>
        <v>0</v>
      </c>
      <c r="F22" s="27">
        <f>'FSUBU DEC 2022'!L32</f>
        <v>0</v>
      </c>
      <c r="G22" s="61">
        <f>'FSUBU DEC 2022'!E32</f>
        <v>0</v>
      </c>
      <c r="H22" s="27">
        <f>'FSUBU DEC 2022'!F32</f>
        <v>0</v>
      </c>
      <c r="I22" s="27"/>
      <c r="J22" s="27"/>
      <c r="K22" s="27"/>
      <c r="L22" s="27"/>
      <c r="M22" s="27">
        <f>'FSUBU DEC 2022'!M32</f>
        <v>0</v>
      </c>
      <c r="N22" s="27">
        <f>'FSUBU DEC 2022'!N32</f>
        <v>0</v>
      </c>
      <c r="O22" s="27">
        <f>'FSUBU DEC 2022'!U32</f>
        <v>0</v>
      </c>
      <c r="P22" s="27">
        <f>'FSUBU DEC 2022'!V32</f>
        <v>0</v>
      </c>
      <c r="Q22" s="27"/>
      <c r="R22" s="27"/>
      <c r="S22" s="27"/>
      <c r="T22" s="27"/>
      <c r="U22" s="27"/>
      <c r="V22" s="27"/>
      <c r="W22" s="27">
        <f>'FSUBU DEC 2022'!Y32</f>
        <v>280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>
        <f>'FSUBU DEC 2022'!AI32</f>
        <v>220</v>
      </c>
      <c r="BD22" s="27">
        <f>'FSUBU DEC 2022'!Z32</f>
        <v>0</v>
      </c>
      <c r="BE22" s="27">
        <v>0</v>
      </c>
      <c r="BF22" s="27"/>
      <c r="BG22" s="27"/>
      <c r="BH22" s="27"/>
      <c r="BI22" s="27"/>
      <c r="BJ22" s="27"/>
      <c r="BK22" s="27"/>
      <c r="BL22" s="27"/>
      <c r="BM22" s="27"/>
      <c r="BN22" s="27"/>
      <c r="BO22" s="30"/>
      <c r="BP22" s="27"/>
    </row>
    <row r="23" spans="1:68">
      <c r="A23" s="15" t="s">
        <v>67</v>
      </c>
      <c r="B23" s="16">
        <f t="shared" si="0"/>
        <v>22</v>
      </c>
      <c r="C23" s="17">
        <v>12</v>
      </c>
      <c r="D23" s="29">
        <v>2022</v>
      </c>
      <c r="E23" s="61">
        <f>'FSUBU DEC 2022'!K33</f>
        <v>0</v>
      </c>
      <c r="F23" s="27">
        <f>'FSUBU DEC 2022'!L33</f>
        <v>0</v>
      </c>
      <c r="G23" s="61">
        <f>'FSUBU DEC 2022'!E33</f>
        <v>0</v>
      </c>
      <c r="H23" s="27">
        <f>'FSUBU DEC 2022'!F33</f>
        <v>0</v>
      </c>
      <c r="I23" s="27"/>
      <c r="J23" s="27"/>
      <c r="K23" s="27"/>
      <c r="L23" s="27"/>
      <c r="M23" s="27">
        <f>'FSUBU DEC 2022'!M33</f>
        <v>0</v>
      </c>
      <c r="N23" s="27">
        <f>'FSUBU DEC 2022'!N33</f>
        <v>0</v>
      </c>
      <c r="O23" s="27">
        <f>'FSUBU DEC 2022'!U33</f>
        <v>0</v>
      </c>
      <c r="P23" s="27">
        <f>'FSUBU DEC 2022'!V33</f>
        <v>0</v>
      </c>
      <c r="Q23" s="27"/>
      <c r="R23" s="27"/>
      <c r="S23" s="27"/>
      <c r="T23" s="27"/>
      <c r="U23" s="27"/>
      <c r="V23" s="27"/>
      <c r="W23" s="27">
        <f>'FSUBU DEC 2022'!Y33</f>
        <v>260</v>
      </c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>
        <f>'FSUBU DEC 2022'!AI33</f>
        <v>200</v>
      </c>
      <c r="BD23" s="27">
        <f>'FSUBU DEC 2022'!Z33</f>
        <v>0</v>
      </c>
      <c r="BE23" s="27">
        <v>0</v>
      </c>
      <c r="BF23" s="27"/>
      <c r="BG23" s="27"/>
      <c r="BH23" s="27"/>
      <c r="BI23" s="27"/>
      <c r="BJ23" s="27"/>
      <c r="BK23" s="27"/>
      <c r="BL23" s="27"/>
      <c r="BM23" s="27"/>
      <c r="BN23" s="27"/>
      <c r="BO23" s="30"/>
      <c r="BP23" s="27"/>
    </row>
    <row r="24" spans="1:68">
      <c r="A24" s="15" t="s">
        <v>67</v>
      </c>
      <c r="B24" s="16">
        <f t="shared" si="0"/>
        <v>23</v>
      </c>
      <c r="C24" s="17">
        <v>12</v>
      </c>
      <c r="D24" s="29">
        <v>2022</v>
      </c>
      <c r="E24" s="61">
        <f>'FSUBU DEC 2022'!K34</f>
        <v>0</v>
      </c>
      <c r="F24" s="27">
        <f>'FSUBU DEC 2022'!L34</f>
        <v>0</v>
      </c>
      <c r="G24" s="61">
        <f>'FSUBU DEC 2022'!E34</f>
        <v>0</v>
      </c>
      <c r="H24" s="27">
        <f>'FSUBU DEC 2022'!F34</f>
        <v>0</v>
      </c>
      <c r="I24" s="27"/>
      <c r="J24" s="27"/>
      <c r="K24" s="27"/>
      <c r="L24" s="27"/>
      <c r="M24" s="27">
        <f>'FSUBU DEC 2022'!M34</f>
        <v>0</v>
      </c>
      <c r="N24" s="27">
        <f>'FSUBU DEC 2022'!N34</f>
        <v>0</v>
      </c>
      <c r="O24" s="27">
        <f>'FSUBU DEC 2022'!U34</f>
        <v>0</v>
      </c>
      <c r="P24" s="27">
        <f>'FSUBU DEC 2022'!V34</f>
        <v>0</v>
      </c>
      <c r="Q24" s="27"/>
      <c r="R24" s="27"/>
      <c r="S24" s="27"/>
      <c r="T24" s="27"/>
      <c r="U24" s="27"/>
      <c r="V24" s="27"/>
      <c r="W24" s="27">
        <f>'FSUBU DEC 2022'!Y34</f>
        <v>250</v>
      </c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>
        <f>'FSUBU DEC 2022'!AI34</f>
        <v>210</v>
      </c>
      <c r="BD24" s="27">
        <f>'FSUBU DEC 2022'!Z34</f>
        <v>0</v>
      </c>
      <c r="BE24" s="27">
        <v>0</v>
      </c>
      <c r="BF24" s="27"/>
      <c r="BG24" s="27"/>
      <c r="BH24" s="27"/>
      <c r="BI24" s="27"/>
      <c r="BJ24" s="27"/>
      <c r="BK24" s="27"/>
      <c r="BL24" s="27"/>
      <c r="BM24" s="27"/>
      <c r="BN24" s="27"/>
      <c r="BO24" s="30"/>
      <c r="BP24" s="27"/>
    </row>
    <row r="25" spans="1:68">
      <c r="A25" s="15" t="s">
        <v>67</v>
      </c>
      <c r="B25" s="16">
        <f t="shared" si="0"/>
        <v>24</v>
      </c>
      <c r="C25" s="17">
        <v>12</v>
      </c>
      <c r="D25" s="29">
        <v>2022</v>
      </c>
      <c r="E25" s="61">
        <f>'FSUBU DEC 2022'!K35</f>
        <v>2.5</v>
      </c>
      <c r="F25" s="27">
        <f>'FSUBU DEC 2022'!L35</f>
        <v>0</v>
      </c>
      <c r="G25" s="61">
        <f>'FSUBU DEC 2022'!E35</f>
        <v>8</v>
      </c>
      <c r="H25" s="27">
        <f>'FSUBU DEC 2022'!F35</f>
        <v>0</v>
      </c>
      <c r="I25" s="27"/>
      <c r="J25" s="27"/>
      <c r="K25" s="27"/>
      <c r="L25" s="27"/>
      <c r="M25" s="27">
        <f>'FSUBU DEC 2022'!M35</f>
        <v>48</v>
      </c>
      <c r="N25" s="27">
        <f>'FSUBU DEC 2022'!N35</f>
        <v>0</v>
      </c>
      <c r="O25" s="27">
        <f>'FSUBU DEC 2022'!U35</f>
        <v>15</v>
      </c>
      <c r="P25" s="27">
        <f>'FSUBU DEC 2022'!V35</f>
        <v>0</v>
      </c>
      <c r="Q25" s="27"/>
      <c r="R25" s="27"/>
      <c r="S25" s="27"/>
      <c r="T25" s="27"/>
      <c r="U25" s="27"/>
      <c r="V25" s="27"/>
      <c r="W25" s="27">
        <f>'FSUBU DEC 2022'!Y35</f>
        <v>260</v>
      </c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>
        <f>'FSUBU DEC 2022'!AI35</f>
        <v>200</v>
      </c>
      <c r="BD25" s="27">
        <f>'FSUBU DEC 2022'!Z35</f>
        <v>0</v>
      </c>
      <c r="BE25" s="27">
        <v>0</v>
      </c>
      <c r="BF25" s="27"/>
      <c r="BG25" s="27"/>
      <c r="BH25" s="27"/>
      <c r="BI25" s="27"/>
      <c r="BJ25" s="27"/>
      <c r="BK25" s="27"/>
      <c r="BL25" s="27"/>
      <c r="BM25" s="27"/>
      <c r="BN25" s="27"/>
      <c r="BO25" s="30"/>
      <c r="BP25" s="27"/>
    </row>
    <row r="26" spans="1:68">
      <c r="A26" s="15" t="s">
        <v>67</v>
      </c>
      <c r="B26" s="16">
        <f>B25+1</f>
        <v>25</v>
      </c>
      <c r="C26" s="17">
        <v>12</v>
      </c>
      <c r="D26" s="29">
        <v>2022</v>
      </c>
      <c r="E26" s="61">
        <f>'FSUBU DEC 2022'!K36</f>
        <v>0</v>
      </c>
      <c r="F26" s="27">
        <f>'FSUBU DEC 2022'!L36</f>
        <v>0</v>
      </c>
      <c r="G26" s="61">
        <f>'FSUBU DEC 2022'!E36</f>
        <v>0</v>
      </c>
      <c r="H26" s="27">
        <f>'FSUBU DEC 2022'!F36</f>
        <v>0</v>
      </c>
      <c r="I26" s="27"/>
      <c r="J26" s="27"/>
      <c r="K26" s="27"/>
      <c r="L26" s="27"/>
      <c r="M26" s="27">
        <f>'FSUBU DEC 2022'!M36</f>
        <v>0</v>
      </c>
      <c r="N26" s="27">
        <f>'FSUBU DEC 2022'!N36</f>
        <v>0</v>
      </c>
      <c r="O26" s="27">
        <f>'FSUBU DEC 2022'!U36</f>
        <v>0</v>
      </c>
      <c r="P26" s="27">
        <f>'FSUBU DEC 2022'!V36</f>
        <v>0</v>
      </c>
      <c r="Q26" s="27"/>
      <c r="R26" s="27"/>
      <c r="S26" s="27"/>
      <c r="T26" s="27"/>
      <c r="U26" s="27"/>
      <c r="V26" s="27"/>
      <c r="W26" s="27">
        <f>'FSUBU DEC 2022'!Y36</f>
        <v>310</v>
      </c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>
        <f>'FSUBU DEC 2022'!AI36</f>
        <v>240</v>
      </c>
      <c r="BD26" s="27">
        <f>'FSUBU DEC 2022'!Z36</f>
        <v>0</v>
      </c>
      <c r="BE26" s="27">
        <v>0</v>
      </c>
      <c r="BF26" s="27"/>
      <c r="BG26" s="27"/>
      <c r="BH26" s="27"/>
      <c r="BI26" s="27"/>
      <c r="BJ26" s="27"/>
      <c r="BK26" s="27"/>
      <c r="BL26" s="27"/>
      <c r="BM26" s="27"/>
      <c r="BN26" s="27"/>
      <c r="BO26" s="30"/>
      <c r="BP26" s="27"/>
    </row>
    <row r="27" spans="1:68">
      <c r="A27" s="15" t="s">
        <v>67</v>
      </c>
      <c r="B27" s="16">
        <f t="shared" si="0"/>
        <v>26</v>
      </c>
      <c r="C27" s="17">
        <v>12</v>
      </c>
      <c r="D27" s="29">
        <v>2022</v>
      </c>
      <c r="E27" s="61">
        <f>'FSUBU DEC 2022'!K37</f>
        <v>0</v>
      </c>
      <c r="F27" s="27">
        <f>'FSUBU DEC 2022'!L37</f>
        <v>0</v>
      </c>
      <c r="G27" s="61">
        <f>'FSUBU DEC 2022'!E37</f>
        <v>0</v>
      </c>
      <c r="H27" s="27">
        <f>'FSUBU DEC 2022'!F37</f>
        <v>0</v>
      </c>
      <c r="I27" s="27"/>
      <c r="J27" s="27"/>
      <c r="K27" s="27"/>
      <c r="L27" s="27"/>
      <c r="M27" s="27">
        <f>'FSUBU DEC 2022'!M37</f>
        <v>0</v>
      </c>
      <c r="N27" s="27">
        <f>'FSUBU DEC 2022'!N37</f>
        <v>0</v>
      </c>
      <c r="O27" s="27">
        <f>'FSUBU DEC 2022'!U37</f>
        <v>0</v>
      </c>
      <c r="P27" s="27">
        <f>'FSUBU DEC 2022'!V37</f>
        <v>0</v>
      </c>
      <c r="Q27" s="27"/>
      <c r="R27" s="27"/>
      <c r="S27" s="27"/>
      <c r="T27" s="27"/>
      <c r="U27" s="27"/>
      <c r="V27" s="27"/>
      <c r="W27" s="27">
        <f>'FSUBU DEC 2022'!Y37</f>
        <v>330</v>
      </c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>
        <f>'FSUBU DEC 2022'!AI37</f>
        <v>240</v>
      </c>
      <c r="BD27" s="27">
        <f>'FSUBU DEC 2022'!Z37</f>
        <v>0</v>
      </c>
      <c r="BE27" s="27">
        <v>0</v>
      </c>
      <c r="BF27" s="27"/>
      <c r="BG27" s="27"/>
      <c r="BH27" s="27"/>
      <c r="BI27" s="27"/>
      <c r="BJ27" s="27"/>
      <c r="BK27" s="27"/>
      <c r="BL27" s="27"/>
      <c r="BM27" s="27"/>
      <c r="BN27" s="27"/>
      <c r="BO27" s="30"/>
      <c r="BP27" s="27"/>
    </row>
    <row r="28" spans="1:68">
      <c r="A28" s="15" t="s">
        <v>67</v>
      </c>
      <c r="B28" s="16">
        <f t="shared" si="0"/>
        <v>27</v>
      </c>
      <c r="C28" s="17">
        <v>12</v>
      </c>
      <c r="D28" s="29">
        <v>2022</v>
      </c>
      <c r="E28" s="61">
        <f>'FSUBU DEC 2022'!K38</f>
        <v>0</v>
      </c>
      <c r="F28" s="27">
        <f>'FSUBU DEC 2022'!L38</f>
        <v>0</v>
      </c>
      <c r="G28" s="61">
        <f>'FSUBU DEC 2022'!E38</f>
        <v>0</v>
      </c>
      <c r="H28" s="27">
        <f>'FSUBU DEC 2022'!F38</f>
        <v>0</v>
      </c>
      <c r="I28" s="27"/>
      <c r="J28" s="27"/>
      <c r="K28" s="27"/>
      <c r="L28" s="27"/>
      <c r="M28" s="27">
        <f>'FSUBU DEC 2022'!M38</f>
        <v>0</v>
      </c>
      <c r="N28" s="27">
        <f>'FSUBU DEC 2022'!N38</f>
        <v>0</v>
      </c>
      <c r="O28" s="27">
        <f>'FSUBU DEC 2022'!U38</f>
        <v>0</v>
      </c>
      <c r="P28" s="27">
        <f>'FSUBU DEC 2022'!V38</f>
        <v>0</v>
      </c>
      <c r="Q28" s="27"/>
      <c r="R28" s="27"/>
      <c r="S28" s="27"/>
      <c r="T28" s="27"/>
      <c r="U28" s="27"/>
      <c r="V28" s="27"/>
      <c r="W28" s="27">
        <f>'FSUBU DEC 2022'!Y38</f>
        <v>300</v>
      </c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>
        <f>'FSUBU DEC 2022'!AI38</f>
        <v>230</v>
      </c>
      <c r="BD28" s="27">
        <f>'FSUBU DEC 2022'!Z38</f>
        <v>0</v>
      </c>
      <c r="BE28" s="27">
        <v>0</v>
      </c>
      <c r="BF28" s="27"/>
      <c r="BG28" s="27"/>
      <c r="BH28" s="27"/>
      <c r="BI28" s="27"/>
      <c r="BJ28" s="27"/>
      <c r="BK28" s="27"/>
      <c r="BL28" s="27"/>
      <c r="BM28" s="27"/>
      <c r="BN28" s="27"/>
      <c r="BO28" s="30"/>
      <c r="BP28" s="27"/>
    </row>
    <row r="29" spans="1:68">
      <c r="A29" s="15" t="s">
        <v>67</v>
      </c>
      <c r="B29" s="16">
        <f t="shared" si="0"/>
        <v>28</v>
      </c>
      <c r="C29" s="17">
        <v>12</v>
      </c>
      <c r="D29" s="29">
        <v>2022</v>
      </c>
      <c r="E29" s="61">
        <f>'FSUBU DEC 2022'!K39</f>
        <v>62</v>
      </c>
      <c r="F29" s="27">
        <f>'FSUBU DEC 2022'!L39</f>
        <v>0</v>
      </c>
      <c r="G29" s="61">
        <f>'FSUBU DEC 2022'!E39</f>
        <v>32.700000000000003</v>
      </c>
      <c r="H29" s="27">
        <f>'FSUBU DEC 2022'!F39</f>
        <v>0</v>
      </c>
      <c r="I29" s="27"/>
      <c r="J29" s="27"/>
      <c r="K29" s="27"/>
      <c r="L29" s="27"/>
      <c r="M29" s="27">
        <f>'FSUBU DEC 2022'!M39</f>
        <v>7.6</v>
      </c>
      <c r="N29" s="27">
        <f>'FSUBU DEC 2022'!N39</f>
        <v>0</v>
      </c>
      <c r="O29" s="27">
        <f>'FSUBU DEC 2022'!U39</f>
        <v>6.5</v>
      </c>
      <c r="P29" s="27">
        <f>'FSUBU DEC 2022'!V39</f>
        <v>0</v>
      </c>
      <c r="Q29" s="27"/>
      <c r="R29" s="27"/>
      <c r="S29" s="27"/>
      <c r="T29" s="27"/>
      <c r="U29" s="27"/>
      <c r="V29" s="27"/>
      <c r="W29" s="27">
        <f>'FSUBU DEC 2022'!Y39</f>
        <v>300</v>
      </c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>
        <f>'FSUBU DEC 2022'!AI39</f>
        <v>250</v>
      </c>
      <c r="BD29" s="27">
        <f>'FSUBU DEC 2022'!Z39</f>
        <v>0</v>
      </c>
      <c r="BE29" s="27">
        <v>0</v>
      </c>
      <c r="BF29" s="27"/>
      <c r="BG29" s="27"/>
      <c r="BH29" s="27"/>
      <c r="BI29" s="27"/>
      <c r="BJ29" s="27"/>
      <c r="BK29" s="27"/>
      <c r="BL29" s="27"/>
      <c r="BM29" s="27"/>
      <c r="BN29" s="27"/>
      <c r="BO29" s="30"/>
      <c r="BP29" s="27"/>
    </row>
    <row r="30" spans="1:68">
      <c r="A30" s="15" t="s">
        <v>67</v>
      </c>
      <c r="B30" s="16">
        <f t="shared" si="0"/>
        <v>29</v>
      </c>
      <c r="C30" s="17">
        <v>12</v>
      </c>
      <c r="D30" s="29">
        <v>2022</v>
      </c>
      <c r="E30" s="61">
        <f>'FSUBU DEC 2022'!K40</f>
        <v>0</v>
      </c>
      <c r="F30" s="27">
        <f>'FSUBU DEC 2022'!L40</f>
        <v>0</v>
      </c>
      <c r="G30" s="61">
        <f>'FSUBU DEC 2022'!E40</f>
        <v>0</v>
      </c>
      <c r="H30" s="27">
        <f>'FSUBU DEC 2022'!F40</f>
        <v>0</v>
      </c>
      <c r="I30" s="27"/>
      <c r="J30" s="27"/>
      <c r="K30" s="27"/>
      <c r="L30" s="27"/>
      <c r="M30" s="27">
        <f>'FSUBU DEC 2022'!M40</f>
        <v>0</v>
      </c>
      <c r="N30" s="27">
        <f>'FSUBU DEC 2022'!N40</f>
        <v>0</v>
      </c>
      <c r="O30" s="27">
        <f>'FSUBU DEC 2022'!U40</f>
        <v>0</v>
      </c>
      <c r="P30" s="27">
        <f>'FSUBU DEC 2022'!V40</f>
        <v>0</v>
      </c>
      <c r="Q30" s="27"/>
      <c r="R30" s="27"/>
      <c r="S30" s="27"/>
      <c r="T30" s="27"/>
      <c r="U30" s="27"/>
      <c r="V30" s="27"/>
      <c r="W30" s="27">
        <f>'FSUBU DEC 2022'!Y40</f>
        <v>320</v>
      </c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>
        <f>'FSUBU DEC 2022'!AI40</f>
        <v>290</v>
      </c>
      <c r="BD30" s="27">
        <f>'FSUBU DEC 2022'!Z40</f>
        <v>0</v>
      </c>
      <c r="BE30" s="27">
        <v>0</v>
      </c>
      <c r="BF30" s="27"/>
      <c r="BG30" s="27"/>
      <c r="BH30" s="27"/>
      <c r="BI30" s="27"/>
      <c r="BJ30" s="27"/>
      <c r="BK30" s="27"/>
      <c r="BL30" s="27"/>
      <c r="BM30" s="27"/>
      <c r="BN30" s="27"/>
      <c r="BO30" s="30"/>
      <c r="BP30" s="27"/>
    </row>
    <row r="31" spans="1:68">
      <c r="A31" s="15" t="s">
        <v>67</v>
      </c>
      <c r="B31" s="16">
        <f t="shared" si="0"/>
        <v>30</v>
      </c>
      <c r="C31" s="17">
        <v>12</v>
      </c>
      <c r="D31" s="29">
        <v>2022</v>
      </c>
      <c r="E31" s="102">
        <f>'FSUBU DEC 2022'!K41</f>
        <v>0</v>
      </c>
      <c r="F31" s="103">
        <f>'FSUBU DEC 2022'!L41</f>
        <v>-114550</v>
      </c>
      <c r="G31" s="102">
        <f>'FSUBU DEC 2022'!E41</f>
        <v>0</v>
      </c>
      <c r="H31" s="102">
        <f>'FSUBU DEC 2022'!F41</f>
        <v>-45329</v>
      </c>
      <c r="I31" s="103"/>
      <c r="J31" s="103"/>
      <c r="K31" s="103"/>
      <c r="L31" s="103"/>
      <c r="M31" s="103">
        <f>'FSUBU DEC 2022'!M41</f>
        <v>0</v>
      </c>
      <c r="N31" s="103">
        <f>'FSUBU DEC 2022'!N41</f>
        <v>-29300</v>
      </c>
      <c r="O31" s="103">
        <f>'FSUBU DEC 2022'!U41</f>
        <v>0</v>
      </c>
      <c r="P31" s="103">
        <f>'FSUBU DEC 2022'!V41</f>
        <v>0</v>
      </c>
      <c r="Q31" s="103"/>
      <c r="R31" s="103"/>
      <c r="S31" s="103"/>
      <c r="T31" s="103"/>
      <c r="U31" s="103"/>
      <c r="V31" s="103"/>
      <c r="W31" s="103">
        <f>'FSUBU DEC 2022'!Y41</f>
        <v>310</v>
      </c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>
        <f>'FSUBU DEC 2022'!AI41</f>
        <v>390</v>
      </c>
      <c r="BD31" s="103">
        <v>0</v>
      </c>
      <c r="BE31" s="103">
        <v>0</v>
      </c>
      <c r="BF31" s="103"/>
      <c r="BG31" s="103"/>
      <c r="BH31" s="103"/>
      <c r="BI31" s="103"/>
      <c r="BJ31" s="103"/>
      <c r="BK31" s="103"/>
      <c r="BL31" s="103"/>
      <c r="BM31" s="103"/>
      <c r="BN31" s="103"/>
      <c r="BO31" s="104"/>
      <c r="BP31" s="103"/>
    </row>
    <row r="32" spans="1:68">
      <c r="A32" s="15" t="s">
        <v>67</v>
      </c>
      <c r="B32" s="16">
        <f t="shared" si="0"/>
        <v>31</v>
      </c>
      <c r="C32" s="17">
        <v>12</v>
      </c>
      <c r="D32" s="29">
        <v>2022</v>
      </c>
      <c r="E32" s="101">
        <f>'FSUBU DEC 2022'!K42</f>
        <v>53.6</v>
      </c>
      <c r="F32" s="78">
        <f>'FSUBU DEC 2022'!L42</f>
        <v>0</v>
      </c>
      <c r="G32" s="101">
        <f>'FSUBU DEC 2022'!E42</f>
        <v>9.4</v>
      </c>
      <c r="H32" s="101">
        <f>'FSUBU DEC 2022'!F42</f>
        <v>0</v>
      </c>
      <c r="I32" s="101"/>
      <c r="J32" s="101"/>
      <c r="K32" s="101"/>
      <c r="L32" s="101"/>
      <c r="M32" s="78">
        <f>'FSUBU DEC 2022'!M42</f>
        <v>3.7</v>
      </c>
      <c r="N32" s="78">
        <f>'FSUBU DEC 2022'!N42</f>
        <v>0</v>
      </c>
      <c r="O32" s="78">
        <f>'FSUBU DEC 2022'!U42</f>
        <v>2.5</v>
      </c>
      <c r="P32" s="78">
        <f>'FSUBU DEC 2022'!V42</f>
        <v>-20500</v>
      </c>
      <c r="Q32" s="101"/>
      <c r="R32" s="101"/>
      <c r="S32" s="101"/>
      <c r="T32" s="101"/>
      <c r="U32" s="101"/>
      <c r="V32" s="78"/>
      <c r="W32" s="78">
        <f>'FSUBU DEC 2022'!Y42</f>
        <v>340</v>
      </c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>
        <f>'FSUBU DEC 2022'!AI42</f>
        <v>330</v>
      </c>
      <c r="BD32" s="78">
        <v>0</v>
      </c>
      <c r="BE32" s="78">
        <v>0</v>
      </c>
      <c r="BF32" s="78"/>
      <c r="BG32" s="78"/>
      <c r="BH32" s="78"/>
      <c r="BI32" s="78"/>
      <c r="BJ32" s="78"/>
      <c r="BK32" s="78"/>
      <c r="BL32" s="78"/>
      <c r="BM32" s="78"/>
      <c r="BN32" s="78"/>
      <c r="BO32" s="78"/>
      <c r="BP32" s="78"/>
    </row>
    <row r="33" spans="5:68">
      <c r="E33" s="62">
        <f>SUM(E2:E32)</f>
        <v>443</v>
      </c>
      <c r="F33" s="62">
        <f t="shared" ref="F33:M33" si="1">SUM(F2:F32)</f>
        <v>-114550</v>
      </c>
      <c r="G33" s="62">
        <f t="shared" si="1"/>
        <v>158.1</v>
      </c>
      <c r="H33" s="62">
        <f t="shared" si="1"/>
        <v>-45329</v>
      </c>
      <c r="I33" s="62">
        <f t="shared" si="1"/>
        <v>0</v>
      </c>
      <c r="J33" s="62">
        <f t="shared" si="1"/>
        <v>0</v>
      </c>
      <c r="K33" s="62">
        <f t="shared" si="1"/>
        <v>0</v>
      </c>
      <c r="L33" s="62">
        <f t="shared" si="1"/>
        <v>0</v>
      </c>
      <c r="M33" s="62">
        <f t="shared" si="1"/>
        <v>84.6</v>
      </c>
      <c r="N33" s="62">
        <f>SUM(N2:N32)</f>
        <v>-29300</v>
      </c>
      <c r="O33" s="62">
        <f t="shared" ref="O33" si="2">SUM(O2:O32)</f>
        <v>72</v>
      </c>
      <c r="P33" s="62">
        <f t="shared" ref="P33" si="3">SUM(P2:P32)</f>
        <v>-20500</v>
      </c>
      <c r="Q33" s="62">
        <f t="shared" ref="Q33" si="4">SUM(Q2:Q32)</f>
        <v>0</v>
      </c>
      <c r="R33" s="62">
        <f t="shared" ref="R33" si="5">SUM(R2:R32)</f>
        <v>0</v>
      </c>
      <c r="S33" s="62">
        <f t="shared" ref="S33" si="6">SUM(S2:S32)</f>
        <v>0</v>
      </c>
      <c r="T33" s="62">
        <f t="shared" ref="T33" si="7">SUM(T2:T32)</f>
        <v>0</v>
      </c>
      <c r="U33" s="62">
        <f t="shared" ref="U33" si="8">SUM(U2:U32)</f>
        <v>0</v>
      </c>
      <c r="V33" s="62">
        <f t="shared" ref="V33" si="9">SUM(V2:V32)</f>
        <v>0</v>
      </c>
      <c r="W33" s="62">
        <f>SUM(W2:W32)</f>
        <v>8740</v>
      </c>
      <c r="X33" s="62">
        <f t="shared" ref="X33" si="10">SUM(X2:X32)</f>
        <v>6900000</v>
      </c>
      <c r="Y33" s="62">
        <f t="shared" ref="Y33" si="11">SUM(Y2:Y32)</f>
        <v>0</v>
      </c>
      <c r="Z33" s="62">
        <f t="shared" ref="Z33" si="12">SUM(Z2:Z32)</f>
        <v>0</v>
      </c>
      <c r="AA33" s="62">
        <f t="shared" ref="AA33" si="13">SUM(AA2:AA32)</f>
        <v>0</v>
      </c>
      <c r="AB33" s="62">
        <f t="shared" ref="AB33" si="14">SUM(AB2:AB31)</f>
        <v>0</v>
      </c>
      <c r="AC33" s="62">
        <f t="shared" ref="AC33" si="15">SUM(AC2:AC31)</f>
        <v>0</v>
      </c>
      <c r="AD33" s="62">
        <f t="shared" ref="AD33:AE33" si="16">SUM(AD2:AD31)</f>
        <v>0</v>
      </c>
      <c r="AE33" s="62">
        <f t="shared" si="16"/>
        <v>0</v>
      </c>
      <c r="AF33" s="62">
        <f t="shared" ref="AF33" si="17">SUM(AF2:AF31)</f>
        <v>0</v>
      </c>
      <c r="AG33" s="62">
        <f t="shared" ref="AG33" si="18">SUM(AG2:AG31)</f>
        <v>0</v>
      </c>
      <c r="AH33" s="62">
        <f t="shared" ref="AH33" si="19">SUM(AH2:AH31)</f>
        <v>0</v>
      </c>
      <c r="AI33" s="62">
        <f t="shared" ref="AI33" si="20">SUM(AI2:AI31)</f>
        <v>0</v>
      </c>
      <c r="AJ33" s="62">
        <f t="shared" ref="AJ33" si="21">SUM(AJ2:AJ31)</f>
        <v>0</v>
      </c>
      <c r="AK33" s="62">
        <f t="shared" ref="AK33" si="22">SUM(AK2:AK31)</f>
        <v>0</v>
      </c>
      <c r="AL33" s="62">
        <f t="shared" ref="AL33" si="23">SUM(AL2:AL31)</f>
        <v>0</v>
      </c>
      <c r="AM33" s="62">
        <f t="shared" ref="AM33" si="24">SUM(AM2:AM31)</f>
        <v>0</v>
      </c>
      <c r="AN33" s="62">
        <f t="shared" ref="AN33" si="25">SUM(AN2:AN31)</f>
        <v>0</v>
      </c>
      <c r="AO33" s="62">
        <f t="shared" ref="AO33" si="26">SUM(AO2:AO31)</f>
        <v>0</v>
      </c>
      <c r="AP33" s="62">
        <f t="shared" ref="AP33" si="27">SUM(AP2:AP31)</f>
        <v>0</v>
      </c>
      <c r="AQ33" s="62">
        <f t="shared" ref="AQ33:AR33" si="28">SUM(AQ2:AQ31)</f>
        <v>0</v>
      </c>
      <c r="AR33" s="62">
        <f t="shared" si="28"/>
        <v>0</v>
      </c>
      <c r="AS33" s="62">
        <f t="shared" ref="AS33" si="29">SUM(AS2:AS31)</f>
        <v>0</v>
      </c>
      <c r="AT33" s="62">
        <f t="shared" ref="AT33" si="30">SUM(AT2:AT31)</f>
        <v>0</v>
      </c>
      <c r="AU33" s="62">
        <f t="shared" ref="AU33" si="31">SUM(AU2:AU31)</f>
        <v>0</v>
      </c>
      <c r="AV33" s="62">
        <f t="shared" ref="AV33" si="32">SUM(AV2:AV31)</f>
        <v>0</v>
      </c>
      <c r="AW33" s="62">
        <f t="shared" ref="AW33" si="33">SUM(AW2:AW31)</f>
        <v>0</v>
      </c>
      <c r="AX33" s="62">
        <f t="shared" ref="AX33" si="34">SUM(AX2:AX31)</f>
        <v>0</v>
      </c>
      <c r="AY33" s="62">
        <f t="shared" ref="AY33" si="35">SUM(AY2:AY31)</f>
        <v>0</v>
      </c>
      <c r="AZ33" s="62">
        <f t="shared" ref="AZ33" si="36">SUM(AZ2:AZ31)</f>
        <v>0</v>
      </c>
      <c r="BA33" s="62">
        <f t="shared" ref="BA33" si="37">SUM(BA2:BA31)</f>
        <v>0</v>
      </c>
      <c r="BB33" s="62">
        <f t="shared" ref="BB33" si="38">SUM(BB2:BB31)</f>
        <v>0</v>
      </c>
      <c r="BC33" s="62">
        <f>SUM(BC2:BC32)</f>
        <v>7450</v>
      </c>
      <c r="BD33" s="62">
        <f t="shared" ref="BD33:BE33" si="39">SUM(BD2:BD31)</f>
        <v>0</v>
      </c>
      <c r="BE33" s="105">
        <v>0</v>
      </c>
      <c r="BF33" s="62">
        <f t="shared" ref="BF33" si="40">SUM(BF2:BF31)</f>
        <v>0</v>
      </c>
      <c r="BG33" s="62">
        <f t="shared" ref="BG33" si="41">SUM(BG2:BG31)</f>
        <v>0</v>
      </c>
      <c r="BH33" s="62">
        <f t="shared" ref="BH33" si="42">SUM(BH2:BH31)</f>
        <v>0</v>
      </c>
      <c r="BI33" s="62">
        <f t="shared" ref="BI33" si="43">SUM(BI2:BI31)</f>
        <v>0</v>
      </c>
      <c r="BJ33" s="62">
        <f t="shared" ref="BJ33" si="44">SUM(BJ2:BJ31)</f>
        <v>0</v>
      </c>
      <c r="BK33" s="62">
        <f t="shared" ref="BK33" si="45">SUM(BK2:BK31)</f>
        <v>0</v>
      </c>
      <c r="BL33" s="62">
        <f t="shared" ref="BL33" si="46">SUM(BL2:BL31)</f>
        <v>0</v>
      </c>
      <c r="BM33" s="62">
        <f t="shared" ref="BM33" si="47">SUM(BM2:BM31)</f>
        <v>0</v>
      </c>
      <c r="BN33" s="62">
        <f t="shared" ref="BN33" si="48">SUM(BN2:BN31)</f>
        <v>0</v>
      </c>
      <c r="BO33" s="62">
        <f t="shared" ref="BO33" si="49">SUM(BO2:BO31)</f>
        <v>0</v>
      </c>
      <c r="BP33" s="62">
        <f t="shared" ref="BP33" si="50">SUM(BP2:BP31)</f>
        <v>0</v>
      </c>
    </row>
    <row r="34" spans="5:68">
      <c r="E34" s="62"/>
      <c r="F34" s="21"/>
      <c r="G34" s="62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</row>
    <row r="35" spans="5:68">
      <c r="E35" s="62"/>
      <c r="F35" s="21"/>
      <c r="G35" s="62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</row>
    <row r="36" spans="5:68">
      <c r="E36" s="62"/>
      <c r="F36" s="21"/>
      <c r="G36" s="62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</row>
    <row r="37" spans="5:68">
      <c r="E37" s="62"/>
      <c r="F37" s="21"/>
      <c r="G37" s="62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</row>
    <row r="38" spans="5:68">
      <c r="E38" s="62"/>
      <c r="F38" s="21"/>
      <c r="G38" s="62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</row>
    <row r="39" spans="5:68">
      <c r="E39" s="62"/>
      <c r="F39" s="21"/>
      <c r="G39" s="62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</row>
    <row r="40" spans="5:68">
      <c r="E40" s="62"/>
      <c r="F40" s="21"/>
      <c r="G40" s="62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</row>
    <row r="41" spans="5:68">
      <c r="E41" s="62"/>
      <c r="F41" s="21"/>
      <c r="G41" s="62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</row>
    <row r="42" spans="5:68">
      <c r="E42" s="62"/>
      <c r="F42" s="21"/>
      <c r="G42" s="62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</row>
    <row r="43" spans="5:68">
      <c r="E43" s="62"/>
      <c r="F43" s="21"/>
      <c r="G43" s="62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</row>
    <row r="44" spans="5:68">
      <c r="E44" s="62"/>
      <c r="F44" s="21"/>
      <c r="G44" s="62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</row>
    <row r="45" spans="5:68">
      <c r="E45" s="62"/>
      <c r="F45" s="21"/>
      <c r="G45" s="62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</row>
    <row r="46" spans="5:68">
      <c r="E46" s="62"/>
      <c r="F46" s="21"/>
      <c r="G46" s="62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</row>
    <row r="47" spans="5:68">
      <c r="E47" s="62"/>
      <c r="F47" s="21"/>
      <c r="G47" s="62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</row>
    <row r="48" spans="5:68">
      <c r="E48" s="62"/>
      <c r="F48" s="21"/>
      <c r="G48" s="62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</row>
    <row r="49" spans="5:68">
      <c r="E49" s="62"/>
      <c r="F49" s="21"/>
      <c r="G49" s="62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</row>
    <row r="50" spans="5:68">
      <c r="E50" s="62"/>
      <c r="F50" s="21"/>
      <c r="G50" s="62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BP46"/>
  <sheetViews>
    <sheetView zoomScale="85" zoomScaleNormal="85" workbookViewId="0">
      <pane xSplit="4" ySplit="10" topLeftCell="E42" activePane="bottomRight" state="frozen"/>
      <selection pane="bottomRight" activeCell="V12" sqref="V12:V43"/>
      <selection pane="bottomLeft" activeCell="A11" sqref="A11"/>
      <selection pane="topRight" activeCell="E1" sqref="E1"/>
    </sheetView>
  </sheetViews>
  <sheetFormatPr defaultColWidth="8.85546875"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18.140625" style="31" customWidth="1"/>
    <col min="6" max="6" width="15.140625" style="31" customWidth="1"/>
    <col min="7" max="7" width="15.42578125" style="31" hidden="1" customWidth="1"/>
    <col min="8" max="10" width="14.28515625" style="31" hidden="1" customWidth="1"/>
    <col min="11" max="15" width="14.28515625" style="31" customWidth="1"/>
    <col min="16" max="20" width="14.28515625" style="31" hidden="1" customWidth="1"/>
    <col min="21" max="25" width="14.28515625" style="31" customWidth="1"/>
    <col min="26" max="26" width="14.28515625" style="59" customWidth="1"/>
    <col min="27" max="68" width="14.28515625" style="31" customWidth="1"/>
  </cols>
  <sheetData>
    <row r="6" spans="1:68" s="5" customFormat="1" ht="18.95">
      <c r="B6" s="5" t="s">
        <v>69</v>
      </c>
      <c r="C6" s="9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53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</row>
    <row r="7" spans="1:68" s="3" customFormat="1" ht="16.5" customHeight="1">
      <c r="A7" s="7"/>
      <c r="B7" s="88" t="s">
        <v>70</v>
      </c>
      <c r="C7" s="89"/>
      <c r="D7" s="89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54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</row>
    <row r="8" spans="1:68" s="6" customFormat="1" ht="15.75" customHeight="1">
      <c r="A8" s="23"/>
      <c r="B8" s="90" t="s">
        <v>71</v>
      </c>
      <c r="C8" s="93" t="s">
        <v>72</v>
      </c>
      <c r="D8" s="96" t="s">
        <v>73</v>
      </c>
      <c r="E8" s="87" t="s">
        <v>74</v>
      </c>
      <c r="F8" s="87"/>
      <c r="G8" s="87"/>
      <c r="H8" s="87"/>
      <c r="I8" s="87"/>
      <c r="J8" s="87"/>
      <c r="K8" s="84" t="s">
        <v>75</v>
      </c>
      <c r="L8" s="84"/>
      <c r="M8" s="85" t="s">
        <v>76</v>
      </c>
      <c r="N8" s="86"/>
      <c r="O8" s="86"/>
      <c r="P8" s="86"/>
      <c r="Q8" s="86"/>
      <c r="R8" s="86"/>
      <c r="S8" s="86"/>
      <c r="T8" s="86"/>
      <c r="U8" s="80" t="s">
        <v>77</v>
      </c>
      <c r="V8" s="80"/>
      <c r="W8" s="80"/>
      <c r="X8" s="80"/>
      <c r="Y8" s="81" t="s">
        <v>78</v>
      </c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2" t="s">
        <v>79</v>
      </c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3" t="s">
        <v>80</v>
      </c>
      <c r="BF8" s="83"/>
      <c r="BG8" s="83"/>
      <c r="BH8" s="83"/>
      <c r="BI8" s="83"/>
      <c r="BJ8" s="83"/>
      <c r="BK8" s="83"/>
      <c r="BL8" s="83"/>
      <c r="BM8" s="83"/>
      <c r="BN8" s="83"/>
      <c r="BO8" s="83"/>
      <c r="BP8" s="83"/>
    </row>
    <row r="9" spans="1:68" s="24" customFormat="1" ht="15" customHeight="1">
      <c r="A9" s="6"/>
      <c r="B9" s="91"/>
      <c r="C9" s="94"/>
      <c r="D9" s="97"/>
      <c r="E9" s="87"/>
      <c r="F9" s="87"/>
      <c r="G9" s="87"/>
      <c r="H9" s="87"/>
      <c r="I9" s="87"/>
      <c r="J9" s="87"/>
      <c r="K9" s="84"/>
      <c r="L9" s="84"/>
      <c r="M9" s="85"/>
      <c r="N9" s="86"/>
      <c r="O9" s="86"/>
      <c r="P9" s="86"/>
      <c r="Q9" s="86"/>
      <c r="R9" s="86"/>
      <c r="S9" s="86"/>
      <c r="T9" s="86"/>
      <c r="U9" s="80"/>
      <c r="V9" s="80"/>
      <c r="W9" s="80"/>
      <c r="X9" s="80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3"/>
      <c r="BF9" s="83"/>
      <c r="BG9" s="83"/>
      <c r="BH9" s="83"/>
      <c r="BI9" s="83"/>
      <c r="BJ9" s="83"/>
      <c r="BK9" s="83"/>
      <c r="BL9" s="83"/>
      <c r="BM9" s="83"/>
      <c r="BN9" s="83"/>
      <c r="BO9" s="83"/>
      <c r="BP9" s="83"/>
    </row>
    <row r="10" spans="1:68" s="24" customFormat="1" ht="84.75" customHeight="1">
      <c r="A10" s="6"/>
      <c r="B10" s="92"/>
      <c r="C10" s="95"/>
      <c r="D10" s="98"/>
      <c r="E10" s="78" t="s">
        <v>47</v>
      </c>
      <c r="F10" s="78" t="s">
        <v>48</v>
      </c>
      <c r="G10" s="78" t="s">
        <v>5</v>
      </c>
      <c r="H10" s="78" t="s">
        <v>6</v>
      </c>
      <c r="I10" s="78" t="s">
        <v>7</v>
      </c>
      <c r="J10" s="78" t="s">
        <v>8</v>
      </c>
      <c r="K10" s="78" t="s">
        <v>9</v>
      </c>
      <c r="L10" s="78" t="s">
        <v>10</v>
      </c>
      <c r="M10" s="30" t="s">
        <v>3</v>
      </c>
      <c r="N10" s="27" t="s">
        <v>4</v>
      </c>
      <c r="O10" s="27" t="s">
        <v>49</v>
      </c>
      <c r="P10" s="27" t="s">
        <v>50</v>
      </c>
      <c r="Q10" s="27" t="s">
        <v>65</v>
      </c>
      <c r="R10" s="27" t="s">
        <v>66</v>
      </c>
      <c r="S10" s="27" t="s">
        <v>11</v>
      </c>
      <c r="T10" s="27" t="s">
        <v>12</v>
      </c>
      <c r="U10" s="27" t="s">
        <v>51</v>
      </c>
      <c r="V10" s="27" t="s">
        <v>52</v>
      </c>
      <c r="W10" s="27" t="s">
        <v>13</v>
      </c>
      <c r="X10" s="27" t="s">
        <v>14</v>
      </c>
      <c r="Y10" s="27" t="s">
        <v>21</v>
      </c>
      <c r="Z10" s="55" t="s">
        <v>22</v>
      </c>
      <c r="AA10" s="27" t="s">
        <v>23</v>
      </c>
      <c r="AB10" s="27" t="s">
        <v>24</v>
      </c>
      <c r="AC10" s="27" t="s">
        <v>25</v>
      </c>
      <c r="AD10" s="27" t="s">
        <v>26</v>
      </c>
      <c r="AE10" s="27" t="s">
        <v>27</v>
      </c>
      <c r="AF10" s="27" t="s">
        <v>28</v>
      </c>
      <c r="AG10" s="27" t="s">
        <v>29</v>
      </c>
      <c r="AH10" s="27" t="s">
        <v>30</v>
      </c>
      <c r="AI10" s="27" t="s">
        <v>53</v>
      </c>
      <c r="AJ10" s="27" t="s">
        <v>54</v>
      </c>
      <c r="AK10" s="27" t="s">
        <v>55</v>
      </c>
      <c r="AL10" s="27" t="s">
        <v>56</v>
      </c>
      <c r="AM10" s="27" t="s">
        <v>57</v>
      </c>
      <c r="AN10" s="27" t="s">
        <v>58</v>
      </c>
      <c r="AO10" s="27" t="s">
        <v>59</v>
      </c>
      <c r="AP10" s="27" t="s">
        <v>60</v>
      </c>
      <c r="AQ10" s="27" t="s">
        <v>61</v>
      </c>
      <c r="AR10" s="27" t="s">
        <v>62</v>
      </c>
      <c r="AS10" s="27" t="s">
        <v>63</v>
      </c>
      <c r="AT10" s="27" t="s">
        <v>64</v>
      </c>
      <c r="AU10" s="27" t="s">
        <v>31</v>
      </c>
      <c r="AV10" s="27" t="s">
        <v>32</v>
      </c>
      <c r="AW10" s="27" t="s">
        <v>33</v>
      </c>
      <c r="AX10" s="27" t="s">
        <v>34</v>
      </c>
      <c r="AY10" s="27" t="s">
        <v>35</v>
      </c>
      <c r="AZ10" s="27" t="s">
        <v>36</v>
      </c>
      <c r="BA10" s="27" t="s">
        <v>37</v>
      </c>
      <c r="BB10" s="27" t="s">
        <v>38</v>
      </c>
      <c r="BC10" s="27" t="s">
        <v>41</v>
      </c>
      <c r="BD10" s="27" t="s">
        <v>42</v>
      </c>
      <c r="BE10" s="27" t="s">
        <v>15</v>
      </c>
      <c r="BF10" s="27" t="s">
        <v>16</v>
      </c>
      <c r="BG10" s="27" t="s">
        <v>17</v>
      </c>
      <c r="BH10" s="27" t="s">
        <v>18</v>
      </c>
      <c r="BI10" s="27" t="s">
        <v>19</v>
      </c>
      <c r="BJ10" s="27" t="s">
        <v>20</v>
      </c>
      <c r="BK10" s="27" t="s">
        <v>39</v>
      </c>
      <c r="BL10" s="27" t="s">
        <v>40</v>
      </c>
      <c r="BM10" s="27" t="s">
        <v>43</v>
      </c>
      <c r="BN10" s="27" t="s">
        <v>44</v>
      </c>
      <c r="BO10" s="27" t="s">
        <v>45</v>
      </c>
      <c r="BP10" s="27" t="s">
        <v>46</v>
      </c>
    </row>
    <row r="11" spans="1:68">
      <c r="A11" s="6"/>
      <c r="B11" s="10"/>
      <c r="C11" s="11"/>
      <c r="D11" s="22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46"/>
      <c r="Z11" s="56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</row>
    <row r="12" spans="1:68">
      <c r="A12" s="8"/>
      <c r="B12" s="52">
        <v>1</v>
      </c>
      <c r="C12" s="67">
        <v>19</v>
      </c>
      <c r="D12" s="67">
        <v>85</v>
      </c>
      <c r="E12" s="39">
        <v>30.5</v>
      </c>
      <c r="F12" s="39">
        <v>0</v>
      </c>
      <c r="G12" s="39"/>
      <c r="H12" s="39"/>
      <c r="I12" s="39"/>
      <c r="J12" s="39"/>
      <c r="K12" s="34">
        <v>140.9</v>
      </c>
      <c r="L12" s="41">
        <v>0</v>
      </c>
      <c r="M12" s="39">
        <v>25.3</v>
      </c>
      <c r="N12" s="39">
        <v>0</v>
      </c>
      <c r="O12" s="39"/>
      <c r="P12" s="39"/>
      <c r="Q12" s="35"/>
      <c r="R12" s="39"/>
      <c r="S12" s="36"/>
      <c r="T12" s="39"/>
      <c r="U12" s="34">
        <v>8</v>
      </c>
      <c r="V12" s="39">
        <v>0</v>
      </c>
      <c r="W12" s="39"/>
      <c r="X12" s="41"/>
      <c r="Y12" s="99">
        <v>270</v>
      </c>
      <c r="Z12" s="75">
        <v>0</v>
      </c>
      <c r="AA12" s="35"/>
      <c r="AB12" s="39"/>
      <c r="AC12" s="35"/>
      <c r="AD12" s="39"/>
      <c r="AE12" s="39"/>
      <c r="AF12" s="39"/>
      <c r="AG12" s="39"/>
      <c r="AH12" s="39"/>
      <c r="AI12" s="40">
        <v>250</v>
      </c>
      <c r="AJ12" s="39"/>
      <c r="AK12" s="35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</row>
    <row r="13" spans="1:68">
      <c r="A13" s="8"/>
      <c r="B13" s="52">
        <v>2</v>
      </c>
      <c r="C13" s="67">
        <v>25</v>
      </c>
      <c r="D13" s="67">
        <v>107</v>
      </c>
      <c r="E13" s="39">
        <v>0</v>
      </c>
      <c r="F13" s="39">
        <v>0</v>
      </c>
      <c r="G13" s="39"/>
      <c r="H13" s="39"/>
      <c r="I13" s="39"/>
      <c r="J13" s="39"/>
      <c r="K13" s="34">
        <v>0</v>
      </c>
      <c r="L13" s="41">
        <v>0</v>
      </c>
      <c r="M13" s="39">
        <v>0</v>
      </c>
      <c r="N13" s="39">
        <v>0</v>
      </c>
      <c r="O13" s="39"/>
      <c r="P13" s="39"/>
      <c r="Q13" s="36"/>
      <c r="R13" s="39"/>
      <c r="S13" s="36"/>
      <c r="T13" s="39"/>
      <c r="U13" s="34">
        <v>0</v>
      </c>
      <c r="V13" s="39">
        <v>0</v>
      </c>
      <c r="W13" s="39"/>
      <c r="X13" s="41"/>
      <c r="Y13" s="99">
        <v>300</v>
      </c>
      <c r="Z13" s="75">
        <v>0</v>
      </c>
      <c r="AA13" s="35"/>
      <c r="AB13" s="39"/>
      <c r="AC13" s="35"/>
      <c r="AD13" s="39"/>
      <c r="AE13" s="39"/>
      <c r="AF13" s="39"/>
      <c r="AG13" s="39"/>
      <c r="AH13" s="39"/>
      <c r="AI13" s="40">
        <v>240</v>
      </c>
      <c r="AJ13" s="39"/>
      <c r="AK13" s="35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</row>
    <row r="14" spans="1:68">
      <c r="A14" s="8"/>
      <c r="B14" s="52">
        <v>3</v>
      </c>
      <c r="C14" s="67">
        <v>27</v>
      </c>
      <c r="D14" s="67">
        <v>122</v>
      </c>
      <c r="E14" s="39">
        <v>0</v>
      </c>
      <c r="F14" s="39">
        <v>0</v>
      </c>
      <c r="G14" s="39"/>
      <c r="H14" s="39"/>
      <c r="I14" s="39"/>
      <c r="J14" s="39"/>
      <c r="K14" s="34">
        <v>0</v>
      </c>
      <c r="L14" s="41">
        <v>0</v>
      </c>
      <c r="M14" s="39">
        <v>0</v>
      </c>
      <c r="N14" s="39">
        <v>0</v>
      </c>
      <c r="O14" s="39"/>
      <c r="P14" s="39"/>
      <c r="Q14" s="36"/>
      <c r="R14" s="39"/>
      <c r="S14" s="36"/>
      <c r="T14" s="39"/>
      <c r="U14" s="34">
        <v>0</v>
      </c>
      <c r="V14" s="39">
        <v>0</v>
      </c>
      <c r="W14" s="39"/>
      <c r="X14" s="41"/>
      <c r="Y14" s="99">
        <v>280</v>
      </c>
      <c r="Z14" s="75">
        <v>0</v>
      </c>
      <c r="AA14" s="35"/>
      <c r="AB14" s="39"/>
      <c r="AC14" s="35"/>
      <c r="AD14" s="39"/>
      <c r="AE14" s="39"/>
      <c r="AF14" s="39"/>
      <c r="AG14" s="39"/>
      <c r="AH14" s="39"/>
      <c r="AI14" s="40">
        <v>290</v>
      </c>
      <c r="AJ14" s="39"/>
      <c r="AK14" s="35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</row>
    <row r="15" spans="1:68">
      <c r="A15" s="8"/>
      <c r="B15" s="52">
        <v>4</v>
      </c>
      <c r="C15" s="67">
        <v>30</v>
      </c>
      <c r="D15" s="67">
        <v>129</v>
      </c>
      <c r="E15" s="39">
        <v>0</v>
      </c>
      <c r="F15" s="39">
        <v>0</v>
      </c>
      <c r="G15" s="39"/>
      <c r="H15" s="39"/>
      <c r="I15" s="39"/>
      <c r="J15" s="39"/>
      <c r="K15" s="34">
        <v>0</v>
      </c>
      <c r="L15" s="41">
        <v>0</v>
      </c>
      <c r="M15" s="39">
        <v>0</v>
      </c>
      <c r="N15" s="39">
        <v>0</v>
      </c>
      <c r="O15" s="39"/>
      <c r="P15" s="39"/>
      <c r="Q15" s="35"/>
      <c r="R15" s="39"/>
      <c r="S15" s="36"/>
      <c r="T15" s="39"/>
      <c r="U15" s="34">
        <v>0</v>
      </c>
      <c r="V15" s="39">
        <v>0</v>
      </c>
      <c r="W15" s="39"/>
      <c r="X15" s="41"/>
      <c r="Y15" s="99">
        <v>270</v>
      </c>
      <c r="Z15" s="75">
        <v>0</v>
      </c>
      <c r="AA15" s="35"/>
      <c r="AB15" s="39"/>
      <c r="AC15" s="35"/>
      <c r="AD15" s="39"/>
      <c r="AE15" s="39"/>
      <c r="AF15" s="39"/>
      <c r="AG15" s="39"/>
      <c r="AH15" s="39"/>
      <c r="AI15" s="40">
        <v>270</v>
      </c>
      <c r="AJ15" s="39"/>
      <c r="AK15" s="35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</row>
    <row r="16" spans="1:68">
      <c r="A16" s="8"/>
      <c r="B16" s="52">
        <v>5</v>
      </c>
      <c r="C16" s="67">
        <v>28</v>
      </c>
      <c r="D16" s="67">
        <v>132</v>
      </c>
      <c r="E16" s="39">
        <v>0</v>
      </c>
      <c r="F16" s="39">
        <v>0</v>
      </c>
      <c r="G16" s="39"/>
      <c r="H16" s="39"/>
      <c r="I16" s="39"/>
      <c r="J16" s="39"/>
      <c r="K16" s="34">
        <v>0</v>
      </c>
      <c r="L16" s="41">
        <v>0</v>
      </c>
      <c r="M16" s="39">
        <v>0</v>
      </c>
      <c r="N16" s="39">
        <v>0</v>
      </c>
      <c r="O16" s="39"/>
      <c r="P16" s="39"/>
      <c r="Q16" s="36"/>
      <c r="R16" s="39"/>
      <c r="S16" s="36"/>
      <c r="T16" s="39"/>
      <c r="U16" s="34">
        <v>0</v>
      </c>
      <c r="V16" s="39">
        <v>0</v>
      </c>
      <c r="W16" s="39"/>
      <c r="X16" s="41"/>
      <c r="Y16" s="99">
        <v>290</v>
      </c>
      <c r="Z16" s="75">
        <v>0</v>
      </c>
      <c r="AA16" s="35"/>
      <c r="AB16" s="39"/>
      <c r="AC16" s="35"/>
      <c r="AD16" s="39"/>
      <c r="AE16" s="39"/>
      <c r="AF16" s="39"/>
      <c r="AG16" s="39"/>
      <c r="AH16" s="39"/>
      <c r="AI16" s="40">
        <v>250</v>
      </c>
      <c r="AJ16" s="39"/>
      <c r="AK16" s="35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</row>
    <row r="17" spans="1:68">
      <c r="A17" s="8"/>
      <c r="B17" s="52">
        <v>6</v>
      </c>
      <c r="C17" s="67">
        <v>31</v>
      </c>
      <c r="D17" s="67">
        <v>124</v>
      </c>
      <c r="E17" s="39">
        <v>0</v>
      </c>
      <c r="F17" s="39">
        <v>0</v>
      </c>
      <c r="G17" s="39"/>
      <c r="H17" s="39"/>
      <c r="I17" s="39"/>
      <c r="J17" s="39"/>
      <c r="K17" s="34">
        <v>0</v>
      </c>
      <c r="L17" s="41">
        <v>0</v>
      </c>
      <c r="M17" s="39">
        <v>0</v>
      </c>
      <c r="N17" s="39">
        <v>0</v>
      </c>
      <c r="O17" s="39"/>
      <c r="P17" s="39"/>
      <c r="Q17" s="36"/>
      <c r="R17" s="39"/>
      <c r="S17" s="35"/>
      <c r="T17" s="39"/>
      <c r="U17" s="34">
        <v>0</v>
      </c>
      <c r="V17" s="39">
        <v>0</v>
      </c>
      <c r="W17" s="39"/>
      <c r="X17" s="41"/>
      <c r="Y17" s="99">
        <v>240</v>
      </c>
      <c r="Z17" s="75">
        <v>0</v>
      </c>
      <c r="AA17" s="36"/>
      <c r="AB17" s="39"/>
      <c r="AC17" s="35"/>
      <c r="AD17" s="39"/>
      <c r="AE17" s="39"/>
      <c r="AF17" s="39"/>
      <c r="AG17" s="39"/>
      <c r="AH17" s="39"/>
      <c r="AI17" s="48">
        <v>290</v>
      </c>
      <c r="AJ17" s="39"/>
      <c r="AK17" s="35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</row>
    <row r="18" spans="1:68" ht="17.25" customHeight="1">
      <c r="A18" s="8"/>
      <c r="B18" s="52">
        <v>7</v>
      </c>
      <c r="C18" s="67">
        <v>43</v>
      </c>
      <c r="D18" s="67">
        <v>139</v>
      </c>
      <c r="E18" s="39">
        <v>0</v>
      </c>
      <c r="F18" s="39"/>
      <c r="G18" s="39"/>
      <c r="H18" s="39"/>
      <c r="I18" s="39"/>
      <c r="J18" s="39"/>
      <c r="K18" s="34">
        <v>0</v>
      </c>
      <c r="L18" s="41"/>
      <c r="M18" s="39">
        <v>0</v>
      </c>
      <c r="N18" s="39"/>
      <c r="O18" s="39"/>
      <c r="P18" s="39"/>
      <c r="Q18" s="36"/>
      <c r="R18" s="39"/>
      <c r="S18" s="35"/>
      <c r="T18" s="39"/>
      <c r="U18" s="34">
        <v>0</v>
      </c>
      <c r="V18" s="39">
        <v>0</v>
      </c>
      <c r="W18" s="39"/>
      <c r="X18" s="41">
        <v>0</v>
      </c>
      <c r="Y18" s="99">
        <v>260</v>
      </c>
      <c r="Z18" s="75"/>
      <c r="AA18" s="36"/>
      <c r="AB18" s="39"/>
      <c r="AC18" s="35"/>
      <c r="AD18" s="39"/>
      <c r="AE18" s="39"/>
      <c r="AF18" s="39"/>
      <c r="AG18" s="39"/>
      <c r="AH18" s="41"/>
      <c r="AI18" s="71">
        <v>240</v>
      </c>
      <c r="AJ18" s="73"/>
      <c r="AK18" s="35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</row>
    <row r="19" spans="1:68">
      <c r="A19" s="8"/>
      <c r="B19" s="52">
        <v>8</v>
      </c>
      <c r="C19" s="67">
        <v>39</v>
      </c>
      <c r="D19" s="67">
        <v>138</v>
      </c>
      <c r="E19" s="39">
        <v>0</v>
      </c>
      <c r="F19" s="39">
        <v>0</v>
      </c>
      <c r="G19" s="39"/>
      <c r="H19" s="39"/>
      <c r="I19" s="39"/>
      <c r="J19" s="39"/>
      <c r="K19" s="34">
        <v>0</v>
      </c>
      <c r="L19" s="41">
        <v>0</v>
      </c>
      <c r="M19" s="39">
        <v>0</v>
      </c>
      <c r="N19" s="39">
        <v>0</v>
      </c>
      <c r="O19" s="39"/>
      <c r="P19" s="39"/>
      <c r="Q19" s="36"/>
      <c r="R19" s="39"/>
      <c r="S19" s="35"/>
      <c r="T19" s="39"/>
      <c r="U19" s="34">
        <v>0</v>
      </c>
      <c r="V19" s="39">
        <v>0</v>
      </c>
      <c r="W19" s="39"/>
      <c r="X19" s="41"/>
      <c r="Y19" s="99">
        <v>250</v>
      </c>
      <c r="Z19" s="75">
        <v>0</v>
      </c>
      <c r="AA19" s="36"/>
      <c r="AB19" s="39"/>
      <c r="AC19" s="35"/>
      <c r="AD19" s="39"/>
      <c r="AE19" s="39"/>
      <c r="AF19" s="39"/>
      <c r="AG19" s="39"/>
      <c r="AH19" s="41"/>
      <c r="AI19" s="71">
        <v>240</v>
      </c>
      <c r="AJ19" s="73"/>
      <c r="AK19" s="35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</row>
    <row r="20" spans="1:68">
      <c r="A20" s="8"/>
      <c r="B20" s="52">
        <v>9</v>
      </c>
      <c r="C20" s="67">
        <v>34</v>
      </c>
      <c r="D20" s="67">
        <v>138</v>
      </c>
      <c r="E20" s="39">
        <v>0</v>
      </c>
      <c r="F20" s="39">
        <v>0</v>
      </c>
      <c r="G20" s="39"/>
      <c r="H20" s="39"/>
      <c r="I20" s="39"/>
      <c r="J20" s="39"/>
      <c r="K20" s="34">
        <v>0</v>
      </c>
      <c r="L20" s="41">
        <v>0</v>
      </c>
      <c r="M20" s="39">
        <v>0</v>
      </c>
      <c r="N20" s="39">
        <v>0</v>
      </c>
      <c r="O20" s="39"/>
      <c r="P20" s="39"/>
      <c r="Q20" s="36"/>
      <c r="R20" s="39"/>
      <c r="S20" s="35"/>
      <c r="T20" s="39"/>
      <c r="U20" s="34">
        <v>0</v>
      </c>
      <c r="V20" s="39">
        <v>0</v>
      </c>
      <c r="W20" s="39"/>
      <c r="X20" s="41"/>
      <c r="Y20" s="99">
        <v>280</v>
      </c>
      <c r="Z20" s="75">
        <v>0</v>
      </c>
      <c r="AA20" s="36"/>
      <c r="AB20" s="39"/>
      <c r="AC20" s="35"/>
      <c r="AD20" s="39"/>
      <c r="AE20" s="39"/>
      <c r="AF20" s="39"/>
      <c r="AG20" s="39"/>
      <c r="AH20" s="41"/>
      <c r="AI20" s="71">
        <v>250</v>
      </c>
      <c r="AJ20" s="73"/>
      <c r="AK20" s="35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</row>
    <row r="21" spans="1:68">
      <c r="A21" s="8"/>
      <c r="B21" s="52">
        <v>10</v>
      </c>
      <c r="C21" s="67">
        <v>23</v>
      </c>
      <c r="D21" s="67">
        <v>114</v>
      </c>
      <c r="E21" s="39">
        <v>60.5</v>
      </c>
      <c r="F21" s="39">
        <v>0</v>
      </c>
      <c r="G21" s="39"/>
      <c r="H21" s="39"/>
      <c r="I21" s="39"/>
      <c r="J21" s="39"/>
      <c r="K21" s="34">
        <v>104</v>
      </c>
      <c r="L21" s="41">
        <v>0</v>
      </c>
      <c r="M21" s="39">
        <v>0</v>
      </c>
      <c r="N21" s="39">
        <v>0</v>
      </c>
      <c r="O21" s="39"/>
      <c r="P21" s="39"/>
      <c r="Q21" s="36"/>
      <c r="R21" s="39"/>
      <c r="S21" s="35"/>
      <c r="T21" s="39"/>
      <c r="U21" s="34">
        <v>40</v>
      </c>
      <c r="V21" s="39">
        <v>0</v>
      </c>
      <c r="W21" s="39"/>
      <c r="X21" s="41"/>
      <c r="Y21" s="99">
        <v>280</v>
      </c>
      <c r="Z21" s="75">
        <v>0</v>
      </c>
      <c r="AA21" s="36"/>
      <c r="AB21" s="39"/>
      <c r="AC21" s="35"/>
      <c r="AD21" s="39"/>
      <c r="AE21" s="39"/>
      <c r="AF21" s="39"/>
      <c r="AG21" s="39"/>
      <c r="AH21" s="41"/>
      <c r="AI21" s="71">
        <v>270</v>
      </c>
      <c r="AJ21" s="73"/>
      <c r="AK21" s="35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</row>
    <row r="22" spans="1:68">
      <c r="A22" s="8"/>
      <c r="B22" s="52">
        <v>11</v>
      </c>
      <c r="C22" s="67">
        <v>31</v>
      </c>
      <c r="D22" s="67">
        <v>124</v>
      </c>
      <c r="E22" s="39">
        <v>0</v>
      </c>
      <c r="F22" s="39">
        <v>0</v>
      </c>
      <c r="G22" s="39"/>
      <c r="H22" s="39"/>
      <c r="I22" s="39"/>
      <c r="J22" s="39"/>
      <c r="K22" s="34">
        <v>0</v>
      </c>
      <c r="L22" s="41">
        <v>0</v>
      </c>
      <c r="M22" s="39">
        <v>0</v>
      </c>
      <c r="N22" s="39">
        <v>0</v>
      </c>
      <c r="O22" s="39"/>
      <c r="P22" s="39"/>
      <c r="Q22" s="36"/>
      <c r="R22" s="39"/>
      <c r="S22" s="35"/>
      <c r="T22" s="39"/>
      <c r="U22" s="34">
        <v>0</v>
      </c>
      <c r="V22" s="39">
        <v>0</v>
      </c>
      <c r="W22" s="39"/>
      <c r="X22" s="41"/>
      <c r="Y22" s="99">
        <v>300</v>
      </c>
      <c r="Z22" s="75">
        <v>0</v>
      </c>
      <c r="AA22" s="36"/>
      <c r="AB22" s="39"/>
      <c r="AC22" s="35"/>
      <c r="AD22" s="39"/>
      <c r="AE22" s="39"/>
      <c r="AF22" s="39"/>
      <c r="AG22" s="39"/>
      <c r="AH22" s="41"/>
      <c r="AI22" s="72">
        <v>280</v>
      </c>
      <c r="AJ22" s="73"/>
      <c r="AK22" s="35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</row>
    <row r="23" spans="1:68">
      <c r="A23" s="8"/>
      <c r="B23" s="52">
        <v>12</v>
      </c>
      <c r="C23" s="67">
        <v>37</v>
      </c>
      <c r="D23" s="67">
        <v>153</v>
      </c>
      <c r="E23" s="39">
        <v>0</v>
      </c>
      <c r="F23" s="39">
        <v>0</v>
      </c>
      <c r="G23" s="39"/>
      <c r="H23" s="39"/>
      <c r="I23" s="39"/>
      <c r="J23" s="39"/>
      <c r="K23" s="34">
        <v>0</v>
      </c>
      <c r="L23" s="41">
        <v>0</v>
      </c>
      <c r="M23" s="39">
        <v>0</v>
      </c>
      <c r="N23" s="39">
        <v>0</v>
      </c>
      <c r="O23" s="39"/>
      <c r="P23" s="39"/>
      <c r="Q23" s="36"/>
      <c r="R23" s="39"/>
      <c r="S23" s="35"/>
      <c r="T23" s="39"/>
      <c r="U23" s="34">
        <v>0</v>
      </c>
      <c r="V23" s="39">
        <v>0</v>
      </c>
      <c r="W23" s="39"/>
      <c r="X23" s="41"/>
      <c r="Y23" s="99">
        <v>290</v>
      </c>
      <c r="Z23" s="75">
        <v>0</v>
      </c>
      <c r="AA23" s="35"/>
      <c r="AB23" s="39"/>
      <c r="AC23" s="35"/>
      <c r="AD23" s="39"/>
      <c r="AE23" s="39"/>
      <c r="AF23" s="39"/>
      <c r="AG23" s="39"/>
      <c r="AH23" s="41"/>
      <c r="AI23" s="72">
        <v>0</v>
      </c>
      <c r="AJ23" s="73"/>
      <c r="AK23" s="35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</row>
    <row r="24" spans="1:68">
      <c r="A24" s="8"/>
      <c r="B24" s="52">
        <v>13</v>
      </c>
      <c r="C24" s="67">
        <v>33</v>
      </c>
      <c r="D24" s="67">
        <v>202</v>
      </c>
      <c r="E24" s="39">
        <v>0</v>
      </c>
      <c r="F24" s="39">
        <v>0</v>
      </c>
      <c r="G24" s="39"/>
      <c r="H24" s="39"/>
      <c r="I24" s="39"/>
      <c r="J24" s="39"/>
      <c r="K24" s="34">
        <v>0</v>
      </c>
      <c r="L24" s="41">
        <v>0</v>
      </c>
      <c r="M24" s="39">
        <v>0</v>
      </c>
      <c r="N24" s="39">
        <v>0</v>
      </c>
      <c r="O24" s="39"/>
      <c r="P24" s="39"/>
      <c r="Q24" s="35"/>
      <c r="R24" s="39"/>
      <c r="S24" s="35"/>
      <c r="T24" s="39"/>
      <c r="U24" s="34">
        <v>0</v>
      </c>
      <c r="V24" s="39">
        <v>0</v>
      </c>
      <c r="W24" s="39"/>
      <c r="X24" s="41"/>
      <c r="Y24" s="99">
        <v>280</v>
      </c>
      <c r="Z24" s="75">
        <v>0</v>
      </c>
      <c r="AA24" s="35"/>
      <c r="AB24" s="39"/>
      <c r="AC24" s="35"/>
      <c r="AD24" s="39"/>
      <c r="AE24" s="39"/>
      <c r="AF24" s="39"/>
      <c r="AG24" s="39"/>
      <c r="AH24" s="41"/>
      <c r="AI24" s="72">
        <v>180</v>
      </c>
      <c r="AJ24" s="73"/>
      <c r="AK24" s="35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</row>
    <row r="25" spans="1:68">
      <c r="A25" s="8"/>
      <c r="B25" s="52">
        <v>14</v>
      </c>
      <c r="C25" s="67">
        <v>30</v>
      </c>
      <c r="D25" s="67">
        <v>102</v>
      </c>
      <c r="E25" s="39">
        <v>17</v>
      </c>
      <c r="F25" s="39">
        <v>0</v>
      </c>
      <c r="G25" s="39"/>
      <c r="H25" s="39"/>
      <c r="I25" s="39"/>
      <c r="J25" s="39"/>
      <c r="K25" s="34">
        <v>80</v>
      </c>
      <c r="L25" s="41">
        <v>0</v>
      </c>
      <c r="M25" s="39">
        <v>0</v>
      </c>
      <c r="N25" s="39">
        <v>0</v>
      </c>
      <c r="O25" s="39"/>
      <c r="P25" s="39"/>
      <c r="Q25" s="36"/>
      <c r="R25" s="39"/>
      <c r="S25" s="35"/>
      <c r="T25" s="39"/>
      <c r="U25" s="34">
        <v>0</v>
      </c>
      <c r="V25" s="39">
        <v>0</v>
      </c>
      <c r="W25" s="39"/>
      <c r="X25" s="41"/>
      <c r="Y25" s="99">
        <v>250</v>
      </c>
      <c r="Z25" s="75">
        <v>0</v>
      </c>
      <c r="AA25" s="35"/>
      <c r="AB25" s="39"/>
      <c r="AC25" s="35"/>
      <c r="AD25" s="39"/>
      <c r="AE25" s="39"/>
      <c r="AF25" s="39"/>
      <c r="AG25" s="39"/>
      <c r="AH25" s="41"/>
      <c r="AI25" s="72">
        <v>200</v>
      </c>
      <c r="AJ25" s="73"/>
      <c r="AK25" s="35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</row>
    <row r="26" spans="1:68">
      <c r="A26" s="8"/>
      <c r="B26" s="52">
        <v>15</v>
      </c>
      <c r="C26" s="67">
        <v>40</v>
      </c>
      <c r="D26" s="67">
        <v>125</v>
      </c>
      <c r="E26" s="39">
        <v>0</v>
      </c>
      <c r="F26" s="39">
        <v>0</v>
      </c>
      <c r="G26" s="39"/>
      <c r="H26" s="39"/>
      <c r="I26" s="39"/>
      <c r="J26" s="39"/>
      <c r="K26" s="34">
        <v>0</v>
      </c>
      <c r="L26" s="41">
        <v>0</v>
      </c>
      <c r="M26" s="39">
        <v>0</v>
      </c>
      <c r="N26" s="39">
        <v>0</v>
      </c>
      <c r="O26" s="39"/>
      <c r="P26" s="39"/>
      <c r="Q26" s="35"/>
      <c r="R26" s="39"/>
      <c r="S26" s="36"/>
      <c r="T26" s="39"/>
      <c r="U26" s="34">
        <v>0</v>
      </c>
      <c r="V26" s="39">
        <v>0</v>
      </c>
      <c r="W26" s="39"/>
      <c r="X26" s="41"/>
      <c r="Y26" s="99">
        <v>270</v>
      </c>
      <c r="Z26" s="75">
        <v>0</v>
      </c>
      <c r="AA26" s="35"/>
      <c r="AB26" s="39"/>
      <c r="AC26" s="35"/>
      <c r="AD26" s="39"/>
      <c r="AE26" s="39"/>
      <c r="AF26" s="39"/>
      <c r="AG26" s="39"/>
      <c r="AH26" s="41"/>
      <c r="AI26" s="72">
        <v>190</v>
      </c>
      <c r="AJ26" s="73"/>
      <c r="AK26" s="35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</row>
    <row r="27" spans="1:68">
      <c r="A27" s="8"/>
      <c r="B27" s="52">
        <v>16</v>
      </c>
      <c r="C27" s="67">
        <v>52</v>
      </c>
      <c r="D27" s="67">
        <v>172</v>
      </c>
      <c r="E27" s="39">
        <v>0</v>
      </c>
      <c r="F27" s="39">
        <v>0</v>
      </c>
      <c r="G27" s="39"/>
      <c r="H27" s="39"/>
      <c r="I27" s="39"/>
      <c r="J27" s="39"/>
      <c r="K27" s="34">
        <v>0</v>
      </c>
      <c r="L27" s="41">
        <v>0</v>
      </c>
      <c r="M27" s="39">
        <v>0</v>
      </c>
      <c r="N27" s="39">
        <v>0</v>
      </c>
      <c r="O27" s="39"/>
      <c r="P27" s="39"/>
      <c r="Q27" s="35"/>
      <c r="R27" s="39"/>
      <c r="S27" s="36"/>
      <c r="T27" s="39"/>
      <c r="U27" s="34">
        <v>0</v>
      </c>
      <c r="V27" s="39">
        <v>0</v>
      </c>
      <c r="W27" s="39"/>
      <c r="X27" s="41"/>
      <c r="Y27" s="99">
        <v>260</v>
      </c>
      <c r="Z27" s="75">
        <v>0</v>
      </c>
      <c r="AA27" s="35"/>
      <c r="AB27" s="39"/>
      <c r="AC27" s="35"/>
      <c r="AD27" s="39"/>
      <c r="AE27" s="39"/>
      <c r="AF27" s="39"/>
      <c r="AG27" s="39"/>
      <c r="AH27" s="41"/>
      <c r="AI27" s="72">
        <v>220</v>
      </c>
      <c r="AJ27" s="73"/>
      <c r="AK27" s="35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</row>
    <row r="28" spans="1:68">
      <c r="A28" s="8"/>
      <c r="B28" s="52">
        <v>17</v>
      </c>
      <c r="C28" s="67">
        <v>48</v>
      </c>
      <c r="D28" s="67">
        <v>165</v>
      </c>
      <c r="E28" s="39">
        <v>0</v>
      </c>
      <c r="F28" s="39">
        <v>0</v>
      </c>
      <c r="G28" s="39"/>
      <c r="H28" s="39"/>
      <c r="I28" s="39"/>
      <c r="J28" s="39"/>
      <c r="K28" s="34">
        <v>0</v>
      </c>
      <c r="L28" s="41">
        <v>0</v>
      </c>
      <c r="M28" s="39">
        <v>0</v>
      </c>
      <c r="N28" s="39">
        <v>0</v>
      </c>
      <c r="O28" s="39"/>
      <c r="P28" s="39"/>
      <c r="Q28" s="35"/>
      <c r="R28" s="39"/>
      <c r="S28" s="35"/>
      <c r="T28" s="39"/>
      <c r="U28" s="34">
        <v>0</v>
      </c>
      <c r="V28" s="39">
        <v>0</v>
      </c>
      <c r="W28" s="39"/>
      <c r="X28" s="41"/>
      <c r="Y28" s="99">
        <v>270</v>
      </c>
      <c r="Z28" s="75">
        <v>0</v>
      </c>
      <c r="AA28" s="35"/>
      <c r="AB28" s="39"/>
      <c r="AC28" s="35"/>
      <c r="AD28" s="39"/>
      <c r="AE28" s="39"/>
      <c r="AF28" s="39"/>
      <c r="AG28" s="39"/>
      <c r="AH28" s="41"/>
      <c r="AI28" s="72">
        <v>300</v>
      </c>
      <c r="AJ28" s="73"/>
      <c r="AK28" s="35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</row>
    <row r="29" spans="1:68">
      <c r="A29" s="8"/>
      <c r="B29" s="52">
        <v>18</v>
      </c>
      <c r="C29" s="67">
        <v>50</v>
      </c>
      <c r="D29" s="67">
        <v>218</v>
      </c>
      <c r="E29" s="39">
        <v>0</v>
      </c>
      <c r="F29" s="39">
        <v>0</v>
      </c>
      <c r="G29" s="39"/>
      <c r="H29" s="39"/>
      <c r="I29" s="39"/>
      <c r="J29" s="39"/>
      <c r="K29" s="34">
        <v>0</v>
      </c>
      <c r="L29" s="41">
        <v>0</v>
      </c>
      <c r="M29" s="39">
        <v>0</v>
      </c>
      <c r="N29" s="39">
        <v>0</v>
      </c>
      <c r="O29" s="39"/>
      <c r="P29" s="39"/>
      <c r="Q29" s="36"/>
      <c r="R29" s="39"/>
      <c r="S29" s="35"/>
      <c r="T29" s="39"/>
      <c r="U29" s="34">
        <v>0</v>
      </c>
      <c r="V29" s="39">
        <v>0</v>
      </c>
      <c r="W29" s="39"/>
      <c r="X29" s="41"/>
      <c r="Y29" s="99">
        <v>290</v>
      </c>
      <c r="Z29" s="75">
        <v>0</v>
      </c>
      <c r="AA29" s="35"/>
      <c r="AB29" s="39"/>
      <c r="AC29" s="35"/>
      <c r="AD29" s="39"/>
      <c r="AE29" s="39"/>
      <c r="AF29" s="39"/>
      <c r="AG29" s="39"/>
      <c r="AH29" s="41"/>
      <c r="AI29" s="72">
        <v>220</v>
      </c>
      <c r="AJ29" s="73"/>
      <c r="AK29" s="35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</row>
    <row r="30" spans="1:68">
      <c r="A30" s="8"/>
      <c r="B30" s="52">
        <v>19</v>
      </c>
      <c r="C30" s="67">
        <v>50</v>
      </c>
      <c r="D30" s="67">
        <v>242</v>
      </c>
      <c r="E30" s="39">
        <v>0</v>
      </c>
      <c r="F30" s="39">
        <v>0</v>
      </c>
      <c r="G30" s="39"/>
      <c r="H30" s="39"/>
      <c r="I30" s="39"/>
      <c r="J30" s="39"/>
      <c r="K30" s="34">
        <v>0</v>
      </c>
      <c r="L30" s="41">
        <v>0</v>
      </c>
      <c r="M30" s="39">
        <v>0</v>
      </c>
      <c r="N30" s="39">
        <v>0</v>
      </c>
      <c r="O30" s="39"/>
      <c r="P30" s="39"/>
      <c r="Q30" s="35"/>
      <c r="R30" s="39"/>
      <c r="S30" s="36"/>
      <c r="T30" s="39"/>
      <c r="U30" s="34">
        <v>0</v>
      </c>
      <c r="V30" s="39">
        <v>0</v>
      </c>
      <c r="W30" s="39"/>
      <c r="X30" s="41"/>
      <c r="Y30" s="99">
        <v>300</v>
      </c>
      <c r="Z30" s="75">
        <v>0</v>
      </c>
      <c r="AA30" s="35"/>
      <c r="AB30" s="39"/>
      <c r="AC30" s="35"/>
      <c r="AD30" s="39"/>
      <c r="AE30" s="39"/>
      <c r="AF30" s="39"/>
      <c r="AG30" s="39"/>
      <c r="AH30" s="41"/>
      <c r="AI30" s="72">
        <v>240</v>
      </c>
      <c r="AJ30" s="73"/>
      <c r="AK30" s="35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</row>
    <row r="31" spans="1:68">
      <c r="A31" s="8"/>
      <c r="B31" s="52">
        <v>20</v>
      </c>
      <c r="C31" s="67">
        <v>45</v>
      </c>
      <c r="D31" s="67">
        <v>200</v>
      </c>
      <c r="E31" s="39">
        <v>0</v>
      </c>
      <c r="F31" s="39">
        <v>0</v>
      </c>
      <c r="G31" s="39"/>
      <c r="H31" s="39"/>
      <c r="I31" s="39"/>
      <c r="J31" s="39"/>
      <c r="K31" s="34">
        <v>0</v>
      </c>
      <c r="L31" s="41">
        <v>0</v>
      </c>
      <c r="M31" s="39">
        <v>0</v>
      </c>
      <c r="N31" s="39">
        <v>0</v>
      </c>
      <c r="O31" s="39"/>
      <c r="P31" s="39"/>
      <c r="Q31" s="35"/>
      <c r="R31" s="39"/>
      <c r="S31" s="36"/>
      <c r="T31" s="39"/>
      <c r="U31" s="34">
        <v>0</v>
      </c>
      <c r="V31" s="39">
        <v>0</v>
      </c>
      <c r="W31" s="39"/>
      <c r="X31" s="41"/>
      <c r="Y31" s="99">
        <v>250</v>
      </c>
      <c r="Z31" s="75">
        <v>0</v>
      </c>
      <c r="AA31" s="35"/>
      <c r="AB31" s="39"/>
      <c r="AC31" s="35"/>
      <c r="AD31" s="39"/>
      <c r="AE31" s="39"/>
      <c r="AF31" s="39"/>
      <c r="AG31" s="39"/>
      <c r="AH31" s="41"/>
      <c r="AI31" s="72">
        <v>230</v>
      </c>
      <c r="AJ31" s="73"/>
      <c r="AK31" s="35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</row>
    <row r="32" spans="1:68">
      <c r="A32" s="8"/>
      <c r="B32" s="52">
        <v>21</v>
      </c>
      <c r="C32" s="67">
        <v>46</v>
      </c>
      <c r="D32" s="67">
        <v>194</v>
      </c>
      <c r="E32" s="39">
        <v>0</v>
      </c>
      <c r="F32" s="39">
        <v>0</v>
      </c>
      <c r="G32" s="39"/>
      <c r="H32" s="39"/>
      <c r="I32" s="39"/>
      <c r="J32" s="39"/>
      <c r="K32" s="34">
        <v>0</v>
      </c>
      <c r="L32" s="41">
        <v>0</v>
      </c>
      <c r="M32" s="39">
        <v>0</v>
      </c>
      <c r="N32" s="39">
        <v>0</v>
      </c>
      <c r="O32" s="39"/>
      <c r="P32" s="39"/>
      <c r="Q32" s="35"/>
      <c r="R32" s="39"/>
      <c r="S32" s="36"/>
      <c r="T32" s="39"/>
      <c r="U32" s="34">
        <v>0</v>
      </c>
      <c r="V32" s="39">
        <v>0</v>
      </c>
      <c r="W32" s="39"/>
      <c r="X32" s="41"/>
      <c r="Y32" s="99">
        <v>280</v>
      </c>
      <c r="Z32" s="75">
        <v>0</v>
      </c>
      <c r="AA32" s="35"/>
      <c r="AB32" s="39"/>
      <c r="AC32" s="35"/>
      <c r="AD32" s="39"/>
      <c r="AE32" s="39"/>
      <c r="AF32" s="39"/>
      <c r="AG32" s="39"/>
      <c r="AH32" s="41"/>
      <c r="AI32" s="72">
        <v>220</v>
      </c>
      <c r="AJ32" s="73"/>
      <c r="AK32" s="35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</row>
    <row r="33" spans="1:68">
      <c r="A33" s="8"/>
      <c r="B33" s="52">
        <v>22</v>
      </c>
      <c r="C33" s="67">
        <v>52</v>
      </c>
      <c r="D33" s="67">
        <v>212</v>
      </c>
      <c r="E33" s="79">
        <v>0</v>
      </c>
      <c r="F33" s="39">
        <v>0</v>
      </c>
      <c r="G33" s="39"/>
      <c r="H33" s="39"/>
      <c r="I33" s="39"/>
      <c r="J33" s="39"/>
      <c r="K33" s="34">
        <v>0</v>
      </c>
      <c r="L33" s="41">
        <v>0</v>
      </c>
      <c r="M33" s="39">
        <v>0</v>
      </c>
      <c r="N33" s="39">
        <v>0</v>
      </c>
      <c r="O33" s="39"/>
      <c r="P33" s="39"/>
      <c r="Q33" s="35"/>
      <c r="R33" s="39"/>
      <c r="S33" s="36"/>
      <c r="T33" s="39"/>
      <c r="U33" s="34">
        <v>0</v>
      </c>
      <c r="V33" s="39">
        <v>0</v>
      </c>
      <c r="W33" s="39"/>
      <c r="X33" s="41"/>
      <c r="Y33" s="100">
        <v>260</v>
      </c>
      <c r="Z33" s="75">
        <v>0</v>
      </c>
      <c r="AA33" s="35"/>
      <c r="AB33" s="39"/>
      <c r="AC33" s="35"/>
      <c r="AD33" s="39"/>
      <c r="AE33" s="39"/>
      <c r="AF33" s="39"/>
      <c r="AG33" s="39"/>
      <c r="AH33" s="41"/>
      <c r="AI33" s="72">
        <v>200</v>
      </c>
      <c r="AJ33" s="73"/>
      <c r="AK33" s="35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</row>
    <row r="34" spans="1:68">
      <c r="A34" s="8"/>
      <c r="B34" s="52">
        <v>23</v>
      </c>
      <c r="C34" s="67">
        <v>53</v>
      </c>
      <c r="D34" s="67">
        <v>200</v>
      </c>
      <c r="E34" s="39">
        <v>0</v>
      </c>
      <c r="F34" s="39">
        <v>0</v>
      </c>
      <c r="G34" s="39"/>
      <c r="H34" s="39"/>
      <c r="I34" s="39"/>
      <c r="J34" s="39"/>
      <c r="K34" s="34">
        <v>0</v>
      </c>
      <c r="L34" s="41">
        <v>0</v>
      </c>
      <c r="M34" s="39">
        <v>0</v>
      </c>
      <c r="N34" s="39">
        <v>0</v>
      </c>
      <c r="O34" s="39"/>
      <c r="P34" s="39"/>
      <c r="Q34" s="35"/>
      <c r="R34" s="39"/>
      <c r="S34" s="36"/>
      <c r="T34" s="39"/>
      <c r="U34" s="34">
        <v>0</v>
      </c>
      <c r="V34" s="39">
        <v>0</v>
      </c>
      <c r="W34" s="39"/>
      <c r="X34" s="41"/>
      <c r="Y34" s="72">
        <v>250</v>
      </c>
      <c r="Z34" s="75">
        <v>0</v>
      </c>
      <c r="AA34" s="35"/>
      <c r="AB34" s="39"/>
      <c r="AC34" s="35"/>
      <c r="AD34" s="39"/>
      <c r="AE34" s="39"/>
      <c r="AF34" s="39"/>
      <c r="AG34" s="39"/>
      <c r="AH34" s="41"/>
      <c r="AI34" s="72">
        <v>210</v>
      </c>
      <c r="AJ34" s="73"/>
      <c r="AK34" s="35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</row>
    <row r="35" spans="1:68">
      <c r="A35" s="8"/>
      <c r="B35" s="52">
        <v>24</v>
      </c>
      <c r="C35" s="67">
        <v>54</v>
      </c>
      <c r="D35" s="67">
        <v>216</v>
      </c>
      <c r="E35" s="39">
        <v>8</v>
      </c>
      <c r="F35" s="39">
        <v>0</v>
      </c>
      <c r="G35" s="39"/>
      <c r="H35" s="39"/>
      <c r="I35" s="39"/>
      <c r="J35" s="39"/>
      <c r="K35" s="34">
        <v>2.5</v>
      </c>
      <c r="L35" s="41">
        <v>0</v>
      </c>
      <c r="M35" s="39">
        <v>48</v>
      </c>
      <c r="N35" s="39">
        <v>0</v>
      </c>
      <c r="O35" s="39"/>
      <c r="P35" s="39"/>
      <c r="Q35" s="36"/>
      <c r="R35" s="39"/>
      <c r="S35" s="36"/>
      <c r="T35" s="39"/>
      <c r="U35" s="34">
        <v>15</v>
      </c>
      <c r="V35" s="39">
        <v>0</v>
      </c>
      <c r="W35" s="39"/>
      <c r="X35" s="41"/>
      <c r="Y35" s="72">
        <v>260</v>
      </c>
      <c r="Z35" s="75">
        <v>0</v>
      </c>
      <c r="AA35" s="36"/>
      <c r="AB35" s="39"/>
      <c r="AC35" s="35"/>
      <c r="AD35" s="39"/>
      <c r="AE35" s="39"/>
      <c r="AF35" s="39"/>
      <c r="AG35" s="39"/>
      <c r="AH35" s="41"/>
      <c r="AI35" s="72">
        <v>200</v>
      </c>
      <c r="AJ35" s="73"/>
      <c r="AK35" s="35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</row>
    <row r="36" spans="1:68">
      <c r="A36" s="8"/>
      <c r="B36" s="52">
        <v>25</v>
      </c>
      <c r="C36" s="67">
        <v>57</v>
      </c>
      <c r="D36" s="67">
        <v>299</v>
      </c>
      <c r="E36" s="39">
        <v>0</v>
      </c>
      <c r="F36" s="39">
        <v>0</v>
      </c>
      <c r="G36" s="39"/>
      <c r="H36" s="39"/>
      <c r="I36" s="39"/>
      <c r="J36" s="39"/>
      <c r="K36" s="34">
        <v>0</v>
      </c>
      <c r="L36" s="41">
        <v>0</v>
      </c>
      <c r="M36" s="39">
        <v>0</v>
      </c>
      <c r="N36" s="39">
        <v>0</v>
      </c>
      <c r="O36" s="39"/>
      <c r="P36" s="39"/>
      <c r="Q36" s="36"/>
      <c r="R36" s="39"/>
      <c r="S36" s="36"/>
      <c r="T36" s="39"/>
      <c r="U36" s="34">
        <v>0</v>
      </c>
      <c r="V36" s="39">
        <v>0</v>
      </c>
      <c r="W36" s="39"/>
      <c r="X36" s="41"/>
      <c r="Y36" s="72">
        <v>310</v>
      </c>
      <c r="Z36" s="75">
        <v>0</v>
      </c>
      <c r="AA36" s="36"/>
      <c r="AB36" s="39"/>
      <c r="AC36" s="35"/>
      <c r="AD36" s="39"/>
      <c r="AE36" s="39"/>
      <c r="AF36" s="39"/>
      <c r="AG36" s="39"/>
      <c r="AH36" s="41"/>
      <c r="AI36" s="72">
        <v>240</v>
      </c>
      <c r="AJ36" s="73"/>
      <c r="AK36" s="35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</row>
    <row r="37" spans="1:68">
      <c r="A37" s="8"/>
      <c r="B37" s="52">
        <v>26</v>
      </c>
      <c r="C37" s="67">
        <v>53</v>
      </c>
      <c r="D37" s="67">
        <v>255</v>
      </c>
      <c r="E37" s="39">
        <v>0</v>
      </c>
      <c r="F37" s="39">
        <v>0</v>
      </c>
      <c r="G37" s="39"/>
      <c r="H37" s="39"/>
      <c r="I37" s="39"/>
      <c r="J37" s="39"/>
      <c r="K37" s="34">
        <v>0</v>
      </c>
      <c r="L37" s="41">
        <v>0</v>
      </c>
      <c r="M37" s="39">
        <v>0</v>
      </c>
      <c r="N37" s="39">
        <v>0</v>
      </c>
      <c r="O37" s="39"/>
      <c r="P37" s="39"/>
      <c r="Q37" s="36"/>
      <c r="R37" s="39"/>
      <c r="S37" s="36"/>
      <c r="T37" s="39"/>
      <c r="U37" s="34">
        <v>0</v>
      </c>
      <c r="V37" s="39">
        <v>0</v>
      </c>
      <c r="W37" s="39"/>
      <c r="X37" s="41"/>
      <c r="Y37" s="72">
        <v>330</v>
      </c>
      <c r="Z37" s="75">
        <v>0</v>
      </c>
      <c r="AA37" s="35"/>
      <c r="AB37" s="39"/>
      <c r="AC37" s="35"/>
      <c r="AD37" s="39"/>
      <c r="AE37" s="39"/>
      <c r="AF37" s="39"/>
      <c r="AG37" s="39"/>
      <c r="AH37" s="41"/>
      <c r="AI37" s="71">
        <v>240</v>
      </c>
      <c r="AJ37" s="73"/>
      <c r="AK37" s="35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</row>
    <row r="38" spans="1:68">
      <c r="A38" s="8"/>
      <c r="B38" s="52">
        <v>27</v>
      </c>
      <c r="C38" s="67">
        <v>53</v>
      </c>
      <c r="D38" s="67">
        <v>257</v>
      </c>
      <c r="E38" s="39">
        <v>0</v>
      </c>
      <c r="F38" s="39">
        <v>0</v>
      </c>
      <c r="G38" s="39"/>
      <c r="H38" s="39"/>
      <c r="I38" s="39"/>
      <c r="J38" s="39"/>
      <c r="K38" s="34">
        <v>0</v>
      </c>
      <c r="L38" s="41">
        <v>0</v>
      </c>
      <c r="M38" s="39">
        <v>0</v>
      </c>
      <c r="N38" s="39">
        <v>0</v>
      </c>
      <c r="O38" s="39"/>
      <c r="P38" s="39"/>
      <c r="Q38" s="36"/>
      <c r="R38" s="39"/>
      <c r="S38" s="36"/>
      <c r="T38" s="39"/>
      <c r="U38" s="34">
        <v>0</v>
      </c>
      <c r="V38" s="39">
        <v>0</v>
      </c>
      <c r="W38" s="39"/>
      <c r="X38" s="41"/>
      <c r="Y38" s="72">
        <v>300</v>
      </c>
      <c r="Z38" s="75">
        <v>0</v>
      </c>
      <c r="AA38" s="35"/>
      <c r="AB38" s="39"/>
      <c r="AC38" s="35"/>
      <c r="AD38" s="39"/>
      <c r="AE38" s="39"/>
      <c r="AF38" s="39"/>
      <c r="AG38" s="39"/>
      <c r="AH38" s="39"/>
      <c r="AI38" s="74">
        <v>230</v>
      </c>
      <c r="AJ38" s="39"/>
      <c r="AK38" s="35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</row>
    <row r="39" spans="1:68">
      <c r="A39" s="8"/>
      <c r="B39" s="52">
        <v>28</v>
      </c>
      <c r="C39" s="67">
        <v>56</v>
      </c>
      <c r="D39" s="67">
        <v>343</v>
      </c>
      <c r="E39" s="39">
        <v>32.700000000000003</v>
      </c>
      <c r="F39" s="39">
        <v>0</v>
      </c>
      <c r="G39" s="39"/>
      <c r="H39" s="39"/>
      <c r="I39" s="39"/>
      <c r="J39" s="39"/>
      <c r="K39" s="34">
        <v>62</v>
      </c>
      <c r="L39" s="41">
        <v>0</v>
      </c>
      <c r="M39" s="39">
        <v>7.6</v>
      </c>
      <c r="N39" s="39">
        <v>0</v>
      </c>
      <c r="O39" s="39"/>
      <c r="P39" s="39"/>
      <c r="Q39" s="36"/>
      <c r="R39" s="39"/>
      <c r="S39" s="36"/>
      <c r="T39" s="39"/>
      <c r="U39" s="34">
        <v>6.5</v>
      </c>
      <c r="V39" s="39">
        <v>0</v>
      </c>
      <c r="W39" s="39"/>
      <c r="X39" s="41"/>
      <c r="Y39" s="72">
        <v>300</v>
      </c>
      <c r="Z39" s="75">
        <v>0</v>
      </c>
      <c r="AA39" s="35"/>
      <c r="AB39" s="39"/>
      <c r="AC39" s="35"/>
      <c r="AD39" s="39"/>
      <c r="AE39" s="39"/>
      <c r="AF39" s="39"/>
      <c r="AG39" s="39"/>
      <c r="AH39" s="39"/>
      <c r="AI39" s="40">
        <v>250</v>
      </c>
      <c r="AJ39" s="39"/>
      <c r="AK39" s="35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</row>
    <row r="40" spans="1:68">
      <c r="A40" s="8"/>
      <c r="B40" s="52">
        <v>29</v>
      </c>
      <c r="C40" s="68">
        <v>56</v>
      </c>
      <c r="D40" s="68">
        <v>289</v>
      </c>
      <c r="E40" s="39">
        <v>0</v>
      </c>
      <c r="F40" s="39">
        <v>0</v>
      </c>
      <c r="G40" s="39"/>
      <c r="H40" s="39"/>
      <c r="I40" s="39"/>
      <c r="J40" s="39"/>
      <c r="K40" s="34">
        <v>0</v>
      </c>
      <c r="L40" s="41">
        <v>0</v>
      </c>
      <c r="M40" s="39">
        <v>0</v>
      </c>
      <c r="N40" s="39">
        <v>0</v>
      </c>
      <c r="O40" s="39"/>
      <c r="P40" s="39"/>
      <c r="Q40" s="36"/>
      <c r="R40" s="39"/>
      <c r="S40" s="36"/>
      <c r="T40" s="39"/>
      <c r="U40" s="34">
        <v>0</v>
      </c>
      <c r="V40" s="39">
        <v>0</v>
      </c>
      <c r="W40" s="39"/>
      <c r="X40" s="41"/>
      <c r="Y40" s="72">
        <v>320</v>
      </c>
      <c r="Z40" s="75">
        <v>0</v>
      </c>
      <c r="AA40" s="35"/>
      <c r="AB40" s="39"/>
      <c r="AC40" s="35"/>
      <c r="AD40" s="39"/>
      <c r="AE40" s="39"/>
      <c r="AF40" s="39"/>
      <c r="AG40" s="39"/>
      <c r="AH40" s="39"/>
      <c r="AI40" s="40">
        <v>290</v>
      </c>
      <c r="AJ40" s="39"/>
      <c r="AK40" s="35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</row>
    <row r="41" spans="1:68" ht="17.25" customHeight="1">
      <c r="A41" s="8"/>
      <c r="B41" s="52">
        <v>30</v>
      </c>
      <c r="C41" s="69">
        <v>55</v>
      </c>
      <c r="D41" s="69">
        <v>252</v>
      </c>
      <c r="E41" s="39">
        <v>0</v>
      </c>
      <c r="F41" s="39">
        <v>-45329</v>
      </c>
      <c r="G41" s="39"/>
      <c r="H41" s="39"/>
      <c r="I41" s="39"/>
      <c r="J41" s="39"/>
      <c r="K41" s="34">
        <v>0</v>
      </c>
      <c r="L41" s="41">
        <v>-114550</v>
      </c>
      <c r="M41" s="39">
        <v>0</v>
      </c>
      <c r="N41" s="39">
        <v>-29300</v>
      </c>
      <c r="O41" s="39"/>
      <c r="P41" s="39"/>
      <c r="Q41" s="36"/>
      <c r="R41" s="39"/>
      <c r="S41" s="36"/>
      <c r="T41" s="39"/>
      <c r="U41" s="34">
        <v>0</v>
      </c>
      <c r="V41" s="39">
        <v>0</v>
      </c>
      <c r="W41" s="39"/>
      <c r="X41" s="41"/>
      <c r="Y41" s="72">
        <v>310</v>
      </c>
      <c r="Z41" s="75">
        <v>6900000</v>
      </c>
      <c r="AA41" s="35"/>
      <c r="AB41" s="39"/>
      <c r="AC41" s="35"/>
      <c r="AD41" s="39"/>
      <c r="AE41" s="39"/>
      <c r="AF41" s="39"/>
      <c r="AG41" s="39"/>
      <c r="AH41" s="39"/>
      <c r="AI41" s="40">
        <v>390</v>
      </c>
      <c r="AJ41" s="39"/>
      <c r="AK41" s="35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</row>
    <row r="42" spans="1:68">
      <c r="A42" s="8"/>
      <c r="B42" s="52">
        <v>31</v>
      </c>
      <c r="C42" s="69">
        <v>56</v>
      </c>
      <c r="D42" s="69">
        <v>310</v>
      </c>
      <c r="E42" s="46">
        <v>9.4</v>
      </c>
      <c r="F42" s="39">
        <v>0</v>
      </c>
      <c r="G42" s="46"/>
      <c r="H42" s="46"/>
      <c r="I42" s="46"/>
      <c r="J42" s="46"/>
      <c r="K42" s="34">
        <v>53.6</v>
      </c>
      <c r="L42" s="47"/>
      <c r="M42" s="46">
        <v>3.7</v>
      </c>
      <c r="N42" s="46"/>
      <c r="O42" s="46"/>
      <c r="P42" s="46"/>
      <c r="Q42" s="37"/>
      <c r="R42" s="46"/>
      <c r="S42" s="37"/>
      <c r="T42" s="46"/>
      <c r="U42" s="34">
        <v>2.5</v>
      </c>
      <c r="V42" s="46">
        <v>-20500</v>
      </c>
      <c r="W42" s="46"/>
      <c r="X42" s="47"/>
      <c r="Y42" s="72">
        <v>340</v>
      </c>
      <c r="Z42" s="76">
        <v>0</v>
      </c>
      <c r="AA42" s="38"/>
      <c r="AB42" s="46"/>
      <c r="AC42" s="38"/>
      <c r="AD42" s="46"/>
      <c r="AE42" s="46"/>
      <c r="AF42" s="46"/>
      <c r="AG42" s="46"/>
      <c r="AH42" s="46"/>
      <c r="AI42" s="48">
        <v>330</v>
      </c>
      <c r="AJ42" s="46"/>
      <c r="AK42" s="35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6"/>
    </row>
    <row r="43" spans="1:68" s="7" customFormat="1" ht="13.5" customHeight="1">
      <c r="B43" s="65"/>
      <c r="C43" s="70">
        <v>1306</v>
      </c>
      <c r="D43" s="70">
        <v>5758</v>
      </c>
      <c r="E43" s="65">
        <f>SUM(E12:E42)</f>
        <v>158.1</v>
      </c>
      <c r="F43" s="65">
        <f>SUM(F19:F42)</f>
        <v>-45329</v>
      </c>
      <c r="G43" s="65"/>
      <c r="H43" s="65"/>
      <c r="I43" s="65"/>
      <c r="J43" s="65"/>
      <c r="K43" s="65">
        <f>SUM(K12:K42)</f>
        <v>443</v>
      </c>
      <c r="L43" s="65">
        <f>SUM(L19:L42)</f>
        <v>-114550</v>
      </c>
      <c r="M43" s="65">
        <f>SUM(M12:M42)</f>
        <v>84.6</v>
      </c>
      <c r="N43" s="65">
        <f>SUM(N12:N41)</f>
        <v>-29300</v>
      </c>
      <c r="O43" s="65"/>
      <c r="P43" s="65"/>
      <c r="Q43" s="65"/>
      <c r="R43" s="65"/>
      <c r="S43" s="65"/>
      <c r="T43" s="65"/>
      <c r="U43" s="65">
        <f>SUM(U12:U42)</f>
        <v>72</v>
      </c>
      <c r="V43" s="65">
        <v>0</v>
      </c>
      <c r="W43" s="65"/>
      <c r="X43" s="65">
        <f>SUM(X12:X42)</f>
        <v>0</v>
      </c>
      <c r="Y43" s="77">
        <f>SUM(Y12:Y42)</f>
        <v>8740</v>
      </c>
      <c r="Z43" s="65">
        <f>SUM(Z12:Z42)</f>
        <v>6900000</v>
      </c>
      <c r="AA43" s="65"/>
      <c r="AB43" s="65"/>
      <c r="AC43" s="65"/>
      <c r="AD43" s="65"/>
      <c r="AE43" s="65"/>
      <c r="AF43" s="65"/>
      <c r="AG43" s="65"/>
      <c r="AH43" s="65"/>
      <c r="AI43" s="65">
        <f>SUM(AI12:AI42)</f>
        <v>7450</v>
      </c>
      <c r="AJ43" s="65"/>
      <c r="AK43" s="66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5"/>
    </row>
    <row r="44" spans="1:68" s="2" customFormat="1" ht="15.95" thickBot="1">
      <c r="B44" s="42"/>
      <c r="C44" s="42"/>
      <c r="D44" s="42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>
        <f>SUM(V12:V42)</f>
        <v>-20500</v>
      </c>
      <c r="W44" s="49"/>
      <c r="X44" s="49"/>
      <c r="Y44" s="49"/>
      <c r="Z44" s="57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35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</row>
    <row r="45" spans="1:68" ht="15.95" thickTop="1">
      <c r="A45" s="4"/>
      <c r="B45" s="43"/>
      <c r="C45" s="44"/>
      <c r="D45" s="44"/>
      <c r="E45" s="50"/>
      <c r="F45" s="50"/>
      <c r="G45" s="50"/>
      <c r="H45" s="50"/>
      <c r="I45" s="50"/>
      <c r="J45" s="45"/>
      <c r="K45" s="50"/>
      <c r="L45" s="51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8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35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</row>
    <row r="46" spans="1:68">
      <c r="A46" s="4"/>
      <c r="B46" s="4"/>
      <c r="C46" s="25"/>
      <c r="D46" s="26"/>
    </row>
  </sheetData>
  <mergeCells count="11">
    <mergeCell ref="E8:J9"/>
    <mergeCell ref="B7:D7"/>
    <mergeCell ref="B8:B10"/>
    <mergeCell ref="C8:C10"/>
    <mergeCell ref="D8:D10"/>
    <mergeCell ref="U8:X9"/>
    <mergeCell ref="Y8:AL9"/>
    <mergeCell ref="AM8:BD9"/>
    <mergeCell ref="BE8:BP9"/>
    <mergeCell ref="K8:L9"/>
    <mergeCell ref="M8:T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/>
</file>

<file path=customXml/itemProps2.xml><?xml version="1.0" encoding="utf-8"?>
<ds:datastoreItem xmlns:ds="http://schemas.openxmlformats.org/officeDocument/2006/customXml" ds:itemID="{6486FEAF-DE74-43F7-9D73-8996CA55B4A4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/>
  <cp:revision/>
  <dcterms:created xsi:type="dcterms:W3CDTF">2020-09-16T08:52:25Z</dcterms:created>
  <dcterms:modified xsi:type="dcterms:W3CDTF">2023-01-09T11:02:45Z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