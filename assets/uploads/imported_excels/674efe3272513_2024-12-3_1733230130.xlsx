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A8F9666-A1AB-43C6-97D0-7FD8EB1F8E66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2" i="2" l="1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H28" i="2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<sst xmlns="http://schemas.openxmlformats.org/spreadsheetml/2006/main" count="76" uniqueCount="40">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</sst>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7" workbookViewId="0">
      <selection activeCell="B9" sqref="B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6"/>
    <col min="4" max="4" width="13.5" style="5" customWidth="1"/>
    <col min="5" max="5" width="12.5" style="100" customWidth="1"/>
    <col min="6" max="6" width="12.5" style="115" customWidth="1"/>
    <col min="7" max="7" width="8.875" style="101"/>
    <col min="8" max="8" width="8.875" style="118"/>
    <col min="9" max="10" width="8.875" style="107"/>
    <col min="11" max="11" width="8.875" style="102"/>
    <col min="12" max="12" width="8.875" style="121"/>
    <col min="13" max="13" width="12.375" style="112" bestFit="1" customWidth="1"/>
    <col min="14" max="14" width="12.375" style="124" bestFit="1" customWidth="1"/>
    <col min="15" max="15" width="8.875" style="108"/>
    <col min="16" max="16" width="11.5" style="108" customWidth="1"/>
    <col min="17" max="16384" width="8.875" style="5"/>
  </cols>
  <sheetData>
    <row r="1" spans="1:16" ht="57.75" thickBot="1" x14ac:dyDescent="0.25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5" thickTop="1" x14ac:dyDescent="0.2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6445</v>
      </c>
      <c r="F2" s="114">
        <f>(November!C2*0.27)/(November!C2+November!E2)</f>
        <v>0.23958572536850273</v>
      </c>
      <c r="G2" s="101">
        <f>November!U2</f>
        <v>80</v>
      </c>
      <c r="H2" s="117">
        <v>0.62</v>
      </c>
      <c r="I2" s="102">
        <f>November!W2</f>
        <v>63</v>
      </c>
      <c r="J2" s="103">
        <v>2.42</v>
      </c>
      <c r="K2" s="110">
        <f>November!AB2*5.04</f>
        <v>3729.6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206</v>
      </c>
      <c r="P2" s="104">
        <f>November!AD2</f>
        <v>439</v>
      </c>
    </row>
    <row r="3" spans="1:16" ht="14.3" x14ac:dyDescent="0.2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6396</v>
      </c>
      <c r="F3" s="114">
        <f>(November!C3*0.27)/(November!C3+November!E3)</f>
        <v>0.25463414634146342</v>
      </c>
      <c r="G3" s="101">
        <f>November!U3</f>
        <v>260</v>
      </c>
      <c r="H3" s="117">
        <v>0.62</v>
      </c>
      <c r="I3" s="102">
        <f>November!W3</f>
        <v>56</v>
      </c>
      <c r="J3" s="103">
        <v>2.42</v>
      </c>
      <c r="K3" s="110">
        <f>November!AB3*5.04</f>
        <v>4158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202</v>
      </c>
      <c r="P3" s="104">
        <f>November!AD3</f>
        <v>402</v>
      </c>
    </row>
    <row r="4" spans="1:16" ht="14.3" x14ac:dyDescent="0.25">
      <c r="A4" s="99" t="s">
        <v>37</v>
      </c>
      <c r="B4" s="5">
        <f t="shared" ref="B4:B31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5987</v>
      </c>
      <c r="F4" s="114">
        <f>(November!C4*0.27)/(November!C4+November!E4)</f>
        <v>0.25484716886587611</v>
      </c>
      <c r="G4" s="101">
        <f>November!U4</f>
        <v>95</v>
      </c>
      <c r="H4" s="117">
        <v>0.62</v>
      </c>
      <c r="I4" s="102">
        <f>November!W4</f>
        <v>62</v>
      </c>
      <c r="J4" s="103">
        <v>2.42</v>
      </c>
      <c r="K4" s="110">
        <f>November!AB4*5.04</f>
        <v>3855.6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178</v>
      </c>
      <c r="P4" s="104">
        <f>November!AD4</f>
        <v>343</v>
      </c>
    </row>
    <row r="5" spans="1:16" ht="14.3" x14ac:dyDescent="0.2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6324</v>
      </c>
      <c r="F5" s="114">
        <f>(November!C5*0.27)/(November!C5+November!E5)</f>
        <v>0.23375237191650855</v>
      </c>
      <c r="G5" s="101">
        <f>November!U5</f>
        <v>159</v>
      </c>
      <c r="H5" s="117">
        <v>0.62</v>
      </c>
      <c r="I5" s="102">
        <f>November!W5</f>
        <v>46</v>
      </c>
      <c r="J5" s="103">
        <v>2.42</v>
      </c>
      <c r="K5" s="110">
        <f>November!AB5*5.04</f>
        <v>4536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206</v>
      </c>
      <c r="P5" s="104">
        <f>November!AD5</f>
        <v>375</v>
      </c>
    </row>
    <row r="6" spans="1:16" ht="14.3" x14ac:dyDescent="0.2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6038</v>
      </c>
      <c r="F6" s="114">
        <f>(November!C6*0.27)/(November!C6+November!E6)</f>
        <v>0.23109638953295794</v>
      </c>
      <c r="G6" s="101">
        <f>November!U6</f>
        <v>10</v>
      </c>
      <c r="H6" s="117">
        <v>0.62</v>
      </c>
      <c r="I6" s="102">
        <f>November!W6</f>
        <v>40</v>
      </c>
      <c r="J6" s="103">
        <v>2.42</v>
      </c>
      <c r="K6" s="110">
        <f>November!AB6*5.04</f>
        <v>4183.2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185</v>
      </c>
      <c r="P6" s="104">
        <f>November!AD6</f>
        <v>352</v>
      </c>
    </row>
    <row r="7" spans="1:16" ht="14.3" x14ac:dyDescent="0.2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5526</v>
      </c>
      <c r="F7" s="114">
        <f>(November!C7*0.27)/(November!C7+November!E7)</f>
        <v>0.22763843648208471</v>
      </c>
      <c r="G7" s="101">
        <f>November!U7</f>
        <v>60</v>
      </c>
      <c r="H7" s="117">
        <v>0.62</v>
      </c>
      <c r="I7" s="102">
        <f>November!W7</f>
        <v>49</v>
      </c>
      <c r="J7" s="103">
        <v>2.42</v>
      </c>
      <c r="K7" s="110">
        <f>November!AB7*5.04</f>
        <v>4384.8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214</v>
      </c>
      <c r="P7" s="104">
        <f>November!AD7</f>
        <v>409</v>
      </c>
    </row>
    <row r="8" spans="1:16" ht="14.3" x14ac:dyDescent="0.2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5763</v>
      </c>
      <c r="F8" s="114">
        <f>(November!C8*0.27)/(November!C8+November!E8)</f>
        <v>0.23280062467464863</v>
      </c>
      <c r="G8" s="101">
        <f>November!U8</f>
        <v>155</v>
      </c>
      <c r="H8" s="117">
        <v>0.62</v>
      </c>
      <c r="I8" s="102">
        <f>November!W8</f>
        <v>54</v>
      </c>
      <c r="J8" s="103">
        <v>2.42</v>
      </c>
      <c r="K8" s="110">
        <f>November!AB8*5.04</f>
        <v>4687.2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220</v>
      </c>
      <c r="P8" s="104">
        <f>November!AD8</f>
        <v>421</v>
      </c>
    </row>
    <row r="9" spans="1:16" ht="14.3" x14ac:dyDescent="0.2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5952</v>
      </c>
      <c r="F9" s="114">
        <f>(November!C9*0.27)/(November!C9+November!E9)</f>
        <v>0.22735887096774193</v>
      </c>
      <c r="G9" s="101">
        <f>November!U9</f>
        <v>120</v>
      </c>
      <c r="H9" s="117">
        <v>0.62</v>
      </c>
      <c r="I9" s="102">
        <f>November!W9</f>
        <v>62</v>
      </c>
      <c r="J9" s="103">
        <v>2.42</v>
      </c>
      <c r="K9" s="110">
        <f>November!AB9*5.04</f>
        <v>4334.3999999999996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235</v>
      </c>
      <c r="P9" s="104">
        <f>November!AD9</f>
        <v>448</v>
      </c>
    </row>
    <row r="10" spans="1:16" ht="14.3" x14ac:dyDescent="0.2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5864</v>
      </c>
      <c r="F10" s="114">
        <f>(November!C10*0.27)/(November!C10+November!E10)</f>
        <v>0.23749317871759892</v>
      </c>
      <c r="G10" s="101">
        <f>November!U10</f>
        <v>65</v>
      </c>
      <c r="H10" s="117">
        <v>0.62</v>
      </c>
      <c r="I10" s="102">
        <f>November!W10</f>
        <v>60</v>
      </c>
      <c r="J10" s="103">
        <v>2.42</v>
      </c>
      <c r="K10" s="110">
        <f>November!AB10*5.04</f>
        <v>4460.3999999999996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234</v>
      </c>
      <c r="P10" s="104">
        <f>November!AD10</f>
        <v>443</v>
      </c>
    </row>
    <row r="11" spans="1:16" ht="14.3" x14ac:dyDescent="0.2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5919</v>
      </c>
      <c r="F11" s="114">
        <f>(November!C11*0.27)/(November!C11+November!E11)</f>
        <v>0.24833248859604665</v>
      </c>
      <c r="G11" s="101">
        <f>November!U11</f>
        <v>110</v>
      </c>
      <c r="H11" s="117">
        <v>0.62</v>
      </c>
      <c r="I11" s="102">
        <f>November!W11</f>
        <v>53</v>
      </c>
      <c r="J11" s="103">
        <v>2.42</v>
      </c>
      <c r="K11" s="110">
        <f>November!AB11*5.04</f>
        <v>4662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220</v>
      </c>
      <c r="P11" s="104">
        <f>November!AD11</f>
        <v>416</v>
      </c>
    </row>
    <row r="12" spans="1:16" ht="14.3" x14ac:dyDescent="0.2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5696</v>
      </c>
      <c r="F12" s="114">
        <f>(November!C12*0.27)/(November!C12+November!E12)</f>
        <v>0.2302299859550562</v>
      </c>
      <c r="G12" s="101">
        <f>November!U12</f>
        <v>120</v>
      </c>
      <c r="H12" s="117">
        <v>0.62</v>
      </c>
      <c r="I12" s="102">
        <f>November!W12</f>
        <v>51</v>
      </c>
      <c r="J12" s="103">
        <v>2.42</v>
      </c>
      <c r="K12" s="110">
        <f>November!AB12*5.04</f>
        <v>4863.6000000000004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219</v>
      </c>
      <c r="P12" s="104">
        <f>November!AD12</f>
        <v>415</v>
      </c>
    </row>
    <row r="13" spans="1:16" ht="14.3" x14ac:dyDescent="0.2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5706</v>
      </c>
      <c r="F13" s="114">
        <f>(November!C13*0.27)/(November!C13+November!E13)</f>
        <v>0.23029968454258679</v>
      </c>
      <c r="G13" s="101">
        <f>November!U13</f>
        <v>55</v>
      </c>
      <c r="H13" s="117">
        <v>0.62</v>
      </c>
      <c r="I13" s="102">
        <f>November!W13</f>
        <v>59</v>
      </c>
      <c r="J13" s="103">
        <v>2.42</v>
      </c>
      <c r="K13" s="110">
        <f>November!AB13*5.04</f>
        <v>4485.6000000000004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221</v>
      </c>
      <c r="P13" s="104">
        <f>November!AD13</f>
        <v>416</v>
      </c>
    </row>
    <row r="14" spans="1:16" ht="14.3" x14ac:dyDescent="0.2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5759</v>
      </c>
      <c r="F14" s="114">
        <f>(November!C14*0.27)/(November!C14+November!E14)</f>
        <v>0.23047751345719747</v>
      </c>
      <c r="G14" s="101">
        <f>November!U14</f>
        <v>100</v>
      </c>
      <c r="H14" s="117">
        <v>0.62</v>
      </c>
      <c r="I14" s="102">
        <f>November!W14</f>
        <v>51</v>
      </c>
      <c r="J14" s="103">
        <v>2.42</v>
      </c>
      <c r="K14" s="110">
        <f>November!AB14*5.04</f>
        <v>4510.8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214</v>
      </c>
      <c r="P14" s="104">
        <f>November!AD14</f>
        <v>400</v>
      </c>
    </row>
    <row r="15" spans="1:16" ht="14.3" x14ac:dyDescent="0.2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5599</v>
      </c>
      <c r="F15" s="114">
        <f>(November!C15*0.27)/(November!C15+November!E15)</f>
        <v>0.2309394534738346</v>
      </c>
      <c r="G15" s="101">
        <f>November!U15</f>
        <v>195</v>
      </c>
      <c r="H15" s="117">
        <v>0.62</v>
      </c>
      <c r="I15" s="102">
        <f>November!W15</f>
        <v>46</v>
      </c>
      <c r="J15" s="103">
        <v>2.42</v>
      </c>
      <c r="K15" s="110">
        <f>November!AB15*5.04</f>
        <v>4284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212</v>
      </c>
      <c r="P15" s="104">
        <f>November!AD15</f>
        <v>392</v>
      </c>
    </row>
    <row r="16" spans="1:16" ht="14.3" x14ac:dyDescent="0.2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5442</v>
      </c>
      <c r="F16" s="114">
        <f>(November!C16*0.27)/(November!C16+November!E16)</f>
        <v>0.23025909592061744</v>
      </c>
      <c r="G16" s="101">
        <f>November!U16</f>
        <v>70</v>
      </c>
      <c r="H16" s="117">
        <v>0.62</v>
      </c>
      <c r="I16" s="102">
        <f>November!W16</f>
        <v>48</v>
      </c>
      <c r="J16" s="103">
        <v>2.42</v>
      </c>
      <c r="K16" s="110">
        <f>November!AB16*5.04</f>
        <v>5266.8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218</v>
      </c>
      <c r="P16" s="104">
        <f>November!AD16</f>
        <v>404</v>
      </c>
    </row>
    <row r="17" spans="1:16" ht="14.3" x14ac:dyDescent="0.2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5298</v>
      </c>
      <c r="F17" s="114">
        <f>(November!C17*0.27)/(November!C17+November!E17)</f>
        <v>0.23763873159682899</v>
      </c>
      <c r="G17" s="101">
        <f>November!U17</f>
        <v>55</v>
      </c>
      <c r="H17" s="117">
        <v>0.62</v>
      </c>
      <c r="I17" s="102">
        <f>November!W17</f>
        <v>34</v>
      </c>
      <c r="J17" s="103">
        <v>2.42</v>
      </c>
      <c r="K17" s="110">
        <f>November!AB17*5.04</f>
        <v>4788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198</v>
      </c>
      <c r="P17" s="104">
        <f>November!AD17</f>
        <v>369</v>
      </c>
    </row>
    <row r="18" spans="1:16" ht="14.3" x14ac:dyDescent="0.2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5164</v>
      </c>
      <c r="F18" s="114">
        <f>(November!C18*0.27)/(November!C18+November!E18)</f>
        <v>0.23272075910147172</v>
      </c>
      <c r="G18" s="101">
        <f>November!U18</f>
        <v>90</v>
      </c>
      <c r="H18" s="117">
        <v>0.62</v>
      </c>
      <c r="I18" s="102">
        <f>November!W18</f>
        <v>25</v>
      </c>
      <c r="J18" s="103">
        <v>2.42</v>
      </c>
      <c r="K18" s="110">
        <f>November!AB18*5.04</f>
        <v>4863.6000000000004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179</v>
      </c>
      <c r="P18" s="104">
        <f>November!AD18</f>
        <v>322</v>
      </c>
    </row>
    <row r="19" spans="1:16" ht="14.3" x14ac:dyDescent="0.2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5154</v>
      </c>
      <c r="F19" s="114">
        <f>(November!C19*0.27)/(November!C19+November!E19)</f>
        <v>0.2369965075669383</v>
      </c>
      <c r="G19" s="101">
        <f>November!U19</f>
        <v>73</v>
      </c>
      <c r="H19" s="117">
        <v>0.62</v>
      </c>
      <c r="I19" s="102">
        <f>November!W19</f>
        <v>26</v>
      </c>
      <c r="J19" s="103">
        <v>2.42</v>
      </c>
      <c r="K19" s="110">
        <f>November!AB19*5.04</f>
        <v>1209.5999999999999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171</v>
      </c>
      <c r="P19" s="104">
        <f>November!AD19</f>
        <v>304</v>
      </c>
    </row>
    <row r="20" spans="1:16" ht="14.3" x14ac:dyDescent="0.2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5001</v>
      </c>
      <c r="F20" s="114">
        <f>(November!C20*0.27)/(November!C20+November!E20)</f>
        <v>0.22864427114577085</v>
      </c>
      <c r="G20" s="101">
        <f>November!U20</f>
        <v>170</v>
      </c>
      <c r="H20" s="117">
        <v>0.62</v>
      </c>
      <c r="I20" s="102">
        <f>November!W20</f>
        <v>37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180</v>
      </c>
      <c r="P20" s="104">
        <f>November!AD20</f>
        <v>314</v>
      </c>
    </row>
    <row r="21" spans="1:16" ht="14.3" x14ac:dyDescent="0.2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4878</v>
      </c>
      <c r="F21" s="114">
        <f>(November!C21*0.27)/(November!C21+November!E21)</f>
        <v>0.23230627306273063</v>
      </c>
      <c r="G21" s="101">
        <f>November!U21</f>
        <v>125</v>
      </c>
      <c r="H21" s="117">
        <v>0.62</v>
      </c>
      <c r="I21" s="102">
        <f>November!W21</f>
        <v>37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160</v>
      </c>
      <c r="P21" s="104">
        <f>November!AD21</f>
        <v>281</v>
      </c>
    </row>
    <row r="22" spans="1:16" ht="14.3" x14ac:dyDescent="0.2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54888</v>
      </c>
      <c r="F22" s="114">
        <f>(November!C22*0.27)/(November!C22+November!E22)</f>
        <v>0.26650251421075649</v>
      </c>
      <c r="G22" s="101">
        <f>November!U22</f>
        <v>90</v>
      </c>
      <c r="H22" s="117">
        <v>0.62</v>
      </c>
      <c r="I22" s="102">
        <f>November!W22</f>
        <v>35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158</v>
      </c>
      <c r="P22" s="104">
        <f>November!AD22</f>
        <v>285</v>
      </c>
    </row>
    <row r="23" spans="1:16" ht="14.3" x14ac:dyDescent="0.2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459</v>
      </c>
      <c r="F23" s="114">
        <f>(November!C23*0.27)/(November!C23+November!E23)</f>
        <v>0</v>
      </c>
      <c r="G23" s="101">
        <f>November!U23</f>
        <v>50</v>
      </c>
      <c r="H23" s="117">
        <v>0.62</v>
      </c>
      <c r="I23" s="102">
        <f>November!W23</f>
        <v>36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169</v>
      </c>
      <c r="P23" s="104">
        <f>November!AD23</f>
        <v>296</v>
      </c>
    </row>
    <row r="24" spans="1:16" ht="14.3" x14ac:dyDescent="0.2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5012</v>
      </c>
      <c r="F24" s="114">
        <f>(November!C24*0.27)/(November!C24+November!E24)</f>
        <v>0.23045889864325622</v>
      </c>
      <c r="G24" s="101">
        <f>November!U24</f>
        <v>130</v>
      </c>
      <c r="H24" s="117">
        <v>0.62</v>
      </c>
      <c r="I24" s="102">
        <f>November!W24</f>
        <v>41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144</v>
      </c>
      <c r="P24" s="104">
        <f>November!AD24</f>
        <v>266</v>
      </c>
    </row>
    <row r="25" spans="1:16" ht="14.3" x14ac:dyDescent="0.2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5611</v>
      </c>
      <c r="F25" s="114">
        <f>(November!C25*0.27)/(November!C25+November!E25)</f>
        <v>0.23256282302619855</v>
      </c>
      <c r="G25" s="101">
        <f>November!U25</f>
        <v>85</v>
      </c>
      <c r="H25" s="117">
        <v>0.62</v>
      </c>
      <c r="I25" s="102">
        <f>November!W25</f>
        <v>18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112</v>
      </c>
      <c r="P25" s="104">
        <f>November!AD25</f>
        <v>199</v>
      </c>
    </row>
    <row r="26" spans="1:16" ht="14.3" x14ac:dyDescent="0.2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4913</v>
      </c>
      <c r="F26" s="114">
        <f>(November!C26*0.27)/(November!C26+November!E26)</f>
        <v>0.22966212090372484</v>
      </c>
      <c r="G26" s="101">
        <f>November!U26</f>
        <v>59</v>
      </c>
      <c r="H26" s="117">
        <v>0.62</v>
      </c>
      <c r="I26" s="102">
        <f>November!W26</f>
        <v>25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104</v>
      </c>
      <c r="P26" s="104">
        <f>November!AD26</f>
        <v>181</v>
      </c>
    </row>
    <row r="27" spans="1:16" ht="14.3" x14ac:dyDescent="0.2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5072</v>
      </c>
      <c r="F27" s="114">
        <f>(November!C27*0.27)/(November!C27+November!E27)</f>
        <v>0.22837145110410098</v>
      </c>
      <c r="G27" s="101">
        <f>November!U27</f>
        <v>55</v>
      </c>
      <c r="H27" s="117">
        <v>0.62</v>
      </c>
      <c r="I27" s="102">
        <f>November!W27</f>
        <v>20</v>
      </c>
      <c r="J27" s="103">
        <v>2.42</v>
      </c>
      <c r="K27" s="110">
        <f>November!AB27*5.04</f>
        <v>25.2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93</v>
      </c>
      <c r="P27" s="104">
        <f>November!AD27</f>
        <v>163</v>
      </c>
    </row>
    <row r="28" spans="1:16" ht="14.3" x14ac:dyDescent="0.2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4912</v>
      </c>
      <c r="F28" s="114">
        <f>(November!C28*0.27)/(November!C28+November!E28)</f>
        <v>0.23042345276872966</v>
      </c>
      <c r="G28" s="101">
        <f>November!U28</f>
        <v>120</v>
      </c>
      <c r="H28" s="117">
        <v>0.62</v>
      </c>
      <c r="I28" s="102">
        <f>November!W28</f>
        <v>10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8000</v>
      </c>
      <c r="N28" s="123">
        <v>0.88</v>
      </c>
      <c r="O28" s="104">
        <f>November!AC28</f>
        <v>85</v>
      </c>
      <c r="P28" s="104">
        <f>November!AD28</f>
        <v>148</v>
      </c>
    </row>
    <row r="29" spans="1:16" ht="14.3" x14ac:dyDescent="0.2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4686</v>
      </c>
      <c r="F29" s="114">
        <f>(November!C29*0.27)/(November!C29+November!E29)</f>
        <v>0.22528809218950066</v>
      </c>
      <c r="G29" s="101">
        <f>November!U29</f>
        <v>110</v>
      </c>
      <c r="H29" s="117">
        <v>0.62</v>
      </c>
      <c r="I29" s="102">
        <f>November!W29</f>
        <v>8</v>
      </c>
      <c r="J29" s="103">
        <v>2.42</v>
      </c>
      <c r="K29" s="110">
        <f>November!AB29*5.04</f>
        <v>25.2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85</v>
      </c>
      <c r="P29" s="104">
        <f>November!AD29</f>
        <v>145</v>
      </c>
    </row>
    <row r="30" spans="1:16" ht="14.3" x14ac:dyDescent="0.2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4967</v>
      </c>
      <c r="F30" s="114">
        <f>(November!C30*0.27)/(November!C30+November!E30)</f>
        <v>0.23363398429635596</v>
      </c>
      <c r="G30" s="101">
        <f>November!U30</f>
        <v>65</v>
      </c>
      <c r="H30" s="117">
        <v>0.62</v>
      </c>
      <c r="I30" s="102">
        <f>November!W30</f>
        <v>10</v>
      </c>
      <c r="J30" s="103">
        <v>2.42</v>
      </c>
      <c r="K30" s="110">
        <f>November!AB30*5.04</f>
        <v>-25.2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92</v>
      </c>
      <c r="P30" s="104">
        <f>November!AD30</f>
        <v>164</v>
      </c>
    </row>
    <row r="31" spans="1:16" ht="14.3" x14ac:dyDescent="0.2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5019</v>
      </c>
      <c r="F31" s="114">
        <f>(November!C31*0.27)/(November!C31+November!E31)</f>
        <v>0.23180514046622835</v>
      </c>
      <c r="G31" s="101">
        <f>November!U31</f>
        <v>75</v>
      </c>
      <c r="H31" s="117">
        <v>0.62</v>
      </c>
      <c r="I31" s="102">
        <f>November!W31</f>
        <v>6</v>
      </c>
      <c r="J31" s="103">
        <v>2.42</v>
      </c>
      <c r="K31" s="110">
        <f>November!AB31*5.04</f>
        <v>25.2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105</v>
      </c>
      <c r="P31" s="104">
        <f>November!AD31</f>
        <v>194</v>
      </c>
    </row>
    <row r="32" spans="1:16" x14ac:dyDescent="0.2">
      <c r="D32" s="105"/>
      <c r="F32" s="114"/>
      <c r="I32" s="103"/>
      <c r="J32" s="103"/>
      <c r="K32" s="110"/>
      <c r="L32" s="120"/>
      <c r="O32" s="106"/>
      <c r="P32" s="106"/>
    </row>
    <row r="33" spans="4:16" x14ac:dyDescent="0.2">
      <c r="D33" s="105"/>
      <c r="F33" s="114"/>
      <c r="I33" s="103"/>
      <c r="J33" s="103"/>
      <c r="K33" s="110"/>
      <c r="L33" s="120"/>
      <c r="O33" s="106"/>
      <c r="P33" s="106"/>
    </row>
    <row r="34" spans="4:16" x14ac:dyDescent="0.2">
      <c r="D34" s="105"/>
      <c r="F34" s="114"/>
      <c r="I34" s="103"/>
      <c r="J34" s="103"/>
      <c r="K34" s="110"/>
      <c r="L34" s="120"/>
      <c r="O34" s="106"/>
      <c r="P34" s="106"/>
    </row>
    <row r="35" spans="4:16" x14ac:dyDescent="0.2">
      <c r="D35" s="105"/>
      <c r="F35" s="114"/>
      <c r="I35" s="103"/>
      <c r="J35" s="103"/>
      <c r="K35" s="110"/>
      <c r="L35" s="120"/>
      <c r="O35" s="106"/>
      <c r="P35" s="106"/>
    </row>
    <row r="36" spans="4:16" x14ac:dyDescent="0.2">
      <c r="D36" s="105"/>
      <c r="F36" s="114"/>
      <c r="I36" s="103"/>
      <c r="J36" s="103"/>
      <c r="K36" s="110"/>
      <c r="L36" s="120"/>
      <c r="O36" s="106"/>
      <c r="P36" s="106"/>
    </row>
    <row r="37" spans="4:16" x14ac:dyDescent="0.2">
      <c r="D37" s="105"/>
      <c r="F37" s="114"/>
      <c r="I37" s="103"/>
      <c r="J37" s="103"/>
      <c r="K37" s="110"/>
      <c r="L37" s="120"/>
      <c r="O37" s="106"/>
      <c r="P37" s="106"/>
    </row>
    <row r="38" spans="4:16" x14ac:dyDescent="0.2">
      <c r="D38" s="105"/>
      <c r="F38" s="114"/>
      <c r="I38" s="103"/>
      <c r="J38" s="103"/>
      <c r="K38" s="110"/>
      <c r="L38" s="120"/>
      <c r="O38" s="106"/>
      <c r="P38" s="106"/>
    </row>
    <row r="39" spans="4:16" x14ac:dyDescent="0.2">
      <c r="F39" s="114"/>
      <c r="K39" s="110"/>
      <c r="L39" s="120"/>
    </row>
    <row r="40" spans="4:16" x14ac:dyDescent="0.2">
      <c r="F40" s="114"/>
      <c r="K40" s="110"/>
      <c r="L40" s="120"/>
    </row>
    <row r="41" spans="4:16" x14ac:dyDescent="0.2">
      <c r="F41" s="114"/>
      <c r="K41" s="110"/>
      <c r="L41" s="120"/>
    </row>
    <row r="42" spans="4:16" x14ac:dyDescent="0.2">
      <c r="F42" s="114"/>
      <c r="K42" s="110"/>
      <c r="L42" s="120"/>
    </row>
    <row r="43" spans="4:16" x14ac:dyDescent="0.2">
      <c r="K43" s="110"/>
      <c r="L43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85" zoomScaleNormal="85" workbookViewId="0">
      <selection activeCell="Z15" sqref="Z15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45597</v>
      </c>
      <c r="B2" s="8">
        <v>13145923</v>
      </c>
      <c r="C2" s="14">
        <f>IF((B3-B2)&lt;0,"0",B3-B2)</f>
        <v>5719</v>
      </c>
      <c r="D2" s="9">
        <v>585067</v>
      </c>
      <c r="E2" s="14">
        <f>IF((D3-D2)&lt;0,"0",D3-D2)</f>
        <v>726</v>
      </c>
      <c r="F2" s="27">
        <v>1704</v>
      </c>
      <c r="G2" s="71">
        <f>F3-F2</f>
        <v>0</v>
      </c>
      <c r="H2" s="73">
        <f>C2+E2-G2</f>
        <v>6445</v>
      </c>
      <c r="I2" s="77">
        <f>H2-K2-M2-O2-Q2</f>
        <v>-39153.56</v>
      </c>
      <c r="J2" s="32">
        <f t="shared" ref="J2:J31" si="0">I3-I2</f>
        <v>-49.910000000003492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>
        <f>(2500*O2)+(2500*P2)+(500*Q2)+(500*R2)</f>
        <v>4525</v>
      </c>
      <c r="T2" s="127"/>
      <c r="U2" s="32">
        <f>IF((S2-S3+T2)=S2,"0",(S2-S3+T2))</f>
        <v>80</v>
      </c>
      <c r="V2" s="43">
        <v>120609</v>
      </c>
      <c r="W2" s="32">
        <f>IF(V3-V2&lt;0,"0",V3-V2)</f>
        <v>63</v>
      </c>
      <c r="X2" s="46">
        <v>61141</v>
      </c>
      <c r="Y2" s="14">
        <f>IF((X3-X2)&lt;0,"0",X3-X2)</f>
        <v>9</v>
      </c>
      <c r="Z2" s="49">
        <v>3090</v>
      </c>
      <c r="AA2" s="55">
        <v>3950</v>
      </c>
      <c r="AB2" s="32">
        <f>IF((Z2-Z3+AA2)=Z2,"0",(Z2-Z3+AA2))</f>
        <v>740</v>
      </c>
      <c r="AC2" s="12">
        <v>206</v>
      </c>
      <c r="AD2" s="17">
        <v>439</v>
      </c>
    </row>
    <row r="3" spans="1:30" ht="20.7" customHeight="1" x14ac:dyDescent="0.2">
      <c r="A3" s="20">
        <v>45598</v>
      </c>
      <c r="B3" s="10">
        <v>13151642</v>
      </c>
      <c r="C3" s="14">
        <f t="shared" ref="C3:C31" si="2">IF((B4-B3)&lt;0,"0",B4-B3)</f>
        <v>6032</v>
      </c>
      <c r="D3" s="11">
        <v>585793</v>
      </c>
      <c r="E3" s="14">
        <f t="shared" ref="E3:E31" si="3">IF((D4-D3)&lt;0,"0",D4-D3)</f>
        <v>364</v>
      </c>
      <c r="F3" s="27">
        <v>1704</v>
      </c>
      <c r="G3" s="71">
        <f t="shared" ref="G3:G31" si="4">F4-F3</f>
        <v>0</v>
      </c>
      <c r="H3" s="73">
        <f t="shared" ref="H3:H31" si="5">C3+E3-G3</f>
        <v>6396</v>
      </c>
      <c r="I3" s="77">
        <f t="shared" ref="I3:I31" si="6">H3-K3-M3-O3-Q3</f>
        <v>-39203.47</v>
      </c>
      <c r="J3" s="32">
        <f t="shared" si="0"/>
        <v>-409.87999999999738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>
        <v>0.76</v>
      </c>
      <c r="P3" s="90">
        <v>0.74</v>
      </c>
      <c r="Q3" s="89">
        <v>0.71</v>
      </c>
      <c r="R3" s="90">
        <v>0.68</v>
      </c>
      <c r="S3" s="39">
        <f t="shared" ref="S3:S32" si="7">(2500*O3)+(2500*P3)+(500*Q3)+(500*R3)</f>
        <v>4445</v>
      </c>
      <c r="T3" s="127"/>
      <c r="U3" s="32">
        <f t="shared" ref="U3:U31" si="8">IF((S3-S4+T3)=S3,"0",(S3-S4+T3))</f>
        <v>260</v>
      </c>
      <c r="V3" s="44">
        <v>120672</v>
      </c>
      <c r="W3" s="32">
        <f t="shared" ref="W3:W31" si="9">IF(V4-V3&lt;0,"0",V4-V3)</f>
        <v>56</v>
      </c>
      <c r="X3" s="47">
        <v>61150</v>
      </c>
      <c r="Y3" s="14">
        <f t="shared" ref="Y3:Y31" si="10">IF((X4-X3)&lt;0,"0",X4-X3)</f>
        <v>4</v>
      </c>
      <c r="Z3" s="50">
        <v>6300</v>
      </c>
      <c r="AA3" s="56">
        <v>0</v>
      </c>
      <c r="AB3" s="32">
        <f t="shared" ref="AB3:AB31" si="11">IF((Z3-Z4+AA3)=Z3,"0",(Z3-Z4+AA3))</f>
        <v>825</v>
      </c>
      <c r="AC3" s="13">
        <v>202</v>
      </c>
      <c r="AD3" s="18">
        <v>402</v>
      </c>
    </row>
    <row r="4" spans="1:30" ht="20.7" customHeight="1" x14ac:dyDescent="0.2">
      <c r="A4" s="20">
        <v>45599</v>
      </c>
      <c r="B4" s="10">
        <v>13157674</v>
      </c>
      <c r="C4" s="14">
        <f t="shared" si="2"/>
        <v>5651</v>
      </c>
      <c r="D4" s="11">
        <v>586157</v>
      </c>
      <c r="E4" s="14">
        <f t="shared" si="3"/>
        <v>336</v>
      </c>
      <c r="F4" s="27">
        <v>1704</v>
      </c>
      <c r="G4" s="71">
        <f t="shared" si="4"/>
        <v>0</v>
      </c>
      <c r="H4" s="73">
        <f t="shared" si="5"/>
        <v>5987</v>
      </c>
      <c r="I4" s="77">
        <f t="shared" si="6"/>
        <v>-39613.35</v>
      </c>
      <c r="J4" s="32">
        <f t="shared" si="0"/>
        <v>336.04000000000087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>
        <v>0.71</v>
      </c>
      <c r="P4" s="90">
        <v>0.71</v>
      </c>
      <c r="Q4" s="89">
        <v>0.64</v>
      </c>
      <c r="R4" s="90">
        <v>0.63</v>
      </c>
      <c r="S4" s="39">
        <f t="shared" si="7"/>
        <v>4185</v>
      </c>
      <c r="T4" s="127"/>
      <c r="U4" s="32">
        <f t="shared" si="8"/>
        <v>95</v>
      </c>
      <c r="V4" s="44">
        <v>120728</v>
      </c>
      <c r="W4" s="32">
        <f t="shared" si="9"/>
        <v>62</v>
      </c>
      <c r="X4" s="47">
        <v>61154</v>
      </c>
      <c r="Y4" s="14">
        <f t="shared" si="10"/>
        <v>7</v>
      </c>
      <c r="Z4" s="50">
        <v>5475</v>
      </c>
      <c r="AA4" s="56">
        <v>0</v>
      </c>
      <c r="AB4" s="32">
        <f t="shared" si="11"/>
        <v>765</v>
      </c>
      <c r="AC4" s="13">
        <v>178</v>
      </c>
      <c r="AD4" s="18">
        <v>343</v>
      </c>
    </row>
    <row r="5" spans="1:30" ht="20.7" customHeight="1" x14ac:dyDescent="0.2">
      <c r="A5" s="20">
        <v>45600</v>
      </c>
      <c r="B5" s="10">
        <v>13163325</v>
      </c>
      <c r="C5" s="14">
        <f t="shared" si="2"/>
        <v>5475</v>
      </c>
      <c r="D5" s="11">
        <v>586493</v>
      </c>
      <c r="E5" s="14">
        <f t="shared" si="3"/>
        <v>849</v>
      </c>
      <c r="F5" s="27">
        <v>1704</v>
      </c>
      <c r="G5" s="71">
        <f t="shared" si="4"/>
        <v>0</v>
      </c>
      <c r="H5" s="73">
        <f t="shared" si="5"/>
        <v>6324</v>
      </c>
      <c r="I5" s="77">
        <f t="shared" si="6"/>
        <v>-39277.31</v>
      </c>
      <c r="J5" s="32">
        <f t="shared" si="0"/>
        <v>-287.33000000000175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>
        <v>0.7</v>
      </c>
      <c r="P5" s="90">
        <v>0.69</v>
      </c>
      <c r="Q5" s="89">
        <v>0.61</v>
      </c>
      <c r="R5" s="90">
        <v>0.62</v>
      </c>
      <c r="S5" s="39">
        <f t="shared" si="7"/>
        <v>4090</v>
      </c>
      <c r="T5" s="127">
        <v>779</v>
      </c>
      <c r="U5" s="32">
        <f t="shared" si="8"/>
        <v>159</v>
      </c>
      <c r="V5" s="44">
        <v>120790</v>
      </c>
      <c r="W5" s="32">
        <f t="shared" si="9"/>
        <v>46</v>
      </c>
      <c r="X5" s="47">
        <v>61161</v>
      </c>
      <c r="Y5" s="14">
        <f t="shared" si="10"/>
        <v>4</v>
      </c>
      <c r="Z5" s="50">
        <v>4710</v>
      </c>
      <c r="AA5" s="56">
        <v>0</v>
      </c>
      <c r="AB5" s="32">
        <f t="shared" si="11"/>
        <v>900</v>
      </c>
      <c r="AC5" s="13">
        <v>206</v>
      </c>
      <c r="AD5" s="18">
        <v>375</v>
      </c>
    </row>
    <row r="6" spans="1:30" ht="20.7" customHeight="1" x14ac:dyDescent="0.2">
      <c r="A6" s="20">
        <v>45601</v>
      </c>
      <c r="B6" s="10">
        <v>13168800</v>
      </c>
      <c r="C6" s="14">
        <f t="shared" si="2"/>
        <v>5168</v>
      </c>
      <c r="D6" s="11">
        <v>587342</v>
      </c>
      <c r="E6" s="14">
        <f t="shared" si="3"/>
        <v>870</v>
      </c>
      <c r="F6" s="27">
        <v>1704</v>
      </c>
      <c r="G6" s="71">
        <f t="shared" si="4"/>
        <v>0</v>
      </c>
      <c r="H6" s="73">
        <f t="shared" si="5"/>
        <v>6038</v>
      </c>
      <c r="I6" s="77">
        <f t="shared" si="6"/>
        <v>-39564.639999999999</v>
      </c>
      <c r="J6" s="32">
        <f t="shared" si="0"/>
        <v>-512.9800000000032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>
        <v>0.79</v>
      </c>
      <c r="P6" s="90">
        <v>0.77</v>
      </c>
      <c r="Q6" s="89">
        <v>0.85</v>
      </c>
      <c r="R6" s="90">
        <v>0.77</v>
      </c>
      <c r="S6" s="39">
        <f t="shared" si="7"/>
        <v>4710</v>
      </c>
      <c r="T6" s="127"/>
      <c r="U6" s="32">
        <f t="shared" si="8"/>
        <v>10</v>
      </c>
      <c r="V6" s="44">
        <v>120836</v>
      </c>
      <c r="W6" s="32">
        <f t="shared" si="9"/>
        <v>40</v>
      </c>
      <c r="X6" s="47">
        <v>61165</v>
      </c>
      <c r="Y6" s="14">
        <f t="shared" si="10"/>
        <v>2</v>
      </c>
      <c r="Z6" s="50">
        <v>3810</v>
      </c>
      <c r="AA6" s="56">
        <v>0</v>
      </c>
      <c r="AB6" s="32">
        <f t="shared" si="11"/>
        <v>830</v>
      </c>
      <c r="AC6" s="13">
        <v>185</v>
      </c>
      <c r="AD6" s="18">
        <v>352</v>
      </c>
    </row>
    <row r="7" spans="1:30" ht="20.7" customHeight="1" x14ac:dyDescent="0.2">
      <c r="A7" s="20">
        <v>45602</v>
      </c>
      <c r="B7" s="10">
        <v>13173968</v>
      </c>
      <c r="C7" s="14">
        <f t="shared" si="2"/>
        <v>4659</v>
      </c>
      <c r="D7" s="11">
        <v>588212</v>
      </c>
      <c r="E7" s="14">
        <f t="shared" si="3"/>
        <v>867</v>
      </c>
      <c r="F7" s="27">
        <v>1704</v>
      </c>
      <c r="G7" s="71">
        <f t="shared" si="4"/>
        <v>0</v>
      </c>
      <c r="H7" s="73">
        <f t="shared" si="5"/>
        <v>5526</v>
      </c>
      <c r="I7" s="77">
        <f t="shared" si="6"/>
        <v>-40077.620000000003</v>
      </c>
      <c r="J7" s="32">
        <f t="shared" si="0"/>
        <v>236.04000000000087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>
        <v>0.79</v>
      </c>
      <c r="P7" s="90">
        <v>0.77</v>
      </c>
      <c r="Q7" s="89">
        <v>0.83</v>
      </c>
      <c r="R7" s="90">
        <v>0.77</v>
      </c>
      <c r="S7" s="39">
        <f t="shared" si="7"/>
        <v>4700</v>
      </c>
      <c r="T7" s="127"/>
      <c r="U7" s="32">
        <f t="shared" si="8"/>
        <v>60</v>
      </c>
      <c r="V7" s="44">
        <v>120876</v>
      </c>
      <c r="W7" s="32">
        <f t="shared" si="9"/>
        <v>49</v>
      </c>
      <c r="X7" s="47">
        <v>61167</v>
      </c>
      <c r="Y7" s="14">
        <f t="shared" si="10"/>
        <v>4</v>
      </c>
      <c r="Z7" s="50">
        <v>2980</v>
      </c>
      <c r="AA7" s="56">
        <v>0</v>
      </c>
      <c r="AB7" s="32">
        <f t="shared" si="11"/>
        <v>870</v>
      </c>
      <c r="AC7" s="13">
        <v>214</v>
      </c>
      <c r="AD7" s="18">
        <v>409</v>
      </c>
    </row>
    <row r="8" spans="1:30" ht="20.7" customHeight="1" x14ac:dyDescent="0.2">
      <c r="A8" s="20">
        <v>45603</v>
      </c>
      <c r="B8" s="10">
        <v>13178627</v>
      </c>
      <c r="C8" s="14">
        <f t="shared" si="2"/>
        <v>4969</v>
      </c>
      <c r="D8" s="11">
        <v>589079</v>
      </c>
      <c r="E8" s="14">
        <f t="shared" si="3"/>
        <v>794</v>
      </c>
      <c r="F8" s="27">
        <v>1704</v>
      </c>
      <c r="G8" s="71">
        <f t="shared" si="4"/>
        <v>0</v>
      </c>
      <c r="H8" s="73">
        <f t="shared" si="5"/>
        <v>5763</v>
      </c>
      <c r="I8" s="77">
        <f t="shared" si="6"/>
        <v>-39841.58</v>
      </c>
      <c r="J8" s="32">
        <f t="shared" si="0"/>
        <v>188.07000000000698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>
        <v>0.79</v>
      </c>
      <c r="P8" s="90">
        <v>0.76</v>
      </c>
      <c r="Q8" s="89">
        <v>0.79</v>
      </c>
      <c r="R8" s="90">
        <v>0.74</v>
      </c>
      <c r="S8" s="39">
        <f t="shared" si="7"/>
        <v>4640</v>
      </c>
      <c r="T8" s="127"/>
      <c r="U8" s="32">
        <f t="shared" si="8"/>
        <v>155</v>
      </c>
      <c r="V8" s="44">
        <v>120925</v>
      </c>
      <c r="W8" s="32">
        <f t="shared" si="9"/>
        <v>54</v>
      </c>
      <c r="X8" s="47">
        <v>61171</v>
      </c>
      <c r="Y8" s="14">
        <f t="shared" si="10"/>
        <v>6</v>
      </c>
      <c r="Z8" s="50">
        <v>2110</v>
      </c>
      <c r="AA8" s="56">
        <v>0</v>
      </c>
      <c r="AB8" s="32">
        <f t="shared" si="11"/>
        <v>930</v>
      </c>
      <c r="AC8" s="13">
        <v>220</v>
      </c>
      <c r="AD8" s="18">
        <v>421</v>
      </c>
    </row>
    <row r="9" spans="1:30" ht="20.7" customHeight="1" x14ac:dyDescent="0.2">
      <c r="A9" s="20">
        <v>45604</v>
      </c>
      <c r="B9" s="10">
        <v>13183596</v>
      </c>
      <c r="C9" s="14">
        <f t="shared" si="2"/>
        <v>5012</v>
      </c>
      <c r="D9" s="11">
        <v>589873</v>
      </c>
      <c r="E9" s="14">
        <f t="shared" si="3"/>
        <v>940</v>
      </c>
      <c r="F9" s="27">
        <v>1704</v>
      </c>
      <c r="G9" s="71">
        <f t="shared" si="4"/>
        <v>0</v>
      </c>
      <c r="H9" s="73">
        <f t="shared" si="5"/>
        <v>5952</v>
      </c>
      <c r="I9" s="77">
        <f t="shared" si="6"/>
        <v>-39653.509999999995</v>
      </c>
      <c r="J9" s="32">
        <f t="shared" si="0"/>
        <v>-88.92000000000553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>
        <v>0.77</v>
      </c>
      <c r="P9" s="90">
        <v>0.74</v>
      </c>
      <c r="Q9" s="89">
        <v>0.74</v>
      </c>
      <c r="R9" s="90">
        <v>0.68</v>
      </c>
      <c r="S9" s="39">
        <f t="shared" si="7"/>
        <v>4485</v>
      </c>
      <c r="T9" s="127"/>
      <c r="U9" s="32">
        <f t="shared" si="8"/>
        <v>120</v>
      </c>
      <c r="V9" s="44">
        <v>120979</v>
      </c>
      <c r="W9" s="32">
        <f t="shared" si="9"/>
        <v>62</v>
      </c>
      <c r="X9" s="47">
        <v>61177</v>
      </c>
      <c r="Y9" s="14">
        <f t="shared" si="10"/>
        <v>1</v>
      </c>
      <c r="Z9" s="50">
        <v>1180</v>
      </c>
      <c r="AA9" s="56">
        <v>8685</v>
      </c>
      <c r="AB9" s="32">
        <f t="shared" si="11"/>
        <v>860</v>
      </c>
      <c r="AC9" s="13">
        <v>235</v>
      </c>
      <c r="AD9" s="18">
        <v>448</v>
      </c>
    </row>
    <row r="10" spans="1:30" ht="20.7" customHeight="1" x14ac:dyDescent="0.2">
      <c r="A10" s="20">
        <v>45605</v>
      </c>
      <c r="B10" s="10">
        <v>13188608</v>
      </c>
      <c r="C10" s="14">
        <f t="shared" si="2"/>
        <v>5158</v>
      </c>
      <c r="D10" s="11">
        <v>590813</v>
      </c>
      <c r="E10" s="14">
        <f t="shared" si="3"/>
        <v>706</v>
      </c>
      <c r="F10" s="27">
        <v>1704</v>
      </c>
      <c r="G10" s="71">
        <f t="shared" si="4"/>
        <v>0</v>
      </c>
      <c r="H10" s="73">
        <f t="shared" si="5"/>
        <v>5864</v>
      </c>
      <c r="I10" s="77">
        <f t="shared" si="6"/>
        <v>-39742.43</v>
      </c>
      <c r="J10" s="32">
        <f t="shared" si="0"/>
        <v>54.05000000000291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>
        <v>0.75</v>
      </c>
      <c r="P10" s="90">
        <v>0.73</v>
      </c>
      <c r="Q10" s="89">
        <v>0.68</v>
      </c>
      <c r="R10" s="90">
        <v>0.65</v>
      </c>
      <c r="S10" s="39">
        <f t="shared" si="7"/>
        <v>4365</v>
      </c>
      <c r="T10" s="127"/>
      <c r="U10" s="32">
        <f t="shared" si="8"/>
        <v>65</v>
      </c>
      <c r="V10" s="44">
        <v>121041</v>
      </c>
      <c r="W10" s="32">
        <f t="shared" si="9"/>
        <v>60</v>
      </c>
      <c r="X10" s="47">
        <v>61178</v>
      </c>
      <c r="Y10" s="14">
        <f t="shared" si="10"/>
        <v>1</v>
      </c>
      <c r="Z10" s="50">
        <v>9005</v>
      </c>
      <c r="AA10" s="56">
        <v>0</v>
      </c>
      <c r="AB10" s="32">
        <f t="shared" si="11"/>
        <v>885</v>
      </c>
      <c r="AC10" s="13">
        <v>234</v>
      </c>
      <c r="AD10" s="18">
        <v>443</v>
      </c>
    </row>
    <row r="11" spans="1:30" ht="20.7" customHeight="1" x14ac:dyDescent="0.2">
      <c r="A11" s="20">
        <v>45606</v>
      </c>
      <c r="B11" s="10">
        <v>13193766</v>
      </c>
      <c r="C11" s="14">
        <f t="shared" si="2"/>
        <v>5444</v>
      </c>
      <c r="D11" s="11">
        <v>591519</v>
      </c>
      <c r="E11" s="14">
        <f t="shared" si="3"/>
        <v>475</v>
      </c>
      <c r="F11" s="27">
        <v>1704</v>
      </c>
      <c r="G11" s="71">
        <f t="shared" si="4"/>
        <v>0</v>
      </c>
      <c r="H11" s="73">
        <f t="shared" si="5"/>
        <v>5919</v>
      </c>
      <c r="I11" s="77">
        <f t="shared" si="6"/>
        <v>-39688.379999999997</v>
      </c>
      <c r="J11" s="32">
        <f t="shared" si="0"/>
        <v>-223.91000000000349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>
        <v>0.75</v>
      </c>
      <c r="P11" s="90">
        <v>0.72</v>
      </c>
      <c r="Q11" s="89">
        <v>0.63</v>
      </c>
      <c r="R11" s="90">
        <v>0.62</v>
      </c>
      <c r="S11" s="39">
        <f t="shared" si="7"/>
        <v>4300</v>
      </c>
      <c r="T11" s="127"/>
      <c r="U11" s="32">
        <f t="shared" si="8"/>
        <v>110</v>
      </c>
      <c r="V11" s="44">
        <v>121101</v>
      </c>
      <c r="W11" s="32">
        <f t="shared" si="9"/>
        <v>53</v>
      </c>
      <c r="X11" s="47">
        <v>61179</v>
      </c>
      <c r="Y11" s="14">
        <f t="shared" si="10"/>
        <v>1</v>
      </c>
      <c r="Z11" s="50">
        <v>8120</v>
      </c>
      <c r="AA11" s="56">
        <v>0</v>
      </c>
      <c r="AB11" s="32">
        <f t="shared" si="11"/>
        <v>925</v>
      </c>
      <c r="AC11" s="13">
        <v>220</v>
      </c>
      <c r="AD11" s="18">
        <v>416</v>
      </c>
    </row>
    <row r="12" spans="1:30" ht="20.7" customHeight="1" x14ac:dyDescent="0.2">
      <c r="A12" s="20">
        <v>45607</v>
      </c>
      <c r="B12" s="10">
        <v>13199210</v>
      </c>
      <c r="C12" s="14">
        <f t="shared" si="2"/>
        <v>4857</v>
      </c>
      <c r="D12" s="11">
        <v>591994</v>
      </c>
      <c r="E12" s="14">
        <f t="shared" si="3"/>
        <v>839</v>
      </c>
      <c r="F12" s="27">
        <v>1704</v>
      </c>
      <c r="G12" s="71">
        <f t="shared" si="4"/>
        <v>0</v>
      </c>
      <c r="H12" s="73">
        <f t="shared" si="5"/>
        <v>5696</v>
      </c>
      <c r="I12" s="77">
        <f t="shared" si="6"/>
        <v>-39912.29</v>
      </c>
      <c r="J12" s="32">
        <f t="shared" si="0"/>
        <v>8.6399999999994179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>
        <v>0.73</v>
      </c>
      <c r="P12" s="90">
        <v>0.72</v>
      </c>
      <c r="Q12" s="89">
        <v>0.56000000000000005</v>
      </c>
      <c r="R12" s="90">
        <v>0.56999999999999995</v>
      </c>
      <c r="S12" s="39">
        <f t="shared" si="7"/>
        <v>4190</v>
      </c>
      <c r="T12" s="127">
        <v>690</v>
      </c>
      <c r="U12" s="32">
        <f t="shared" si="8"/>
        <v>120</v>
      </c>
      <c r="V12" s="44">
        <v>121154</v>
      </c>
      <c r="W12" s="32">
        <f t="shared" si="9"/>
        <v>51</v>
      </c>
      <c r="X12" s="47">
        <v>61180</v>
      </c>
      <c r="Y12" s="14">
        <f t="shared" si="10"/>
        <v>0</v>
      </c>
      <c r="Z12" s="50">
        <v>7195</v>
      </c>
      <c r="AA12" s="56">
        <v>0</v>
      </c>
      <c r="AB12" s="32">
        <f t="shared" si="11"/>
        <v>965</v>
      </c>
      <c r="AC12" s="13">
        <v>219</v>
      </c>
      <c r="AD12" s="18">
        <v>415</v>
      </c>
    </row>
    <row r="13" spans="1:30" ht="20.7" customHeight="1" x14ac:dyDescent="0.2">
      <c r="A13" s="20">
        <v>45608</v>
      </c>
      <c r="B13" s="10">
        <v>13204067</v>
      </c>
      <c r="C13" s="14">
        <f t="shared" si="2"/>
        <v>4867</v>
      </c>
      <c r="D13" s="11">
        <v>592833</v>
      </c>
      <c r="E13" s="14">
        <f t="shared" si="3"/>
        <v>839</v>
      </c>
      <c r="F13" s="27">
        <v>1704</v>
      </c>
      <c r="G13" s="71">
        <f t="shared" si="4"/>
        <v>0</v>
      </c>
      <c r="H13" s="73">
        <f t="shared" si="5"/>
        <v>5706</v>
      </c>
      <c r="I13" s="77">
        <f t="shared" si="6"/>
        <v>-39903.65</v>
      </c>
      <c r="J13" s="32">
        <f t="shared" si="0"/>
        <v>52.040000000000873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>
        <v>0.8</v>
      </c>
      <c r="P13" s="90">
        <v>0.78</v>
      </c>
      <c r="Q13" s="89">
        <v>0.85</v>
      </c>
      <c r="R13" s="90">
        <v>0.77</v>
      </c>
      <c r="S13" s="39">
        <f t="shared" si="7"/>
        <v>4760</v>
      </c>
      <c r="T13" s="127"/>
      <c r="U13" s="32">
        <f t="shared" si="8"/>
        <v>55</v>
      </c>
      <c r="V13" s="44">
        <v>121205</v>
      </c>
      <c r="W13" s="32">
        <f t="shared" si="9"/>
        <v>59</v>
      </c>
      <c r="X13" s="47">
        <v>61180</v>
      </c>
      <c r="Y13" s="14">
        <f t="shared" si="10"/>
        <v>2</v>
      </c>
      <c r="Z13" s="50">
        <v>6230</v>
      </c>
      <c r="AA13" s="56">
        <v>0</v>
      </c>
      <c r="AB13" s="32">
        <f t="shared" si="11"/>
        <v>890</v>
      </c>
      <c r="AC13" s="13">
        <v>221</v>
      </c>
      <c r="AD13" s="18">
        <v>416</v>
      </c>
    </row>
    <row r="14" spans="1:30" ht="20.7" customHeight="1" x14ac:dyDescent="0.2">
      <c r="A14" s="20">
        <v>45609</v>
      </c>
      <c r="B14" s="10">
        <v>13208934</v>
      </c>
      <c r="C14" s="14">
        <f t="shared" si="2"/>
        <v>4916</v>
      </c>
      <c r="D14" s="11">
        <v>593672</v>
      </c>
      <c r="E14" s="14">
        <f t="shared" si="3"/>
        <v>843</v>
      </c>
      <c r="F14" s="27">
        <v>1704</v>
      </c>
      <c r="G14" s="71">
        <f t="shared" si="4"/>
        <v>0</v>
      </c>
      <c r="H14" s="73">
        <f t="shared" si="5"/>
        <v>5759</v>
      </c>
      <c r="I14" s="77">
        <f t="shared" si="6"/>
        <v>-39851.61</v>
      </c>
      <c r="J14" s="32">
        <f t="shared" si="0"/>
        <v>-160.9800000000032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>
        <v>0.8</v>
      </c>
      <c r="P14" s="90">
        <v>0.77</v>
      </c>
      <c r="Q14" s="89">
        <v>0.81</v>
      </c>
      <c r="R14" s="90">
        <v>0.75</v>
      </c>
      <c r="S14" s="39">
        <f t="shared" si="7"/>
        <v>4705</v>
      </c>
      <c r="T14" s="127"/>
      <c r="U14" s="32">
        <f t="shared" si="8"/>
        <v>100</v>
      </c>
      <c r="V14" s="44">
        <v>121264</v>
      </c>
      <c r="W14" s="32">
        <f t="shared" si="9"/>
        <v>51</v>
      </c>
      <c r="X14" s="47">
        <v>61182</v>
      </c>
      <c r="Y14" s="14">
        <f t="shared" si="10"/>
        <v>1</v>
      </c>
      <c r="Z14" s="50">
        <v>5340</v>
      </c>
      <c r="AA14" s="56">
        <v>0</v>
      </c>
      <c r="AB14" s="32">
        <f t="shared" si="11"/>
        <v>895</v>
      </c>
      <c r="AC14" s="13">
        <v>214</v>
      </c>
      <c r="AD14" s="18">
        <v>400</v>
      </c>
    </row>
    <row r="15" spans="1:30" ht="20.7" customHeight="1" x14ac:dyDescent="0.2">
      <c r="A15" s="20">
        <v>45610</v>
      </c>
      <c r="B15" s="10">
        <v>13213850</v>
      </c>
      <c r="C15" s="14">
        <f t="shared" si="2"/>
        <v>4789</v>
      </c>
      <c r="D15" s="11">
        <v>594515</v>
      </c>
      <c r="E15" s="14">
        <f t="shared" si="3"/>
        <v>810</v>
      </c>
      <c r="F15" s="27">
        <v>1704</v>
      </c>
      <c r="G15" s="71">
        <f t="shared" si="4"/>
        <v>0</v>
      </c>
      <c r="H15" s="73">
        <f t="shared" si="5"/>
        <v>5599</v>
      </c>
      <c r="I15" s="77">
        <f t="shared" si="6"/>
        <v>-40012.590000000004</v>
      </c>
      <c r="J15" s="32">
        <f t="shared" si="0"/>
        <v>-157.86999999999534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>
        <v>0.79</v>
      </c>
      <c r="P15" s="90">
        <v>0.75</v>
      </c>
      <c r="Q15" s="89">
        <v>0.8</v>
      </c>
      <c r="R15" s="90">
        <v>0.71</v>
      </c>
      <c r="S15" s="39">
        <f t="shared" si="7"/>
        <v>4605</v>
      </c>
      <c r="T15" s="127"/>
      <c r="U15" s="32">
        <f t="shared" si="8"/>
        <v>195</v>
      </c>
      <c r="V15" s="44">
        <v>121315</v>
      </c>
      <c r="W15" s="32">
        <f t="shared" si="9"/>
        <v>46</v>
      </c>
      <c r="X15" s="47">
        <v>61183</v>
      </c>
      <c r="Y15" s="14">
        <f t="shared" si="10"/>
        <v>9</v>
      </c>
      <c r="Z15" s="50">
        <v>4445</v>
      </c>
      <c r="AA15" s="56">
        <v>0</v>
      </c>
      <c r="AB15" s="32">
        <f t="shared" si="11"/>
        <v>850</v>
      </c>
      <c r="AC15" s="13">
        <v>212</v>
      </c>
      <c r="AD15" s="18">
        <v>392</v>
      </c>
    </row>
    <row r="16" spans="1:30" ht="20.7" customHeight="1" x14ac:dyDescent="0.2">
      <c r="A16" s="20">
        <v>45611</v>
      </c>
      <c r="B16" s="10">
        <v>13218639</v>
      </c>
      <c r="C16" s="14">
        <f t="shared" si="2"/>
        <v>4641</v>
      </c>
      <c r="D16" s="11">
        <v>595325</v>
      </c>
      <c r="E16" s="14">
        <f t="shared" si="3"/>
        <v>801</v>
      </c>
      <c r="F16" s="27">
        <v>1704</v>
      </c>
      <c r="G16" s="71">
        <f t="shared" si="4"/>
        <v>0</v>
      </c>
      <c r="H16" s="73">
        <f t="shared" si="5"/>
        <v>5442</v>
      </c>
      <c r="I16" s="77">
        <f t="shared" si="6"/>
        <v>-40170.46</v>
      </c>
      <c r="J16" s="32">
        <f t="shared" si="0"/>
        <v>-144.94000000000233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>
        <v>0.75</v>
      </c>
      <c r="P16" s="90">
        <v>0.74</v>
      </c>
      <c r="Q16" s="89">
        <v>0.71</v>
      </c>
      <c r="R16" s="90">
        <v>0.66</v>
      </c>
      <c r="S16" s="39">
        <f t="shared" si="7"/>
        <v>4410</v>
      </c>
      <c r="T16" s="127"/>
      <c r="U16" s="32">
        <f t="shared" si="8"/>
        <v>70</v>
      </c>
      <c r="V16" s="44">
        <v>121361</v>
      </c>
      <c r="W16" s="32">
        <f t="shared" si="9"/>
        <v>48</v>
      </c>
      <c r="X16" s="47">
        <v>61192</v>
      </c>
      <c r="Y16" s="14">
        <f t="shared" si="10"/>
        <v>0</v>
      </c>
      <c r="Z16" s="50">
        <v>3595</v>
      </c>
      <c r="AA16" s="56">
        <v>0</v>
      </c>
      <c r="AB16" s="32">
        <f t="shared" si="11"/>
        <v>1045</v>
      </c>
      <c r="AC16" s="13">
        <v>218</v>
      </c>
      <c r="AD16" s="18">
        <v>404</v>
      </c>
    </row>
    <row r="17" spans="1:30" ht="20.7" customHeight="1" x14ac:dyDescent="0.2">
      <c r="A17" s="20">
        <v>45612</v>
      </c>
      <c r="B17" s="10">
        <v>13223280</v>
      </c>
      <c r="C17" s="14">
        <f t="shared" si="2"/>
        <v>4663</v>
      </c>
      <c r="D17" s="11">
        <v>596126</v>
      </c>
      <c r="E17" s="14">
        <f t="shared" si="3"/>
        <v>635</v>
      </c>
      <c r="F17" s="27">
        <v>1704</v>
      </c>
      <c r="G17" s="71">
        <f t="shared" si="4"/>
        <v>0</v>
      </c>
      <c r="H17" s="73">
        <f t="shared" si="5"/>
        <v>5298</v>
      </c>
      <c r="I17" s="77">
        <f t="shared" si="6"/>
        <v>-40315.4</v>
      </c>
      <c r="J17" s="32">
        <f t="shared" si="0"/>
        <v>-134.97000000000116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>
        <v>0.75</v>
      </c>
      <c r="P17" s="90">
        <v>0.73</v>
      </c>
      <c r="Q17" s="89">
        <v>0.65</v>
      </c>
      <c r="R17" s="90">
        <v>0.63</v>
      </c>
      <c r="S17" s="39">
        <f t="shared" si="7"/>
        <v>4340</v>
      </c>
      <c r="T17" s="127"/>
      <c r="U17" s="32">
        <f t="shared" si="8"/>
        <v>55</v>
      </c>
      <c r="V17" s="44">
        <v>121409</v>
      </c>
      <c r="W17" s="32">
        <f t="shared" si="9"/>
        <v>34</v>
      </c>
      <c r="X17" s="47">
        <v>61192</v>
      </c>
      <c r="Y17" s="14">
        <f t="shared" si="10"/>
        <v>1</v>
      </c>
      <c r="Z17" s="50">
        <v>2550</v>
      </c>
      <c r="AA17" s="56">
        <v>0</v>
      </c>
      <c r="AB17" s="32">
        <f t="shared" si="11"/>
        <v>950</v>
      </c>
      <c r="AC17" s="13">
        <v>198</v>
      </c>
      <c r="AD17" s="18">
        <v>369</v>
      </c>
    </row>
    <row r="18" spans="1:30" ht="20.7" customHeight="1" x14ac:dyDescent="0.2">
      <c r="A18" s="20">
        <v>45613</v>
      </c>
      <c r="B18" s="10">
        <v>13227943</v>
      </c>
      <c r="C18" s="14">
        <f t="shared" si="2"/>
        <v>4451</v>
      </c>
      <c r="D18" s="11">
        <v>596761</v>
      </c>
      <c r="E18" s="14">
        <f t="shared" si="3"/>
        <v>713</v>
      </c>
      <c r="F18" s="27">
        <v>1704</v>
      </c>
      <c r="G18" s="71">
        <f t="shared" si="4"/>
        <v>0</v>
      </c>
      <c r="H18" s="73">
        <f t="shared" si="5"/>
        <v>5164</v>
      </c>
      <c r="I18" s="77">
        <f t="shared" si="6"/>
        <v>-40450.370000000003</v>
      </c>
      <c r="J18" s="32">
        <f t="shared" si="0"/>
        <v>-10.959999999999127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>
        <v>0.75</v>
      </c>
      <c r="P18" s="90">
        <v>0.72</v>
      </c>
      <c r="Q18" s="89">
        <v>0.62</v>
      </c>
      <c r="R18" s="90">
        <v>0.6</v>
      </c>
      <c r="S18" s="39">
        <f t="shared" si="7"/>
        <v>4285</v>
      </c>
      <c r="T18" s="127"/>
      <c r="U18" s="32">
        <f t="shared" si="8"/>
        <v>90</v>
      </c>
      <c r="V18" s="44">
        <v>121443</v>
      </c>
      <c r="W18" s="32">
        <f t="shared" si="9"/>
        <v>25</v>
      </c>
      <c r="X18" s="47">
        <v>61193</v>
      </c>
      <c r="Y18" s="14">
        <f t="shared" si="10"/>
        <v>1</v>
      </c>
      <c r="Z18" s="50">
        <v>1600</v>
      </c>
      <c r="AA18" s="56">
        <v>0</v>
      </c>
      <c r="AB18" s="32">
        <f t="shared" si="11"/>
        <v>965</v>
      </c>
      <c r="AC18" s="13">
        <v>179</v>
      </c>
      <c r="AD18" s="18">
        <v>322</v>
      </c>
    </row>
    <row r="19" spans="1:30" ht="20.7" customHeight="1" x14ac:dyDescent="0.2">
      <c r="A19" s="20">
        <v>45614</v>
      </c>
      <c r="B19" s="10">
        <v>13232394</v>
      </c>
      <c r="C19" s="14">
        <f t="shared" si="2"/>
        <v>4524</v>
      </c>
      <c r="D19" s="11">
        <v>597474</v>
      </c>
      <c r="E19" s="14">
        <f t="shared" si="3"/>
        <v>630</v>
      </c>
      <c r="F19" s="27">
        <v>1704</v>
      </c>
      <c r="G19" s="71">
        <f t="shared" si="4"/>
        <v>0</v>
      </c>
      <c r="H19" s="73">
        <f t="shared" si="5"/>
        <v>5154</v>
      </c>
      <c r="I19" s="77">
        <f t="shared" si="6"/>
        <v>-40461.33</v>
      </c>
      <c r="J19" s="32">
        <f t="shared" si="0"/>
        <v>-154.22999999999593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>
        <v>0.73</v>
      </c>
      <c r="P19" s="90">
        <v>0.71</v>
      </c>
      <c r="Q19" s="89">
        <v>0.6</v>
      </c>
      <c r="R19" s="90">
        <v>0.59</v>
      </c>
      <c r="S19" s="39">
        <f t="shared" si="7"/>
        <v>4195</v>
      </c>
      <c r="T19" s="127">
        <v>223</v>
      </c>
      <c r="U19" s="32">
        <f t="shared" si="8"/>
        <v>73</v>
      </c>
      <c r="V19" s="44">
        <v>121468</v>
      </c>
      <c r="W19" s="32">
        <f t="shared" si="9"/>
        <v>26</v>
      </c>
      <c r="X19" s="47">
        <v>61194</v>
      </c>
      <c r="Y19" s="14">
        <f t="shared" si="10"/>
        <v>0</v>
      </c>
      <c r="Z19" s="50">
        <v>635</v>
      </c>
      <c r="AA19" s="56">
        <v>2015</v>
      </c>
      <c r="AB19" s="32">
        <f t="shared" si="11"/>
        <v>240</v>
      </c>
      <c r="AC19" s="13">
        <v>171</v>
      </c>
      <c r="AD19" s="18">
        <v>304</v>
      </c>
    </row>
    <row r="20" spans="1:30" ht="20.7" customHeight="1" x14ac:dyDescent="0.2">
      <c r="A20" s="20">
        <v>45615</v>
      </c>
      <c r="B20" s="10">
        <v>13236918</v>
      </c>
      <c r="C20" s="14">
        <f t="shared" si="2"/>
        <v>4235</v>
      </c>
      <c r="D20" s="11">
        <v>598104</v>
      </c>
      <c r="E20" s="14">
        <f t="shared" si="3"/>
        <v>766</v>
      </c>
      <c r="F20" s="27">
        <v>1704</v>
      </c>
      <c r="G20" s="71">
        <f t="shared" si="4"/>
        <v>0</v>
      </c>
      <c r="H20" s="73">
        <f t="shared" si="5"/>
        <v>5001</v>
      </c>
      <c r="I20" s="77">
        <f t="shared" si="6"/>
        <v>-40615.56</v>
      </c>
      <c r="J20" s="32">
        <f t="shared" si="0"/>
        <v>-123.94000000000233</v>
      </c>
      <c r="K20" s="20">
        <f t="shared" si="1"/>
        <v>45615</v>
      </c>
      <c r="L20" s="33">
        <v>5200</v>
      </c>
      <c r="M20" s="34">
        <v>0</v>
      </c>
      <c r="N20" s="35">
        <v>0</v>
      </c>
      <c r="O20" s="89">
        <v>0.71</v>
      </c>
      <c r="P20" s="90">
        <v>0.7</v>
      </c>
      <c r="Q20" s="89">
        <v>0.85</v>
      </c>
      <c r="R20" s="90">
        <v>0.79</v>
      </c>
      <c r="S20" s="39">
        <f t="shared" si="7"/>
        <v>4345</v>
      </c>
      <c r="T20" s="127"/>
      <c r="U20" s="32">
        <f t="shared" si="8"/>
        <v>170</v>
      </c>
      <c r="V20" s="44">
        <v>121494</v>
      </c>
      <c r="W20" s="32">
        <f t="shared" si="9"/>
        <v>37</v>
      </c>
      <c r="X20" s="47">
        <v>61194</v>
      </c>
      <c r="Y20" s="14">
        <f t="shared" si="10"/>
        <v>0</v>
      </c>
      <c r="Z20" s="50">
        <v>2410</v>
      </c>
      <c r="AA20" s="56">
        <v>0</v>
      </c>
      <c r="AB20" s="32">
        <f t="shared" si="11"/>
        <v>0</v>
      </c>
      <c r="AC20" s="13">
        <v>180</v>
      </c>
      <c r="AD20" s="18">
        <v>314</v>
      </c>
    </row>
    <row r="21" spans="1:30" ht="20.7" customHeight="1" x14ac:dyDescent="0.2">
      <c r="A21" s="20">
        <v>45616</v>
      </c>
      <c r="B21" s="10">
        <v>13241153</v>
      </c>
      <c r="C21" s="14">
        <f t="shared" si="2"/>
        <v>4197</v>
      </c>
      <c r="D21" s="11">
        <v>598870</v>
      </c>
      <c r="E21" s="14">
        <f t="shared" si="3"/>
        <v>681</v>
      </c>
      <c r="F21" s="27">
        <v>1704</v>
      </c>
      <c r="G21" s="71">
        <f t="shared" si="4"/>
        <v>0</v>
      </c>
      <c r="H21" s="73">
        <f t="shared" si="5"/>
        <v>4878</v>
      </c>
      <c r="I21" s="77">
        <f t="shared" si="6"/>
        <v>-40739.5</v>
      </c>
      <c r="J21" s="32">
        <f t="shared" si="0"/>
        <v>50009.05</v>
      </c>
      <c r="K21" s="20">
        <f t="shared" si="1"/>
        <v>45616</v>
      </c>
      <c r="L21" s="33">
        <v>4600</v>
      </c>
      <c r="M21" s="34">
        <v>0</v>
      </c>
      <c r="N21" s="35">
        <v>0</v>
      </c>
      <c r="O21" s="89">
        <v>0.66</v>
      </c>
      <c r="P21" s="90">
        <v>0.69</v>
      </c>
      <c r="Q21" s="89">
        <v>0.84</v>
      </c>
      <c r="R21" s="90">
        <v>0.76</v>
      </c>
      <c r="S21" s="40">
        <f t="shared" si="7"/>
        <v>4175</v>
      </c>
      <c r="T21" s="127"/>
      <c r="U21" s="32">
        <f t="shared" si="8"/>
        <v>125</v>
      </c>
      <c r="V21" s="44">
        <v>121531</v>
      </c>
      <c r="W21" s="32">
        <f t="shared" si="9"/>
        <v>37</v>
      </c>
      <c r="X21" s="47">
        <v>61194</v>
      </c>
      <c r="Y21" s="14">
        <f t="shared" si="10"/>
        <v>0</v>
      </c>
      <c r="Z21" s="50">
        <v>2410</v>
      </c>
      <c r="AA21" s="56">
        <v>0</v>
      </c>
      <c r="AB21" s="32">
        <f t="shared" si="11"/>
        <v>0</v>
      </c>
      <c r="AC21" s="13">
        <v>160</v>
      </c>
      <c r="AD21" s="18">
        <v>281</v>
      </c>
    </row>
    <row r="22" spans="1:30" ht="20.7" customHeight="1" x14ac:dyDescent="0.2">
      <c r="A22" s="20">
        <v>45617</v>
      </c>
      <c r="B22" s="10">
        <v>13245350</v>
      </c>
      <c r="C22" s="14">
        <f t="shared" si="2"/>
        <v>54177</v>
      </c>
      <c r="D22" s="11">
        <v>599551</v>
      </c>
      <c r="E22" s="14">
        <f t="shared" si="3"/>
        <v>711</v>
      </c>
      <c r="F22" s="27">
        <v>1704</v>
      </c>
      <c r="G22" s="71">
        <f t="shared" si="4"/>
        <v>0</v>
      </c>
      <c r="H22" s="73">
        <f t="shared" si="5"/>
        <v>54888</v>
      </c>
      <c r="I22" s="77">
        <f t="shared" si="6"/>
        <v>9269.5500000000011</v>
      </c>
      <c r="J22" s="32">
        <f t="shared" si="0"/>
        <v>-54429.96</v>
      </c>
      <c r="K22" s="20">
        <f t="shared" si="1"/>
        <v>45617</v>
      </c>
      <c r="L22" s="33">
        <v>3900</v>
      </c>
      <c r="M22" s="34">
        <v>0</v>
      </c>
      <c r="N22" s="35">
        <v>0</v>
      </c>
      <c r="O22" s="89">
        <v>0.64</v>
      </c>
      <c r="P22" s="90">
        <v>0.67</v>
      </c>
      <c r="Q22" s="89">
        <v>0.81</v>
      </c>
      <c r="R22" s="90">
        <v>0.74</v>
      </c>
      <c r="S22" s="40">
        <f t="shared" si="7"/>
        <v>4050</v>
      </c>
      <c r="T22" s="127"/>
      <c r="U22" s="32">
        <f t="shared" si="8"/>
        <v>90</v>
      </c>
      <c r="V22" s="44">
        <v>121568</v>
      </c>
      <c r="W22" s="32">
        <f t="shared" si="9"/>
        <v>35</v>
      </c>
      <c r="X22" s="47">
        <v>61194</v>
      </c>
      <c r="Y22" s="14">
        <f t="shared" si="10"/>
        <v>2</v>
      </c>
      <c r="Z22" s="50">
        <v>2410</v>
      </c>
      <c r="AA22" s="56">
        <v>0</v>
      </c>
      <c r="AB22" s="32">
        <f t="shared" si="11"/>
        <v>0</v>
      </c>
      <c r="AC22" s="13">
        <v>158</v>
      </c>
      <c r="AD22" s="18">
        <v>285</v>
      </c>
    </row>
    <row r="23" spans="1:30" ht="20.7" customHeight="1" x14ac:dyDescent="0.2">
      <c r="A23" s="20">
        <v>45618</v>
      </c>
      <c r="B23" s="10">
        <v>13299527</v>
      </c>
      <c r="C23" s="14" t="str">
        <f t="shared" si="2"/>
        <v>0</v>
      </c>
      <c r="D23" s="11">
        <v>600262</v>
      </c>
      <c r="E23" s="14">
        <f t="shared" si="3"/>
        <v>459</v>
      </c>
      <c r="F23" s="27">
        <v>1704</v>
      </c>
      <c r="G23" s="71">
        <f t="shared" si="4"/>
        <v>0</v>
      </c>
      <c r="H23" s="73">
        <f t="shared" si="5"/>
        <v>459</v>
      </c>
      <c r="I23" s="77">
        <f t="shared" si="6"/>
        <v>-45160.409999999996</v>
      </c>
      <c r="J23" s="32">
        <f t="shared" si="0"/>
        <v>4552.0299999999988</v>
      </c>
      <c r="K23" s="20">
        <f t="shared" si="1"/>
        <v>45618</v>
      </c>
      <c r="L23" s="33">
        <v>3300</v>
      </c>
      <c r="M23" s="34">
        <v>0</v>
      </c>
      <c r="N23" s="35">
        <v>0</v>
      </c>
      <c r="O23" s="89">
        <v>0.64</v>
      </c>
      <c r="P23" s="90">
        <v>0.65</v>
      </c>
      <c r="Q23" s="89">
        <v>0.77</v>
      </c>
      <c r="R23" s="90">
        <v>0.7</v>
      </c>
      <c r="S23" s="40">
        <f t="shared" si="7"/>
        <v>3960</v>
      </c>
      <c r="T23" s="38"/>
      <c r="U23" s="32">
        <f t="shared" si="8"/>
        <v>50</v>
      </c>
      <c r="V23" s="44">
        <v>121603</v>
      </c>
      <c r="W23" s="32">
        <f t="shared" si="9"/>
        <v>36</v>
      </c>
      <c r="X23" s="47">
        <v>61196</v>
      </c>
      <c r="Y23" s="14">
        <f t="shared" si="10"/>
        <v>1</v>
      </c>
      <c r="Z23" s="50">
        <v>2410</v>
      </c>
      <c r="AA23" s="56">
        <v>0</v>
      </c>
      <c r="AB23" s="32">
        <f t="shared" si="11"/>
        <v>0</v>
      </c>
      <c r="AC23" s="13">
        <v>169</v>
      </c>
      <c r="AD23" s="18">
        <v>296</v>
      </c>
    </row>
    <row r="24" spans="1:30" ht="20.7" customHeight="1" x14ac:dyDescent="0.2">
      <c r="A24" s="20">
        <v>45619</v>
      </c>
      <c r="B24" s="10">
        <v>13254284</v>
      </c>
      <c r="C24" s="14">
        <f t="shared" si="2"/>
        <v>4278</v>
      </c>
      <c r="D24" s="11">
        <v>600721</v>
      </c>
      <c r="E24" s="14">
        <f t="shared" si="3"/>
        <v>734</v>
      </c>
      <c r="F24" s="27">
        <v>1704</v>
      </c>
      <c r="G24" s="71">
        <f t="shared" si="4"/>
        <v>0</v>
      </c>
      <c r="H24" s="73">
        <f t="shared" si="5"/>
        <v>5012</v>
      </c>
      <c r="I24" s="77">
        <f t="shared" si="6"/>
        <v>-40608.379999999997</v>
      </c>
      <c r="J24" s="32">
        <f t="shared" si="0"/>
        <v>598.06999999999971</v>
      </c>
      <c r="K24" s="20">
        <f t="shared" si="1"/>
        <v>45619</v>
      </c>
      <c r="L24" s="33">
        <v>2700</v>
      </c>
      <c r="M24" s="34">
        <v>0</v>
      </c>
      <c r="N24" s="35">
        <v>0</v>
      </c>
      <c r="O24" s="89">
        <v>0.64</v>
      </c>
      <c r="P24" s="90">
        <v>0.64</v>
      </c>
      <c r="Q24" s="89">
        <v>0.74</v>
      </c>
      <c r="R24" s="90">
        <v>0.68</v>
      </c>
      <c r="S24" s="40">
        <f t="shared" si="7"/>
        <v>3910</v>
      </c>
      <c r="T24" s="38"/>
      <c r="U24" s="32">
        <f t="shared" si="8"/>
        <v>130</v>
      </c>
      <c r="V24" s="44">
        <v>121639</v>
      </c>
      <c r="W24" s="32">
        <f t="shared" si="9"/>
        <v>41</v>
      </c>
      <c r="X24" s="47">
        <v>61197</v>
      </c>
      <c r="Y24" s="14">
        <f t="shared" si="10"/>
        <v>0</v>
      </c>
      <c r="Z24" s="50">
        <v>2410</v>
      </c>
      <c r="AA24" s="56">
        <v>0</v>
      </c>
      <c r="AB24" s="32">
        <f t="shared" si="11"/>
        <v>0</v>
      </c>
      <c r="AC24" s="13">
        <v>144</v>
      </c>
      <c r="AD24" s="18">
        <v>266</v>
      </c>
    </row>
    <row r="25" spans="1:30" ht="20.7" customHeight="1" x14ac:dyDescent="0.2">
      <c r="A25" s="20">
        <v>45620</v>
      </c>
      <c r="B25" s="10">
        <v>13258562</v>
      </c>
      <c r="C25" s="14">
        <f t="shared" si="2"/>
        <v>4833</v>
      </c>
      <c r="D25" s="11">
        <v>601455</v>
      </c>
      <c r="E25" s="14">
        <f t="shared" si="3"/>
        <v>778</v>
      </c>
      <c r="F25" s="27">
        <v>1704</v>
      </c>
      <c r="G25" s="71">
        <f t="shared" si="4"/>
        <v>0</v>
      </c>
      <c r="H25" s="73">
        <f t="shared" si="5"/>
        <v>5611</v>
      </c>
      <c r="I25" s="77">
        <f t="shared" si="6"/>
        <v>-40010.31</v>
      </c>
      <c r="J25" s="32">
        <f t="shared" si="0"/>
        <v>-698.95000000000437</v>
      </c>
      <c r="K25" s="20">
        <f t="shared" si="1"/>
        <v>45620</v>
      </c>
      <c r="L25" s="33">
        <v>2100</v>
      </c>
      <c r="M25" s="34">
        <v>0</v>
      </c>
      <c r="N25" s="35">
        <v>0</v>
      </c>
      <c r="O25" s="89">
        <v>0.61</v>
      </c>
      <c r="P25" s="90">
        <v>0.63</v>
      </c>
      <c r="Q25" s="89">
        <v>0.7</v>
      </c>
      <c r="R25" s="90">
        <v>0.66</v>
      </c>
      <c r="S25" s="40">
        <f t="shared" si="7"/>
        <v>3780</v>
      </c>
      <c r="T25" s="38"/>
      <c r="U25" s="32">
        <f t="shared" si="8"/>
        <v>85</v>
      </c>
      <c r="V25" s="44">
        <v>121680</v>
      </c>
      <c r="W25" s="32">
        <f t="shared" si="9"/>
        <v>18</v>
      </c>
      <c r="X25" s="47">
        <v>61197</v>
      </c>
      <c r="Y25" s="14">
        <f t="shared" si="10"/>
        <v>2</v>
      </c>
      <c r="Z25" s="50">
        <v>2410</v>
      </c>
      <c r="AA25" s="56">
        <v>0</v>
      </c>
      <c r="AB25" s="32">
        <f t="shared" si="11"/>
        <v>0</v>
      </c>
      <c r="AC25" s="13">
        <v>112</v>
      </c>
      <c r="AD25" s="18">
        <v>199</v>
      </c>
    </row>
    <row r="26" spans="1:30" ht="20.7" customHeight="1" x14ac:dyDescent="0.2">
      <c r="A26" s="20">
        <v>45621</v>
      </c>
      <c r="B26" s="10">
        <v>13263395</v>
      </c>
      <c r="C26" s="14">
        <f t="shared" si="2"/>
        <v>4179</v>
      </c>
      <c r="D26" s="11">
        <v>602233</v>
      </c>
      <c r="E26" s="14">
        <f t="shared" si="3"/>
        <v>734</v>
      </c>
      <c r="F26" s="27">
        <v>1704</v>
      </c>
      <c r="G26" s="71">
        <f t="shared" si="4"/>
        <v>0</v>
      </c>
      <c r="H26" s="73">
        <f t="shared" si="5"/>
        <v>4913</v>
      </c>
      <c r="I26" s="77">
        <f t="shared" si="6"/>
        <v>-40709.26</v>
      </c>
      <c r="J26" s="32">
        <f t="shared" si="0"/>
        <v>157.81000000000495</v>
      </c>
      <c r="K26" s="20">
        <f t="shared" si="1"/>
        <v>45621</v>
      </c>
      <c r="L26" s="33">
        <v>1500</v>
      </c>
      <c r="M26" s="34">
        <v>0</v>
      </c>
      <c r="N26" s="35">
        <v>0</v>
      </c>
      <c r="O26" s="89">
        <v>0.6</v>
      </c>
      <c r="P26" s="90">
        <v>0.62</v>
      </c>
      <c r="Q26" s="89">
        <v>0.66</v>
      </c>
      <c r="R26" s="90">
        <v>0.63</v>
      </c>
      <c r="S26" s="40">
        <f t="shared" si="7"/>
        <v>3695</v>
      </c>
      <c r="T26" s="38">
        <v>184</v>
      </c>
      <c r="U26" s="32">
        <f t="shared" si="8"/>
        <v>59</v>
      </c>
      <c r="V26" s="44">
        <v>121698</v>
      </c>
      <c r="W26" s="32">
        <f t="shared" si="9"/>
        <v>25</v>
      </c>
      <c r="X26" s="47">
        <v>61199</v>
      </c>
      <c r="Y26" s="14">
        <f t="shared" si="10"/>
        <v>3</v>
      </c>
      <c r="Z26" s="50">
        <v>2410</v>
      </c>
      <c r="AA26" s="56">
        <v>0</v>
      </c>
      <c r="AB26" s="32">
        <f t="shared" si="11"/>
        <v>0</v>
      </c>
      <c r="AC26" s="13">
        <v>104</v>
      </c>
      <c r="AD26" s="18">
        <v>181</v>
      </c>
    </row>
    <row r="27" spans="1:30" ht="20.7" customHeight="1" x14ac:dyDescent="0.2">
      <c r="A27" s="20">
        <v>45622</v>
      </c>
      <c r="B27" s="10">
        <v>13267574</v>
      </c>
      <c r="C27" s="14">
        <f t="shared" si="2"/>
        <v>4290</v>
      </c>
      <c r="D27" s="11">
        <v>602967</v>
      </c>
      <c r="E27" s="14">
        <f t="shared" si="3"/>
        <v>782</v>
      </c>
      <c r="F27" s="27">
        <v>1704</v>
      </c>
      <c r="G27" s="71">
        <f t="shared" si="4"/>
        <v>0</v>
      </c>
      <c r="H27" s="73">
        <f t="shared" si="5"/>
        <v>5072</v>
      </c>
      <c r="I27" s="77">
        <f t="shared" si="6"/>
        <v>-40551.449999999997</v>
      </c>
      <c r="J27" s="32">
        <f t="shared" si="0"/>
        <v>-8160.9500000000044</v>
      </c>
      <c r="K27" s="20">
        <f t="shared" si="1"/>
        <v>45622</v>
      </c>
      <c r="L27" s="33">
        <v>900</v>
      </c>
      <c r="M27" s="34">
        <v>0</v>
      </c>
      <c r="N27" s="35">
        <v>0</v>
      </c>
      <c r="O27" s="89">
        <v>0.59</v>
      </c>
      <c r="P27" s="90">
        <v>0.61</v>
      </c>
      <c r="Q27" s="89">
        <v>0.86</v>
      </c>
      <c r="R27" s="90">
        <v>0.78</v>
      </c>
      <c r="S27" s="40">
        <f t="shared" si="7"/>
        <v>3820</v>
      </c>
      <c r="T27" s="38"/>
      <c r="U27" s="32">
        <f t="shared" si="8"/>
        <v>55</v>
      </c>
      <c r="V27" s="44">
        <v>121723</v>
      </c>
      <c r="W27" s="32">
        <f t="shared" si="9"/>
        <v>20</v>
      </c>
      <c r="X27" s="47">
        <v>61202</v>
      </c>
      <c r="Y27" s="14">
        <f t="shared" si="10"/>
        <v>1</v>
      </c>
      <c r="Z27" s="50">
        <v>2410</v>
      </c>
      <c r="AA27" s="56">
        <v>0</v>
      </c>
      <c r="AB27" s="32">
        <f t="shared" si="11"/>
        <v>5</v>
      </c>
      <c r="AC27" s="13">
        <v>93</v>
      </c>
      <c r="AD27" s="18">
        <v>163</v>
      </c>
    </row>
    <row r="28" spans="1:30" ht="20.7" customHeight="1" x14ac:dyDescent="0.2">
      <c r="A28" s="20">
        <v>45623</v>
      </c>
      <c r="B28" s="10">
        <v>13271864</v>
      </c>
      <c r="C28" s="14">
        <f t="shared" si="2"/>
        <v>4192</v>
      </c>
      <c r="D28" s="11">
        <v>603749</v>
      </c>
      <c r="E28" s="14">
        <f t="shared" si="3"/>
        <v>720</v>
      </c>
      <c r="F28" s="27">
        <v>1704</v>
      </c>
      <c r="G28" s="71">
        <f t="shared" si="4"/>
        <v>0</v>
      </c>
      <c r="H28" s="73">
        <f t="shared" si="5"/>
        <v>4912</v>
      </c>
      <c r="I28" s="77">
        <f t="shared" si="6"/>
        <v>-48712.4</v>
      </c>
      <c r="J28" s="32">
        <f t="shared" si="0"/>
        <v>7773.0499999999956</v>
      </c>
      <c r="K28" s="20">
        <f t="shared" si="1"/>
        <v>45623</v>
      </c>
      <c r="L28" s="33">
        <v>8400</v>
      </c>
      <c r="M28" s="34">
        <v>8000</v>
      </c>
      <c r="N28" s="35">
        <v>0</v>
      </c>
      <c r="O28" s="89">
        <v>0.57999999999999996</v>
      </c>
      <c r="P28" s="90">
        <v>0.61</v>
      </c>
      <c r="Q28" s="89">
        <v>0.82</v>
      </c>
      <c r="R28" s="90">
        <v>0.76</v>
      </c>
      <c r="S28" s="40">
        <f t="shared" si="7"/>
        <v>3765</v>
      </c>
      <c r="T28" s="38"/>
      <c r="U28" s="32">
        <f t="shared" si="8"/>
        <v>120</v>
      </c>
      <c r="V28" s="44">
        <v>121743</v>
      </c>
      <c r="W28" s="32">
        <f t="shared" si="9"/>
        <v>10</v>
      </c>
      <c r="X28" s="47">
        <v>61203</v>
      </c>
      <c r="Y28" s="14">
        <f t="shared" si="10"/>
        <v>5</v>
      </c>
      <c r="Z28" s="50">
        <v>2405</v>
      </c>
      <c r="AA28" s="56">
        <v>0</v>
      </c>
      <c r="AB28" s="32">
        <f t="shared" si="11"/>
        <v>0</v>
      </c>
      <c r="AC28" s="13">
        <v>85</v>
      </c>
      <c r="AD28" s="18">
        <v>148</v>
      </c>
    </row>
    <row r="29" spans="1:30" ht="20.7" customHeight="1" x14ac:dyDescent="0.2">
      <c r="A29" s="20">
        <v>45624</v>
      </c>
      <c r="B29" s="10">
        <v>13276056</v>
      </c>
      <c r="C29" s="14">
        <f t="shared" si="2"/>
        <v>3910</v>
      </c>
      <c r="D29" s="11">
        <v>604469</v>
      </c>
      <c r="E29" s="14">
        <f t="shared" si="3"/>
        <v>776</v>
      </c>
      <c r="F29" s="27">
        <v>1704</v>
      </c>
      <c r="G29" s="71">
        <f t="shared" si="4"/>
        <v>0</v>
      </c>
      <c r="H29" s="73">
        <f t="shared" si="5"/>
        <v>4686</v>
      </c>
      <c r="I29" s="77">
        <f t="shared" si="6"/>
        <v>-40939.350000000006</v>
      </c>
      <c r="J29" s="32">
        <f t="shared" si="0"/>
        <v>280.04000000000815</v>
      </c>
      <c r="K29" s="20">
        <f t="shared" si="1"/>
        <v>45624</v>
      </c>
      <c r="L29" s="33">
        <v>7900</v>
      </c>
      <c r="M29" s="34">
        <v>0</v>
      </c>
      <c r="N29" s="35">
        <v>0</v>
      </c>
      <c r="O29" s="89">
        <v>0.55000000000000004</v>
      </c>
      <c r="P29" s="90">
        <v>0.6</v>
      </c>
      <c r="Q29" s="89">
        <v>0.8</v>
      </c>
      <c r="R29" s="90">
        <v>0.74</v>
      </c>
      <c r="S29" s="40">
        <f t="shared" si="7"/>
        <v>3645</v>
      </c>
      <c r="T29" s="38"/>
      <c r="U29" s="32">
        <f t="shared" si="8"/>
        <v>110</v>
      </c>
      <c r="V29" s="44">
        <v>121753</v>
      </c>
      <c r="W29" s="32">
        <f t="shared" si="9"/>
        <v>8</v>
      </c>
      <c r="X29" s="47">
        <v>61208</v>
      </c>
      <c r="Y29" s="14">
        <f t="shared" si="10"/>
        <v>9</v>
      </c>
      <c r="Z29" s="50">
        <v>2405</v>
      </c>
      <c r="AA29" s="56">
        <v>0</v>
      </c>
      <c r="AB29" s="32">
        <f t="shared" si="11"/>
        <v>5</v>
      </c>
      <c r="AC29" s="13">
        <v>85</v>
      </c>
      <c r="AD29" s="18">
        <v>145</v>
      </c>
    </row>
    <row r="30" spans="1:30" ht="20.7" customHeight="1" x14ac:dyDescent="0.2">
      <c r="A30" s="20">
        <v>45625</v>
      </c>
      <c r="B30" s="10">
        <v>13279966</v>
      </c>
      <c r="C30" s="14">
        <f t="shared" si="2"/>
        <v>4298</v>
      </c>
      <c r="D30" s="11">
        <v>605245</v>
      </c>
      <c r="E30" s="14">
        <f t="shared" si="3"/>
        <v>669</v>
      </c>
      <c r="F30" s="27">
        <v>1704</v>
      </c>
      <c r="G30" s="71">
        <f t="shared" si="4"/>
        <v>0</v>
      </c>
      <c r="H30" s="73">
        <f t="shared" si="5"/>
        <v>4967</v>
      </c>
      <c r="I30" s="77">
        <f t="shared" si="6"/>
        <v>-40659.31</v>
      </c>
      <c r="J30" s="32">
        <f t="shared" si="0"/>
        <v>51.020000000004075</v>
      </c>
      <c r="K30" s="20">
        <f t="shared" si="1"/>
        <v>45625</v>
      </c>
      <c r="L30" s="33">
        <v>7541</v>
      </c>
      <c r="M30" s="34">
        <v>0</v>
      </c>
      <c r="N30" s="35">
        <v>0</v>
      </c>
      <c r="O30" s="89">
        <v>0.52</v>
      </c>
      <c r="P30" s="90">
        <v>0.59</v>
      </c>
      <c r="Q30" s="89">
        <v>0.79</v>
      </c>
      <c r="R30" s="90">
        <v>0.73</v>
      </c>
      <c r="S30" s="40">
        <f t="shared" si="7"/>
        <v>3535</v>
      </c>
      <c r="T30" s="38"/>
      <c r="U30" s="32">
        <f t="shared" si="8"/>
        <v>65</v>
      </c>
      <c r="V30" s="44">
        <v>121761</v>
      </c>
      <c r="W30" s="32">
        <f t="shared" si="9"/>
        <v>10</v>
      </c>
      <c r="X30" s="47">
        <v>61217</v>
      </c>
      <c r="Y30" s="14">
        <f t="shared" si="10"/>
        <v>1</v>
      </c>
      <c r="Z30" s="50">
        <v>2400</v>
      </c>
      <c r="AA30" s="56">
        <v>0</v>
      </c>
      <c r="AB30" s="32">
        <f t="shared" si="11"/>
        <v>-5</v>
      </c>
      <c r="AC30" s="13">
        <v>92</v>
      </c>
      <c r="AD30" s="18">
        <v>164</v>
      </c>
    </row>
    <row r="31" spans="1:30" ht="20.7" customHeight="1" thickBot="1" x14ac:dyDescent="0.25">
      <c r="A31" s="20">
        <v>45626</v>
      </c>
      <c r="B31" s="10">
        <v>13284264</v>
      </c>
      <c r="C31" s="14">
        <f t="shared" si="2"/>
        <v>4309</v>
      </c>
      <c r="D31" s="11">
        <v>605914</v>
      </c>
      <c r="E31" s="14">
        <f t="shared" si="3"/>
        <v>710</v>
      </c>
      <c r="F31" s="27">
        <v>1704</v>
      </c>
      <c r="G31" s="71">
        <f t="shared" si="4"/>
        <v>0</v>
      </c>
      <c r="H31" s="73">
        <f t="shared" si="5"/>
        <v>5019</v>
      </c>
      <c r="I31" s="77">
        <f t="shared" si="6"/>
        <v>-40608.289999999994</v>
      </c>
      <c r="J31" s="32">
        <f t="shared" si="0"/>
        <v>40608.289999999994</v>
      </c>
      <c r="K31" s="20">
        <f t="shared" si="1"/>
        <v>45626</v>
      </c>
      <c r="L31" s="33">
        <v>7091</v>
      </c>
      <c r="M31" s="34">
        <v>0</v>
      </c>
      <c r="N31" s="35">
        <v>0</v>
      </c>
      <c r="O31" s="89">
        <v>0.52</v>
      </c>
      <c r="P31" s="90">
        <v>0.56999999999999995</v>
      </c>
      <c r="Q31" s="89">
        <v>0.77</v>
      </c>
      <c r="R31" s="90">
        <v>0.72</v>
      </c>
      <c r="S31" s="40">
        <f t="shared" si="7"/>
        <v>3470</v>
      </c>
      <c r="T31" s="38"/>
      <c r="U31" s="32">
        <f t="shared" si="8"/>
        <v>75</v>
      </c>
      <c r="V31" s="44">
        <v>121771</v>
      </c>
      <c r="W31" s="32">
        <f t="shared" si="9"/>
        <v>6</v>
      </c>
      <c r="X31" s="47">
        <v>61218</v>
      </c>
      <c r="Y31" s="14">
        <f t="shared" si="10"/>
        <v>1</v>
      </c>
      <c r="Z31" s="50">
        <v>2405</v>
      </c>
      <c r="AA31" s="56">
        <v>0</v>
      </c>
      <c r="AB31" s="32">
        <f t="shared" si="11"/>
        <v>5</v>
      </c>
      <c r="AC31" s="13">
        <v>105</v>
      </c>
      <c r="AD31" s="18">
        <v>194</v>
      </c>
    </row>
    <row r="32" spans="1:30" ht="20.7" customHeight="1" thickTop="1" thickBot="1" x14ac:dyDescent="0.25">
      <c r="A32" s="20">
        <v>45627</v>
      </c>
      <c r="B32" s="57">
        <v>13288573</v>
      </c>
      <c r="C32" s="67"/>
      <c r="D32" s="66">
        <v>606624</v>
      </c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>
        <v>0.52</v>
      </c>
      <c r="P32" s="92">
        <v>0.54</v>
      </c>
      <c r="Q32" s="91">
        <v>0.77</v>
      </c>
      <c r="R32" s="92">
        <v>0.72</v>
      </c>
      <c r="S32" s="41">
        <f t="shared" si="7"/>
        <v>3395</v>
      </c>
      <c r="T32" s="58"/>
      <c r="U32" s="67"/>
      <c r="V32" s="64">
        <v>121777</v>
      </c>
      <c r="W32" s="67"/>
      <c r="X32" s="63">
        <v>61219</v>
      </c>
      <c r="Y32" s="67"/>
      <c r="Z32" s="62">
        <v>2400</v>
      </c>
      <c r="AA32" s="59">
        <v>0</v>
      </c>
      <c r="AB32" s="60"/>
      <c r="AC32" s="61">
        <v>174</v>
      </c>
      <c r="AD32" s="61">
        <v>370</v>
      </c>
    </row>
    <row r="33" spans="1:30" s="85" customFormat="1" ht="10.7" thickTop="1" x14ac:dyDescent="0.2">
      <c r="A33" s="79"/>
      <c r="B33" s="79"/>
      <c r="C33" s="80">
        <f>SUM(C2:C32)</f>
        <v>187893</v>
      </c>
      <c r="D33" s="81"/>
      <c r="E33" s="80">
        <f>SUM(E2:E32)</f>
        <v>21557</v>
      </c>
      <c r="F33" s="82"/>
      <c r="G33" s="80">
        <f>SUM(G2:G32)</f>
        <v>0</v>
      </c>
      <c r="H33" s="81">
        <f>SUM(H2:H32)</f>
        <v>209450</v>
      </c>
      <c r="I33" s="80">
        <f>SUM(I2:I31)</f>
        <v>-1166938.22</v>
      </c>
      <c r="J33" s="80">
        <f>SUM(J2:J32)</f>
        <v>39153.56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1876</v>
      </c>
      <c r="U33" s="80">
        <f>SUM(U2:U32)</f>
        <v>3006</v>
      </c>
      <c r="V33" s="79"/>
      <c r="W33" s="80">
        <f>SUM(W2:W32)</f>
        <v>1168</v>
      </c>
      <c r="X33" s="79"/>
      <c r="Y33" s="80">
        <f>SUM(Y2:Y32)</f>
        <v>78</v>
      </c>
      <c r="Z33" s="79"/>
      <c r="AA33" s="79">
        <f>SUM(AA2:AA32)</f>
        <v>14650</v>
      </c>
      <c r="AB33" s="80">
        <f>SUM(AB2:AB32)</f>
        <v>15340</v>
      </c>
      <c r="AC33" s="83">
        <f>SUM(AC2:AC32)</f>
        <v>5393</v>
      </c>
      <c r="AD33" s="84">
        <f>SUM(AD2:AD32)</f>
        <v>10076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2024-12-03T09:18:48Z</dcterms:modified>
  <cp:category/>
  <cp:contentStatus/>
</cp:coreProperties>
</file>