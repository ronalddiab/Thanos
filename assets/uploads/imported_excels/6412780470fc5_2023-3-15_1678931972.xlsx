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FEC2A77A-15B6-4DE7-861B-604F8D98AFE6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L32" i="117" l="1"/>
  <c r="J32" i="117"/>
  <c r="L31" i="117"/>
  <c r="J31" i="117"/>
  <c r="L30" i="117"/>
  <c r="J30" i="117"/>
  <c r="L29" i="117"/>
  <c r="J29" i="117"/>
  <c r="L28" i="117"/>
  <c r="J28" i="117"/>
  <c r="L27" i="117"/>
  <c r="J27" i="117"/>
  <c r="L26" i="117"/>
  <c r="J26" i="117"/>
  <c r="L25" i="117"/>
  <c r="J25" i="117"/>
  <c r="L24" i="117"/>
  <c r="J24" i="117"/>
  <c r="L23" i="117"/>
  <c r="J23" i="117"/>
  <c r="L22" i="117"/>
  <c r="J22" i="117"/>
  <c r="L21" i="117"/>
  <c r="J21" i="117"/>
  <c r="L20" i="117"/>
  <c r="J20" i="117"/>
  <c r="L19" i="117"/>
  <c r="J19" i="117"/>
  <c r="L18" i="117"/>
  <c r="J18" i="117"/>
  <c r="L17" i="117"/>
  <c r="J17" i="117"/>
  <c r="L16" i="117"/>
  <c r="J16" i="117"/>
  <c r="L15" i="117"/>
  <c r="J15" i="117"/>
  <c r="L14" i="117"/>
  <c r="J14" i="117"/>
  <c r="L13" i="117"/>
  <c r="J13" i="117"/>
  <c r="L12" i="117"/>
  <c r="J12" i="117"/>
  <c r="L11" i="117"/>
  <c r="J11" i="117"/>
  <c r="L10" i="117"/>
  <c r="J10" i="117"/>
  <c r="L9" i="117"/>
  <c r="J9" i="117"/>
  <c r="L8" i="117"/>
  <c r="J8" i="117"/>
  <c r="L7" i="117"/>
  <c r="J7" i="117"/>
  <c r="L6" i="117"/>
  <c r="J6" i="117"/>
  <c r="L5" i="117"/>
  <c r="J5" i="117"/>
  <c r="L4" i="117"/>
  <c r="J4" i="117"/>
  <c r="L3" i="117"/>
  <c r="J3" i="117"/>
  <c r="L2" i="117"/>
  <c r="J2" i="117"/>
  <c r="N35" i="119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<sst xmlns="http://schemas.openxmlformats.org/spreadsheetml/2006/main" count="66" uniqueCount="32">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</sst>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3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3_FS%20Tokyo%20at%20Otemachi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空調エネルギー (2)"/>
      <sheetName val="2023.3エネルギー使用量"/>
    </sheetNames>
    <sheetDataSet>
      <sheetData sheetId="0"/>
      <sheetData sheetId="1"/>
      <sheetData sheetId="2"/>
      <sheetData sheetId="3"/>
      <sheetData sheetId="4">
        <row r="387">
          <cell r="G387">
            <v>163</v>
          </cell>
          <cell r="H387">
            <v>141</v>
          </cell>
          <cell r="I387">
            <v>124</v>
          </cell>
          <cell r="J387">
            <v>140</v>
          </cell>
          <cell r="K387">
            <v>170</v>
          </cell>
          <cell r="L387">
            <v>164</v>
          </cell>
          <cell r="M387">
            <v>154</v>
          </cell>
          <cell r="N387">
            <v>142</v>
          </cell>
          <cell r="O387">
            <v>144</v>
          </cell>
          <cell r="P387">
            <v>151</v>
          </cell>
          <cell r="Q387">
            <v>167</v>
          </cell>
          <cell r="R387">
            <v>167</v>
          </cell>
          <cell r="S387">
            <v>163</v>
          </cell>
          <cell r="T387">
            <v>168</v>
          </cell>
          <cell r="U387">
            <v>178</v>
          </cell>
          <cell r="V387">
            <v>177</v>
          </cell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233</v>
          </cell>
          <cell r="H388">
            <v>227</v>
          </cell>
          <cell r="I388">
            <v>234</v>
          </cell>
          <cell r="J388">
            <v>260</v>
          </cell>
          <cell r="K388">
            <v>292</v>
          </cell>
          <cell r="L388">
            <v>264</v>
          </cell>
          <cell r="M388">
            <v>256</v>
          </cell>
          <cell r="N388">
            <v>240</v>
          </cell>
          <cell r="O388">
            <v>254</v>
          </cell>
          <cell r="P388">
            <v>268</v>
          </cell>
          <cell r="Q388">
            <v>319</v>
          </cell>
          <cell r="R388">
            <v>410</v>
          </cell>
          <cell r="S388">
            <v>310</v>
          </cell>
          <cell r="T388">
            <v>316</v>
          </cell>
          <cell r="U388">
            <v>321</v>
          </cell>
          <cell r="V388">
            <v>309</v>
          </cell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211.6</v>
          </cell>
          <cell r="H23">
            <v>219.8</v>
          </cell>
          <cell r="I23">
            <v>211.8</v>
          </cell>
          <cell r="J23">
            <v>209.6</v>
          </cell>
          <cell r="K23">
            <v>225.1</v>
          </cell>
          <cell r="L23">
            <v>193.6</v>
          </cell>
          <cell r="M23">
            <v>197.2</v>
          </cell>
          <cell r="N23">
            <v>228.8</v>
          </cell>
          <cell r="O23">
            <v>200.4</v>
          </cell>
          <cell r="P23">
            <v>202.6</v>
          </cell>
          <cell r="Q23">
            <v>211.9</v>
          </cell>
          <cell r="R23">
            <v>216.6</v>
          </cell>
          <cell r="S23">
            <v>199.4</v>
          </cell>
          <cell r="T23">
            <v>230</v>
          </cell>
          <cell r="U23">
            <v>213.3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167</v>
          </cell>
          <cell r="H41">
            <v>177</v>
          </cell>
          <cell r="I41">
            <v>168</v>
          </cell>
          <cell r="J41">
            <v>189</v>
          </cell>
          <cell r="K41">
            <v>209</v>
          </cell>
          <cell r="L41">
            <v>176</v>
          </cell>
          <cell r="M41">
            <v>173</v>
          </cell>
          <cell r="N41">
            <v>168</v>
          </cell>
          <cell r="O41">
            <v>175</v>
          </cell>
          <cell r="P41">
            <v>156</v>
          </cell>
          <cell r="Q41">
            <v>199</v>
          </cell>
          <cell r="R41">
            <v>207</v>
          </cell>
          <cell r="S41">
            <v>179</v>
          </cell>
          <cell r="T41">
            <v>193</v>
          </cell>
          <cell r="U41">
            <v>176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66">
          <cell r="G66">
            <v>8231.1584400000011</v>
          </cell>
          <cell r="H66">
            <v>8440.4251800000002</v>
          </cell>
          <cell r="I66">
            <v>7742.8693800000001</v>
          </cell>
          <cell r="J66">
            <v>9068.2253999999994</v>
          </cell>
          <cell r="K66">
            <v>9137.9809799999985</v>
          </cell>
          <cell r="L66">
            <v>8579.9363400000002</v>
          </cell>
          <cell r="M66">
            <v>8579.9363400000002</v>
          </cell>
          <cell r="N66">
            <v>8091.6472800000001</v>
          </cell>
          <cell r="O66">
            <v>8510.1807599999993</v>
          </cell>
          <cell r="P66">
            <v>8161.4028600000001</v>
          </cell>
          <cell r="Q66">
            <v>8789.2030800000011</v>
          </cell>
          <cell r="R66">
            <v>9277.4921400000003</v>
          </cell>
          <cell r="S66">
            <v>8440.4251800000002</v>
          </cell>
          <cell r="T66">
            <v>8370.6695999999993</v>
          </cell>
          <cell r="U66">
            <v>8858.9586600000002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91">
          <cell r="G91">
            <v>11459.8056</v>
          </cell>
          <cell r="H91">
            <v>12978.260399999999</v>
          </cell>
          <cell r="I91">
            <v>20624.983199999999</v>
          </cell>
          <cell r="J91">
            <v>17805.591</v>
          </cell>
          <cell r="K91">
            <v>18043.6656</v>
          </cell>
          <cell r="L91">
            <v>14261.140799999999</v>
          </cell>
          <cell r="M91">
            <v>11293.681199999999</v>
          </cell>
          <cell r="N91">
            <v>10238.0412</v>
          </cell>
          <cell r="O91">
            <v>7119.4583999999995</v>
          </cell>
          <cell r="P91">
            <v>5336.5379999999996</v>
          </cell>
          <cell r="Q91">
            <v>10043.581200000001</v>
          </cell>
          <cell r="R91">
            <v>8554.0175999999992</v>
          </cell>
          <cell r="S91">
            <v>8105.6484</v>
          </cell>
          <cell r="T91">
            <v>15961.554599999999</v>
          </cell>
          <cell r="U91">
            <v>11078.941800000001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3542.2278000000001</v>
          </cell>
          <cell r="H115">
            <v>3822.5279999999998</v>
          </cell>
          <cell r="I115">
            <v>2566.5942</v>
          </cell>
          <cell r="J115">
            <v>3959.4834000000001</v>
          </cell>
          <cell r="K115">
            <v>3113.0268000000001</v>
          </cell>
          <cell r="L115">
            <v>3652.5144</v>
          </cell>
          <cell r="M115">
            <v>4440.0774000000001</v>
          </cell>
          <cell r="N115">
            <v>4917.0599999999995</v>
          </cell>
          <cell r="O115">
            <v>4365.9048000000003</v>
          </cell>
          <cell r="P115">
            <v>5378.4857999999995</v>
          </cell>
          <cell r="Q115">
            <v>5033.7359999999999</v>
          </cell>
          <cell r="R115">
            <v>4112.5511999999999</v>
          </cell>
          <cell r="S115">
            <v>3702.5183999999999</v>
          </cell>
          <cell r="T115">
            <v>3686.1282000000001</v>
          </cell>
          <cell r="U115">
            <v>4452.5783999999994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14896</v>
          </cell>
          <cell r="H147">
            <v>14862</v>
          </cell>
          <cell r="I147">
            <v>15325</v>
          </cell>
          <cell r="J147">
            <v>15075</v>
          </cell>
          <cell r="K147">
            <v>15164</v>
          </cell>
          <cell r="L147">
            <v>14584</v>
          </cell>
          <cell r="M147">
            <v>14966</v>
          </cell>
          <cell r="N147">
            <v>15283</v>
          </cell>
          <cell r="O147">
            <v>14668</v>
          </cell>
          <cell r="P147">
            <v>14604</v>
          </cell>
          <cell r="Q147">
            <v>15034</v>
          </cell>
          <cell r="R147">
            <v>15208</v>
          </cell>
          <cell r="S147">
            <v>14533</v>
          </cell>
          <cell r="T147">
            <v>15294</v>
          </cell>
          <cell r="U147">
            <v>14992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36</v>
          </cell>
        </row>
        <row r="23">
          <cell r="M23">
            <v>163.14023183150999</v>
          </cell>
        </row>
      </sheetData>
      <sheetData sheetId="9"/>
      <sheetData sheetId="10"/>
      <sheetData sheetId="11">
        <row r="29">
          <cell r="C29">
            <v>412.81079999999997</v>
          </cell>
        </row>
      </sheetData>
      <sheetData sheetId="12">
        <row r="29">
          <cell r="C29">
            <v>413.3664</v>
          </cell>
        </row>
      </sheetData>
      <sheetData sheetId="13">
        <row r="29">
          <cell r="C29">
            <v>412.81079999999997</v>
          </cell>
        </row>
      </sheetData>
      <sheetData sheetId="14">
        <row r="29">
          <cell r="C29">
            <v>413.08859999999999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412.81079999999997</v>
          </cell>
        </row>
      </sheetData>
      <sheetData sheetId="17">
        <row r="29">
          <cell r="C29">
            <v>413.08859999999999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412.81079999999997</v>
          </cell>
        </row>
      </sheetData>
      <sheetData sheetId="20">
        <row r="29">
          <cell r="C29">
            <v>413.64420000000001</v>
          </cell>
        </row>
      </sheetData>
      <sheetData sheetId="21">
        <row r="29">
          <cell r="C29">
            <v>412.53300000000002</v>
          </cell>
        </row>
      </sheetData>
      <sheetData sheetId="22">
        <row r="29">
          <cell r="C29">
            <v>413.3664</v>
          </cell>
        </row>
      </sheetData>
      <sheetData sheetId="23">
        <row r="29">
          <cell r="C29">
            <v>412.81079999999997</v>
          </cell>
        </row>
      </sheetData>
      <sheetData sheetId="24">
        <row r="29">
          <cell r="C29">
            <v>413.3664</v>
          </cell>
        </row>
      </sheetData>
      <sheetData sheetId="25">
        <row r="29">
          <cell r="C29">
            <v>412.81079999999997</v>
          </cell>
        </row>
      </sheetData>
      <sheetData sheetId="26">
        <row r="29">
          <cell r="C29">
            <v>0</v>
          </cell>
        </row>
      </sheetData>
      <sheetData sheetId="27">
        <row r="29">
          <cell r="C29">
            <v>0</v>
          </cell>
        </row>
      </sheetData>
      <sheetData sheetId="28">
        <row r="29">
          <cell r="C29">
            <v>0</v>
          </cell>
        </row>
      </sheetData>
      <sheetData sheetId="29">
        <row r="29">
          <cell r="C29">
            <v>0</v>
          </cell>
        </row>
      </sheetData>
      <sheetData sheetId="30">
        <row r="29">
          <cell r="C29">
            <v>0</v>
          </cell>
        </row>
      </sheetData>
      <sheetData sheetId="31">
        <row r="29">
          <cell r="C29">
            <v>0</v>
          </cell>
        </row>
      </sheetData>
      <sheetData sheetId="32">
        <row r="29">
          <cell r="C29">
            <v>0</v>
          </cell>
        </row>
      </sheetData>
      <sheetData sheetId="33">
        <row r="29">
          <cell r="C29">
            <v>0</v>
          </cell>
        </row>
      </sheetData>
      <sheetData sheetId="34">
        <row r="29">
          <cell r="C29">
            <v>0</v>
          </cell>
        </row>
      </sheetData>
      <sheetData sheetId="35">
        <row r="29">
          <cell r="C29">
            <v>0</v>
          </cell>
        </row>
      </sheetData>
      <sheetData sheetId="36">
        <row r="29">
          <cell r="C29">
            <v>0</v>
          </cell>
        </row>
      </sheetData>
      <sheetData sheetId="37">
        <row r="29">
          <cell r="C29">
            <v>0</v>
          </cell>
        </row>
      </sheetData>
      <sheetData sheetId="38">
        <row r="29">
          <cell r="C29">
            <v>0</v>
          </cell>
        </row>
      </sheetData>
      <sheetData sheetId="39">
        <row r="29">
          <cell r="C29">
            <v>0</v>
          </cell>
        </row>
      </sheetData>
      <sheetData sheetId="40">
        <row r="29">
          <cell r="C29">
            <v>0</v>
          </cell>
        </row>
      </sheetData>
      <sheetData sheetId="41">
        <row r="29">
          <cell r="C29">
            <v>0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4">
          <cell r="V4">
            <v>44.015901130508517</v>
          </cell>
          <cell r="AE4">
            <v>27.111589574411145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S10" sqref="S10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3</v>
      </c>
      <c r="D2" s="7">
        <v>2023</v>
      </c>
      <c r="E2" s="9">
        <f>'Otemachi Daily'!D5</f>
        <v>14896</v>
      </c>
      <c r="F2" s="34">
        <f>[1]見込!$G$3</f>
        <v>36</v>
      </c>
      <c r="G2" s="9">
        <f>'Otemachi Daily'!F5</f>
        <v>211.6</v>
      </c>
      <c r="H2" s="34">
        <f>[1]見込!$M$23</f>
        <v>163.14023183150999</v>
      </c>
      <c r="I2" s="9">
        <f>'Otemachi Daily'!H5</f>
        <v>3955.0385999999999</v>
      </c>
      <c r="J2" s="34">
        <f>[2]Sheet1!$V$4</f>
        <v>44.015901130508517</v>
      </c>
      <c r="K2" s="9">
        <f>'Otemachi Daily'!J5</f>
        <v>19690.964039999999</v>
      </c>
      <c r="L2" s="34">
        <f>[2]Sheet1!$AE$4</f>
        <v>27.111589574411145</v>
      </c>
      <c r="M2" s="9">
        <f>'Otemachi Daily'!L5</f>
        <v>167</v>
      </c>
      <c r="N2" s="34">
        <v>741</v>
      </c>
      <c r="O2" s="9">
        <f>'Otemachi Daily'!M5</f>
        <v>163</v>
      </c>
      <c r="P2" s="9">
        <f>'Otemachi Daily'!N5</f>
        <v>233</v>
      </c>
    </row>
    <row r="3" spans="1:16" ht="15">
      <c r="A3" s="6" t="s">
        <v>22</v>
      </c>
      <c r="B3" s="7">
        <f>B2+1</f>
        <v>2</v>
      </c>
      <c r="C3" s="8">
        <v>3</v>
      </c>
      <c r="D3" s="7">
        <v>2023</v>
      </c>
      <c r="E3" s="9">
        <f>'Otemachi Daily'!D6</f>
        <v>14862</v>
      </c>
      <c r="F3" s="34">
        <f>[1]見込!$G$3</f>
        <v>36</v>
      </c>
      <c r="G3" s="9">
        <f>'Otemachi Daily'!F6</f>
        <v>219.8</v>
      </c>
      <c r="H3" s="34">
        <f>[1]見込!$M$23</f>
        <v>163.14023183150999</v>
      </c>
      <c r="I3" s="9">
        <f>'Otemachi Daily'!H6</f>
        <v>4235.8944000000001</v>
      </c>
      <c r="J3" s="34">
        <f>[2]Sheet1!$V$4</f>
        <v>44.015901130508517</v>
      </c>
      <c r="K3" s="9">
        <f>'Otemachi Daily'!J6</f>
        <v>21418.685579999998</v>
      </c>
      <c r="L3" s="34">
        <f>[2]Sheet1!$AE$4</f>
        <v>27.111589574411145</v>
      </c>
      <c r="M3" s="9">
        <f>'Otemachi Daily'!L6</f>
        <v>177</v>
      </c>
      <c r="N3" s="34">
        <v>741</v>
      </c>
      <c r="O3" s="9">
        <f>'Otemachi Daily'!M6</f>
        <v>141</v>
      </c>
      <c r="P3" s="9">
        <f>'Otemachi Daily'!N6</f>
        <v>227</v>
      </c>
    </row>
    <row r="4" spans="1:16" ht="15">
      <c r="A4" s="6" t="s">
        <v>22</v>
      </c>
      <c r="B4" s="7">
        <f t="shared" ref="B4:B32" si="0">B3+1</f>
        <v>3</v>
      </c>
      <c r="C4" s="8">
        <v>3</v>
      </c>
      <c r="D4" s="7">
        <v>2023</v>
      </c>
      <c r="E4" s="9">
        <f>'Otemachi Daily'!D7</f>
        <v>15325</v>
      </c>
      <c r="F4" s="34">
        <f>[1]見込!$G$3</f>
        <v>36</v>
      </c>
      <c r="G4" s="9">
        <f>'Otemachi Daily'!F7</f>
        <v>211.8</v>
      </c>
      <c r="H4" s="34">
        <f>[1]見込!$M$23</f>
        <v>163.14023183150999</v>
      </c>
      <c r="I4" s="9">
        <f>'Otemachi Daily'!H7</f>
        <v>2979.4049999999997</v>
      </c>
      <c r="J4" s="34">
        <f>[2]Sheet1!$V$4</f>
        <v>44.015901130508517</v>
      </c>
      <c r="K4" s="9">
        <f>'Otemachi Daily'!J7</f>
        <v>28367.852579999999</v>
      </c>
      <c r="L4" s="34">
        <f>[2]Sheet1!$AE$4</f>
        <v>27.111589574411145</v>
      </c>
      <c r="M4" s="9">
        <f>'Otemachi Daily'!L7</f>
        <v>168</v>
      </c>
      <c r="N4" s="34">
        <v>741</v>
      </c>
      <c r="O4" s="9">
        <f>'Otemachi Daily'!M7</f>
        <v>124</v>
      </c>
      <c r="P4" s="9">
        <f>'Otemachi Daily'!N7</f>
        <v>234</v>
      </c>
    </row>
    <row r="5" spans="1:16" ht="15">
      <c r="A5" s="6" t="s">
        <v>22</v>
      </c>
      <c r="B5" s="7">
        <f t="shared" si="0"/>
        <v>4</v>
      </c>
      <c r="C5" s="8">
        <v>3</v>
      </c>
      <c r="D5" s="7">
        <v>2023</v>
      </c>
      <c r="E5" s="9">
        <f>'Otemachi Daily'!D8</f>
        <v>15075</v>
      </c>
      <c r="F5" s="34">
        <f>[1]見込!$G$3</f>
        <v>36</v>
      </c>
      <c r="G5" s="9">
        <f>'Otemachi Daily'!F8</f>
        <v>209.6</v>
      </c>
      <c r="H5" s="34">
        <f>[1]見込!$M$23</f>
        <v>163.14023183150999</v>
      </c>
      <c r="I5" s="9">
        <f>'Otemachi Daily'!H8</f>
        <v>4372.5720000000001</v>
      </c>
      <c r="J5" s="34">
        <f>[2]Sheet1!$V$4</f>
        <v>44.015901130508517</v>
      </c>
      <c r="K5" s="9">
        <f>'Otemachi Daily'!J8</f>
        <v>26873.8164</v>
      </c>
      <c r="L5" s="34">
        <f>[2]Sheet1!$AE$4</f>
        <v>27.111589574411145</v>
      </c>
      <c r="M5" s="9">
        <f>'Otemachi Daily'!L8</f>
        <v>189</v>
      </c>
      <c r="N5" s="34">
        <v>741</v>
      </c>
      <c r="O5" s="9">
        <f>'Otemachi Daily'!M8</f>
        <v>140</v>
      </c>
      <c r="P5" s="9">
        <f>'Otemachi Daily'!N8</f>
        <v>260</v>
      </c>
    </row>
    <row r="6" spans="1:16" ht="15">
      <c r="A6" s="6" t="s">
        <v>22</v>
      </c>
      <c r="B6" s="7">
        <f t="shared" si="0"/>
        <v>5</v>
      </c>
      <c r="C6" s="8">
        <v>3</v>
      </c>
      <c r="D6" s="7">
        <v>2023</v>
      </c>
      <c r="E6" s="9">
        <f>'Otemachi Daily'!D9</f>
        <v>15164</v>
      </c>
      <c r="F6" s="34">
        <f>[1]見込!$G$3</f>
        <v>36</v>
      </c>
      <c r="G6" s="9">
        <f>'Otemachi Daily'!F9</f>
        <v>225.1</v>
      </c>
      <c r="H6" s="34">
        <f>[1]見込!$M$23</f>
        <v>163.14023183150999</v>
      </c>
      <c r="I6" s="9">
        <f>'Otemachi Daily'!H9</f>
        <v>3526.3932</v>
      </c>
      <c r="J6" s="34">
        <f>[2]Sheet1!$V$4</f>
        <v>44.015901130508517</v>
      </c>
      <c r="K6" s="9">
        <f>'Otemachi Daily'!J9</f>
        <v>27181.646580000001</v>
      </c>
      <c r="L6" s="34">
        <f>[2]Sheet1!$AE$4</f>
        <v>27.111589574411145</v>
      </c>
      <c r="M6" s="9">
        <f>'Otemachi Daily'!L9</f>
        <v>209</v>
      </c>
      <c r="N6" s="34">
        <v>741</v>
      </c>
      <c r="O6" s="9">
        <f>'Otemachi Daily'!M9</f>
        <v>170</v>
      </c>
      <c r="P6" s="9">
        <f>'Otemachi Daily'!N9</f>
        <v>292</v>
      </c>
    </row>
    <row r="7" spans="1:16" ht="15">
      <c r="A7" s="6" t="s">
        <v>22</v>
      </c>
      <c r="B7" s="7">
        <f t="shared" si="0"/>
        <v>6</v>
      </c>
      <c r="C7" s="8">
        <v>3</v>
      </c>
      <c r="D7" s="7">
        <v>2023</v>
      </c>
      <c r="E7" s="9">
        <f>'Otemachi Daily'!D10</f>
        <v>14584</v>
      </c>
      <c r="F7" s="34">
        <f>[1]見込!$G$3</f>
        <v>36</v>
      </c>
      <c r="G7" s="9">
        <f>'Otemachi Daily'!F10</f>
        <v>193.6</v>
      </c>
      <c r="H7" s="34">
        <f>[1]見込!$M$23</f>
        <v>163.14023183150999</v>
      </c>
      <c r="I7" s="9">
        <f>'Otemachi Daily'!H10</f>
        <v>4065.3252000000002</v>
      </c>
      <c r="J7" s="34">
        <f>[2]Sheet1!$V$4</f>
        <v>44.015901130508517</v>
      </c>
      <c r="K7" s="9">
        <f>'Otemachi Daily'!J10</f>
        <v>22841.077140000001</v>
      </c>
      <c r="L7" s="34">
        <f>[2]Sheet1!$AE$4</f>
        <v>27.111589574411145</v>
      </c>
      <c r="M7" s="9">
        <f>'Otemachi Daily'!L10</f>
        <v>176</v>
      </c>
      <c r="N7" s="34">
        <v>741</v>
      </c>
      <c r="O7" s="9">
        <f>'Otemachi Daily'!M10</f>
        <v>164</v>
      </c>
      <c r="P7" s="9">
        <f>'Otemachi Daily'!N10</f>
        <v>264</v>
      </c>
    </row>
    <row r="8" spans="1:16" ht="15">
      <c r="A8" s="6" t="s">
        <v>22</v>
      </c>
      <c r="B8" s="7">
        <f t="shared" si="0"/>
        <v>7</v>
      </c>
      <c r="C8" s="8">
        <v>3</v>
      </c>
      <c r="D8" s="7">
        <v>2023</v>
      </c>
      <c r="E8" s="9">
        <f>'Otemachi Daily'!D11</f>
        <v>14966</v>
      </c>
      <c r="F8" s="34">
        <f>[1]見込!$G$3</f>
        <v>36</v>
      </c>
      <c r="G8" s="9">
        <f>'Otemachi Daily'!F11</f>
        <v>197.2</v>
      </c>
      <c r="H8" s="34">
        <f>[1]見込!$M$23</f>
        <v>163.14023183150999</v>
      </c>
      <c r="I8" s="9">
        <f>'Otemachi Daily'!H11</f>
        <v>4853.1660000000002</v>
      </c>
      <c r="J8" s="34">
        <f>[2]Sheet1!$V$4</f>
        <v>44.015901130508517</v>
      </c>
      <c r="K8" s="9">
        <f>'Otemachi Daily'!J11</f>
        <v>19873.617539999999</v>
      </c>
      <c r="L8" s="34">
        <f>[2]Sheet1!$AE$4</f>
        <v>27.111589574411145</v>
      </c>
      <c r="M8" s="9">
        <f>'Otemachi Daily'!L11</f>
        <v>173</v>
      </c>
      <c r="N8" s="34">
        <v>741</v>
      </c>
      <c r="O8" s="9">
        <f>'Otemachi Daily'!M11</f>
        <v>154</v>
      </c>
      <c r="P8" s="9">
        <f>'Otemachi Daily'!N11</f>
        <v>256</v>
      </c>
    </row>
    <row r="9" spans="1:16" ht="15">
      <c r="A9" s="6" t="s">
        <v>22</v>
      </c>
      <c r="B9" s="7">
        <f t="shared" si="0"/>
        <v>8</v>
      </c>
      <c r="C9" s="8">
        <v>3</v>
      </c>
      <c r="D9" s="7">
        <v>2023</v>
      </c>
      <c r="E9" s="9">
        <f>'Otemachi Daily'!D12</f>
        <v>15283</v>
      </c>
      <c r="F9" s="34">
        <f>[1]見込!$G$3</f>
        <v>36</v>
      </c>
      <c r="G9" s="9">
        <f>'Otemachi Daily'!F12</f>
        <v>228.8</v>
      </c>
      <c r="H9" s="34">
        <f>[1]見込!$M$23</f>
        <v>163.14023183150999</v>
      </c>
      <c r="I9" s="9">
        <f>'Otemachi Daily'!H12</f>
        <v>5330.4263999999994</v>
      </c>
      <c r="J9" s="34">
        <f>[2]Sheet1!$V$4</f>
        <v>44.015901130508517</v>
      </c>
      <c r="K9" s="9">
        <f>'Otemachi Daily'!J12</f>
        <v>18329.688480000001</v>
      </c>
      <c r="L9" s="34">
        <f>[2]Sheet1!$AE$4</f>
        <v>27.111589574411145</v>
      </c>
      <c r="M9" s="9">
        <f>'Otemachi Daily'!L12</f>
        <v>168</v>
      </c>
      <c r="N9" s="34">
        <v>741</v>
      </c>
      <c r="O9" s="9">
        <f>'Otemachi Daily'!M12</f>
        <v>142</v>
      </c>
      <c r="P9" s="9">
        <f>'Otemachi Daily'!N12</f>
        <v>240</v>
      </c>
    </row>
    <row r="10" spans="1:16" ht="15">
      <c r="A10" s="6" t="s">
        <v>22</v>
      </c>
      <c r="B10" s="7">
        <f t="shared" si="0"/>
        <v>9</v>
      </c>
      <c r="C10" s="8">
        <v>3</v>
      </c>
      <c r="D10" s="7">
        <v>2023</v>
      </c>
      <c r="E10" s="9">
        <f>'Otemachi Daily'!D13</f>
        <v>14668</v>
      </c>
      <c r="F10" s="34">
        <f>[1]見込!$G$3</f>
        <v>36</v>
      </c>
      <c r="G10" s="9">
        <f>'Otemachi Daily'!F13</f>
        <v>200.4</v>
      </c>
      <c r="H10" s="34">
        <f>[1]見込!$M$23</f>
        <v>163.14023183150999</v>
      </c>
      <c r="I10" s="9">
        <f>'Otemachi Daily'!H13</f>
        <v>4778.7156000000004</v>
      </c>
      <c r="J10" s="34">
        <f>[2]Sheet1!$V$4</f>
        <v>44.015901130508517</v>
      </c>
      <c r="K10" s="9">
        <f>'Otemachi Daily'!J13</f>
        <v>15629.639159999999</v>
      </c>
      <c r="L10" s="34">
        <f>[2]Sheet1!$AE$4</f>
        <v>27.111589574411145</v>
      </c>
      <c r="M10" s="9">
        <f>'Otemachi Daily'!L13</f>
        <v>175</v>
      </c>
      <c r="N10" s="34">
        <v>741</v>
      </c>
      <c r="O10" s="9">
        <f>'Otemachi Daily'!M13</f>
        <v>144</v>
      </c>
      <c r="P10" s="9">
        <f>'Otemachi Daily'!N13</f>
        <v>254</v>
      </c>
    </row>
    <row r="11" spans="1:16" ht="15">
      <c r="A11" s="6" t="s">
        <v>22</v>
      </c>
      <c r="B11" s="7">
        <f t="shared" si="0"/>
        <v>10</v>
      </c>
      <c r="C11" s="8">
        <v>3</v>
      </c>
      <c r="D11" s="7">
        <v>2023</v>
      </c>
      <c r="E11" s="9">
        <f>'Otemachi Daily'!D14</f>
        <v>14604</v>
      </c>
      <c r="F11" s="34">
        <f>[1]見込!$G$3</f>
        <v>36</v>
      </c>
      <c r="G11" s="9">
        <f>'Otemachi Daily'!F14</f>
        <v>202.6</v>
      </c>
      <c r="H11" s="34">
        <f>[1]見込!$M$23</f>
        <v>163.14023183150999</v>
      </c>
      <c r="I11" s="9">
        <f>'Otemachi Daily'!H14</f>
        <v>5792.1299999999992</v>
      </c>
      <c r="J11" s="34">
        <f>[2]Sheet1!$V$4</f>
        <v>44.015901130508517</v>
      </c>
      <c r="K11" s="9">
        <f>'Otemachi Daily'!J14</f>
        <v>13497.940859999999</v>
      </c>
      <c r="L11" s="34">
        <f>[2]Sheet1!$AE$4</f>
        <v>27.111589574411145</v>
      </c>
      <c r="M11" s="9">
        <f>'Otemachi Daily'!L14</f>
        <v>156</v>
      </c>
      <c r="N11" s="34">
        <v>741</v>
      </c>
      <c r="O11" s="9">
        <f>'Otemachi Daily'!M14</f>
        <v>151</v>
      </c>
      <c r="P11" s="9">
        <f>'Otemachi Daily'!N14</f>
        <v>268</v>
      </c>
    </row>
    <row r="12" spans="1:16" ht="15">
      <c r="A12" s="6" t="s">
        <v>22</v>
      </c>
      <c r="B12" s="7">
        <f t="shared" si="0"/>
        <v>11</v>
      </c>
      <c r="C12" s="8">
        <v>3</v>
      </c>
      <c r="D12" s="7">
        <v>2023</v>
      </c>
      <c r="E12" s="9">
        <f>'Otemachi Daily'!D15</f>
        <v>15034</v>
      </c>
      <c r="F12" s="34">
        <f>[1]見込!$G$3</f>
        <v>36</v>
      </c>
      <c r="G12" s="9">
        <f>'Otemachi Daily'!F15</f>
        <v>211.9</v>
      </c>
      <c r="H12" s="34">
        <f>[1]見込!$M$23</f>
        <v>163.14023183150999</v>
      </c>
      <c r="I12" s="9">
        <f>'Otemachi Daily'!H15</f>
        <v>5446.2690000000002</v>
      </c>
      <c r="J12" s="34">
        <f>[2]Sheet1!$V$4</f>
        <v>44.015901130508517</v>
      </c>
      <c r="K12" s="9">
        <f>'Otemachi Daily'!J15</f>
        <v>18832.78428</v>
      </c>
      <c r="L12" s="34">
        <f>[2]Sheet1!$AE$4</f>
        <v>27.111589574411145</v>
      </c>
      <c r="M12" s="9">
        <f>'Otemachi Daily'!L15</f>
        <v>199</v>
      </c>
      <c r="N12" s="34">
        <v>741</v>
      </c>
      <c r="O12" s="9">
        <f>'Otemachi Daily'!M15</f>
        <v>167</v>
      </c>
      <c r="P12" s="9">
        <f>'Otemachi Daily'!N15</f>
        <v>319</v>
      </c>
    </row>
    <row r="13" spans="1:16" ht="15">
      <c r="A13" s="6" t="s">
        <v>22</v>
      </c>
      <c r="B13" s="7">
        <f t="shared" si="0"/>
        <v>12</v>
      </c>
      <c r="C13" s="8">
        <v>3</v>
      </c>
      <c r="D13" s="7">
        <v>2023</v>
      </c>
      <c r="E13" s="9">
        <f>'Otemachi Daily'!D16</f>
        <v>15208</v>
      </c>
      <c r="F13" s="34">
        <f>[1]見込!$G$3</f>
        <v>36</v>
      </c>
      <c r="G13" s="9">
        <f>'Otemachi Daily'!F16</f>
        <v>216.6</v>
      </c>
      <c r="H13" s="34">
        <f>[1]見込!$M$23</f>
        <v>163.14023183150999</v>
      </c>
      <c r="I13" s="9">
        <f>'Otemachi Daily'!H16</f>
        <v>4525.9175999999998</v>
      </c>
      <c r="J13" s="34">
        <f>[2]Sheet1!$V$4</f>
        <v>44.015901130508517</v>
      </c>
      <c r="K13" s="9">
        <f>'Otemachi Daily'!J16</f>
        <v>17831.509740000001</v>
      </c>
      <c r="L13" s="34">
        <f>[2]Sheet1!$AE$4</f>
        <v>27.111589574411145</v>
      </c>
      <c r="M13" s="9">
        <f>'Otemachi Daily'!L16</f>
        <v>207</v>
      </c>
      <c r="N13" s="34">
        <v>741</v>
      </c>
      <c r="O13" s="9">
        <f>'Otemachi Daily'!M16</f>
        <v>167</v>
      </c>
      <c r="P13" s="9">
        <f>'Otemachi Daily'!N16</f>
        <v>410</v>
      </c>
    </row>
    <row r="14" spans="1:16" ht="15">
      <c r="A14" s="6" t="s">
        <v>22</v>
      </c>
      <c r="B14" s="7">
        <f t="shared" si="0"/>
        <v>13</v>
      </c>
      <c r="C14" s="8">
        <v>3</v>
      </c>
      <c r="D14" s="7">
        <v>2023</v>
      </c>
      <c r="E14" s="9">
        <f>'Otemachi Daily'!D17</f>
        <v>14533</v>
      </c>
      <c r="F14" s="34">
        <f>[1]見込!$G$3</f>
        <v>36</v>
      </c>
      <c r="G14" s="9">
        <f>'Otemachi Daily'!F17</f>
        <v>199.4</v>
      </c>
      <c r="H14" s="34">
        <f>[1]見込!$M$23</f>
        <v>163.14023183150999</v>
      </c>
      <c r="I14" s="9">
        <f>'Otemachi Daily'!H17</f>
        <v>4115.3292000000001</v>
      </c>
      <c r="J14" s="34">
        <f>[2]Sheet1!$V$4</f>
        <v>44.015901130508517</v>
      </c>
      <c r="K14" s="9">
        <f>'Otemachi Daily'!J17</f>
        <v>16546.07358</v>
      </c>
      <c r="L14" s="34">
        <f>[2]Sheet1!$AE$4</f>
        <v>27.111589574411145</v>
      </c>
      <c r="M14" s="9">
        <f>'Otemachi Daily'!L17</f>
        <v>179</v>
      </c>
      <c r="N14" s="34">
        <v>741</v>
      </c>
      <c r="O14" s="9">
        <f>'Otemachi Daily'!M17</f>
        <v>163</v>
      </c>
      <c r="P14" s="9">
        <f>'Otemachi Daily'!N17</f>
        <v>310</v>
      </c>
    </row>
    <row r="15" spans="1:16" ht="15">
      <c r="A15" s="6" t="s">
        <v>22</v>
      </c>
      <c r="B15" s="7">
        <f t="shared" si="0"/>
        <v>14</v>
      </c>
      <c r="C15" s="8">
        <v>3</v>
      </c>
      <c r="D15" s="7">
        <v>2023</v>
      </c>
      <c r="E15" s="9">
        <f>'Otemachi Daily'!D18</f>
        <v>15294</v>
      </c>
      <c r="F15" s="34">
        <f>[1]見込!$G$3</f>
        <v>36</v>
      </c>
      <c r="G15" s="9">
        <f>'Otemachi Daily'!F18</f>
        <v>230</v>
      </c>
      <c r="H15" s="34">
        <f>[1]見込!$M$23</f>
        <v>163.14023183150999</v>
      </c>
      <c r="I15" s="9">
        <f>'Otemachi Daily'!H18</f>
        <v>4099.4946</v>
      </c>
      <c r="J15" s="34">
        <f>[2]Sheet1!$V$4</f>
        <v>44.015901130508517</v>
      </c>
      <c r="K15" s="9">
        <f>'Otemachi Daily'!J18</f>
        <v>24332.224199999997</v>
      </c>
      <c r="L15" s="34">
        <f>[2]Sheet1!$AE$4</f>
        <v>27.111589574411145</v>
      </c>
      <c r="M15" s="9">
        <f>'Otemachi Daily'!L18</f>
        <v>193</v>
      </c>
      <c r="N15" s="34">
        <v>741</v>
      </c>
      <c r="O15" s="9">
        <f>'Otemachi Daily'!M18</f>
        <v>168</v>
      </c>
      <c r="P15" s="9">
        <f>'Otemachi Daily'!N18</f>
        <v>316</v>
      </c>
    </row>
    <row r="16" spans="1:16" ht="15">
      <c r="A16" s="6" t="s">
        <v>22</v>
      </c>
      <c r="B16" s="7">
        <f t="shared" si="0"/>
        <v>15</v>
      </c>
      <c r="C16" s="8">
        <v>3</v>
      </c>
      <c r="D16" s="7">
        <v>2023</v>
      </c>
      <c r="E16" s="9">
        <f>'Otemachi Daily'!D19</f>
        <v>14992</v>
      </c>
      <c r="F16" s="34">
        <f>[1]見込!$G$3</f>
        <v>36</v>
      </c>
      <c r="G16" s="9">
        <f>'Otemachi Daily'!F19</f>
        <v>213.3</v>
      </c>
      <c r="H16" s="34">
        <f>[1]見込!$M$23</f>
        <v>163.14023183150999</v>
      </c>
      <c r="I16" s="9">
        <f>'Otemachi Daily'!H19</f>
        <v>4865.3891999999996</v>
      </c>
      <c r="J16" s="34">
        <f>[2]Sheet1!$V$4</f>
        <v>44.015901130508517</v>
      </c>
      <c r="K16" s="9">
        <f>'Otemachi Daily'!J19</f>
        <v>19937.900460000001</v>
      </c>
      <c r="L16" s="34">
        <f>[2]Sheet1!$AE$4</f>
        <v>27.111589574411145</v>
      </c>
      <c r="M16" s="9">
        <f>'Otemachi Daily'!L19</f>
        <v>176</v>
      </c>
      <c r="N16" s="34">
        <v>741</v>
      </c>
      <c r="O16" s="9">
        <f>'Otemachi Daily'!M19</f>
        <v>178</v>
      </c>
      <c r="P16" s="9">
        <f>'Otemachi Daily'!N19</f>
        <v>321</v>
      </c>
    </row>
    <row r="17" spans="1:16" ht="15">
      <c r="A17" s="6" t="s">
        <v>22</v>
      </c>
      <c r="B17" s="7">
        <f t="shared" si="0"/>
        <v>16</v>
      </c>
      <c r="C17" s="8">
        <v>3</v>
      </c>
      <c r="D17" s="7">
        <v>2023</v>
      </c>
      <c r="E17" s="9">
        <f>'Otemachi Daily'!D20</f>
        <v>0</v>
      </c>
      <c r="F17" s="34">
        <f>[1]見込!$G$3</f>
        <v>36</v>
      </c>
      <c r="G17" s="9">
        <f>'Otemachi Daily'!F20</f>
        <v>0</v>
      </c>
      <c r="H17" s="34">
        <f>[1]見込!$M$23</f>
        <v>163.14023183150999</v>
      </c>
      <c r="I17" s="9">
        <f>'Otemachi Daily'!H20</f>
        <v>0</v>
      </c>
      <c r="J17" s="34">
        <f>[2]Sheet1!$V$4</f>
        <v>44.015901130508517</v>
      </c>
      <c r="K17" s="9">
        <f>'Otemachi Daily'!J20</f>
        <v>0</v>
      </c>
      <c r="L17" s="34">
        <f>[2]Sheet1!$AE$4</f>
        <v>27.111589574411145</v>
      </c>
      <c r="M17" s="9">
        <f>'Otemachi Daily'!L20</f>
        <v>0</v>
      </c>
      <c r="N17" s="34">
        <v>741</v>
      </c>
      <c r="O17" s="9">
        <f>'Otemachi Daily'!M20</f>
        <v>177</v>
      </c>
      <c r="P17" s="9">
        <f>'Otemachi Daily'!N20</f>
        <v>309</v>
      </c>
    </row>
    <row r="18" spans="1:16" ht="15">
      <c r="A18" s="6" t="s">
        <v>22</v>
      </c>
      <c r="B18" s="7">
        <f t="shared" si="0"/>
        <v>17</v>
      </c>
      <c r="C18" s="8">
        <v>3</v>
      </c>
      <c r="D18" s="7">
        <v>2023</v>
      </c>
      <c r="E18" s="9">
        <f>'Otemachi Daily'!D21</f>
        <v>0</v>
      </c>
      <c r="F18" s="34">
        <f>[1]見込!$G$3</f>
        <v>36</v>
      </c>
      <c r="G18" s="9">
        <f>'Otemachi Daily'!F21</f>
        <v>0</v>
      </c>
      <c r="H18" s="34">
        <f>[1]見込!$M$23</f>
        <v>163.14023183150999</v>
      </c>
      <c r="I18" s="9">
        <f>'Otemachi Daily'!H21</f>
        <v>0</v>
      </c>
      <c r="J18" s="34">
        <f>[2]Sheet1!$V$4</f>
        <v>44.015901130508517</v>
      </c>
      <c r="K18" s="9">
        <f>'Otemachi Daily'!J21</f>
        <v>0</v>
      </c>
      <c r="L18" s="34">
        <f>[2]Sheet1!$AE$4</f>
        <v>27.111589574411145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3</v>
      </c>
      <c r="D19" s="7">
        <v>2023</v>
      </c>
      <c r="E19" s="9">
        <f>'Otemachi Daily'!D22</f>
        <v>0</v>
      </c>
      <c r="F19" s="34">
        <f>[1]見込!$G$3</f>
        <v>36</v>
      </c>
      <c r="G19" s="9">
        <f>'Otemachi Daily'!F22</f>
        <v>0</v>
      </c>
      <c r="H19" s="34">
        <f>[1]見込!$M$23</f>
        <v>163.14023183150999</v>
      </c>
      <c r="I19" s="9">
        <f>'Otemachi Daily'!H22</f>
        <v>0</v>
      </c>
      <c r="J19" s="34">
        <f>[2]Sheet1!$V$4</f>
        <v>44.015901130508517</v>
      </c>
      <c r="K19" s="9">
        <f>'Otemachi Daily'!J22</f>
        <v>0</v>
      </c>
      <c r="L19" s="34">
        <f>[2]Sheet1!$AE$4</f>
        <v>27.111589574411145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3</v>
      </c>
      <c r="D20" s="7">
        <v>2023</v>
      </c>
      <c r="E20" s="9">
        <f>'Otemachi Daily'!D23</f>
        <v>0</v>
      </c>
      <c r="F20" s="34">
        <f>[1]見込!$G$3</f>
        <v>36</v>
      </c>
      <c r="G20" s="9">
        <f>'Otemachi Daily'!F23</f>
        <v>0</v>
      </c>
      <c r="H20" s="34">
        <f>[1]見込!$M$23</f>
        <v>163.14023183150999</v>
      </c>
      <c r="I20" s="9">
        <f>'Otemachi Daily'!H23</f>
        <v>0</v>
      </c>
      <c r="J20" s="34">
        <f>[2]Sheet1!$V$4</f>
        <v>44.015901130508517</v>
      </c>
      <c r="K20" s="9">
        <f>'Otemachi Daily'!J23</f>
        <v>0</v>
      </c>
      <c r="L20" s="34">
        <f>[2]Sheet1!$AE$4</f>
        <v>27.111589574411145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3</v>
      </c>
      <c r="D21" s="7">
        <v>2023</v>
      </c>
      <c r="E21" s="9">
        <f>'Otemachi Daily'!D24</f>
        <v>0</v>
      </c>
      <c r="F21" s="34">
        <f>[1]見込!$G$3</f>
        <v>36</v>
      </c>
      <c r="G21" s="9">
        <f>'Otemachi Daily'!F24</f>
        <v>0</v>
      </c>
      <c r="H21" s="34">
        <f>[1]見込!$M$23</f>
        <v>163.14023183150999</v>
      </c>
      <c r="I21" s="9">
        <f>'Otemachi Daily'!H24</f>
        <v>0</v>
      </c>
      <c r="J21" s="34">
        <f>[2]Sheet1!$V$4</f>
        <v>44.015901130508517</v>
      </c>
      <c r="K21" s="9">
        <f>'Otemachi Daily'!J24</f>
        <v>0</v>
      </c>
      <c r="L21" s="34">
        <f>[2]Sheet1!$AE$4</f>
        <v>27.111589574411145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3</v>
      </c>
      <c r="D22" s="7">
        <v>2023</v>
      </c>
      <c r="E22" s="9">
        <f>'Otemachi Daily'!D25</f>
        <v>0</v>
      </c>
      <c r="F22" s="34">
        <f>[1]見込!$G$3</f>
        <v>36</v>
      </c>
      <c r="G22" s="9">
        <f>'Otemachi Daily'!F25</f>
        <v>0</v>
      </c>
      <c r="H22" s="34">
        <f>[1]見込!$M$23</f>
        <v>163.14023183150999</v>
      </c>
      <c r="I22" s="9">
        <f>'Otemachi Daily'!H25</f>
        <v>0</v>
      </c>
      <c r="J22" s="34">
        <f>[2]Sheet1!$V$4</f>
        <v>44.015901130508517</v>
      </c>
      <c r="K22" s="9">
        <f>'Otemachi Daily'!J25</f>
        <v>0</v>
      </c>
      <c r="L22" s="34">
        <f>[2]Sheet1!$AE$4</f>
        <v>27.111589574411145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3</v>
      </c>
      <c r="D23" s="7">
        <v>2023</v>
      </c>
      <c r="E23" s="9">
        <f>'Otemachi Daily'!D26</f>
        <v>0</v>
      </c>
      <c r="F23" s="34">
        <f>[1]見込!$G$3</f>
        <v>36</v>
      </c>
      <c r="G23" s="9">
        <f>'Otemachi Daily'!F26</f>
        <v>0</v>
      </c>
      <c r="H23" s="34">
        <f>[1]見込!$M$23</f>
        <v>163.14023183150999</v>
      </c>
      <c r="I23" s="9">
        <f>'Otemachi Daily'!H26</f>
        <v>0</v>
      </c>
      <c r="J23" s="34">
        <f>[2]Sheet1!$V$4</f>
        <v>44.015901130508517</v>
      </c>
      <c r="K23" s="9">
        <f>'Otemachi Daily'!J26</f>
        <v>0</v>
      </c>
      <c r="L23" s="34">
        <f>[2]Sheet1!$AE$4</f>
        <v>27.111589574411145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3</v>
      </c>
      <c r="D24" s="7">
        <v>2023</v>
      </c>
      <c r="E24" s="9">
        <f>'Otemachi Daily'!D27</f>
        <v>0</v>
      </c>
      <c r="F24" s="34">
        <f>[1]見込!$G$3</f>
        <v>36</v>
      </c>
      <c r="G24" s="9">
        <f>'Otemachi Daily'!F27</f>
        <v>0</v>
      </c>
      <c r="H24" s="34">
        <f>[1]見込!$M$23</f>
        <v>163.14023183150999</v>
      </c>
      <c r="I24" s="9">
        <f>'Otemachi Daily'!H27</f>
        <v>0</v>
      </c>
      <c r="J24" s="34">
        <f>[2]Sheet1!$V$4</f>
        <v>44.015901130508517</v>
      </c>
      <c r="K24" s="9">
        <f>'Otemachi Daily'!J27</f>
        <v>0</v>
      </c>
      <c r="L24" s="34">
        <f>[2]Sheet1!$AE$4</f>
        <v>27.111589574411145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3</v>
      </c>
      <c r="D25" s="7">
        <v>2023</v>
      </c>
      <c r="E25" s="9">
        <f>'Otemachi Daily'!D28</f>
        <v>0</v>
      </c>
      <c r="F25" s="34">
        <f>[1]見込!$G$3</f>
        <v>36</v>
      </c>
      <c r="G25" s="9">
        <f>'Otemachi Daily'!F28</f>
        <v>0</v>
      </c>
      <c r="H25" s="34">
        <f>[1]見込!$M$23</f>
        <v>163.14023183150999</v>
      </c>
      <c r="I25" s="9">
        <f>'Otemachi Daily'!H28</f>
        <v>0</v>
      </c>
      <c r="J25" s="34">
        <f>[2]Sheet1!$V$4</f>
        <v>44.015901130508517</v>
      </c>
      <c r="K25" s="9">
        <f>'Otemachi Daily'!J28</f>
        <v>0</v>
      </c>
      <c r="L25" s="34">
        <f>[2]Sheet1!$AE$4</f>
        <v>27.111589574411145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3</v>
      </c>
      <c r="D26" s="7">
        <v>2023</v>
      </c>
      <c r="E26" s="9">
        <f>'Otemachi Daily'!D29</f>
        <v>0</v>
      </c>
      <c r="F26" s="34">
        <f>[1]見込!$G$3</f>
        <v>36</v>
      </c>
      <c r="G26" s="9">
        <f>'Otemachi Daily'!F29</f>
        <v>0</v>
      </c>
      <c r="H26" s="34">
        <f>[1]見込!$M$23</f>
        <v>163.14023183150999</v>
      </c>
      <c r="I26" s="9">
        <f>'Otemachi Daily'!H29</f>
        <v>0</v>
      </c>
      <c r="J26" s="34">
        <f>[2]Sheet1!$V$4</f>
        <v>44.015901130508517</v>
      </c>
      <c r="K26" s="9">
        <f>'Otemachi Daily'!J29</f>
        <v>0</v>
      </c>
      <c r="L26" s="34">
        <f>[2]Sheet1!$AE$4</f>
        <v>27.111589574411145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3</v>
      </c>
      <c r="D27" s="7">
        <v>2023</v>
      </c>
      <c r="E27" s="9">
        <f>'Otemachi Daily'!D30</f>
        <v>0</v>
      </c>
      <c r="F27" s="34">
        <f>[1]見込!$G$3</f>
        <v>36</v>
      </c>
      <c r="G27" s="9">
        <f>'Otemachi Daily'!F30</f>
        <v>0</v>
      </c>
      <c r="H27" s="34">
        <f>[1]見込!$M$23</f>
        <v>163.14023183150999</v>
      </c>
      <c r="I27" s="9">
        <f>'Otemachi Daily'!H30</f>
        <v>0</v>
      </c>
      <c r="J27" s="34">
        <f>[2]Sheet1!$V$4</f>
        <v>44.015901130508517</v>
      </c>
      <c r="K27" s="9">
        <f>'Otemachi Daily'!J30</f>
        <v>0</v>
      </c>
      <c r="L27" s="34">
        <f>[2]Sheet1!$AE$4</f>
        <v>27.111589574411145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3</v>
      </c>
      <c r="D28" s="7">
        <v>2023</v>
      </c>
      <c r="E28" s="9">
        <f>'Otemachi Daily'!D31</f>
        <v>0</v>
      </c>
      <c r="F28" s="34">
        <f>[1]見込!$G$3</f>
        <v>36</v>
      </c>
      <c r="G28" s="9">
        <f>'Otemachi Daily'!F31</f>
        <v>0</v>
      </c>
      <c r="H28" s="34">
        <f>[1]見込!$M$23</f>
        <v>163.14023183150999</v>
      </c>
      <c r="I28" s="9">
        <f>'Otemachi Daily'!H31</f>
        <v>0</v>
      </c>
      <c r="J28" s="34">
        <f>[2]Sheet1!$V$4</f>
        <v>44.015901130508517</v>
      </c>
      <c r="K28" s="9">
        <f>'Otemachi Daily'!J31</f>
        <v>0</v>
      </c>
      <c r="L28" s="34">
        <f>[2]Sheet1!$AE$4</f>
        <v>27.111589574411145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3</v>
      </c>
      <c r="D29" s="7">
        <v>2023</v>
      </c>
      <c r="E29" s="9">
        <f>'Otemachi Daily'!D32</f>
        <v>0</v>
      </c>
      <c r="F29" s="34">
        <f>[1]見込!$G$3</f>
        <v>36</v>
      </c>
      <c r="G29" s="9">
        <f>'Otemachi Daily'!F32</f>
        <v>0</v>
      </c>
      <c r="H29" s="34">
        <f>[1]見込!$M$23</f>
        <v>163.14023183150999</v>
      </c>
      <c r="I29" s="9">
        <f>'Otemachi Daily'!H32</f>
        <v>0</v>
      </c>
      <c r="J29" s="34">
        <f>[2]Sheet1!$V$4</f>
        <v>44.015901130508517</v>
      </c>
      <c r="K29" s="9">
        <f>'Otemachi Daily'!J32</f>
        <v>0</v>
      </c>
      <c r="L29" s="34">
        <f>[2]Sheet1!$AE$4</f>
        <v>27.111589574411145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3</v>
      </c>
      <c r="D30" s="7">
        <v>2023</v>
      </c>
      <c r="E30" s="9">
        <f>'Otemachi Daily'!D33</f>
        <v>0</v>
      </c>
      <c r="F30" s="34">
        <f>[1]見込!$G$3</f>
        <v>36</v>
      </c>
      <c r="G30" s="9">
        <f>'Otemachi Daily'!F33</f>
        <v>0</v>
      </c>
      <c r="H30" s="34">
        <f>[1]見込!$M$23</f>
        <v>163.14023183150999</v>
      </c>
      <c r="I30" s="9">
        <f>'Otemachi Daily'!H33</f>
        <v>0</v>
      </c>
      <c r="J30" s="34">
        <f>[2]Sheet1!$V$4</f>
        <v>44.015901130508517</v>
      </c>
      <c r="K30" s="9">
        <f>'Otemachi Daily'!J33</f>
        <v>0</v>
      </c>
      <c r="L30" s="34">
        <f>[2]Sheet1!$AE$4</f>
        <v>27.111589574411145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3</v>
      </c>
      <c r="D31" s="7">
        <v>2023</v>
      </c>
      <c r="E31" s="9">
        <f>'Otemachi Daily'!D34</f>
        <v>0</v>
      </c>
      <c r="F31" s="34">
        <f>[1]見込!$G$3</f>
        <v>36</v>
      </c>
      <c r="G31" s="9">
        <f>'Otemachi Daily'!F34</f>
        <v>0</v>
      </c>
      <c r="H31" s="34">
        <f>[1]見込!$M$23</f>
        <v>163.14023183150999</v>
      </c>
      <c r="I31" s="9">
        <f>'Otemachi Daily'!H34</f>
        <v>0</v>
      </c>
      <c r="J31" s="34">
        <f>[2]Sheet1!$V$4</f>
        <v>44.015901130508517</v>
      </c>
      <c r="K31" s="9">
        <f>'Otemachi Daily'!J34</f>
        <v>0</v>
      </c>
      <c r="L31" s="34">
        <f>[2]Sheet1!$AE$4</f>
        <v>27.111589574411145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3</v>
      </c>
      <c r="D32" s="7">
        <v>2023</v>
      </c>
      <c r="E32" s="9">
        <f>'Otemachi Daily'!D35</f>
        <v>0</v>
      </c>
      <c r="F32" s="34">
        <f>[1]見込!$G$3</f>
        <v>36</v>
      </c>
      <c r="G32" s="9">
        <f>'Otemachi Daily'!F35</f>
        <v>0</v>
      </c>
      <c r="H32" s="34">
        <f>[1]見込!$M$23</f>
        <v>163.14023183150999</v>
      </c>
      <c r="I32" s="9">
        <f>'Otemachi Daily'!H35</f>
        <v>0</v>
      </c>
      <c r="J32" s="34">
        <f>[2]Sheet1!$V$4</f>
        <v>44.015901130508517</v>
      </c>
      <c r="K32" s="9">
        <f>'Otemachi Daily'!J35</f>
        <v>0</v>
      </c>
      <c r="L32" s="34">
        <f>[2]Sheet1!$AE$4</f>
        <v>27.111589574411145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zoomScale="80" zoomScaleNormal="80" workbookViewId="0">
      <pane xSplit="1" topLeftCell="B1" activePane="topRight" state="frozen"/>
      <selection pane="topRight" activeCell="S9" sqref="S9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44986</v>
      </c>
      <c r="B5" s="39"/>
      <c r="C5" s="35">
        <f>[1]コスト!$G$147</f>
        <v>14896</v>
      </c>
      <c r="D5" s="35">
        <f>C5</f>
        <v>14896</v>
      </c>
      <c r="E5" s="35">
        <f>[1]コスト!$G$23</f>
        <v>211.6</v>
      </c>
      <c r="F5" s="35">
        <f>E5</f>
        <v>211.6</v>
      </c>
      <c r="G5" s="35">
        <f>[1]コスト!$G$115+'[1]1日'!$C$29</f>
        <v>3955.0385999999999</v>
      </c>
      <c r="H5" s="35">
        <f>G5</f>
        <v>3955.0385999999999</v>
      </c>
      <c r="I5" s="35">
        <f>[1]コスト!$G$91+[1]コスト!$G$66</f>
        <v>19690.964039999999</v>
      </c>
      <c r="J5" s="35">
        <f>I5</f>
        <v>19690.964039999999</v>
      </c>
      <c r="K5" s="35">
        <f>[1]コスト!$G$41</f>
        <v>167</v>
      </c>
      <c r="L5" s="35">
        <f>K5</f>
        <v>167</v>
      </c>
      <c r="M5" s="35">
        <f>[1]使用量!$G$387</f>
        <v>163</v>
      </c>
      <c r="N5" s="35">
        <f>[1]使用量!$G$388</f>
        <v>233</v>
      </c>
      <c r="O5" s="26"/>
      <c r="P5" s="37"/>
      <c r="Q5" s="37"/>
    </row>
    <row r="6" spans="1:17" ht="45" customHeight="1">
      <c r="A6" s="28">
        <v>44987</v>
      </c>
      <c r="B6" s="39"/>
      <c r="C6" s="35">
        <f>[1]コスト!$H$147</f>
        <v>14862</v>
      </c>
      <c r="D6" s="35">
        <f t="shared" ref="D6:F35" si="0">C6</f>
        <v>14862</v>
      </c>
      <c r="E6" s="35">
        <f>[1]コスト!$H$23</f>
        <v>219.8</v>
      </c>
      <c r="F6" s="35">
        <f t="shared" si="0"/>
        <v>219.8</v>
      </c>
      <c r="G6" s="35">
        <f>[1]コスト!$H$115+'[1]2日'!$C$29</f>
        <v>4235.8944000000001</v>
      </c>
      <c r="H6" s="35">
        <f t="shared" ref="H6" si="1">G6</f>
        <v>4235.8944000000001</v>
      </c>
      <c r="I6" s="35">
        <f>[1]コスト!$H$91+[1]コスト!$H$66</f>
        <v>21418.685579999998</v>
      </c>
      <c r="J6" s="35">
        <f t="shared" ref="J6" si="2">I6</f>
        <v>21418.685579999998</v>
      </c>
      <c r="K6" s="35">
        <f>[1]コスト!$H$41</f>
        <v>177</v>
      </c>
      <c r="L6" s="35">
        <f t="shared" ref="L6" si="3">K6</f>
        <v>177</v>
      </c>
      <c r="M6" s="35">
        <f>[1]使用量!$H$387</f>
        <v>141</v>
      </c>
      <c r="N6" s="35">
        <f>[1]使用量!$H$388</f>
        <v>227</v>
      </c>
      <c r="O6" s="26"/>
      <c r="P6" s="37"/>
      <c r="Q6" s="37"/>
    </row>
    <row r="7" spans="1:17" ht="45" customHeight="1">
      <c r="A7" s="28">
        <v>44988</v>
      </c>
      <c r="B7" s="39"/>
      <c r="C7" s="35">
        <f>[1]コスト!$I$147</f>
        <v>15325</v>
      </c>
      <c r="D7" s="35">
        <f t="shared" si="0"/>
        <v>15325</v>
      </c>
      <c r="E7" s="35">
        <f>[1]コスト!$I$23</f>
        <v>211.8</v>
      </c>
      <c r="F7" s="35">
        <f t="shared" si="0"/>
        <v>211.8</v>
      </c>
      <c r="G7" s="35">
        <f>[1]コスト!$I$115+'[1]3日'!$C$29</f>
        <v>2979.4049999999997</v>
      </c>
      <c r="H7" s="35">
        <f>G7</f>
        <v>2979.4049999999997</v>
      </c>
      <c r="I7" s="35">
        <f>[1]コスト!$I$91+[1]コスト!$I$66</f>
        <v>28367.852579999999</v>
      </c>
      <c r="J7" s="35">
        <f t="shared" ref="J7" si="4">I7</f>
        <v>28367.852579999999</v>
      </c>
      <c r="K7" s="35">
        <f>[1]コスト!$I$41</f>
        <v>168</v>
      </c>
      <c r="L7" s="35">
        <f t="shared" ref="L7" si="5">K7</f>
        <v>168</v>
      </c>
      <c r="M7" s="35">
        <f>[1]使用量!$I$387</f>
        <v>124</v>
      </c>
      <c r="N7" s="35">
        <f>[1]使用量!$I$388</f>
        <v>234</v>
      </c>
      <c r="P7" s="37"/>
      <c r="Q7" s="37"/>
    </row>
    <row r="8" spans="1:17" ht="45" customHeight="1">
      <c r="A8" s="28">
        <v>44989</v>
      </c>
      <c r="B8" s="39"/>
      <c r="C8" s="35">
        <f>[1]コスト!$J$147</f>
        <v>15075</v>
      </c>
      <c r="D8" s="35">
        <f t="shared" si="0"/>
        <v>15075</v>
      </c>
      <c r="E8" s="35">
        <f>[1]コスト!$J$23</f>
        <v>209.6</v>
      </c>
      <c r="F8" s="35">
        <f t="shared" si="0"/>
        <v>209.6</v>
      </c>
      <c r="G8" s="35">
        <f>[1]コスト!$J$115+'[1]4日'!$C$29</f>
        <v>4372.5720000000001</v>
      </c>
      <c r="H8" s="35">
        <f t="shared" ref="H8" si="6">G8</f>
        <v>4372.5720000000001</v>
      </c>
      <c r="I8" s="35">
        <f>[1]コスト!$J$91+[1]コスト!$J$66</f>
        <v>26873.8164</v>
      </c>
      <c r="J8" s="35">
        <f t="shared" ref="J8" si="7">I8</f>
        <v>26873.8164</v>
      </c>
      <c r="K8" s="35">
        <f>[1]コスト!$J$41</f>
        <v>189</v>
      </c>
      <c r="L8" s="35">
        <f t="shared" ref="L8" si="8">K8</f>
        <v>189</v>
      </c>
      <c r="M8" s="35">
        <f>[1]使用量!$J$387</f>
        <v>140</v>
      </c>
      <c r="N8" s="35">
        <f>[1]使用量!$J$388</f>
        <v>260</v>
      </c>
      <c r="P8" s="37"/>
      <c r="Q8" s="37"/>
    </row>
    <row r="9" spans="1:17" ht="45" customHeight="1">
      <c r="A9" s="28">
        <v>44990</v>
      </c>
      <c r="B9" s="39"/>
      <c r="C9" s="35">
        <f>[1]コスト!$K$147</f>
        <v>15164</v>
      </c>
      <c r="D9" s="35">
        <f t="shared" si="0"/>
        <v>15164</v>
      </c>
      <c r="E9" s="35">
        <f>[1]コスト!$K$23</f>
        <v>225.1</v>
      </c>
      <c r="F9" s="35">
        <f t="shared" si="0"/>
        <v>225.1</v>
      </c>
      <c r="G9" s="35">
        <f>[1]コスト!$K$115+'[1]5日'!$C$29</f>
        <v>3526.3932</v>
      </c>
      <c r="H9" s="35">
        <f t="shared" ref="H9" si="9">G9</f>
        <v>3526.3932</v>
      </c>
      <c r="I9" s="35">
        <f>[1]コスト!$K$91+[1]コスト!$K$66</f>
        <v>27181.646580000001</v>
      </c>
      <c r="J9" s="35">
        <f t="shared" ref="J9" si="10">I9</f>
        <v>27181.646580000001</v>
      </c>
      <c r="K9" s="35">
        <f>[1]コスト!$K$41</f>
        <v>209</v>
      </c>
      <c r="L9" s="35">
        <f t="shared" ref="L9" si="11">K9</f>
        <v>209</v>
      </c>
      <c r="M9" s="35">
        <f>[1]使用量!$K$387</f>
        <v>170</v>
      </c>
      <c r="N9" s="35">
        <f>[1]使用量!$K$388</f>
        <v>292</v>
      </c>
      <c r="P9" s="37"/>
      <c r="Q9" s="37"/>
    </row>
    <row r="10" spans="1:17" ht="45" customHeight="1">
      <c r="A10" s="28">
        <v>44991</v>
      </c>
      <c r="B10" s="39"/>
      <c r="C10" s="35">
        <f>[1]コスト!$L$147</f>
        <v>14584</v>
      </c>
      <c r="D10" s="35">
        <f t="shared" si="0"/>
        <v>14584</v>
      </c>
      <c r="E10" s="35">
        <f>[1]コスト!$L$23</f>
        <v>193.6</v>
      </c>
      <c r="F10" s="35">
        <f t="shared" si="0"/>
        <v>193.6</v>
      </c>
      <c r="G10" s="35">
        <f>[1]コスト!$L$115+'[1]6日'!$C$29</f>
        <v>4065.3252000000002</v>
      </c>
      <c r="H10" s="35">
        <f t="shared" ref="H10" si="12">G10</f>
        <v>4065.3252000000002</v>
      </c>
      <c r="I10" s="35">
        <f>[1]コスト!$L$91+[1]コスト!$L$66</f>
        <v>22841.077140000001</v>
      </c>
      <c r="J10" s="35">
        <f t="shared" ref="J10" si="13">I10</f>
        <v>22841.077140000001</v>
      </c>
      <c r="K10" s="35">
        <f>[1]コスト!$L$41</f>
        <v>176</v>
      </c>
      <c r="L10" s="35">
        <f t="shared" ref="L10" si="14">K10</f>
        <v>176</v>
      </c>
      <c r="M10" s="35">
        <f>[1]使用量!$L$387</f>
        <v>164</v>
      </c>
      <c r="N10" s="35">
        <f>[1]使用量!$L$388</f>
        <v>264</v>
      </c>
      <c r="P10" s="37"/>
      <c r="Q10" s="37"/>
    </row>
    <row r="11" spans="1:17" ht="45" customHeight="1">
      <c r="A11" s="28">
        <v>44992</v>
      </c>
      <c r="B11" s="39"/>
      <c r="C11" s="35">
        <f>[1]コスト!$M$147</f>
        <v>14966</v>
      </c>
      <c r="D11" s="35">
        <f t="shared" si="0"/>
        <v>14966</v>
      </c>
      <c r="E11" s="35">
        <f>[1]コスト!$M$23</f>
        <v>197.2</v>
      </c>
      <c r="F11" s="35">
        <f t="shared" si="0"/>
        <v>197.2</v>
      </c>
      <c r="G11" s="35">
        <f>[1]コスト!$M$115+'[1]7日'!$C$29</f>
        <v>4853.1660000000002</v>
      </c>
      <c r="H11" s="35">
        <f t="shared" ref="H11" si="15">G11</f>
        <v>4853.1660000000002</v>
      </c>
      <c r="I11" s="35">
        <f>[1]コスト!$M$91+[1]コスト!$M$66</f>
        <v>19873.617539999999</v>
      </c>
      <c r="J11" s="35">
        <f t="shared" ref="J11" si="16">I11</f>
        <v>19873.617539999999</v>
      </c>
      <c r="K11" s="35">
        <f>[1]コスト!$M$41</f>
        <v>173</v>
      </c>
      <c r="L11" s="35">
        <f t="shared" ref="L11" si="17">K11</f>
        <v>173</v>
      </c>
      <c r="M11" s="35">
        <f>[1]使用量!$M$387</f>
        <v>154</v>
      </c>
      <c r="N11" s="35">
        <f>[1]使用量!$M$388</f>
        <v>256</v>
      </c>
      <c r="P11" s="37"/>
      <c r="Q11" s="37"/>
    </row>
    <row r="12" spans="1:17" ht="45" customHeight="1">
      <c r="A12" s="28">
        <v>44993</v>
      </c>
      <c r="B12" s="39"/>
      <c r="C12" s="35">
        <f>[1]コスト!$N$147</f>
        <v>15283</v>
      </c>
      <c r="D12" s="35">
        <f t="shared" si="0"/>
        <v>15283</v>
      </c>
      <c r="E12" s="35">
        <f>[1]コスト!$N$23</f>
        <v>228.8</v>
      </c>
      <c r="F12" s="35">
        <f t="shared" si="0"/>
        <v>228.8</v>
      </c>
      <c r="G12" s="35">
        <f>[1]コスト!$N$115+'[1]8日'!$C$29</f>
        <v>5330.4263999999994</v>
      </c>
      <c r="H12" s="35">
        <f t="shared" ref="H12" si="18">G12</f>
        <v>5330.4263999999994</v>
      </c>
      <c r="I12" s="35">
        <f>[1]コスト!$N$91+[1]コスト!$N$66</f>
        <v>18329.688480000001</v>
      </c>
      <c r="J12" s="35">
        <f t="shared" ref="J12" si="19">I12</f>
        <v>18329.688480000001</v>
      </c>
      <c r="K12" s="35">
        <f>[1]コスト!$N$41</f>
        <v>168</v>
      </c>
      <c r="L12" s="35">
        <f t="shared" ref="L12" si="20">K12</f>
        <v>168</v>
      </c>
      <c r="M12" s="35">
        <f>[1]使用量!$N$387</f>
        <v>142</v>
      </c>
      <c r="N12" s="35">
        <f>[1]使用量!$N$388</f>
        <v>240</v>
      </c>
      <c r="P12" s="37"/>
      <c r="Q12" s="37"/>
    </row>
    <row r="13" spans="1:17" ht="45" customHeight="1">
      <c r="A13" s="28">
        <v>44994</v>
      </c>
      <c r="B13" s="39"/>
      <c r="C13" s="35">
        <f>[1]コスト!$O$147</f>
        <v>14668</v>
      </c>
      <c r="D13" s="35">
        <f t="shared" si="0"/>
        <v>14668</v>
      </c>
      <c r="E13" s="35">
        <f>[1]コスト!$O$23</f>
        <v>200.4</v>
      </c>
      <c r="F13" s="35">
        <f t="shared" si="0"/>
        <v>200.4</v>
      </c>
      <c r="G13" s="35">
        <f>[1]コスト!$O$115+'[1]9日'!$C$29</f>
        <v>4778.7156000000004</v>
      </c>
      <c r="H13" s="35">
        <f t="shared" ref="H13" si="21">G13</f>
        <v>4778.7156000000004</v>
      </c>
      <c r="I13" s="35">
        <f>[1]コスト!$O$91+[1]コスト!$O$66</f>
        <v>15629.639159999999</v>
      </c>
      <c r="J13" s="35">
        <f t="shared" ref="J13" si="22">I13</f>
        <v>15629.639159999999</v>
      </c>
      <c r="K13" s="35">
        <f>[1]コスト!$O$41</f>
        <v>175</v>
      </c>
      <c r="L13" s="35">
        <f t="shared" ref="L13" si="23">K13</f>
        <v>175</v>
      </c>
      <c r="M13" s="35">
        <f>[1]使用量!$O$387</f>
        <v>144</v>
      </c>
      <c r="N13" s="35">
        <f>[1]使用量!$O$388</f>
        <v>254</v>
      </c>
      <c r="P13" s="37"/>
      <c r="Q13" s="37"/>
    </row>
    <row r="14" spans="1:17" ht="45" customHeight="1">
      <c r="A14" s="28">
        <v>44995</v>
      </c>
      <c r="B14" s="39"/>
      <c r="C14" s="35">
        <f>[1]コスト!$P$147</f>
        <v>14604</v>
      </c>
      <c r="D14" s="35">
        <f t="shared" si="0"/>
        <v>14604</v>
      </c>
      <c r="E14" s="35">
        <f>[1]コスト!$P$23</f>
        <v>202.6</v>
      </c>
      <c r="F14" s="35">
        <f t="shared" si="0"/>
        <v>202.6</v>
      </c>
      <c r="G14" s="35">
        <f>[1]コスト!$P$115+'[1]10日'!$C$29</f>
        <v>5792.1299999999992</v>
      </c>
      <c r="H14" s="35">
        <f t="shared" ref="H14" si="24">G14</f>
        <v>5792.1299999999992</v>
      </c>
      <c r="I14" s="35">
        <f>[1]コスト!$P$91+[1]コスト!$P$66</f>
        <v>13497.940859999999</v>
      </c>
      <c r="J14" s="35">
        <f t="shared" ref="J14" si="25">I14</f>
        <v>13497.940859999999</v>
      </c>
      <c r="K14" s="35">
        <f>[1]コスト!$P$41</f>
        <v>156</v>
      </c>
      <c r="L14" s="35">
        <f t="shared" ref="L14" si="26">K14</f>
        <v>156</v>
      </c>
      <c r="M14" s="35">
        <f>[1]使用量!$P$387</f>
        <v>151</v>
      </c>
      <c r="N14" s="35">
        <f>[1]使用量!$P$388</f>
        <v>268</v>
      </c>
      <c r="P14" s="37"/>
      <c r="Q14" s="37"/>
    </row>
    <row r="15" spans="1:17" ht="45" customHeight="1">
      <c r="A15" s="28">
        <v>44996</v>
      </c>
      <c r="B15" s="39"/>
      <c r="C15" s="35">
        <f>[1]コスト!$Q$147</f>
        <v>15034</v>
      </c>
      <c r="D15" s="35">
        <f t="shared" si="0"/>
        <v>15034</v>
      </c>
      <c r="E15" s="35">
        <f>[1]コスト!$Q$23</f>
        <v>211.9</v>
      </c>
      <c r="F15" s="35">
        <f t="shared" si="0"/>
        <v>211.9</v>
      </c>
      <c r="G15" s="35">
        <f>[1]コスト!$Q$115+'[1]11日'!$C$29</f>
        <v>5446.2690000000002</v>
      </c>
      <c r="H15" s="35">
        <f t="shared" ref="H15" si="27">G15</f>
        <v>5446.2690000000002</v>
      </c>
      <c r="I15" s="35">
        <f>[1]コスト!$Q$91+[1]コスト!$Q$66</f>
        <v>18832.78428</v>
      </c>
      <c r="J15" s="35">
        <f t="shared" ref="J15" si="28">I15</f>
        <v>18832.78428</v>
      </c>
      <c r="K15" s="35">
        <f>[1]コスト!$Q$41</f>
        <v>199</v>
      </c>
      <c r="L15" s="35">
        <f t="shared" ref="L15" si="29">K15</f>
        <v>199</v>
      </c>
      <c r="M15" s="35">
        <f>[1]使用量!$Q$387</f>
        <v>167</v>
      </c>
      <c r="N15" s="35">
        <f>[1]使用量!$Q$388</f>
        <v>319</v>
      </c>
      <c r="P15" s="37"/>
      <c r="Q15" s="37"/>
    </row>
    <row r="16" spans="1:17" ht="45" customHeight="1">
      <c r="A16" s="28">
        <v>44997</v>
      </c>
      <c r="B16" s="39"/>
      <c r="C16" s="35">
        <f>[1]コスト!$R$147</f>
        <v>15208</v>
      </c>
      <c r="D16" s="35">
        <f t="shared" si="0"/>
        <v>15208</v>
      </c>
      <c r="E16" s="35">
        <f>[1]コスト!$R$23</f>
        <v>216.6</v>
      </c>
      <c r="F16" s="35">
        <f t="shared" si="0"/>
        <v>216.6</v>
      </c>
      <c r="G16" s="35">
        <f>[1]コスト!$R$115+'[1]12日'!$C$29</f>
        <v>4525.9175999999998</v>
      </c>
      <c r="H16" s="35">
        <f t="shared" ref="H16" si="30">G16</f>
        <v>4525.9175999999998</v>
      </c>
      <c r="I16" s="35">
        <f>[1]コスト!$R$91+[1]コスト!$R$66</f>
        <v>17831.509740000001</v>
      </c>
      <c r="J16" s="35">
        <f t="shared" ref="J16" si="31">I16</f>
        <v>17831.509740000001</v>
      </c>
      <c r="K16" s="35">
        <f>[1]コスト!$R$41</f>
        <v>207</v>
      </c>
      <c r="L16" s="35">
        <f t="shared" ref="L16" si="32">K16</f>
        <v>207</v>
      </c>
      <c r="M16" s="35">
        <f>[1]使用量!$R$387</f>
        <v>167</v>
      </c>
      <c r="N16" s="35">
        <f>[1]使用量!$R$388</f>
        <v>410</v>
      </c>
      <c r="P16" s="37"/>
      <c r="Q16" s="37"/>
    </row>
    <row r="17" spans="1:26" ht="45" customHeight="1">
      <c r="A17" s="28">
        <v>44998</v>
      </c>
      <c r="B17" s="39"/>
      <c r="C17" s="35">
        <f>[1]コスト!$S$147</f>
        <v>14533</v>
      </c>
      <c r="D17" s="35">
        <f t="shared" si="0"/>
        <v>14533</v>
      </c>
      <c r="E17" s="35">
        <f>[1]コスト!$S$23</f>
        <v>199.4</v>
      </c>
      <c r="F17" s="35">
        <f t="shared" si="0"/>
        <v>199.4</v>
      </c>
      <c r="G17" s="35">
        <f>[1]コスト!$S$115+'[1]13日'!$C$29</f>
        <v>4115.3292000000001</v>
      </c>
      <c r="H17" s="35">
        <f t="shared" ref="H17" si="33">G17</f>
        <v>4115.3292000000001</v>
      </c>
      <c r="I17" s="35">
        <f>[1]コスト!$S$91+[1]コスト!$S$66</f>
        <v>16546.07358</v>
      </c>
      <c r="J17" s="35">
        <f t="shared" ref="J17" si="34">I17</f>
        <v>16546.07358</v>
      </c>
      <c r="K17" s="35">
        <f>[1]コスト!$S$41</f>
        <v>179</v>
      </c>
      <c r="L17" s="35">
        <f t="shared" ref="L17" si="35">K17</f>
        <v>179</v>
      </c>
      <c r="M17" s="35">
        <f>[1]使用量!$S$387</f>
        <v>163</v>
      </c>
      <c r="N17" s="35">
        <f>[1]使用量!$S$388</f>
        <v>310</v>
      </c>
      <c r="P17" s="37"/>
      <c r="Q17" s="37"/>
    </row>
    <row r="18" spans="1:26" ht="45" customHeight="1">
      <c r="A18" s="28">
        <v>44999</v>
      </c>
      <c r="B18" s="39"/>
      <c r="C18" s="35">
        <f>[1]コスト!$T$147</f>
        <v>15294</v>
      </c>
      <c r="D18" s="35">
        <f t="shared" si="0"/>
        <v>15294</v>
      </c>
      <c r="E18" s="35">
        <f>[1]コスト!$T$23</f>
        <v>230</v>
      </c>
      <c r="F18" s="35">
        <f t="shared" si="0"/>
        <v>230</v>
      </c>
      <c r="G18" s="35">
        <f>[1]コスト!$T$115+'[1]14日'!$C$29</f>
        <v>4099.4946</v>
      </c>
      <c r="H18" s="35">
        <f t="shared" ref="H18" si="36">G18</f>
        <v>4099.4946</v>
      </c>
      <c r="I18" s="35">
        <f>[1]コスト!$T$91+[1]コスト!$T$66</f>
        <v>24332.224199999997</v>
      </c>
      <c r="J18" s="35">
        <f t="shared" ref="J18" si="37">I18</f>
        <v>24332.224199999997</v>
      </c>
      <c r="K18" s="35">
        <f>[1]コスト!$T$41</f>
        <v>193</v>
      </c>
      <c r="L18" s="35">
        <f t="shared" ref="L18" si="38">K18</f>
        <v>193</v>
      </c>
      <c r="M18" s="35">
        <f>[1]使用量!$T$387</f>
        <v>168</v>
      </c>
      <c r="N18" s="35">
        <f>[1]使用量!$T$388</f>
        <v>316</v>
      </c>
      <c r="P18" s="37"/>
      <c r="Q18" s="37"/>
      <c r="Z18" s="36"/>
    </row>
    <row r="19" spans="1:26" ht="45" customHeight="1">
      <c r="A19" s="28">
        <v>45000</v>
      </c>
      <c r="B19" s="39"/>
      <c r="C19" s="35">
        <f>[1]コスト!$U$147</f>
        <v>14992</v>
      </c>
      <c r="D19" s="35">
        <f t="shared" si="0"/>
        <v>14992</v>
      </c>
      <c r="E19" s="35">
        <f>[1]コスト!$U$23</f>
        <v>213.3</v>
      </c>
      <c r="F19" s="35">
        <f t="shared" si="0"/>
        <v>213.3</v>
      </c>
      <c r="G19" s="35">
        <f>[1]コスト!$U$115+'[1]15日'!$C$29</f>
        <v>4865.3891999999996</v>
      </c>
      <c r="H19" s="35">
        <f t="shared" ref="H19" si="39">G19</f>
        <v>4865.3891999999996</v>
      </c>
      <c r="I19" s="35">
        <f>[1]コスト!$U$91+[1]コスト!$U$66</f>
        <v>19937.900460000001</v>
      </c>
      <c r="J19" s="35">
        <f t="shared" ref="J19" si="40">I19</f>
        <v>19937.900460000001</v>
      </c>
      <c r="K19" s="35">
        <f>[1]コスト!$U$41</f>
        <v>176</v>
      </c>
      <c r="L19" s="35">
        <f t="shared" ref="L19" si="41">K19</f>
        <v>176</v>
      </c>
      <c r="M19" s="35">
        <f>[1]使用量!$U$387</f>
        <v>178</v>
      </c>
      <c r="N19" s="35">
        <f>[1]使用量!$U$388</f>
        <v>321</v>
      </c>
      <c r="P19" s="37"/>
      <c r="Q19" s="37"/>
    </row>
    <row r="20" spans="1:26" ht="45" customHeight="1">
      <c r="A20" s="28">
        <v>45001</v>
      </c>
      <c r="B20" s="39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[1]コスト!$V$115+'[1]16日'!$C$29</f>
        <v>0</v>
      </c>
      <c r="H20" s="35">
        <f t="shared" ref="H20" si="42">G20</f>
        <v>0</v>
      </c>
      <c r="I20" s="35">
        <f>[1]コスト!$V$91+[1]コスト!$V$66</f>
        <v>0</v>
      </c>
      <c r="J20" s="35">
        <f t="shared" ref="J20" si="43">I20</f>
        <v>0</v>
      </c>
      <c r="K20" s="35">
        <f>[1]コスト!$V$41</f>
        <v>0</v>
      </c>
      <c r="L20" s="35">
        <f t="shared" ref="L20" si="44">K20</f>
        <v>0</v>
      </c>
      <c r="M20" s="35">
        <f>[1]使用量!$V$387</f>
        <v>177</v>
      </c>
      <c r="N20" s="35">
        <f>[1]使用量!$V$388</f>
        <v>309</v>
      </c>
      <c r="P20" s="37"/>
      <c r="Q20" s="37"/>
    </row>
    <row r="21" spans="1:26" ht="45" customHeight="1">
      <c r="A21" s="28">
        <v>45002</v>
      </c>
      <c r="B21" s="39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[1]コスト!$W$115+'[1]17日'!$C$29</f>
        <v>0</v>
      </c>
      <c r="H21" s="35">
        <f t="shared" ref="H21" si="45">G21</f>
        <v>0</v>
      </c>
      <c r="I21" s="35">
        <f>[1]コスト!$W$91+[1]コスト!$W$66</f>
        <v>0</v>
      </c>
      <c r="J21" s="35">
        <f t="shared" ref="J21" si="46">I21</f>
        <v>0</v>
      </c>
      <c r="K21" s="35">
        <f>[1]コスト!$W$41</f>
        <v>0</v>
      </c>
      <c r="L21" s="35">
        <f t="shared" ref="L21" si="47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45003</v>
      </c>
      <c r="B22" s="39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[1]コスト!$X$115+'[1]18日'!$C$29</f>
        <v>0</v>
      </c>
      <c r="H22" s="35">
        <f t="shared" ref="H22" si="48">G22</f>
        <v>0</v>
      </c>
      <c r="I22" s="35">
        <f>[1]コスト!$X$91+[1]コスト!$X$66</f>
        <v>0</v>
      </c>
      <c r="J22" s="35">
        <f t="shared" ref="J22" si="49">I22</f>
        <v>0</v>
      </c>
      <c r="K22" s="35">
        <f>[1]コスト!$X$41</f>
        <v>0</v>
      </c>
      <c r="L22" s="35">
        <f t="shared" ref="L22" si="50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45004</v>
      </c>
      <c r="B23" s="39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[1]コスト!$Y$115+'[1]19日'!$C$29</f>
        <v>0</v>
      </c>
      <c r="H23" s="35">
        <f t="shared" ref="H23" si="51">G23</f>
        <v>0</v>
      </c>
      <c r="I23" s="35">
        <f>[1]コスト!$Y$91+[1]コスト!$Y$66</f>
        <v>0</v>
      </c>
      <c r="J23" s="35">
        <f t="shared" ref="J23" si="52">I23</f>
        <v>0</v>
      </c>
      <c r="K23" s="35">
        <f>[1]コスト!$Y$41</f>
        <v>0</v>
      </c>
      <c r="L23" s="35">
        <f t="shared" ref="L23" si="53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45005</v>
      </c>
      <c r="B24" s="39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[1]コスト!$Z$115+'[1]20日'!$C$29</f>
        <v>0</v>
      </c>
      <c r="H24" s="35">
        <f t="shared" ref="H24" si="54">G24</f>
        <v>0</v>
      </c>
      <c r="I24" s="35">
        <f>[1]コスト!$Z$91+[1]コスト!$Z$66</f>
        <v>0</v>
      </c>
      <c r="J24" s="35">
        <f t="shared" ref="J24" si="55">I24</f>
        <v>0</v>
      </c>
      <c r="K24" s="35">
        <f>[1]コスト!$Z$41</f>
        <v>0</v>
      </c>
      <c r="L24" s="35">
        <f t="shared" ref="L24" si="56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45006</v>
      </c>
      <c r="B25" s="39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[1]コスト!$AA$115+'[1]21日'!$C$29</f>
        <v>0</v>
      </c>
      <c r="H25" s="35">
        <f t="shared" ref="H25" si="57">G25</f>
        <v>0</v>
      </c>
      <c r="I25" s="35">
        <f>[1]コスト!$AA$91+[1]コスト!$AA$66</f>
        <v>0</v>
      </c>
      <c r="J25" s="35">
        <f t="shared" ref="J25" si="58">I25</f>
        <v>0</v>
      </c>
      <c r="K25" s="35">
        <f>[1]コスト!$AA$41</f>
        <v>0</v>
      </c>
      <c r="L25" s="35">
        <f t="shared" ref="L25" si="59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45007</v>
      </c>
      <c r="B26" s="39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[1]コスト!$AB$115+'[1]22日'!$C$29</f>
        <v>0</v>
      </c>
      <c r="H26" s="35">
        <f t="shared" ref="H26" si="60">G26</f>
        <v>0</v>
      </c>
      <c r="I26" s="35">
        <f>[1]コスト!$AB$91+[1]コスト!$AB$66</f>
        <v>0</v>
      </c>
      <c r="J26" s="35">
        <f t="shared" ref="J26" si="61">I26</f>
        <v>0</v>
      </c>
      <c r="K26" s="35">
        <f>[1]コスト!$AB$41</f>
        <v>0</v>
      </c>
      <c r="L26" s="35">
        <f t="shared" ref="L26" si="62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45008</v>
      </c>
      <c r="B27" s="39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[1]コスト!$AC$115+'[1]23日'!$C$29</f>
        <v>0</v>
      </c>
      <c r="H27" s="35">
        <f t="shared" ref="H27" si="63">G27</f>
        <v>0</v>
      </c>
      <c r="I27" s="35">
        <f>[1]コスト!$AC$91+[1]コスト!$AC$66</f>
        <v>0</v>
      </c>
      <c r="J27" s="35">
        <f t="shared" ref="J27" si="64">I27</f>
        <v>0</v>
      </c>
      <c r="K27" s="35">
        <f>[1]コスト!$AC$41</f>
        <v>0</v>
      </c>
      <c r="L27" s="35">
        <f t="shared" ref="L27" si="65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45009</v>
      </c>
      <c r="B28" s="39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[1]コスト!$AD$115+'[1]24日'!$C$29</f>
        <v>0</v>
      </c>
      <c r="H28" s="35">
        <f t="shared" ref="H28" si="66">G28</f>
        <v>0</v>
      </c>
      <c r="I28" s="35">
        <f>[1]コスト!$AD$91+[1]コスト!$AD$66</f>
        <v>0</v>
      </c>
      <c r="J28" s="35">
        <f t="shared" ref="J28" si="67">I28</f>
        <v>0</v>
      </c>
      <c r="K28" s="35">
        <f>[1]コスト!$AD$41</f>
        <v>0</v>
      </c>
      <c r="L28" s="35">
        <f t="shared" ref="L28" si="68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45010</v>
      </c>
      <c r="B29" s="39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[1]コスト!$AE$115+'[1]25日'!$C$29</f>
        <v>0</v>
      </c>
      <c r="H29" s="35">
        <f t="shared" ref="H29" si="69">G29</f>
        <v>0</v>
      </c>
      <c r="I29" s="35">
        <f>[1]コスト!$AE$91+[1]コスト!$AE$66</f>
        <v>0</v>
      </c>
      <c r="J29" s="35">
        <f t="shared" ref="J29" si="70">I29</f>
        <v>0</v>
      </c>
      <c r="K29" s="35">
        <f>[1]コスト!$AE$41</f>
        <v>0</v>
      </c>
      <c r="L29" s="35">
        <f t="shared" ref="L29" si="71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45011</v>
      </c>
      <c r="B30" s="39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[1]コスト!$AF$115+'[1]26日'!$C$29</f>
        <v>0</v>
      </c>
      <c r="H30" s="35">
        <f t="shared" ref="H30" si="72">G30</f>
        <v>0</v>
      </c>
      <c r="I30" s="35">
        <f>[1]コスト!$AF$91+[1]コスト!$AF$66</f>
        <v>0</v>
      </c>
      <c r="J30" s="35">
        <f t="shared" ref="J30" si="73">I30</f>
        <v>0</v>
      </c>
      <c r="K30" s="35">
        <f>[1]コスト!$AF$41</f>
        <v>0</v>
      </c>
      <c r="L30" s="35">
        <f t="shared" ref="L30" si="74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45012</v>
      </c>
      <c r="B31" s="39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[1]コスト!$AG$115+'[1]27日'!$C$29</f>
        <v>0</v>
      </c>
      <c r="H31" s="35">
        <f t="shared" ref="H31" si="75">G31</f>
        <v>0</v>
      </c>
      <c r="I31" s="35">
        <f>[1]コスト!$AG$91+[1]コスト!$AG$66</f>
        <v>0</v>
      </c>
      <c r="J31" s="35">
        <f t="shared" ref="J31" si="76">I31</f>
        <v>0</v>
      </c>
      <c r="K31" s="35">
        <f>[1]コスト!$AG$41</f>
        <v>0</v>
      </c>
      <c r="L31" s="35">
        <f t="shared" ref="L31" si="77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45013</v>
      </c>
      <c r="B32" s="39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[1]コスト!$AH$115+'[1]28日'!$C$29</f>
        <v>0</v>
      </c>
      <c r="H32" s="35">
        <f t="shared" ref="H32" si="78">G32</f>
        <v>0</v>
      </c>
      <c r="I32" s="35">
        <f>[1]コスト!$AH$91+[1]コスト!$AH$66</f>
        <v>0</v>
      </c>
      <c r="J32" s="35">
        <f t="shared" ref="J32" si="79">I32</f>
        <v>0</v>
      </c>
      <c r="K32" s="35">
        <f>[1]コスト!$AH$41</f>
        <v>0</v>
      </c>
      <c r="L32" s="35">
        <f t="shared" ref="L32" si="80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45014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[1]コスト!$AI$115+'[1]29日'!$C$29</f>
        <v>0</v>
      </c>
      <c r="H33" s="35">
        <f t="shared" ref="H33" si="81">G33</f>
        <v>0</v>
      </c>
      <c r="I33" s="35">
        <f>[1]コスト!$AI$91+[1]コスト!$AI$66</f>
        <v>0</v>
      </c>
      <c r="J33" s="35">
        <f t="shared" ref="J33" si="82">I33</f>
        <v>0</v>
      </c>
      <c r="K33" s="35">
        <f>[1]コスト!$AI$41</f>
        <v>0</v>
      </c>
      <c r="L33" s="35">
        <f t="shared" ref="L33" si="83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45015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[1]コスト!$AJ$115+'[1]30日'!$C$29</f>
        <v>0</v>
      </c>
      <c r="H34" s="35">
        <f t="shared" ref="H34" si="84">G34</f>
        <v>0</v>
      </c>
      <c r="I34" s="35">
        <f>[1]コスト!$AJ$91+[1]コスト!$AJ$66</f>
        <v>0</v>
      </c>
      <c r="J34" s="35">
        <f t="shared" ref="J34" si="85">I34</f>
        <v>0</v>
      </c>
      <c r="K34" s="35">
        <f>[1]コスト!$AJ$41</f>
        <v>0</v>
      </c>
      <c r="L34" s="35">
        <f t="shared" ref="L34" si="86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45016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[1]コスト!$AK$115+'[1]31日'!$C$29</f>
        <v>0</v>
      </c>
      <c r="H35" s="35">
        <f t="shared" ref="H35" si="87">G35</f>
        <v>0</v>
      </c>
      <c r="I35" s="35">
        <f>[1]コスト!$AK$91+[1]コスト!$AK$66</f>
        <v>0</v>
      </c>
      <c r="J35" s="35">
        <f t="shared" ref="J35" si="88">I35</f>
        <v>0</v>
      </c>
      <c r="K35" s="35">
        <f>[1]コスト!$AK$41</f>
        <v>0</v>
      </c>
      <c r="L35" s="35">
        <f t="shared" ref="L35" si="89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224488</v>
      </c>
      <c r="E38" s="38">
        <f>SUM(E5:E37)</f>
        <v>3171.7000000000003</v>
      </c>
      <c r="G38" s="38">
        <f>SUM(G5:G37)</f>
        <v>66941.466</v>
      </c>
      <c r="H38" s="38"/>
      <c r="I38" s="38">
        <f>SUM(I5:I37)</f>
        <v>311185.42061999999</v>
      </c>
      <c r="K38" s="38">
        <f>SUM(K5:K37)</f>
        <v>2712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2023-03-16T01:58:10Z</dcterms:modified>
</cp:coreProperties>
</file>