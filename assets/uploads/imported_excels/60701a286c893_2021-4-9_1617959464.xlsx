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E9" i="3"/>
  <c r="J9" i="2"/>
  <c r="I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<sst xmlns="http://schemas.openxmlformats.org/spreadsheetml/2006/main" count="107" uniqueCount="40">
  <si>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</si>
  <si>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</si>
  <si>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</si>
  <si>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</si>
  <si>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</si>
  <si>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</si>
  <si>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</si>
  <si>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</si>
  <si>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</si>
  <si>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</si>
  <si>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</si>
  <si>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</si>
  <si>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</si>
  <si>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</si>
  <si>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</si>
  <si>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</si>
  <si>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</si>
  <si>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</si>
  <si>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</si>
  <si>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</si>
  <si>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</si>
  <si>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</si>
  <si>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</si>
  <si>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</si>
  <si>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</si>
  <si>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</si>
  <si>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</si>
  <si>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</si>
  <si>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</si>
  <si>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</si>
  <si>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</si>
  <si>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</si>
  <si>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</si>
  <si>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</si>
  <si>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</si>
  <si>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</si>
  <si>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</si>
  <si>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</si>
  <si>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</si>
  <si>
    <t>Main Kitchen Gas Meter Replced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</si>
</sst>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P16" sqref="P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8435</v>
      </c>
      <c r="F9" s="19">
        <v>0.11799999999999999</v>
      </c>
      <c r="G9" s="21">
        <v>134</v>
      </c>
      <c r="H9" s="19">
        <v>0.99</v>
      </c>
      <c r="I9" s="21">
        <f>'4 - 2021'!J15-'4 - 2021'!J14</f>
        <v>19506</v>
      </c>
      <c r="J9" s="19">
        <v>8.1000000000000003E-2</v>
      </c>
      <c r="K9" s="43">
        <f>'4 - 2021'!H15-'4 - 2021'!H14</f>
        <v>0</v>
      </c>
      <c r="L9" s="21">
        <f>'4 - 2021'!I15-'4 - 2021'!I14</f>
        <v>101</v>
      </c>
      <c r="M9" s="20">
        <v>4.393629424766913</v>
      </c>
      <c r="N9" s="36">
        <v>91</v>
      </c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8940</v>
      </c>
      <c r="F10" s="19">
        <v>0.11799999999999999</v>
      </c>
      <c r="G10" s="21">
        <f>(('4 - 2021'!E16-'4 - 2021'!E15)+('4 - 2021'!F16-'4 - 2021'!F15)+('4 - 2021'!G16-'4 - 2021'!G15))*1.81</f>
        <v>142.77280000000422</v>
      </c>
      <c r="H10" s="19">
        <v>0.99</v>
      </c>
      <c r="I10" s="21">
        <f>'4 - 2021'!J16-'4 - 2021'!J15</f>
        <v>21047</v>
      </c>
      <c r="J10" s="19">
        <v>8.1000000000000003E-2</v>
      </c>
      <c r="K10" s="43">
        <f>'4 - 2021'!H16-'4 - 2021'!H15</f>
        <v>0</v>
      </c>
      <c r="L10" s="21">
        <f>'4 - 2021'!I16-'4 - 2021'!I15</f>
        <v>114</v>
      </c>
      <c r="M10" s="20">
        <v>4.393629424766913</v>
      </c>
      <c r="N10" s="36">
        <v>89</v>
      </c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v>0</v>
      </c>
      <c r="F11" s="19">
        <v>0.11799999999999999</v>
      </c>
      <c r="G11" s="21">
        <v>0</v>
      </c>
      <c r="H11" s="19">
        <v>0.99</v>
      </c>
      <c r="I11" s="21">
        <v>0</v>
      </c>
      <c r="J11" s="19">
        <v>8.1000000000000003E-2</v>
      </c>
      <c r="K11" s="43">
        <v>0</v>
      </c>
      <c r="L11" s="21">
        <v>0</v>
      </c>
      <c r="M11" s="20">
        <v>4.393629424766913</v>
      </c>
      <c r="N11" s="36"/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0</v>
      </c>
      <c r="F12" s="19">
        <v>0.11799999999999999</v>
      </c>
      <c r="G12" s="21">
        <f>(('4 - 2021'!E18-'4 - 2021'!E17)+('4 - 2021'!F18-'4 - 2021'!F17)+('4 - 2021'!G18-'4 - 2021'!G17))*1.81</f>
        <v>0</v>
      </c>
      <c r="H12" s="19">
        <v>0.99</v>
      </c>
      <c r="I12" s="21">
        <f>'4 - 2021'!J18-'4 - 2021'!J17</f>
        <v>0</v>
      </c>
      <c r="J12" s="19">
        <v>8.1000000000000003E-2</v>
      </c>
      <c r="K12" s="43">
        <f>'4 - 2021'!H18-'4 - 2021'!H17</f>
        <v>0</v>
      </c>
      <c r="L12" s="21">
        <f>'4 - 2021'!I18-'4 - 2021'!I17</f>
        <v>0</v>
      </c>
      <c r="M12" s="20">
        <v>4.393629424766913</v>
      </c>
      <c r="N12" s="21"/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0</v>
      </c>
      <c r="F13" s="19">
        <v>0.11799999999999999</v>
      </c>
      <c r="G13" s="21">
        <f>(('4 - 2021'!E19-'4 - 2021'!E18)+('4 - 2021'!F19-'4 - 2021'!F18)+('4 - 2021'!G19-'4 - 2021'!G18))*1.81</f>
        <v>0</v>
      </c>
      <c r="H13" s="19">
        <v>0.99</v>
      </c>
      <c r="I13" s="21">
        <f>'4 - 2021'!J19-'4 - 2021'!J18</f>
        <v>0</v>
      </c>
      <c r="J13" s="19">
        <v>8.1000000000000003E-2</v>
      </c>
      <c r="K13" s="43">
        <f>'4 - 2021'!H19-'4 - 2021'!H18</f>
        <v>0</v>
      </c>
      <c r="L13" s="21">
        <f>'4 - 2021'!I19-'4 - 2021'!I18</f>
        <v>0</v>
      </c>
      <c r="M13" s="20">
        <v>4.393629424766913</v>
      </c>
      <c r="N13" s="21"/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0</v>
      </c>
      <c r="F14" s="19">
        <v>0.11799999999999999</v>
      </c>
      <c r="G14" s="21">
        <f>(('4 - 2021'!E20-'4 - 2021'!E19)+('4 - 2021'!F20-'4 - 2021'!F19)+('4 - 2021'!G20-'4 - 2021'!G19))*1.81</f>
        <v>0</v>
      </c>
      <c r="H14" s="19">
        <v>0.99</v>
      </c>
      <c r="I14" s="21">
        <f>'4 - 2021'!J20-'4 - 2021'!J19</f>
        <v>0</v>
      </c>
      <c r="J14" s="19">
        <v>8.1000000000000003E-2</v>
      </c>
      <c r="K14" s="43">
        <f>'4 - 2021'!H20-'4 - 2021'!H19</f>
        <v>0</v>
      </c>
      <c r="L14" s="21">
        <f>'4 - 2021'!I20-'4 - 2021'!I19</f>
        <v>0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0</v>
      </c>
      <c r="F15" s="19">
        <v>0.11799999999999999</v>
      </c>
      <c r="G15" s="21">
        <f>(('4 - 2021'!E21-'4 - 2021'!E20)+('4 - 2021'!F21-'4 - 2021'!F20)+('4 - 2021'!G21-'4 - 2021'!G20))*1.81</f>
        <v>0</v>
      </c>
      <c r="H15" s="19">
        <v>0.99</v>
      </c>
      <c r="I15" s="21">
        <f>'4 - 2021'!J21-'4 - 2021'!J20</f>
        <v>0</v>
      </c>
      <c r="J15" s="19">
        <v>8.1000000000000003E-2</v>
      </c>
      <c r="K15" s="43">
        <f>'4 - 2021'!H21-'4 - 2021'!H20</f>
        <v>0</v>
      </c>
      <c r="L15" s="21">
        <f>'4 - 2021'!I21-'4 - 2021'!I20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0</v>
      </c>
      <c r="F16" s="19">
        <v>0.11799999999999999</v>
      </c>
      <c r="G16" s="21">
        <f>(('4 - 2021'!E22-'4 - 2021'!E21)+('4 - 2021'!F22-'4 - 2021'!F21)+('4 - 2021'!G22-'4 - 2021'!G21))*1.81</f>
        <v>0</v>
      </c>
      <c r="H16" s="19">
        <v>0.99</v>
      </c>
      <c r="I16" s="21">
        <f>'4 - 2021'!J22-'4 - 2021'!J21</f>
        <v>0</v>
      </c>
      <c r="J16" s="19">
        <v>8.1000000000000003E-2</v>
      </c>
      <c r="K16" s="43">
        <f>'4 - 2021'!H22-'4 - 2021'!H21</f>
        <v>0</v>
      </c>
      <c r="L16" s="21">
        <f>'4 - 2021'!I22-'4 - 2021'!I21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0</v>
      </c>
      <c r="F17" s="19">
        <v>0.11799999999999999</v>
      </c>
      <c r="G17" s="21">
        <f>(('4 - 2021'!E23-'4 - 2021'!E22)+('4 - 2021'!F23-'4 - 2021'!F22)+('4 - 2021'!G23-'4 - 2021'!G22))*1.81</f>
        <v>0</v>
      </c>
      <c r="H17" s="19">
        <v>0.99</v>
      </c>
      <c r="I17" s="21">
        <f>'4 - 2021'!J23-'4 - 2021'!J22</f>
        <v>0</v>
      </c>
      <c r="J17" s="19">
        <v>8.1000000000000003E-2</v>
      </c>
      <c r="K17" s="43">
        <f>'4 - 2021'!H23-'4 - 2021'!H22</f>
        <v>0</v>
      </c>
      <c r="L17" s="21">
        <f>'4 - 2021'!I23-'4 - 2021'!I22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0</v>
      </c>
      <c r="F18" s="19">
        <v>0.11799999999999999</v>
      </c>
      <c r="G18" s="21">
        <f>(('4 - 2021'!E24-'4 - 2021'!E23)+('4 - 2021'!F24-'4 - 2021'!F23)+('4 - 2021'!G24-'4 - 2021'!G23))*1.81</f>
        <v>0</v>
      </c>
      <c r="H18" s="19">
        <v>0.99</v>
      </c>
      <c r="I18" s="21">
        <f>'4 - 2021'!J24-'4 - 2021'!J23</f>
        <v>0</v>
      </c>
      <c r="J18" s="19">
        <v>8.1000000000000003E-2</v>
      </c>
      <c r="K18" s="43">
        <f>'4 - 2021'!H24-'4 - 2021'!H23</f>
        <v>0</v>
      </c>
      <c r="L18" s="21">
        <f>'4 - 2021'!I24-'4 - 2021'!I23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'4 - 2021'!B25-'4 - 2021'!B24+'4 - 2021'!C25-'4 - 2021'!C24</f>
        <v>0</v>
      </c>
      <c r="F19" s="19">
        <v>0.11799999999999999</v>
      </c>
      <c r="G19" s="21">
        <f>(('4 - 2021'!E25-'4 - 2021'!E24)+('4 - 2021'!F25-'4 - 2021'!F24)+('4 - 2021'!G25-'4 - 2021'!G24))*1.81</f>
        <v>0</v>
      </c>
      <c r="H19" s="19">
        <v>0.99</v>
      </c>
      <c r="I19" s="21">
        <f>'4 - 2021'!J25-'4 - 2021'!J24</f>
        <v>0</v>
      </c>
      <c r="J19" s="19">
        <v>8.1000000000000003E-2</v>
      </c>
      <c r="K19" s="43">
        <f>'4 - 2021'!H25-'4 - 2021'!H24</f>
        <v>0</v>
      </c>
      <c r="L19" s="21">
        <f>'4 - 2021'!I25-'4 - 2021'!I24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0</v>
      </c>
      <c r="F20" s="19">
        <v>0.11799999999999999</v>
      </c>
      <c r="G20" s="21">
        <f>(('4 - 2021'!E26-'4 - 2021'!E25)+('4 - 2021'!F26-'4 - 2021'!F25)+('4 - 2021'!G26-'4 - 2021'!G25))*1.81</f>
        <v>0</v>
      </c>
      <c r="H20" s="19">
        <v>0.99</v>
      </c>
      <c r="I20" s="21">
        <f>'4 - 2021'!J26-'4 - 2021'!J25</f>
        <v>0</v>
      </c>
      <c r="J20" s="19">
        <v>8.1000000000000003E-2</v>
      </c>
      <c r="K20" s="43">
        <f>'4 - 2021'!H26-'4 - 2021'!H25</f>
        <v>0</v>
      </c>
      <c r="L20" s="21">
        <f>'4 - 2021'!I26-'4 - 2021'!I25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'4 - 2021'!B27-'4 - 2021'!B26+'4 - 2021'!C27-'4 - 2021'!C26</f>
        <v>0</v>
      </c>
      <c r="F21" s="19">
        <v>0.11799999999999999</v>
      </c>
      <c r="G21" s="21">
        <f>(('4 - 2021'!E27-'4 - 2021'!E26)+('4 - 2021'!F27-'4 - 2021'!F26)+('4 - 2021'!G27-'4 - 2021'!G26))*1.81</f>
        <v>0</v>
      </c>
      <c r="H21" s="19">
        <v>0.99</v>
      </c>
      <c r="I21" s="21">
        <f>'4 - 2021'!J27-'4 - 2021'!J26</f>
        <v>0</v>
      </c>
      <c r="J21" s="19">
        <v>8.1000000000000003E-2</v>
      </c>
      <c r="K21" s="43">
        <f>'4 - 2021'!H27-'4 - 2021'!H26</f>
        <v>0</v>
      </c>
      <c r="L21" s="21">
        <f>'4 - 2021'!I27-'4 - 2021'!I26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'4 - 2021'!B28-'4 - 2021'!B27+'4 - 2021'!C28-'4 - 2021'!C27</f>
        <v>0</v>
      </c>
      <c r="F22" s="19">
        <v>0.11799999999999999</v>
      </c>
      <c r="G22" s="21">
        <f>(('4 - 2021'!E28-'4 - 2021'!E27)+('4 - 2021'!F28-'4 - 2021'!F27)+('4 - 2021'!G28-'4 - 2021'!G27))*1.81</f>
        <v>0</v>
      </c>
      <c r="H22" s="19">
        <v>0.99</v>
      </c>
      <c r="I22" s="21">
        <f>'4 - 2021'!J28-'4 - 2021'!J27</f>
        <v>0</v>
      </c>
      <c r="J22" s="19">
        <v>8.1000000000000003E-2</v>
      </c>
      <c r="K22" s="43">
        <f>'4 - 2021'!H28-'4 - 2021'!H27</f>
        <v>0</v>
      </c>
      <c r="L22" s="21">
        <f>'4 - 2021'!I28-'4 - 2021'!I27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M16" sqref="M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3200</v>
      </c>
      <c r="F9" s="21">
        <f>'4 - 2021'!C15-'4 - 2021'!C14</f>
        <v>5235</v>
      </c>
      <c r="G9" s="19">
        <v>0.11799999999999999</v>
      </c>
      <c r="H9" s="21">
        <v>26</v>
      </c>
      <c r="I9" s="21">
        <f>'4 - 2021'!F15-'4 - 2021'!F14</f>
        <v>4.7600000000002183</v>
      </c>
      <c r="J9" s="21">
        <f>'4 - 2021'!G15-'4 - 2021'!G14</f>
        <v>43.43999999999869</v>
      </c>
      <c r="K9" s="19">
        <v>0.74</v>
      </c>
      <c r="L9" s="36">
        <v>91</v>
      </c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3347</v>
      </c>
      <c r="F10" s="21">
        <f>'4 - 2021'!C16-'4 - 2021'!C15</f>
        <v>5593</v>
      </c>
      <c r="G10" s="19">
        <v>0.11799999999999999</v>
      </c>
      <c r="H10" s="21">
        <f>'4 - 2021'!E16-'4 - 2021'!E15</f>
        <v>23.44</v>
      </c>
      <c r="I10" s="21">
        <f>'4 - 2021'!F16-'4 - 2021'!F15</f>
        <v>5.25</v>
      </c>
      <c r="J10" s="21">
        <f>'4 - 2021'!G16-'4 - 2021'!G15</f>
        <v>50.190000000002328</v>
      </c>
      <c r="K10" s="19">
        <v>0.74</v>
      </c>
      <c r="L10" s="36">
        <v>89</v>
      </c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v>0</v>
      </c>
      <c r="F11" s="21">
        <v>0</v>
      </c>
      <c r="G11" s="19">
        <v>0.11799999999999999</v>
      </c>
      <c r="H11" s="21">
        <v>0</v>
      </c>
      <c r="I11" s="21">
        <v>0</v>
      </c>
      <c r="J11" s="21"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0</v>
      </c>
      <c r="F12" s="21">
        <f>'4 - 2021'!C18-'4 - 2021'!C17</f>
        <v>0</v>
      </c>
      <c r="G12" s="19">
        <v>0.11799999999999999</v>
      </c>
      <c r="H12" s="21">
        <f>'4 - 2021'!E18-'4 - 2021'!E17</f>
        <v>0</v>
      </c>
      <c r="I12" s="21">
        <f>'4 - 2021'!F18-'4 - 2021'!F17</f>
        <v>0</v>
      </c>
      <c r="J12" s="21">
        <f>'4 - 2021'!G18-'4 - 2021'!G17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0</v>
      </c>
      <c r="F13" s="21">
        <f>'4 - 2021'!C19-'4 - 2021'!C18</f>
        <v>0</v>
      </c>
      <c r="G13" s="19">
        <v>0.11799999999999999</v>
      </c>
      <c r="H13" s="21">
        <f>'4 - 2021'!E19-'4 - 2021'!E18</f>
        <v>0</v>
      </c>
      <c r="I13" s="21">
        <f>'4 - 2021'!F19-'4 - 2021'!F18</f>
        <v>0</v>
      </c>
      <c r="J13" s="21">
        <f>'4 - 2021'!G19-'4 - 2021'!G18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0</v>
      </c>
      <c r="F14" s="21">
        <f>'4 - 2021'!C20-'4 - 2021'!C19</f>
        <v>0</v>
      </c>
      <c r="G14" s="19">
        <v>0.11799999999999999</v>
      </c>
      <c r="H14" s="21">
        <f>'4 - 2021'!E20-'4 - 2021'!E19</f>
        <v>0</v>
      </c>
      <c r="I14" s="21">
        <f>'4 - 2021'!F20-'4 - 2021'!F19</f>
        <v>0</v>
      </c>
      <c r="J14" s="21">
        <f>'4 - 2021'!G20-'4 - 2021'!G19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0</v>
      </c>
      <c r="F15" s="21">
        <f>'4 - 2021'!C21-'4 - 2021'!C20</f>
        <v>0</v>
      </c>
      <c r="G15" s="19">
        <v>0.11799999999999999</v>
      </c>
      <c r="H15" s="21">
        <f>'4 - 2021'!E21-'4 - 2021'!E20</f>
        <v>0</v>
      </c>
      <c r="I15" s="21">
        <f>'4 - 2021'!F21-'4 - 2021'!F20</f>
        <v>0</v>
      </c>
      <c r="J15" s="21">
        <f>'4 - 2021'!G21-'4 - 2021'!G20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0</v>
      </c>
      <c r="F16" s="21">
        <f>'4 - 2021'!C22-'4 - 2021'!C21</f>
        <v>0</v>
      </c>
      <c r="G16" s="19">
        <v>0.11799999999999999</v>
      </c>
      <c r="H16" s="21">
        <f>'4 - 2021'!E22-'4 - 2021'!E21</f>
        <v>0</v>
      </c>
      <c r="I16" s="21">
        <f>'4 - 2021'!F22-'4 - 2021'!F21</f>
        <v>0</v>
      </c>
      <c r="J16" s="21">
        <f>'4 - 2021'!G22-'4 - 2021'!G21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0</v>
      </c>
      <c r="F17" s="21">
        <f>'4 - 2021'!C23-'4 - 2021'!C22</f>
        <v>0</v>
      </c>
      <c r="G17" s="19">
        <v>0.11799999999999999</v>
      </c>
      <c r="H17" s="21">
        <f>'4 - 2021'!E23-'4 - 2021'!E22</f>
        <v>0</v>
      </c>
      <c r="I17" s="21">
        <f>'4 - 2021'!F23-'4 - 2021'!F22</f>
        <v>0</v>
      </c>
      <c r="J17" s="21">
        <f>'4 - 2021'!G23-'4 - 2021'!G22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0</v>
      </c>
      <c r="F18" s="21">
        <f>'4 - 2021'!C24-'4 - 2021'!C23</f>
        <v>0</v>
      </c>
      <c r="G18" s="19">
        <v>0.11799999999999999</v>
      </c>
      <c r="H18" s="21">
        <f>'4 - 2021'!E24-'4 - 2021'!E23</f>
        <v>0</v>
      </c>
      <c r="I18" s="21">
        <f>'4 - 2021'!F24-'4 - 2021'!F23</f>
        <v>0</v>
      </c>
      <c r="J18" s="21">
        <f>'4 - 2021'!G24-'4 - 2021'!G23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</f>
        <v>0</v>
      </c>
      <c r="F19" s="21">
        <f>'4 - 2021'!C25-'4 - 2021'!C24</f>
        <v>0</v>
      </c>
      <c r="G19" s="19">
        <v>0.11799999999999999</v>
      </c>
      <c r="H19" s="21">
        <f>'4 - 2021'!E25-'4 - 2021'!E24</f>
        <v>0</v>
      </c>
      <c r="I19" s="21">
        <f>'4 - 2021'!F25-'4 - 2021'!F24</f>
        <v>0</v>
      </c>
      <c r="J19" s="21">
        <f>'4 - 2021'!G25-'4 - 2021'!G24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0</v>
      </c>
      <c r="F20" s="21">
        <f>'4 - 2021'!C26-'4 - 2021'!C25</f>
        <v>0</v>
      </c>
      <c r="G20" s="19">
        <v>0.11799999999999999</v>
      </c>
      <c r="H20" s="21">
        <f>'4 - 2021'!E26-'4 - 2021'!E25</f>
        <v>0</v>
      </c>
      <c r="I20" s="21">
        <f>'4 - 2021'!F26-'4 - 2021'!F25</f>
        <v>0</v>
      </c>
      <c r="J20" s="21">
        <f>'4 - 2021'!G26-'4 - 2021'!G25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</f>
        <v>0</v>
      </c>
      <c r="F21" s="21">
        <f>'4 - 2021'!C27-'4 - 2021'!C26</f>
        <v>0</v>
      </c>
      <c r="G21" s="19">
        <v>0.11799999999999999</v>
      </c>
      <c r="H21" s="21">
        <f>'4 - 2021'!E27-'4 - 2021'!E26</f>
        <v>0</v>
      </c>
      <c r="I21" s="21">
        <f>'4 - 2021'!F27-'4 - 2021'!F26</f>
        <v>0</v>
      </c>
      <c r="J21" s="21">
        <f>'4 - 2021'!G27-'4 - 2021'!G26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</f>
        <v>0</v>
      </c>
      <c r="F22" s="21">
        <f>'4 - 2021'!C28-'4 - 2021'!C27</f>
        <v>0</v>
      </c>
      <c r="G22" s="19">
        <v>0.11799999999999999</v>
      </c>
      <c r="H22" s="21">
        <f>'4 - 2021'!E28-'4 - 2021'!E27</f>
        <v>0</v>
      </c>
      <c r="I22" s="21">
        <f>'4 - 2021'!F28-'4 - 2021'!F27</f>
        <v>0</v>
      </c>
      <c r="J22" s="21">
        <f>'4 - 2021'!G28-'4 - 2021'!G27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L22" sqref="L22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</row>
    <row r="4" spans="1:17" ht="16.5" thickBot="1" x14ac:dyDescent="0.3">
      <c r="A4" s="69" t="s">
        <v>37</v>
      </c>
      <c r="B4" s="69"/>
      <c r="C4" s="69"/>
      <c r="D4" s="69"/>
      <c r="E4" s="69"/>
      <c r="F4" s="69"/>
      <c r="G4" s="69"/>
      <c r="H4" s="69"/>
      <c r="I4" s="69"/>
      <c r="J4" s="69"/>
    </row>
    <row r="5" spans="1:17" ht="16.5" thickBot="1" x14ac:dyDescent="0.3">
      <c r="A5" s="2"/>
      <c r="B5" s="70" t="s">
        <v>36</v>
      </c>
      <c r="C5" s="71"/>
      <c r="D5" s="70" t="s">
        <v>0</v>
      </c>
      <c r="E5" s="72"/>
      <c r="F5" s="72"/>
      <c r="G5" s="73"/>
      <c r="H5" s="74" t="s">
        <v>1</v>
      </c>
      <c r="I5" s="75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>
        <v>535832</v>
      </c>
      <c r="C15" s="62">
        <v>499612</v>
      </c>
      <c r="D15" s="15">
        <v>0.45</v>
      </c>
      <c r="E15" s="59">
        <v>0</v>
      </c>
      <c r="F15" s="56">
        <v>3320.98</v>
      </c>
      <c r="G15" s="55">
        <v>28080.21</v>
      </c>
      <c r="H15" s="62">
        <v>14528</v>
      </c>
      <c r="I15" s="62">
        <v>115188</v>
      </c>
      <c r="J15" s="62">
        <v>45170674</v>
      </c>
      <c r="K15" s="16"/>
      <c r="L15" s="77" t="s">
        <v>39</v>
      </c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>
        <v>539179</v>
      </c>
      <c r="C16" s="62">
        <v>505205</v>
      </c>
      <c r="D16" s="15">
        <v>0.39</v>
      </c>
      <c r="E16" s="59">
        <v>23.44</v>
      </c>
      <c r="F16" s="56">
        <v>3326.23</v>
      </c>
      <c r="G16" s="55">
        <v>28130.400000000001</v>
      </c>
      <c r="H16" s="62">
        <v>14528</v>
      </c>
      <c r="I16" s="62">
        <v>115302</v>
      </c>
      <c r="J16" s="62">
        <v>45191721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-518967</v>
      </c>
      <c r="C41" s="68">
        <f>C32-C10</f>
        <v>-472253</v>
      </c>
      <c r="D41" s="48"/>
      <c r="E41" s="68">
        <f>E32-E10</f>
        <v>-13765.97</v>
      </c>
      <c r="F41" s="68">
        <f>F32-F10</f>
        <v>-3295.1</v>
      </c>
      <c r="G41" s="68">
        <f>G32-G10</f>
        <v>-27851.78</v>
      </c>
      <c r="H41" s="68">
        <f>H32-H10</f>
        <v>-14528</v>
      </c>
      <c r="I41" s="68">
        <f t="shared" ref="I41:J41" si="2">I32-I10</f>
        <v>-114691</v>
      </c>
      <c r="J41" s="68">
        <f t="shared" si="2"/>
        <v>-45068524</v>
      </c>
      <c r="K41" s="48"/>
      <c r="L41" s="48"/>
    </row>
    <row r="42" spans="1:16" x14ac:dyDescent="0.25">
      <c r="I42" s="18">
        <f>I41*219.969</f>
        <v>-25228464.579</v>
      </c>
      <c r="J42" s="19">
        <v>768611</v>
      </c>
    </row>
    <row r="43" spans="1:16" x14ac:dyDescent="0.25">
      <c r="C43" s="21">
        <f>C41+B41</f>
        <v>-991220</v>
      </c>
      <c r="I43" s="19">
        <v>450276.54300000001</v>
      </c>
    </row>
    <row r="44" spans="1:16" x14ac:dyDescent="0.25">
      <c r="C44" s="19">
        <v>178662</v>
      </c>
      <c r="J44" s="49">
        <f>SUM(J42-J41)/J41</f>
        <v>-1.0170542749525144</v>
      </c>
    </row>
    <row r="45" spans="1:16" x14ac:dyDescent="0.25">
      <c r="C45" s="50">
        <f>SUM(C44-C43)/C43</f>
        <v>-1.1802445471237466</v>
      </c>
      <c r="I45" s="49">
        <f>SUM(I43-I42)/I42</f>
        <v>-1.0178479566836107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2021-04-09T09:09:13Z</dcterms:modified>
</cp:coreProperties>
</file>