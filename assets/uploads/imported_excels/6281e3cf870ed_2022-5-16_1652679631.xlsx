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63" documentId="13_ncr:1_{76C55D63-F869-4AF5-AAA3-3D809A91432B}" xr6:coauthVersionLast="47" xr6:coauthVersionMax="47" xr10:uidLastSave="{C1A9EDF6-9C02-4C52-8149-83AEEBE60026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0" i="27" l="1"/>
  <c r="J19" i="27"/>
  <c r="J18" i="27"/>
  <c r="J16" i="27"/>
  <c r="J17" i="27"/>
  <c r="J15" i="27"/>
  <c r="J14" i="27"/>
  <c r="J13" i="27"/>
  <c r="J12" i="27"/>
  <c r="J11" i="27"/>
  <c r="J10" i="27"/>
  <c r="J9" i="27"/>
  <c r="J8" i="27"/>
  <c r="J7" i="27"/>
  <c r="J6" i="27"/>
  <c r="J5" i="27"/>
  <c r="L37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<sst xmlns="http://schemas.openxmlformats.org/spreadsheetml/2006/main" count="72" uniqueCount="33">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</sst>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2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65" xfId="6" applyNumberFormat="1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1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topLeftCell="F1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5</v>
      </c>
      <c r="D2" s="10">
        <v>2022</v>
      </c>
      <c r="E2" s="11">
        <f>IF(Electricity!F8&lt;0,0,Electricity!F8)</f>
        <v>14762.500000001637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2088</v>
      </c>
      <c r="J2" s="83">
        <v>0.21186441</v>
      </c>
      <c r="K2" s="11">
        <f>IF('Water, Gas, Diesel'!F6&lt;0,0,'Water, Gas, Diesel'!F6)</f>
        <v>190</v>
      </c>
      <c r="L2" s="83">
        <v>1.6949000000000001</v>
      </c>
      <c r="M2" s="11">
        <f>Electricity!H8</f>
        <v>149</v>
      </c>
      <c r="O2" s="107"/>
    </row>
    <row r="3" spans="1:15">
      <c r="A3" s="8" t="s">
        <v>13</v>
      </c>
      <c r="B3" s="9">
        <f>B2+1</f>
        <v>2</v>
      </c>
      <c r="C3" s="9">
        <v>5</v>
      </c>
      <c r="D3" s="10">
        <v>2022</v>
      </c>
      <c r="E3" s="11">
        <f>IF(Electricity!F9&lt;0,0,Electricity!F9)</f>
        <v>21614.999999997053</v>
      </c>
      <c r="F3" s="83">
        <v>9.3200000000000005E-2</v>
      </c>
      <c r="G3" s="11">
        <f>IF('Water, Gas, Diesel'!K7&lt;0,0,'Water, Gas, Diesel'!K7)</f>
        <v>10</v>
      </c>
      <c r="H3" s="83">
        <v>0.7</v>
      </c>
      <c r="I3" s="11">
        <f>IF('Water, Gas, Diesel'!C7&lt;0,0,'Water, Gas, Diesel'!C7)</f>
        <v>2413</v>
      </c>
      <c r="J3" s="83">
        <v>0.21186441</v>
      </c>
      <c r="K3" s="11">
        <f>IF('Water, Gas, Diesel'!F7&lt;0,0,'Water, Gas, Diesel'!F7)</f>
        <v>339</v>
      </c>
      <c r="L3" s="83">
        <v>1.6949000000000001</v>
      </c>
      <c r="M3" s="11">
        <f>Electricity!H9</f>
        <v>158</v>
      </c>
    </row>
    <row r="4" spans="1:15">
      <c r="A4" s="8" t="s">
        <v>13</v>
      </c>
      <c r="B4" s="9">
        <f t="shared" ref="B4:B32" si="0">B3+1</f>
        <v>3</v>
      </c>
      <c r="C4" s="9">
        <v>5</v>
      </c>
      <c r="D4" s="10">
        <v>2022</v>
      </c>
      <c r="E4" s="11">
        <f>IF(Electricity!F10&lt;0,0,Electricity!F10)</f>
        <v>21452.500000004875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2758</v>
      </c>
      <c r="J4" s="83">
        <v>0.21186441</v>
      </c>
      <c r="K4" s="11">
        <f>IF('Water, Gas, Diesel'!F8&lt;0,0,'Water, Gas, Diesel'!F8)</f>
        <v>268</v>
      </c>
      <c r="L4" s="83">
        <v>1.6949000000000001</v>
      </c>
      <c r="M4" s="11">
        <f>Electricity!H10</f>
        <v>161</v>
      </c>
    </row>
    <row r="5" spans="1:15">
      <c r="A5" s="8" t="s">
        <v>13</v>
      </c>
      <c r="B5" s="9">
        <f t="shared" si="0"/>
        <v>4</v>
      </c>
      <c r="C5" s="9">
        <v>5</v>
      </c>
      <c r="D5" s="10">
        <v>2022</v>
      </c>
      <c r="E5" s="11">
        <f>IF(Electricity!F11&lt;0,0,Electricity!F11)</f>
        <v>20944.99999999698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2915</v>
      </c>
      <c r="J5" s="83">
        <v>0.21186441</v>
      </c>
      <c r="K5" s="11">
        <f>IF('Water, Gas, Diesel'!F9&lt;0,0,'Water, Gas, Diesel'!F9)</f>
        <v>266</v>
      </c>
      <c r="L5" s="83">
        <v>1.6949000000000001</v>
      </c>
      <c r="M5" s="11">
        <f>Electricity!H11</f>
        <v>168</v>
      </c>
    </row>
    <row r="6" spans="1:15">
      <c r="A6" s="8" t="s">
        <v>13</v>
      </c>
      <c r="B6" s="9">
        <f t="shared" si="0"/>
        <v>5</v>
      </c>
      <c r="C6" s="9">
        <v>5</v>
      </c>
      <c r="D6" s="10">
        <v>2022</v>
      </c>
      <c r="E6" s="11">
        <f>IF(Electricity!F12&lt;0,0,Electricity!F12)</f>
        <v>20534.999999999854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3307</v>
      </c>
      <c r="J6" s="83">
        <v>0.21186441</v>
      </c>
      <c r="K6" s="11">
        <f>IF('Water, Gas, Diesel'!F10&lt;0,0,'Water, Gas, Diesel'!F10)</f>
        <v>268</v>
      </c>
      <c r="L6" s="83">
        <v>1.6949000000000001</v>
      </c>
      <c r="M6" s="11">
        <f>Electricity!H12</f>
        <v>171</v>
      </c>
    </row>
    <row r="7" spans="1:15">
      <c r="A7" s="8" t="s">
        <v>13</v>
      </c>
      <c r="B7" s="9">
        <f t="shared" si="0"/>
        <v>6</v>
      </c>
      <c r="C7" s="9">
        <v>5</v>
      </c>
      <c r="D7" s="10">
        <v>2022</v>
      </c>
      <c r="E7" s="11">
        <f>IF(Electricity!F13&lt;0,0,Electricity!F13)</f>
        <v>20345.000000002074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3169</v>
      </c>
      <c r="J7" s="83">
        <v>0.21186441</v>
      </c>
      <c r="K7" s="11">
        <f>IF('Water, Gas, Diesel'!F11&lt;0,0,'Water, Gas, Diesel'!F11)</f>
        <v>288</v>
      </c>
      <c r="L7" s="83">
        <v>1.6949000000000001</v>
      </c>
      <c r="M7" s="11">
        <f>Electricity!H13</f>
        <v>144</v>
      </c>
    </row>
    <row r="8" spans="1:15">
      <c r="A8" s="8" t="s">
        <v>13</v>
      </c>
      <c r="B8" s="9">
        <f t="shared" si="0"/>
        <v>7</v>
      </c>
      <c r="C8" s="9">
        <v>5</v>
      </c>
      <c r="D8" s="10">
        <v>2022</v>
      </c>
      <c r="E8" s="11">
        <f>IF(Electricity!F14&lt;0,0,Electricity!F14)</f>
        <v>19594.999999999345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2667</v>
      </c>
      <c r="J8" s="83">
        <v>0.21186441</v>
      </c>
      <c r="K8" s="11">
        <f>IF('Water, Gas, Diesel'!F12&lt;0,0,'Water, Gas, Diesel'!F12)</f>
        <v>286</v>
      </c>
      <c r="L8" s="83">
        <v>1.6949000000000001</v>
      </c>
      <c r="M8" s="11">
        <f>Electricity!H14</f>
        <v>153</v>
      </c>
    </row>
    <row r="9" spans="1:15">
      <c r="A9" s="8" t="s">
        <v>13</v>
      </c>
      <c r="B9" s="9">
        <f t="shared" si="0"/>
        <v>8</v>
      </c>
      <c r="C9" s="9">
        <v>5</v>
      </c>
      <c r="D9" s="10">
        <v>2022</v>
      </c>
      <c r="E9" s="11">
        <f>IF(Electricity!F15&lt;0,0,Electricity!F15)</f>
        <v>14262.499999999818</v>
      </c>
      <c r="F9" s="83">
        <v>9.3200000000000005E-2</v>
      </c>
      <c r="G9" s="11">
        <f>IF('Water, Gas, Diesel'!K13&lt;0,0,'Water, Gas, Diesel'!K13)</f>
        <v>110</v>
      </c>
      <c r="H9" s="83">
        <v>0.7</v>
      </c>
      <c r="I9" s="11">
        <f>IF('Water, Gas, Diesel'!C13&lt;0,0,'Water, Gas, Diesel'!C13)</f>
        <v>2073</v>
      </c>
      <c r="J9" s="83">
        <v>0.21186441</v>
      </c>
      <c r="K9" s="11">
        <f>IF('Water, Gas, Diesel'!F13&lt;0,0,'Water, Gas, Diesel'!F13)</f>
        <v>201</v>
      </c>
      <c r="L9" s="83">
        <v>1.6949000000000001</v>
      </c>
      <c r="M9" s="11">
        <f>Electricity!H15</f>
        <v>131</v>
      </c>
    </row>
    <row r="10" spans="1:15">
      <c r="A10" s="8" t="s">
        <v>13</v>
      </c>
      <c r="B10" s="9">
        <f t="shared" si="0"/>
        <v>9</v>
      </c>
      <c r="C10" s="9">
        <v>5</v>
      </c>
      <c r="D10" s="10">
        <v>2022</v>
      </c>
      <c r="E10" s="11">
        <f>IF(Electricity!F16&lt;0,0,Electricity!F16)</f>
        <v>20524.999999997817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2082</v>
      </c>
      <c r="J10" s="83">
        <v>0.21186441</v>
      </c>
      <c r="K10" s="11">
        <f>IF('Water, Gas, Diesel'!F14&lt;0,0,'Water, Gas, Diesel'!F14)</f>
        <v>294</v>
      </c>
      <c r="L10" s="83">
        <v>1.6949000000000001</v>
      </c>
      <c r="M10" s="11">
        <f>Electricity!H16</f>
        <v>90</v>
      </c>
    </row>
    <row r="11" spans="1:15">
      <c r="A11" s="8" t="s">
        <v>13</v>
      </c>
      <c r="B11" s="9">
        <f t="shared" si="0"/>
        <v>10</v>
      </c>
      <c r="C11" s="9">
        <v>5</v>
      </c>
      <c r="D11" s="10">
        <v>2022</v>
      </c>
      <c r="E11" s="11">
        <f>IF(Electricity!F17&lt;0,0,Electricity!F17)</f>
        <v>19995.000000003529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1734</v>
      </c>
      <c r="J11" s="83">
        <v>0.21186441</v>
      </c>
      <c r="K11" s="11">
        <f>IF('Water, Gas, Diesel'!F15&lt;0,0,'Water, Gas, Diesel'!F15)</f>
        <v>288</v>
      </c>
      <c r="L11" s="83">
        <v>1.6949000000000001</v>
      </c>
      <c r="M11" s="11">
        <f>Electricity!H17</f>
        <v>84</v>
      </c>
    </row>
    <row r="12" spans="1:15">
      <c r="A12" s="8" t="s">
        <v>13</v>
      </c>
      <c r="B12" s="9">
        <f t="shared" si="0"/>
        <v>11</v>
      </c>
      <c r="C12" s="9">
        <v>5</v>
      </c>
      <c r="D12" s="10">
        <v>2022</v>
      </c>
      <c r="E12" s="11">
        <f>IF(Electricity!F18&lt;0,0,Electricity!F18)</f>
        <v>22139.99999999487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3928</v>
      </c>
      <c r="J12" s="83">
        <v>0.21186441</v>
      </c>
      <c r="K12" s="11">
        <f>IF('Water, Gas, Diesel'!F16&lt;0,0,'Water, Gas, Diesel'!F16)</f>
        <v>315</v>
      </c>
      <c r="L12" s="83">
        <v>1.6949000000000001</v>
      </c>
      <c r="M12" s="11">
        <f>Electricity!H18</f>
        <v>85</v>
      </c>
    </row>
    <row r="13" spans="1:15">
      <c r="A13" s="8" t="s">
        <v>13</v>
      </c>
      <c r="B13" s="9">
        <f t="shared" si="0"/>
        <v>12</v>
      </c>
      <c r="C13" s="9">
        <v>5</v>
      </c>
      <c r="D13" s="10">
        <v>2022</v>
      </c>
      <c r="E13" s="11">
        <f>IF(Electricity!F19&lt;0,0,Electricity!F19)</f>
        <v>19905.000000003383</v>
      </c>
      <c r="F13" s="83">
        <v>9.3200000000000005E-2</v>
      </c>
      <c r="G13" s="11">
        <f>IF('Water, Gas, Diesel'!K17&lt;0,0,'Water, Gas, Diesel'!K17)</f>
        <v>570</v>
      </c>
      <c r="H13" s="83">
        <v>0.7</v>
      </c>
      <c r="I13" s="11">
        <f>IF('Water, Gas, Diesel'!C17&lt;0,0,'Water, Gas, Diesel'!C17)</f>
        <v>1920</v>
      </c>
      <c r="J13" s="83">
        <v>0.21186441</v>
      </c>
      <c r="K13" s="11">
        <f>IF('Water, Gas, Diesel'!F17&lt;0,0,'Water, Gas, Diesel'!F17)</f>
        <v>271</v>
      </c>
      <c r="L13" s="83">
        <v>1.6949000000000001</v>
      </c>
      <c r="M13" s="11">
        <f>Electricity!H19</f>
        <v>89</v>
      </c>
    </row>
    <row r="14" spans="1:15">
      <c r="A14" s="8" t="s">
        <v>13</v>
      </c>
      <c r="B14" s="9">
        <f t="shared" si="0"/>
        <v>13</v>
      </c>
      <c r="C14" s="9">
        <v>5</v>
      </c>
      <c r="D14" s="10">
        <v>2022</v>
      </c>
      <c r="E14" s="11">
        <f>IF(Electricity!F20&lt;0,0,Electricity!F20)</f>
        <v>20554.999999999382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2952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67</v>
      </c>
    </row>
    <row r="15" spans="1:15">
      <c r="A15" s="8" t="s">
        <v>13</v>
      </c>
      <c r="B15" s="9">
        <f t="shared" si="0"/>
        <v>14</v>
      </c>
      <c r="C15" s="9">
        <v>5</v>
      </c>
      <c r="D15" s="10">
        <v>2022</v>
      </c>
      <c r="E15" s="11">
        <f>IF(Electricity!F21&lt;0,0,Electricity!F21)</f>
        <v>19267.500000000837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2438</v>
      </c>
      <c r="J15" s="83">
        <v>0.21186441</v>
      </c>
      <c r="K15" s="11">
        <f>IF('Water, Gas, Diesel'!F19&lt;0,0,'Water, Gas, Diesel'!F19)</f>
        <v>529777</v>
      </c>
      <c r="L15" s="83">
        <v>1.6949000000000001</v>
      </c>
      <c r="M15" s="11">
        <f>Electricity!H21</f>
        <v>65</v>
      </c>
    </row>
    <row r="16" spans="1:15">
      <c r="A16" s="8" t="s">
        <v>13</v>
      </c>
      <c r="B16" s="9">
        <f t="shared" si="0"/>
        <v>15</v>
      </c>
      <c r="C16" s="9">
        <v>5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11650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70</v>
      </c>
    </row>
    <row r="17" spans="1:13">
      <c r="A17" s="8" t="s">
        <v>13</v>
      </c>
      <c r="B17" s="9">
        <f t="shared" si="0"/>
        <v>16</v>
      </c>
      <c r="C17" s="9">
        <v>5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5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5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5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5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5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5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5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5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5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5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5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5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5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5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5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10" activePane="bottomLeft" state="frozen"/>
      <selection pane="bottomLeft" activeCell="L18" sqref="L18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30</v>
      </c>
      <c r="B7" s="68">
        <v>15128.477000000001</v>
      </c>
      <c r="C7" s="69">
        <f t="shared" ref="C7:C24" si="0">(B8-B7)*2500</f>
        <v>8729.9999999959255</v>
      </c>
      <c r="D7" s="68">
        <v>15517.858</v>
      </c>
      <c r="E7" s="69">
        <f t="shared" ref="E7:E24" si="1">(D8-D7)*2500</f>
        <v>10202.500000000327</v>
      </c>
      <c r="F7" s="95">
        <f t="shared" ref="F7:F38" si="2">C7+E7</f>
        <v>18932.499999996253</v>
      </c>
      <c r="G7" s="67">
        <f>F7*0.0932</f>
        <v>1764.5089999996508</v>
      </c>
      <c r="H7" s="113">
        <v>138</v>
      </c>
    </row>
    <row r="8" spans="1:8" ht="30.95" customHeight="1">
      <c r="A8" s="100">
        <v>1</v>
      </c>
      <c r="B8" s="94">
        <v>15131.968999999999</v>
      </c>
      <c r="C8" s="70">
        <f t="shared" si="0"/>
        <v>6900.0000000005457</v>
      </c>
      <c r="D8" s="71">
        <v>15521.939</v>
      </c>
      <c r="E8" s="70">
        <f t="shared" si="1"/>
        <v>7862.5000000010914</v>
      </c>
      <c r="F8" s="51">
        <f t="shared" si="2"/>
        <v>14762.500000001637</v>
      </c>
      <c r="G8" s="67">
        <f t="shared" ref="G8:G39" si="3">F8*0.0932</f>
        <v>1375.8650000001526</v>
      </c>
      <c r="H8" s="142">
        <v>149</v>
      </c>
    </row>
    <row r="9" spans="1:8" ht="30.95" customHeight="1">
      <c r="A9" s="102">
        <v>2</v>
      </c>
      <c r="B9" s="72">
        <v>15134.728999999999</v>
      </c>
      <c r="C9" s="39">
        <f t="shared" si="0"/>
        <v>10072.500000001128</v>
      </c>
      <c r="D9" s="71">
        <v>15525.084000000001</v>
      </c>
      <c r="E9" s="39">
        <f t="shared" si="1"/>
        <v>11542.499999995925</v>
      </c>
      <c r="F9" s="47">
        <f t="shared" si="2"/>
        <v>21614.999999997053</v>
      </c>
      <c r="G9" s="67">
        <f t="shared" si="3"/>
        <v>2014.5179999997254</v>
      </c>
      <c r="H9" s="101">
        <v>158</v>
      </c>
    </row>
    <row r="10" spans="1:8" ht="30.95" customHeight="1">
      <c r="A10" s="100">
        <v>3</v>
      </c>
      <c r="B10" s="73">
        <v>15138.758</v>
      </c>
      <c r="C10" s="70">
        <f t="shared" si="0"/>
        <v>9622.5000000004002</v>
      </c>
      <c r="D10" s="74">
        <v>15529.700999999999</v>
      </c>
      <c r="E10" s="70">
        <f t="shared" si="1"/>
        <v>11830.000000004475</v>
      </c>
      <c r="F10" s="51">
        <f t="shared" si="2"/>
        <v>21452.500000004875</v>
      </c>
      <c r="G10" s="67">
        <f t="shared" si="3"/>
        <v>1999.3730000004543</v>
      </c>
      <c r="H10" s="103">
        <v>161</v>
      </c>
    </row>
    <row r="11" spans="1:8" ht="30.95" customHeight="1">
      <c r="A11" s="102">
        <v>4</v>
      </c>
      <c r="B11" s="75">
        <v>15142.607</v>
      </c>
      <c r="C11" s="39">
        <f t="shared" si="0"/>
        <v>9369.9999999989814</v>
      </c>
      <c r="D11" s="76">
        <v>15534.433000000001</v>
      </c>
      <c r="E11" s="39">
        <f t="shared" si="1"/>
        <v>11574.999999997999</v>
      </c>
      <c r="F11" s="47">
        <f t="shared" si="2"/>
        <v>20944.99999999698</v>
      </c>
      <c r="G11" s="67">
        <f t="shared" si="3"/>
        <v>1952.0739999997186</v>
      </c>
      <c r="H11" s="103">
        <v>168</v>
      </c>
    </row>
    <row r="12" spans="1:8" ht="30.95" customHeight="1">
      <c r="A12" s="100">
        <v>5</v>
      </c>
      <c r="B12" s="77">
        <v>15146.355</v>
      </c>
      <c r="C12" s="70">
        <f t="shared" si="0"/>
        <v>9237.4999999992724</v>
      </c>
      <c r="D12" s="74">
        <v>15539.063</v>
      </c>
      <c r="E12" s="70">
        <f t="shared" si="1"/>
        <v>11297.500000000582</v>
      </c>
      <c r="F12" s="51">
        <f t="shared" si="2"/>
        <v>20534.999999999854</v>
      </c>
      <c r="G12" s="67">
        <f t="shared" si="3"/>
        <v>1913.8619999999864</v>
      </c>
      <c r="H12" s="103">
        <v>171</v>
      </c>
    </row>
    <row r="13" spans="1:8" ht="30.95" customHeight="1">
      <c r="A13" s="102">
        <v>6</v>
      </c>
      <c r="B13" s="75">
        <v>15150.05</v>
      </c>
      <c r="C13" s="39">
        <f t="shared" si="0"/>
        <v>9227.5000000017826</v>
      </c>
      <c r="D13" s="76">
        <v>15543.582</v>
      </c>
      <c r="E13" s="39">
        <f t="shared" si="1"/>
        <v>11117.500000000291</v>
      </c>
      <c r="F13" s="47">
        <f t="shared" si="2"/>
        <v>20345.000000002074</v>
      </c>
      <c r="G13" s="67">
        <f t="shared" si="3"/>
        <v>1896.1540000001933</v>
      </c>
      <c r="H13" s="103">
        <v>144</v>
      </c>
    </row>
    <row r="14" spans="1:8" ht="30.95" customHeight="1">
      <c r="A14" s="100">
        <v>7</v>
      </c>
      <c r="B14" s="77">
        <v>15153.741</v>
      </c>
      <c r="C14" s="70">
        <f t="shared" si="0"/>
        <v>9397.5000000000364</v>
      </c>
      <c r="D14" s="104">
        <v>15548.029</v>
      </c>
      <c r="E14" s="70">
        <f t="shared" si="1"/>
        <v>10197.499999999309</v>
      </c>
      <c r="F14" s="51">
        <f t="shared" si="2"/>
        <v>19594.999999999345</v>
      </c>
      <c r="G14" s="67">
        <f t="shared" si="3"/>
        <v>1826.253999999939</v>
      </c>
      <c r="H14" s="103">
        <v>153</v>
      </c>
    </row>
    <row r="15" spans="1:8" ht="30.95" customHeight="1">
      <c r="A15" s="102">
        <v>8</v>
      </c>
      <c r="B15" s="75">
        <v>15157.5</v>
      </c>
      <c r="C15" s="39">
        <f t="shared" si="0"/>
        <v>6759.9999999993088</v>
      </c>
      <c r="D15" s="78">
        <v>15552.108</v>
      </c>
      <c r="E15" s="39">
        <f t="shared" si="1"/>
        <v>7502.5000000005093</v>
      </c>
      <c r="F15" s="47">
        <f t="shared" si="2"/>
        <v>14262.499999999818</v>
      </c>
      <c r="G15" s="67">
        <f t="shared" si="3"/>
        <v>1329.264999999983</v>
      </c>
      <c r="H15" s="103">
        <v>131</v>
      </c>
    </row>
    <row r="16" spans="1:8" ht="30.95" customHeight="1">
      <c r="A16" s="100">
        <v>9</v>
      </c>
      <c r="B16" s="79">
        <v>15160.204</v>
      </c>
      <c r="C16" s="70">
        <f t="shared" si="0"/>
        <v>9437.4999999990905</v>
      </c>
      <c r="D16" s="80">
        <v>15555.109</v>
      </c>
      <c r="E16" s="70">
        <f t="shared" si="1"/>
        <v>11087.499999998727</v>
      </c>
      <c r="F16" s="51">
        <f t="shared" si="2"/>
        <v>20524.999999997817</v>
      </c>
      <c r="G16" s="67">
        <f t="shared" si="3"/>
        <v>1912.9299999997966</v>
      </c>
      <c r="H16" s="103">
        <v>90</v>
      </c>
    </row>
    <row r="17" spans="1:8" ht="30.95" customHeight="1">
      <c r="A17" s="102">
        <v>10</v>
      </c>
      <c r="B17" s="77">
        <v>15163.978999999999</v>
      </c>
      <c r="C17" s="39">
        <f t="shared" si="0"/>
        <v>8945.0000000033469</v>
      </c>
      <c r="D17" s="104">
        <v>15559.544</v>
      </c>
      <c r="E17" s="39">
        <f t="shared" si="1"/>
        <v>11050.000000000182</v>
      </c>
      <c r="F17" s="47">
        <f t="shared" si="2"/>
        <v>19995.000000003529</v>
      </c>
      <c r="G17" s="67">
        <f t="shared" si="3"/>
        <v>1863.5340000003289</v>
      </c>
      <c r="H17" s="103">
        <v>84</v>
      </c>
    </row>
    <row r="18" spans="1:8" ht="30.95" customHeight="1">
      <c r="A18" s="100">
        <v>11</v>
      </c>
      <c r="B18" s="75">
        <v>15167.557000000001</v>
      </c>
      <c r="C18" s="70">
        <f t="shared" si="0"/>
        <v>10049.999999996544</v>
      </c>
      <c r="D18" s="78">
        <v>15563.964</v>
      </c>
      <c r="E18" s="70">
        <f t="shared" si="1"/>
        <v>12089.999999998327</v>
      </c>
      <c r="F18" s="51">
        <f t="shared" si="2"/>
        <v>22139.99999999487</v>
      </c>
      <c r="G18" s="67">
        <f t="shared" si="3"/>
        <v>2063.4479999995219</v>
      </c>
      <c r="H18" s="103">
        <v>85</v>
      </c>
    </row>
    <row r="19" spans="1:8" ht="30.95" customHeight="1">
      <c r="A19" s="102">
        <v>12</v>
      </c>
      <c r="B19" s="77">
        <v>15171.576999999999</v>
      </c>
      <c r="C19" s="39">
        <f t="shared" si="0"/>
        <v>11825.000000003456</v>
      </c>
      <c r="D19" s="104">
        <v>15568.8</v>
      </c>
      <c r="E19" s="39">
        <f t="shared" si="1"/>
        <v>8079.9999999999272</v>
      </c>
      <c r="F19" s="47">
        <f t="shared" si="2"/>
        <v>19905.000000003383</v>
      </c>
      <c r="G19" s="67">
        <f t="shared" si="3"/>
        <v>1855.1460000003153</v>
      </c>
      <c r="H19" s="103">
        <v>89</v>
      </c>
    </row>
    <row r="20" spans="1:8" ht="30.95" customHeight="1">
      <c r="A20" s="100">
        <v>13</v>
      </c>
      <c r="B20" s="75">
        <v>15176.307000000001</v>
      </c>
      <c r="C20" s="70">
        <f t="shared" si="0"/>
        <v>12817.499999996471</v>
      </c>
      <c r="D20" s="81">
        <v>15572.031999999999</v>
      </c>
      <c r="E20" s="70">
        <f t="shared" si="1"/>
        <v>7737.5000000029104</v>
      </c>
      <c r="F20" s="51">
        <f t="shared" si="2"/>
        <v>20554.999999999382</v>
      </c>
      <c r="G20" s="67">
        <f t="shared" si="3"/>
        <v>1915.7259999999424</v>
      </c>
      <c r="H20" s="103">
        <v>67</v>
      </c>
    </row>
    <row r="21" spans="1:8" ht="30.95" customHeight="1">
      <c r="A21" s="102">
        <v>14</v>
      </c>
      <c r="B21" s="75">
        <v>15181.433999999999</v>
      </c>
      <c r="C21" s="39">
        <f t="shared" si="0"/>
        <v>12967.499999999745</v>
      </c>
      <c r="D21" s="78">
        <v>15575.127</v>
      </c>
      <c r="E21" s="39">
        <f t="shared" si="1"/>
        <v>6300.0000000010914</v>
      </c>
      <c r="F21" s="47">
        <f t="shared" si="2"/>
        <v>19267.500000000837</v>
      </c>
      <c r="G21" s="67">
        <f t="shared" si="3"/>
        <v>1795.731000000078</v>
      </c>
      <c r="H21" s="103">
        <v>65</v>
      </c>
    </row>
    <row r="22" spans="1:8" ht="30.95" customHeight="1">
      <c r="A22" s="100">
        <v>15</v>
      </c>
      <c r="B22" s="75">
        <v>15186.620999999999</v>
      </c>
      <c r="C22" s="70">
        <f t="shared" si="0"/>
        <v>-37966552.5</v>
      </c>
      <c r="D22" s="57">
        <v>15577.647000000001</v>
      </c>
      <c r="E22" s="70">
        <f t="shared" si="1"/>
        <v>-38944117.5</v>
      </c>
      <c r="F22" s="51">
        <f t="shared" si="2"/>
        <v>-76910670</v>
      </c>
      <c r="G22" s="67">
        <f t="shared" si="3"/>
        <v>-7168074.4440000001</v>
      </c>
      <c r="H22" s="103">
        <v>70</v>
      </c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08">
        <v>30</v>
      </c>
      <c r="B37" s="109"/>
      <c r="C37" s="110">
        <f>(B38-B37)*2500</f>
        <v>0</v>
      </c>
      <c r="D37" s="111"/>
      <c r="E37" s="110">
        <f>(D38-D37)*2500</f>
        <v>0</v>
      </c>
      <c r="F37" s="112">
        <f t="shared" si="2"/>
        <v>0</v>
      </c>
      <c r="G37" s="67">
        <f t="shared" si="3"/>
        <v>0</v>
      </c>
      <c r="H37" s="113"/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12" activePane="bottomLeft" state="frozen"/>
      <selection pane="bottomLeft" activeCell="E19" sqref="E19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30</v>
      </c>
      <c r="B5" s="91">
        <v>6779812</v>
      </c>
      <c r="C5" s="105">
        <f>B6-B5</f>
        <v>2439</v>
      </c>
      <c r="D5" s="34">
        <f>C5*0.21186441</f>
        <v>516.73729599000001</v>
      </c>
      <c r="E5" s="35">
        <v>525668</v>
      </c>
      <c r="F5" s="106">
        <f>E6-E5</f>
        <v>283</v>
      </c>
      <c r="G5" s="36">
        <f>F5*0.84746</f>
        <v>239.83117999999999</v>
      </c>
      <c r="H5" s="36">
        <f>F5*0.84746</f>
        <v>239.83117999999999</v>
      </c>
      <c r="I5" s="92">
        <f>G5+H5</f>
        <v>479.66235999999998</v>
      </c>
      <c r="J5" s="37">
        <f>5780+6440</f>
        <v>12220</v>
      </c>
      <c r="K5" s="38">
        <f>J5-J6</f>
        <v>-120</v>
      </c>
      <c r="L5" s="39">
        <f>K5*0.7</f>
        <v>-84</v>
      </c>
    </row>
    <row r="6" spans="1:12" ht="32.450000000000003" customHeight="1">
      <c r="A6" s="40">
        <v>1</v>
      </c>
      <c r="B6" s="91">
        <v>6782251</v>
      </c>
      <c r="C6" s="53">
        <f t="shared" ref="C6:C15" si="0">B7-B6</f>
        <v>2088</v>
      </c>
      <c r="D6" s="41">
        <f>C6*0.21186441</f>
        <v>442.37288808</v>
      </c>
      <c r="E6" s="42">
        <v>525951</v>
      </c>
      <c r="F6" s="54">
        <f t="shared" ref="F6:F15" si="1">E7-E6</f>
        <v>190</v>
      </c>
      <c r="G6" s="43">
        <f>F6*0.84746</f>
        <v>161.01740000000001</v>
      </c>
      <c r="H6" s="43">
        <f>F6*0.84746</f>
        <v>161.01740000000001</v>
      </c>
      <c r="I6" s="44">
        <f t="shared" ref="I6:I36" si="2">G6+H6</f>
        <v>322.03480000000002</v>
      </c>
      <c r="J6" s="37">
        <f>5860+6480</f>
        <v>12340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6784339</v>
      </c>
      <c r="C7" s="55">
        <f t="shared" si="0"/>
        <v>2413</v>
      </c>
      <c r="D7" s="46">
        <f>C7*0.21186441</f>
        <v>511.22882133000002</v>
      </c>
      <c r="E7" s="47">
        <v>526141</v>
      </c>
      <c r="F7" s="56">
        <f t="shared" si="1"/>
        <v>339</v>
      </c>
      <c r="G7" s="48">
        <f t="shared" ref="G7:G36" si="4">F7*0.84746</f>
        <v>287.28894000000003</v>
      </c>
      <c r="H7" s="48">
        <f t="shared" ref="H7:H36" si="5">F7*0.84746</f>
        <v>287.28894000000003</v>
      </c>
      <c r="I7" s="49">
        <f t="shared" si="2"/>
        <v>574.57788000000005</v>
      </c>
      <c r="J7" s="37">
        <f>5860+6480</f>
        <v>12340</v>
      </c>
      <c r="K7" s="38">
        <f t="shared" si="3"/>
        <v>10</v>
      </c>
      <c r="L7" s="39">
        <f t="shared" ref="L7:L36" si="6">K7*0.7</f>
        <v>7</v>
      </c>
    </row>
    <row r="8" spans="1:12" ht="32.450000000000003" customHeight="1">
      <c r="A8" s="40">
        <v>3</v>
      </c>
      <c r="B8" s="40">
        <v>6786752</v>
      </c>
      <c r="C8" s="53">
        <f t="shared" si="0"/>
        <v>2758</v>
      </c>
      <c r="D8" s="46">
        <f t="shared" ref="D8:D36" si="7">C8*0.21186441</f>
        <v>584.32204278000006</v>
      </c>
      <c r="E8" s="47">
        <v>526480</v>
      </c>
      <c r="F8" s="54">
        <f t="shared" si="1"/>
        <v>268</v>
      </c>
      <c r="G8" s="43">
        <f t="shared" si="4"/>
        <v>227.11928</v>
      </c>
      <c r="H8" s="43">
        <f t="shared" si="5"/>
        <v>227.11928</v>
      </c>
      <c r="I8" s="49">
        <f t="shared" si="2"/>
        <v>454.23856000000001</v>
      </c>
      <c r="J8" s="37">
        <f>5850+6480</f>
        <v>12330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6789510</v>
      </c>
      <c r="C9" s="55">
        <f t="shared" si="0"/>
        <v>2915</v>
      </c>
      <c r="D9" s="46">
        <f t="shared" si="7"/>
        <v>617.58475514999998</v>
      </c>
      <c r="E9" s="47">
        <v>526748</v>
      </c>
      <c r="F9" s="56">
        <f t="shared" si="1"/>
        <v>266</v>
      </c>
      <c r="G9" s="48">
        <f t="shared" si="4"/>
        <v>225.42436000000001</v>
      </c>
      <c r="H9" s="48">
        <f t="shared" si="5"/>
        <v>225.42436000000001</v>
      </c>
      <c r="I9" s="49">
        <f t="shared" si="2"/>
        <v>450.84872000000001</v>
      </c>
      <c r="J9" s="37">
        <f>5850+6480</f>
        <v>12330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6792425</v>
      </c>
      <c r="C10" s="53">
        <f t="shared" si="0"/>
        <v>3307</v>
      </c>
      <c r="D10" s="46">
        <f t="shared" si="7"/>
        <v>700.63560386999995</v>
      </c>
      <c r="E10" s="47">
        <v>527014</v>
      </c>
      <c r="F10" s="54">
        <f t="shared" si="1"/>
        <v>268</v>
      </c>
      <c r="G10" s="43">
        <f t="shared" si="4"/>
        <v>227.11928</v>
      </c>
      <c r="H10" s="43">
        <f t="shared" si="5"/>
        <v>227.11928</v>
      </c>
      <c r="I10" s="49">
        <f t="shared" si="2"/>
        <v>454.23856000000001</v>
      </c>
      <c r="J10" s="37">
        <f>5850+6480</f>
        <v>12330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6795732</v>
      </c>
      <c r="C11" s="55">
        <f t="shared" si="0"/>
        <v>3169</v>
      </c>
      <c r="D11" s="46">
        <f t="shared" si="7"/>
        <v>671.39831529000003</v>
      </c>
      <c r="E11" s="47">
        <v>527282</v>
      </c>
      <c r="F11" s="56">
        <f t="shared" si="1"/>
        <v>288</v>
      </c>
      <c r="G11" s="48">
        <f t="shared" si="4"/>
        <v>244.06847999999999</v>
      </c>
      <c r="H11" s="48">
        <f t="shared" si="5"/>
        <v>244.06847999999999</v>
      </c>
      <c r="I11" s="49">
        <f t="shared" si="2"/>
        <v>488.13695999999999</v>
      </c>
      <c r="J11" s="37">
        <f>5850+6480</f>
        <v>12330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6798901</v>
      </c>
      <c r="C12" s="53">
        <f t="shared" si="0"/>
        <v>2667</v>
      </c>
      <c r="D12" s="46">
        <f t="shared" si="7"/>
        <v>565.04238147000001</v>
      </c>
      <c r="E12" s="47">
        <v>527570</v>
      </c>
      <c r="F12" s="54">
        <f t="shared" si="1"/>
        <v>286</v>
      </c>
      <c r="G12" s="43">
        <f t="shared" si="4"/>
        <v>242.37356</v>
      </c>
      <c r="H12" s="43">
        <f t="shared" si="5"/>
        <v>242.37356</v>
      </c>
      <c r="I12" s="49">
        <f t="shared" si="2"/>
        <v>484.74712</v>
      </c>
      <c r="J12" s="37">
        <f>5850+6480</f>
        <v>12330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6801568</v>
      </c>
      <c r="C13" s="55">
        <f t="shared" si="0"/>
        <v>2073</v>
      </c>
      <c r="D13" s="46">
        <f t="shared" si="7"/>
        <v>439.19492193000002</v>
      </c>
      <c r="E13" s="47">
        <v>527856</v>
      </c>
      <c r="F13" s="56">
        <f t="shared" si="1"/>
        <v>201</v>
      </c>
      <c r="G13" s="48">
        <f t="shared" si="4"/>
        <v>170.33946</v>
      </c>
      <c r="H13" s="48">
        <f t="shared" si="5"/>
        <v>170.33946</v>
      </c>
      <c r="I13" s="49">
        <f t="shared" si="2"/>
        <v>340.67892000000001</v>
      </c>
      <c r="J13" s="37">
        <f>5850+6480</f>
        <v>12330</v>
      </c>
      <c r="K13" s="38">
        <f>J13-J14</f>
        <v>110</v>
      </c>
      <c r="L13" s="39">
        <f t="shared" si="6"/>
        <v>77</v>
      </c>
    </row>
    <row r="14" spans="1:12" ht="32.450000000000003" customHeight="1">
      <c r="A14" s="40">
        <v>9</v>
      </c>
      <c r="B14" s="40">
        <v>6803641</v>
      </c>
      <c r="C14" s="53">
        <f t="shared" si="0"/>
        <v>2082</v>
      </c>
      <c r="D14" s="46">
        <f t="shared" si="7"/>
        <v>441.10170162000003</v>
      </c>
      <c r="E14" s="47">
        <v>528057</v>
      </c>
      <c r="F14" s="54">
        <f t="shared" si="1"/>
        <v>294</v>
      </c>
      <c r="G14" s="48">
        <f t="shared" si="4"/>
        <v>249.15324000000001</v>
      </c>
      <c r="H14" s="43">
        <f t="shared" si="5"/>
        <v>249.15324000000001</v>
      </c>
      <c r="I14" s="49">
        <f t="shared" si="2"/>
        <v>498.30648000000002</v>
      </c>
      <c r="J14" s="37">
        <f>5780+6440</f>
        <v>12220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6805723</v>
      </c>
      <c r="C15" s="55">
        <f t="shared" si="0"/>
        <v>1734</v>
      </c>
      <c r="D15" s="46">
        <f t="shared" si="7"/>
        <v>367.37288694</v>
      </c>
      <c r="E15" s="47">
        <v>528351</v>
      </c>
      <c r="F15" s="56">
        <f t="shared" si="1"/>
        <v>288</v>
      </c>
      <c r="G15" s="48">
        <f t="shared" si="4"/>
        <v>244.06847999999999</v>
      </c>
      <c r="H15" s="48">
        <f t="shared" si="5"/>
        <v>244.06847999999999</v>
      </c>
      <c r="I15" s="49">
        <f t="shared" si="2"/>
        <v>488.13695999999999</v>
      </c>
      <c r="J15" s="37">
        <f>5780+6440</f>
        <v>12220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6807457</v>
      </c>
      <c r="C16" s="53">
        <f>B17-B16</f>
        <v>3928</v>
      </c>
      <c r="D16" s="46">
        <f t="shared" si="7"/>
        <v>832.20340248000002</v>
      </c>
      <c r="E16" s="47">
        <v>528639</v>
      </c>
      <c r="F16" s="54">
        <f>E17-E16</f>
        <v>315</v>
      </c>
      <c r="G16" s="43">
        <f t="shared" si="4"/>
        <v>266.94990000000001</v>
      </c>
      <c r="H16" s="43">
        <f t="shared" si="5"/>
        <v>266.94990000000001</v>
      </c>
      <c r="I16" s="49">
        <f t="shared" si="2"/>
        <v>533.89980000000003</v>
      </c>
      <c r="J16" s="37">
        <f>5780+6440</f>
        <v>12220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6811385</v>
      </c>
      <c r="C17" s="55">
        <f t="shared" ref="C17:C35" si="8">B18-B17</f>
        <v>1920</v>
      </c>
      <c r="D17" s="46">
        <f t="shared" si="7"/>
        <v>406.77966720000001</v>
      </c>
      <c r="E17" s="47">
        <v>528954</v>
      </c>
      <c r="F17" s="56">
        <f t="shared" ref="F17:F35" si="9">E18-E17</f>
        <v>271</v>
      </c>
      <c r="G17" s="48">
        <f t="shared" si="4"/>
        <v>229.66165999999998</v>
      </c>
      <c r="H17" s="48">
        <f t="shared" si="5"/>
        <v>229.66165999999998</v>
      </c>
      <c r="I17" s="49">
        <f t="shared" si="2"/>
        <v>459.32331999999997</v>
      </c>
      <c r="J17" s="37">
        <f>5780+6440</f>
        <v>12220</v>
      </c>
      <c r="K17" s="38">
        <f t="shared" si="3"/>
        <v>570</v>
      </c>
      <c r="L17" s="39">
        <f t="shared" si="6"/>
        <v>399</v>
      </c>
    </row>
    <row r="18" spans="1:12" ht="32.450000000000003" customHeight="1">
      <c r="A18" s="40">
        <v>13</v>
      </c>
      <c r="B18" s="40">
        <v>6813305</v>
      </c>
      <c r="C18" s="53">
        <f t="shared" si="8"/>
        <v>2952</v>
      </c>
      <c r="D18" s="46">
        <f t="shared" si="7"/>
        <v>625.42373831999998</v>
      </c>
      <c r="E18" s="51">
        <v>529225</v>
      </c>
      <c r="F18" s="54">
        <f t="shared" si="9"/>
        <v>-529225</v>
      </c>
      <c r="G18" s="43">
        <f t="shared" si="4"/>
        <v>-448497.01850000001</v>
      </c>
      <c r="H18" s="43">
        <f t="shared" si="5"/>
        <v>-448497.01850000001</v>
      </c>
      <c r="I18" s="49">
        <f t="shared" si="2"/>
        <v>-896994.03700000001</v>
      </c>
      <c r="J18" s="37">
        <f>5210+6440</f>
        <v>11650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6816257</v>
      </c>
      <c r="C19" s="55">
        <f t="shared" si="8"/>
        <v>2438</v>
      </c>
      <c r="D19" s="46">
        <f t="shared" si="7"/>
        <v>516.52543158000003</v>
      </c>
      <c r="E19" s="52"/>
      <c r="F19" s="56">
        <f t="shared" si="9"/>
        <v>529777</v>
      </c>
      <c r="G19" s="48">
        <f t="shared" si="4"/>
        <v>448964.81641999999</v>
      </c>
      <c r="H19" s="48">
        <f t="shared" si="5"/>
        <v>448964.81641999999</v>
      </c>
      <c r="I19" s="49">
        <f t="shared" si="2"/>
        <v>897929.63283999998</v>
      </c>
      <c r="J19" s="37">
        <f>5210+6440</f>
        <v>11650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6818695</v>
      </c>
      <c r="C20" s="53">
        <f t="shared" si="8"/>
        <v>-6818695</v>
      </c>
      <c r="D20" s="46">
        <f t="shared" si="7"/>
        <v>-1444638.7931449499</v>
      </c>
      <c r="E20" s="51">
        <v>529777</v>
      </c>
      <c r="F20" s="54">
        <f t="shared" si="9"/>
        <v>-529777</v>
      </c>
      <c r="G20" s="43">
        <f t="shared" si="4"/>
        <v>-448964.81641999999</v>
      </c>
      <c r="H20" s="43">
        <f t="shared" si="5"/>
        <v>-448964.81641999999</v>
      </c>
      <c r="I20" s="49">
        <f t="shared" si="2"/>
        <v>-897929.63283999998</v>
      </c>
      <c r="J20" s="37">
        <f>5210+6440</f>
        <v>11650</v>
      </c>
      <c r="K20" s="38">
        <f t="shared" si="3"/>
        <v>11650</v>
      </c>
      <c r="L20" s="39">
        <f t="shared" si="6"/>
        <v>8154.9999999999991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12"/>
      <c r="F35" s="119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41">
        <f t="shared" si="6"/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2022-05-16T05:36:39Z</dcterms:modified>
  <cp:category/>
  <cp:contentStatus/>
</cp:coreProperties>
</file>