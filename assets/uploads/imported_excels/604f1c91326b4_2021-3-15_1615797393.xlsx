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19" i="73"/>
  <c r="Y7" i="2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8"/>
  <c r="F18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18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17" i="3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8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5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3" s="1"/>
  <c r="H16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9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17" i="2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17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17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17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7" i="2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7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17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17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4" s="1"/>
  <c r="M17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G19" i="73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V22" i="3"/>
  <c r="U22" s="1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Q12" l="1"/>
  <c r="BJ14" i="7"/>
  <c r="AY11"/>
  <c r="BJ11"/>
  <c r="Q13" i="76"/>
  <c r="BJ15" i="7"/>
  <c r="Q8" i="76"/>
  <c r="BJ10" i="7"/>
  <c r="Q11" i="76"/>
  <c r="BJ13" i="7"/>
  <c r="AY8"/>
  <c r="BJ8"/>
  <c r="Q7" i="76"/>
  <c r="BJ9" i="7"/>
  <c r="AY15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8"/>
  <c r="U8"/>
  <c r="AA8" s="1"/>
  <c r="AC8" s="1"/>
  <c r="AH8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<sst xmlns="http://schemas.openxmlformats.org/spreadsheetml/2006/main" count="652" uniqueCount="417">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</sst>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9951744"/>
        <c:axId val="99953280"/>
      </c:lineChart>
      <c:catAx>
        <c:axId val="999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53280"/>
        <c:crosses val="autoZero"/>
        <c:auto val="1"/>
        <c:lblAlgn val="ctr"/>
        <c:lblOffset val="100"/>
      </c:catAx>
      <c:valAx>
        <c:axId val="99953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9994240"/>
        <c:axId val="102961536"/>
      </c:lineChart>
      <c:catAx>
        <c:axId val="9999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61536"/>
        <c:crosses val="autoZero"/>
        <c:auto val="1"/>
        <c:lblAlgn val="ctr"/>
        <c:lblOffset val="100"/>
      </c:catAx>
      <c:valAx>
        <c:axId val="10296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9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4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2989824"/>
        <c:axId val="102991360"/>
      </c:lineChart>
      <c:catAx>
        <c:axId val="10298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91360"/>
        <c:crosses val="autoZero"/>
        <c:auto val="1"/>
        <c:lblAlgn val="ctr"/>
        <c:lblOffset val="100"/>
      </c:catAx>
      <c:valAx>
        <c:axId val="1029913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8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95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686336"/>
        <c:axId val="126687872"/>
      </c:lineChart>
      <c:catAx>
        <c:axId val="12668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87872"/>
        <c:crosses val="autoZero"/>
        <c:auto val="1"/>
        <c:lblAlgn val="ctr"/>
        <c:lblOffset val="100"/>
      </c:catAx>
      <c:valAx>
        <c:axId val="126687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8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54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707968"/>
        <c:axId val="126709760"/>
      </c:lineChart>
      <c:catAx>
        <c:axId val="12670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09760"/>
        <c:crosses val="autoZero"/>
        <c:auto val="1"/>
        <c:lblAlgn val="ctr"/>
        <c:lblOffset val="100"/>
      </c:catAx>
      <c:valAx>
        <c:axId val="126709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0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9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-16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906752"/>
        <c:axId val="126908288"/>
      </c:lineChart>
      <c:catAx>
        <c:axId val="1269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08288"/>
        <c:crosses val="autoZero"/>
        <c:auto val="1"/>
        <c:lblAlgn val="ctr"/>
        <c:lblOffset val="100"/>
      </c:catAx>
      <c:valAx>
        <c:axId val="12690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0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924288"/>
        <c:axId val="126925824"/>
      </c:lineChart>
      <c:catAx>
        <c:axId val="12692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25824"/>
        <c:crosses val="autoZero"/>
        <c:auto val="1"/>
        <c:lblAlgn val="ctr"/>
        <c:lblOffset val="100"/>
      </c:catAx>
      <c:valAx>
        <c:axId val="12692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2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154432"/>
        <c:axId val="127156224"/>
      </c:lineChart>
      <c:catAx>
        <c:axId val="12715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56224"/>
        <c:crosses val="autoZero"/>
        <c:auto val="1"/>
        <c:lblAlgn val="ctr"/>
        <c:lblOffset val="100"/>
      </c:catAx>
      <c:valAx>
        <c:axId val="12715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5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167872"/>
        <c:axId val="127186048"/>
      </c:lineChart>
      <c:catAx>
        <c:axId val="12716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6048"/>
        <c:crosses val="autoZero"/>
        <c:auto val="1"/>
        <c:lblAlgn val="ctr"/>
        <c:lblOffset val="100"/>
      </c:catAx>
      <c:valAx>
        <c:axId val="127186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6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394"/>
          <c:w val="0.1272403315177400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279872"/>
        <c:axId val="127281408"/>
      </c:lineChart>
      <c:catAx>
        <c:axId val="12727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81408"/>
        <c:crosses val="autoZero"/>
        <c:auto val="1"/>
        <c:lblAlgn val="ctr"/>
        <c:lblOffset val="100"/>
      </c:catAx>
      <c:valAx>
        <c:axId val="12728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7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321984"/>
        <c:axId val="127323520"/>
      </c:lineChart>
      <c:catAx>
        <c:axId val="1273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3520"/>
        <c:crosses val="autoZero"/>
        <c:auto val="1"/>
        <c:lblAlgn val="ctr"/>
        <c:lblOffset val="100"/>
      </c:catAx>
      <c:valAx>
        <c:axId val="12732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394"/>
          <c:w val="0.135416885389356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220736"/>
        <c:axId val="127230720"/>
      </c:lineChart>
      <c:catAx>
        <c:axId val="12722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30720"/>
        <c:crosses val="autoZero"/>
        <c:auto val="1"/>
        <c:lblAlgn val="ctr"/>
        <c:lblOffset val="100"/>
      </c:catAx>
      <c:valAx>
        <c:axId val="127230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2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39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251200"/>
        <c:axId val="127252736"/>
      </c:lineChart>
      <c:catAx>
        <c:axId val="12725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52736"/>
        <c:crosses val="autoZero"/>
        <c:auto val="1"/>
        <c:lblAlgn val="ctr"/>
        <c:lblOffset val="100"/>
      </c:catAx>
      <c:valAx>
        <c:axId val="127252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5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7342464"/>
        <c:axId val="127344000"/>
      </c:lineChart>
      <c:catAx>
        <c:axId val="12734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44000"/>
        <c:crosses val="autoZero"/>
        <c:auto val="1"/>
        <c:lblAlgn val="ctr"/>
        <c:lblOffset val="100"/>
      </c:catAx>
      <c:valAx>
        <c:axId val="12734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4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394"/>
          <c:w val="0.135416885389356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384576"/>
        <c:axId val="127394560"/>
      </c:lineChart>
      <c:catAx>
        <c:axId val="12738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4560"/>
        <c:crosses val="autoZero"/>
        <c:auto val="1"/>
        <c:lblAlgn val="ctr"/>
        <c:lblOffset val="100"/>
      </c:catAx>
      <c:valAx>
        <c:axId val="1273945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2"/>
          <c:y val="0.54325368498487869"/>
          <c:w val="0.11458355205599259"/>
          <c:h val="4.49826989619499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418752"/>
        <c:axId val="127420288"/>
      </c:lineChart>
      <c:catAx>
        <c:axId val="1274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20288"/>
        <c:crosses val="autoZero"/>
        <c:auto val="1"/>
        <c:lblAlgn val="ctr"/>
        <c:lblOffset val="100"/>
      </c:catAx>
      <c:valAx>
        <c:axId val="127420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58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-16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448960"/>
        <c:axId val="127450496"/>
      </c:lineChart>
      <c:catAx>
        <c:axId val="12744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50496"/>
        <c:crosses val="autoZero"/>
        <c:auto val="1"/>
        <c:lblAlgn val="ctr"/>
        <c:lblOffset val="100"/>
      </c:catAx>
      <c:valAx>
        <c:axId val="12745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4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491072"/>
        <c:axId val="127501056"/>
      </c:lineChart>
      <c:catAx>
        <c:axId val="12749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01056"/>
        <c:crosses val="autoZero"/>
        <c:auto val="1"/>
        <c:lblAlgn val="ctr"/>
        <c:lblOffset val="100"/>
      </c:catAx>
      <c:valAx>
        <c:axId val="1275010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9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1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25248"/>
        <c:axId val="127526784"/>
      </c:lineChart>
      <c:catAx>
        <c:axId val="12752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26784"/>
        <c:crosses val="autoZero"/>
        <c:auto val="1"/>
        <c:lblAlgn val="ctr"/>
        <c:lblOffset val="100"/>
      </c:catAx>
      <c:valAx>
        <c:axId val="127526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2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55072"/>
        <c:axId val="127556608"/>
      </c:lineChart>
      <c:catAx>
        <c:axId val="12755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56608"/>
        <c:crosses val="autoZero"/>
        <c:auto val="1"/>
        <c:lblAlgn val="ctr"/>
        <c:lblOffset val="100"/>
      </c:catAx>
      <c:valAx>
        <c:axId val="12755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5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13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76704"/>
        <c:axId val="127590784"/>
      </c:lineChart>
      <c:catAx>
        <c:axId val="12757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90784"/>
        <c:crosses val="autoZero"/>
        <c:auto val="1"/>
        <c:lblAlgn val="ctr"/>
        <c:lblOffset val="100"/>
      </c:catAx>
      <c:valAx>
        <c:axId val="12759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39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9003520"/>
        <c:axId val="129005056"/>
      </c:lineChart>
      <c:catAx>
        <c:axId val="12900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05056"/>
        <c:crosses val="autoZero"/>
        <c:auto val="1"/>
        <c:lblAlgn val="ctr"/>
        <c:lblOffset val="100"/>
      </c:catAx>
      <c:valAx>
        <c:axId val="12900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0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541"/>
          <c:w val="0.1234311819809316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9038208"/>
        <c:axId val="129039744"/>
      </c:lineChart>
      <c:catAx>
        <c:axId val="1290382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39744"/>
        <c:crosses val="autoZero"/>
        <c:auto val="1"/>
        <c:lblAlgn val="ctr"/>
        <c:lblOffset val="100"/>
      </c:catAx>
      <c:valAx>
        <c:axId val="1290397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21"/>
          <c:w val="0.1569039853282211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8940672"/>
        <c:axId val="128950656"/>
      </c:lineChart>
      <c:catAx>
        <c:axId val="12894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50656"/>
        <c:crosses val="autoZero"/>
        <c:auto val="1"/>
        <c:lblAlgn val="ctr"/>
        <c:lblOffset val="100"/>
      </c:catAx>
      <c:valAx>
        <c:axId val="128950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4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8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0794752"/>
        <c:axId val="100796288"/>
      </c:lineChart>
      <c:catAx>
        <c:axId val="10079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6288"/>
        <c:crosses val="autoZero"/>
        <c:auto val="1"/>
        <c:lblAlgn val="ctr"/>
        <c:lblOffset val="100"/>
      </c:catAx>
      <c:valAx>
        <c:axId val="10079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7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9639936"/>
        <c:axId val="129641472"/>
      </c:lineChart>
      <c:catAx>
        <c:axId val="12963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41472"/>
        <c:crosses val="autoZero"/>
        <c:auto val="1"/>
        <c:lblAlgn val="ctr"/>
        <c:lblOffset val="100"/>
      </c:catAx>
      <c:valAx>
        <c:axId val="1296414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6757888"/>
        <c:axId val="126767872"/>
      </c:lineChart>
      <c:catAx>
        <c:axId val="12675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67872"/>
        <c:crosses val="autoZero"/>
        <c:auto val="1"/>
        <c:lblAlgn val="ctr"/>
        <c:lblOffset val="100"/>
      </c:catAx>
      <c:valAx>
        <c:axId val="12676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5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7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3694976"/>
        <c:axId val="133696512"/>
      </c:lineChart>
      <c:catAx>
        <c:axId val="1336949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6512"/>
        <c:crosses val="autoZero"/>
        <c:auto val="1"/>
        <c:lblAlgn val="ctr"/>
        <c:lblOffset val="100"/>
      </c:catAx>
      <c:valAx>
        <c:axId val="1336965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2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0.30047901385268294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0.19678039349189355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0.19065331529249196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0.18733969752215285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6.1133206460125732E-2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0.19046736812815671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0.12486097457705853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0.16023100280757391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0.10770369927520762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0.16461040651737754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0.13487426837392741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0.12335351154979934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0.1348914322173807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0.15305509204792292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M1" zoomScale="85" zoomScaleNormal="85" zoomScaleSheetLayoutView="100" workbookViewId="0">
      <pane ySplit="1" topLeftCell="A2" activePane="bottomLeft" state="frozen"/>
      <selection activeCell="C1" sqref="C1"/>
      <selection pane="bottomLeft" activeCell="AD16" sqref="AD16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ref="D16:D33" si="29">D16</f>
        <v>32679606</v>
      </c>
      <c r="E17" s="311">
        <f t="shared" si="13"/>
        <v>0</v>
      </c>
      <c r="F17" s="445">
        <f t="shared" ref="F16:F33" si="30">F16</f>
        <v>3980103</v>
      </c>
      <c r="G17" s="312">
        <f t="shared" si="0"/>
        <v>0</v>
      </c>
      <c r="H17" s="445">
        <f t="shared" ref="H16:H33" si="31">H16</f>
        <v>17815786</v>
      </c>
      <c r="I17" s="312">
        <f t="shared" si="14"/>
        <v>0</v>
      </c>
      <c r="J17" s="445">
        <f t="shared" ref="J16:J33" si="32">J16</f>
        <v>28935826</v>
      </c>
      <c r="K17" s="312">
        <f t="shared" si="15"/>
        <v>0</v>
      </c>
      <c r="L17" s="445">
        <f t="shared" ref="L16:L33" si="33">L16</f>
        <v>24079672</v>
      </c>
      <c r="M17" s="312">
        <f t="shared" si="16"/>
        <v>0</v>
      </c>
      <c r="N17" s="310">
        <f t="shared" si="17"/>
        <v>0</v>
      </c>
      <c r="O17" s="467">
        <f t="shared" si="24"/>
        <v>0</v>
      </c>
      <c r="P17" s="591">
        <f t="shared" ref="P16:P33" si="34">P16</f>
        <v>16729.194</v>
      </c>
      <c r="Q17" s="449">
        <f t="shared" si="27"/>
        <v>0</v>
      </c>
      <c r="R17" s="449">
        <f t="shared" si="28"/>
        <v>0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f t="shared" ref="AA16:AA33" si="35">AA16</f>
        <v>35743</v>
      </c>
      <c r="AB17" s="449">
        <f t="shared" si="19"/>
        <v>0</v>
      </c>
      <c r="AC17" s="445">
        <f t="shared" ref="AC16:AC33" si="36">AC16</f>
        <v>924610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25"/>
        <v>0</v>
      </c>
      <c r="AI17" s="466">
        <f>R17-'EDl log'!B15</f>
        <v>-928063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9"/>
        <v>32679606</v>
      </c>
      <c r="E18" s="311">
        <f t="shared" si="13"/>
        <v>0</v>
      </c>
      <c r="F18" s="445">
        <f t="shared" si="30"/>
        <v>3980103</v>
      </c>
      <c r="G18" s="312">
        <f t="shared" si="0"/>
        <v>0</v>
      </c>
      <c r="H18" s="445">
        <f t="shared" si="31"/>
        <v>17815786</v>
      </c>
      <c r="I18" s="312">
        <f t="shared" si="14"/>
        <v>0</v>
      </c>
      <c r="J18" s="445">
        <f t="shared" si="32"/>
        <v>28935826</v>
      </c>
      <c r="K18" s="312">
        <f t="shared" si="15"/>
        <v>0</v>
      </c>
      <c r="L18" s="445">
        <f t="shared" si="33"/>
        <v>24079672</v>
      </c>
      <c r="M18" s="312">
        <f t="shared" si="16"/>
        <v>0</v>
      </c>
      <c r="N18" s="310">
        <f t="shared" si="17"/>
        <v>0</v>
      </c>
      <c r="O18" s="467">
        <f t="shared" si="24"/>
        <v>0</v>
      </c>
      <c r="P18" s="591">
        <f t="shared" si="34"/>
        <v>16729.194</v>
      </c>
      <c r="Q18" s="449">
        <f t="shared" si="27"/>
        <v>0</v>
      </c>
      <c r="R18" s="449">
        <f t="shared" si="28"/>
        <v>0</v>
      </c>
      <c r="S18" s="445">
        <f t="shared" si="7"/>
        <v>10129</v>
      </c>
      <c r="T18" s="469">
        <f t="shared" si="3"/>
        <v>0</v>
      </c>
      <c r="U18" s="445">
        <f t="shared" si="8"/>
        <v>422541</v>
      </c>
      <c r="V18" s="449">
        <f t="shared" si="18"/>
        <v>0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f t="shared" si="35"/>
        <v>35743</v>
      </c>
      <c r="AB18" s="449">
        <f t="shared" si="19"/>
        <v>0</v>
      </c>
      <c r="AC18" s="445">
        <f t="shared" si="36"/>
        <v>924610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25"/>
        <v>0</v>
      </c>
      <c r="AI18" s="466">
        <f>R18-'EDl log'!B16</f>
        <v>-930474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9"/>
        <v>32679606</v>
      </c>
      <c r="E19" s="311">
        <f t="shared" si="13"/>
        <v>0</v>
      </c>
      <c r="F19" s="445">
        <f t="shared" si="30"/>
        <v>3980103</v>
      </c>
      <c r="G19" s="312">
        <f t="shared" si="0"/>
        <v>0</v>
      </c>
      <c r="H19" s="445">
        <f t="shared" si="31"/>
        <v>17815786</v>
      </c>
      <c r="I19" s="312">
        <f t="shared" si="14"/>
        <v>0</v>
      </c>
      <c r="J19" s="445">
        <f t="shared" si="32"/>
        <v>28935826</v>
      </c>
      <c r="K19" s="312">
        <f t="shared" si="15"/>
        <v>0</v>
      </c>
      <c r="L19" s="445">
        <f t="shared" si="33"/>
        <v>24079672</v>
      </c>
      <c r="M19" s="312">
        <f t="shared" si="16"/>
        <v>0</v>
      </c>
      <c r="N19" s="310">
        <f t="shared" si="17"/>
        <v>0</v>
      </c>
      <c r="O19" s="467">
        <f t="shared" si="24"/>
        <v>0</v>
      </c>
      <c r="P19" s="591">
        <f t="shared" si="34"/>
        <v>16729.194</v>
      </c>
      <c r="Q19" s="449">
        <f t="shared" si="27"/>
        <v>0</v>
      </c>
      <c r="R19" s="449">
        <f t="shared" si="28"/>
        <v>0</v>
      </c>
      <c r="S19" s="445">
        <f t="shared" si="7"/>
        <v>10129</v>
      </c>
      <c r="T19" s="469">
        <f t="shared" si="3"/>
        <v>0</v>
      </c>
      <c r="U19" s="445">
        <f t="shared" si="8"/>
        <v>422541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f t="shared" si="35"/>
        <v>35743</v>
      </c>
      <c r="AB19" s="449">
        <f t="shared" si="19"/>
        <v>0</v>
      </c>
      <c r="AC19" s="445">
        <f t="shared" si="36"/>
        <v>924610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25"/>
        <v>0</v>
      </c>
      <c r="AI19" s="466">
        <f>R19-'EDl log'!B17</f>
        <v>-932658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9"/>
        <v>32679606</v>
      </c>
      <c r="E20" s="311">
        <f t="shared" si="13"/>
        <v>0</v>
      </c>
      <c r="F20" s="445">
        <f t="shared" si="30"/>
        <v>3980103</v>
      </c>
      <c r="G20" s="312">
        <f t="shared" si="0"/>
        <v>0</v>
      </c>
      <c r="H20" s="445">
        <f t="shared" si="31"/>
        <v>17815786</v>
      </c>
      <c r="I20" s="312">
        <f t="shared" si="14"/>
        <v>0</v>
      </c>
      <c r="J20" s="445">
        <f t="shared" si="32"/>
        <v>28935826</v>
      </c>
      <c r="K20" s="312">
        <f t="shared" si="15"/>
        <v>0</v>
      </c>
      <c r="L20" s="445">
        <f t="shared" si="33"/>
        <v>24079672</v>
      </c>
      <c r="M20" s="312">
        <f t="shared" si="16"/>
        <v>0</v>
      </c>
      <c r="N20" s="310">
        <f t="shared" si="17"/>
        <v>0</v>
      </c>
      <c r="O20" s="467">
        <f t="shared" si="24"/>
        <v>0</v>
      </c>
      <c r="P20" s="591">
        <f t="shared" si="34"/>
        <v>16729.194</v>
      </c>
      <c r="Q20" s="449">
        <f t="shared" si="27"/>
        <v>0</v>
      </c>
      <c r="R20" s="449">
        <f t="shared" si="28"/>
        <v>0</v>
      </c>
      <c r="S20" s="445">
        <f t="shared" si="7"/>
        <v>10129</v>
      </c>
      <c r="T20" s="469">
        <f t="shared" si="3"/>
        <v>0</v>
      </c>
      <c r="U20" s="445">
        <f t="shared" si="8"/>
        <v>422541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f t="shared" si="35"/>
        <v>35743</v>
      </c>
      <c r="AB20" s="449">
        <f t="shared" si="19"/>
        <v>0</v>
      </c>
      <c r="AC20" s="445">
        <f t="shared" si="36"/>
        <v>924610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25"/>
        <v>0</v>
      </c>
      <c r="AI20" s="466">
        <f>R20-'EDl log'!B18</f>
        <v>-932658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9"/>
        <v>32679606</v>
      </c>
      <c r="E21" s="311">
        <f t="shared" si="13"/>
        <v>0</v>
      </c>
      <c r="F21" s="445">
        <f t="shared" si="30"/>
        <v>3980103</v>
      </c>
      <c r="G21" s="312">
        <f t="shared" si="0"/>
        <v>0</v>
      </c>
      <c r="H21" s="445">
        <f t="shared" si="31"/>
        <v>17815786</v>
      </c>
      <c r="I21" s="312">
        <f t="shared" si="14"/>
        <v>0</v>
      </c>
      <c r="J21" s="445">
        <f t="shared" si="32"/>
        <v>28935826</v>
      </c>
      <c r="K21" s="312">
        <f t="shared" si="15"/>
        <v>0</v>
      </c>
      <c r="L21" s="445">
        <f t="shared" si="33"/>
        <v>24079672</v>
      </c>
      <c r="M21" s="312">
        <f t="shared" si="16"/>
        <v>0</v>
      </c>
      <c r="N21" s="310">
        <f t="shared" si="17"/>
        <v>0</v>
      </c>
      <c r="O21" s="467">
        <f t="shared" si="24"/>
        <v>0</v>
      </c>
      <c r="P21" s="591">
        <f t="shared" si="34"/>
        <v>16729.194</v>
      </c>
      <c r="Q21" s="449">
        <f t="shared" si="27"/>
        <v>0</v>
      </c>
      <c r="R21" s="449">
        <f t="shared" si="28"/>
        <v>0</v>
      </c>
      <c r="S21" s="445">
        <f t="shared" si="7"/>
        <v>10129</v>
      </c>
      <c r="T21" s="469">
        <f t="shared" si="3"/>
        <v>0</v>
      </c>
      <c r="U21" s="445">
        <f t="shared" si="8"/>
        <v>422541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f t="shared" si="35"/>
        <v>35743</v>
      </c>
      <c r="AB21" s="449">
        <f t="shared" si="19"/>
        <v>0</v>
      </c>
      <c r="AC21" s="445">
        <f t="shared" si="36"/>
        <v>924610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25"/>
        <v>0</v>
      </c>
      <c r="AI21" s="466">
        <f>R21-'EDl log'!B19</f>
        <v>-932658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9"/>
        <v>32679606</v>
      </c>
      <c r="E22" s="311">
        <f t="shared" si="13"/>
        <v>0</v>
      </c>
      <c r="F22" s="445">
        <f t="shared" si="30"/>
        <v>3980103</v>
      </c>
      <c r="G22" s="312">
        <f t="shared" si="0"/>
        <v>0</v>
      </c>
      <c r="H22" s="445">
        <f t="shared" si="31"/>
        <v>17815786</v>
      </c>
      <c r="I22" s="312">
        <f t="shared" si="14"/>
        <v>0</v>
      </c>
      <c r="J22" s="445">
        <f t="shared" si="32"/>
        <v>28935826</v>
      </c>
      <c r="K22" s="312">
        <f t="shared" si="15"/>
        <v>0</v>
      </c>
      <c r="L22" s="445">
        <f t="shared" si="33"/>
        <v>24079672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si="34"/>
        <v>16729.194</v>
      </c>
      <c r="Q22" s="449">
        <f t="shared" si="27"/>
        <v>0</v>
      </c>
      <c r="R22" s="449">
        <f t="shared" si="28"/>
        <v>0</v>
      </c>
      <c r="S22" s="445">
        <f t="shared" si="7"/>
        <v>10129</v>
      </c>
      <c r="T22" s="469">
        <f t="shared" si="3"/>
        <v>0</v>
      </c>
      <c r="U22" s="445">
        <f t="shared" si="8"/>
        <v>422541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f t="shared" si="35"/>
        <v>35743</v>
      </c>
      <c r="AB22" s="449">
        <f t="shared" si="19"/>
        <v>0</v>
      </c>
      <c r="AC22" s="445">
        <f t="shared" si="36"/>
        <v>924610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-932658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9"/>
        <v>32679606</v>
      </c>
      <c r="E23" s="311">
        <f t="shared" si="13"/>
        <v>0</v>
      </c>
      <c r="F23" s="445">
        <f t="shared" si="30"/>
        <v>3980103</v>
      </c>
      <c r="G23" s="312">
        <f t="shared" si="0"/>
        <v>0</v>
      </c>
      <c r="H23" s="445">
        <f t="shared" si="31"/>
        <v>17815786</v>
      </c>
      <c r="I23" s="438">
        <f t="shared" si="14"/>
        <v>0</v>
      </c>
      <c r="J23" s="445">
        <f t="shared" si="32"/>
        <v>28935826</v>
      </c>
      <c r="K23" s="312">
        <f t="shared" si="15"/>
        <v>0</v>
      </c>
      <c r="L23" s="445">
        <f t="shared" si="33"/>
        <v>24079672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4"/>
        <v>16729.194</v>
      </c>
      <c r="Q23" s="449">
        <f t="shared" si="27"/>
        <v>0</v>
      </c>
      <c r="R23" s="449">
        <f t="shared" si="28"/>
        <v>0</v>
      </c>
      <c r="S23" s="445">
        <f t="shared" si="7"/>
        <v>10129</v>
      </c>
      <c r="T23" s="469">
        <f t="shared" si="3"/>
        <v>0</v>
      </c>
      <c r="U23" s="445">
        <f t="shared" si="8"/>
        <v>422541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f t="shared" si="35"/>
        <v>35743</v>
      </c>
      <c r="AB23" s="449">
        <f t="shared" si="19"/>
        <v>0</v>
      </c>
      <c r="AC23" s="445">
        <f t="shared" si="36"/>
        <v>924610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-932658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9"/>
        <v>32679606</v>
      </c>
      <c r="E24" s="311">
        <f t="shared" si="13"/>
        <v>0</v>
      </c>
      <c r="F24" s="445">
        <f t="shared" si="30"/>
        <v>3980103</v>
      </c>
      <c r="G24" s="312">
        <f t="shared" si="0"/>
        <v>0</v>
      </c>
      <c r="H24" s="445">
        <f t="shared" si="31"/>
        <v>17815786</v>
      </c>
      <c r="I24" s="312">
        <f t="shared" si="14"/>
        <v>0</v>
      </c>
      <c r="J24" s="445">
        <f t="shared" si="32"/>
        <v>28935826</v>
      </c>
      <c r="K24" s="312">
        <f t="shared" si="15"/>
        <v>0</v>
      </c>
      <c r="L24" s="445">
        <f t="shared" si="33"/>
        <v>24079672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4"/>
        <v>16729.194</v>
      </c>
      <c r="Q24" s="449">
        <f t="shared" si="27"/>
        <v>0</v>
      </c>
      <c r="R24" s="449">
        <f t="shared" si="28"/>
        <v>0</v>
      </c>
      <c r="S24" s="445">
        <f t="shared" si="7"/>
        <v>10129</v>
      </c>
      <c r="T24" s="469">
        <f t="shared" si="3"/>
        <v>0</v>
      </c>
      <c r="U24" s="445">
        <f t="shared" si="8"/>
        <v>422541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f t="shared" si="35"/>
        <v>35743</v>
      </c>
      <c r="AB24" s="449">
        <f t="shared" si="19"/>
        <v>0</v>
      </c>
      <c r="AC24" s="445">
        <f t="shared" si="36"/>
        <v>924610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-932658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9"/>
        <v>32679606</v>
      </c>
      <c r="E25" s="311">
        <f t="shared" si="13"/>
        <v>0</v>
      </c>
      <c r="F25" s="445">
        <f t="shared" si="30"/>
        <v>3980103</v>
      </c>
      <c r="G25" s="312">
        <f t="shared" si="0"/>
        <v>0</v>
      </c>
      <c r="H25" s="445">
        <f t="shared" si="31"/>
        <v>17815786</v>
      </c>
      <c r="I25" s="312">
        <f t="shared" si="14"/>
        <v>0</v>
      </c>
      <c r="J25" s="445">
        <f t="shared" si="32"/>
        <v>28935826</v>
      </c>
      <c r="K25" s="312">
        <f t="shared" si="15"/>
        <v>0</v>
      </c>
      <c r="L25" s="445">
        <f t="shared" si="33"/>
        <v>24079672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4"/>
        <v>16729.194</v>
      </c>
      <c r="Q25" s="449">
        <f t="shared" si="27"/>
        <v>0</v>
      </c>
      <c r="R25" s="449">
        <f t="shared" si="28"/>
        <v>0</v>
      </c>
      <c r="S25" s="445">
        <f t="shared" si="7"/>
        <v>10129</v>
      </c>
      <c r="T25" s="469">
        <f t="shared" si="3"/>
        <v>0</v>
      </c>
      <c r="U25" s="445">
        <f t="shared" si="8"/>
        <v>422541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f t="shared" si="35"/>
        <v>35743</v>
      </c>
      <c r="AB25" s="449">
        <f t="shared" si="19"/>
        <v>0</v>
      </c>
      <c r="AC25" s="445">
        <f t="shared" si="36"/>
        <v>924610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-932658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9"/>
        <v>32679606</v>
      </c>
      <c r="E26" s="311">
        <f t="shared" si="13"/>
        <v>0</v>
      </c>
      <c r="F26" s="445">
        <f t="shared" si="30"/>
        <v>3980103</v>
      </c>
      <c r="G26" s="312">
        <f t="shared" si="0"/>
        <v>0</v>
      </c>
      <c r="H26" s="445">
        <f t="shared" si="31"/>
        <v>17815786</v>
      </c>
      <c r="I26" s="312">
        <f t="shared" si="14"/>
        <v>0</v>
      </c>
      <c r="J26" s="445">
        <f t="shared" si="32"/>
        <v>28935826</v>
      </c>
      <c r="K26" s="312">
        <f t="shared" si="15"/>
        <v>0</v>
      </c>
      <c r="L26" s="445">
        <f t="shared" si="33"/>
        <v>24079672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4"/>
        <v>16729.194</v>
      </c>
      <c r="Q26" s="449">
        <f t="shared" si="27"/>
        <v>0</v>
      </c>
      <c r="R26" s="449">
        <f t="shared" si="28"/>
        <v>0</v>
      </c>
      <c r="S26" s="445">
        <f t="shared" si="7"/>
        <v>10129</v>
      </c>
      <c r="T26" s="469">
        <f t="shared" si="3"/>
        <v>0</v>
      </c>
      <c r="U26" s="445">
        <f t="shared" si="8"/>
        <v>422541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si="35"/>
        <v>35743</v>
      </c>
      <c r="AB26" s="449">
        <f t="shared" si="19"/>
        <v>0</v>
      </c>
      <c r="AC26" s="445">
        <f t="shared" si="36"/>
        <v>924610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-932658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9"/>
        <v>32679606</v>
      </c>
      <c r="E27" s="311">
        <f t="shared" si="13"/>
        <v>0</v>
      </c>
      <c r="F27" s="445">
        <f t="shared" si="30"/>
        <v>3980103</v>
      </c>
      <c r="G27" s="312">
        <f>F27-F26</f>
        <v>0</v>
      </c>
      <c r="H27" s="445">
        <f t="shared" si="31"/>
        <v>17815786</v>
      </c>
      <c r="I27" s="312">
        <f t="shared" si="14"/>
        <v>0</v>
      </c>
      <c r="J27" s="445">
        <f t="shared" si="32"/>
        <v>28935826</v>
      </c>
      <c r="K27" s="312">
        <f t="shared" si="15"/>
        <v>0</v>
      </c>
      <c r="L27" s="445">
        <f t="shared" si="33"/>
        <v>24079672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4"/>
        <v>16729.194</v>
      </c>
      <c r="Q27" s="449">
        <f t="shared" si="27"/>
        <v>0</v>
      </c>
      <c r="R27" s="449">
        <f t="shared" si="28"/>
        <v>0</v>
      </c>
      <c r="S27" s="445">
        <f t="shared" si="7"/>
        <v>10129</v>
      </c>
      <c r="T27" s="469">
        <f t="shared" si="3"/>
        <v>0</v>
      </c>
      <c r="U27" s="445">
        <f t="shared" si="8"/>
        <v>422541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5"/>
        <v>35743</v>
      </c>
      <c r="AB27" s="449">
        <f t="shared" si="19"/>
        <v>0</v>
      </c>
      <c r="AC27" s="445">
        <f t="shared" si="36"/>
        <v>924610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-932658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9"/>
        <v>32679606</v>
      </c>
      <c r="E28" s="311">
        <f t="shared" si="13"/>
        <v>0</v>
      </c>
      <c r="F28" s="445">
        <f t="shared" si="30"/>
        <v>3980103</v>
      </c>
      <c r="G28" s="312">
        <f t="shared" si="0"/>
        <v>0</v>
      </c>
      <c r="H28" s="445">
        <f t="shared" si="31"/>
        <v>17815786</v>
      </c>
      <c r="I28" s="312">
        <f t="shared" si="14"/>
        <v>0</v>
      </c>
      <c r="J28" s="445">
        <f t="shared" si="32"/>
        <v>28935826</v>
      </c>
      <c r="K28" s="312">
        <f t="shared" si="15"/>
        <v>0</v>
      </c>
      <c r="L28" s="445">
        <f t="shared" si="33"/>
        <v>24079672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4"/>
        <v>16729.194</v>
      </c>
      <c r="Q28" s="449">
        <f t="shared" si="27"/>
        <v>0</v>
      </c>
      <c r="R28" s="449">
        <f t="shared" si="28"/>
        <v>0</v>
      </c>
      <c r="S28" s="445">
        <f t="shared" si="7"/>
        <v>10129</v>
      </c>
      <c r="T28" s="469">
        <f t="shared" si="3"/>
        <v>0</v>
      </c>
      <c r="U28" s="445">
        <f t="shared" si="8"/>
        <v>422541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5"/>
        <v>35743</v>
      </c>
      <c r="AB28" s="449">
        <f t="shared" si="19"/>
        <v>0</v>
      </c>
      <c r="AC28" s="445">
        <f t="shared" si="36"/>
        <v>924610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-932658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9"/>
        <v>32679606</v>
      </c>
      <c r="E29" s="311">
        <f t="shared" si="13"/>
        <v>0</v>
      </c>
      <c r="F29" s="445">
        <f t="shared" si="30"/>
        <v>3980103</v>
      </c>
      <c r="G29" s="312">
        <f t="shared" si="0"/>
        <v>0</v>
      </c>
      <c r="H29" s="445">
        <f t="shared" si="31"/>
        <v>17815786</v>
      </c>
      <c r="I29" s="312">
        <f t="shared" si="14"/>
        <v>0</v>
      </c>
      <c r="J29" s="445">
        <f t="shared" si="32"/>
        <v>28935826</v>
      </c>
      <c r="K29" s="312">
        <f t="shared" si="15"/>
        <v>0</v>
      </c>
      <c r="L29" s="445">
        <f t="shared" si="33"/>
        <v>24079672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4"/>
        <v>16729.194</v>
      </c>
      <c r="Q29" s="449">
        <f t="shared" si="27"/>
        <v>0</v>
      </c>
      <c r="R29" s="449">
        <f t="shared" si="28"/>
        <v>0</v>
      </c>
      <c r="S29" s="445">
        <f t="shared" si="7"/>
        <v>10129</v>
      </c>
      <c r="T29" s="469">
        <f t="shared" si="3"/>
        <v>0</v>
      </c>
      <c r="U29" s="445">
        <f t="shared" si="8"/>
        <v>422541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5"/>
        <v>35743</v>
      </c>
      <c r="AB29" s="449">
        <f t="shared" si="19"/>
        <v>0</v>
      </c>
      <c r="AC29" s="445">
        <f t="shared" si="36"/>
        <v>924610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-932658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9"/>
        <v>32679606</v>
      </c>
      <c r="E30" s="311">
        <f t="shared" si="13"/>
        <v>0</v>
      </c>
      <c r="F30" s="445">
        <f t="shared" si="30"/>
        <v>3980103</v>
      </c>
      <c r="G30" s="312">
        <f t="shared" si="0"/>
        <v>0</v>
      </c>
      <c r="H30" s="445">
        <f t="shared" si="31"/>
        <v>17815786</v>
      </c>
      <c r="I30" s="312">
        <f t="shared" si="14"/>
        <v>0</v>
      </c>
      <c r="J30" s="445">
        <f t="shared" si="32"/>
        <v>28935826</v>
      </c>
      <c r="K30" s="312">
        <f t="shared" si="15"/>
        <v>0</v>
      </c>
      <c r="L30" s="445">
        <f t="shared" si="33"/>
        <v>24079672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4"/>
        <v>16729.194</v>
      </c>
      <c r="Q30" s="449">
        <f t="shared" si="27"/>
        <v>0</v>
      </c>
      <c r="R30" s="449">
        <f t="shared" si="28"/>
        <v>0</v>
      </c>
      <c r="S30" s="445">
        <f t="shared" si="7"/>
        <v>10129</v>
      </c>
      <c r="T30" s="469">
        <f t="shared" si="3"/>
        <v>0</v>
      </c>
      <c r="U30" s="445">
        <f t="shared" si="8"/>
        <v>422541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5"/>
        <v>35743</v>
      </c>
      <c r="AB30" s="449">
        <f t="shared" si="19"/>
        <v>0</v>
      </c>
      <c r="AC30" s="445">
        <f t="shared" si="36"/>
        <v>924610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-932658</v>
      </c>
    </row>
    <row r="31" spans="1:35">
      <c r="A31" s="457"/>
      <c r="B31" s="451"/>
      <c r="C31" s="458">
        <v>44284</v>
      </c>
      <c r="D31" s="445">
        <f t="shared" si="29"/>
        <v>32679606</v>
      </c>
      <c r="E31" s="311">
        <f t="shared" si="13"/>
        <v>0</v>
      </c>
      <c r="F31" s="445">
        <f t="shared" si="30"/>
        <v>3980103</v>
      </c>
      <c r="G31" s="312">
        <f t="shared" si="0"/>
        <v>0</v>
      </c>
      <c r="H31" s="445">
        <f t="shared" si="31"/>
        <v>17815786</v>
      </c>
      <c r="I31" s="312">
        <f t="shared" si="14"/>
        <v>0</v>
      </c>
      <c r="J31" s="445">
        <f t="shared" si="32"/>
        <v>28935826</v>
      </c>
      <c r="K31" s="312">
        <f t="shared" si="15"/>
        <v>0</v>
      </c>
      <c r="L31" s="445">
        <f t="shared" si="33"/>
        <v>24079672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4"/>
        <v>16729.194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10129</v>
      </c>
      <c r="T31" s="469">
        <f t="shared" ref="T31:T33" si="42">S31-S30</f>
        <v>0</v>
      </c>
      <c r="U31" s="445">
        <f t="shared" si="8"/>
        <v>422541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5"/>
        <v>35743</v>
      </c>
      <c r="AB31" s="449">
        <f t="shared" ref="AB31:AB33" si="46">AA31-AA30</f>
        <v>0</v>
      </c>
      <c r="AC31" s="445">
        <f t="shared" si="36"/>
        <v>924610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-932658</v>
      </c>
    </row>
    <row r="32" spans="1:35">
      <c r="A32" s="457"/>
      <c r="B32" s="451"/>
      <c r="C32" s="458">
        <v>44285</v>
      </c>
      <c r="D32" s="445">
        <f t="shared" si="29"/>
        <v>32679606</v>
      </c>
      <c r="E32" s="311">
        <f t="shared" si="13"/>
        <v>0</v>
      </c>
      <c r="F32" s="445">
        <f t="shared" si="30"/>
        <v>3980103</v>
      </c>
      <c r="G32" s="312">
        <f t="shared" si="0"/>
        <v>0</v>
      </c>
      <c r="H32" s="445">
        <f t="shared" si="31"/>
        <v>17815786</v>
      </c>
      <c r="I32" s="312">
        <f t="shared" si="14"/>
        <v>0</v>
      </c>
      <c r="J32" s="445">
        <f t="shared" si="32"/>
        <v>28935826</v>
      </c>
      <c r="K32" s="312">
        <f t="shared" si="15"/>
        <v>0</v>
      </c>
      <c r="L32" s="445">
        <f t="shared" si="33"/>
        <v>24079672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4"/>
        <v>16729.194</v>
      </c>
      <c r="Q32" s="449">
        <f t="shared" si="40"/>
        <v>0</v>
      </c>
      <c r="R32" s="449">
        <f t="shared" si="41"/>
        <v>0</v>
      </c>
      <c r="S32" s="445">
        <f t="shared" si="7"/>
        <v>10129</v>
      </c>
      <c r="T32" s="469">
        <f t="shared" si="42"/>
        <v>0</v>
      </c>
      <c r="U32" s="445">
        <f t="shared" si="8"/>
        <v>422541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5"/>
        <v>35743</v>
      </c>
      <c r="AB32" s="449">
        <f t="shared" si="46"/>
        <v>0</v>
      </c>
      <c r="AC32" s="445">
        <f t="shared" si="36"/>
        <v>924610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-932658</v>
      </c>
    </row>
    <row r="33" spans="1:35">
      <c r="A33" s="457"/>
      <c r="B33" s="451"/>
      <c r="C33" s="458">
        <v>44286</v>
      </c>
      <c r="D33" s="445">
        <f t="shared" si="29"/>
        <v>32679606</v>
      </c>
      <c r="E33" s="311">
        <f t="shared" si="13"/>
        <v>0</v>
      </c>
      <c r="F33" s="445">
        <f t="shared" si="30"/>
        <v>3980103</v>
      </c>
      <c r="G33" s="312">
        <f t="shared" si="0"/>
        <v>0</v>
      </c>
      <c r="H33" s="445">
        <f t="shared" si="31"/>
        <v>17815786</v>
      </c>
      <c r="I33" s="312">
        <f t="shared" si="14"/>
        <v>0</v>
      </c>
      <c r="J33" s="445">
        <f t="shared" si="32"/>
        <v>28935826</v>
      </c>
      <c r="K33" s="312">
        <f t="shared" si="15"/>
        <v>0</v>
      </c>
      <c r="L33" s="445">
        <f t="shared" si="33"/>
        <v>24079672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4"/>
        <v>16729.194</v>
      </c>
      <c r="Q33" s="449">
        <f t="shared" si="40"/>
        <v>0</v>
      </c>
      <c r="R33" s="449">
        <f t="shared" si="41"/>
        <v>0</v>
      </c>
      <c r="S33" s="445">
        <f t="shared" si="7"/>
        <v>10129</v>
      </c>
      <c r="T33" s="469">
        <f t="shared" si="42"/>
        <v>0</v>
      </c>
      <c r="U33" s="445">
        <f t="shared" si="8"/>
        <v>422541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5"/>
        <v>35743</v>
      </c>
      <c r="AB33" s="449">
        <f t="shared" si="46"/>
        <v>0</v>
      </c>
      <c r="AC33" s="445">
        <f t="shared" si="36"/>
        <v>924610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-932658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D1" zoomScale="90" zoomScaleNormal="90" workbookViewId="0">
      <pane ySplit="1" topLeftCell="A5" activePane="bottomLeft" state="frozen"/>
      <selection activeCell="K1" sqref="K1"/>
      <selection pane="bottomLeft" activeCell="Z18" sqref="Z1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3" t="s">
        <v>2</v>
      </c>
      <c r="G1" s="624"/>
      <c r="H1" s="624"/>
      <c r="I1" s="625"/>
      <c r="J1" s="282">
        <f>J37</f>
        <v>67.066666666666677</v>
      </c>
      <c r="K1" s="626" t="s">
        <v>4</v>
      </c>
      <c r="L1" s="627"/>
      <c r="M1" s="627"/>
      <c r="N1" s="627"/>
      <c r="O1" s="628"/>
      <c r="P1" s="617" t="s">
        <v>6</v>
      </c>
      <c r="Q1" s="618"/>
      <c r="R1" s="618"/>
      <c r="S1" s="618"/>
      <c r="T1" s="619"/>
      <c r="U1" s="397"/>
      <c r="V1" s="27" t="s">
        <v>104</v>
      </c>
      <c r="W1" s="398"/>
      <c r="X1" s="617" t="s">
        <v>8</v>
      </c>
      <c r="Y1" s="618"/>
      <c r="Z1" s="618"/>
      <c r="AA1" s="618"/>
      <c r="AB1" s="618"/>
      <c r="AC1" s="620" t="s">
        <v>10</v>
      </c>
      <c r="AD1" s="621"/>
      <c r="AE1" s="621"/>
      <c r="AF1" s="622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5"/>
      <c r="R2" s="616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f t="shared" ref="B18:B35" si="69">B18</f>
        <v>174</v>
      </c>
      <c r="C19" s="64">
        <f t="shared" ref="C18:C35" si="70">C18</f>
        <v>180</v>
      </c>
      <c r="D19" s="45">
        <f t="shared" si="27"/>
        <v>0</v>
      </c>
      <c r="E19" s="45">
        <f t="shared" si="8"/>
        <v>0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f t="shared" si="41"/>
        <v>2260</v>
      </c>
      <c r="L19" s="52">
        <f t="shared" si="10"/>
        <v>0</v>
      </c>
      <c r="M19" s="584">
        <f t="shared" si="42"/>
        <v>166315</v>
      </c>
      <c r="N19" s="396">
        <f t="shared" si="2"/>
        <v>0</v>
      </c>
      <c r="O19" s="64">
        <f t="shared" si="11"/>
        <v>1869</v>
      </c>
      <c r="P19" s="584">
        <f t="shared" si="65"/>
        <v>2014</v>
      </c>
      <c r="Q19" s="584">
        <f t="shared" si="49"/>
        <v>169987</v>
      </c>
      <c r="R19" s="395">
        <f t="shared" si="50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f t="shared" si="69"/>
        <v>174</v>
      </c>
      <c r="C20" s="64">
        <f t="shared" si="70"/>
        <v>180</v>
      </c>
      <c r="D20" s="45">
        <f>C19-C20</f>
        <v>0</v>
      </c>
      <c r="E20" s="45">
        <f t="shared" si="8"/>
        <v>0</v>
      </c>
      <c r="F20" s="584">
        <f t="shared" si="28"/>
        <v>1766</v>
      </c>
      <c r="G20" s="52">
        <f t="shared" si="0"/>
        <v>0</v>
      </c>
      <c r="H20" s="584">
        <f t="shared" si="29"/>
        <v>7746</v>
      </c>
      <c r="I20" s="396">
        <f t="shared" si="1"/>
        <v>0</v>
      </c>
      <c r="J20" s="66">
        <f t="shared" si="9"/>
        <v>0</v>
      </c>
      <c r="K20" s="584">
        <f t="shared" si="41"/>
        <v>2260</v>
      </c>
      <c r="L20" s="52">
        <f t="shared" si="10"/>
        <v>0</v>
      </c>
      <c r="M20" s="584">
        <f t="shared" si="42"/>
        <v>166315</v>
      </c>
      <c r="N20" s="396">
        <f t="shared" si="2"/>
        <v>0</v>
      </c>
      <c r="O20" s="64">
        <f t="shared" si="11"/>
        <v>1869</v>
      </c>
      <c r="P20" s="584">
        <f t="shared" si="65"/>
        <v>2014</v>
      </c>
      <c r="Q20" s="584">
        <f t="shared" si="49"/>
        <v>169987</v>
      </c>
      <c r="R20" s="395">
        <f t="shared" si="50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f t="shared" si="69"/>
        <v>174</v>
      </c>
      <c r="C21" s="64">
        <f t="shared" si="70"/>
        <v>180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1766</v>
      </c>
      <c r="G21" s="52">
        <f t="shared" si="0"/>
        <v>0</v>
      </c>
      <c r="H21" s="584">
        <f t="shared" si="29"/>
        <v>7746</v>
      </c>
      <c r="I21" s="396">
        <f t="shared" si="1"/>
        <v>0</v>
      </c>
      <c r="J21" s="66">
        <f t="shared" si="9"/>
        <v>0</v>
      </c>
      <c r="K21" s="584">
        <f t="shared" si="41"/>
        <v>2260</v>
      </c>
      <c r="L21" s="52">
        <f t="shared" si="10"/>
        <v>0</v>
      </c>
      <c r="M21" s="584">
        <f t="shared" si="42"/>
        <v>166315</v>
      </c>
      <c r="N21" s="396">
        <f t="shared" si="2"/>
        <v>0</v>
      </c>
      <c r="O21" s="64">
        <f t="shared" si="11"/>
        <v>1869</v>
      </c>
      <c r="P21" s="584">
        <f t="shared" si="65"/>
        <v>2014</v>
      </c>
      <c r="Q21" s="584">
        <f t="shared" si="49"/>
        <v>169987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f t="shared" si="69"/>
        <v>174</v>
      </c>
      <c r="C22" s="64">
        <f t="shared" si="70"/>
        <v>180</v>
      </c>
      <c r="D22" s="45">
        <f t="shared" si="75"/>
        <v>0</v>
      </c>
      <c r="E22" s="45">
        <f t="shared" si="8"/>
        <v>0</v>
      </c>
      <c r="F22" s="584">
        <f t="shared" si="28"/>
        <v>1766</v>
      </c>
      <c r="G22" s="52">
        <f t="shared" si="0"/>
        <v>0</v>
      </c>
      <c r="H22" s="584">
        <f t="shared" si="29"/>
        <v>7746</v>
      </c>
      <c r="I22" s="396">
        <f t="shared" si="1"/>
        <v>0</v>
      </c>
      <c r="J22" s="66">
        <f t="shared" si="9"/>
        <v>0</v>
      </c>
      <c r="K22" s="584">
        <f t="shared" si="41"/>
        <v>2260</v>
      </c>
      <c r="L22" s="52">
        <f t="shared" si="10"/>
        <v>0</v>
      </c>
      <c r="M22" s="584">
        <f t="shared" si="42"/>
        <v>166315</v>
      </c>
      <c r="N22" s="396">
        <f t="shared" si="2"/>
        <v>0</v>
      </c>
      <c r="O22" s="64">
        <f t="shared" si="11"/>
        <v>1869</v>
      </c>
      <c r="P22" s="584">
        <f t="shared" si="65"/>
        <v>2014</v>
      </c>
      <c r="Q22" s="584">
        <f t="shared" si="49"/>
        <v>169987</v>
      </c>
      <c r="R22" s="395">
        <f t="shared" si="50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si="69"/>
        <v>174</v>
      </c>
      <c r="C23" s="64">
        <f t="shared" si="70"/>
        <v>180</v>
      </c>
      <c r="D23" s="45">
        <f t="shared" si="75"/>
        <v>0</v>
      </c>
      <c r="E23" s="45">
        <f t="shared" si="8"/>
        <v>0</v>
      </c>
      <c r="F23" s="584">
        <f t="shared" si="28"/>
        <v>1766</v>
      </c>
      <c r="G23" s="52">
        <f t="shared" si="0"/>
        <v>0</v>
      </c>
      <c r="H23" s="584">
        <f t="shared" si="29"/>
        <v>7746</v>
      </c>
      <c r="I23" s="396">
        <f t="shared" si="1"/>
        <v>0</v>
      </c>
      <c r="J23" s="66">
        <f t="shared" si="9"/>
        <v>0</v>
      </c>
      <c r="K23" s="584">
        <f t="shared" si="41"/>
        <v>2260</v>
      </c>
      <c r="L23" s="52">
        <f t="shared" si="10"/>
        <v>0</v>
      </c>
      <c r="M23" s="584">
        <f t="shared" si="42"/>
        <v>166315</v>
      </c>
      <c r="N23" s="396">
        <f t="shared" si="2"/>
        <v>0</v>
      </c>
      <c r="O23" s="64">
        <f t="shared" si="11"/>
        <v>1869</v>
      </c>
      <c r="P23" s="584">
        <f t="shared" si="65"/>
        <v>2014</v>
      </c>
      <c r="Q23" s="584">
        <f t="shared" si="49"/>
        <v>169987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69"/>
        <v>174</v>
      </c>
      <c r="C24" s="64">
        <f t="shared" si="70"/>
        <v>180</v>
      </c>
      <c r="D24" s="45">
        <f t="shared" si="75"/>
        <v>0</v>
      </c>
      <c r="E24" s="45">
        <f t="shared" si="8"/>
        <v>0</v>
      </c>
      <c r="F24" s="584">
        <f t="shared" si="28"/>
        <v>1766</v>
      </c>
      <c r="G24" s="52">
        <f t="shared" si="0"/>
        <v>0</v>
      </c>
      <c r="H24" s="584">
        <f t="shared" si="29"/>
        <v>7746</v>
      </c>
      <c r="I24" s="396">
        <f t="shared" si="1"/>
        <v>0</v>
      </c>
      <c r="J24" s="66">
        <f t="shared" si="9"/>
        <v>0</v>
      </c>
      <c r="K24" s="584">
        <f t="shared" si="41"/>
        <v>2260</v>
      </c>
      <c r="L24" s="52">
        <f t="shared" si="10"/>
        <v>0</v>
      </c>
      <c r="M24" s="584">
        <f t="shared" si="42"/>
        <v>166315</v>
      </c>
      <c r="N24" s="396">
        <f t="shared" si="2"/>
        <v>0</v>
      </c>
      <c r="O24" s="64">
        <f t="shared" si="11"/>
        <v>1869</v>
      </c>
      <c r="P24" s="584">
        <f t="shared" si="65"/>
        <v>2014</v>
      </c>
      <c r="Q24" s="584">
        <f t="shared" si="49"/>
        <v>169987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69"/>
        <v>174</v>
      </c>
      <c r="C25" s="64">
        <f t="shared" si="70"/>
        <v>180</v>
      </c>
      <c r="D25" s="45">
        <f t="shared" si="75"/>
        <v>0</v>
      </c>
      <c r="E25" s="45">
        <f t="shared" si="8"/>
        <v>0</v>
      </c>
      <c r="F25" s="584">
        <f t="shared" si="28"/>
        <v>1766</v>
      </c>
      <c r="G25" s="52">
        <f t="shared" si="0"/>
        <v>0</v>
      </c>
      <c r="H25" s="584">
        <f t="shared" si="29"/>
        <v>7746</v>
      </c>
      <c r="I25" s="396">
        <f t="shared" si="1"/>
        <v>0</v>
      </c>
      <c r="J25" s="66">
        <f t="shared" si="9"/>
        <v>0</v>
      </c>
      <c r="K25" s="584">
        <f t="shared" si="41"/>
        <v>2260</v>
      </c>
      <c r="L25" s="52">
        <f t="shared" si="10"/>
        <v>0</v>
      </c>
      <c r="M25" s="584">
        <f t="shared" si="42"/>
        <v>166315</v>
      </c>
      <c r="N25" s="396">
        <f t="shared" si="2"/>
        <v>0</v>
      </c>
      <c r="O25" s="64">
        <f t="shared" si="11"/>
        <v>1869</v>
      </c>
      <c r="P25" s="584">
        <f t="shared" si="65"/>
        <v>2014</v>
      </c>
      <c r="Q25" s="584">
        <f t="shared" si="49"/>
        <v>169987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69"/>
        <v>174</v>
      </c>
      <c r="C26" s="64">
        <f t="shared" si="70"/>
        <v>180</v>
      </c>
      <c r="D26" s="45">
        <f t="shared" si="75"/>
        <v>0</v>
      </c>
      <c r="E26" s="45">
        <f t="shared" si="8"/>
        <v>0</v>
      </c>
      <c r="F26" s="584">
        <f t="shared" si="28"/>
        <v>1766</v>
      </c>
      <c r="G26" s="52">
        <f t="shared" si="0"/>
        <v>0</v>
      </c>
      <c r="H26" s="584">
        <f t="shared" si="29"/>
        <v>7746</v>
      </c>
      <c r="I26" s="396">
        <f t="shared" si="1"/>
        <v>0</v>
      </c>
      <c r="J26" s="66">
        <f t="shared" si="9"/>
        <v>0</v>
      </c>
      <c r="K26" s="584">
        <f t="shared" si="41"/>
        <v>2260</v>
      </c>
      <c r="L26" s="52">
        <f t="shared" si="10"/>
        <v>0</v>
      </c>
      <c r="M26" s="584">
        <f t="shared" si="42"/>
        <v>166315</v>
      </c>
      <c r="N26" s="396">
        <f t="shared" si="2"/>
        <v>0</v>
      </c>
      <c r="O26" s="64">
        <f t="shared" si="11"/>
        <v>1869</v>
      </c>
      <c r="P26" s="584">
        <f t="shared" si="65"/>
        <v>2014</v>
      </c>
      <c r="Q26" s="584">
        <f t="shared" si="49"/>
        <v>169987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69"/>
        <v>174</v>
      </c>
      <c r="C27" s="64">
        <f t="shared" si="70"/>
        <v>180</v>
      </c>
      <c r="D27" s="45">
        <f t="shared" si="75"/>
        <v>0</v>
      </c>
      <c r="E27" s="45">
        <f t="shared" si="8"/>
        <v>0</v>
      </c>
      <c r="F27" s="584">
        <f t="shared" si="28"/>
        <v>1766</v>
      </c>
      <c r="G27" s="52">
        <f t="shared" si="0"/>
        <v>0</v>
      </c>
      <c r="H27" s="584">
        <f t="shared" si="29"/>
        <v>7746</v>
      </c>
      <c r="I27" s="396">
        <f t="shared" si="1"/>
        <v>0</v>
      </c>
      <c r="J27" s="66">
        <f t="shared" si="9"/>
        <v>0</v>
      </c>
      <c r="K27" s="584">
        <f t="shared" si="41"/>
        <v>2260</v>
      </c>
      <c r="L27" s="52">
        <f t="shared" si="10"/>
        <v>0</v>
      </c>
      <c r="M27" s="584">
        <f t="shared" si="42"/>
        <v>166315</v>
      </c>
      <c r="N27" s="396">
        <f t="shared" si="2"/>
        <v>0</v>
      </c>
      <c r="O27" s="64">
        <f t="shared" si="11"/>
        <v>1869</v>
      </c>
      <c r="P27" s="584">
        <f t="shared" si="65"/>
        <v>2014</v>
      </c>
      <c r="Q27" s="584">
        <f t="shared" si="49"/>
        <v>169987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69"/>
        <v>174</v>
      </c>
      <c r="C28" s="64">
        <f t="shared" si="70"/>
        <v>180</v>
      </c>
      <c r="D28" s="45">
        <f t="shared" si="75"/>
        <v>0</v>
      </c>
      <c r="E28" s="45">
        <f t="shared" si="8"/>
        <v>0</v>
      </c>
      <c r="F28" s="584">
        <f t="shared" si="28"/>
        <v>1766</v>
      </c>
      <c r="G28" s="52">
        <f t="shared" si="0"/>
        <v>0</v>
      </c>
      <c r="H28" s="584">
        <f t="shared" si="29"/>
        <v>7746</v>
      </c>
      <c r="I28" s="396">
        <f t="shared" si="1"/>
        <v>0</v>
      </c>
      <c r="J28" s="66">
        <f t="shared" si="9"/>
        <v>0</v>
      </c>
      <c r="K28" s="584">
        <f t="shared" si="41"/>
        <v>2260</v>
      </c>
      <c r="L28" s="52">
        <f t="shared" si="10"/>
        <v>0</v>
      </c>
      <c r="M28" s="584">
        <f t="shared" si="42"/>
        <v>166315</v>
      </c>
      <c r="N28" s="396">
        <f t="shared" si="2"/>
        <v>0</v>
      </c>
      <c r="O28" s="64">
        <f t="shared" si="11"/>
        <v>1869</v>
      </c>
      <c r="P28" s="584">
        <f t="shared" si="65"/>
        <v>2014</v>
      </c>
      <c r="Q28" s="584">
        <f t="shared" si="49"/>
        <v>169987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69"/>
        <v>174</v>
      </c>
      <c r="C29" s="64">
        <f t="shared" si="70"/>
        <v>180</v>
      </c>
      <c r="D29" s="45">
        <f t="shared" si="75"/>
        <v>0</v>
      </c>
      <c r="E29" s="45">
        <f t="shared" si="8"/>
        <v>0</v>
      </c>
      <c r="F29" s="584">
        <f t="shared" si="28"/>
        <v>1766</v>
      </c>
      <c r="G29" s="52">
        <f t="shared" si="0"/>
        <v>0</v>
      </c>
      <c r="H29" s="584">
        <f t="shared" si="29"/>
        <v>7746</v>
      </c>
      <c r="I29" s="396">
        <f t="shared" si="1"/>
        <v>0</v>
      </c>
      <c r="J29" s="66">
        <f t="shared" si="9"/>
        <v>0</v>
      </c>
      <c r="K29" s="584">
        <f t="shared" si="41"/>
        <v>2260</v>
      </c>
      <c r="L29" s="52">
        <f t="shared" si="10"/>
        <v>0</v>
      </c>
      <c r="M29" s="584">
        <f t="shared" si="42"/>
        <v>166315</v>
      </c>
      <c r="N29" s="396">
        <f t="shared" si="2"/>
        <v>0</v>
      </c>
      <c r="O29" s="64">
        <f t="shared" si="11"/>
        <v>1869</v>
      </c>
      <c r="P29" s="584">
        <f t="shared" si="65"/>
        <v>2014</v>
      </c>
      <c r="Q29" s="584">
        <f t="shared" si="49"/>
        <v>169987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69"/>
        <v>174</v>
      </c>
      <c r="C30" s="64">
        <f t="shared" si="70"/>
        <v>180</v>
      </c>
      <c r="D30" s="45">
        <f t="shared" si="75"/>
        <v>0</v>
      </c>
      <c r="E30" s="45">
        <f t="shared" si="8"/>
        <v>0</v>
      </c>
      <c r="F30" s="584">
        <f t="shared" si="28"/>
        <v>1766</v>
      </c>
      <c r="G30" s="52">
        <f t="shared" si="0"/>
        <v>0</v>
      </c>
      <c r="H30" s="584">
        <f t="shared" si="29"/>
        <v>7746</v>
      </c>
      <c r="I30" s="396">
        <f t="shared" si="1"/>
        <v>0</v>
      </c>
      <c r="J30" s="66">
        <f t="shared" si="9"/>
        <v>0</v>
      </c>
      <c r="K30" s="584">
        <f t="shared" si="41"/>
        <v>2260</v>
      </c>
      <c r="L30" s="52">
        <f t="shared" si="10"/>
        <v>0</v>
      </c>
      <c r="M30" s="584">
        <f t="shared" si="42"/>
        <v>166315</v>
      </c>
      <c r="N30" s="396">
        <f t="shared" si="2"/>
        <v>0</v>
      </c>
      <c r="O30" s="64">
        <f t="shared" si="11"/>
        <v>1869</v>
      </c>
      <c r="P30" s="584">
        <f t="shared" si="65"/>
        <v>2014</v>
      </c>
      <c r="Q30" s="584">
        <f t="shared" si="49"/>
        <v>169987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69"/>
        <v>174</v>
      </c>
      <c r="C31" s="64">
        <f t="shared" si="70"/>
        <v>180</v>
      </c>
      <c r="D31" s="45">
        <f t="shared" si="75"/>
        <v>0</v>
      </c>
      <c r="E31" s="45">
        <f t="shared" si="8"/>
        <v>0</v>
      </c>
      <c r="F31" s="584">
        <f t="shared" si="28"/>
        <v>1766</v>
      </c>
      <c r="G31" s="52">
        <f t="shared" si="0"/>
        <v>0</v>
      </c>
      <c r="H31" s="584">
        <f t="shared" si="29"/>
        <v>7746</v>
      </c>
      <c r="I31" s="396">
        <f t="shared" si="1"/>
        <v>0</v>
      </c>
      <c r="J31" s="66">
        <f t="shared" si="9"/>
        <v>0</v>
      </c>
      <c r="K31" s="584">
        <f t="shared" si="41"/>
        <v>2260</v>
      </c>
      <c r="L31" s="52">
        <f t="shared" si="10"/>
        <v>0</v>
      </c>
      <c r="M31" s="584">
        <f t="shared" si="42"/>
        <v>166315</v>
      </c>
      <c r="N31" s="396">
        <f t="shared" si="2"/>
        <v>0</v>
      </c>
      <c r="O31" s="64">
        <f t="shared" si="11"/>
        <v>1869</v>
      </c>
      <c r="P31" s="584">
        <f t="shared" si="65"/>
        <v>2014</v>
      </c>
      <c r="Q31" s="584">
        <f t="shared" si="49"/>
        <v>169987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69"/>
        <v>174</v>
      </c>
      <c r="C32" s="64">
        <f t="shared" si="70"/>
        <v>180</v>
      </c>
      <c r="D32" s="45">
        <f t="shared" si="27"/>
        <v>0</v>
      </c>
      <c r="E32" s="45">
        <f t="shared" ref="E32" si="106">D32*8.38</f>
        <v>0</v>
      </c>
      <c r="F32" s="584">
        <f t="shared" si="28"/>
        <v>1766</v>
      </c>
      <c r="G32" s="52">
        <f t="shared" si="0"/>
        <v>0</v>
      </c>
      <c r="H32" s="584">
        <f t="shared" si="29"/>
        <v>7746</v>
      </c>
      <c r="I32" s="396">
        <f t="shared" si="1"/>
        <v>0</v>
      </c>
      <c r="J32" s="66">
        <f t="shared" si="9"/>
        <v>0</v>
      </c>
      <c r="K32" s="584">
        <f t="shared" si="41"/>
        <v>2260</v>
      </c>
      <c r="L32" s="52">
        <f t="shared" si="10"/>
        <v>0</v>
      </c>
      <c r="M32" s="584">
        <f t="shared" si="42"/>
        <v>166315</v>
      </c>
      <c r="N32" s="396">
        <f t="shared" si="2"/>
        <v>0</v>
      </c>
      <c r="O32" s="64">
        <f t="shared" si="11"/>
        <v>1869</v>
      </c>
      <c r="P32" s="584">
        <f t="shared" si="65"/>
        <v>2014</v>
      </c>
      <c r="Q32" s="584">
        <f t="shared" si="49"/>
        <v>169987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69"/>
        <v>174</v>
      </c>
      <c r="C33" s="64">
        <f t="shared" si="70"/>
        <v>180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1766</v>
      </c>
      <c r="G33" s="52">
        <f t="shared" ref="G33:G35" si="111">F33-F32</f>
        <v>0</v>
      </c>
      <c r="H33" s="584">
        <f t="shared" si="29"/>
        <v>7746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2260</v>
      </c>
      <c r="L33" s="52">
        <f t="shared" ref="L33:L35" si="114">K33-K32</f>
        <v>0</v>
      </c>
      <c r="M33" s="584">
        <f t="shared" si="42"/>
        <v>166315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2014</v>
      </c>
      <c r="Q33" s="584">
        <f t="shared" si="49"/>
        <v>169987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69"/>
        <v>174</v>
      </c>
      <c r="C34" s="64">
        <f t="shared" si="70"/>
        <v>180</v>
      </c>
      <c r="D34" s="45">
        <f t="shared" si="109"/>
        <v>0</v>
      </c>
      <c r="E34" s="45">
        <f t="shared" si="110"/>
        <v>0</v>
      </c>
      <c r="F34" s="584">
        <f t="shared" si="28"/>
        <v>1766</v>
      </c>
      <c r="G34" s="52">
        <f t="shared" si="111"/>
        <v>0</v>
      </c>
      <c r="H34" s="584">
        <f t="shared" si="29"/>
        <v>7746</v>
      </c>
      <c r="I34" s="396">
        <f t="shared" si="112"/>
        <v>0</v>
      </c>
      <c r="J34" s="66">
        <f t="shared" si="113"/>
        <v>0</v>
      </c>
      <c r="K34" s="584">
        <f t="shared" si="41"/>
        <v>2260</v>
      </c>
      <c r="L34" s="52">
        <f t="shared" si="114"/>
        <v>0</v>
      </c>
      <c r="M34" s="584">
        <f t="shared" si="42"/>
        <v>166315</v>
      </c>
      <c r="N34" s="396">
        <f t="shared" si="115"/>
        <v>0</v>
      </c>
      <c r="O34" s="64">
        <f t="shared" ref="O34" si="141">O33</f>
        <v>1869</v>
      </c>
      <c r="P34" s="584">
        <f t="shared" si="65"/>
        <v>2014</v>
      </c>
      <c r="Q34" s="584">
        <f t="shared" si="49"/>
        <v>169987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69"/>
        <v>174</v>
      </c>
      <c r="C35" s="64">
        <f t="shared" si="70"/>
        <v>180</v>
      </c>
      <c r="D35" s="45">
        <f t="shared" si="109"/>
        <v>0</v>
      </c>
      <c r="E35" s="45">
        <f t="shared" si="110"/>
        <v>0</v>
      </c>
      <c r="F35" s="584">
        <f t="shared" si="28"/>
        <v>1766</v>
      </c>
      <c r="G35" s="52">
        <f t="shared" si="111"/>
        <v>0</v>
      </c>
      <c r="H35" s="584">
        <f t="shared" si="29"/>
        <v>7746</v>
      </c>
      <c r="I35" s="396">
        <f t="shared" si="112"/>
        <v>0</v>
      </c>
      <c r="J35" s="66">
        <f t="shared" si="113"/>
        <v>0</v>
      </c>
      <c r="K35" s="584">
        <f t="shared" si="41"/>
        <v>2260</v>
      </c>
      <c r="L35" s="52">
        <f t="shared" si="114"/>
        <v>0</v>
      </c>
      <c r="M35" s="584">
        <f t="shared" si="42"/>
        <v>166315</v>
      </c>
      <c r="N35" s="396">
        <f t="shared" si="115"/>
        <v>0</v>
      </c>
      <c r="O35" s="64">
        <f t="shared" ref="O35" si="144">O34</f>
        <v>1869</v>
      </c>
      <c r="P35" s="584">
        <f t="shared" si="65"/>
        <v>2014</v>
      </c>
      <c r="Q35" s="584">
        <f t="shared" si="49"/>
        <v>169987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67.066666666666677</v>
      </c>
      <c r="V37" s="62">
        <f>SUM(V5:V32)</f>
        <v>3359</v>
      </c>
      <c r="AE37" s="71" t="s">
        <v>383</v>
      </c>
      <c r="AG37" s="344"/>
      <c r="AH37" s="62">
        <f>SUM(AH5:AH32)</f>
        <v>389.20000000001164</v>
      </c>
      <c r="AL37" s="62">
        <f>SUM(AL5:AL32)</f>
        <v>44</v>
      </c>
      <c r="AM37" s="62">
        <f>SUM(AM5:AM32)</f>
        <v>6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3748.2000000000116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Normal="100" workbookViewId="0">
      <pane ySplit="3" topLeftCell="A4" activePane="bottomLeft" state="frozen"/>
      <selection pane="bottomLeft" activeCell="AZ19" sqref="AZ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8013863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2" t="s">
        <v>95</v>
      </c>
      <c r="AS2" s="633"/>
      <c r="AT2" s="633"/>
      <c r="AU2" s="633"/>
      <c r="AV2" s="634"/>
      <c r="AW2" s="632" t="s">
        <v>96</v>
      </c>
      <c r="AX2" s="633"/>
      <c r="AY2" s="634"/>
      <c r="AZ2" s="632" t="s">
        <v>98</v>
      </c>
      <c r="BA2" s="633"/>
      <c r="BB2" s="634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9" t="s">
        <v>126</v>
      </c>
      <c r="AO3" s="630"/>
      <c r="AP3" s="631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138</v>
      </c>
      <c r="AW19" s="5">
        <v>2.9</v>
      </c>
      <c r="AX19" s="201">
        <v>152</v>
      </c>
      <c r="AY19" s="426">
        <f t="shared" ref="AY19:AY21" si="48">AS19*AT19</f>
        <v>92.7</v>
      </c>
      <c r="AZ19" s="426">
        <f t="shared" ref="AZ19:AZ21" si="49">AU19*AV19</f>
        <v>151.80000000000001</v>
      </c>
      <c r="BA19" s="426">
        <f t="shared" ref="BA19:BA21" si="50">AW19*AX19</f>
        <v>440.8</v>
      </c>
      <c r="BB19" s="21">
        <f t="shared" ref="BB19:BB20" si="51">AY19-AY18</f>
        <v>0</v>
      </c>
      <c r="BC19" s="21">
        <f t="shared" ref="BC19:BC20" si="52">AZ19-AZ18</f>
        <v>-6.5999999999999943</v>
      </c>
      <c r="BD19" s="21">
        <f t="shared" ref="BD19:BD20" si="53">BA19-BA18</f>
        <v>-26.099999999999966</v>
      </c>
      <c r="BE19" s="24">
        <f t="shared" ref="BE19:BE20" si="54">SUM(BB19:BD19)</f>
        <v>-32.69999999999996</v>
      </c>
      <c r="BF19" s="96">
        <f t="shared" si="8"/>
        <v>32.69999999999996</v>
      </c>
      <c r="BG19" s="82">
        <f t="shared" si="9"/>
        <v>-32.69999999999996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138</v>
      </c>
      <c r="AW20" s="5">
        <v>2.9</v>
      </c>
      <c r="AX20" s="201">
        <f t="shared" si="42"/>
        <v>152</v>
      </c>
      <c r="AY20" s="426">
        <f t="shared" si="48"/>
        <v>92.7</v>
      </c>
      <c r="AZ20" s="426">
        <f t="shared" si="49"/>
        <v>151.80000000000001</v>
      </c>
      <c r="BA20" s="426">
        <f t="shared" si="50"/>
        <v>440.8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f t="shared" si="6"/>
        <v>103</v>
      </c>
      <c r="AU21" s="425">
        <f t="shared" si="41"/>
        <v>1.1000000000000001</v>
      </c>
      <c r="AV21" s="201">
        <f t="shared" si="47"/>
        <v>138</v>
      </c>
      <c r="AW21" s="5">
        <v>2.9</v>
      </c>
      <c r="AX21" s="201">
        <f t="shared" si="42"/>
        <v>152</v>
      </c>
      <c r="AY21" s="426">
        <f t="shared" si="48"/>
        <v>92.7</v>
      </c>
      <c r="AZ21" s="426">
        <f t="shared" si="49"/>
        <v>151.80000000000001</v>
      </c>
      <c r="BA21" s="426">
        <f t="shared" si="50"/>
        <v>440.8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6729</v>
      </c>
      <c r="L22" s="83">
        <f t="shared" si="39"/>
        <v>0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0</v>
      </c>
      <c r="AL22" s="327">
        <f t="shared" si="30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103</v>
      </c>
      <c r="AU22" s="425">
        <f t="shared" si="41"/>
        <v>1.1000000000000001</v>
      </c>
      <c r="AV22" s="201">
        <f t="shared" si="47"/>
        <v>138</v>
      </c>
      <c r="AW22" s="5">
        <v>2.9</v>
      </c>
      <c r="AX22" s="201">
        <f t="shared" si="42"/>
        <v>152</v>
      </c>
      <c r="AY22" s="426">
        <f t="shared" si="7"/>
        <v>92.7</v>
      </c>
      <c r="AZ22" s="426">
        <f t="shared" si="32"/>
        <v>151.80000000000001</v>
      </c>
      <c r="BA22" s="426">
        <f t="shared" si="33"/>
        <v>440.8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616451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6729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150462</v>
      </c>
      <c r="Y23" s="324">
        <f t="shared" si="40"/>
        <v>0</v>
      </c>
      <c r="Z23" s="5">
        <f t="shared" si="46"/>
        <v>98542</v>
      </c>
      <c r="AA23" s="83">
        <f t="shared" si="21"/>
        <v>0</v>
      </c>
      <c r="AB23" s="5">
        <f t="shared" si="22"/>
        <v>251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0</v>
      </c>
      <c r="AK23" s="327">
        <f t="shared" si="38"/>
        <v>0</v>
      </c>
      <c r="AL23" s="327">
        <f t="shared" si="30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f t="shared" si="55"/>
        <v>103</v>
      </c>
      <c r="AU23" s="425">
        <f t="shared" si="41"/>
        <v>1.1000000000000001</v>
      </c>
      <c r="AV23" s="201">
        <f t="shared" si="47"/>
        <v>138</v>
      </c>
      <c r="AW23" s="5">
        <v>2.9</v>
      </c>
      <c r="AX23" s="201">
        <f t="shared" si="42"/>
        <v>152</v>
      </c>
      <c r="AY23" s="426">
        <f t="shared" si="7"/>
        <v>92.7</v>
      </c>
      <c r="AZ23" s="426">
        <f t="shared" si="32"/>
        <v>151.80000000000001</v>
      </c>
      <c r="BA23" s="426">
        <f t="shared" si="33"/>
        <v>440.8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616451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-16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150462</v>
      </c>
      <c r="Y24" s="324">
        <f t="shared" si="40"/>
        <v>0</v>
      </c>
      <c r="Z24" s="5">
        <f t="shared" si="46"/>
        <v>98542</v>
      </c>
      <c r="AA24" s="83">
        <f t="shared" si="21"/>
        <v>0</v>
      </c>
      <c r="AB24" s="5">
        <f t="shared" si="22"/>
        <v>251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0</v>
      </c>
      <c r="AK24" s="327">
        <f t="shared" si="38"/>
        <v>16</v>
      </c>
      <c r="AL24" s="327">
        <f t="shared" si="30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f t="shared" si="55"/>
        <v>103</v>
      </c>
      <c r="AU24" s="425">
        <f t="shared" si="41"/>
        <v>1.1000000000000001</v>
      </c>
      <c r="AV24" s="201">
        <f t="shared" si="47"/>
        <v>138</v>
      </c>
      <c r="AW24" s="5">
        <v>2.9</v>
      </c>
      <c r="AX24" s="201">
        <f t="shared" si="42"/>
        <v>152</v>
      </c>
      <c r="AY24" s="426">
        <f t="shared" si="7"/>
        <v>92.7</v>
      </c>
      <c r="AZ24" s="426">
        <f t="shared" si="32"/>
        <v>151.80000000000001</v>
      </c>
      <c r="BA24" s="426">
        <f t="shared" si="33"/>
        <v>440.8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616451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6729</v>
      </c>
      <c r="L25" s="274">
        <f t="shared" si="39"/>
        <v>16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150462</v>
      </c>
      <c r="Y25" s="324">
        <f t="shared" si="40"/>
        <v>0</v>
      </c>
      <c r="Z25" s="5">
        <f t="shared" si="46"/>
        <v>98542</v>
      </c>
      <c r="AA25" s="83">
        <f t="shared" si="21"/>
        <v>0</v>
      </c>
      <c r="AB25" s="5">
        <f t="shared" si="22"/>
        <v>251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0</v>
      </c>
      <c r="AK25" s="327">
        <f t="shared" si="38"/>
        <v>-16</v>
      </c>
      <c r="AL25" s="327">
        <f t="shared" si="30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f t="shared" si="55"/>
        <v>103</v>
      </c>
      <c r="AU25" s="425">
        <f t="shared" si="41"/>
        <v>1.1000000000000001</v>
      </c>
      <c r="AV25" s="201">
        <f t="shared" si="47"/>
        <v>138</v>
      </c>
      <c r="AW25" s="5">
        <v>2.9</v>
      </c>
      <c r="AX25" s="201">
        <f t="shared" si="42"/>
        <v>152</v>
      </c>
      <c r="AY25" s="426">
        <f t="shared" si="7"/>
        <v>92.7</v>
      </c>
      <c r="AZ25" s="426">
        <f t="shared" si="32"/>
        <v>151.80000000000001</v>
      </c>
      <c r="BA25" s="426">
        <f t="shared" si="33"/>
        <v>440.8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616451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6729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150462</v>
      </c>
      <c r="Y26" s="324">
        <f t="shared" si="40"/>
        <v>0</v>
      </c>
      <c r="Z26" s="5">
        <f t="shared" si="46"/>
        <v>98542</v>
      </c>
      <c r="AA26" s="83">
        <f t="shared" si="21"/>
        <v>0</v>
      </c>
      <c r="AB26" s="5">
        <f t="shared" si="22"/>
        <v>251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f t="shared" si="55"/>
        <v>103</v>
      </c>
      <c r="AU26" s="425">
        <f t="shared" si="41"/>
        <v>1.1000000000000001</v>
      </c>
      <c r="AV26" s="201">
        <f t="shared" si="47"/>
        <v>138</v>
      </c>
      <c r="AW26" s="5">
        <v>2.9</v>
      </c>
      <c r="AX26" s="201">
        <f t="shared" si="42"/>
        <v>152</v>
      </c>
      <c r="AY26" s="426">
        <f t="shared" si="7"/>
        <v>92.7</v>
      </c>
      <c r="AZ26" s="426">
        <f t="shared" si="32"/>
        <v>151.80000000000001</v>
      </c>
      <c r="BA26" s="426">
        <f t="shared" si="33"/>
        <v>440.8</v>
      </c>
      <c r="BB26" s="21">
        <f t="shared" si="34"/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616451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6729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150462</v>
      </c>
      <c r="Y27" s="324">
        <f>SUM(X27-X26)</f>
        <v>0</v>
      </c>
      <c r="Z27" s="5">
        <f t="shared" si="46"/>
        <v>98542</v>
      </c>
      <c r="AA27" s="83">
        <f t="shared" si="21"/>
        <v>0</v>
      </c>
      <c r="AB27" s="5">
        <f t="shared" si="22"/>
        <v>251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103</v>
      </c>
      <c r="AU27" s="425">
        <f t="shared" si="41"/>
        <v>1.1000000000000001</v>
      </c>
      <c r="AV27" s="201">
        <f t="shared" si="47"/>
        <v>138</v>
      </c>
      <c r="AW27" s="5">
        <v>2.9</v>
      </c>
      <c r="AX27" s="201">
        <f t="shared" si="42"/>
        <v>152</v>
      </c>
      <c r="AY27" s="426">
        <f t="shared" si="7"/>
        <v>92.7</v>
      </c>
      <c r="AZ27" s="426">
        <f t="shared" si="32"/>
        <v>151.80000000000001</v>
      </c>
      <c r="BA27" s="426">
        <f t="shared" si="33"/>
        <v>440.8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616451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6729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150462</v>
      </c>
      <c r="Y28" s="324">
        <f t="shared" si="40"/>
        <v>0</v>
      </c>
      <c r="Z28" s="5">
        <f t="shared" si="46"/>
        <v>98542</v>
      </c>
      <c r="AA28" s="83">
        <f t="shared" si="21"/>
        <v>0</v>
      </c>
      <c r="AB28" s="5">
        <f t="shared" si="22"/>
        <v>251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103</v>
      </c>
      <c r="AU28" s="425">
        <f t="shared" si="41"/>
        <v>1.1000000000000001</v>
      </c>
      <c r="AV28" s="201">
        <f t="shared" si="47"/>
        <v>138</v>
      </c>
      <c r="AW28" s="5">
        <v>2.9</v>
      </c>
      <c r="AX28" s="201">
        <f t="shared" si="42"/>
        <v>152</v>
      </c>
      <c r="AY28" s="426">
        <f t="shared" si="7"/>
        <v>92.7</v>
      </c>
      <c r="AZ28" s="426">
        <f t="shared" si="32"/>
        <v>151.80000000000001</v>
      </c>
      <c r="BA28" s="426">
        <f t="shared" si="33"/>
        <v>440.8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616451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6729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150462</v>
      </c>
      <c r="Y29" s="324">
        <f t="shared" si="40"/>
        <v>0</v>
      </c>
      <c r="Z29" s="5">
        <f t="shared" si="46"/>
        <v>98542</v>
      </c>
      <c r="AA29" s="83">
        <f t="shared" si="21"/>
        <v>0</v>
      </c>
      <c r="AB29" s="5">
        <f t="shared" si="22"/>
        <v>251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103</v>
      </c>
      <c r="AU29" s="425">
        <f t="shared" si="41"/>
        <v>1.1000000000000001</v>
      </c>
      <c r="AV29" s="201">
        <f t="shared" si="47"/>
        <v>138</v>
      </c>
      <c r="AW29" s="5">
        <v>2.9</v>
      </c>
      <c r="AX29" s="201">
        <f t="shared" si="42"/>
        <v>152</v>
      </c>
      <c r="AY29" s="426">
        <f t="shared" si="7"/>
        <v>92.7</v>
      </c>
      <c r="AZ29" s="426">
        <f t="shared" si="32"/>
        <v>151.80000000000001</v>
      </c>
      <c r="BA29" s="426">
        <f t="shared" si="33"/>
        <v>440.8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616451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6729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150462</v>
      </c>
      <c r="Y30" s="324">
        <f t="shared" si="40"/>
        <v>0</v>
      </c>
      <c r="Z30" s="5">
        <f t="shared" si="46"/>
        <v>98542</v>
      </c>
      <c r="AA30" s="83">
        <f t="shared" si="21"/>
        <v>0</v>
      </c>
      <c r="AB30" s="5">
        <f t="shared" si="22"/>
        <v>251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103</v>
      </c>
      <c r="AU30" s="425">
        <f t="shared" si="41"/>
        <v>1.1000000000000001</v>
      </c>
      <c r="AV30" s="201">
        <f t="shared" si="47"/>
        <v>138</v>
      </c>
      <c r="AW30" s="5">
        <v>2.9</v>
      </c>
      <c r="AX30" s="201">
        <f t="shared" si="42"/>
        <v>152</v>
      </c>
      <c r="AY30" s="426">
        <f t="shared" si="7"/>
        <v>92.7</v>
      </c>
      <c r="AZ30" s="426">
        <f t="shared" si="32"/>
        <v>151.80000000000001</v>
      </c>
      <c r="BA30" s="426">
        <f t="shared" si="33"/>
        <v>440.8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616451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6729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150462</v>
      </c>
      <c r="Y31" s="324">
        <f t="shared" si="40"/>
        <v>0</v>
      </c>
      <c r="Z31" s="5">
        <f t="shared" si="46"/>
        <v>98542</v>
      </c>
      <c r="AA31" s="83">
        <f t="shared" si="21"/>
        <v>0</v>
      </c>
      <c r="AB31" s="5">
        <f t="shared" si="22"/>
        <v>251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103</v>
      </c>
      <c r="AU31" s="425">
        <f t="shared" si="41"/>
        <v>1.1000000000000001</v>
      </c>
      <c r="AV31" s="201">
        <f t="shared" si="47"/>
        <v>138</v>
      </c>
      <c r="AW31" s="5">
        <v>2.9</v>
      </c>
      <c r="AX31" s="201">
        <f t="shared" si="42"/>
        <v>152</v>
      </c>
      <c r="AY31" s="426">
        <f t="shared" si="7"/>
        <v>92.7</v>
      </c>
      <c r="AZ31" s="426">
        <f t="shared" si="32"/>
        <v>151.80000000000001</v>
      </c>
      <c r="BA31" s="426">
        <f t="shared" si="33"/>
        <v>440.8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616451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6729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150462</v>
      </c>
      <c r="Y32" s="324">
        <f t="shared" si="40"/>
        <v>0</v>
      </c>
      <c r="Z32" s="5">
        <f t="shared" si="46"/>
        <v>98542</v>
      </c>
      <c r="AA32" s="83">
        <f t="shared" si="21"/>
        <v>0</v>
      </c>
      <c r="AB32" s="5">
        <f t="shared" si="22"/>
        <v>251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103</v>
      </c>
      <c r="AU32" s="425">
        <f t="shared" si="41"/>
        <v>1.1000000000000001</v>
      </c>
      <c r="AV32" s="201">
        <f t="shared" si="47"/>
        <v>138</v>
      </c>
      <c r="AW32" s="5">
        <v>2.9</v>
      </c>
      <c r="AX32" s="201">
        <f t="shared" si="42"/>
        <v>152</v>
      </c>
      <c r="AY32" s="426">
        <f t="shared" si="7"/>
        <v>92.7</v>
      </c>
      <c r="AZ32" s="426">
        <f t="shared" si="32"/>
        <v>151.80000000000001</v>
      </c>
      <c r="BA32" s="426">
        <f t="shared" si="33"/>
        <v>440.8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616451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6729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150462</v>
      </c>
      <c r="Y33" s="324">
        <f t="shared" si="40"/>
        <v>0</v>
      </c>
      <c r="Z33" s="5">
        <f t="shared" si="46"/>
        <v>98542</v>
      </c>
      <c r="AA33" s="83">
        <f t="shared" si="21"/>
        <v>0</v>
      </c>
      <c r="AB33" s="5">
        <f t="shared" si="22"/>
        <v>251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103</v>
      </c>
      <c r="AU33" s="425">
        <f t="shared" si="41"/>
        <v>1.1000000000000001</v>
      </c>
      <c r="AV33" s="201">
        <f t="shared" si="47"/>
        <v>138</v>
      </c>
      <c r="AW33" s="5">
        <v>2.9</v>
      </c>
      <c r="AX33" s="201">
        <f t="shared" si="42"/>
        <v>152</v>
      </c>
      <c r="AY33" s="426">
        <f t="shared" si="7"/>
        <v>92.7</v>
      </c>
      <c r="AZ33" s="426">
        <f t="shared" si="32"/>
        <v>151.80000000000001</v>
      </c>
      <c r="BA33" s="426">
        <f t="shared" si="33"/>
        <v>440.8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616451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6729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150462</v>
      </c>
      <c r="Y34" s="324">
        <f t="shared" ref="Y34:Y36" si="67">SUM(X34-X33)</f>
        <v>0</v>
      </c>
      <c r="Z34" s="5">
        <f t="shared" si="46"/>
        <v>98542</v>
      </c>
      <c r="AA34" s="83">
        <f t="shared" ref="AA34:AA36" si="68">Z34-Z33</f>
        <v>0</v>
      </c>
      <c r="AB34" s="5">
        <f t="shared" si="22"/>
        <v>251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103</v>
      </c>
      <c r="AU34" s="425">
        <f t="shared" ref="AU34" si="78">AU33</f>
        <v>1.1000000000000001</v>
      </c>
      <c r="AV34" s="201">
        <f t="shared" si="47"/>
        <v>138</v>
      </c>
      <c r="AW34" s="5">
        <v>2.9</v>
      </c>
      <c r="AX34" s="201">
        <f t="shared" si="42"/>
        <v>152</v>
      </c>
      <c r="AY34" s="426">
        <f t="shared" ref="AY34:AY36" si="79">AS34*AT34</f>
        <v>92.7</v>
      </c>
      <c r="AZ34" s="426">
        <f t="shared" ref="AZ34:AZ36" si="80">AU34*AV34</f>
        <v>151.80000000000001</v>
      </c>
      <c r="BA34" s="426">
        <f t="shared" ref="BA34:BA36" si="81">AW34*AX34</f>
        <v>440.8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616451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6729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150462</v>
      </c>
      <c r="Y35" s="324">
        <f t="shared" si="67"/>
        <v>0</v>
      </c>
      <c r="Z35" s="5">
        <f t="shared" si="46"/>
        <v>98542</v>
      </c>
      <c r="AA35" s="83">
        <f t="shared" si="68"/>
        <v>0</v>
      </c>
      <c r="AB35" s="5">
        <f t="shared" si="22"/>
        <v>251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103</v>
      </c>
      <c r="AU35" s="425">
        <f t="shared" ref="AU35" si="89">AU34</f>
        <v>1.1000000000000001</v>
      </c>
      <c r="AV35" s="201">
        <f t="shared" si="47"/>
        <v>138</v>
      </c>
      <c r="AW35" s="5">
        <v>2.9</v>
      </c>
      <c r="AX35" s="201">
        <f t="shared" si="42"/>
        <v>152</v>
      </c>
      <c r="AY35" s="426">
        <f t="shared" si="79"/>
        <v>92.7</v>
      </c>
      <c r="AZ35" s="426">
        <f t="shared" si="80"/>
        <v>151.80000000000001</v>
      </c>
      <c r="BA35" s="426">
        <f t="shared" si="81"/>
        <v>440.8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616451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6729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150462</v>
      </c>
      <c r="Y36" s="324">
        <f t="shared" si="67"/>
        <v>0</v>
      </c>
      <c r="Z36" s="5">
        <f t="shared" si="46"/>
        <v>98542</v>
      </c>
      <c r="AA36" s="83">
        <f t="shared" si="68"/>
        <v>0</v>
      </c>
      <c r="AB36" s="5">
        <f t="shared" si="22"/>
        <v>251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103</v>
      </c>
      <c r="AU36" s="425">
        <f t="shared" ref="AU36" si="91">AU35</f>
        <v>1.1000000000000001</v>
      </c>
      <c r="AV36" s="201">
        <f t="shared" si="47"/>
        <v>138</v>
      </c>
      <c r="AW36" s="5">
        <v>2.9</v>
      </c>
      <c r="AX36" s="201">
        <f t="shared" si="42"/>
        <v>152</v>
      </c>
      <c r="AY36" s="426">
        <f t="shared" si="79"/>
        <v>92.7</v>
      </c>
      <c r="AZ36" s="426">
        <f t="shared" si="80"/>
        <v>151.80000000000001</v>
      </c>
      <c r="BA36" s="426">
        <f t="shared" si="81"/>
        <v>440.8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299</v>
      </c>
      <c r="I37" s="412">
        <f>SUM(I6:I33)</f>
        <v>299</v>
      </c>
      <c r="L37" s="268">
        <f>SUM(L7:L33)</f>
        <v>8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61</v>
      </c>
      <c r="AK37" s="327" t="e">
        <f>SUM(Y37-L37)</f>
        <v>#REF!</v>
      </c>
      <c r="AL37" s="322">
        <f>SUM(AL6:AL33)</f>
        <v>61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299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299</v>
      </c>
      <c r="H39" s="1">
        <f>SUM(H38+C38)</f>
        <v>7500</v>
      </c>
      <c r="K39" s="1">
        <f>SUM(H39/G39)</f>
        <v>25.083612040133779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1" activePane="bottomLeft" state="frozen"/>
      <selection pane="bottomLeft" activeCell="K19" sqref="K19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5" t="s">
        <v>193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7"/>
    </row>
    <row r="2" spans="1:15" ht="15.75" customHeight="1" thickBot="1">
      <c r="A2" s="638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40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16.321428571428573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zoomScale="90" zoomScaleNormal="90" workbookViewId="0">
      <pane xSplit="1" topLeftCell="AI1" activePane="topRight" state="frozen"/>
      <selection pane="topRight" activeCell="BI22" sqref="BI2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3" t="s">
        <v>108</v>
      </c>
      <c r="AS3" s="643" t="s">
        <v>233</v>
      </c>
      <c r="AT3" s="641" t="s">
        <v>301</v>
      </c>
      <c r="AU3" s="642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4"/>
      <c r="AS4" s="644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174</v>
      </c>
      <c r="C20" s="203">
        <f t="shared" si="18"/>
        <v>3743.8064516129029</v>
      </c>
      <c r="D20">
        <f t="shared" si="19"/>
        <v>174</v>
      </c>
      <c r="E20" s="203">
        <f t="shared" si="18"/>
        <v>3743.8064516129029</v>
      </c>
      <c r="F20">
        <f t="shared" si="20"/>
        <v>174</v>
      </c>
      <c r="G20" s="203">
        <f t="shared" si="1"/>
        <v>3743.8064516129029</v>
      </c>
      <c r="H20" s="203">
        <f t="shared" si="21"/>
        <v>174</v>
      </c>
      <c r="I20" s="203">
        <f t="shared" si="2"/>
        <v>3743.8064516129029</v>
      </c>
      <c r="J20" s="203">
        <f t="shared" si="22"/>
        <v>174</v>
      </c>
      <c r="K20" s="203">
        <f t="shared" si="3"/>
        <v>3743.8064516129029</v>
      </c>
      <c r="L20" s="203">
        <f t="shared" si="23"/>
        <v>174</v>
      </c>
      <c r="M20" s="203">
        <f t="shared" si="4"/>
        <v>3743.8064516129029</v>
      </c>
      <c r="N20" s="203">
        <f t="shared" si="24"/>
        <v>174</v>
      </c>
      <c r="O20" s="203">
        <f t="shared" si="5"/>
        <v>3743.8064516129029</v>
      </c>
      <c r="P20" s="203">
        <f t="shared" si="25"/>
        <v>174</v>
      </c>
      <c r="Q20" s="203">
        <f t="shared" si="6"/>
        <v>3743.8064516129029</v>
      </c>
      <c r="R20" s="203">
        <f t="shared" si="26"/>
        <v>174</v>
      </c>
      <c r="S20" s="203">
        <f t="shared" si="7"/>
        <v>3743.8064516129029</v>
      </c>
      <c r="T20" s="203">
        <f t="shared" si="27"/>
        <v>174</v>
      </c>
      <c r="U20" s="203">
        <f t="shared" si="8"/>
        <v>3743.8064516129029</v>
      </c>
      <c r="V20" s="203">
        <f t="shared" si="28"/>
        <v>174</v>
      </c>
      <c r="W20" s="203">
        <f t="shared" si="9"/>
        <v>3743.8064516129029</v>
      </c>
      <c r="X20" s="35">
        <f t="shared" si="10"/>
        <v>0.56129032258064504</v>
      </c>
      <c r="Y20" s="36">
        <f t="shared" si="29"/>
        <v>41181.870967741925</v>
      </c>
      <c r="Z20" s="203">
        <f>'B5'!C19</f>
        <v>180</v>
      </c>
      <c r="AA20" s="203">
        <f t="shared" si="30"/>
        <v>1800</v>
      </c>
      <c r="AB20" s="203">
        <f t="shared" si="31"/>
        <v>180</v>
      </c>
      <c r="AC20" s="203">
        <f t="shared" si="30"/>
        <v>1800</v>
      </c>
      <c r="AD20" s="203">
        <f t="shared" si="32"/>
        <v>180</v>
      </c>
      <c r="AE20" s="203">
        <f t="shared" si="11"/>
        <v>1800</v>
      </c>
      <c r="AF20" s="203">
        <f t="shared" si="33"/>
        <v>180</v>
      </c>
      <c r="AG20" s="203">
        <f t="shared" si="12"/>
        <v>1800</v>
      </c>
      <c r="AH20" s="203">
        <f t="shared" si="34"/>
        <v>180</v>
      </c>
      <c r="AI20" s="203">
        <f t="shared" si="13"/>
        <v>1800</v>
      </c>
      <c r="AJ20" s="203">
        <f t="shared" si="35"/>
        <v>180</v>
      </c>
      <c r="AK20" s="203">
        <f t="shared" si="14"/>
        <v>1800</v>
      </c>
      <c r="AL20" s="203">
        <f t="shared" si="36"/>
        <v>180</v>
      </c>
      <c r="AM20" s="203">
        <f t="shared" si="15"/>
        <v>1800</v>
      </c>
      <c r="AN20" s="35">
        <f t="shared" si="16"/>
        <v>0.6428571428571429</v>
      </c>
      <c r="AO20" s="36">
        <f t="shared" si="17"/>
        <v>12600</v>
      </c>
      <c r="AQ20" s="223">
        <f t="shared" si="37"/>
        <v>0.57848629630786197</v>
      </c>
      <c r="AR20" s="38">
        <f t="shared" si="42"/>
        <v>53781.870967741925</v>
      </c>
      <c r="AS20" s="197">
        <f t="shared" si="38"/>
        <v>0</v>
      </c>
      <c r="AT20" s="271"/>
      <c r="AU20" s="436"/>
      <c r="AV20" s="518">
        <f t="shared" si="43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174</v>
      </c>
      <c r="C21" s="203">
        <f t="shared" si="18"/>
        <v>3743.8064516129029</v>
      </c>
      <c r="D21">
        <f t="shared" si="19"/>
        <v>174</v>
      </c>
      <c r="E21" s="203">
        <f t="shared" si="18"/>
        <v>3743.8064516129029</v>
      </c>
      <c r="F21">
        <f t="shared" si="20"/>
        <v>174</v>
      </c>
      <c r="G21" s="203">
        <f t="shared" si="1"/>
        <v>3743.8064516129029</v>
      </c>
      <c r="H21" s="203">
        <f t="shared" si="21"/>
        <v>174</v>
      </c>
      <c r="I21" s="203">
        <f t="shared" si="2"/>
        <v>3743.8064516129029</v>
      </c>
      <c r="J21" s="203">
        <f t="shared" si="22"/>
        <v>174</v>
      </c>
      <c r="K21" s="203">
        <f t="shared" si="3"/>
        <v>3743.8064516129029</v>
      </c>
      <c r="L21" s="203">
        <f t="shared" si="23"/>
        <v>174</v>
      </c>
      <c r="M21" s="203">
        <f t="shared" si="4"/>
        <v>3743.8064516129029</v>
      </c>
      <c r="N21" s="203">
        <f t="shared" si="24"/>
        <v>174</v>
      </c>
      <c r="O21" s="203">
        <f t="shared" si="5"/>
        <v>3743.8064516129029</v>
      </c>
      <c r="P21" s="203">
        <f t="shared" si="25"/>
        <v>174</v>
      </c>
      <c r="Q21" s="203">
        <f t="shared" si="6"/>
        <v>3743.8064516129029</v>
      </c>
      <c r="R21" s="203">
        <f t="shared" si="26"/>
        <v>174</v>
      </c>
      <c r="S21" s="203">
        <f t="shared" si="7"/>
        <v>3743.8064516129029</v>
      </c>
      <c r="T21" s="203">
        <f t="shared" si="27"/>
        <v>174</v>
      </c>
      <c r="U21" s="203">
        <f t="shared" si="8"/>
        <v>3743.8064516129029</v>
      </c>
      <c r="V21" s="203">
        <f t="shared" si="28"/>
        <v>174</v>
      </c>
      <c r="W21" s="203">
        <f t="shared" si="9"/>
        <v>3743.8064516129029</v>
      </c>
      <c r="X21" s="35">
        <f t="shared" si="10"/>
        <v>0.56129032258064504</v>
      </c>
      <c r="Y21" s="36">
        <f t="shared" si="29"/>
        <v>41181.870967741925</v>
      </c>
      <c r="Z21" s="203">
        <f>'B5'!C20</f>
        <v>180</v>
      </c>
      <c r="AA21" s="203">
        <f t="shared" si="30"/>
        <v>1800</v>
      </c>
      <c r="AB21" s="203">
        <f t="shared" si="31"/>
        <v>180</v>
      </c>
      <c r="AC21" s="203">
        <f t="shared" si="30"/>
        <v>1800</v>
      </c>
      <c r="AD21" s="203">
        <f t="shared" si="32"/>
        <v>180</v>
      </c>
      <c r="AE21" s="203">
        <f t="shared" si="11"/>
        <v>1800</v>
      </c>
      <c r="AF21" s="203">
        <f t="shared" si="33"/>
        <v>180</v>
      </c>
      <c r="AG21" s="203">
        <f t="shared" si="12"/>
        <v>1800</v>
      </c>
      <c r="AH21" s="203">
        <f t="shared" si="34"/>
        <v>180</v>
      </c>
      <c r="AI21" s="203">
        <f t="shared" si="13"/>
        <v>1800</v>
      </c>
      <c r="AJ21" s="203">
        <f t="shared" si="35"/>
        <v>180</v>
      </c>
      <c r="AK21" s="203">
        <f t="shared" si="14"/>
        <v>1800</v>
      </c>
      <c r="AL21" s="203">
        <f t="shared" si="36"/>
        <v>180</v>
      </c>
      <c r="AM21" s="203">
        <f t="shared" si="15"/>
        <v>1800</v>
      </c>
      <c r="AN21" s="35">
        <f t="shared" si="16"/>
        <v>0.6428571428571429</v>
      </c>
      <c r="AO21" s="36">
        <f t="shared" si="17"/>
        <v>12600</v>
      </c>
      <c r="AQ21" s="223">
        <f t="shared" si="37"/>
        <v>0.57848629630786197</v>
      </c>
      <c r="AR21" s="38">
        <f t="shared" si="42"/>
        <v>53781.870967741925</v>
      </c>
      <c r="AS21" s="197">
        <f t="shared" si="38"/>
        <v>0</v>
      </c>
      <c r="AT21" s="271"/>
      <c r="AU21" s="436"/>
      <c r="AV21" s="518">
        <f t="shared" si="43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174</v>
      </c>
      <c r="C22" s="203">
        <f t="shared" si="18"/>
        <v>3743.8064516129029</v>
      </c>
      <c r="D22">
        <f t="shared" si="19"/>
        <v>174</v>
      </c>
      <c r="E22" s="203">
        <f t="shared" si="18"/>
        <v>3743.8064516129029</v>
      </c>
      <c r="F22">
        <f t="shared" si="20"/>
        <v>174</v>
      </c>
      <c r="G22" s="203">
        <f t="shared" si="1"/>
        <v>3743.8064516129029</v>
      </c>
      <c r="H22" s="203">
        <f t="shared" si="21"/>
        <v>174</v>
      </c>
      <c r="I22" s="203">
        <f t="shared" si="2"/>
        <v>3743.8064516129029</v>
      </c>
      <c r="J22" s="203">
        <f t="shared" si="22"/>
        <v>174</v>
      </c>
      <c r="K22" s="203">
        <f t="shared" si="3"/>
        <v>3743.8064516129029</v>
      </c>
      <c r="L22" s="203">
        <f t="shared" si="23"/>
        <v>174</v>
      </c>
      <c r="M22" s="203">
        <f t="shared" si="4"/>
        <v>3743.8064516129029</v>
      </c>
      <c r="N22" s="203">
        <f t="shared" si="24"/>
        <v>174</v>
      </c>
      <c r="O22" s="203">
        <f t="shared" si="5"/>
        <v>3743.8064516129029</v>
      </c>
      <c r="P22" s="203">
        <f t="shared" si="25"/>
        <v>174</v>
      </c>
      <c r="Q22" s="203">
        <f t="shared" si="6"/>
        <v>3743.8064516129029</v>
      </c>
      <c r="R22" s="203">
        <f t="shared" si="26"/>
        <v>174</v>
      </c>
      <c r="S22" s="203">
        <f t="shared" si="7"/>
        <v>3743.8064516129029</v>
      </c>
      <c r="T22" s="203">
        <f t="shared" si="27"/>
        <v>174</v>
      </c>
      <c r="U22" s="203">
        <f t="shared" si="8"/>
        <v>3743.8064516129029</v>
      </c>
      <c r="V22" s="203">
        <f t="shared" si="28"/>
        <v>174</v>
      </c>
      <c r="W22" s="203">
        <f t="shared" si="9"/>
        <v>3743.8064516129029</v>
      </c>
      <c r="X22" s="35">
        <f t="shared" si="10"/>
        <v>0.56129032258064504</v>
      </c>
      <c r="Y22" s="36">
        <f t="shared" si="29"/>
        <v>41181.870967741925</v>
      </c>
      <c r="Z22" s="203">
        <f>'B5'!C21</f>
        <v>180</v>
      </c>
      <c r="AA22" s="203">
        <f t="shared" si="30"/>
        <v>1800</v>
      </c>
      <c r="AB22" s="203">
        <f t="shared" si="31"/>
        <v>180</v>
      </c>
      <c r="AC22" s="203">
        <f t="shared" si="30"/>
        <v>1800</v>
      </c>
      <c r="AD22" s="203">
        <f t="shared" si="32"/>
        <v>180</v>
      </c>
      <c r="AE22" s="203">
        <f t="shared" si="11"/>
        <v>1800</v>
      </c>
      <c r="AF22" s="203">
        <f t="shared" si="33"/>
        <v>180</v>
      </c>
      <c r="AG22" s="203">
        <f t="shared" si="12"/>
        <v>1800</v>
      </c>
      <c r="AH22" s="203">
        <f t="shared" si="34"/>
        <v>180</v>
      </c>
      <c r="AI22" s="203">
        <f t="shared" si="13"/>
        <v>1800</v>
      </c>
      <c r="AJ22" s="203">
        <f t="shared" si="35"/>
        <v>180</v>
      </c>
      <c r="AK22" s="203">
        <f t="shared" si="14"/>
        <v>1800</v>
      </c>
      <c r="AL22" s="203">
        <f t="shared" si="36"/>
        <v>180</v>
      </c>
      <c r="AM22" s="203">
        <f t="shared" si="15"/>
        <v>1800</v>
      </c>
      <c r="AN22" s="35">
        <f t="shared" si="16"/>
        <v>0.6428571428571429</v>
      </c>
      <c r="AO22" s="36">
        <f t="shared" si="17"/>
        <v>12600</v>
      </c>
      <c r="AQ22" s="223">
        <f t="shared" si="37"/>
        <v>0.57848629630786197</v>
      </c>
      <c r="AR22" s="38">
        <f t="shared" si="42"/>
        <v>53781.870967741925</v>
      </c>
      <c r="AS22" s="197">
        <f t="shared" si="38"/>
        <v>0</v>
      </c>
      <c r="AT22" s="271"/>
      <c r="AU22" s="436"/>
      <c r="AV22" s="518">
        <f t="shared" si="43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174</v>
      </c>
      <c r="C23" s="203">
        <f t="shared" si="18"/>
        <v>3743.8064516129029</v>
      </c>
      <c r="D23">
        <f t="shared" si="19"/>
        <v>174</v>
      </c>
      <c r="E23" s="203">
        <f t="shared" si="18"/>
        <v>3743.8064516129029</v>
      </c>
      <c r="F23">
        <f t="shared" si="20"/>
        <v>174</v>
      </c>
      <c r="G23" s="203">
        <f t="shared" si="1"/>
        <v>3743.8064516129029</v>
      </c>
      <c r="H23" s="203">
        <f t="shared" si="21"/>
        <v>174</v>
      </c>
      <c r="I23" s="203">
        <f t="shared" si="2"/>
        <v>3743.8064516129029</v>
      </c>
      <c r="J23" s="203">
        <f t="shared" si="22"/>
        <v>174</v>
      </c>
      <c r="K23" s="203">
        <f t="shared" si="3"/>
        <v>3743.8064516129029</v>
      </c>
      <c r="L23" s="203">
        <f t="shared" si="23"/>
        <v>174</v>
      </c>
      <c r="M23" s="203">
        <f t="shared" si="4"/>
        <v>3743.8064516129029</v>
      </c>
      <c r="N23" s="203">
        <f t="shared" si="24"/>
        <v>174</v>
      </c>
      <c r="O23" s="203">
        <f t="shared" si="5"/>
        <v>3743.8064516129029</v>
      </c>
      <c r="P23" s="203">
        <f t="shared" si="25"/>
        <v>174</v>
      </c>
      <c r="Q23" s="203">
        <f t="shared" si="6"/>
        <v>3743.8064516129029</v>
      </c>
      <c r="R23" s="203">
        <f t="shared" si="26"/>
        <v>174</v>
      </c>
      <c r="S23" s="203">
        <f t="shared" si="7"/>
        <v>3743.8064516129029</v>
      </c>
      <c r="T23" s="203">
        <f t="shared" si="27"/>
        <v>174</v>
      </c>
      <c r="U23" s="203">
        <f t="shared" si="8"/>
        <v>3743.8064516129029</v>
      </c>
      <c r="V23" s="203">
        <f t="shared" si="28"/>
        <v>174</v>
      </c>
      <c r="W23" s="203">
        <f t="shared" si="9"/>
        <v>3743.8064516129029</v>
      </c>
      <c r="X23" s="35">
        <f t="shared" si="10"/>
        <v>0.56129032258064504</v>
      </c>
      <c r="Y23" s="36">
        <f t="shared" si="29"/>
        <v>41181.870967741925</v>
      </c>
      <c r="Z23" s="203">
        <f>'B5'!C22</f>
        <v>180</v>
      </c>
      <c r="AA23" s="203">
        <f t="shared" si="30"/>
        <v>1800</v>
      </c>
      <c r="AB23" s="203">
        <f t="shared" si="31"/>
        <v>180</v>
      </c>
      <c r="AC23" s="203">
        <f t="shared" si="30"/>
        <v>1800</v>
      </c>
      <c r="AD23" s="203">
        <f t="shared" si="32"/>
        <v>180</v>
      </c>
      <c r="AE23" s="203">
        <f t="shared" si="11"/>
        <v>1800</v>
      </c>
      <c r="AF23" s="203">
        <f t="shared" si="33"/>
        <v>180</v>
      </c>
      <c r="AG23" s="203">
        <f t="shared" si="12"/>
        <v>1800</v>
      </c>
      <c r="AH23" s="203">
        <f t="shared" si="34"/>
        <v>180</v>
      </c>
      <c r="AI23" s="203">
        <f t="shared" si="13"/>
        <v>1800</v>
      </c>
      <c r="AJ23" s="203">
        <f t="shared" si="35"/>
        <v>180</v>
      </c>
      <c r="AK23" s="203">
        <f t="shared" si="14"/>
        <v>1800</v>
      </c>
      <c r="AL23" s="203">
        <f t="shared" si="36"/>
        <v>180</v>
      </c>
      <c r="AM23" s="203">
        <f t="shared" si="15"/>
        <v>1800</v>
      </c>
      <c r="AN23" s="35">
        <f t="shared" si="16"/>
        <v>0.6428571428571429</v>
      </c>
      <c r="AO23" s="36">
        <f t="shared" si="17"/>
        <v>12600</v>
      </c>
      <c r="AQ23" s="223">
        <f t="shared" si="37"/>
        <v>0.57848629630786197</v>
      </c>
      <c r="AR23" s="38">
        <f t="shared" si="42"/>
        <v>53781.870967741925</v>
      </c>
      <c r="AS23" s="197">
        <f t="shared" si="38"/>
        <v>0</v>
      </c>
      <c r="AT23" s="271"/>
      <c r="AU23" s="436"/>
      <c r="AV23" s="518">
        <f t="shared" si="43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174</v>
      </c>
      <c r="C24" s="203">
        <f t="shared" si="18"/>
        <v>3743.8064516129029</v>
      </c>
      <c r="D24">
        <f t="shared" si="19"/>
        <v>174</v>
      </c>
      <c r="E24" s="203">
        <f t="shared" si="18"/>
        <v>3743.8064516129029</v>
      </c>
      <c r="F24">
        <f t="shared" si="20"/>
        <v>174</v>
      </c>
      <c r="G24" s="203">
        <f t="shared" si="1"/>
        <v>3743.8064516129029</v>
      </c>
      <c r="H24" s="203">
        <f t="shared" si="21"/>
        <v>174</v>
      </c>
      <c r="I24" s="203">
        <f t="shared" si="2"/>
        <v>3743.8064516129029</v>
      </c>
      <c r="J24" s="203">
        <f t="shared" si="22"/>
        <v>174</v>
      </c>
      <c r="K24" s="203">
        <f t="shared" si="3"/>
        <v>3743.8064516129029</v>
      </c>
      <c r="L24" s="203">
        <f t="shared" si="23"/>
        <v>174</v>
      </c>
      <c r="M24" s="203">
        <f t="shared" si="4"/>
        <v>3743.8064516129029</v>
      </c>
      <c r="N24" s="203">
        <f t="shared" si="24"/>
        <v>174</v>
      </c>
      <c r="O24" s="203">
        <f t="shared" si="5"/>
        <v>3743.8064516129029</v>
      </c>
      <c r="P24" s="203">
        <f t="shared" si="25"/>
        <v>174</v>
      </c>
      <c r="Q24" s="203">
        <f t="shared" si="6"/>
        <v>3743.8064516129029</v>
      </c>
      <c r="R24" s="203">
        <f t="shared" si="26"/>
        <v>174</v>
      </c>
      <c r="S24" s="203">
        <f t="shared" si="7"/>
        <v>3743.8064516129029</v>
      </c>
      <c r="T24" s="203">
        <f t="shared" si="27"/>
        <v>174</v>
      </c>
      <c r="U24" s="203">
        <f t="shared" si="8"/>
        <v>3743.8064516129029</v>
      </c>
      <c r="V24" s="203">
        <f t="shared" si="28"/>
        <v>174</v>
      </c>
      <c r="W24" s="203">
        <f t="shared" si="9"/>
        <v>3743.8064516129029</v>
      </c>
      <c r="X24" s="35">
        <f t="shared" si="10"/>
        <v>0.56129032258064504</v>
      </c>
      <c r="Y24" s="36">
        <f t="shared" si="29"/>
        <v>41181.870967741925</v>
      </c>
      <c r="Z24" s="203">
        <f>'B5'!C23</f>
        <v>180</v>
      </c>
      <c r="AA24" s="203">
        <f t="shared" si="30"/>
        <v>1800</v>
      </c>
      <c r="AB24" s="203">
        <f t="shared" si="31"/>
        <v>180</v>
      </c>
      <c r="AC24" s="203">
        <f t="shared" si="30"/>
        <v>1800</v>
      </c>
      <c r="AD24" s="203">
        <f t="shared" si="32"/>
        <v>180</v>
      </c>
      <c r="AE24" s="203">
        <f t="shared" si="11"/>
        <v>1800</v>
      </c>
      <c r="AF24" s="203">
        <f t="shared" si="33"/>
        <v>180</v>
      </c>
      <c r="AG24" s="203">
        <f t="shared" si="12"/>
        <v>1800</v>
      </c>
      <c r="AH24" s="203">
        <f t="shared" si="34"/>
        <v>180</v>
      </c>
      <c r="AI24" s="203">
        <f t="shared" si="13"/>
        <v>1800</v>
      </c>
      <c r="AJ24" s="203">
        <f t="shared" si="35"/>
        <v>180</v>
      </c>
      <c r="AK24" s="203">
        <f t="shared" si="14"/>
        <v>1800</v>
      </c>
      <c r="AL24" s="203">
        <f t="shared" si="36"/>
        <v>180</v>
      </c>
      <c r="AM24" s="203">
        <f t="shared" si="15"/>
        <v>1800</v>
      </c>
      <c r="AN24" s="35">
        <f t="shared" si="16"/>
        <v>0.6428571428571429</v>
      </c>
      <c r="AO24" s="36">
        <f t="shared" si="17"/>
        <v>12600</v>
      </c>
      <c r="AQ24" s="223">
        <f t="shared" si="37"/>
        <v>0.57848629630786197</v>
      </c>
      <c r="AR24" s="38">
        <f t="shared" si="42"/>
        <v>53781.870967741925</v>
      </c>
      <c r="AS24" s="197">
        <f t="shared" si="38"/>
        <v>0</v>
      </c>
      <c r="AT24" s="271"/>
      <c r="AU24" s="436"/>
      <c r="AV24" s="518">
        <f t="shared" si="43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174</v>
      </c>
      <c r="C25" s="203">
        <f t="shared" si="18"/>
        <v>3743.8064516129029</v>
      </c>
      <c r="D25">
        <f t="shared" si="19"/>
        <v>174</v>
      </c>
      <c r="E25" s="203">
        <f t="shared" si="18"/>
        <v>3743.8064516129029</v>
      </c>
      <c r="F25">
        <f t="shared" si="20"/>
        <v>174</v>
      </c>
      <c r="G25" s="203">
        <f t="shared" si="1"/>
        <v>3743.8064516129029</v>
      </c>
      <c r="H25" s="203">
        <f t="shared" si="21"/>
        <v>174</v>
      </c>
      <c r="I25" s="203">
        <f t="shared" si="2"/>
        <v>3743.8064516129029</v>
      </c>
      <c r="J25" s="203">
        <f t="shared" si="22"/>
        <v>174</v>
      </c>
      <c r="K25" s="203">
        <f t="shared" si="3"/>
        <v>3743.8064516129029</v>
      </c>
      <c r="L25" s="203">
        <f t="shared" si="23"/>
        <v>174</v>
      </c>
      <c r="M25" s="203">
        <f t="shared" si="4"/>
        <v>3743.8064516129029</v>
      </c>
      <c r="N25" s="203">
        <f t="shared" si="24"/>
        <v>174</v>
      </c>
      <c r="O25" s="203">
        <f t="shared" si="5"/>
        <v>3743.8064516129029</v>
      </c>
      <c r="P25" s="203">
        <f t="shared" si="25"/>
        <v>174</v>
      </c>
      <c r="Q25" s="203">
        <f t="shared" si="6"/>
        <v>3743.8064516129029</v>
      </c>
      <c r="R25" s="203">
        <f t="shared" si="26"/>
        <v>174</v>
      </c>
      <c r="S25" s="203">
        <f t="shared" si="7"/>
        <v>3743.8064516129029</v>
      </c>
      <c r="T25" s="203">
        <f t="shared" si="27"/>
        <v>174</v>
      </c>
      <c r="U25" s="203">
        <f t="shared" si="8"/>
        <v>3743.8064516129029</v>
      </c>
      <c r="V25" s="203">
        <f t="shared" si="28"/>
        <v>174</v>
      </c>
      <c r="W25" s="203">
        <f t="shared" si="9"/>
        <v>3743.8064516129029</v>
      </c>
      <c r="X25" s="35">
        <f t="shared" si="10"/>
        <v>0.56129032258064504</v>
      </c>
      <c r="Y25" s="36">
        <f t="shared" si="29"/>
        <v>41181.870967741925</v>
      </c>
      <c r="Z25" s="203">
        <f>'B5'!C24</f>
        <v>180</v>
      </c>
      <c r="AA25" s="203">
        <f t="shared" si="30"/>
        <v>1800</v>
      </c>
      <c r="AB25" s="203">
        <f t="shared" si="31"/>
        <v>180</v>
      </c>
      <c r="AC25" s="203">
        <f t="shared" si="30"/>
        <v>1800</v>
      </c>
      <c r="AD25" s="203">
        <f t="shared" si="32"/>
        <v>180</v>
      </c>
      <c r="AE25" s="203">
        <f t="shared" si="11"/>
        <v>1800</v>
      </c>
      <c r="AF25" s="203">
        <f t="shared" si="33"/>
        <v>180</v>
      </c>
      <c r="AG25" s="203">
        <f t="shared" si="12"/>
        <v>1800</v>
      </c>
      <c r="AH25" s="203">
        <f t="shared" si="34"/>
        <v>180</v>
      </c>
      <c r="AI25" s="203">
        <f t="shared" si="13"/>
        <v>1800</v>
      </c>
      <c r="AJ25" s="203">
        <f t="shared" si="35"/>
        <v>180</v>
      </c>
      <c r="AK25" s="203">
        <f t="shared" si="14"/>
        <v>1800</v>
      </c>
      <c r="AL25" s="203">
        <f t="shared" si="36"/>
        <v>180</v>
      </c>
      <c r="AM25" s="203">
        <f t="shared" si="15"/>
        <v>1800</v>
      </c>
      <c r="AN25" s="35">
        <f t="shared" si="16"/>
        <v>0.6428571428571429</v>
      </c>
      <c r="AO25" s="36">
        <f t="shared" si="17"/>
        <v>12600</v>
      </c>
      <c r="AQ25" s="223">
        <f t="shared" si="37"/>
        <v>0.57848629630786197</v>
      </c>
      <c r="AR25" s="38">
        <f t="shared" si="42"/>
        <v>53781.870967741925</v>
      </c>
      <c r="AS25" s="197">
        <f t="shared" si="38"/>
        <v>0</v>
      </c>
      <c r="AT25" s="271"/>
      <c r="AU25" s="436"/>
      <c r="AV25" s="518">
        <f t="shared" si="43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174</v>
      </c>
      <c r="C26" s="203">
        <f t="shared" si="18"/>
        <v>3743.8064516129029</v>
      </c>
      <c r="D26">
        <f t="shared" si="19"/>
        <v>174</v>
      </c>
      <c r="E26" s="203">
        <f t="shared" si="18"/>
        <v>3743.8064516129029</v>
      </c>
      <c r="F26">
        <f t="shared" si="20"/>
        <v>174</v>
      </c>
      <c r="G26" s="203">
        <f t="shared" si="1"/>
        <v>3743.8064516129029</v>
      </c>
      <c r="H26" s="203">
        <f t="shared" si="21"/>
        <v>174</v>
      </c>
      <c r="I26" s="203">
        <f t="shared" si="2"/>
        <v>3743.8064516129029</v>
      </c>
      <c r="J26" s="203">
        <f t="shared" si="22"/>
        <v>174</v>
      </c>
      <c r="K26" s="203">
        <f t="shared" si="3"/>
        <v>3743.8064516129029</v>
      </c>
      <c r="L26" s="203">
        <f t="shared" si="23"/>
        <v>174</v>
      </c>
      <c r="M26" s="203">
        <f t="shared" si="4"/>
        <v>3743.8064516129029</v>
      </c>
      <c r="N26" s="203">
        <f t="shared" si="24"/>
        <v>174</v>
      </c>
      <c r="O26" s="203">
        <f t="shared" si="5"/>
        <v>3743.8064516129029</v>
      </c>
      <c r="P26" s="203">
        <f t="shared" si="25"/>
        <v>174</v>
      </c>
      <c r="Q26" s="203">
        <f t="shared" si="6"/>
        <v>3743.8064516129029</v>
      </c>
      <c r="R26" s="203">
        <f t="shared" si="26"/>
        <v>174</v>
      </c>
      <c r="S26" s="203">
        <f t="shared" si="7"/>
        <v>3743.8064516129029</v>
      </c>
      <c r="T26" s="203">
        <f t="shared" si="27"/>
        <v>174</v>
      </c>
      <c r="U26" s="203">
        <f t="shared" si="8"/>
        <v>3743.8064516129029</v>
      </c>
      <c r="V26" s="203">
        <f t="shared" si="28"/>
        <v>174</v>
      </c>
      <c r="W26" s="203">
        <f t="shared" si="9"/>
        <v>3743.8064516129029</v>
      </c>
      <c r="X26" s="35">
        <f t="shared" si="10"/>
        <v>0.56129032258064504</v>
      </c>
      <c r="Y26" s="36">
        <f t="shared" si="29"/>
        <v>41181.870967741925</v>
      </c>
      <c r="Z26" s="203">
        <f>'B5'!C25</f>
        <v>180</v>
      </c>
      <c r="AA26" s="203">
        <f t="shared" si="30"/>
        <v>1800</v>
      </c>
      <c r="AB26" s="203">
        <f t="shared" si="31"/>
        <v>180</v>
      </c>
      <c r="AC26" s="203">
        <f t="shared" si="30"/>
        <v>1800</v>
      </c>
      <c r="AD26" s="203">
        <f t="shared" si="32"/>
        <v>180</v>
      </c>
      <c r="AE26" s="203">
        <f t="shared" si="11"/>
        <v>1800</v>
      </c>
      <c r="AF26" s="203">
        <f t="shared" si="33"/>
        <v>180</v>
      </c>
      <c r="AG26" s="203">
        <f t="shared" si="12"/>
        <v>1800</v>
      </c>
      <c r="AH26" s="203">
        <f t="shared" si="34"/>
        <v>180</v>
      </c>
      <c r="AI26" s="203">
        <f t="shared" si="13"/>
        <v>1800</v>
      </c>
      <c r="AJ26" s="203">
        <f t="shared" si="35"/>
        <v>180</v>
      </c>
      <c r="AK26" s="203">
        <f t="shared" si="14"/>
        <v>1800</v>
      </c>
      <c r="AL26" s="203">
        <f t="shared" si="36"/>
        <v>180</v>
      </c>
      <c r="AM26" s="203">
        <f t="shared" si="15"/>
        <v>1800</v>
      </c>
      <c r="AN26" s="35">
        <f t="shared" si="16"/>
        <v>0.6428571428571429</v>
      </c>
      <c r="AO26" s="36">
        <f t="shared" si="17"/>
        <v>12600</v>
      </c>
      <c r="AQ26" s="223">
        <f t="shared" si="37"/>
        <v>0.57848629630786197</v>
      </c>
      <c r="AR26" s="38">
        <f t="shared" si="42"/>
        <v>53781.870967741925</v>
      </c>
      <c r="AS26" s="197">
        <f t="shared" si="38"/>
        <v>0</v>
      </c>
      <c r="AT26" s="271"/>
      <c r="AU26" s="491"/>
      <c r="AV26" s="518">
        <f t="shared" si="43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174</v>
      </c>
      <c r="C27" s="203">
        <f t="shared" si="18"/>
        <v>3743.8064516129029</v>
      </c>
      <c r="D27">
        <f t="shared" si="19"/>
        <v>174</v>
      </c>
      <c r="E27" s="203">
        <f t="shared" si="18"/>
        <v>3743.8064516129029</v>
      </c>
      <c r="F27">
        <f t="shared" si="20"/>
        <v>174</v>
      </c>
      <c r="G27" s="203">
        <f t="shared" si="1"/>
        <v>3743.8064516129029</v>
      </c>
      <c r="H27" s="203">
        <f t="shared" si="21"/>
        <v>174</v>
      </c>
      <c r="I27" s="203">
        <f t="shared" si="2"/>
        <v>3743.8064516129029</v>
      </c>
      <c r="J27" s="203">
        <f t="shared" si="22"/>
        <v>174</v>
      </c>
      <c r="K27" s="203">
        <f t="shared" si="3"/>
        <v>3743.8064516129029</v>
      </c>
      <c r="L27" s="203">
        <f t="shared" si="23"/>
        <v>174</v>
      </c>
      <c r="M27" s="203">
        <f t="shared" si="4"/>
        <v>3743.8064516129029</v>
      </c>
      <c r="N27" s="203">
        <f t="shared" si="24"/>
        <v>174</v>
      </c>
      <c r="O27" s="203">
        <f t="shared" si="5"/>
        <v>3743.8064516129029</v>
      </c>
      <c r="P27" s="203">
        <f t="shared" si="25"/>
        <v>174</v>
      </c>
      <c r="Q27" s="203">
        <f t="shared" si="6"/>
        <v>3743.8064516129029</v>
      </c>
      <c r="R27" s="203">
        <f t="shared" si="26"/>
        <v>174</v>
      </c>
      <c r="S27" s="203">
        <f t="shared" si="7"/>
        <v>3743.8064516129029</v>
      </c>
      <c r="T27" s="203">
        <f t="shared" si="27"/>
        <v>174</v>
      </c>
      <c r="U27" s="203">
        <f t="shared" si="8"/>
        <v>3743.8064516129029</v>
      </c>
      <c r="V27" s="203">
        <f t="shared" si="28"/>
        <v>174</v>
      </c>
      <c r="W27" s="203">
        <f t="shared" si="9"/>
        <v>3743.8064516129029</v>
      </c>
      <c r="X27" s="35">
        <f t="shared" si="10"/>
        <v>0.56129032258064504</v>
      </c>
      <c r="Y27" s="36">
        <f t="shared" si="29"/>
        <v>41181.870967741925</v>
      </c>
      <c r="Z27" s="203">
        <f>'B5'!C26</f>
        <v>180</v>
      </c>
      <c r="AA27" s="203">
        <f t="shared" si="30"/>
        <v>1800</v>
      </c>
      <c r="AB27" s="203">
        <f t="shared" si="31"/>
        <v>180</v>
      </c>
      <c r="AC27" s="203">
        <f t="shared" si="30"/>
        <v>1800</v>
      </c>
      <c r="AD27" s="203">
        <f t="shared" si="32"/>
        <v>180</v>
      </c>
      <c r="AE27" s="203">
        <f t="shared" si="11"/>
        <v>1800</v>
      </c>
      <c r="AF27" s="203">
        <f t="shared" si="33"/>
        <v>180</v>
      </c>
      <c r="AG27" s="203">
        <f t="shared" si="12"/>
        <v>1800</v>
      </c>
      <c r="AH27" s="203">
        <f t="shared" si="34"/>
        <v>180</v>
      </c>
      <c r="AI27" s="203">
        <f t="shared" si="13"/>
        <v>1800</v>
      </c>
      <c r="AJ27" s="203">
        <f t="shared" si="35"/>
        <v>180</v>
      </c>
      <c r="AK27" s="203">
        <f t="shared" si="14"/>
        <v>1800</v>
      </c>
      <c r="AL27" s="203">
        <f t="shared" si="36"/>
        <v>180</v>
      </c>
      <c r="AM27" s="203">
        <f t="shared" si="15"/>
        <v>1800</v>
      </c>
      <c r="AN27" s="35">
        <f t="shared" si="16"/>
        <v>0.6428571428571429</v>
      </c>
      <c r="AO27" s="36">
        <f t="shared" si="17"/>
        <v>12600</v>
      </c>
      <c r="AQ27" s="223">
        <f t="shared" si="37"/>
        <v>0.57848629630786197</v>
      </c>
      <c r="AR27" s="38">
        <f t="shared" si="42"/>
        <v>53781.870967741925</v>
      </c>
      <c r="AS27" s="197">
        <f t="shared" si="38"/>
        <v>0</v>
      </c>
      <c r="AT27" s="271"/>
      <c r="AU27" s="436"/>
      <c r="AV27" s="518">
        <f t="shared" si="43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174</v>
      </c>
      <c r="C28" s="203">
        <f t="shared" si="18"/>
        <v>3743.8064516129029</v>
      </c>
      <c r="D28">
        <f t="shared" si="19"/>
        <v>174</v>
      </c>
      <c r="E28" s="203">
        <f t="shared" si="18"/>
        <v>3743.8064516129029</v>
      </c>
      <c r="F28">
        <f t="shared" si="20"/>
        <v>174</v>
      </c>
      <c r="G28" s="203">
        <f t="shared" si="1"/>
        <v>3743.8064516129029</v>
      </c>
      <c r="H28" s="203">
        <f t="shared" si="21"/>
        <v>174</v>
      </c>
      <c r="I28" s="203">
        <f t="shared" si="2"/>
        <v>3743.8064516129029</v>
      </c>
      <c r="J28" s="203">
        <f t="shared" si="22"/>
        <v>174</v>
      </c>
      <c r="K28" s="203">
        <f t="shared" si="3"/>
        <v>3743.8064516129029</v>
      </c>
      <c r="L28" s="203">
        <f t="shared" si="23"/>
        <v>174</v>
      </c>
      <c r="M28" s="203">
        <f t="shared" si="4"/>
        <v>3743.8064516129029</v>
      </c>
      <c r="N28" s="203">
        <f t="shared" si="24"/>
        <v>174</v>
      </c>
      <c r="O28" s="203">
        <f t="shared" si="5"/>
        <v>3743.8064516129029</v>
      </c>
      <c r="P28" s="203">
        <f t="shared" si="25"/>
        <v>174</v>
      </c>
      <c r="Q28" s="203">
        <f t="shared" si="6"/>
        <v>3743.8064516129029</v>
      </c>
      <c r="R28" s="203">
        <f t="shared" si="26"/>
        <v>174</v>
      </c>
      <c r="S28" s="203">
        <f t="shared" si="7"/>
        <v>3743.8064516129029</v>
      </c>
      <c r="T28" s="203">
        <f t="shared" si="27"/>
        <v>174</v>
      </c>
      <c r="U28" s="203">
        <f t="shared" si="8"/>
        <v>3743.8064516129029</v>
      </c>
      <c r="V28" s="203">
        <f t="shared" si="28"/>
        <v>174</v>
      </c>
      <c r="W28" s="203">
        <f t="shared" si="9"/>
        <v>3743.8064516129029</v>
      </c>
      <c r="X28" s="35">
        <f t="shared" si="10"/>
        <v>0.56129032258064504</v>
      </c>
      <c r="Y28" s="36">
        <f t="shared" si="29"/>
        <v>41181.870967741925</v>
      </c>
      <c r="Z28" s="203">
        <f>'B5'!C27</f>
        <v>180</v>
      </c>
      <c r="AA28" s="203">
        <f t="shared" si="30"/>
        <v>1800</v>
      </c>
      <c r="AB28" s="203">
        <f t="shared" si="31"/>
        <v>180</v>
      </c>
      <c r="AC28" s="203">
        <f t="shared" si="30"/>
        <v>1800</v>
      </c>
      <c r="AD28" s="203">
        <f t="shared" si="32"/>
        <v>180</v>
      </c>
      <c r="AE28" s="203">
        <f t="shared" si="11"/>
        <v>1800</v>
      </c>
      <c r="AF28" s="203">
        <f t="shared" si="33"/>
        <v>180</v>
      </c>
      <c r="AG28" s="203">
        <f t="shared" si="12"/>
        <v>1800</v>
      </c>
      <c r="AH28" s="203">
        <f t="shared" si="34"/>
        <v>180</v>
      </c>
      <c r="AI28" s="203">
        <f t="shared" si="13"/>
        <v>1800</v>
      </c>
      <c r="AJ28" s="203">
        <f t="shared" si="35"/>
        <v>180</v>
      </c>
      <c r="AK28" s="203">
        <f t="shared" si="14"/>
        <v>1800</v>
      </c>
      <c r="AL28" s="203">
        <f t="shared" si="36"/>
        <v>180</v>
      </c>
      <c r="AM28" s="203">
        <f t="shared" si="15"/>
        <v>1800</v>
      </c>
      <c r="AN28" s="35">
        <f t="shared" si="16"/>
        <v>0.6428571428571429</v>
      </c>
      <c r="AO28" s="36">
        <f t="shared" si="17"/>
        <v>12600</v>
      </c>
      <c r="AQ28" s="223">
        <f t="shared" si="37"/>
        <v>0.57848629630786197</v>
      </c>
      <c r="AR28" s="38">
        <f t="shared" si="42"/>
        <v>53781.870967741925</v>
      </c>
      <c r="AS28" s="197">
        <f t="shared" si="38"/>
        <v>0</v>
      </c>
      <c r="AT28" s="355"/>
      <c r="AU28" s="436"/>
      <c r="AV28" s="518">
        <f t="shared" si="43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174</v>
      </c>
      <c r="C29" s="203">
        <f t="shared" si="18"/>
        <v>3743.8064516129029</v>
      </c>
      <c r="D29">
        <f t="shared" si="19"/>
        <v>174</v>
      </c>
      <c r="E29" s="203">
        <f t="shared" si="18"/>
        <v>3743.8064516129029</v>
      </c>
      <c r="F29">
        <f t="shared" si="20"/>
        <v>174</v>
      </c>
      <c r="G29" s="203">
        <f t="shared" si="1"/>
        <v>3743.8064516129029</v>
      </c>
      <c r="H29" s="203">
        <f t="shared" si="21"/>
        <v>174</v>
      </c>
      <c r="I29" s="203">
        <f t="shared" si="2"/>
        <v>3743.8064516129029</v>
      </c>
      <c r="J29" s="203">
        <f t="shared" si="22"/>
        <v>174</v>
      </c>
      <c r="K29" s="203">
        <f t="shared" si="3"/>
        <v>3743.8064516129029</v>
      </c>
      <c r="L29" s="203">
        <f t="shared" si="23"/>
        <v>174</v>
      </c>
      <c r="M29" s="203">
        <f t="shared" si="4"/>
        <v>3743.8064516129029</v>
      </c>
      <c r="N29" s="203">
        <f t="shared" si="24"/>
        <v>174</v>
      </c>
      <c r="O29" s="203">
        <f t="shared" si="5"/>
        <v>3743.8064516129029</v>
      </c>
      <c r="P29" s="203">
        <f t="shared" si="25"/>
        <v>174</v>
      </c>
      <c r="Q29" s="203">
        <f t="shared" si="6"/>
        <v>3743.8064516129029</v>
      </c>
      <c r="R29" s="203">
        <f t="shared" si="26"/>
        <v>174</v>
      </c>
      <c r="S29" s="203">
        <f t="shared" si="7"/>
        <v>3743.8064516129029</v>
      </c>
      <c r="T29" s="203">
        <f t="shared" si="27"/>
        <v>174</v>
      </c>
      <c r="U29" s="203">
        <f t="shared" si="8"/>
        <v>3743.8064516129029</v>
      </c>
      <c r="V29" s="203">
        <f t="shared" si="28"/>
        <v>174</v>
      </c>
      <c r="W29" s="203">
        <f t="shared" si="9"/>
        <v>3743.8064516129029</v>
      </c>
      <c r="X29" s="35">
        <f t="shared" si="10"/>
        <v>0.56129032258064504</v>
      </c>
      <c r="Y29" s="36">
        <f t="shared" si="29"/>
        <v>41181.870967741925</v>
      </c>
      <c r="Z29" s="203">
        <f>'B5'!C28</f>
        <v>180</v>
      </c>
      <c r="AA29" s="203">
        <f t="shared" si="30"/>
        <v>1800</v>
      </c>
      <c r="AB29" s="203">
        <f t="shared" si="31"/>
        <v>180</v>
      </c>
      <c r="AC29" s="203">
        <f t="shared" si="30"/>
        <v>1800</v>
      </c>
      <c r="AD29" s="203">
        <f t="shared" si="32"/>
        <v>180</v>
      </c>
      <c r="AE29" s="203">
        <f t="shared" si="11"/>
        <v>1800</v>
      </c>
      <c r="AF29" s="203">
        <f t="shared" si="33"/>
        <v>180</v>
      </c>
      <c r="AG29" s="203">
        <f t="shared" si="12"/>
        <v>1800</v>
      </c>
      <c r="AH29" s="203">
        <f t="shared" si="34"/>
        <v>180</v>
      </c>
      <c r="AI29" s="203">
        <f t="shared" si="13"/>
        <v>1800</v>
      </c>
      <c r="AJ29" s="203">
        <f t="shared" si="35"/>
        <v>180</v>
      </c>
      <c r="AK29" s="203">
        <f t="shared" si="14"/>
        <v>1800</v>
      </c>
      <c r="AL29" s="203">
        <f t="shared" si="36"/>
        <v>180</v>
      </c>
      <c r="AM29" s="203">
        <f t="shared" si="15"/>
        <v>1800</v>
      </c>
      <c r="AN29" s="35">
        <f t="shared" si="16"/>
        <v>0.6428571428571429</v>
      </c>
      <c r="AO29" s="36">
        <f t="shared" si="17"/>
        <v>12600</v>
      </c>
      <c r="AQ29" s="223">
        <f t="shared" si="37"/>
        <v>0.57848629630786197</v>
      </c>
      <c r="AR29" s="38">
        <f t="shared" si="42"/>
        <v>53781.870967741925</v>
      </c>
      <c r="AS29" s="197">
        <f t="shared" si="38"/>
        <v>0</v>
      </c>
      <c r="AT29" s="355"/>
      <c r="AU29" s="436"/>
      <c r="AV29" s="518">
        <f t="shared" si="43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174</v>
      </c>
      <c r="C30" s="203">
        <f t="shared" si="18"/>
        <v>3743.8064516129029</v>
      </c>
      <c r="D30">
        <f t="shared" ref="D30:D33" si="45">SUM(B30)</f>
        <v>174</v>
      </c>
      <c r="E30" s="203">
        <f t="shared" si="18"/>
        <v>3743.8064516129029</v>
      </c>
      <c r="F30">
        <f t="shared" ref="F30:F33" si="46">SUM(D30)</f>
        <v>174</v>
      </c>
      <c r="G30" s="203">
        <f t="shared" si="1"/>
        <v>3743.8064516129029</v>
      </c>
      <c r="H30" s="203">
        <f t="shared" ref="H30:H33" si="47">SUM(F30)</f>
        <v>174</v>
      </c>
      <c r="I30" s="203">
        <f t="shared" si="2"/>
        <v>3743.8064516129029</v>
      </c>
      <c r="J30" s="203">
        <f t="shared" ref="J30:J33" si="48">SUM(H30)</f>
        <v>174</v>
      </c>
      <c r="K30" s="203">
        <f t="shared" si="3"/>
        <v>3743.8064516129029</v>
      </c>
      <c r="L30" s="203">
        <f t="shared" ref="L30:L33" si="49">SUM(J30)</f>
        <v>174</v>
      </c>
      <c r="M30" s="203">
        <f t="shared" si="4"/>
        <v>3743.8064516129029</v>
      </c>
      <c r="N30" s="203">
        <f t="shared" ref="N30:N33" si="50">SUM(L30)</f>
        <v>174</v>
      </c>
      <c r="O30" s="203">
        <f t="shared" si="5"/>
        <v>3743.8064516129029</v>
      </c>
      <c r="P30" s="203">
        <f t="shared" ref="P30:P33" si="51">SUM(N30)</f>
        <v>174</v>
      </c>
      <c r="Q30" s="203">
        <f t="shared" si="6"/>
        <v>3743.8064516129029</v>
      </c>
      <c r="R30" s="203">
        <f t="shared" ref="R30:R33" si="52">SUM(P30)</f>
        <v>174</v>
      </c>
      <c r="S30" s="203">
        <f t="shared" si="7"/>
        <v>3743.8064516129029</v>
      </c>
      <c r="T30" s="203">
        <f t="shared" ref="T30:T33" si="53">SUM(R30)</f>
        <v>174</v>
      </c>
      <c r="U30" s="203">
        <f t="shared" si="8"/>
        <v>3743.8064516129029</v>
      </c>
      <c r="V30" s="203">
        <f t="shared" ref="V30:V33" si="54">SUM(T30)</f>
        <v>174</v>
      </c>
      <c r="W30" s="203">
        <f t="shared" si="9"/>
        <v>3743.8064516129029</v>
      </c>
      <c r="X30" s="35">
        <f t="shared" ref="X30:X33" si="55">SUM(Y30/73370)</f>
        <v>0.56129032258064504</v>
      </c>
      <c r="Y30" s="36">
        <f t="shared" ref="Y30:Y33" si="56">SUM(C30+E30+G30+I30+K30+M30+O30+Q30+S30+U30+W30)</f>
        <v>41181.870967741925</v>
      </c>
      <c r="Z30" s="203">
        <f>'B5'!C29</f>
        <v>180</v>
      </c>
      <c r="AA30" s="203">
        <f t="shared" si="30"/>
        <v>1800</v>
      </c>
      <c r="AB30" s="203">
        <f t="shared" ref="AB30:AB33" si="57">SUM(Z30)</f>
        <v>180</v>
      </c>
      <c r="AC30" s="203">
        <f t="shared" si="30"/>
        <v>1800</v>
      </c>
      <c r="AD30" s="203">
        <f t="shared" ref="AD30:AD33" si="58">SUM(AB30)</f>
        <v>180</v>
      </c>
      <c r="AE30" s="203">
        <f t="shared" si="11"/>
        <v>1800</v>
      </c>
      <c r="AF30" s="203">
        <f t="shared" ref="AF30:AF33" si="59">SUM(AD30)</f>
        <v>180</v>
      </c>
      <c r="AG30" s="203">
        <f t="shared" si="12"/>
        <v>1800</v>
      </c>
      <c r="AH30" s="203">
        <f t="shared" ref="AH30:AH33" si="60">SUM(AF30)</f>
        <v>180</v>
      </c>
      <c r="AI30" s="203">
        <f t="shared" si="13"/>
        <v>1800</v>
      </c>
      <c r="AJ30" s="203">
        <f t="shared" ref="AJ30:AJ33" si="61">SUM(AH30)</f>
        <v>180</v>
      </c>
      <c r="AK30" s="203">
        <f t="shared" si="14"/>
        <v>1800</v>
      </c>
      <c r="AL30" s="203">
        <f t="shared" ref="AL30:AL33" si="62">SUM(AJ30)</f>
        <v>180</v>
      </c>
      <c r="AM30" s="203">
        <f t="shared" si="15"/>
        <v>1800</v>
      </c>
      <c r="AN30" s="35">
        <f t="shared" ref="AN30:AN33" si="63">SUM(AO30/19600)</f>
        <v>0.6428571428571429</v>
      </c>
      <c r="AO30" s="36">
        <f t="shared" ref="AO30:AO33" si="64">SUM(AA30+AC30+AE30+AG30+AI30+AK30+AM30)</f>
        <v>12600</v>
      </c>
      <c r="AQ30" s="223">
        <f t="shared" si="37"/>
        <v>0.57848629630786197</v>
      </c>
      <c r="AR30" s="38">
        <f t="shared" si="42"/>
        <v>53781.870967741925</v>
      </c>
      <c r="AS30" s="197">
        <f t="shared" si="38"/>
        <v>0</v>
      </c>
      <c r="AT30" s="355"/>
      <c r="AU30" s="436"/>
      <c r="AV30" s="518">
        <f t="shared" si="43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174</v>
      </c>
      <c r="C31" s="203">
        <f t="shared" si="18"/>
        <v>3743.8064516129029</v>
      </c>
      <c r="D31">
        <f t="shared" si="45"/>
        <v>174</v>
      </c>
      <c r="E31" s="203">
        <f t="shared" si="18"/>
        <v>3743.8064516129029</v>
      </c>
      <c r="F31">
        <f t="shared" si="46"/>
        <v>174</v>
      </c>
      <c r="G31" s="203">
        <f t="shared" si="1"/>
        <v>3743.8064516129029</v>
      </c>
      <c r="H31" s="203">
        <f t="shared" si="47"/>
        <v>174</v>
      </c>
      <c r="I31" s="203">
        <f t="shared" si="2"/>
        <v>3743.8064516129029</v>
      </c>
      <c r="J31" s="203">
        <f t="shared" si="48"/>
        <v>174</v>
      </c>
      <c r="K31" s="203">
        <f t="shared" si="3"/>
        <v>3743.8064516129029</v>
      </c>
      <c r="L31" s="203">
        <f t="shared" si="49"/>
        <v>174</v>
      </c>
      <c r="M31" s="203">
        <f t="shared" si="4"/>
        <v>3743.8064516129029</v>
      </c>
      <c r="N31" s="203">
        <f t="shared" si="50"/>
        <v>174</v>
      </c>
      <c r="O31" s="203">
        <f t="shared" si="5"/>
        <v>3743.8064516129029</v>
      </c>
      <c r="P31" s="203">
        <f t="shared" si="51"/>
        <v>174</v>
      </c>
      <c r="Q31" s="203">
        <f t="shared" si="6"/>
        <v>3743.8064516129029</v>
      </c>
      <c r="R31" s="203">
        <f t="shared" si="52"/>
        <v>174</v>
      </c>
      <c r="S31" s="203">
        <f t="shared" si="7"/>
        <v>3743.8064516129029</v>
      </c>
      <c r="T31" s="203">
        <f t="shared" si="53"/>
        <v>174</v>
      </c>
      <c r="U31" s="203">
        <f t="shared" si="8"/>
        <v>3743.8064516129029</v>
      </c>
      <c r="V31" s="203">
        <f t="shared" si="54"/>
        <v>174</v>
      </c>
      <c r="W31" s="203">
        <f t="shared" si="9"/>
        <v>3743.8064516129029</v>
      </c>
      <c r="X31" s="35">
        <f t="shared" si="55"/>
        <v>0.56129032258064504</v>
      </c>
      <c r="Y31" s="36">
        <f t="shared" si="56"/>
        <v>41181.870967741925</v>
      </c>
      <c r="Z31" s="203">
        <f>'B5'!C30</f>
        <v>180</v>
      </c>
      <c r="AA31" s="203">
        <f t="shared" si="30"/>
        <v>1800</v>
      </c>
      <c r="AB31" s="203">
        <f t="shared" si="57"/>
        <v>180</v>
      </c>
      <c r="AC31" s="203">
        <f t="shared" si="30"/>
        <v>1800</v>
      </c>
      <c r="AD31" s="203">
        <f t="shared" si="58"/>
        <v>180</v>
      </c>
      <c r="AE31" s="203">
        <f t="shared" si="11"/>
        <v>1800</v>
      </c>
      <c r="AF31" s="203">
        <f t="shared" si="59"/>
        <v>180</v>
      </c>
      <c r="AG31" s="203">
        <f t="shared" si="12"/>
        <v>1800</v>
      </c>
      <c r="AH31" s="203">
        <f t="shared" si="60"/>
        <v>180</v>
      </c>
      <c r="AI31" s="203">
        <f t="shared" si="13"/>
        <v>1800</v>
      </c>
      <c r="AJ31" s="203">
        <f t="shared" si="61"/>
        <v>180</v>
      </c>
      <c r="AK31" s="203">
        <f t="shared" si="14"/>
        <v>1800</v>
      </c>
      <c r="AL31" s="203">
        <f t="shared" si="62"/>
        <v>180</v>
      </c>
      <c r="AM31" s="203">
        <f t="shared" si="15"/>
        <v>1800</v>
      </c>
      <c r="AN31" s="35">
        <f t="shared" si="63"/>
        <v>0.6428571428571429</v>
      </c>
      <c r="AO31" s="36">
        <f t="shared" si="64"/>
        <v>12600</v>
      </c>
      <c r="AQ31" s="223">
        <f t="shared" si="37"/>
        <v>0.57848629630786197</v>
      </c>
      <c r="AR31" s="38">
        <f t="shared" si="42"/>
        <v>53781.870967741925</v>
      </c>
      <c r="AS31" s="197">
        <f>SUM(AR31-AR30-AT31)</f>
        <v>0</v>
      </c>
      <c r="AT31" s="355"/>
      <c r="AU31" s="436"/>
      <c r="AV31" s="518">
        <f t="shared" si="43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174</v>
      </c>
      <c r="C32" s="203">
        <f t="shared" si="18"/>
        <v>3743.8064516129029</v>
      </c>
      <c r="D32">
        <f t="shared" si="45"/>
        <v>174</v>
      </c>
      <c r="E32" s="203">
        <f t="shared" si="18"/>
        <v>3743.8064516129029</v>
      </c>
      <c r="F32">
        <f t="shared" si="46"/>
        <v>174</v>
      </c>
      <c r="G32" s="203">
        <f t="shared" si="1"/>
        <v>3743.8064516129029</v>
      </c>
      <c r="H32" s="203">
        <f t="shared" si="47"/>
        <v>174</v>
      </c>
      <c r="I32" s="203">
        <f t="shared" si="2"/>
        <v>3743.8064516129029</v>
      </c>
      <c r="J32" s="203">
        <f t="shared" si="48"/>
        <v>174</v>
      </c>
      <c r="K32" s="203">
        <f t="shared" si="3"/>
        <v>3743.8064516129029</v>
      </c>
      <c r="L32" s="203">
        <f t="shared" si="49"/>
        <v>174</v>
      </c>
      <c r="M32" s="203">
        <f t="shared" si="4"/>
        <v>3743.8064516129029</v>
      </c>
      <c r="N32" s="203">
        <f t="shared" si="50"/>
        <v>174</v>
      </c>
      <c r="O32" s="203">
        <f t="shared" si="5"/>
        <v>3743.8064516129029</v>
      </c>
      <c r="P32" s="203">
        <f t="shared" si="51"/>
        <v>174</v>
      </c>
      <c r="Q32" s="203">
        <f t="shared" si="6"/>
        <v>3743.8064516129029</v>
      </c>
      <c r="R32" s="203">
        <f t="shared" si="52"/>
        <v>174</v>
      </c>
      <c r="S32" s="203">
        <f t="shared" si="7"/>
        <v>3743.8064516129029</v>
      </c>
      <c r="T32" s="203">
        <f t="shared" si="53"/>
        <v>174</v>
      </c>
      <c r="U32" s="203">
        <f t="shared" si="8"/>
        <v>3743.8064516129029</v>
      </c>
      <c r="V32" s="203">
        <f t="shared" si="54"/>
        <v>174</v>
      </c>
      <c r="W32" s="203">
        <f t="shared" si="9"/>
        <v>3743.8064516129029</v>
      </c>
      <c r="X32" s="35">
        <f t="shared" si="55"/>
        <v>0.56129032258064504</v>
      </c>
      <c r="Y32" s="36">
        <f t="shared" si="56"/>
        <v>41181.870967741925</v>
      </c>
      <c r="Z32" s="203">
        <f>'B5'!C31</f>
        <v>180</v>
      </c>
      <c r="AA32" s="203">
        <f t="shared" si="30"/>
        <v>1800</v>
      </c>
      <c r="AB32" s="203">
        <f t="shared" si="57"/>
        <v>180</v>
      </c>
      <c r="AC32" s="203">
        <f t="shared" si="30"/>
        <v>1800</v>
      </c>
      <c r="AD32" s="203">
        <f t="shared" si="58"/>
        <v>180</v>
      </c>
      <c r="AE32" s="203">
        <f t="shared" si="11"/>
        <v>1800</v>
      </c>
      <c r="AF32" s="203">
        <f t="shared" si="59"/>
        <v>180</v>
      </c>
      <c r="AG32" s="203">
        <f t="shared" si="12"/>
        <v>1800</v>
      </c>
      <c r="AH32" s="203">
        <f t="shared" si="60"/>
        <v>180</v>
      </c>
      <c r="AI32" s="203">
        <f t="shared" si="13"/>
        <v>1800</v>
      </c>
      <c r="AJ32" s="203">
        <f t="shared" si="61"/>
        <v>180</v>
      </c>
      <c r="AK32" s="203">
        <f t="shared" si="14"/>
        <v>1800</v>
      </c>
      <c r="AL32" s="203">
        <f t="shared" si="62"/>
        <v>180</v>
      </c>
      <c r="AM32" s="203">
        <f t="shared" si="15"/>
        <v>1800</v>
      </c>
      <c r="AN32" s="35">
        <f t="shared" si="63"/>
        <v>0.6428571428571429</v>
      </c>
      <c r="AO32" s="36">
        <f t="shared" si="64"/>
        <v>12600</v>
      </c>
      <c r="AQ32" s="223">
        <f t="shared" si="37"/>
        <v>0.57848629630786197</v>
      </c>
      <c r="AR32" s="38">
        <f t="shared" si="42"/>
        <v>53781.870967741925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174</v>
      </c>
      <c r="C33" s="203">
        <f t="shared" si="18"/>
        <v>3743.8064516129029</v>
      </c>
      <c r="D33">
        <f t="shared" si="45"/>
        <v>174</v>
      </c>
      <c r="E33" s="203">
        <f t="shared" si="18"/>
        <v>3743.8064516129029</v>
      </c>
      <c r="F33">
        <f t="shared" si="46"/>
        <v>174</v>
      </c>
      <c r="G33" s="203">
        <f t="shared" si="1"/>
        <v>3743.8064516129029</v>
      </c>
      <c r="H33" s="203">
        <f t="shared" si="47"/>
        <v>174</v>
      </c>
      <c r="I33" s="203">
        <f t="shared" si="2"/>
        <v>3743.8064516129029</v>
      </c>
      <c r="J33" s="203">
        <f t="shared" si="48"/>
        <v>174</v>
      </c>
      <c r="K33" s="203">
        <f t="shared" si="3"/>
        <v>3743.8064516129029</v>
      </c>
      <c r="L33" s="203">
        <f t="shared" si="49"/>
        <v>174</v>
      </c>
      <c r="M33" s="203">
        <f t="shared" si="4"/>
        <v>3743.8064516129029</v>
      </c>
      <c r="N33" s="203">
        <f t="shared" si="50"/>
        <v>174</v>
      </c>
      <c r="O33" s="203">
        <f t="shared" si="5"/>
        <v>3743.8064516129029</v>
      </c>
      <c r="P33" s="203">
        <f t="shared" si="51"/>
        <v>174</v>
      </c>
      <c r="Q33" s="203">
        <f t="shared" si="6"/>
        <v>3743.8064516129029</v>
      </c>
      <c r="R33" s="203">
        <f t="shared" si="52"/>
        <v>174</v>
      </c>
      <c r="S33" s="203">
        <f t="shared" si="7"/>
        <v>3743.8064516129029</v>
      </c>
      <c r="T33" s="203">
        <f t="shared" si="53"/>
        <v>174</v>
      </c>
      <c r="U33" s="203">
        <f t="shared" si="8"/>
        <v>3743.8064516129029</v>
      </c>
      <c r="V33" s="203">
        <f t="shared" si="54"/>
        <v>174</v>
      </c>
      <c r="W33" s="203">
        <f t="shared" si="9"/>
        <v>3743.8064516129029</v>
      </c>
      <c r="X33" s="35">
        <f t="shared" si="55"/>
        <v>0.56129032258064504</v>
      </c>
      <c r="Y33" s="36">
        <f t="shared" si="56"/>
        <v>41181.870967741925</v>
      </c>
      <c r="Z33" s="203">
        <f>'B5'!C32</f>
        <v>180</v>
      </c>
      <c r="AA33" s="203">
        <f t="shared" si="30"/>
        <v>1800</v>
      </c>
      <c r="AB33" s="203">
        <f t="shared" si="57"/>
        <v>180</v>
      </c>
      <c r="AC33" s="203">
        <f t="shared" si="30"/>
        <v>1800</v>
      </c>
      <c r="AD33" s="203">
        <f t="shared" si="58"/>
        <v>180</v>
      </c>
      <c r="AE33" s="203">
        <f t="shared" si="11"/>
        <v>1800</v>
      </c>
      <c r="AF33" s="203">
        <f t="shared" si="59"/>
        <v>180</v>
      </c>
      <c r="AG33" s="203">
        <f t="shared" si="12"/>
        <v>1800</v>
      </c>
      <c r="AH33" s="203">
        <f t="shared" si="60"/>
        <v>180</v>
      </c>
      <c r="AI33" s="203">
        <f t="shared" si="13"/>
        <v>1800</v>
      </c>
      <c r="AJ33" s="203">
        <f t="shared" si="61"/>
        <v>180</v>
      </c>
      <c r="AK33" s="203">
        <f t="shared" si="14"/>
        <v>1800</v>
      </c>
      <c r="AL33" s="203">
        <f t="shared" si="62"/>
        <v>180</v>
      </c>
      <c r="AM33" s="203">
        <f t="shared" si="15"/>
        <v>1800</v>
      </c>
      <c r="AN33" s="35">
        <f t="shared" si="63"/>
        <v>0.6428571428571429</v>
      </c>
      <c r="AO33" s="36">
        <f t="shared" si="64"/>
        <v>12600</v>
      </c>
      <c r="AQ33" s="223">
        <f t="shared" si="37"/>
        <v>0.57848629630786197</v>
      </c>
      <c r="AR33" s="38">
        <f t="shared" si="42"/>
        <v>53781.870967741925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174</v>
      </c>
      <c r="C34" s="203">
        <f t="shared" ref="C34:C36" si="65">B34*$B$4</f>
        <v>3743.8064516129029</v>
      </c>
      <c r="D34">
        <f t="shared" ref="D34:D36" si="66">SUM(B34)</f>
        <v>174</v>
      </c>
      <c r="E34" s="203">
        <f t="shared" ref="E34:E36" si="67">D34*$B$4</f>
        <v>3743.8064516129029</v>
      </c>
      <c r="F34">
        <f t="shared" ref="F34:F36" si="68">SUM(D34)</f>
        <v>174</v>
      </c>
      <c r="G34" s="203">
        <f t="shared" ref="G34:G36" si="69">F34*$B$4</f>
        <v>3743.8064516129029</v>
      </c>
      <c r="H34" s="203">
        <f t="shared" ref="H34:H36" si="70">SUM(F34)</f>
        <v>174</v>
      </c>
      <c r="I34" s="203">
        <f t="shared" ref="I34:I36" si="71">H34*$B$4</f>
        <v>3743.8064516129029</v>
      </c>
      <c r="J34" s="203">
        <f t="shared" ref="J34:J36" si="72">SUM(H34)</f>
        <v>174</v>
      </c>
      <c r="K34" s="203">
        <f t="shared" ref="K34:K36" si="73">J34*$B$4</f>
        <v>3743.8064516129029</v>
      </c>
      <c r="L34" s="203">
        <f t="shared" ref="L34:L36" si="74">SUM(J34)</f>
        <v>174</v>
      </c>
      <c r="M34" s="203">
        <f t="shared" ref="M34:M36" si="75">L34*$B$4</f>
        <v>3743.8064516129029</v>
      </c>
      <c r="N34" s="203">
        <f t="shared" ref="N34:N36" si="76">SUM(L34)</f>
        <v>174</v>
      </c>
      <c r="O34" s="203">
        <f t="shared" ref="O34:O36" si="77">N34*$B$4</f>
        <v>3743.8064516129029</v>
      </c>
      <c r="P34" s="203">
        <f t="shared" ref="P34:P36" si="78">SUM(N34)</f>
        <v>174</v>
      </c>
      <c r="Q34" s="203">
        <f t="shared" ref="Q34:Q36" si="79">P34*$B$4</f>
        <v>3743.8064516129029</v>
      </c>
      <c r="R34" s="203">
        <f t="shared" ref="R34:R36" si="80">SUM(P34)</f>
        <v>174</v>
      </c>
      <c r="S34" s="203">
        <f t="shared" ref="S34:S36" si="81">R34*$B$4</f>
        <v>3743.8064516129029</v>
      </c>
      <c r="T34" s="203">
        <f t="shared" ref="T34:T36" si="82">SUM(R34)</f>
        <v>174</v>
      </c>
      <c r="U34" s="203">
        <f t="shared" ref="U34:U36" si="83">T34*$B$4</f>
        <v>3743.8064516129029</v>
      </c>
      <c r="V34" s="203">
        <f t="shared" ref="V34:V36" si="84">SUM(T34)</f>
        <v>174</v>
      </c>
      <c r="W34" s="203">
        <f t="shared" ref="W34:W36" si="85">V34*$B$4</f>
        <v>3743.8064516129029</v>
      </c>
      <c r="X34" s="35">
        <f t="shared" ref="X34:X36" si="86">SUM(Y34/73370)</f>
        <v>0.56129032258064504</v>
      </c>
      <c r="Y34" s="36">
        <f t="shared" ref="Y34:Y36" si="87">SUM(C34+E34+G34+I34+K34+M34+O34+Q34+S34+U34+W34)</f>
        <v>41181.870967741925</v>
      </c>
      <c r="Z34" s="203">
        <f>'B5'!C33</f>
        <v>180</v>
      </c>
      <c r="AA34" s="203">
        <f t="shared" ref="AA34:AA36" si="88">SUM(Z34*$Z$4)</f>
        <v>1800</v>
      </c>
      <c r="AB34" s="203">
        <f t="shared" ref="AB34:AB36" si="89">SUM(Z34)</f>
        <v>180</v>
      </c>
      <c r="AC34" s="203">
        <f t="shared" ref="AC34:AC36" si="90">SUM(AB34*$Z$4)</f>
        <v>1800</v>
      </c>
      <c r="AD34" s="203">
        <f t="shared" ref="AD34:AD36" si="91">SUM(AB34)</f>
        <v>180</v>
      </c>
      <c r="AE34" s="203">
        <f t="shared" ref="AE34:AE36" si="92">SUM(AD34*$Z$4)</f>
        <v>1800</v>
      </c>
      <c r="AF34" s="203">
        <f t="shared" ref="AF34:AF36" si="93">SUM(AD34)</f>
        <v>180</v>
      </c>
      <c r="AG34" s="203">
        <f t="shared" ref="AG34:AG36" si="94">SUM(AF34*$Z$4)</f>
        <v>1800</v>
      </c>
      <c r="AH34" s="203">
        <f t="shared" ref="AH34:AH36" si="95">SUM(AF34)</f>
        <v>180</v>
      </c>
      <c r="AI34" s="203">
        <f t="shared" ref="AI34:AI36" si="96">SUM(AH34*$Z$4)</f>
        <v>1800</v>
      </c>
      <c r="AJ34" s="203">
        <f t="shared" ref="AJ34:AJ36" si="97">SUM(AH34)</f>
        <v>180</v>
      </c>
      <c r="AK34" s="203">
        <f t="shared" ref="AK34:AK36" si="98">SUM(AJ34*$Z$4)</f>
        <v>1800</v>
      </c>
      <c r="AL34" s="203">
        <f t="shared" ref="AL34:AL36" si="99">SUM(AJ34)</f>
        <v>180</v>
      </c>
      <c r="AM34" s="203">
        <f t="shared" ref="AM34:AM36" si="100">SUM(AL34*$Z$4)</f>
        <v>1800</v>
      </c>
      <c r="AN34" s="35">
        <f t="shared" ref="AN34:AN36" si="101">SUM(AO34/19600)</f>
        <v>0.6428571428571429</v>
      </c>
      <c r="AO34" s="36">
        <f t="shared" ref="AO34:AO36" si="102">SUM(AA34+AC34+AE34+AG34+AI34+AK34+AM34)</f>
        <v>12600</v>
      </c>
      <c r="AQ34" s="223">
        <f t="shared" ref="AQ34:AQ36" si="103">SUM(AR34/92970)</f>
        <v>0.57848629630786197</v>
      </c>
      <c r="AR34" s="38">
        <f t="shared" si="42"/>
        <v>53781.870967741925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0.78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174</v>
      </c>
      <c r="C35" s="203">
        <f t="shared" si="65"/>
        <v>3743.8064516129029</v>
      </c>
      <c r="D35">
        <f t="shared" si="66"/>
        <v>174</v>
      </c>
      <c r="E35" s="203">
        <f t="shared" si="67"/>
        <v>3743.8064516129029</v>
      </c>
      <c r="F35">
        <f t="shared" si="68"/>
        <v>174</v>
      </c>
      <c r="G35" s="203">
        <f t="shared" si="69"/>
        <v>3743.8064516129029</v>
      </c>
      <c r="H35" s="203">
        <f t="shared" si="70"/>
        <v>174</v>
      </c>
      <c r="I35" s="203">
        <f t="shared" si="71"/>
        <v>3743.8064516129029</v>
      </c>
      <c r="J35" s="203">
        <f t="shared" si="72"/>
        <v>174</v>
      </c>
      <c r="K35" s="203">
        <f t="shared" si="73"/>
        <v>3743.8064516129029</v>
      </c>
      <c r="L35" s="203">
        <f t="shared" si="74"/>
        <v>174</v>
      </c>
      <c r="M35" s="203">
        <f t="shared" si="75"/>
        <v>3743.8064516129029</v>
      </c>
      <c r="N35" s="203">
        <f t="shared" si="76"/>
        <v>174</v>
      </c>
      <c r="O35" s="203">
        <f t="shared" si="77"/>
        <v>3743.8064516129029</v>
      </c>
      <c r="P35" s="203">
        <f t="shared" si="78"/>
        <v>174</v>
      </c>
      <c r="Q35" s="203">
        <f t="shared" si="79"/>
        <v>3743.8064516129029</v>
      </c>
      <c r="R35" s="203">
        <f t="shared" si="80"/>
        <v>174</v>
      </c>
      <c r="S35" s="203">
        <f t="shared" si="81"/>
        <v>3743.8064516129029</v>
      </c>
      <c r="T35" s="203">
        <f t="shared" si="82"/>
        <v>174</v>
      </c>
      <c r="U35" s="203">
        <f t="shared" si="83"/>
        <v>3743.8064516129029</v>
      </c>
      <c r="V35" s="203">
        <f t="shared" si="84"/>
        <v>174</v>
      </c>
      <c r="W35" s="203">
        <f t="shared" si="85"/>
        <v>3743.8064516129029</v>
      </c>
      <c r="X35" s="35">
        <f t="shared" si="86"/>
        <v>0.56129032258064504</v>
      </c>
      <c r="Y35" s="36">
        <f t="shared" si="87"/>
        <v>41181.870967741925</v>
      </c>
      <c r="Z35" s="203">
        <f>'B5'!C34</f>
        <v>180</v>
      </c>
      <c r="AA35" s="203">
        <f t="shared" si="88"/>
        <v>1800</v>
      </c>
      <c r="AB35" s="203">
        <f t="shared" si="89"/>
        <v>180</v>
      </c>
      <c r="AC35" s="203">
        <f t="shared" si="90"/>
        <v>1800</v>
      </c>
      <c r="AD35" s="203">
        <f t="shared" si="91"/>
        <v>180</v>
      </c>
      <c r="AE35" s="203">
        <f t="shared" si="92"/>
        <v>1800</v>
      </c>
      <c r="AF35" s="203">
        <f t="shared" si="93"/>
        <v>180</v>
      </c>
      <c r="AG35" s="203">
        <f t="shared" si="94"/>
        <v>1800</v>
      </c>
      <c r="AH35" s="203">
        <f t="shared" si="95"/>
        <v>180</v>
      </c>
      <c r="AI35" s="203">
        <f t="shared" si="96"/>
        <v>1800</v>
      </c>
      <c r="AJ35" s="203">
        <f t="shared" si="97"/>
        <v>180</v>
      </c>
      <c r="AK35" s="203">
        <f t="shared" si="98"/>
        <v>1800</v>
      </c>
      <c r="AL35" s="203">
        <f t="shared" si="99"/>
        <v>180</v>
      </c>
      <c r="AM35" s="203">
        <f t="shared" si="100"/>
        <v>1800</v>
      </c>
      <c r="AN35" s="35">
        <f t="shared" si="101"/>
        <v>0.6428571428571429</v>
      </c>
      <c r="AO35" s="36">
        <f t="shared" si="102"/>
        <v>12600</v>
      </c>
      <c r="AQ35" s="223">
        <f t="shared" si="103"/>
        <v>0.57848629630786197</v>
      </c>
      <c r="AR35" s="38">
        <f t="shared" si="42"/>
        <v>53781.870967741925</v>
      </c>
      <c r="AS35" s="197">
        <f t="shared" si="104"/>
        <v>0</v>
      </c>
      <c r="AT35" s="355"/>
      <c r="AU35" s="436"/>
      <c r="AV35" s="518">
        <f t="shared" si="105"/>
        <v>0.78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174</v>
      </c>
      <c r="C36" s="203">
        <f t="shared" si="65"/>
        <v>3743.8064516129029</v>
      </c>
      <c r="D36">
        <f t="shared" si="66"/>
        <v>174</v>
      </c>
      <c r="E36" s="203">
        <f t="shared" si="67"/>
        <v>3743.8064516129029</v>
      </c>
      <c r="F36">
        <f t="shared" si="68"/>
        <v>174</v>
      </c>
      <c r="G36" s="203">
        <f t="shared" si="69"/>
        <v>3743.8064516129029</v>
      </c>
      <c r="H36" s="203">
        <f t="shared" si="70"/>
        <v>174</v>
      </c>
      <c r="I36" s="203">
        <f t="shared" si="71"/>
        <v>3743.8064516129029</v>
      </c>
      <c r="J36" s="203">
        <f t="shared" si="72"/>
        <v>174</v>
      </c>
      <c r="K36" s="203">
        <f t="shared" si="73"/>
        <v>3743.8064516129029</v>
      </c>
      <c r="L36" s="203">
        <f t="shared" si="74"/>
        <v>174</v>
      </c>
      <c r="M36" s="203">
        <f t="shared" si="75"/>
        <v>3743.8064516129029</v>
      </c>
      <c r="N36" s="203">
        <f t="shared" si="76"/>
        <v>174</v>
      </c>
      <c r="O36" s="203">
        <f t="shared" si="77"/>
        <v>3743.8064516129029</v>
      </c>
      <c r="P36" s="203">
        <f t="shared" si="78"/>
        <v>174</v>
      </c>
      <c r="Q36" s="203">
        <f t="shared" si="79"/>
        <v>3743.8064516129029</v>
      </c>
      <c r="R36" s="203">
        <f t="shared" si="80"/>
        <v>174</v>
      </c>
      <c r="S36" s="203">
        <f t="shared" si="81"/>
        <v>3743.8064516129029</v>
      </c>
      <c r="T36" s="203">
        <f t="shared" si="82"/>
        <v>174</v>
      </c>
      <c r="U36" s="203">
        <f t="shared" si="83"/>
        <v>3743.8064516129029</v>
      </c>
      <c r="V36" s="203">
        <f t="shared" si="84"/>
        <v>174</v>
      </c>
      <c r="W36" s="203">
        <f t="shared" si="85"/>
        <v>3743.8064516129029</v>
      </c>
      <c r="X36" s="35">
        <f t="shared" si="86"/>
        <v>0.56129032258064504</v>
      </c>
      <c r="Y36" s="36">
        <f t="shared" si="87"/>
        <v>41181.870967741925</v>
      </c>
      <c r="Z36" s="203">
        <f>'B5'!C35</f>
        <v>180</v>
      </c>
      <c r="AA36" s="203">
        <f t="shared" si="88"/>
        <v>1800</v>
      </c>
      <c r="AB36" s="203">
        <f t="shared" si="89"/>
        <v>180</v>
      </c>
      <c r="AC36" s="203">
        <f t="shared" si="90"/>
        <v>1800</v>
      </c>
      <c r="AD36" s="203">
        <f t="shared" si="91"/>
        <v>180</v>
      </c>
      <c r="AE36" s="203">
        <f t="shared" si="92"/>
        <v>1800</v>
      </c>
      <c r="AF36" s="203">
        <f t="shared" si="93"/>
        <v>180</v>
      </c>
      <c r="AG36" s="203">
        <f t="shared" si="94"/>
        <v>1800</v>
      </c>
      <c r="AH36" s="203">
        <f t="shared" si="95"/>
        <v>180</v>
      </c>
      <c r="AI36" s="203">
        <f t="shared" si="96"/>
        <v>1800</v>
      </c>
      <c r="AJ36" s="203">
        <f t="shared" si="97"/>
        <v>180</v>
      </c>
      <c r="AK36" s="203">
        <f t="shared" si="98"/>
        <v>1800</v>
      </c>
      <c r="AL36" s="203">
        <f t="shared" si="99"/>
        <v>180</v>
      </c>
      <c r="AM36" s="203">
        <f t="shared" si="100"/>
        <v>1800</v>
      </c>
      <c r="AN36" s="35">
        <f t="shared" si="101"/>
        <v>0.6428571428571429</v>
      </c>
      <c r="AO36" s="36">
        <f t="shared" si="102"/>
        <v>12600</v>
      </c>
      <c r="AQ36" s="223">
        <f t="shared" si="103"/>
        <v>0.57848629630786197</v>
      </c>
      <c r="AR36" s="38">
        <f t="shared" si="42"/>
        <v>53781.870967741925</v>
      </c>
      <c r="AS36" s="197">
        <f t="shared" si="104"/>
        <v>0</v>
      </c>
      <c r="AT36" s="355"/>
      <c r="AU36" s="436"/>
      <c r="AV36" s="518">
        <f t="shared" si="105"/>
        <v>0.78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-16766.606451612897</v>
      </c>
      <c r="AY37" s="203">
        <f>SUM(AY6:AY33)</f>
        <v>-20514.806451612909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-1465.3433179723506</v>
      </c>
      <c r="AT40" s="203"/>
    </row>
    <row r="41" spans="1:60">
      <c r="AX41">
        <v>43309</v>
      </c>
    </row>
    <row r="42" spans="1:60">
      <c r="AR42" s="203"/>
      <c r="AX42">
        <f>AX37/AX41</f>
        <v>-0.38713908082876303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-32.69999999999996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-32.69999999999996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-16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16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1"/>
      <c r="B1" s="649" t="s">
        <v>119</v>
      </c>
      <c r="C1" s="649" t="s">
        <v>118</v>
      </c>
      <c r="D1" s="653" t="s">
        <v>113</v>
      </c>
      <c r="E1" s="653" t="s">
        <v>114</v>
      </c>
      <c r="F1" s="654" t="s">
        <v>120</v>
      </c>
      <c r="G1" s="655" t="s">
        <v>75</v>
      </c>
      <c r="H1" s="646" t="s">
        <v>115</v>
      </c>
      <c r="I1" s="647" t="s">
        <v>116</v>
      </c>
      <c r="J1" s="646" t="s">
        <v>117</v>
      </c>
      <c r="K1" s="645" t="s">
        <v>121</v>
      </c>
      <c r="L1" s="645" t="s">
        <v>122</v>
      </c>
      <c r="M1" s="645" t="s">
        <v>123</v>
      </c>
      <c r="N1" s="645" t="s">
        <v>124</v>
      </c>
    </row>
    <row r="2" spans="1:14">
      <c r="A2" s="652"/>
      <c r="B2" s="650"/>
      <c r="C2" s="650"/>
      <c r="D2" s="653"/>
      <c r="E2" s="653"/>
      <c r="F2" s="654"/>
      <c r="G2" s="655"/>
      <c r="H2" s="646"/>
      <c r="I2" s="648"/>
      <c r="J2" s="646"/>
      <c r="K2" s="645"/>
      <c r="L2" s="645"/>
      <c r="M2" s="645"/>
      <c r="N2" s="64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-32.69999999999996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-16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16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6" t="s">
        <v>151</v>
      </c>
      <c r="U3" s="65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B1" zoomScale="112" zoomScaleNormal="112" workbookViewId="0">
      <pane ySplit="1" topLeftCell="A2" activePane="bottomLeft" state="frozen"/>
      <selection pane="bottomLeft" activeCell="T16" sqref="T1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ref="R17:R33" si="32">R16</f>
        <v>11964</v>
      </c>
      <c r="S17" s="287">
        <f t="shared" si="4"/>
        <v>0</v>
      </c>
      <c r="T17" s="541">
        <f t="shared" si="29"/>
        <v>417163</v>
      </c>
      <c r="U17" s="287">
        <f t="shared" si="19"/>
        <v>0</v>
      </c>
      <c r="V17" s="287">
        <f t="shared" ref="V17:V20" si="33">IF(S17&gt;0,U17/S17,0)</f>
        <v>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4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333323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2"/>
        <v>11964</v>
      </c>
      <c r="S18" s="287">
        <f t="shared" si="4"/>
        <v>0</v>
      </c>
      <c r="T18" s="541">
        <f t="shared" si="29"/>
        <v>417163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4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333323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5">IF(J19-P19&lt;=0,"ok","oil change")</f>
        <v>ok</v>
      </c>
      <c r="R19" s="541">
        <f t="shared" si="32"/>
        <v>11964</v>
      </c>
      <c r="S19" s="287">
        <f t="shared" si="4"/>
        <v>0</v>
      </c>
      <c r="T19" s="541">
        <f t="shared" si="29"/>
        <v>417163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4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5"/>
        <v>ok</v>
      </c>
      <c r="R20" s="541">
        <f t="shared" si="32"/>
        <v>11964</v>
      </c>
      <c r="S20" s="287">
        <f t="shared" si="4"/>
        <v>0</v>
      </c>
      <c r="T20" s="541">
        <f t="shared" si="29"/>
        <v>417163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4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6">B21-B20</f>
        <v>0</v>
      </c>
      <c r="D21" s="541">
        <f t="shared" si="11"/>
        <v>333323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5"/>
        <v>ok</v>
      </c>
      <c r="R21" s="541">
        <f t="shared" si="32"/>
        <v>11964</v>
      </c>
      <c r="S21" s="287">
        <f t="shared" si="4"/>
        <v>0</v>
      </c>
      <c r="T21" s="541">
        <f t="shared" si="29"/>
        <v>417163</v>
      </c>
      <c r="U21" s="287">
        <f t="shared" si="19"/>
        <v>0</v>
      </c>
      <c r="V21" s="287">
        <f t="shared" ref="V21:V23" si="37">IF(S21&gt;0,U21/S21,0)</f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4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333323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5"/>
        <v>ok</v>
      </c>
      <c r="R22" s="541">
        <f t="shared" si="32"/>
        <v>11964</v>
      </c>
      <c r="S22" s="287">
        <f t="shared" si="4"/>
        <v>0</v>
      </c>
      <c r="T22" s="541">
        <f t="shared" si="29"/>
        <v>417163</v>
      </c>
      <c r="U22" s="287">
        <f t="shared" si="19"/>
        <v>0</v>
      </c>
      <c r="V22" s="287">
        <f t="shared" si="37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4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333323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5"/>
        <v>ok</v>
      </c>
      <c r="R23" s="541">
        <f t="shared" si="32"/>
        <v>11964</v>
      </c>
      <c r="S23" s="287">
        <f t="shared" si="4"/>
        <v>0</v>
      </c>
      <c r="T23" s="541">
        <f t="shared" si="29"/>
        <v>417163</v>
      </c>
      <c r="U23" s="287">
        <f t="shared" si="19"/>
        <v>0</v>
      </c>
      <c r="V23" s="287">
        <f t="shared" si="37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4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5"/>
        <v>ok</v>
      </c>
      <c r="R24" s="541">
        <f t="shared" si="32"/>
        <v>11964</v>
      </c>
      <c r="S24" s="287">
        <f t="shared" si="4"/>
        <v>0</v>
      </c>
      <c r="T24" s="541">
        <f t="shared" si="29"/>
        <v>417163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4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5"/>
        <v>ok</v>
      </c>
      <c r="R25" s="541">
        <f t="shared" si="32"/>
        <v>11964</v>
      </c>
      <c r="S25" s="287">
        <f t="shared" si="4"/>
        <v>0</v>
      </c>
      <c r="T25" s="541">
        <f t="shared" si="29"/>
        <v>417163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4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5"/>
        <v>ok</v>
      </c>
      <c r="R26" s="541">
        <f t="shared" si="32"/>
        <v>11964</v>
      </c>
      <c r="S26" s="287">
        <f t="shared" si="4"/>
        <v>0</v>
      </c>
      <c r="T26" s="541">
        <f t="shared" si="29"/>
        <v>417163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4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5"/>
        <v>ok</v>
      </c>
      <c r="R27" s="541">
        <f t="shared" si="32"/>
        <v>11964</v>
      </c>
      <c r="S27" s="287">
        <f t="shared" si="4"/>
        <v>0</v>
      </c>
      <c r="T27" s="541">
        <f t="shared" si="29"/>
        <v>417163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4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5"/>
        <v>ok</v>
      </c>
      <c r="R28" s="541">
        <f t="shared" si="32"/>
        <v>11964</v>
      </c>
      <c r="S28" s="287">
        <f t="shared" si="4"/>
        <v>0</v>
      </c>
      <c r="T28" s="541">
        <f t="shared" si="29"/>
        <v>417163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4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5"/>
        <v>ok</v>
      </c>
      <c r="R29" s="541">
        <f t="shared" si="32"/>
        <v>11964</v>
      </c>
      <c r="S29" s="287">
        <f t="shared" si="4"/>
        <v>0</v>
      </c>
      <c r="T29" s="541">
        <f t="shared" si="29"/>
        <v>417163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4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5"/>
        <v>ok</v>
      </c>
      <c r="R30" s="541">
        <f t="shared" si="32"/>
        <v>11964</v>
      </c>
      <c r="S30" s="287">
        <f t="shared" si="4"/>
        <v>0</v>
      </c>
      <c r="T30" s="541">
        <f t="shared" si="29"/>
        <v>417163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4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333323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2"/>
        <v>11964</v>
      </c>
      <c r="S31" s="287">
        <f t="shared" ref="S31:S33" si="49">R31-R30</f>
        <v>0</v>
      </c>
      <c r="T31" s="541">
        <f t="shared" si="29"/>
        <v>417163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333323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2"/>
        <v>11964</v>
      </c>
      <c r="S32" s="287">
        <f t="shared" si="49"/>
        <v>0</v>
      </c>
      <c r="T32" s="541">
        <f t="shared" si="29"/>
        <v>417163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333323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2"/>
        <v>11964</v>
      </c>
      <c r="S33" s="287">
        <f t="shared" si="49"/>
        <v>0</v>
      </c>
      <c r="T33" s="541">
        <f t="shared" si="29"/>
        <v>417163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88</v>
      </c>
      <c r="V34" s="40"/>
      <c r="X34">
        <v>341</v>
      </c>
      <c r="Z34" s="421">
        <f>SUM(Z3:Z30)</f>
        <v>88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88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17" sqref="K1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69.911049677039713</v>
      </c>
      <c r="P4" s="297">
        <f>SUM(L4:O4)</f>
        <v>155.30806460241286</v>
      </c>
      <c r="Q4" s="297">
        <f>SUM(-tanks!AX6*tanks!$AU$37)</f>
        <v>2371.1194838709453</v>
      </c>
      <c r="R4" s="297">
        <f>SUM(P4:Q4)</f>
        <v>2526.427548473358</v>
      </c>
      <c r="S4" s="299">
        <f>SUM(ELEC!N3)</f>
        <v>8408</v>
      </c>
      <c r="T4" s="336">
        <f>IF(S4&gt;0,R4/S4,0)</f>
        <v>0.30047901385268294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7"/>
      <c r="AC4" s="668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69.911049677039713</v>
      </c>
      <c r="P5" s="297">
        <f t="shared" ref="P5:P30" si="9">SUM(L5:O5)</f>
        <v>152.18766659246262</v>
      </c>
      <c r="Q5" s="297">
        <f>SUM(-tanks!AX7*tanks!$AU$37)</f>
        <v>1626.903870967747</v>
      </c>
      <c r="R5" s="297">
        <f t="shared" ref="R5:R30" si="10">SUM(P5:Q5)</f>
        <v>1779.0915375602096</v>
      </c>
      <c r="S5" s="299">
        <f>SUM(ELEC!N4)</f>
        <v>9041</v>
      </c>
      <c r="T5" s="336">
        <f>IF(S5&gt;0,R5/S5,0)</f>
        <v>0.19678039349189355</v>
      </c>
      <c r="U5" s="250"/>
      <c r="V5" s="661"/>
      <c r="W5" s="662"/>
      <c r="X5" s="662"/>
      <c r="Y5" s="663"/>
      <c r="Z5" s="26" t="s">
        <v>203</v>
      </c>
      <c r="AA5" s="264">
        <f>'[7]EDl log'!AA22</f>
        <v>5000</v>
      </c>
      <c r="AB5" s="669"/>
      <c r="AC5" s="670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69.911049677039713</v>
      </c>
      <c r="P6" s="297">
        <f t="shared" si="9"/>
        <v>204.12000490092032</v>
      </c>
      <c r="Q6" s="297">
        <f>SUM(-tanks!AX8*tanks!$AU$37)</f>
        <v>1266.7703225806551</v>
      </c>
      <c r="R6" s="297">
        <f t="shared" si="10"/>
        <v>1470.8903274815755</v>
      </c>
      <c r="S6" s="299">
        <f>SUM(ELEC!N5)</f>
        <v>7715</v>
      </c>
      <c r="T6" s="336">
        <f t="shared" ref="T6:T30" si="12">IF(S6&gt;0,R6/S6,0)</f>
        <v>0.19065331529249196</v>
      </c>
      <c r="V6" s="664"/>
      <c r="W6" s="665"/>
      <c r="X6" s="665"/>
      <c r="Y6" s="666"/>
      <c r="Z6" s="3"/>
      <c r="AA6" s="3"/>
      <c r="AB6" s="669"/>
      <c r="AC6" s="670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69.911049677039713</v>
      </c>
      <c r="P7" s="297">
        <f t="shared" si="9"/>
        <v>249.96013757090373</v>
      </c>
      <c r="Q7" s="297">
        <f>SUM(-tanks!AX9*tanks!$AU$37)</f>
        <v>1137.2903225806381</v>
      </c>
      <c r="R7" s="297">
        <f t="shared" si="10"/>
        <v>1387.2504601515418</v>
      </c>
      <c r="S7" s="299">
        <f>SUM(ELEC!N6)</f>
        <v>7405</v>
      </c>
      <c r="T7" s="336">
        <f t="shared" si="12"/>
        <v>0.18733969752215285</v>
      </c>
      <c r="V7" s="657" t="s">
        <v>204</v>
      </c>
      <c r="W7" s="658"/>
      <c r="X7" s="659" t="s">
        <v>205</v>
      </c>
      <c r="Y7" s="660"/>
      <c r="Z7" s="658"/>
      <c r="AA7" s="26"/>
      <c r="AB7" s="671"/>
      <c r="AC7" s="672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69.911049677039713</v>
      </c>
      <c r="P8" s="297">
        <f t="shared" si="9"/>
        <v>206.05167985946093</v>
      </c>
      <c r="Q8" s="297">
        <f>SUM(-tanks!AX10*tanks!$AU$37)</f>
        <v>267.36387096775275</v>
      </c>
      <c r="R8" s="297">
        <f t="shared" si="10"/>
        <v>473.41555082721368</v>
      </c>
      <c r="S8" s="299">
        <f>SUM(ELEC!N7)</f>
        <v>7744</v>
      </c>
      <c r="T8" s="336">
        <f>IF(S8&gt;0,R8/S8,0)</f>
        <v>6.1133206460125732E-2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69.911049677039713</v>
      </c>
      <c r="P9" s="297">
        <f t="shared" si="9"/>
        <v>193.57008781965993</v>
      </c>
      <c r="Q9" s="297">
        <f>SUM(-tanks!AX11*tanks!$AU$37)</f>
        <v>1257.410322580638</v>
      </c>
      <c r="R9" s="297">
        <f>SUM(P9:Q9)</f>
        <v>1450.9804104002978</v>
      </c>
      <c r="S9" s="299">
        <f>SUM(ELEC!N8)</f>
        <v>7618</v>
      </c>
      <c r="T9" s="336">
        <f t="shared" si="12"/>
        <v>0.19046736812815671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69.911049677039713</v>
      </c>
      <c r="P10" s="297">
        <f t="shared" si="9"/>
        <v>255.76577604519895</v>
      </c>
      <c r="Q10" s="297">
        <f>SUM(-tanks!AX12*tanks!$AU$37)</f>
        <v>538.22516129031624</v>
      </c>
      <c r="R10" s="297">
        <f t="shared" si="10"/>
        <v>793.99093733551513</v>
      </c>
      <c r="S10" s="299">
        <f>SUM(ELEC!N9)</f>
        <v>6359</v>
      </c>
      <c r="T10" s="336">
        <f t="shared" si="12"/>
        <v>0.12486097457705853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69.911049677039713</v>
      </c>
      <c r="P11" s="297">
        <f t="shared" si="9"/>
        <v>271.76046924586228</v>
      </c>
      <c r="Q11" s="297">
        <f>SUM(-tanks!AX13*tanks!$AU$37)</f>
        <v>822.93774193548279</v>
      </c>
      <c r="R11" s="297">
        <f t="shared" si="10"/>
        <v>1094.698211181345</v>
      </c>
      <c r="S11" s="299">
        <f>SUM(ELEC!N10)</f>
        <v>6832</v>
      </c>
      <c r="T11" s="336">
        <f t="shared" si="12"/>
        <v>0.16023100280757391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69.911049677039713</v>
      </c>
      <c r="P12" s="297">
        <f t="shared" si="9"/>
        <v>279.25366990921219</v>
      </c>
      <c r="Q12" s="297">
        <f>SUM(-tanks!AX14*tanks!$AU$37)</f>
        <v>426.42096774194812</v>
      </c>
      <c r="R12" s="297">
        <f t="shared" si="10"/>
        <v>705.67463765116031</v>
      </c>
      <c r="S12" s="299">
        <f>SUM(ELEC!N11)</f>
        <v>6552</v>
      </c>
      <c r="T12" s="336">
        <f t="shared" si="12"/>
        <v>0.10770369927520762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69.911049677039713</v>
      </c>
      <c r="P13" s="297">
        <f t="shared" si="9"/>
        <v>237.28750075498334</v>
      </c>
      <c r="Q13" s="297">
        <f>SUM(-tanks!AX15*tanks!$AU$37)</f>
        <v>861.15774193547713</v>
      </c>
      <c r="R13" s="297">
        <f t="shared" si="10"/>
        <v>1098.4452426904604</v>
      </c>
      <c r="S13" s="299">
        <f>SUM(ELEC!N12)</f>
        <v>6673</v>
      </c>
      <c r="T13" s="336">
        <f>IF(S13&gt;0,R13/S13,0)</f>
        <v>0.16461040651737754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69.911049677039713</v>
      </c>
      <c r="P14" s="297">
        <f t="shared" ref="P14:P17" si="17">SUM(L14:O14)</f>
        <v>272.99164669196512</v>
      </c>
      <c r="Q14" s="297">
        <f>SUM(-tanks!AX16*tanks!$AU$37)</f>
        <v>648.46935483870698</v>
      </c>
      <c r="R14" s="297">
        <f t="shared" ref="R14:R17" si="18">SUM(P14:Q14)</f>
        <v>921.46100153067209</v>
      </c>
      <c r="S14" s="299">
        <f>SUM(ELEC!N13)</f>
        <v>6832</v>
      </c>
      <c r="T14" s="336">
        <f t="shared" ref="T14:T17" si="19">IF(S14&gt;0,R14/S14,0)</f>
        <v>0.13487426837392741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69.911049677039713</v>
      </c>
      <c r="P15" s="297">
        <f t="shared" si="17"/>
        <v>314.60756708997508</v>
      </c>
      <c r="Q15" s="297">
        <f>SUM(-tanks!AX17*tanks!$AU$37)</f>
        <v>517.16516129032186</v>
      </c>
      <c r="R15" s="297">
        <f t="shared" si="18"/>
        <v>831.77272838029694</v>
      </c>
      <c r="S15" s="299">
        <f>SUM(ELEC!N14)</f>
        <v>6743</v>
      </c>
      <c r="T15" s="336">
        <f t="shared" si="19"/>
        <v>0.12335351154979934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69.911049677039713</v>
      </c>
      <c r="P16" s="297">
        <f t="shared" si="17"/>
        <v>300.12000490092032</v>
      </c>
      <c r="Q16" s="297">
        <f>SUM(-tanks!AX18*tanks!$AU$37)</f>
        <v>563.18516129031616</v>
      </c>
      <c r="R16" s="297">
        <f t="shared" si="18"/>
        <v>863.30516619123648</v>
      </c>
      <c r="S16" s="299">
        <f>SUM(ELEC!N15)</f>
        <v>6400</v>
      </c>
      <c r="T16" s="336">
        <f t="shared" si="19"/>
        <v>0.1348914322173807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69.911049677039713</v>
      </c>
      <c r="P17" s="297">
        <f t="shared" si="17"/>
        <v>279.1793747184991</v>
      </c>
      <c r="Q17" s="297">
        <f>SUM(-tanks!AX19*tanks!$AU$37)</f>
        <v>773.53354838711471</v>
      </c>
      <c r="R17" s="297">
        <f t="shared" si="18"/>
        <v>1052.7129231056138</v>
      </c>
      <c r="S17" s="299">
        <f>SUM(ELEC!N16)</f>
        <v>6878</v>
      </c>
      <c r="T17" s="336">
        <f t="shared" si="19"/>
        <v>0.15305509204792292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ref="B17:B34" si="20">B17</f>
        <v>932658</v>
      </c>
      <c r="C18" s="264">
        <f t="shared" si="0"/>
        <v>0</v>
      </c>
      <c r="D18" s="308">
        <f t="shared" si="8"/>
        <v>0</v>
      </c>
      <c r="E18" s="308">
        <f t="shared" si="11"/>
        <v>932658</v>
      </c>
      <c r="F18" s="539">
        <f t="shared" ref="F17:F34" si="21">F17</f>
        <v>141383</v>
      </c>
      <c r="G18" s="160">
        <f t="shared" si="1"/>
        <v>0</v>
      </c>
      <c r="H18" s="539">
        <f t="shared" ref="H17:H34" si="22">H17</f>
        <v>458312</v>
      </c>
      <c r="I18" s="161">
        <f t="shared" si="2"/>
        <v>0</v>
      </c>
      <c r="J18" s="539">
        <f t="shared" ref="J17:J34" si="23">J17</f>
        <v>332962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69.911049677039713</v>
      </c>
      <c r="P18" s="297">
        <f t="shared" si="9"/>
        <v>69.911049677039713</v>
      </c>
      <c r="Q18" s="297">
        <f>SUM(-tanks!AX20*tanks!$AU$37)</f>
        <v>0</v>
      </c>
      <c r="R18" s="297">
        <f t="shared" si="10"/>
        <v>69.911049677039713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20"/>
        <v>932658</v>
      </c>
      <c r="C19" s="264">
        <f t="shared" si="0"/>
        <v>0</v>
      </c>
      <c r="D19" s="308">
        <f t="shared" si="8"/>
        <v>0</v>
      </c>
      <c r="E19" s="308">
        <f t="shared" si="11"/>
        <v>932658</v>
      </c>
      <c r="F19" s="539">
        <f t="shared" si="21"/>
        <v>141383</v>
      </c>
      <c r="G19" s="160">
        <f t="shared" si="1"/>
        <v>0</v>
      </c>
      <c r="H19" s="539">
        <f t="shared" si="22"/>
        <v>458312</v>
      </c>
      <c r="I19" s="161">
        <f t="shared" si="2"/>
        <v>0</v>
      </c>
      <c r="J19" s="539">
        <f t="shared" si="23"/>
        <v>332962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69.911049677039713</v>
      </c>
      <c r="P19" s="297">
        <f t="shared" si="9"/>
        <v>69.911049677039713</v>
      </c>
      <c r="Q19" s="297">
        <f>SUM(-tanks!AX21*tanks!$AU$37)</f>
        <v>0</v>
      </c>
      <c r="R19" s="297">
        <f t="shared" si="10"/>
        <v>69.911049677039713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20"/>
        <v>932658</v>
      </c>
      <c r="C20" s="264">
        <f t="shared" si="0"/>
        <v>0</v>
      </c>
      <c r="D20" s="308">
        <f t="shared" si="8"/>
        <v>0</v>
      </c>
      <c r="E20" s="308">
        <f t="shared" si="11"/>
        <v>932658</v>
      </c>
      <c r="F20" s="539">
        <f t="shared" si="21"/>
        <v>141383</v>
      </c>
      <c r="G20" s="160">
        <f t="shared" si="1"/>
        <v>0</v>
      </c>
      <c r="H20" s="539">
        <f t="shared" si="22"/>
        <v>458312</v>
      </c>
      <c r="I20" s="161">
        <f t="shared" si="2"/>
        <v>0</v>
      </c>
      <c r="J20" s="539">
        <f t="shared" si="23"/>
        <v>332962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69.911049677039713</v>
      </c>
      <c r="P20" s="297">
        <f t="shared" si="9"/>
        <v>69.911049677039713</v>
      </c>
      <c r="Q20" s="297">
        <f>SUM(-tanks!AX22*tanks!$AU$37)</f>
        <v>0</v>
      </c>
      <c r="R20" s="297">
        <f t="shared" si="10"/>
        <v>69.911049677039713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20"/>
        <v>932658</v>
      </c>
      <c r="C21" s="264">
        <f t="shared" si="0"/>
        <v>0</v>
      </c>
      <c r="D21" s="308">
        <f t="shared" si="8"/>
        <v>0</v>
      </c>
      <c r="E21" s="308">
        <f t="shared" si="11"/>
        <v>932658</v>
      </c>
      <c r="F21" s="539">
        <f t="shared" si="21"/>
        <v>141383</v>
      </c>
      <c r="G21" s="160">
        <f t="shared" si="1"/>
        <v>0</v>
      </c>
      <c r="H21" s="539">
        <f t="shared" si="22"/>
        <v>458312</v>
      </c>
      <c r="I21" s="161">
        <f t="shared" si="2"/>
        <v>0</v>
      </c>
      <c r="J21" s="539">
        <f t="shared" si="23"/>
        <v>332962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69.911049677039713</v>
      </c>
      <c r="P21" s="297">
        <f t="shared" si="9"/>
        <v>69.911049677039713</v>
      </c>
      <c r="Q21" s="297">
        <f>SUM(-tanks!AX23*tanks!$AU$37)</f>
        <v>0</v>
      </c>
      <c r="R21" s="297">
        <f t="shared" si="10"/>
        <v>69.911049677039713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7"/>
      <c r="AC21" s="668"/>
    </row>
    <row r="22" spans="1:32" ht="15.75" thickBot="1">
      <c r="A22" s="163">
        <f>ELEC!C21</f>
        <v>44274</v>
      </c>
      <c r="B22" s="539">
        <f t="shared" si="20"/>
        <v>932658</v>
      </c>
      <c r="C22" s="264">
        <f t="shared" si="0"/>
        <v>0</v>
      </c>
      <c r="D22" s="308">
        <f t="shared" si="8"/>
        <v>0</v>
      </c>
      <c r="E22" s="308">
        <f t="shared" si="11"/>
        <v>932658</v>
      </c>
      <c r="F22" s="539">
        <f t="shared" si="21"/>
        <v>141383</v>
      </c>
      <c r="G22" s="160">
        <f t="shared" si="1"/>
        <v>0</v>
      </c>
      <c r="H22" s="539">
        <f t="shared" si="22"/>
        <v>458312</v>
      </c>
      <c r="I22" s="161">
        <f t="shared" si="2"/>
        <v>0</v>
      </c>
      <c r="J22" s="539">
        <f t="shared" si="23"/>
        <v>332962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69.911049677039713</v>
      </c>
      <c r="P22" s="297">
        <f t="shared" si="9"/>
        <v>69.911049677039713</v>
      </c>
      <c r="Q22" s="297">
        <f>SUM(-tanks!AX24*tanks!$AU$37)</f>
        <v>0</v>
      </c>
      <c r="R22" s="297">
        <f t="shared" si="10"/>
        <v>69.911049677039713</v>
      </c>
      <c r="S22" s="299">
        <f>SUM(ELEC!N21)</f>
        <v>0</v>
      </c>
      <c r="T22" s="336">
        <f t="shared" si="12"/>
        <v>0</v>
      </c>
      <c r="V22" s="673"/>
      <c r="W22" s="674"/>
      <c r="X22" s="674"/>
      <c r="Y22" s="675"/>
      <c r="Z22" s="26" t="s">
        <v>203</v>
      </c>
      <c r="AA22" s="26">
        <v>5000</v>
      </c>
      <c r="AB22" s="669"/>
      <c r="AC22" s="670"/>
    </row>
    <row r="23" spans="1:32" ht="15.75" thickBot="1">
      <c r="A23" s="163">
        <f>ELEC!C22</f>
        <v>44275</v>
      </c>
      <c r="B23" s="539">
        <f t="shared" si="20"/>
        <v>932658</v>
      </c>
      <c r="C23" s="264">
        <f t="shared" si="0"/>
        <v>0</v>
      </c>
      <c r="D23" s="308">
        <f t="shared" si="8"/>
        <v>0</v>
      </c>
      <c r="E23" s="308">
        <f t="shared" si="11"/>
        <v>932658</v>
      </c>
      <c r="F23" s="539">
        <f t="shared" si="21"/>
        <v>141383</v>
      </c>
      <c r="G23" s="160">
        <f t="shared" si="1"/>
        <v>0</v>
      </c>
      <c r="H23" s="539">
        <f t="shared" si="22"/>
        <v>458312</v>
      </c>
      <c r="I23" s="161">
        <f t="shared" si="2"/>
        <v>0</v>
      </c>
      <c r="J23" s="539">
        <f t="shared" si="23"/>
        <v>332962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69.911049677039713</v>
      </c>
      <c r="P23" s="297">
        <f t="shared" si="9"/>
        <v>69.911049677039713</v>
      </c>
      <c r="Q23" s="297">
        <f>SUM(-tanks!AX25*tanks!$AU$37)</f>
        <v>0</v>
      </c>
      <c r="R23" s="297">
        <f t="shared" si="10"/>
        <v>69.911049677039713</v>
      </c>
      <c r="S23" s="299">
        <f>SUM(ELEC!N22)</f>
        <v>0</v>
      </c>
      <c r="T23" s="336">
        <f t="shared" si="12"/>
        <v>0</v>
      </c>
      <c r="V23" s="676"/>
      <c r="W23" s="677"/>
      <c r="X23" s="677"/>
      <c r="Y23" s="678"/>
      <c r="Z23" s="679"/>
      <c r="AA23" s="680"/>
      <c r="AB23" s="669"/>
      <c r="AC23" s="670"/>
    </row>
    <row r="24" spans="1:32" ht="15" customHeight="1" thickBot="1">
      <c r="A24" s="163">
        <f>ELEC!C23</f>
        <v>44276</v>
      </c>
      <c r="B24" s="539">
        <f t="shared" si="20"/>
        <v>932658</v>
      </c>
      <c r="C24" s="264">
        <f t="shared" si="0"/>
        <v>0</v>
      </c>
      <c r="D24" s="308">
        <f t="shared" si="8"/>
        <v>0</v>
      </c>
      <c r="E24" s="308">
        <f t="shared" si="11"/>
        <v>932658</v>
      </c>
      <c r="F24" s="539">
        <f t="shared" si="21"/>
        <v>141383</v>
      </c>
      <c r="G24" s="160">
        <f t="shared" si="1"/>
        <v>0</v>
      </c>
      <c r="H24" s="539">
        <f t="shared" si="22"/>
        <v>458312</v>
      </c>
      <c r="I24" s="161">
        <f t="shared" si="2"/>
        <v>0</v>
      </c>
      <c r="J24" s="539">
        <f t="shared" si="23"/>
        <v>332962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69.911049677039713</v>
      </c>
      <c r="P24" s="297">
        <f t="shared" si="9"/>
        <v>69.911049677039713</v>
      </c>
      <c r="Q24" s="297">
        <f>SUM(-tanks!AX26*tanks!$AU$37)</f>
        <v>0</v>
      </c>
      <c r="R24" s="297">
        <f t="shared" si="10"/>
        <v>69.911049677039713</v>
      </c>
      <c r="S24" s="299">
        <f>SUM(ELEC!N23)</f>
        <v>0</v>
      </c>
      <c r="T24" s="336">
        <f t="shared" si="12"/>
        <v>0</v>
      </c>
      <c r="V24" s="681" t="s">
        <v>204</v>
      </c>
      <c r="W24" s="682"/>
      <c r="X24" s="683" t="s">
        <v>205</v>
      </c>
      <c r="Y24" s="684"/>
      <c r="Z24" s="685"/>
      <c r="AA24" s="170"/>
      <c r="AB24" s="671"/>
      <c r="AC24" s="672"/>
    </row>
    <row r="25" spans="1:32" ht="17.25" customHeight="1" thickBot="1">
      <c r="A25" s="163">
        <f>ELEC!C24</f>
        <v>44277</v>
      </c>
      <c r="B25" s="539">
        <f t="shared" si="20"/>
        <v>932658</v>
      </c>
      <c r="C25" s="264">
        <f t="shared" si="0"/>
        <v>0</v>
      </c>
      <c r="D25" s="308">
        <f t="shared" si="8"/>
        <v>0</v>
      </c>
      <c r="E25" s="308">
        <f t="shared" si="11"/>
        <v>932658</v>
      </c>
      <c r="F25" s="539">
        <f t="shared" si="21"/>
        <v>141383</v>
      </c>
      <c r="G25" s="160">
        <f t="shared" si="1"/>
        <v>0</v>
      </c>
      <c r="H25" s="539">
        <f t="shared" si="22"/>
        <v>458312</v>
      </c>
      <c r="I25" s="161">
        <f t="shared" si="2"/>
        <v>0</v>
      </c>
      <c r="J25" s="539">
        <f t="shared" si="23"/>
        <v>332962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69.911049677039713</v>
      </c>
      <c r="P25" s="297">
        <f t="shared" si="9"/>
        <v>69.911049677039713</v>
      </c>
      <c r="Q25" s="297">
        <f>SUM(-tanks!AX27*tanks!$AU$37)</f>
        <v>0</v>
      </c>
      <c r="R25" s="297">
        <f t="shared" si="10"/>
        <v>69.911049677039713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20"/>
        <v>932658</v>
      </c>
      <c r="C26" s="264">
        <f t="shared" si="0"/>
        <v>0</v>
      </c>
      <c r="D26" s="308">
        <f t="shared" si="8"/>
        <v>0</v>
      </c>
      <c r="E26" s="308">
        <f t="shared" si="11"/>
        <v>932658</v>
      </c>
      <c r="F26" s="539">
        <f t="shared" si="21"/>
        <v>141383</v>
      </c>
      <c r="G26" s="160">
        <f t="shared" si="1"/>
        <v>0</v>
      </c>
      <c r="H26" s="539">
        <f t="shared" si="22"/>
        <v>458312</v>
      </c>
      <c r="I26" s="161">
        <f t="shared" si="2"/>
        <v>0</v>
      </c>
      <c r="J26" s="539">
        <f t="shared" si="23"/>
        <v>332962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69.911049677039713</v>
      </c>
      <c r="P26" s="297">
        <f t="shared" si="9"/>
        <v>69.911049677039713</v>
      </c>
      <c r="Q26" s="297">
        <f>SUM(-tanks!AX28*tanks!$AU$37)</f>
        <v>0</v>
      </c>
      <c r="R26" s="297">
        <f t="shared" si="10"/>
        <v>69.911049677039713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332962</v>
      </c>
      <c r="X26" s="172" t="s">
        <v>199</v>
      </c>
      <c r="Y26" s="172">
        <v>80</v>
      </c>
      <c r="Z26" s="172">
        <v>1</v>
      </c>
      <c r="AA26" s="338">
        <f>(W26-V26)*Z26</f>
        <v>11912</v>
      </c>
      <c r="AB26" s="338">
        <f>AA26*Y26</f>
        <v>952960</v>
      </c>
      <c r="AC26" s="249">
        <f>AC9</f>
        <v>1033333</v>
      </c>
      <c r="AD26" s="212">
        <f>SUM(K36)</f>
        <v>0.43034682080924858</v>
      </c>
    </row>
    <row r="27" spans="1:32" ht="15.75" thickBot="1">
      <c r="A27" s="163">
        <f>ELEC!C26</f>
        <v>44279</v>
      </c>
      <c r="B27" s="539">
        <f t="shared" si="20"/>
        <v>932658</v>
      </c>
      <c r="C27" s="264">
        <f t="shared" si="0"/>
        <v>0</v>
      </c>
      <c r="D27" s="308">
        <f t="shared" si="8"/>
        <v>0</v>
      </c>
      <c r="E27" s="308">
        <f t="shared" si="11"/>
        <v>932658</v>
      </c>
      <c r="F27" s="539">
        <f t="shared" si="21"/>
        <v>141383</v>
      </c>
      <c r="G27" s="160">
        <f t="shared" si="1"/>
        <v>0</v>
      </c>
      <c r="H27" s="539">
        <f t="shared" si="22"/>
        <v>458312</v>
      </c>
      <c r="I27" s="161">
        <f t="shared" si="2"/>
        <v>0</v>
      </c>
      <c r="J27" s="539">
        <f t="shared" si="23"/>
        <v>332962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69.911049677039713</v>
      </c>
      <c r="P27" s="297">
        <f t="shared" si="9"/>
        <v>69.911049677039713</v>
      </c>
      <c r="Q27" s="297">
        <f>SUM(-tanks!AX29*tanks!$AU$37)</f>
        <v>0</v>
      </c>
      <c r="R27" s="297">
        <f t="shared" si="10"/>
        <v>69.911049677039713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458312</v>
      </c>
      <c r="X27" s="172" t="s">
        <v>213</v>
      </c>
      <c r="Y27" s="172">
        <v>112</v>
      </c>
      <c r="Z27" s="172">
        <v>1</v>
      </c>
      <c r="AA27" s="338">
        <f>(W27-V27)*Z27</f>
        <v>11492</v>
      </c>
      <c r="AB27" s="338">
        <f>SUM(AA27*Y27)</f>
        <v>1287104</v>
      </c>
      <c r="AC27" s="249">
        <f>AC10</f>
        <v>6200000</v>
      </c>
      <c r="AD27" s="212">
        <f>SUM(I36)</f>
        <v>0.4151734104046243</v>
      </c>
    </row>
    <row r="28" spans="1:32" ht="15.75" thickBot="1">
      <c r="A28" s="163">
        <f>ELEC!C27</f>
        <v>44280</v>
      </c>
      <c r="B28" s="539">
        <f t="shared" si="20"/>
        <v>932658</v>
      </c>
      <c r="C28" s="264">
        <f t="shared" si="0"/>
        <v>0</v>
      </c>
      <c r="D28" s="308">
        <f t="shared" si="8"/>
        <v>0</v>
      </c>
      <c r="E28" s="308">
        <f t="shared" si="11"/>
        <v>932658</v>
      </c>
      <c r="F28" s="539">
        <f t="shared" si="21"/>
        <v>141383</v>
      </c>
      <c r="G28" s="160">
        <f t="shared" si="1"/>
        <v>0</v>
      </c>
      <c r="H28" s="539">
        <f t="shared" si="22"/>
        <v>458312</v>
      </c>
      <c r="I28" s="161">
        <f t="shared" si="2"/>
        <v>0</v>
      </c>
      <c r="J28" s="539">
        <f t="shared" si="23"/>
        <v>332962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69.911049677039713</v>
      </c>
      <c r="P28" s="297">
        <f t="shared" si="9"/>
        <v>69.911049677039713</v>
      </c>
      <c r="Q28" s="297">
        <f>SUM(-tanks!AX30*tanks!$AU$37)</f>
        <v>0</v>
      </c>
      <c r="R28" s="297">
        <f t="shared" si="10"/>
        <v>69.911049677039713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141383</v>
      </c>
      <c r="X28" s="172" t="s">
        <v>197</v>
      </c>
      <c r="Y28" s="172">
        <v>320</v>
      </c>
      <c r="Z28" s="172">
        <v>1</v>
      </c>
      <c r="AA28" s="338">
        <f>(W28-V28)*Z28</f>
        <v>4275</v>
      </c>
      <c r="AB28" s="338">
        <f>SUM(AA28*Y28)</f>
        <v>1368000</v>
      </c>
      <c r="AC28" s="249">
        <f>AC11</f>
        <v>1000</v>
      </c>
      <c r="AD28" s="212">
        <f>SUM(G36)</f>
        <v>0.15444364161849711</v>
      </c>
      <c r="AE28" s="40">
        <f>SUM(AB28*5%)</f>
        <v>68400</v>
      </c>
      <c r="AF28" s="82">
        <f>SUM(AE28/7)*31</f>
        <v>302914.28571428568</v>
      </c>
    </row>
    <row r="29" spans="1:32" ht="15.75" thickBot="1">
      <c r="A29" s="163">
        <f>ELEC!C28</f>
        <v>44281</v>
      </c>
      <c r="B29" s="539">
        <f t="shared" si="20"/>
        <v>932658</v>
      </c>
      <c r="C29" s="264">
        <f t="shared" si="0"/>
        <v>0</v>
      </c>
      <c r="D29" s="308">
        <f t="shared" si="8"/>
        <v>0</v>
      </c>
      <c r="E29" s="308">
        <f t="shared" si="11"/>
        <v>932658</v>
      </c>
      <c r="F29" s="539">
        <f t="shared" si="21"/>
        <v>141383</v>
      </c>
      <c r="G29" s="160">
        <f t="shared" si="1"/>
        <v>0</v>
      </c>
      <c r="H29" s="539">
        <f t="shared" si="22"/>
        <v>458312</v>
      </c>
      <c r="I29" s="161">
        <f t="shared" si="2"/>
        <v>0</v>
      </c>
      <c r="J29" s="539">
        <f t="shared" si="23"/>
        <v>332962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69.911049677039713</v>
      </c>
      <c r="P29" s="297">
        <f t="shared" si="9"/>
        <v>69.911049677039713</v>
      </c>
      <c r="Q29" s="297">
        <f>SUM(-tanks!AX31*tanks!$AU$37)</f>
        <v>0</v>
      </c>
      <c r="R29" s="297">
        <f t="shared" si="10"/>
        <v>69.911049677039713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27679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0"/>
        <v>932658</v>
      </c>
      <c r="C30" s="264">
        <f t="shared" si="0"/>
        <v>0</v>
      </c>
      <c r="D30" s="308">
        <f t="shared" si="8"/>
        <v>0</v>
      </c>
      <c r="E30" s="308">
        <f t="shared" si="11"/>
        <v>932658</v>
      </c>
      <c r="F30" s="539">
        <f t="shared" si="21"/>
        <v>141383</v>
      </c>
      <c r="G30" s="160">
        <f t="shared" si="1"/>
        <v>0</v>
      </c>
      <c r="H30" s="539">
        <f t="shared" si="22"/>
        <v>458312</v>
      </c>
      <c r="I30" s="161">
        <f t="shared" si="2"/>
        <v>0</v>
      </c>
      <c r="J30" s="539">
        <f t="shared" si="23"/>
        <v>332962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69.911049677039713</v>
      </c>
      <c r="P30" s="297">
        <f t="shared" si="9"/>
        <v>69.911049677039713</v>
      </c>
      <c r="Q30" s="297">
        <f>SUM(-tanks!AX32*tanks!$AU$37)</f>
        <v>0</v>
      </c>
      <c r="R30" s="297">
        <f t="shared" si="10"/>
        <v>69.911049677039713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3608064</v>
      </c>
      <c r="AC30" s="249">
        <f>SUM(AC26:AC29)/A37*A35</f>
        <v>3267118.1290322584</v>
      </c>
    </row>
    <row r="31" spans="1:32" ht="14.25" customHeight="1" thickBot="1">
      <c r="A31" s="163">
        <f>ELEC!C30</f>
        <v>44283</v>
      </c>
      <c r="B31" s="539">
        <f t="shared" si="20"/>
        <v>932658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932658</v>
      </c>
      <c r="F31" s="539">
        <f t="shared" si="21"/>
        <v>141383</v>
      </c>
      <c r="G31" s="160">
        <f t="shared" ref="G31:G34" si="31">F31-F30</f>
        <v>0</v>
      </c>
      <c r="H31" s="539">
        <f t="shared" si="22"/>
        <v>458312</v>
      </c>
      <c r="I31" s="161">
        <f t="shared" ref="I31:I34" si="32">H31-H30</f>
        <v>0</v>
      </c>
      <c r="J31" s="539">
        <f t="shared" si="23"/>
        <v>332962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69.911049677039713</v>
      </c>
      <c r="P31" s="297">
        <f t="shared" ref="P31:P34" si="37">SUM(L31:O31)</f>
        <v>69.911049677039713</v>
      </c>
      <c r="Q31" s="297">
        <f>SUM(-tanks!AX33*tanks!$AU$37)</f>
        <v>0</v>
      </c>
      <c r="R31" s="297">
        <f t="shared" ref="R31:R34" si="38">SUM(P31:Q31)</f>
        <v>69.911049677039713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0"/>
        <v>932658</v>
      </c>
      <c r="C32" s="264">
        <f t="shared" si="28"/>
        <v>0</v>
      </c>
      <c r="D32" s="308">
        <f t="shared" si="29"/>
        <v>0</v>
      </c>
      <c r="E32" s="308">
        <f t="shared" si="30"/>
        <v>932658</v>
      </c>
      <c r="F32" s="539">
        <f t="shared" si="21"/>
        <v>141383</v>
      </c>
      <c r="G32" s="160">
        <f t="shared" si="31"/>
        <v>0</v>
      </c>
      <c r="H32" s="539">
        <f t="shared" si="22"/>
        <v>458312</v>
      </c>
      <c r="I32" s="161">
        <f t="shared" si="32"/>
        <v>0</v>
      </c>
      <c r="J32" s="539">
        <f t="shared" si="23"/>
        <v>332962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69.911049677039713</v>
      </c>
      <c r="P32" s="297">
        <f t="shared" si="37"/>
        <v>69.911049677039713</v>
      </c>
      <c r="Q32" s="297">
        <f>SUM(-tanks!AX34*tanks!$AU$37)</f>
        <v>0</v>
      </c>
      <c r="R32" s="297">
        <f t="shared" si="38"/>
        <v>69.911049677039713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20"/>
        <v>932658</v>
      </c>
      <c r="C33" s="264">
        <f t="shared" si="28"/>
        <v>0</v>
      </c>
      <c r="D33" s="308">
        <f t="shared" si="29"/>
        <v>0</v>
      </c>
      <c r="E33" s="308">
        <f t="shared" si="30"/>
        <v>932658</v>
      </c>
      <c r="F33" s="539">
        <f t="shared" si="21"/>
        <v>141383</v>
      </c>
      <c r="G33" s="160">
        <f t="shared" si="31"/>
        <v>0</v>
      </c>
      <c r="H33" s="539">
        <f t="shared" si="22"/>
        <v>458312</v>
      </c>
      <c r="I33" s="161">
        <f t="shared" si="32"/>
        <v>0</v>
      </c>
      <c r="J33" s="539">
        <f t="shared" si="23"/>
        <v>332962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69.911049677039713</v>
      </c>
      <c r="P33" s="297">
        <f t="shared" si="37"/>
        <v>69.911049677039713</v>
      </c>
      <c r="Q33" s="297">
        <f>SUM(-tanks!AX35*tanks!$AU$37)</f>
        <v>0</v>
      </c>
      <c r="R33" s="297">
        <f t="shared" si="38"/>
        <v>69.911049677039713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0"/>
        <v>932658</v>
      </c>
      <c r="C34" s="264">
        <f t="shared" si="28"/>
        <v>0</v>
      </c>
      <c r="D34" s="308">
        <f t="shared" si="29"/>
        <v>0</v>
      </c>
      <c r="E34" s="308">
        <f t="shared" si="30"/>
        <v>932658</v>
      </c>
      <c r="F34" s="539">
        <f t="shared" si="21"/>
        <v>141383</v>
      </c>
      <c r="G34" s="160">
        <f t="shared" si="31"/>
        <v>0</v>
      </c>
      <c r="H34" s="539">
        <f t="shared" si="22"/>
        <v>458312</v>
      </c>
      <c r="I34" s="161">
        <f t="shared" si="32"/>
        <v>0</v>
      </c>
      <c r="J34" s="539">
        <f t="shared" si="23"/>
        <v>332962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69.911049677039713</v>
      </c>
      <c r="P34" s="297">
        <f t="shared" si="37"/>
        <v>69.911049677039713</v>
      </c>
      <c r="Q34" s="297">
        <f>SUM(-tanks!AX36*tanks!$AU$37)</f>
        <v>0</v>
      </c>
      <c r="R34" s="297">
        <f t="shared" si="38"/>
        <v>69.911049677039713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88</v>
      </c>
      <c r="X34" s="222">
        <f>SUM(W34/A35)</f>
        <v>6.2857142857142856</v>
      </c>
      <c r="Y34" s="260">
        <f>SUM(X34/2)</f>
        <v>3.1428571428571428</v>
      </c>
      <c r="Z34" s="3"/>
      <c r="AA34" s="3"/>
      <c r="AB34" s="542">
        <f>SUM(AB30+AC34)</f>
        <v>6875182.1290322579</v>
      </c>
      <c r="AC34" s="249">
        <f>SUM(AC30)</f>
        <v>3267118.1290322584</v>
      </c>
    </row>
    <row r="35" spans="1:32" ht="15.75" thickBot="1">
      <c r="A35" s="538">
        <f>A37-COUNTIF(C4:C34,0)</f>
        <v>14</v>
      </c>
      <c r="C35" s="173">
        <f>SUM(C4:C34)/A35</f>
        <v>1977.1428571428571</v>
      </c>
      <c r="D35" s="173"/>
      <c r="E35" s="173"/>
      <c r="G35" s="173">
        <f>SUM(G4:G34)/A35</f>
        <v>305.35714285714283</v>
      </c>
      <c r="I35" s="173">
        <f>SUM(I4:I34)/A35</f>
        <v>820.85714285714289</v>
      </c>
      <c r="K35" s="173">
        <f>SUM(K4:K34)/A35</f>
        <v>850.85714285714289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105390.90738813736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0.99996387283236998</v>
      </c>
      <c r="G36" s="225">
        <f>IF(C35&gt;0,G35/C35,0)</f>
        <v>0.15444364161849711</v>
      </c>
      <c r="H36" s="212"/>
      <c r="I36" s="225">
        <f>SUM(I35/C35)</f>
        <v>0.4151734104046243</v>
      </c>
      <c r="J36" s="212"/>
      <c r="K36" s="225">
        <f>SUM(K35/C35)</f>
        <v>0.43034682080924858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4560.6514952121115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2167.2425399882313</v>
      </c>
      <c r="Z38" s="40"/>
      <c r="AA38" s="292" t="s">
        <v>215</v>
      </c>
      <c r="AB38" s="293">
        <f>SUM(AB36)</f>
        <v>4560.6514952121115</v>
      </c>
    </row>
    <row r="39" spans="1:32">
      <c r="V39" s="217"/>
      <c r="W39" s="82">
        <f>(AB30+AB54)/1507.5</f>
        <v>2393.4089552238806</v>
      </c>
      <c r="X39" s="543"/>
      <c r="Z39" s="294">
        <f>SUM(AB38)</f>
        <v>4560.6514952121115</v>
      </c>
      <c r="AA39" s="293"/>
      <c r="AB39" s="293"/>
    </row>
    <row r="40" spans="1:32">
      <c r="V40" s="17"/>
      <c r="W40" s="82">
        <f>SUM(W38:W39)</f>
        <v>4560.6514952121124</v>
      </c>
      <c r="X40" s="543"/>
      <c r="Y40" s="82"/>
      <c r="Z40" s="294">
        <f>SUM(-tanks!AX37)*tanks!AU37</f>
        <v>13077.953032258059</v>
      </c>
      <c r="AA40" s="101">
        <f>SUM(AB34/A35)</f>
        <v>491084.43778801843</v>
      </c>
      <c r="AB40" s="348">
        <f>SUM(AA40*A37)</f>
        <v>15223617.571428571</v>
      </c>
    </row>
    <row r="41" spans="1:32" ht="18.75">
      <c r="W41" s="82">
        <f>(AB30+AB54)/1507.5</f>
        <v>2393.4089552238806</v>
      </c>
      <c r="Z41" s="276">
        <f>SUM(Z39:Z40)</f>
        <v>17638.604527470172</v>
      </c>
      <c r="AA41" s="293">
        <f>SUM(AA40/1507.5)</f>
        <v>325.76082108657937</v>
      </c>
      <c r="AB41" s="347">
        <f>SUM(AB40/1507.5)</f>
        <v>10098.585453683962</v>
      </c>
    </row>
    <row r="42" spans="1:32">
      <c r="D42" s="519"/>
      <c r="E42" s="519"/>
      <c r="F42" s="519"/>
      <c r="W42" s="82">
        <f>SUM(W40:W41)</f>
        <v>6954.0604504359926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6"/>
      <c r="AC45" s="686"/>
      <c r="AD45" s="17"/>
      <c r="AE45" s="17"/>
      <c r="AF45" s="17"/>
    </row>
    <row r="46" spans="1:32">
      <c r="V46" s="686"/>
      <c r="W46" s="686"/>
      <c r="X46" s="686"/>
      <c r="Y46" s="686"/>
      <c r="Z46" s="547"/>
      <c r="AA46" s="547"/>
      <c r="AB46" s="686"/>
      <c r="AC46" s="686"/>
      <c r="AD46" s="17"/>
      <c r="AE46" s="17"/>
      <c r="AF46" s="17"/>
    </row>
    <row r="47" spans="1:32">
      <c r="V47" s="686"/>
      <c r="W47" s="686"/>
      <c r="X47" s="686"/>
      <c r="Y47" s="686"/>
      <c r="Z47" s="686"/>
      <c r="AA47" s="686"/>
      <c r="AB47" s="686"/>
      <c r="AC47" s="686"/>
      <c r="AD47" s="17"/>
      <c r="AE47" s="17"/>
      <c r="AF47" s="17"/>
    </row>
    <row r="48" spans="1:32">
      <c r="V48" s="687"/>
      <c r="W48" s="687"/>
      <c r="X48" s="688"/>
      <c r="Y48" s="688"/>
      <c r="Z48" s="688"/>
      <c r="AA48" s="548"/>
      <c r="AB48" s="686"/>
      <c r="AC48" s="686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9" sqref="H19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318</v>
      </c>
      <c r="C1" s="702"/>
      <c r="D1" s="704"/>
      <c r="E1" s="701" t="s">
        <v>319</v>
      </c>
      <c r="F1" s="702"/>
      <c r="G1" s="703"/>
      <c r="H1" s="698" t="s">
        <v>324</v>
      </c>
      <c r="I1" s="695" t="s">
        <v>325</v>
      </c>
      <c r="J1" s="692" t="s">
        <v>43</v>
      </c>
    </row>
    <row r="2" spans="1:18" ht="38.25" thickBot="1">
      <c r="A2" s="690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9"/>
      <c r="I2" s="696"/>
      <c r="J2" s="693"/>
    </row>
    <row r="3" spans="1:18" ht="24" customHeight="1" thickBot="1">
      <c r="A3" s="691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0"/>
      <c r="I3" s="697"/>
      <c r="J3" s="694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09"/>
      <c r="D21" s="170"/>
      <c r="E21" s="170"/>
      <c r="F21" s="170"/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6729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6729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6729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6729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6729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6729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6729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6729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6729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6729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6729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6729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6729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6729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6729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409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-285.60000000000008</v>
      </c>
      <c r="K43" s="119">
        <f>SUMIF(L10:L37,"&gt;0")</f>
        <v>1.6999999999999993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-5358.5000000000009</v>
      </c>
      <c r="O86" s="142">
        <f>C43+G43+K43+O43+S43+W43+C81+G81+K81+O81+S81+W81</f>
        <v>10.999999999999989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216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14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299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3703.2258064516127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387.27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6875182.1290322579</v>
      </c>
      <c r="E10" s="182">
        <f>SUM(D10/D4/F4)</f>
        <v>325.76082108657937</v>
      </c>
      <c r="F10" s="182">
        <f>SUM(E10*F4)</f>
        <v>4560.6514952121115</v>
      </c>
      <c r="G10" s="510">
        <f>E10*$G$4</f>
        <v>10098.58545368396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977.54695011883746</v>
      </c>
      <c r="F12" s="180">
        <f>SUM(F6:F10)</f>
        <v>13685.657301663723</v>
      </c>
      <c r="G12" s="179">
        <f>SUM(G6:G10)</f>
        <v>23720.36545368396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-23500.63454631604</v>
      </c>
      <c r="I14" s="423">
        <f>SUM(G12-I12)</f>
        <v>-23500.837795778411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16.321428571428573</v>
      </c>
      <c r="C16" s="433">
        <f>'[14]Utility Cost '!B16</f>
        <v>14.293103448275861</v>
      </c>
      <c r="D16" s="432"/>
      <c r="E16" s="433">
        <f t="shared" si="0"/>
        <v>2.0283251231527117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88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-27.420000000000073</v>
      </c>
      <c r="F18" s="528">
        <f>B18-D18</f>
        <v>-84.73885330486587</v>
      </c>
    </row>
    <row r="19" spans="1:10">
      <c r="A19" s="522" t="s">
        <v>411</v>
      </c>
      <c r="B19" s="520">
        <f>SUM(B18/$F$4)</f>
        <v>6.2857142857142856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2021-03-15T08:29:13Z</dcterms:modified>
</cp:coreProperties>
</file>